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860" yWindow="1020" windowWidth="29880" windowHeight="205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enemy_habitat_S!$B$1:$AE$2</definedName>
    <definedName name="_xlnm._FilterDatabase" localSheetId="2" hidden="1">enemy_habitats!$B$1:$AN$2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enemy_skills!$A$1:$AC$1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6" i="10" l="1"/>
  <c r="U56" i="10"/>
  <c r="X56" i="10"/>
  <c r="W56" i="10"/>
  <c r="Y56" i="10"/>
  <c r="V56" i="10"/>
  <c r="Z56" i="10"/>
  <c r="O56" i="10"/>
  <c r="R56" i="10"/>
  <c r="Q56" i="10"/>
  <c r="S56" i="10"/>
  <c r="P56" i="10"/>
  <c r="T56" i="10"/>
  <c r="H56" i="10"/>
  <c r="K56" i="10"/>
  <c r="J56" i="10"/>
  <c r="L56" i="10"/>
  <c r="I56" i="10"/>
  <c r="M56" i="10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N2" i="22"/>
  <c r="G2" i="22"/>
  <c r="F2" i="22"/>
  <c r="D2" i="22"/>
  <c r="C2" i="22"/>
  <c r="A2" i="22"/>
  <c r="I44" i="21"/>
  <c r="J44" i="21"/>
  <c r="G44" i="21"/>
  <c r="F44" i="21"/>
  <c r="I43" i="21"/>
  <c r="J43" i="21"/>
  <c r="G43" i="21"/>
  <c r="F43" i="21"/>
  <c r="I42" i="21"/>
  <c r="J42" i="21"/>
  <c r="G42" i="21"/>
  <c r="F42" i="21"/>
  <c r="D42" i="21"/>
  <c r="C42" i="21"/>
  <c r="I41" i="21"/>
  <c r="J41" i="21"/>
  <c r="G41" i="21"/>
  <c r="F41" i="21"/>
  <c r="D41" i="21"/>
  <c r="C41" i="21"/>
  <c r="I40" i="21"/>
  <c r="J40" i="21"/>
  <c r="G40" i="21"/>
  <c r="F40" i="21"/>
  <c r="D40" i="21"/>
  <c r="C40" i="21"/>
  <c r="I39" i="21"/>
  <c r="J39" i="21"/>
  <c r="G39" i="21"/>
  <c r="F39" i="21"/>
  <c r="D39" i="21"/>
  <c r="C39" i="21"/>
  <c r="I38" i="21"/>
  <c r="J38" i="21"/>
  <c r="G38" i="21"/>
  <c r="F38" i="21"/>
  <c r="D38" i="21"/>
  <c r="C38" i="21"/>
  <c r="I37" i="21"/>
  <c r="J37" i="21"/>
  <c r="G37" i="21"/>
  <c r="F37" i="21"/>
  <c r="D37" i="21"/>
  <c r="C37" i="21"/>
  <c r="I36" i="21"/>
  <c r="J36" i="21"/>
  <c r="G36" i="21"/>
  <c r="F36" i="21"/>
  <c r="D36" i="21"/>
  <c r="C36" i="21"/>
  <c r="I35" i="21"/>
  <c r="J35" i="21"/>
  <c r="G35" i="21"/>
  <c r="F35" i="21"/>
  <c r="D35" i="21"/>
  <c r="C35" i="21"/>
  <c r="I34" i="21"/>
  <c r="J34" i="21"/>
  <c r="G34" i="21"/>
  <c r="F34" i="21"/>
  <c r="D34" i="21"/>
  <c r="C34" i="21"/>
  <c r="I33" i="21"/>
  <c r="J33" i="21"/>
  <c r="G33" i="21"/>
  <c r="F33" i="21"/>
  <c r="D33" i="21"/>
  <c r="C33" i="21"/>
  <c r="I32" i="21"/>
  <c r="J32" i="21"/>
  <c r="G32" i="21"/>
  <c r="F32" i="21"/>
  <c r="D32" i="21"/>
  <c r="C32" i="21"/>
  <c r="I31" i="21"/>
  <c r="J31" i="21"/>
  <c r="G31" i="21"/>
  <c r="F31" i="21"/>
  <c r="D31" i="21"/>
  <c r="C31" i="21"/>
  <c r="I30" i="21"/>
  <c r="J30" i="21"/>
  <c r="G30" i="21"/>
  <c r="F30" i="21"/>
  <c r="D30" i="21"/>
  <c r="C30" i="21"/>
  <c r="I29" i="21"/>
  <c r="J29" i="21"/>
  <c r="G29" i="21"/>
  <c r="F29" i="21"/>
  <c r="D29" i="21"/>
  <c r="C29" i="21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69" i="21"/>
  <c r="J69" i="21"/>
  <c r="G69" i="21"/>
  <c r="F69" i="21"/>
  <c r="I68" i="21"/>
  <c r="J68" i="21"/>
  <c r="G68" i="21"/>
  <c r="F68" i="21"/>
  <c r="I67" i="21"/>
  <c r="J67" i="21"/>
  <c r="G67" i="21"/>
  <c r="F67" i="21"/>
  <c r="D67" i="21"/>
  <c r="C67" i="21"/>
  <c r="I66" i="21"/>
  <c r="J66" i="21"/>
  <c r="G66" i="21"/>
  <c r="F66" i="21"/>
  <c r="D66" i="21"/>
  <c r="C66" i="21"/>
  <c r="I65" i="21"/>
  <c r="J65" i="21"/>
  <c r="G65" i="21"/>
  <c r="F65" i="21"/>
  <c r="D65" i="21"/>
  <c r="C65" i="21"/>
  <c r="I64" i="21"/>
  <c r="J64" i="21"/>
  <c r="G64" i="21"/>
  <c r="F64" i="21"/>
  <c r="D64" i="21"/>
  <c r="C64" i="21"/>
  <c r="I63" i="21"/>
  <c r="J63" i="21"/>
  <c r="G63" i="21"/>
  <c r="F63" i="21"/>
  <c r="D63" i="21"/>
  <c r="C63" i="21"/>
  <c r="I62" i="21"/>
  <c r="J62" i="21"/>
  <c r="G62" i="21"/>
  <c r="F62" i="21"/>
  <c r="D62" i="21"/>
  <c r="C62" i="21"/>
  <c r="I61" i="21"/>
  <c r="J61" i="21"/>
  <c r="G61" i="21"/>
  <c r="F61" i="21"/>
  <c r="D61" i="21"/>
  <c r="C61" i="21"/>
  <c r="I60" i="21"/>
  <c r="J60" i="21"/>
  <c r="G60" i="21"/>
  <c r="F60" i="21"/>
  <c r="D60" i="21"/>
  <c r="C60" i="21"/>
  <c r="I59" i="21"/>
  <c r="J59" i="21"/>
  <c r="G59" i="21"/>
  <c r="F59" i="21"/>
  <c r="D59" i="21"/>
  <c r="C59" i="21"/>
  <c r="I58" i="21"/>
  <c r="J58" i="21"/>
  <c r="G58" i="21"/>
  <c r="F58" i="21"/>
  <c r="D58" i="21"/>
  <c r="C58" i="21"/>
  <c r="I57" i="21"/>
  <c r="J57" i="21"/>
  <c r="G57" i="21"/>
  <c r="F57" i="21"/>
  <c r="D57" i="21"/>
  <c r="C57" i="21"/>
  <c r="I56" i="21"/>
  <c r="J56" i="21"/>
  <c r="G56" i="21"/>
  <c r="F56" i="21"/>
  <c r="D56" i="21"/>
  <c r="C56" i="21"/>
  <c r="I55" i="21"/>
  <c r="J55" i="21"/>
  <c r="G55" i="21"/>
  <c r="F55" i="21"/>
  <c r="D55" i="21"/>
  <c r="C55" i="21"/>
  <c r="I54" i="21"/>
  <c r="J54" i="21"/>
  <c r="G54" i="21"/>
  <c r="F54" i="21"/>
  <c r="D54" i="21"/>
  <c r="C54" i="21"/>
  <c r="I53" i="21"/>
  <c r="J53" i="21"/>
  <c r="G53" i="21"/>
  <c r="F53" i="21"/>
  <c r="D53" i="21"/>
  <c r="C53" i="21"/>
  <c r="I52" i="21"/>
  <c r="J52" i="21"/>
  <c r="G52" i="21"/>
  <c r="F52" i="21"/>
  <c r="D52" i="21"/>
  <c r="C52" i="21"/>
  <c r="I51" i="21"/>
  <c r="J51" i="21"/>
  <c r="G51" i="21"/>
  <c r="F51" i="21"/>
  <c r="D51" i="21"/>
  <c r="C51" i="21"/>
  <c r="I50" i="21"/>
  <c r="J50" i="21"/>
  <c r="G50" i="21"/>
  <c r="F50" i="21"/>
  <c r="D50" i="21"/>
  <c r="C50" i="21"/>
  <c r="I49" i="21"/>
  <c r="J49" i="21"/>
  <c r="G49" i="21"/>
  <c r="F49" i="21"/>
  <c r="D49" i="21"/>
  <c r="C49" i="21"/>
  <c r="I48" i="21"/>
  <c r="J48" i="21"/>
  <c r="G48" i="21"/>
  <c r="F48" i="21"/>
  <c r="D48" i="21"/>
  <c r="C48" i="21"/>
  <c r="J109" i="11"/>
  <c r="O119" i="9"/>
  <c r="N119" i="9"/>
  <c r="M119" i="9"/>
  <c r="L119" i="9"/>
  <c r="K119" i="9"/>
  <c r="J119" i="9"/>
  <c r="I119" i="9"/>
  <c r="H119" i="9"/>
  <c r="G119" i="9"/>
  <c r="E119" i="9"/>
  <c r="D119" i="9"/>
  <c r="A119" i="9"/>
  <c r="J108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107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106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105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104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103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102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101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100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99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98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97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96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95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94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93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92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9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9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89" i="11"/>
  <c r="O99" i="9"/>
  <c r="N99" i="9"/>
  <c r="M99" i="9"/>
  <c r="L99" i="9"/>
  <c r="K99" i="9"/>
  <c r="J99" i="9"/>
  <c r="I99" i="9"/>
  <c r="H99" i="9"/>
  <c r="G99" i="9"/>
  <c r="E99" i="9"/>
  <c r="D99" i="9"/>
  <c r="A99" i="9"/>
  <c r="J88" i="11"/>
  <c r="O98" i="9"/>
  <c r="N98" i="9"/>
  <c r="M98" i="9"/>
  <c r="L98" i="9"/>
  <c r="K98" i="9"/>
  <c r="J98" i="9"/>
  <c r="I98" i="9"/>
  <c r="H98" i="9"/>
  <c r="G98" i="9"/>
  <c r="E98" i="9"/>
  <c r="D98" i="9"/>
  <c r="A98" i="9"/>
  <c r="I47" i="21"/>
  <c r="J47" i="21"/>
  <c r="G47" i="21"/>
  <c r="F47" i="21"/>
  <c r="D47" i="21"/>
  <c r="C47" i="21"/>
  <c r="I46" i="21"/>
  <c r="J46" i="21"/>
  <c r="G46" i="21"/>
  <c r="F46" i="21"/>
  <c r="D46" i="21"/>
  <c r="C46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O237" i="9"/>
  <c r="N237" i="9"/>
  <c r="M237" i="9"/>
  <c r="L237" i="9"/>
  <c r="K237" i="9"/>
  <c r="J237" i="9"/>
  <c r="I237" i="9"/>
  <c r="H237" i="9"/>
  <c r="G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E234" i="9"/>
  <c r="D234" i="9"/>
  <c r="A234" i="9"/>
  <c r="O233" i="9"/>
  <c r="N233" i="9"/>
  <c r="M233" i="9"/>
  <c r="L233" i="9"/>
  <c r="K233" i="9"/>
  <c r="J233" i="9"/>
  <c r="I233" i="9"/>
  <c r="H233" i="9"/>
  <c r="G233" i="9"/>
  <c r="E233" i="9"/>
  <c r="D233" i="9"/>
  <c r="A233" i="9"/>
  <c r="O232" i="9"/>
  <c r="N232" i="9"/>
  <c r="M232" i="9"/>
  <c r="L232" i="9"/>
  <c r="K232" i="9"/>
  <c r="J232" i="9"/>
  <c r="I232" i="9"/>
  <c r="H232" i="9"/>
  <c r="G232" i="9"/>
  <c r="E232" i="9"/>
  <c r="D232" i="9"/>
  <c r="A232" i="9"/>
  <c r="O231" i="9"/>
  <c r="N231" i="9"/>
  <c r="M231" i="9"/>
  <c r="L231" i="9"/>
  <c r="K231" i="9"/>
  <c r="J231" i="9"/>
  <c r="I231" i="9"/>
  <c r="H231" i="9"/>
  <c r="G231" i="9"/>
  <c r="E231" i="9"/>
  <c r="D231" i="9"/>
  <c r="A231" i="9"/>
  <c r="O230" i="9"/>
  <c r="N230" i="9"/>
  <c r="M230" i="9"/>
  <c r="L230" i="9"/>
  <c r="K230" i="9"/>
  <c r="J230" i="9"/>
  <c r="I230" i="9"/>
  <c r="H230" i="9"/>
  <c r="G230" i="9"/>
  <c r="E230" i="9"/>
  <c r="D230" i="9"/>
  <c r="A230" i="9"/>
  <c r="O229" i="9"/>
  <c r="N229" i="9"/>
  <c r="M229" i="9"/>
  <c r="L229" i="9"/>
  <c r="K229" i="9"/>
  <c r="J229" i="9"/>
  <c r="I229" i="9"/>
  <c r="H229" i="9"/>
  <c r="G229" i="9"/>
  <c r="E229" i="9"/>
  <c r="D229" i="9"/>
  <c r="A229" i="9"/>
  <c r="O228" i="9"/>
  <c r="N228" i="9"/>
  <c r="M228" i="9"/>
  <c r="L228" i="9"/>
  <c r="K228" i="9"/>
  <c r="J228" i="9"/>
  <c r="I228" i="9"/>
  <c r="H228" i="9"/>
  <c r="G228" i="9"/>
  <c r="E228" i="9"/>
  <c r="D228" i="9"/>
  <c r="A228" i="9"/>
  <c r="O227" i="9"/>
  <c r="N227" i="9"/>
  <c r="M227" i="9"/>
  <c r="L227" i="9"/>
  <c r="K227" i="9"/>
  <c r="J227" i="9"/>
  <c r="I227" i="9"/>
  <c r="H227" i="9"/>
  <c r="G227" i="9"/>
  <c r="E227" i="9"/>
  <c r="D227" i="9"/>
  <c r="A227" i="9"/>
  <c r="O226" i="9"/>
  <c r="N226" i="9"/>
  <c r="M226" i="9"/>
  <c r="L226" i="9"/>
  <c r="K226" i="9"/>
  <c r="J226" i="9"/>
  <c r="I226" i="9"/>
  <c r="H226" i="9"/>
  <c r="G226" i="9"/>
  <c r="E226" i="9"/>
  <c r="D226" i="9"/>
  <c r="A226" i="9"/>
  <c r="O225" i="9"/>
  <c r="N225" i="9"/>
  <c r="M225" i="9"/>
  <c r="L225" i="9"/>
  <c r="K225" i="9"/>
  <c r="J225" i="9"/>
  <c r="I225" i="9"/>
  <c r="H225" i="9"/>
  <c r="G225" i="9"/>
  <c r="E225" i="9"/>
  <c r="D225" i="9"/>
  <c r="A225" i="9"/>
  <c r="O224" i="9"/>
  <c r="N224" i="9"/>
  <c r="M224" i="9"/>
  <c r="L224" i="9"/>
  <c r="K224" i="9"/>
  <c r="J224" i="9"/>
  <c r="I224" i="9"/>
  <c r="H224" i="9"/>
  <c r="G224" i="9"/>
  <c r="E224" i="9"/>
  <c r="D224" i="9"/>
  <c r="A224" i="9"/>
  <c r="O223" i="9"/>
  <c r="N223" i="9"/>
  <c r="M223" i="9"/>
  <c r="L223" i="9"/>
  <c r="K223" i="9"/>
  <c r="J223" i="9"/>
  <c r="I223" i="9"/>
  <c r="H223" i="9"/>
  <c r="G223" i="9"/>
  <c r="E223" i="9"/>
  <c r="D223" i="9"/>
  <c r="A223" i="9"/>
  <c r="O222" i="9"/>
  <c r="N222" i="9"/>
  <c r="M222" i="9"/>
  <c r="L222" i="9"/>
  <c r="K222" i="9"/>
  <c r="J222" i="9"/>
  <c r="I222" i="9"/>
  <c r="H222" i="9"/>
  <c r="G222" i="9"/>
  <c r="E222" i="9"/>
  <c r="D222" i="9"/>
  <c r="A222" i="9"/>
  <c r="O221" i="9"/>
  <c r="N221" i="9"/>
  <c r="M221" i="9"/>
  <c r="L221" i="9"/>
  <c r="K221" i="9"/>
  <c r="J221" i="9"/>
  <c r="I221" i="9"/>
  <c r="H221" i="9"/>
  <c r="G221" i="9"/>
  <c r="E221" i="9"/>
  <c r="D221" i="9"/>
  <c r="A221" i="9"/>
  <c r="O220" i="9"/>
  <c r="N220" i="9"/>
  <c r="M220" i="9"/>
  <c r="L220" i="9"/>
  <c r="K220" i="9"/>
  <c r="J220" i="9"/>
  <c r="I220" i="9"/>
  <c r="H220" i="9"/>
  <c r="G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E219" i="9"/>
  <c r="D219" i="9"/>
  <c r="A219" i="9"/>
  <c r="O218" i="9"/>
  <c r="N218" i="9"/>
  <c r="M218" i="9"/>
  <c r="L218" i="9"/>
  <c r="K218" i="9"/>
  <c r="J218" i="9"/>
  <c r="I218" i="9"/>
  <c r="H218" i="9"/>
  <c r="G218" i="9"/>
  <c r="E218" i="9"/>
  <c r="D218" i="9"/>
  <c r="A218" i="9"/>
  <c r="O217" i="9"/>
  <c r="N217" i="9"/>
  <c r="M217" i="9"/>
  <c r="L217" i="9"/>
  <c r="K217" i="9"/>
  <c r="J217" i="9"/>
  <c r="I217" i="9"/>
  <c r="H217" i="9"/>
  <c r="G217" i="9"/>
  <c r="E217" i="9"/>
  <c r="D217" i="9"/>
  <c r="A217" i="9"/>
  <c r="O216" i="9"/>
  <c r="N216" i="9"/>
  <c r="M216" i="9"/>
  <c r="L216" i="9"/>
  <c r="K216" i="9"/>
  <c r="J216" i="9"/>
  <c r="I216" i="9"/>
  <c r="H216" i="9"/>
  <c r="G216" i="9"/>
  <c r="E216" i="9"/>
  <c r="D216" i="9"/>
  <c r="A216" i="9"/>
  <c r="K72" i="10"/>
  <c r="I12" i="21"/>
  <c r="J12" i="21"/>
  <c r="G12" i="21"/>
  <c r="F12" i="21"/>
  <c r="D12" i="21"/>
  <c r="C12" i="21"/>
  <c r="I5" i="21"/>
  <c r="J5" i="21"/>
  <c r="G5" i="21"/>
  <c r="F5" i="21"/>
  <c r="D5" i="21"/>
  <c r="C5" i="21"/>
  <c r="U6" i="1"/>
  <c r="K24" i="11"/>
  <c r="J5" i="11"/>
  <c r="O4" i="9"/>
  <c r="N4" i="9"/>
  <c r="M4" i="9"/>
  <c r="L4" i="9"/>
  <c r="K4" i="9"/>
  <c r="J4" i="9"/>
  <c r="I4" i="9"/>
  <c r="H4" i="9"/>
  <c r="G4" i="9"/>
  <c r="E4" i="9"/>
  <c r="D4" i="9"/>
  <c r="A4" i="9"/>
  <c r="J70" i="11"/>
  <c r="O15" i="9"/>
  <c r="N15" i="9"/>
  <c r="M15" i="9"/>
  <c r="L15" i="9"/>
  <c r="K15" i="9"/>
  <c r="J15" i="9"/>
  <c r="I15" i="9"/>
  <c r="H15" i="9"/>
  <c r="G15" i="9"/>
  <c r="E15" i="9"/>
  <c r="D15" i="9"/>
  <c r="A15" i="9"/>
  <c r="J69" i="11"/>
  <c r="O14" i="9"/>
  <c r="N14" i="9"/>
  <c r="M14" i="9"/>
  <c r="L14" i="9"/>
  <c r="K14" i="9"/>
  <c r="J14" i="9"/>
  <c r="I14" i="9"/>
  <c r="H14" i="9"/>
  <c r="G14" i="9"/>
  <c r="E14" i="9"/>
  <c r="D14" i="9"/>
  <c r="A14" i="9"/>
  <c r="J68" i="11"/>
  <c r="O13" i="9"/>
  <c r="N13" i="9"/>
  <c r="M13" i="9"/>
  <c r="L13" i="9"/>
  <c r="K13" i="9"/>
  <c r="J13" i="9"/>
  <c r="I13" i="9"/>
  <c r="H13" i="9"/>
  <c r="G13" i="9"/>
  <c r="E13" i="9"/>
  <c r="D13" i="9"/>
  <c r="A13" i="9"/>
  <c r="J67" i="11"/>
  <c r="O12" i="9"/>
  <c r="N12" i="9"/>
  <c r="M12" i="9"/>
  <c r="L12" i="9"/>
  <c r="K12" i="9"/>
  <c r="J12" i="9"/>
  <c r="I12" i="9"/>
  <c r="H12" i="9"/>
  <c r="G12" i="9"/>
  <c r="E12" i="9"/>
  <c r="D12" i="9"/>
  <c r="A12" i="9"/>
  <c r="N47" i="10"/>
  <c r="U47" i="10"/>
  <c r="X47" i="10"/>
  <c r="W47" i="10"/>
  <c r="Y47" i="10"/>
  <c r="V47" i="10"/>
  <c r="Z47" i="10"/>
  <c r="O47" i="10"/>
  <c r="R47" i="10"/>
  <c r="Q47" i="10"/>
  <c r="S47" i="10"/>
  <c r="P47" i="10"/>
  <c r="T47" i="10"/>
  <c r="H47" i="10"/>
  <c r="K47" i="10"/>
  <c r="J47" i="10"/>
  <c r="L47" i="10"/>
  <c r="I47" i="10"/>
  <c r="M47" i="10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J12" i="11"/>
  <c r="O129" i="9"/>
  <c r="N129" i="9"/>
  <c r="M129" i="9"/>
  <c r="L129" i="9"/>
  <c r="K129" i="9"/>
  <c r="J129" i="9"/>
  <c r="I129" i="9"/>
  <c r="H129" i="9"/>
  <c r="G129" i="9"/>
  <c r="E129" i="9"/>
  <c r="D129" i="9"/>
  <c r="A129" i="9"/>
  <c r="A128" i="9"/>
  <c r="V4" i="7"/>
  <c r="K3" i="11"/>
  <c r="J3" i="11"/>
  <c r="U3" i="1"/>
  <c r="K2" i="11"/>
  <c r="J2" i="11"/>
  <c r="N38" i="10"/>
  <c r="U38" i="10"/>
  <c r="X38" i="10"/>
  <c r="W38" i="10"/>
  <c r="Y38" i="10"/>
  <c r="V38" i="10"/>
  <c r="Z38" i="10"/>
  <c r="O38" i="10"/>
  <c r="R38" i="10"/>
  <c r="Q38" i="10"/>
  <c r="S38" i="10"/>
  <c r="P38" i="10"/>
  <c r="T38" i="10"/>
  <c r="H38" i="10"/>
  <c r="K38" i="10"/>
  <c r="J38" i="10"/>
  <c r="L38" i="10"/>
  <c r="I38" i="10"/>
  <c r="M38" i="10"/>
  <c r="N46" i="10"/>
  <c r="U46" i="10"/>
  <c r="X46" i="10"/>
  <c r="W46" i="10"/>
  <c r="Y46" i="10"/>
  <c r="V46" i="10"/>
  <c r="Z46" i="10"/>
  <c r="O46" i="10"/>
  <c r="R46" i="10"/>
  <c r="Q46" i="10"/>
  <c r="S46" i="10"/>
  <c r="P46" i="10"/>
  <c r="T46" i="10"/>
  <c r="H46" i="10"/>
  <c r="K46" i="10"/>
  <c r="J46" i="10"/>
  <c r="L46" i="10"/>
  <c r="I46" i="10"/>
  <c r="M46" i="10"/>
  <c r="N35" i="10"/>
  <c r="U35" i="10"/>
  <c r="X35" i="10"/>
  <c r="W35" i="10"/>
  <c r="Y35" i="10"/>
  <c r="V35" i="10"/>
  <c r="Z35" i="10"/>
  <c r="O35" i="10"/>
  <c r="R35" i="10"/>
  <c r="Q35" i="10"/>
  <c r="S35" i="10"/>
  <c r="P35" i="10"/>
  <c r="T35" i="10"/>
  <c r="H35" i="10"/>
  <c r="K35" i="10"/>
  <c r="J35" i="10"/>
  <c r="L35" i="10"/>
  <c r="I35" i="10"/>
  <c r="M35" i="10"/>
  <c r="N34" i="10"/>
  <c r="U34" i="10"/>
  <c r="X34" i="10"/>
  <c r="W34" i="10"/>
  <c r="Y34" i="10"/>
  <c r="V34" i="10"/>
  <c r="Z34" i="10"/>
  <c r="O34" i="10"/>
  <c r="R34" i="10"/>
  <c r="Q34" i="10"/>
  <c r="S34" i="10"/>
  <c r="P34" i="10"/>
  <c r="T34" i="10"/>
  <c r="H34" i="10"/>
  <c r="K34" i="10"/>
  <c r="J34" i="10"/>
  <c r="L34" i="10"/>
  <c r="I34" i="10"/>
  <c r="M34" i="10"/>
  <c r="N33" i="10"/>
  <c r="U33" i="10"/>
  <c r="X33" i="10"/>
  <c r="W33" i="10"/>
  <c r="Y33" i="10"/>
  <c r="V33" i="10"/>
  <c r="Z33" i="10"/>
  <c r="O33" i="10"/>
  <c r="R33" i="10"/>
  <c r="Q33" i="10"/>
  <c r="S33" i="10"/>
  <c r="P33" i="10"/>
  <c r="T33" i="10"/>
  <c r="H33" i="10"/>
  <c r="K33" i="10"/>
  <c r="J33" i="10"/>
  <c r="L33" i="10"/>
  <c r="I33" i="10"/>
  <c r="M33" i="10"/>
  <c r="N32" i="10"/>
  <c r="U32" i="10"/>
  <c r="X32" i="10"/>
  <c r="W32" i="10"/>
  <c r="Y32" i="10"/>
  <c r="V32" i="10"/>
  <c r="Z32" i="10"/>
  <c r="O32" i="10"/>
  <c r="R32" i="10"/>
  <c r="Q32" i="10"/>
  <c r="S32" i="10"/>
  <c r="P32" i="10"/>
  <c r="T32" i="10"/>
  <c r="H32" i="10"/>
  <c r="K32" i="10"/>
  <c r="J32" i="10"/>
  <c r="L32" i="10"/>
  <c r="I32" i="10"/>
  <c r="M32" i="10"/>
  <c r="N31" i="10"/>
  <c r="U31" i="10"/>
  <c r="X31" i="10"/>
  <c r="W31" i="10"/>
  <c r="Y31" i="10"/>
  <c r="V31" i="10"/>
  <c r="Z31" i="10"/>
  <c r="O31" i="10"/>
  <c r="R31" i="10"/>
  <c r="Q31" i="10"/>
  <c r="S31" i="10"/>
  <c r="P31" i="10"/>
  <c r="T31" i="10"/>
  <c r="H31" i="10"/>
  <c r="K31" i="10"/>
  <c r="J31" i="10"/>
  <c r="L31" i="10"/>
  <c r="I31" i="10"/>
  <c r="M31" i="10"/>
  <c r="N30" i="10"/>
  <c r="U30" i="10"/>
  <c r="X30" i="10"/>
  <c r="W30" i="10"/>
  <c r="Y30" i="10"/>
  <c r="V30" i="10"/>
  <c r="Z30" i="10"/>
  <c r="O30" i="10"/>
  <c r="R30" i="10"/>
  <c r="Q30" i="10"/>
  <c r="S30" i="10"/>
  <c r="P30" i="10"/>
  <c r="T30" i="10"/>
  <c r="H30" i="10"/>
  <c r="K30" i="10"/>
  <c r="J30" i="10"/>
  <c r="L30" i="10"/>
  <c r="I30" i="10"/>
  <c r="M30" i="10"/>
  <c r="N29" i="10"/>
  <c r="U29" i="10"/>
  <c r="X29" i="10"/>
  <c r="W29" i="10"/>
  <c r="Y29" i="10"/>
  <c r="V29" i="10"/>
  <c r="Z29" i="10"/>
  <c r="O29" i="10"/>
  <c r="R29" i="10"/>
  <c r="Q29" i="10"/>
  <c r="S29" i="10"/>
  <c r="P29" i="10"/>
  <c r="T29" i="10"/>
  <c r="H29" i="10"/>
  <c r="K29" i="10"/>
  <c r="J29" i="10"/>
  <c r="L29" i="10"/>
  <c r="I29" i="10"/>
  <c r="M29" i="10"/>
  <c r="N28" i="10"/>
  <c r="U28" i="10"/>
  <c r="X28" i="10"/>
  <c r="W28" i="10"/>
  <c r="Y28" i="10"/>
  <c r="V28" i="10"/>
  <c r="Z28" i="10"/>
  <c r="O28" i="10"/>
  <c r="R28" i="10"/>
  <c r="Q28" i="10"/>
  <c r="S28" i="10"/>
  <c r="P28" i="10"/>
  <c r="T28" i="10"/>
  <c r="H28" i="10"/>
  <c r="K28" i="10"/>
  <c r="J28" i="10"/>
  <c r="L28" i="10"/>
  <c r="I28" i="10"/>
  <c r="M28" i="10"/>
  <c r="N27" i="10"/>
  <c r="U27" i="10"/>
  <c r="X27" i="10"/>
  <c r="W27" i="10"/>
  <c r="Y27" i="10"/>
  <c r="V27" i="10"/>
  <c r="Z27" i="10"/>
  <c r="O27" i="10"/>
  <c r="R27" i="10"/>
  <c r="Q27" i="10"/>
  <c r="S27" i="10"/>
  <c r="P27" i="10"/>
  <c r="T27" i="10"/>
  <c r="H27" i="10"/>
  <c r="K27" i="10"/>
  <c r="J27" i="10"/>
  <c r="L27" i="10"/>
  <c r="I27" i="10"/>
  <c r="M27" i="10"/>
  <c r="N26" i="10"/>
  <c r="U26" i="10"/>
  <c r="X26" i="10"/>
  <c r="W26" i="10"/>
  <c r="Y26" i="10"/>
  <c r="V26" i="10"/>
  <c r="Z26" i="10"/>
  <c r="O26" i="10"/>
  <c r="R26" i="10"/>
  <c r="Q26" i="10"/>
  <c r="S26" i="10"/>
  <c r="P26" i="10"/>
  <c r="T26" i="10"/>
  <c r="H26" i="10"/>
  <c r="K26" i="10"/>
  <c r="J26" i="10"/>
  <c r="L26" i="10"/>
  <c r="I26" i="10"/>
  <c r="M26" i="10"/>
  <c r="N25" i="10"/>
  <c r="U25" i="10"/>
  <c r="X25" i="10"/>
  <c r="W25" i="10"/>
  <c r="Y25" i="10"/>
  <c r="V25" i="10"/>
  <c r="Z25" i="10"/>
  <c r="O25" i="10"/>
  <c r="R25" i="10"/>
  <c r="Q25" i="10"/>
  <c r="S25" i="10"/>
  <c r="P25" i="10"/>
  <c r="T25" i="10"/>
  <c r="H25" i="10"/>
  <c r="K25" i="10"/>
  <c r="J25" i="10"/>
  <c r="L25" i="10"/>
  <c r="I25" i="10"/>
  <c r="M25" i="10"/>
  <c r="N24" i="10"/>
  <c r="U24" i="10"/>
  <c r="X24" i="10"/>
  <c r="W24" i="10"/>
  <c r="Y24" i="10"/>
  <c r="V24" i="10"/>
  <c r="Z24" i="10"/>
  <c r="O24" i="10"/>
  <c r="R24" i="10"/>
  <c r="Q24" i="10"/>
  <c r="S24" i="10"/>
  <c r="P24" i="10"/>
  <c r="T24" i="10"/>
  <c r="H24" i="10"/>
  <c r="K24" i="10"/>
  <c r="J24" i="10"/>
  <c r="L24" i="10"/>
  <c r="I24" i="10"/>
  <c r="M24" i="10"/>
  <c r="N23" i="10"/>
  <c r="U23" i="10"/>
  <c r="X23" i="10"/>
  <c r="W23" i="10"/>
  <c r="Y23" i="10"/>
  <c r="V23" i="10"/>
  <c r="Z23" i="10"/>
  <c r="O23" i="10"/>
  <c r="R23" i="10"/>
  <c r="Q23" i="10"/>
  <c r="S23" i="10"/>
  <c r="P23" i="10"/>
  <c r="T23" i="10"/>
  <c r="H23" i="10"/>
  <c r="K23" i="10"/>
  <c r="J23" i="10"/>
  <c r="L23" i="10"/>
  <c r="I23" i="10"/>
  <c r="M23" i="10"/>
  <c r="N22" i="10"/>
  <c r="U22" i="10"/>
  <c r="X22" i="10"/>
  <c r="W22" i="10"/>
  <c r="Y22" i="10"/>
  <c r="V22" i="10"/>
  <c r="Z22" i="10"/>
  <c r="O22" i="10"/>
  <c r="R22" i="10"/>
  <c r="Q22" i="10"/>
  <c r="S22" i="10"/>
  <c r="P22" i="10"/>
  <c r="T22" i="10"/>
  <c r="H22" i="10"/>
  <c r="K22" i="10"/>
  <c r="J22" i="10"/>
  <c r="L22" i="10"/>
  <c r="I22" i="10"/>
  <c r="M22" i="10"/>
  <c r="N21" i="10"/>
  <c r="U21" i="10"/>
  <c r="X21" i="10"/>
  <c r="W21" i="10"/>
  <c r="Y21" i="10"/>
  <c r="V21" i="10"/>
  <c r="Z21" i="10"/>
  <c r="O21" i="10"/>
  <c r="R21" i="10"/>
  <c r="Q21" i="10"/>
  <c r="S21" i="10"/>
  <c r="P21" i="10"/>
  <c r="T21" i="10"/>
  <c r="H21" i="10"/>
  <c r="K21" i="10"/>
  <c r="J21" i="10"/>
  <c r="L21" i="10"/>
  <c r="I21" i="10"/>
  <c r="M21" i="10"/>
  <c r="N20" i="10"/>
  <c r="U20" i="10"/>
  <c r="X20" i="10"/>
  <c r="W20" i="10"/>
  <c r="Y20" i="10"/>
  <c r="V20" i="10"/>
  <c r="Z20" i="10"/>
  <c r="O20" i="10"/>
  <c r="R20" i="10"/>
  <c r="Q20" i="10"/>
  <c r="S20" i="10"/>
  <c r="P20" i="10"/>
  <c r="T20" i="10"/>
  <c r="H20" i="10"/>
  <c r="K20" i="10"/>
  <c r="J20" i="10"/>
  <c r="L20" i="10"/>
  <c r="I20" i="10"/>
  <c r="M20" i="10"/>
  <c r="N19" i="10"/>
  <c r="U19" i="10"/>
  <c r="X19" i="10"/>
  <c r="W19" i="10"/>
  <c r="Y19" i="10"/>
  <c r="V19" i="10"/>
  <c r="Z19" i="10"/>
  <c r="O19" i="10"/>
  <c r="R19" i="10"/>
  <c r="Q19" i="10"/>
  <c r="S19" i="10"/>
  <c r="P19" i="10"/>
  <c r="T19" i="10"/>
  <c r="H19" i="10"/>
  <c r="K19" i="10"/>
  <c r="J19" i="10"/>
  <c r="L19" i="10"/>
  <c r="I19" i="10"/>
  <c r="M19" i="10"/>
  <c r="N18" i="10"/>
  <c r="U18" i="10"/>
  <c r="X18" i="10"/>
  <c r="W18" i="10"/>
  <c r="Y18" i="10"/>
  <c r="V18" i="10"/>
  <c r="Z18" i="10"/>
  <c r="O18" i="10"/>
  <c r="R18" i="10"/>
  <c r="Q18" i="10"/>
  <c r="S18" i="10"/>
  <c r="P18" i="10"/>
  <c r="T18" i="10"/>
  <c r="H18" i="10"/>
  <c r="K18" i="10"/>
  <c r="J18" i="10"/>
  <c r="L18" i="10"/>
  <c r="I18" i="10"/>
  <c r="M18" i="10"/>
  <c r="N17" i="10"/>
  <c r="U17" i="10"/>
  <c r="X17" i="10"/>
  <c r="W17" i="10"/>
  <c r="Y17" i="10"/>
  <c r="V17" i="10"/>
  <c r="Z17" i="10"/>
  <c r="O17" i="10"/>
  <c r="R17" i="10"/>
  <c r="Q17" i="10"/>
  <c r="S17" i="10"/>
  <c r="P17" i="10"/>
  <c r="T17" i="10"/>
  <c r="H17" i="10"/>
  <c r="K17" i="10"/>
  <c r="J17" i="10"/>
  <c r="L17" i="10"/>
  <c r="I17" i="10"/>
  <c r="M17" i="10"/>
  <c r="N16" i="10"/>
  <c r="U16" i="10"/>
  <c r="X16" i="10"/>
  <c r="W16" i="10"/>
  <c r="Y16" i="10"/>
  <c r="V16" i="10"/>
  <c r="Z16" i="10"/>
  <c r="O16" i="10"/>
  <c r="R16" i="10"/>
  <c r="Q16" i="10"/>
  <c r="S16" i="10"/>
  <c r="P16" i="10"/>
  <c r="T16" i="10"/>
  <c r="H16" i="10"/>
  <c r="K16" i="10"/>
  <c r="J16" i="10"/>
  <c r="L16" i="10"/>
  <c r="I16" i="10"/>
  <c r="M16" i="10"/>
  <c r="N15" i="10"/>
  <c r="U15" i="10"/>
  <c r="X15" i="10"/>
  <c r="W15" i="10"/>
  <c r="Y15" i="10"/>
  <c r="V15" i="10"/>
  <c r="Z15" i="10"/>
  <c r="O15" i="10"/>
  <c r="R15" i="10"/>
  <c r="Q15" i="10"/>
  <c r="S15" i="10"/>
  <c r="P15" i="10"/>
  <c r="T15" i="10"/>
  <c r="H15" i="10"/>
  <c r="K15" i="10"/>
  <c r="J15" i="10"/>
  <c r="L15" i="10"/>
  <c r="I15" i="10"/>
  <c r="M15" i="10"/>
  <c r="N14" i="10"/>
  <c r="U14" i="10"/>
  <c r="X14" i="10"/>
  <c r="W14" i="10"/>
  <c r="Y14" i="10"/>
  <c r="V14" i="10"/>
  <c r="Z14" i="10"/>
  <c r="O14" i="10"/>
  <c r="R14" i="10"/>
  <c r="Q14" i="10"/>
  <c r="S14" i="10"/>
  <c r="P14" i="10"/>
  <c r="T14" i="10"/>
  <c r="H14" i="10"/>
  <c r="K14" i="10"/>
  <c r="J14" i="10"/>
  <c r="L14" i="10"/>
  <c r="I14" i="10"/>
  <c r="M14" i="10"/>
  <c r="N13" i="10"/>
  <c r="U13" i="10"/>
  <c r="X13" i="10"/>
  <c r="W13" i="10"/>
  <c r="Y13" i="10"/>
  <c r="V13" i="10"/>
  <c r="Z13" i="10"/>
  <c r="O13" i="10"/>
  <c r="R13" i="10"/>
  <c r="Q13" i="10"/>
  <c r="S13" i="10"/>
  <c r="P13" i="10"/>
  <c r="T13" i="10"/>
  <c r="H13" i="10"/>
  <c r="K13" i="10"/>
  <c r="J13" i="10"/>
  <c r="L13" i="10"/>
  <c r="I13" i="10"/>
  <c r="M13" i="10"/>
  <c r="N12" i="10"/>
  <c r="U12" i="10"/>
  <c r="X12" i="10"/>
  <c r="W12" i="10"/>
  <c r="Y12" i="10"/>
  <c r="V12" i="10"/>
  <c r="Z12" i="10"/>
  <c r="O12" i="10"/>
  <c r="R12" i="10"/>
  <c r="Q12" i="10"/>
  <c r="S12" i="10"/>
  <c r="P12" i="10"/>
  <c r="T12" i="10"/>
  <c r="H12" i="10"/>
  <c r="K12" i="10"/>
  <c r="J12" i="10"/>
  <c r="L12" i="10"/>
  <c r="I12" i="10"/>
  <c r="M12" i="10"/>
  <c r="N11" i="10"/>
  <c r="U11" i="10"/>
  <c r="X11" i="10"/>
  <c r="W11" i="10"/>
  <c r="Y11" i="10"/>
  <c r="V11" i="10"/>
  <c r="Z11" i="10"/>
  <c r="O11" i="10"/>
  <c r="R11" i="10"/>
  <c r="Q11" i="10"/>
  <c r="S11" i="10"/>
  <c r="P11" i="10"/>
  <c r="T11" i="10"/>
  <c r="H11" i="10"/>
  <c r="K11" i="10"/>
  <c r="J11" i="10"/>
  <c r="L11" i="10"/>
  <c r="I11" i="10"/>
  <c r="M11" i="10"/>
  <c r="N10" i="10"/>
  <c r="U10" i="10"/>
  <c r="X10" i="10"/>
  <c r="W10" i="10"/>
  <c r="Y10" i="10"/>
  <c r="V10" i="10"/>
  <c r="Z10" i="10"/>
  <c r="O10" i="10"/>
  <c r="R10" i="10"/>
  <c r="Q10" i="10"/>
  <c r="S10" i="10"/>
  <c r="P10" i="10"/>
  <c r="T10" i="10"/>
  <c r="H10" i="10"/>
  <c r="K10" i="10"/>
  <c r="J10" i="10"/>
  <c r="L10" i="10"/>
  <c r="I10" i="10"/>
  <c r="M10" i="10"/>
  <c r="N9" i="10"/>
  <c r="U9" i="10"/>
  <c r="X9" i="10"/>
  <c r="W9" i="10"/>
  <c r="Y9" i="10"/>
  <c r="V9" i="10"/>
  <c r="Z9" i="10"/>
  <c r="O9" i="10"/>
  <c r="R9" i="10"/>
  <c r="Q9" i="10"/>
  <c r="S9" i="10"/>
  <c r="P9" i="10"/>
  <c r="T9" i="10"/>
  <c r="H9" i="10"/>
  <c r="K9" i="10"/>
  <c r="J9" i="10"/>
  <c r="L9" i="10"/>
  <c r="I9" i="10"/>
  <c r="M9" i="10"/>
  <c r="N8" i="10"/>
  <c r="U8" i="10"/>
  <c r="X8" i="10"/>
  <c r="W8" i="10"/>
  <c r="Y8" i="10"/>
  <c r="V8" i="10"/>
  <c r="Z8" i="10"/>
  <c r="O8" i="10"/>
  <c r="R8" i="10"/>
  <c r="Q8" i="10"/>
  <c r="S8" i="10"/>
  <c r="P8" i="10"/>
  <c r="T8" i="10"/>
  <c r="H8" i="10"/>
  <c r="K8" i="10"/>
  <c r="J8" i="10"/>
  <c r="L8" i="10"/>
  <c r="I8" i="10"/>
  <c r="M8" i="10"/>
  <c r="N7" i="10"/>
  <c r="U7" i="10"/>
  <c r="X7" i="10"/>
  <c r="W7" i="10"/>
  <c r="Y7" i="10"/>
  <c r="V7" i="10"/>
  <c r="Z7" i="10"/>
  <c r="O7" i="10"/>
  <c r="R7" i="10"/>
  <c r="Q7" i="10"/>
  <c r="S7" i="10"/>
  <c r="P7" i="10"/>
  <c r="T7" i="10"/>
  <c r="H7" i="10"/>
  <c r="K7" i="10"/>
  <c r="J7" i="10"/>
  <c r="L7" i="10"/>
  <c r="I7" i="10"/>
  <c r="M7" i="10"/>
  <c r="N6" i="10"/>
  <c r="U6" i="10"/>
  <c r="X6" i="10"/>
  <c r="W6" i="10"/>
  <c r="Y6" i="10"/>
  <c r="V6" i="10"/>
  <c r="Z6" i="10"/>
  <c r="O6" i="10"/>
  <c r="R6" i="10"/>
  <c r="Q6" i="10"/>
  <c r="S6" i="10"/>
  <c r="P6" i="10"/>
  <c r="T6" i="10"/>
  <c r="H6" i="10"/>
  <c r="K6" i="10"/>
  <c r="J6" i="10"/>
  <c r="L6" i="10"/>
  <c r="I6" i="10"/>
  <c r="M6" i="10"/>
  <c r="N5" i="10"/>
  <c r="U5" i="10"/>
  <c r="X5" i="10"/>
  <c r="W5" i="10"/>
  <c r="Y5" i="10"/>
  <c r="V5" i="10"/>
  <c r="Z5" i="10"/>
  <c r="O5" i="10"/>
  <c r="R5" i="10"/>
  <c r="Q5" i="10"/>
  <c r="S5" i="10"/>
  <c r="P5" i="10"/>
  <c r="T5" i="10"/>
  <c r="H5" i="10"/>
  <c r="K5" i="10"/>
  <c r="J5" i="10"/>
  <c r="L5" i="10"/>
  <c r="I5" i="10"/>
  <c r="M5" i="10"/>
  <c r="N4" i="10"/>
  <c r="U4" i="10"/>
  <c r="X4" i="10"/>
  <c r="W4" i="10"/>
  <c r="Y4" i="10"/>
  <c r="V4" i="10"/>
  <c r="Z4" i="10"/>
  <c r="O4" i="10"/>
  <c r="R4" i="10"/>
  <c r="Q4" i="10"/>
  <c r="S4" i="10"/>
  <c r="P4" i="10"/>
  <c r="T4" i="10"/>
  <c r="H4" i="10"/>
  <c r="K4" i="10"/>
  <c r="J4" i="10"/>
  <c r="L4" i="10"/>
  <c r="I4" i="10"/>
  <c r="M4" i="10"/>
  <c r="N3" i="10"/>
  <c r="U3" i="10"/>
  <c r="X3" i="10"/>
  <c r="W3" i="10"/>
  <c r="Y3" i="10"/>
  <c r="V3" i="10"/>
  <c r="Z3" i="10"/>
  <c r="O3" i="10"/>
  <c r="R3" i="10"/>
  <c r="Q3" i="10"/>
  <c r="S3" i="10"/>
  <c r="P3" i="10"/>
  <c r="T3" i="10"/>
  <c r="H3" i="10"/>
  <c r="K3" i="10"/>
  <c r="J3" i="10"/>
  <c r="L3" i="10"/>
  <c r="I3" i="10"/>
  <c r="M3" i="10"/>
  <c r="N2" i="10"/>
  <c r="U2" i="10"/>
  <c r="X2" i="10"/>
  <c r="W2" i="10"/>
  <c r="Y2" i="10"/>
  <c r="V2" i="10"/>
  <c r="Z2" i="10"/>
  <c r="O2" i="10"/>
  <c r="R2" i="10"/>
  <c r="Q2" i="10"/>
  <c r="S2" i="10"/>
  <c r="P2" i="10"/>
  <c r="T2" i="10"/>
  <c r="H2" i="10"/>
  <c r="K2" i="10"/>
  <c r="J2" i="10"/>
  <c r="L2" i="10"/>
  <c r="I2" i="10"/>
  <c r="M2" i="10"/>
  <c r="J87" i="11"/>
  <c r="O97" i="9"/>
  <c r="N97" i="9"/>
  <c r="M97" i="9"/>
  <c r="L97" i="9"/>
  <c r="K97" i="9"/>
  <c r="J97" i="9"/>
  <c r="I97" i="9"/>
  <c r="H97" i="9"/>
  <c r="G97" i="9"/>
  <c r="E97" i="9"/>
  <c r="D97" i="9"/>
  <c r="A97" i="9"/>
  <c r="J86" i="11"/>
  <c r="O96" i="9"/>
  <c r="N96" i="9"/>
  <c r="M96" i="9"/>
  <c r="L96" i="9"/>
  <c r="K96" i="9"/>
  <c r="J96" i="9"/>
  <c r="I96" i="9"/>
  <c r="H96" i="9"/>
  <c r="G96" i="9"/>
  <c r="E96" i="9"/>
  <c r="D96" i="9"/>
  <c r="A96" i="9"/>
  <c r="J85" i="11"/>
  <c r="O95" i="9"/>
  <c r="N95" i="9"/>
  <c r="M95" i="9"/>
  <c r="L95" i="9"/>
  <c r="K95" i="9"/>
  <c r="J95" i="9"/>
  <c r="I95" i="9"/>
  <c r="H95" i="9"/>
  <c r="G95" i="9"/>
  <c r="E95" i="9"/>
  <c r="D95" i="9"/>
  <c r="A95" i="9"/>
  <c r="J84" i="11"/>
  <c r="O94" i="9"/>
  <c r="N94" i="9"/>
  <c r="M94" i="9"/>
  <c r="L94" i="9"/>
  <c r="K94" i="9"/>
  <c r="J94" i="9"/>
  <c r="I94" i="9"/>
  <c r="H94" i="9"/>
  <c r="G94" i="9"/>
  <c r="E94" i="9"/>
  <c r="D94" i="9"/>
  <c r="A94" i="9"/>
  <c r="J83" i="11"/>
  <c r="O93" i="9"/>
  <c r="N93" i="9"/>
  <c r="M93" i="9"/>
  <c r="L93" i="9"/>
  <c r="K93" i="9"/>
  <c r="J93" i="9"/>
  <c r="I93" i="9"/>
  <c r="H93" i="9"/>
  <c r="G93" i="9"/>
  <c r="E93" i="9"/>
  <c r="D93" i="9"/>
  <c r="A93" i="9"/>
  <c r="J82" i="11"/>
  <c r="O92" i="9"/>
  <c r="N92" i="9"/>
  <c r="M92" i="9"/>
  <c r="L92" i="9"/>
  <c r="K92" i="9"/>
  <c r="J92" i="9"/>
  <c r="I92" i="9"/>
  <c r="H92" i="9"/>
  <c r="G92" i="9"/>
  <c r="E92" i="9"/>
  <c r="D92" i="9"/>
  <c r="A92" i="9"/>
  <c r="J81" i="11"/>
  <c r="O91" i="9"/>
  <c r="N91" i="9"/>
  <c r="M91" i="9"/>
  <c r="L91" i="9"/>
  <c r="K91" i="9"/>
  <c r="J91" i="9"/>
  <c r="I91" i="9"/>
  <c r="H91" i="9"/>
  <c r="G91" i="9"/>
  <c r="E91" i="9"/>
  <c r="D91" i="9"/>
  <c r="A91" i="9"/>
  <c r="J80" i="11"/>
  <c r="O90" i="9"/>
  <c r="N90" i="9"/>
  <c r="M90" i="9"/>
  <c r="L90" i="9"/>
  <c r="K90" i="9"/>
  <c r="J90" i="9"/>
  <c r="I90" i="9"/>
  <c r="H90" i="9"/>
  <c r="G90" i="9"/>
  <c r="E90" i="9"/>
  <c r="D90" i="9"/>
  <c r="A90" i="9"/>
  <c r="J79" i="11"/>
  <c r="O89" i="9"/>
  <c r="N89" i="9"/>
  <c r="M89" i="9"/>
  <c r="L89" i="9"/>
  <c r="K89" i="9"/>
  <c r="J89" i="9"/>
  <c r="I89" i="9"/>
  <c r="H89" i="9"/>
  <c r="G89" i="9"/>
  <c r="E89" i="9"/>
  <c r="D89" i="9"/>
  <c r="A89" i="9"/>
  <c r="J78" i="11"/>
  <c r="O88" i="9"/>
  <c r="N88" i="9"/>
  <c r="M88" i="9"/>
  <c r="L88" i="9"/>
  <c r="K88" i="9"/>
  <c r="J88" i="9"/>
  <c r="I88" i="9"/>
  <c r="H88" i="9"/>
  <c r="G88" i="9"/>
  <c r="E88" i="9"/>
  <c r="D88" i="9"/>
  <c r="A88" i="9"/>
  <c r="J77" i="11"/>
  <c r="O87" i="9"/>
  <c r="N87" i="9"/>
  <c r="M87" i="9"/>
  <c r="L87" i="9"/>
  <c r="K87" i="9"/>
  <c r="J87" i="9"/>
  <c r="I87" i="9"/>
  <c r="H87" i="9"/>
  <c r="G87" i="9"/>
  <c r="E87" i="9"/>
  <c r="D87" i="9"/>
  <c r="A87" i="9"/>
  <c r="J76" i="11"/>
  <c r="O86" i="9"/>
  <c r="N86" i="9"/>
  <c r="M86" i="9"/>
  <c r="L86" i="9"/>
  <c r="K86" i="9"/>
  <c r="J86" i="9"/>
  <c r="I86" i="9"/>
  <c r="H86" i="9"/>
  <c r="G86" i="9"/>
  <c r="E86" i="9"/>
  <c r="D86" i="9"/>
  <c r="A86" i="9"/>
  <c r="J75" i="11"/>
  <c r="O85" i="9"/>
  <c r="N85" i="9"/>
  <c r="M85" i="9"/>
  <c r="L85" i="9"/>
  <c r="K85" i="9"/>
  <c r="J85" i="9"/>
  <c r="I85" i="9"/>
  <c r="H85" i="9"/>
  <c r="G85" i="9"/>
  <c r="E85" i="9"/>
  <c r="D85" i="9"/>
  <c r="A85" i="9"/>
  <c r="J74" i="11"/>
  <c r="O84" i="9"/>
  <c r="N84" i="9"/>
  <c r="M84" i="9"/>
  <c r="L84" i="9"/>
  <c r="K84" i="9"/>
  <c r="J84" i="9"/>
  <c r="I84" i="9"/>
  <c r="H84" i="9"/>
  <c r="G84" i="9"/>
  <c r="E84" i="9"/>
  <c r="D84" i="9"/>
  <c r="A84" i="9"/>
  <c r="J73" i="11"/>
  <c r="O83" i="9"/>
  <c r="N83" i="9"/>
  <c r="M83" i="9"/>
  <c r="L83" i="9"/>
  <c r="K83" i="9"/>
  <c r="J83" i="9"/>
  <c r="I83" i="9"/>
  <c r="H83" i="9"/>
  <c r="G83" i="9"/>
  <c r="E83" i="9"/>
  <c r="D83" i="9"/>
  <c r="A83" i="9"/>
  <c r="J72" i="11"/>
  <c r="O82" i="9"/>
  <c r="N82" i="9"/>
  <c r="M82" i="9"/>
  <c r="L82" i="9"/>
  <c r="K82" i="9"/>
  <c r="J82" i="9"/>
  <c r="I82" i="9"/>
  <c r="H82" i="9"/>
  <c r="G82" i="9"/>
  <c r="E82" i="9"/>
  <c r="D82" i="9"/>
  <c r="A82" i="9"/>
  <c r="J71" i="11"/>
  <c r="O81" i="9"/>
  <c r="N81" i="9"/>
  <c r="M81" i="9"/>
  <c r="L81" i="9"/>
  <c r="K81" i="9"/>
  <c r="J81" i="9"/>
  <c r="I81" i="9"/>
  <c r="H81" i="9"/>
  <c r="G81" i="9"/>
  <c r="E81" i="9"/>
  <c r="D81" i="9"/>
  <c r="A81" i="9"/>
  <c r="J53" i="11"/>
  <c r="O80" i="9"/>
  <c r="N80" i="9"/>
  <c r="M80" i="9"/>
  <c r="L80" i="9"/>
  <c r="K80" i="9"/>
  <c r="J80" i="9"/>
  <c r="I80" i="9"/>
  <c r="H80" i="9"/>
  <c r="G80" i="9"/>
  <c r="E80" i="9"/>
  <c r="D80" i="9"/>
  <c r="A80" i="9"/>
  <c r="J52" i="11"/>
  <c r="O79" i="9"/>
  <c r="N79" i="9"/>
  <c r="M79" i="9"/>
  <c r="L79" i="9"/>
  <c r="K79" i="9"/>
  <c r="J79" i="9"/>
  <c r="I79" i="9"/>
  <c r="H79" i="9"/>
  <c r="G79" i="9"/>
  <c r="E79" i="9"/>
  <c r="D79" i="9"/>
  <c r="A79" i="9"/>
  <c r="J51" i="11"/>
  <c r="O78" i="9"/>
  <c r="N78" i="9"/>
  <c r="M78" i="9"/>
  <c r="L78" i="9"/>
  <c r="K78" i="9"/>
  <c r="J78" i="9"/>
  <c r="I78" i="9"/>
  <c r="H78" i="9"/>
  <c r="G78" i="9"/>
  <c r="E78" i="9"/>
  <c r="D78" i="9"/>
  <c r="A78" i="9"/>
  <c r="J50" i="11"/>
  <c r="O77" i="9"/>
  <c r="N77" i="9"/>
  <c r="M77" i="9"/>
  <c r="L77" i="9"/>
  <c r="K77" i="9"/>
  <c r="J77" i="9"/>
  <c r="I77" i="9"/>
  <c r="H77" i="9"/>
  <c r="G77" i="9"/>
  <c r="E77" i="9"/>
  <c r="D77" i="9"/>
  <c r="A77" i="9"/>
  <c r="J49" i="11"/>
  <c r="O76" i="9"/>
  <c r="N76" i="9"/>
  <c r="M76" i="9"/>
  <c r="L76" i="9"/>
  <c r="K76" i="9"/>
  <c r="J76" i="9"/>
  <c r="I76" i="9"/>
  <c r="H76" i="9"/>
  <c r="G76" i="9"/>
  <c r="E76" i="9"/>
  <c r="D76" i="9"/>
  <c r="A76" i="9"/>
  <c r="J48" i="11"/>
  <c r="O75" i="9"/>
  <c r="N75" i="9"/>
  <c r="M75" i="9"/>
  <c r="L75" i="9"/>
  <c r="K75" i="9"/>
  <c r="J75" i="9"/>
  <c r="I75" i="9"/>
  <c r="H75" i="9"/>
  <c r="G75" i="9"/>
  <c r="E75" i="9"/>
  <c r="D75" i="9"/>
  <c r="A75" i="9"/>
  <c r="J47" i="11"/>
  <c r="O74" i="9"/>
  <c r="N74" i="9"/>
  <c r="M74" i="9"/>
  <c r="L74" i="9"/>
  <c r="K74" i="9"/>
  <c r="J74" i="9"/>
  <c r="I74" i="9"/>
  <c r="H74" i="9"/>
  <c r="G74" i="9"/>
  <c r="E74" i="9"/>
  <c r="D74" i="9"/>
  <c r="A74" i="9"/>
  <c r="J54" i="11"/>
  <c r="O73" i="9"/>
  <c r="N73" i="9"/>
  <c r="M73" i="9"/>
  <c r="L73" i="9"/>
  <c r="K73" i="9"/>
  <c r="J73" i="9"/>
  <c r="I73" i="9"/>
  <c r="H73" i="9"/>
  <c r="G73" i="9"/>
  <c r="E73" i="9"/>
  <c r="D73" i="9"/>
  <c r="A73" i="9"/>
  <c r="J46" i="11"/>
  <c r="O72" i="9"/>
  <c r="N72" i="9"/>
  <c r="M72" i="9"/>
  <c r="L72" i="9"/>
  <c r="K72" i="9"/>
  <c r="J72" i="9"/>
  <c r="I72" i="9"/>
  <c r="H72" i="9"/>
  <c r="G72" i="9"/>
  <c r="E72" i="9"/>
  <c r="D72" i="9"/>
  <c r="A72" i="9"/>
  <c r="J45" i="11"/>
  <c r="O71" i="9"/>
  <c r="N71" i="9"/>
  <c r="M71" i="9"/>
  <c r="L71" i="9"/>
  <c r="K71" i="9"/>
  <c r="J71" i="9"/>
  <c r="I71" i="9"/>
  <c r="H71" i="9"/>
  <c r="G71" i="9"/>
  <c r="E71" i="9"/>
  <c r="D71" i="9"/>
  <c r="A71" i="9"/>
  <c r="J44" i="11"/>
  <c r="O70" i="9"/>
  <c r="N70" i="9"/>
  <c r="M70" i="9"/>
  <c r="L70" i="9"/>
  <c r="K70" i="9"/>
  <c r="J70" i="9"/>
  <c r="I70" i="9"/>
  <c r="H70" i="9"/>
  <c r="G70" i="9"/>
  <c r="E70" i="9"/>
  <c r="D70" i="9"/>
  <c r="A70" i="9"/>
  <c r="J43" i="11"/>
  <c r="O69" i="9"/>
  <c r="N69" i="9"/>
  <c r="M69" i="9"/>
  <c r="L69" i="9"/>
  <c r="K69" i="9"/>
  <c r="J69" i="9"/>
  <c r="I69" i="9"/>
  <c r="H69" i="9"/>
  <c r="G69" i="9"/>
  <c r="E69" i="9"/>
  <c r="D69" i="9"/>
  <c r="A69" i="9"/>
  <c r="J42" i="11"/>
  <c r="O68" i="9"/>
  <c r="N68" i="9"/>
  <c r="M68" i="9"/>
  <c r="L68" i="9"/>
  <c r="K68" i="9"/>
  <c r="J68" i="9"/>
  <c r="I68" i="9"/>
  <c r="H68" i="9"/>
  <c r="G68" i="9"/>
  <c r="E68" i="9"/>
  <c r="D68" i="9"/>
  <c r="A68" i="9"/>
  <c r="J41" i="11"/>
  <c r="O67" i="9"/>
  <c r="N67" i="9"/>
  <c r="M67" i="9"/>
  <c r="L67" i="9"/>
  <c r="K67" i="9"/>
  <c r="J67" i="9"/>
  <c r="I67" i="9"/>
  <c r="H67" i="9"/>
  <c r="G67" i="9"/>
  <c r="E67" i="9"/>
  <c r="D67" i="9"/>
  <c r="A67" i="9"/>
  <c r="J40" i="11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J66" i="11"/>
  <c r="O60" i="9"/>
  <c r="N60" i="9"/>
  <c r="M60" i="9"/>
  <c r="L60" i="9"/>
  <c r="K60" i="9"/>
  <c r="J60" i="9"/>
  <c r="I60" i="9"/>
  <c r="H60" i="9"/>
  <c r="G60" i="9"/>
  <c r="E60" i="9"/>
  <c r="D60" i="9"/>
  <c r="A60" i="9"/>
  <c r="J65" i="11"/>
  <c r="O59" i="9"/>
  <c r="N59" i="9"/>
  <c r="M59" i="9"/>
  <c r="L59" i="9"/>
  <c r="K59" i="9"/>
  <c r="J59" i="9"/>
  <c r="I59" i="9"/>
  <c r="H59" i="9"/>
  <c r="G59" i="9"/>
  <c r="E59" i="9"/>
  <c r="D59" i="9"/>
  <c r="A59" i="9"/>
  <c r="J64" i="11"/>
  <c r="O58" i="9"/>
  <c r="N58" i="9"/>
  <c r="M58" i="9"/>
  <c r="L58" i="9"/>
  <c r="K58" i="9"/>
  <c r="J58" i="9"/>
  <c r="I58" i="9"/>
  <c r="H58" i="9"/>
  <c r="G58" i="9"/>
  <c r="E58" i="9"/>
  <c r="D58" i="9"/>
  <c r="A58" i="9"/>
  <c r="J63" i="11"/>
  <c r="O57" i="9"/>
  <c r="N57" i="9"/>
  <c r="M57" i="9"/>
  <c r="L57" i="9"/>
  <c r="K57" i="9"/>
  <c r="J57" i="9"/>
  <c r="I57" i="9"/>
  <c r="H57" i="9"/>
  <c r="G57" i="9"/>
  <c r="E57" i="9"/>
  <c r="D57" i="9"/>
  <c r="A57" i="9"/>
  <c r="J62" i="11"/>
  <c r="O56" i="9"/>
  <c r="N56" i="9"/>
  <c r="M56" i="9"/>
  <c r="L56" i="9"/>
  <c r="K56" i="9"/>
  <c r="J56" i="9"/>
  <c r="I56" i="9"/>
  <c r="H56" i="9"/>
  <c r="G56" i="9"/>
  <c r="E56" i="9"/>
  <c r="D56" i="9"/>
  <c r="A56" i="9"/>
  <c r="J61" i="11"/>
  <c r="O55" i="9"/>
  <c r="N55" i="9"/>
  <c r="M55" i="9"/>
  <c r="L55" i="9"/>
  <c r="K55" i="9"/>
  <c r="J55" i="9"/>
  <c r="I55" i="9"/>
  <c r="H55" i="9"/>
  <c r="G55" i="9"/>
  <c r="E55" i="9"/>
  <c r="D55" i="9"/>
  <c r="A55" i="9"/>
  <c r="J60" i="11"/>
  <c r="O54" i="9"/>
  <c r="N54" i="9"/>
  <c r="M54" i="9"/>
  <c r="L54" i="9"/>
  <c r="K54" i="9"/>
  <c r="J54" i="9"/>
  <c r="I54" i="9"/>
  <c r="H54" i="9"/>
  <c r="G54" i="9"/>
  <c r="E54" i="9"/>
  <c r="D54" i="9"/>
  <c r="A54" i="9"/>
  <c r="J59" i="11"/>
  <c r="O53" i="9"/>
  <c r="N53" i="9"/>
  <c r="M53" i="9"/>
  <c r="L53" i="9"/>
  <c r="K53" i="9"/>
  <c r="J53" i="9"/>
  <c r="I53" i="9"/>
  <c r="H53" i="9"/>
  <c r="G53" i="9"/>
  <c r="E53" i="9"/>
  <c r="D53" i="9"/>
  <c r="A53" i="9"/>
  <c r="J58" i="11"/>
  <c r="O52" i="9"/>
  <c r="N52" i="9"/>
  <c r="M52" i="9"/>
  <c r="L52" i="9"/>
  <c r="K52" i="9"/>
  <c r="J52" i="9"/>
  <c r="I52" i="9"/>
  <c r="H52" i="9"/>
  <c r="G52" i="9"/>
  <c r="E52" i="9"/>
  <c r="D52" i="9"/>
  <c r="A52" i="9"/>
  <c r="J57" i="11"/>
  <c r="O51" i="9"/>
  <c r="N51" i="9"/>
  <c r="M51" i="9"/>
  <c r="L51" i="9"/>
  <c r="K51" i="9"/>
  <c r="J51" i="9"/>
  <c r="I51" i="9"/>
  <c r="H51" i="9"/>
  <c r="G51" i="9"/>
  <c r="E51" i="9"/>
  <c r="D51" i="9"/>
  <c r="A51" i="9"/>
  <c r="J56" i="11"/>
  <c r="O50" i="9"/>
  <c r="N50" i="9"/>
  <c r="M50" i="9"/>
  <c r="L50" i="9"/>
  <c r="K50" i="9"/>
  <c r="J50" i="9"/>
  <c r="I50" i="9"/>
  <c r="H50" i="9"/>
  <c r="G50" i="9"/>
  <c r="E50" i="9"/>
  <c r="D50" i="9"/>
  <c r="A50" i="9"/>
  <c r="J55" i="11"/>
  <c r="O49" i="9"/>
  <c r="N49" i="9"/>
  <c r="M49" i="9"/>
  <c r="L49" i="9"/>
  <c r="K49" i="9"/>
  <c r="J49" i="9"/>
  <c r="I49" i="9"/>
  <c r="H49" i="9"/>
  <c r="G49" i="9"/>
  <c r="E49" i="9"/>
  <c r="D49" i="9"/>
  <c r="A49" i="9"/>
  <c r="J39" i="11"/>
  <c r="O48" i="9"/>
  <c r="N48" i="9"/>
  <c r="M48" i="9"/>
  <c r="L48" i="9"/>
  <c r="K48" i="9"/>
  <c r="J48" i="9"/>
  <c r="I48" i="9"/>
  <c r="H48" i="9"/>
  <c r="G48" i="9"/>
  <c r="E48" i="9"/>
  <c r="D48" i="9"/>
  <c r="A48" i="9"/>
  <c r="J38" i="11"/>
  <c r="O47" i="9"/>
  <c r="N47" i="9"/>
  <c r="M47" i="9"/>
  <c r="L47" i="9"/>
  <c r="K47" i="9"/>
  <c r="J47" i="9"/>
  <c r="I47" i="9"/>
  <c r="H47" i="9"/>
  <c r="G47" i="9"/>
  <c r="E47" i="9"/>
  <c r="D47" i="9"/>
  <c r="A47" i="9"/>
  <c r="J37" i="11"/>
  <c r="O46" i="9"/>
  <c r="N46" i="9"/>
  <c r="M46" i="9"/>
  <c r="L46" i="9"/>
  <c r="K46" i="9"/>
  <c r="J46" i="9"/>
  <c r="I46" i="9"/>
  <c r="H46" i="9"/>
  <c r="G46" i="9"/>
  <c r="E46" i="9"/>
  <c r="D46" i="9"/>
  <c r="A46" i="9"/>
  <c r="J36" i="11"/>
  <c r="O45" i="9"/>
  <c r="N45" i="9"/>
  <c r="M45" i="9"/>
  <c r="L45" i="9"/>
  <c r="K45" i="9"/>
  <c r="J45" i="9"/>
  <c r="I45" i="9"/>
  <c r="H45" i="9"/>
  <c r="G45" i="9"/>
  <c r="E45" i="9"/>
  <c r="D45" i="9"/>
  <c r="A45" i="9"/>
  <c r="J35" i="11"/>
  <c r="O44" i="9"/>
  <c r="N44" i="9"/>
  <c r="M44" i="9"/>
  <c r="L44" i="9"/>
  <c r="K44" i="9"/>
  <c r="J44" i="9"/>
  <c r="I44" i="9"/>
  <c r="H44" i="9"/>
  <c r="G44" i="9"/>
  <c r="E44" i="9"/>
  <c r="D44" i="9"/>
  <c r="A44" i="9"/>
  <c r="J34" i="11"/>
  <c r="O43" i="9"/>
  <c r="N43" i="9"/>
  <c r="M43" i="9"/>
  <c r="L43" i="9"/>
  <c r="K43" i="9"/>
  <c r="J43" i="9"/>
  <c r="I43" i="9"/>
  <c r="H43" i="9"/>
  <c r="G43" i="9"/>
  <c r="E43" i="9"/>
  <c r="D43" i="9"/>
  <c r="A43" i="9"/>
  <c r="J33" i="11"/>
  <c r="O42" i="9"/>
  <c r="N42" i="9"/>
  <c r="M42" i="9"/>
  <c r="L42" i="9"/>
  <c r="K42" i="9"/>
  <c r="J42" i="9"/>
  <c r="I42" i="9"/>
  <c r="H42" i="9"/>
  <c r="G42" i="9"/>
  <c r="E42" i="9"/>
  <c r="D42" i="9"/>
  <c r="A42" i="9"/>
  <c r="J32" i="11"/>
  <c r="O41" i="9"/>
  <c r="N41" i="9"/>
  <c r="M41" i="9"/>
  <c r="L41" i="9"/>
  <c r="K41" i="9"/>
  <c r="J41" i="9"/>
  <c r="I41" i="9"/>
  <c r="H41" i="9"/>
  <c r="G41" i="9"/>
  <c r="E41" i="9"/>
  <c r="D41" i="9"/>
  <c r="A41" i="9"/>
  <c r="J31" i="11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J30" i="11"/>
  <c r="O37" i="9"/>
  <c r="N37" i="9"/>
  <c r="M37" i="9"/>
  <c r="L37" i="9"/>
  <c r="K37" i="9"/>
  <c r="J37" i="9"/>
  <c r="I37" i="9"/>
  <c r="H37" i="9"/>
  <c r="G37" i="9"/>
  <c r="E37" i="9"/>
  <c r="D37" i="9"/>
  <c r="A37" i="9"/>
  <c r="J29" i="11"/>
  <c r="O36" i="9"/>
  <c r="N36" i="9"/>
  <c r="M36" i="9"/>
  <c r="L36" i="9"/>
  <c r="K36" i="9"/>
  <c r="J36" i="9"/>
  <c r="I36" i="9"/>
  <c r="H36" i="9"/>
  <c r="G36" i="9"/>
  <c r="E36" i="9"/>
  <c r="D36" i="9"/>
  <c r="A36" i="9"/>
  <c r="J28" i="11"/>
  <c r="O35" i="9"/>
  <c r="N35" i="9"/>
  <c r="M35" i="9"/>
  <c r="L35" i="9"/>
  <c r="K35" i="9"/>
  <c r="J35" i="9"/>
  <c r="I35" i="9"/>
  <c r="H35" i="9"/>
  <c r="G35" i="9"/>
  <c r="E35" i="9"/>
  <c r="D35" i="9"/>
  <c r="A35" i="9"/>
  <c r="J27" i="11"/>
  <c r="O34" i="9"/>
  <c r="N34" i="9"/>
  <c r="M34" i="9"/>
  <c r="L34" i="9"/>
  <c r="K34" i="9"/>
  <c r="J34" i="9"/>
  <c r="I34" i="9"/>
  <c r="H34" i="9"/>
  <c r="G34" i="9"/>
  <c r="E34" i="9"/>
  <c r="D34" i="9"/>
  <c r="A34" i="9"/>
  <c r="J26" i="11"/>
  <c r="O33" i="9"/>
  <c r="N33" i="9"/>
  <c r="M33" i="9"/>
  <c r="L33" i="9"/>
  <c r="K33" i="9"/>
  <c r="J33" i="9"/>
  <c r="I33" i="9"/>
  <c r="H33" i="9"/>
  <c r="G33" i="9"/>
  <c r="E33" i="9"/>
  <c r="D33" i="9"/>
  <c r="A33" i="9"/>
  <c r="J25" i="11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J24" i="11"/>
  <c r="O30" i="9"/>
  <c r="N30" i="9"/>
  <c r="M30" i="9"/>
  <c r="L30" i="9"/>
  <c r="K30" i="9"/>
  <c r="J30" i="9"/>
  <c r="I30" i="9"/>
  <c r="H30" i="9"/>
  <c r="G30" i="9"/>
  <c r="E30" i="9"/>
  <c r="D30" i="9"/>
  <c r="A30" i="9"/>
  <c r="J23" i="11"/>
  <c r="O29" i="9"/>
  <c r="N29" i="9"/>
  <c r="M29" i="9"/>
  <c r="L29" i="9"/>
  <c r="K29" i="9"/>
  <c r="J29" i="9"/>
  <c r="I29" i="9"/>
  <c r="H29" i="9"/>
  <c r="G29" i="9"/>
  <c r="E29" i="9"/>
  <c r="D29" i="9"/>
  <c r="A29" i="9"/>
  <c r="J22" i="11"/>
  <c r="O28" i="9"/>
  <c r="N28" i="9"/>
  <c r="M28" i="9"/>
  <c r="L28" i="9"/>
  <c r="K28" i="9"/>
  <c r="J28" i="9"/>
  <c r="I28" i="9"/>
  <c r="H28" i="9"/>
  <c r="G28" i="9"/>
  <c r="E28" i="9"/>
  <c r="D28" i="9"/>
  <c r="A28" i="9"/>
  <c r="J21" i="11"/>
  <c r="O27" i="9"/>
  <c r="N27" i="9"/>
  <c r="M27" i="9"/>
  <c r="L27" i="9"/>
  <c r="K27" i="9"/>
  <c r="J27" i="9"/>
  <c r="I27" i="9"/>
  <c r="H27" i="9"/>
  <c r="G27" i="9"/>
  <c r="E27" i="9"/>
  <c r="D27" i="9"/>
  <c r="A27" i="9"/>
  <c r="J20" i="11"/>
  <c r="O26" i="9"/>
  <c r="N26" i="9"/>
  <c r="M26" i="9"/>
  <c r="L26" i="9"/>
  <c r="K26" i="9"/>
  <c r="J26" i="9"/>
  <c r="I26" i="9"/>
  <c r="H26" i="9"/>
  <c r="G26" i="9"/>
  <c r="E26" i="9"/>
  <c r="D26" i="9"/>
  <c r="A26" i="9"/>
  <c r="J19" i="11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J18" i="11"/>
  <c r="O22" i="9"/>
  <c r="N22" i="9"/>
  <c r="M22" i="9"/>
  <c r="L22" i="9"/>
  <c r="K22" i="9"/>
  <c r="J22" i="9"/>
  <c r="I22" i="9"/>
  <c r="H22" i="9"/>
  <c r="G22" i="9"/>
  <c r="E22" i="9"/>
  <c r="D22" i="9"/>
  <c r="A22" i="9"/>
  <c r="J17" i="11"/>
  <c r="O21" i="9"/>
  <c r="N21" i="9"/>
  <c r="M21" i="9"/>
  <c r="L21" i="9"/>
  <c r="K21" i="9"/>
  <c r="J21" i="9"/>
  <c r="I21" i="9"/>
  <c r="H21" i="9"/>
  <c r="G21" i="9"/>
  <c r="E21" i="9"/>
  <c r="D21" i="9"/>
  <c r="A21" i="9"/>
  <c r="J16" i="11"/>
  <c r="O20" i="9"/>
  <c r="N20" i="9"/>
  <c r="M20" i="9"/>
  <c r="L20" i="9"/>
  <c r="K20" i="9"/>
  <c r="J20" i="9"/>
  <c r="I20" i="9"/>
  <c r="H20" i="9"/>
  <c r="G20" i="9"/>
  <c r="E20" i="9"/>
  <c r="D20" i="9"/>
  <c r="A20" i="9"/>
  <c r="J15" i="11"/>
  <c r="O19" i="9"/>
  <c r="N19" i="9"/>
  <c r="M19" i="9"/>
  <c r="L19" i="9"/>
  <c r="K19" i="9"/>
  <c r="J19" i="9"/>
  <c r="I19" i="9"/>
  <c r="H19" i="9"/>
  <c r="G19" i="9"/>
  <c r="E19" i="9"/>
  <c r="D19" i="9"/>
  <c r="A19" i="9"/>
  <c r="J14" i="11"/>
  <c r="O18" i="9"/>
  <c r="N18" i="9"/>
  <c r="M18" i="9"/>
  <c r="L18" i="9"/>
  <c r="K18" i="9"/>
  <c r="J18" i="9"/>
  <c r="I18" i="9"/>
  <c r="H18" i="9"/>
  <c r="G18" i="9"/>
  <c r="E18" i="9"/>
  <c r="D18" i="9"/>
  <c r="A18" i="9"/>
  <c r="J13" i="11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1" i="9"/>
  <c r="N11" i="9"/>
  <c r="M11" i="9"/>
  <c r="L11" i="9"/>
  <c r="K11" i="9"/>
  <c r="J11" i="9"/>
  <c r="I11" i="9"/>
  <c r="H11" i="9"/>
  <c r="G11" i="9"/>
  <c r="E11" i="9"/>
  <c r="D11" i="9"/>
  <c r="A11" i="9"/>
  <c r="J11" i="11"/>
  <c r="O10" i="9"/>
  <c r="N10" i="9"/>
  <c r="M10" i="9"/>
  <c r="L10" i="9"/>
  <c r="K10" i="9"/>
  <c r="J10" i="9"/>
  <c r="I10" i="9"/>
  <c r="H10" i="9"/>
  <c r="G10" i="9"/>
  <c r="E10" i="9"/>
  <c r="D10" i="9"/>
  <c r="A10" i="9"/>
  <c r="J10" i="11"/>
  <c r="O9" i="9"/>
  <c r="N9" i="9"/>
  <c r="M9" i="9"/>
  <c r="L9" i="9"/>
  <c r="K9" i="9"/>
  <c r="J9" i="9"/>
  <c r="I9" i="9"/>
  <c r="H9" i="9"/>
  <c r="G9" i="9"/>
  <c r="E9" i="9"/>
  <c r="D9" i="9"/>
  <c r="A9" i="9"/>
  <c r="J9" i="11"/>
  <c r="O8" i="9"/>
  <c r="N8" i="9"/>
  <c r="M8" i="9"/>
  <c r="L8" i="9"/>
  <c r="K8" i="9"/>
  <c r="J8" i="9"/>
  <c r="I8" i="9"/>
  <c r="H8" i="9"/>
  <c r="G8" i="9"/>
  <c r="E8" i="9"/>
  <c r="D8" i="9"/>
  <c r="A8" i="9"/>
  <c r="J8" i="11"/>
  <c r="O7" i="9"/>
  <c r="N7" i="9"/>
  <c r="M7" i="9"/>
  <c r="L7" i="9"/>
  <c r="K7" i="9"/>
  <c r="J7" i="9"/>
  <c r="I7" i="9"/>
  <c r="H7" i="9"/>
  <c r="G7" i="9"/>
  <c r="E7" i="9"/>
  <c r="D7" i="9"/>
  <c r="A7" i="9"/>
  <c r="J7" i="11"/>
  <c r="O6" i="9"/>
  <c r="N6" i="9"/>
  <c r="M6" i="9"/>
  <c r="L6" i="9"/>
  <c r="K6" i="9"/>
  <c r="J6" i="9"/>
  <c r="I6" i="9"/>
  <c r="H6" i="9"/>
  <c r="G6" i="9"/>
  <c r="E6" i="9"/>
  <c r="D6" i="9"/>
  <c r="A6" i="9"/>
  <c r="J6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3" i="9"/>
  <c r="N3" i="9"/>
  <c r="M3" i="9"/>
  <c r="L3" i="9"/>
  <c r="K3" i="9"/>
  <c r="J3" i="9"/>
  <c r="I3" i="9"/>
  <c r="H3" i="9"/>
  <c r="G3" i="9"/>
  <c r="E3" i="9"/>
  <c r="D3" i="9"/>
  <c r="A3" i="9"/>
  <c r="O2" i="9"/>
  <c r="N2" i="9"/>
  <c r="M2" i="9"/>
  <c r="L2" i="9"/>
  <c r="K2" i="9"/>
  <c r="J2" i="9"/>
  <c r="I2" i="9"/>
  <c r="H2" i="9"/>
  <c r="G2" i="9"/>
  <c r="E2" i="9"/>
  <c r="D2" i="9"/>
  <c r="A2" i="9"/>
  <c r="I45" i="21"/>
  <c r="J45" i="21"/>
  <c r="G45" i="21"/>
  <c r="F45" i="21"/>
  <c r="D45" i="21"/>
  <c r="C45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4" i="21"/>
  <c r="J4" i="21"/>
  <c r="G4" i="21"/>
  <c r="F4" i="21"/>
  <c r="D4" i="21"/>
  <c r="C4" i="21"/>
  <c r="I3" i="21"/>
  <c r="J3" i="21"/>
  <c r="G3" i="21"/>
  <c r="F3" i="21"/>
  <c r="D3" i="21"/>
  <c r="C3" i="21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N70" i="10"/>
  <c r="U70" i="10"/>
  <c r="X70" i="10"/>
  <c r="W70" i="10"/>
  <c r="Y70" i="10"/>
  <c r="V70" i="10"/>
  <c r="Z70" i="10"/>
  <c r="O70" i="10"/>
  <c r="R70" i="10"/>
  <c r="Q70" i="10"/>
  <c r="S70" i="10"/>
  <c r="P70" i="10"/>
  <c r="T70" i="10"/>
  <c r="H70" i="10"/>
  <c r="K70" i="10"/>
  <c r="J70" i="10"/>
  <c r="L70" i="10"/>
  <c r="I70" i="10"/>
  <c r="M70" i="10"/>
  <c r="O156" i="9"/>
  <c r="N156" i="9"/>
  <c r="M156" i="9"/>
  <c r="L156" i="9"/>
  <c r="K156" i="9"/>
  <c r="J156" i="9"/>
  <c r="I156" i="9"/>
  <c r="H156" i="9"/>
  <c r="G156" i="9"/>
  <c r="E156" i="9"/>
  <c r="D156" i="9"/>
  <c r="A156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N55" i="10"/>
  <c r="U55" i="10"/>
  <c r="X55" i="10"/>
  <c r="W55" i="10"/>
  <c r="Y55" i="10"/>
  <c r="V55" i="10"/>
  <c r="Z55" i="10"/>
  <c r="O55" i="10"/>
  <c r="R55" i="10"/>
  <c r="Q55" i="10"/>
  <c r="S55" i="10"/>
  <c r="P55" i="10"/>
  <c r="T55" i="10"/>
  <c r="H55" i="10"/>
  <c r="K55" i="10"/>
  <c r="J55" i="10"/>
  <c r="L55" i="10"/>
  <c r="I55" i="10"/>
  <c r="M55" i="10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N87" i="10"/>
  <c r="U87" i="10"/>
  <c r="X87" i="10"/>
  <c r="W87" i="10"/>
  <c r="Y87" i="10"/>
  <c r="V87" i="10"/>
  <c r="Z87" i="10"/>
  <c r="O87" i="10"/>
  <c r="R87" i="10"/>
  <c r="Q87" i="10"/>
  <c r="S87" i="10"/>
  <c r="P87" i="10"/>
  <c r="T87" i="10"/>
  <c r="H87" i="10"/>
  <c r="K87" i="10"/>
  <c r="J87" i="10"/>
  <c r="L87" i="10"/>
  <c r="I87" i="10"/>
  <c r="M87" i="10"/>
  <c r="N86" i="10"/>
  <c r="U86" i="10"/>
  <c r="X86" i="10"/>
  <c r="W86" i="10"/>
  <c r="Y86" i="10"/>
  <c r="V86" i="10"/>
  <c r="Z86" i="10"/>
  <c r="O86" i="10"/>
  <c r="R86" i="10"/>
  <c r="Q86" i="10"/>
  <c r="S86" i="10"/>
  <c r="P86" i="10"/>
  <c r="T86" i="10"/>
  <c r="H86" i="10"/>
  <c r="K86" i="10"/>
  <c r="J86" i="10"/>
  <c r="L86" i="10"/>
  <c r="I86" i="10"/>
  <c r="M86" i="10"/>
  <c r="N85" i="10"/>
  <c r="U85" i="10"/>
  <c r="X85" i="10"/>
  <c r="W85" i="10"/>
  <c r="Y85" i="10"/>
  <c r="V85" i="10"/>
  <c r="Z85" i="10"/>
  <c r="O85" i="10"/>
  <c r="R85" i="10"/>
  <c r="Q85" i="10"/>
  <c r="S85" i="10"/>
  <c r="P85" i="10"/>
  <c r="T85" i="10"/>
  <c r="H85" i="10"/>
  <c r="K85" i="10"/>
  <c r="J85" i="10"/>
  <c r="L85" i="10"/>
  <c r="I85" i="10"/>
  <c r="M85" i="10"/>
  <c r="N84" i="10"/>
  <c r="U84" i="10"/>
  <c r="X84" i="10"/>
  <c r="W84" i="10"/>
  <c r="Y84" i="10"/>
  <c r="V84" i="10"/>
  <c r="Z84" i="10"/>
  <c r="O84" i="10"/>
  <c r="R84" i="10"/>
  <c r="Q84" i="10"/>
  <c r="S84" i="10"/>
  <c r="P84" i="10"/>
  <c r="T84" i="10"/>
  <c r="H84" i="10"/>
  <c r="K84" i="10"/>
  <c r="J84" i="10"/>
  <c r="L84" i="10"/>
  <c r="I84" i="10"/>
  <c r="M84" i="10"/>
  <c r="N83" i="10"/>
  <c r="U83" i="10"/>
  <c r="X83" i="10"/>
  <c r="W83" i="10"/>
  <c r="Y83" i="10"/>
  <c r="V83" i="10"/>
  <c r="Z83" i="10"/>
  <c r="O83" i="10"/>
  <c r="R83" i="10"/>
  <c r="Q83" i="10"/>
  <c r="S83" i="10"/>
  <c r="P83" i="10"/>
  <c r="T83" i="10"/>
  <c r="H83" i="10"/>
  <c r="K83" i="10"/>
  <c r="J83" i="10"/>
  <c r="L83" i="10"/>
  <c r="I83" i="10"/>
  <c r="M83" i="10"/>
  <c r="N82" i="10"/>
  <c r="U82" i="10"/>
  <c r="X82" i="10"/>
  <c r="W82" i="10"/>
  <c r="Y82" i="10"/>
  <c r="V82" i="10"/>
  <c r="Z82" i="10"/>
  <c r="O82" i="10"/>
  <c r="R82" i="10"/>
  <c r="Q82" i="10"/>
  <c r="S82" i="10"/>
  <c r="P82" i="10"/>
  <c r="T82" i="10"/>
  <c r="H82" i="10"/>
  <c r="K82" i="10"/>
  <c r="J82" i="10"/>
  <c r="L82" i="10"/>
  <c r="I82" i="10"/>
  <c r="M82" i="10"/>
  <c r="N81" i="10"/>
  <c r="U81" i="10"/>
  <c r="X81" i="10"/>
  <c r="W81" i="10"/>
  <c r="Y81" i="10"/>
  <c r="V81" i="10"/>
  <c r="Z81" i="10"/>
  <c r="O81" i="10"/>
  <c r="R81" i="10"/>
  <c r="Q81" i="10"/>
  <c r="S81" i="10"/>
  <c r="P81" i="10"/>
  <c r="T81" i="10"/>
  <c r="H81" i="10"/>
  <c r="K81" i="10"/>
  <c r="J81" i="10"/>
  <c r="L81" i="10"/>
  <c r="I81" i="10"/>
  <c r="M81" i="10"/>
  <c r="N80" i="10"/>
  <c r="U80" i="10"/>
  <c r="X80" i="10"/>
  <c r="W80" i="10"/>
  <c r="Y80" i="10"/>
  <c r="V80" i="10"/>
  <c r="Z80" i="10"/>
  <c r="O80" i="10"/>
  <c r="R80" i="10"/>
  <c r="Q80" i="10"/>
  <c r="S80" i="10"/>
  <c r="P80" i="10"/>
  <c r="T80" i="10"/>
  <c r="H80" i="10"/>
  <c r="K80" i="10"/>
  <c r="J80" i="10"/>
  <c r="L80" i="10"/>
  <c r="I80" i="10"/>
  <c r="M80" i="10"/>
  <c r="O215" i="9"/>
  <c r="N215" i="9"/>
  <c r="M215" i="9"/>
  <c r="L215" i="9"/>
  <c r="K215" i="9"/>
  <c r="J215" i="9"/>
  <c r="I215" i="9"/>
  <c r="H215" i="9"/>
  <c r="G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E214" i="9"/>
  <c r="D214" i="9"/>
  <c r="A214" i="9"/>
  <c r="O213" i="9"/>
  <c r="N213" i="9"/>
  <c r="M213" i="9"/>
  <c r="L213" i="9"/>
  <c r="K213" i="9"/>
  <c r="J213" i="9"/>
  <c r="I213" i="9"/>
  <c r="H213" i="9"/>
  <c r="G213" i="9"/>
  <c r="E213" i="9"/>
  <c r="D213" i="9"/>
  <c r="A213" i="9"/>
  <c r="O212" i="9"/>
  <c r="N212" i="9"/>
  <c r="M212" i="9"/>
  <c r="L212" i="9"/>
  <c r="K212" i="9"/>
  <c r="J212" i="9"/>
  <c r="I212" i="9"/>
  <c r="H212" i="9"/>
  <c r="G212" i="9"/>
  <c r="E212" i="9"/>
  <c r="D212" i="9"/>
  <c r="A212" i="9"/>
  <c r="O211" i="9"/>
  <c r="N211" i="9"/>
  <c r="M211" i="9"/>
  <c r="L211" i="9"/>
  <c r="K211" i="9"/>
  <c r="J211" i="9"/>
  <c r="I211" i="9"/>
  <c r="H211" i="9"/>
  <c r="G211" i="9"/>
  <c r="E211" i="9"/>
  <c r="D211" i="9"/>
  <c r="A211" i="9"/>
  <c r="O210" i="9"/>
  <c r="N210" i="9"/>
  <c r="M210" i="9"/>
  <c r="L210" i="9"/>
  <c r="K210" i="9"/>
  <c r="J210" i="9"/>
  <c r="I210" i="9"/>
  <c r="H210" i="9"/>
  <c r="G210" i="9"/>
  <c r="E210" i="9"/>
  <c r="D210" i="9"/>
  <c r="A210" i="9"/>
  <c r="O209" i="9"/>
  <c r="N209" i="9"/>
  <c r="M209" i="9"/>
  <c r="L209" i="9"/>
  <c r="K209" i="9"/>
  <c r="J209" i="9"/>
  <c r="I209" i="9"/>
  <c r="H209" i="9"/>
  <c r="G209" i="9"/>
  <c r="E209" i="9"/>
  <c r="D209" i="9"/>
  <c r="A209" i="9"/>
  <c r="O208" i="9"/>
  <c r="N208" i="9"/>
  <c r="M208" i="9"/>
  <c r="L208" i="9"/>
  <c r="K208" i="9"/>
  <c r="J208" i="9"/>
  <c r="I208" i="9"/>
  <c r="H208" i="9"/>
  <c r="G208" i="9"/>
  <c r="E208" i="9"/>
  <c r="D208" i="9"/>
  <c r="A208" i="9"/>
  <c r="O207" i="9"/>
  <c r="N207" i="9"/>
  <c r="M207" i="9"/>
  <c r="L207" i="9"/>
  <c r="K207" i="9"/>
  <c r="J207" i="9"/>
  <c r="I207" i="9"/>
  <c r="H207" i="9"/>
  <c r="G207" i="9"/>
  <c r="E207" i="9"/>
  <c r="D207" i="9"/>
  <c r="A207" i="9"/>
  <c r="O206" i="9"/>
  <c r="N206" i="9"/>
  <c r="M206" i="9"/>
  <c r="L206" i="9"/>
  <c r="K206" i="9"/>
  <c r="J206" i="9"/>
  <c r="I206" i="9"/>
  <c r="H206" i="9"/>
  <c r="G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E202" i="9"/>
  <c r="D202" i="9"/>
  <c r="A202" i="9"/>
  <c r="O201" i="9"/>
  <c r="N201" i="9"/>
  <c r="M201" i="9"/>
  <c r="L201" i="9"/>
  <c r="K201" i="9"/>
  <c r="J201" i="9"/>
  <c r="I201" i="9"/>
  <c r="H201" i="9"/>
  <c r="G201" i="9"/>
  <c r="E201" i="9"/>
  <c r="D201" i="9"/>
  <c r="A201" i="9"/>
  <c r="O200" i="9"/>
  <c r="N200" i="9"/>
  <c r="M200" i="9"/>
  <c r="L200" i="9"/>
  <c r="K200" i="9"/>
  <c r="J200" i="9"/>
  <c r="I200" i="9"/>
  <c r="H200" i="9"/>
  <c r="G200" i="9"/>
  <c r="E200" i="9"/>
  <c r="D200" i="9"/>
  <c r="A200" i="9"/>
  <c r="N53" i="10"/>
  <c r="U53" i="10"/>
  <c r="X53" i="10"/>
  <c r="W53" i="10"/>
  <c r="Y53" i="10"/>
  <c r="V53" i="10"/>
  <c r="Z53" i="10"/>
  <c r="O53" i="10"/>
  <c r="R53" i="10"/>
  <c r="Q53" i="10"/>
  <c r="S53" i="10"/>
  <c r="P53" i="10"/>
  <c r="T53" i="10"/>
  <c r="H53" i="10"/>
  <c r="K53" i="10"/>
  <c r="J53" i="10"/>
  <c r="L53" i="10"/>
  <c r="I53" i="10"/>
  <c r="M53" i="10"/>
  <c r="V8" i="7"/>
  <c r="K46" i="11"/>
  <c r="U5" i="1"/>
  <c r="V5" i="1"/>
  <c r="Y5" i="1"/>
  <c r="Z5" i="1"/>
  <c r="V6" i="7"/>
  <c r="W6" i="7"/>
  <c r="Z6" i="7"/>
  <c r="AA6" i="7"/>
  <c r="Z2" i="7"/>
  <c r="AA2" i="7"/>
  <c r="V2" i="7"/>
  <c r="W2" i="7"/>
  <c r="Y2" i="1"/>
  <c r="Z2" i="1"/>
  <c r="U2" i="1"/>
  <c r="V2" i="1"/>
  <c r="Z3" i="7"/>
  <c r="Z4" i="7"/>
  <c r="Z5" i="7"/>
  <c r="Z7" i="7"/>
  <c r="Z8" i="7"/>
  <c r="Z9" i="7"/>
  <c r="V3" i="7"/>
  <c r="V5" i="7"/>
  <c r="V7" i="7"/>
  <c r="V9" i="7"/>
  <c r="Y3" i="1"/>
  <c r="Y4" i="1"/>
  <c r="Y6" i="1"/>
  <c r="Y7" i="1"/>
  <c r="U4" i="1"/>
  <c r="U7" i="1"/>
  <c r="N198" i="9"/>
  <c r="M198" i="9"/>
  <c r="L198" i="9"/>
  <c r="K198" i="9"/>
  <c r="J198" i="9"/>
  <c r="I198" i="9"/>
  <c r="H198" i="9"/>
  <c r="G198" i="9"/>
  <c r="N197" i="9"/>
  <c r="M197" i="9"/>
  <c r="L197" i="9"/>
  <c r="K197" i="9"/>
  <c r="J197" i="9"/>
  <c r="I197" i="9"/>
  <c r="H197" i="9"/>
  <c r="G197" i="9"/>
  <c r="N196" i="9"/>
  <c r="M196" i="9"/>
  <c r="L196" i="9"/>
  <c r="K196" i="9"/>
  <c r="J196" i="9"/>
  <c r="I196" i="9"/>
  <c r="H196" i="9"/>
  <c r="G196" i="9"/>
  <c r="N195" i="9"/>
  <c r="M195" i="9"/>
  <c r="L195" i="9"/>
  <c r="K195" i="9"/>
  <c r="J195" i="9"/>
  <c r="I195" i="9"/>
  <c r="H195" i="9"/>
  <c r="G195" i="9"/>
  <c r="N194" i="9"/>
  <c r="M194" i="9"/>
  <c r="L194" i="9"/>
  <c r="K194" i="9"/>
  <c r="J194" i="9"/>
  <c r="I194" i="9"/>
  <c r="H194" i="9"/>
  <c r="G194" i="9"/>
  <c r="N193" i="9"/>
  <c r="M193" i="9"/>
  <c r="L193" i="9"/>
  <c r="K193" i="9"/>
  <c r="J193" i="9"/>
  <c r="I193" i="9"/>
  <c r="H193" i="9"/>
  <c r="G193" i="9"/>
  <c r="N192" i="9"/>
  <c r="M192" i="9"/>
  <c r="L192" i="9"/>
  <c r="K192" i="9"/>
  <c r="J192" i="9"/>
  <c r="I192" i="9"/>
  <c r="H192" i="9"/>
  <c r="G192" i="9"/>
  <c r="N191" i="9"/>
  <c r="M191" i="9"/>
  <c r="L191" i="9"/>
  <c r="K191" i="9"/>
  <c r="J191" i="9"/>
  <c r="I191" i="9"/>
  <c r="H191" i="9"/>
  <c r="G191" i="9"/>
  <c r="N190" i="9"/>
  <c r="M190" i="9"/>
  <c r="L190" i="9"/>
  <c r="K190" i="9"/>
  <c r="J190" i="9"/>
  <c r="I190" i="9"/>
  <c r="H190" i="9"/>
  <c r="G190" i="9"/>
  <c r="N189" i="9"/>
  <c r="M189" i="9"/>
  <c r="L189" i="9"/>
  <c r="K189" i="9"/>
  <c r="J189" i="9"/>
  <c r="I189" i="9"/>
  <c r="H189" i="9"/>
  <c r="G189" i="9"/>
  <c r="N188" i="9"/>
  <c r="M188" i="9"/>
  <c r="L188" i="9"/>
  <c r="K188" i="9"/>
  <c r="J188" i="9"/>
  <c r="I188" i="9"/>
  <c r="H188" i="9"/>
  <c r="G188" i="9"/>
  <c r="N187" i="9"/>
  <c r="M187" i="9"/>
  <c r="L187" i="9"/>
  <c r="K187" i="9"/>
  <c r="J187" i="9"/>
  <c r="I187" i="9"/>
  <c r="H187" i="9"/>
  <c r="G187" i="9"/>
  <c r="N186" i="9"/>
  <c r="M186" i="9"/>
  <c r="L186" i="9"/>
  <c r="K186" i="9"/>
  <c r="J186" i="9"/>
  <c r="I186" i="9"/>
  <c r="H186" i="9"/>
  <c r="G186" i="9"/>
  <c r="N185" i="9"/>
  <c r="M185" i="9"/>
  <c r="L185" i="9"/>
  <c r="K185" i="9"/>
  <c r="J185" i="9"/>
  <c r="I185" i="9"/>
  <c r="H185" i="9"/>
  <c r="G185" i="9"/>
  <c r="N184" i="9"/>
  <c r="M184" i="9"/>
  <c r="L184" i="9"/>
  <c r="K184" i="9"/>
  <c r="J184" i="9"/>
  <c r="I184" i="9"/>
  <c r="H184" i="9"/>
  <c r="G184" i="9"/>
  <c r="N183" i="9"/>
  <c r="M183" i="9"/>
  <c r="L183" i="9"/>
  <c r="K183" i="9"/>
  <c r="J183" i="9"/>
  <c r="I183" i="9"/>
  <c r="H183" i="9"/>
  <c r="G183" i="9"/>
  <c r="N166" i="9"/>
  <c r="M166" i="9"/>
  <c r="L166" i="9"/>
  <c r="K166" i="9"/>
  <c r="J166" i="9"/>
  <c r="I166" i="9"/>
  <c r="H166" i="9"/>
  <c r="G166" i="9"/>
  <c r="N165" i="9"/>
  <c r="M165" i="9"/>
  <c r="L165" i="9"/>
  <c r="K165" i="9"/>
  <c r="J165" i="9"/>
  <c r="I165" i="9"/>
  <c r="H165" i="9"/>
  <c r="G165" i="9"/>
  <c r="N164" i="9"/>
  <c r="M164" i="9"/>
  <c r="L164" i="9"/>
  <c r="K164" i="9"/>
  <c r="J164" i="9"/>
  <c r="I164" i="9"/>
  <c r="H164" i="9"/>
  <c r="G164" i="9"/>
  <c r="N163" i="9"/>
  <c r="M163" i="9"/>
  <c r="L163" i="9"/>
  <c r="K163" i="9"/>
  <c r="J163" i="9"/>
  <c r="I163" i="9"/>
  <c r="H163" i="9"/>
  <c r="G163" i="9"/>
  <c r="N162" i="9"/>
  <c r="M162" i="9"/>
  <c r="L162" i="9"/>
  <c r="K162" i="9"/>
  <c r="J162" i="9"/>
  <c r="I162" i="9"/>
  <c r="H162" i="9"/>
  <c r="G162" i="9"/>
  <c r="N161" i="9"/>
  <c r="M161" i="9"/>
  <c r="L161" i="9"/>
  <c r="K161" i="9"/>
  <c r="J161" i="9"/>
  <c r="I161" i="9"/>
  <c r="H161" i="9"/>
  <c r="G161" i="9"/>
  <c r="N160" i="9"/>
  <c r="M160" i="9"/>
  <c r="L160" i="9"/>
  <c r="K160" i="9"/>
  <c r="J160" i="9"/>
  <c r="I160" i="9"/>
  <c r="H160" i="9"/>
  <c r="G160" i="9"/>
  <c r="N159" i="9"/>
  <c r="M159" i="9"/>
  <c r="L159" i="9"/>
  <c r="K159" i="9"/>
  <c r="J159" i="9"/>
  <c r="I159" i="9"/>
  <c r="H159" i="9"/>
  <c r="G159" i="9"/>
  <c r="N158" i="9"/>
  <c r="M158" i="9"/>
  <c r="L158" i="9"/>
  <c r="K158" i="9"/>
  <c r="J158" i="9"/>
  <c r="I158" i="9"/>
  <c r="H158" i="9"/>
  <c r="G158" i="9"/>
  <c r="N157" i="9"/>
  <c r="M157" i="9"/>
  <c r="L157" i="9"/>
  <c r="K157" i="9"/>
  <c r="J157" i="9"/>
  <c r="I157" i="9"/>
  <c r="H157" i="9"/>
  <c r="G157" i="9"/>
  <c r="N155" i="9"/>
  <c r="M155" i="9"/>
  <c r="L155" i="9"/>
  <c r="K155" i="9"/>
  <c r="J155" i="9"/>
  <c r="I155" i="9"/>
  <c r="H155" i="9"/>
  <c r="G155" i="9"/>
  <c r="N154" i="9"/>
  <c r="M154" i="9"/>
  <c r="L154" i="9"/>
  <c r="K154" i="9"/>
  <c r="J154" i="9"/>
  <c r="I154" i="9"/>
  <c r="H154" i="9"/>
  <c r="G154" i="9"/>
  <c r="N153" i="9"/>
  <c r="M153" i="9"/>
  <c r="L153" i="9"/>
  <c r="K153" i="9"/>
  <c r="J153" i="9"/>
  <c r="I153" i="9"/>
  <c r="H153" i="9"/>
  <c r="G153" i="9"/>
  <c r="N152" i="9"/>
  <c r="M152" i="9"/>
  <c r="L152" i="9"/>
  <c r="K152" i="9"/>
  <c r="J152" i="9"/>
  <c r="I152" i="9"/>
  <c r="H152" i="9"/>
  <c r="G152" i="9"/>
  <c r="N151" i="9"/>
  <c r="M151" i="9"/>
  <c r="L151" i="9"/>
  <c r="K151" i="9"/>
  <c r="J151" i="9"/>
  <c r="I151" i="9"/>
  <c r="H151" i="9"/>
  <c r="G151" i="9"/>
  <c r="N150" i="9"/>
  <c r="M150" i="9"/>
  <c r="L150" i="9"/>
  <c r="K150" i="9"/>
  <c r="J150" i="9"/>
  <c r="I150" i="9"/>
  <c r="H150" i="9"/>
  <c r="G150" i="9"/>
  <c r="N149" i="9"/>
  <c r="M149" i="9"/>
  <c r="L149" i="9"/>
  <c r="K149" i="9"/>
  <c r="J149" i="9"/>
  <c r="I149" i="9"/>
  <c r="H149" i="9"/>
  <c r="G149" i="9"/>
  <c r="N148" i="9"/>
  <c r="M148" i="9"/>
  <c r="L148" i="9"/>
  <c r="K148" i="9"/>
  <c r="J148" i="9"/>
  <c r="I148" i="9"/>
  <c r="H148" i="9"/>
  <c r="G148" i="9"/>
  <c r="N147" i="9"/>
  <c r="M147" i="9"/>
  <c r="L147" i="9"/>
  <c r="K147" i="9"/>
  <c r="J147" i="9"/>
  <c r="I147" i="9"/>
  <c r="H147" i="9"/>
  <c r="G147" i="9"/>
  <c r="N146" i="9"/>
  <c r="M146" i="9"/>
  <c r="L146" i="9"/>
  <c r="K146" i="9"/>
  <c r="J146" i="9"/>
  <c r="I146" i="9"/>
  <c r="H146" i="9"/>
  <c r="G146" i="9"/>
  <c r="N145" i="9"/>
  <c r="M145" i="9"/>
  <c r="L145" i="9"/>
  <c r="K145" i="9"/>
  <c r="J145" i="9"/>
  <c r="I145" i="9"/>
  <c r="H145" i="9"/>
  <c r="G145" i="9"/>
  <c r="N144" i="9"/>
  <c r="M144" i="9"/>
  <c r="L144" i="9"/>
  <c r="K144" i="9"/>
  <c r="J144" i="9"/>
  <c r="I144" i="9"/>
  <c r="H144" i="9"/>
  <c r="G144" i="9"/>
  <c r="N143" i="9"/>
  <c r="M143" i="9"/>
  <c r="L143" i="9"/>
  <c r="K143" i="9"/>
  <c r="J143" i="9"/>
  <c r="I143" i="9"/>
  <c r="H143" i="9"/>
  <c r="G143" i="9"/>
  <c r="N142" i="9"/>
  <c r="M142" i="9"/>
  <c r="L142" i="9"/>
  <c r="K142" i="9"/>
  <c r="J142" i="9"/>
  <c r="I142" i="9"/>
  <c r="H142" i="9"/>
  <c r="G142" i="9"/>
  <c r="N140" i="9"/>
  <c r="M140" i="9"/>
  <c r="L140" i="9"/>
  <c r="K140" i="9"/>
  <c r="J140" i="9"/>
  <c r="I140" i="9"/>
  <c r="H140" i="9"/>
  <c r="G140" i="9"/>
  <c r="N139" i="9"/>
  <c r="M139" i="9"/>
  <c r="L139" i="9"/>
  <c r="K139" i="9"/>
  <c r="J139" i="9"/>
  <c r="I139" i="9"/>
  <c r="H139" i="9"/>
  <c r="G139" i="9"/>
  <c r="N138" i="9"/>
  <c r="M138" i="9"/>
  <c r="L138" i="9"/>
  <c r="K138" i="9"/>
  <c r="J138" i="9"/>
  <c r="I138" i="9"/>
  <c r="H138" i="9"/>
  <c r="G138" i="9"/>
  <c r="N137" i="9"/>
  <c r="M137" i="9"/>
  <c r="L137" i="9"/>
  <c r="K137" i="9"/>
  <c r="J137" i="9"/>
  <c r="I137" i="9"/>
  <c r="H137" i="9"/>
  <c r="G137" i="9"/>
  <c r="N136" i="9"/>
  <c r="M136" i="9"/>
  <c r="L136" i="9"/>
  <c r="K136" i="9"/>
  <c r="J136" i="9"/>
  <c r="I136" i="9"/>
  <c r="H136" i="9"/>
  <c r="G136" i="9"/>
  <c r="N135" i="9"/>
  <c r="M135" i="9"/>
  <c r="L135" i="9"/>
  <c r="K135" i="9"/>
  <c r="J135" i="9"/>
  <c r="I135" i="9"/>
  <c r="H135" i="9"/>
  <c r="G135" i="9"/>
  <c r="N134" i="9"/>
  <c r="M134" i="9"/>
  <c r="L134" i="9"/>
  <c r="K134" i="9"/>
  <c r="J134" i="9"/>
  <c r="I134" i="9"/>
  <c r="H134" i="9"/>
  <c r="G134" i="9"/>
  <c r="N128" i="9"/>
  <c r="M128" i="9"/>
  <c r="L128" i="9"/>
  <c r="K128" i="9"/>
  <c r="J128" i="9"/>
  <c r="I128" i="9"/>
  <c r="H128" i="9"/>
  <c r="G128" i="9"/>
  <c r="N127" i="9"/>
  <c r="M127" i="9"/>
  <c r="L127" i="9"/>
  <c r="K127" i="9"/>
  <c r="J127" i="9"/>
  <c r="I127" i="9"/>
  <c r="H127" i="9"/>
  <c r="G127" i="9"/>
  <c r="N126" i="9"/>
  <c r="M126" i="9"/>
  <c r="L126" i="9"/>
  <c r="K126" i="9"/>
  <c r="J126" i="9"/>
  <c r="I126" i="9"/>
  <c r="H126" i="9"/>
  <c r="G126" i="9"/>
  <c r="N125" i="9"/>
  <c r="M125" i="9"/>
  <c r="L125" i="9"/>
  <c r="K125" i="9"/>
  <c r="J125" i="9"/>
  <c r="I125" i="9"/>
  <c r="H125" i="9"/>
  <c r="G125" i="9"/>
  <c r="N124" i="9"/>
  <c r="M124" i="9"/>
  <c r="L124" i="9"/>
  <c r="K124" i="9"/>
  <c r="J124" i="9"/>
  <c r="I124" i="9"/>
  <c r="H124" i="9"/>
  <c r="G124" i="9"/>
  <c r="N123" i="9"/>
  <c r="M123" i="9"/>
  <c r="L123" i="9"/>
  <c r="K123" i="9"/>
  <c r="J123" i="9"/>
  <c r="I123" i="9"/>
  <c r="H123" i="9"/>
  <c r="G123" i="9"/>
  <c r="N122" i="9"/>
  <c r="M122" i="9"/>
  <c r="L122" i="9"/>
  <c r="K122" i="9"/>
  <c r="J122" i="9"/>
  <c r="I122" i="9"/>
  <c r="H122" i="9"/>
  <c r="G122" i="9"/>
  <c r="N121" i="9"/>
  <c r="M121" i="9"/>
  <c r="L121" i="9"/>
  <c r="K121" i="9"/>
  <c r="J121" i="9"/>
  <c r="I121" i="9"/>
  <c r="H121" i="9"/>
  <c r="G121" i="9"/>
  <c r="O166" i="9"/>
  <c r="E166" i="9"/>
  <c r="D166" i="9"/>
  <c r="A166" i="9"/>
  <c r="N199" i="9"/>
  <c r="M199" i="9"/>
  <c r="L199" i="9"/>
  <c r="K199" i="9"/>
  <c r="J199" i="9"/>
  <c r="I199" i="9"/>
  <c r="H199" i="9"/>
  <c r="G199" i="9"/>
  <c r="O199" i="9"/>
  <c r="E199" i="9"/>
  <c r="D199" i="9"/>
  <c r="A199" i="9"/>
  <c r="N104" i="10"/>
  <c r="U104" i="10"/>
  <c r="X104" i="10"/>
  <c r="W104" i="10"/>
  <c r="Y104" i="10"/>
  <c r="V104" i="10"/>
  <c r="Z104" i="10"/>
  <c r="O104" i="10"/>
  <c r="R104" i="10"/>
  <c r="Q104" i="10"/>
  <c r="S104" i="10"/>
  <c r="P104" i="10"/>
  <c r="T104" i="10"/>
  <c r="H104" i="10"/>
  <c r="K104" i="10"/>
  <c r="J104" i="10"/>
  <c r="L104" i="10"/>
  <c r="I104" i="10"/>
  <c r="M104" i="10"/>
  <c r="O198" i="9"/>
  <c r="E198" i="9"/>
  <c r="D198" i="9"/>
  <c r="A198" i="9"/>
  <c r="O197" i="9"/>
  <c r="E197" i="9"/>
  <c r="D197" i="9"/>
  <c r="A197" i="9"/>
  <c r="O196" i="9"/>
  <c r="E196" i="9"/>
  <c r="D196" i="9"/>
  <c r="A196" i="9"/>
  <c r="O195" i="9"/>
  <c r="E195" i="9"/>
  <c r="D195" i="9"/>
  <c r="A195" i="9"/>
  <c r="O194" i="9"/>
  <c r="E194" i="9"/>
  <c r="D194" i="9"/>
  <c r="A194" i="9"/>
  <c r="O193" i="9"/>
  <c r="E193" i="9"/>
  <c r="D193" i="9"/>
  <c r="A193" i="9"/>
  <c r="O192" i="9"/>
  <c r="E192" i="9"/>
  <c r="D192" i="9"/>
  <c r="A192" i="9"/>
  <c r="O191" i="9"/>
  <c r="E191" i="9"/>
  <c r="D191" i="9"/>
  <c r="A191" i="9"/>
  <c r="O190" i="9"/>
  <c r="E190" i="9"/>
  <c r="D190" i="9"/>
  <c r="A190" i="9"/>
  <c r="O189" i="9"/>
  <c r="E189" i="9"/>
  <c r="D189" i="9"/>
  <c r="A189" i="9"/>
  <c r="O188" i="9"/>
  <c r="E188" i="9"/>
  <c r="D188" i="9"/>
  <c r="A188" i="9"/>
  <c r="O187" i="9"/>
  <c r="E187" i="9"/>
  <c r="D187" i="9"/>
  <c r="A187" i="9"/>
  <c r="O186" i="9"/>
  <c r="E186" i="9"/>
  <c r="D186" i="9"/>
  <c r="A186" i="9"/>
  <c r="O185" i="9"/>
  <c r="E185" i="9"/>
  <c r="D185" i="9"/>
  <c r="A185" i="9"/>
  <c r="O184" i="9"/>
  <c r="E184" i="9"/>
  <c r="D184" i="9"/>
  <c r="A184" i="9"/>
  <c r="O183" i="9"/>
  <c r="E183" i="9"/>
  <c r="D183" i="9"/>
  <c r="A183" i="9"/>
  <c r="O165" i="9"/>
  <c r="E165" i="9"/>
  <c r="D165" i="9"/>
  <c r="A165" i="9"/>
  <c r="O164" i="9"/>
  <c r="E164" i="9"/>
  <c r="D164" i="9"/>
  <c r="A164" i="9"/>
  <c r="O163" i="9"/>
  <c r="E163" i="9"/>
  <c r="D163" i="9"/>
  <c r="A163" i="9"/>
  <c r="O162" i="9"/>
  <c r="E162" i="9"/>
  <c r="D162" i="9"/>
  <c r="A162" i="9"/>
  <c r="O161" i="9"/>
  <c r="E161" i="9"/>
  <c r="D161" i="9"/>
  <c r="A161" i="9"/>
  <c r="O160" i="9"/>
  <c r="E160" i="9"/>
  <c r="D160" i="9"/>
  <c r="A160" i="9"/>
  <c r="O159" i="9"/>
  <c r="E159" i="9"/>
  <c r="D159" i="9"/>
  <c r="A159" i="9"/>
  <c r="O158" i="9"/>
  <c r="E158" i="9"/>
  <c r="D158" i="9"/>
  <c r="A158" i="9"/>
  <c r="O157" i="9"/>
  <c r="E157" i="9"/>
  <c r="D157" i="9"/>
  <c r="A157" i="9"/>
  <c r="O155" i="9"/>
  <c r="E155" i="9"/>
  <c r="D155" i="9"/>
  <c r="A155" i="9"/>
  <c r="O154" i="9"/>
  <c r="E154" i="9"/>
  <c r="D154" i="9"/>
  <c r="A154" i="9"/>
  <c r="O153" i="9"/>
  <c r="E153" i="9"/>
  <c r="D153" i="9"/>
  <c r="A153" i="9"/>
  <c r="O152" i="9"/>
  <c r="E152" i="9"/>
  <c r="D152" i="9"/>
  <c r="A152" i="9"/>
  <c r="O151" i="9"/>
  <c r="E151" i="9"/>
  <c r="D151" i="9"/>
  <c r="A151" i="9"/>
  <c r="O150" i="9"/>
  <c r="E150" i="9"/>
  <c r="D150" i="9"/>
  <c r="A150" i="9"/>
  <c r="O149" i="9"/>
  <c r="E149" i="9"/>
  <c r="D149" i="9"/>
  <c r="A149" i="9"/>
  <c r="O148" i="9"/>
  <c r="E148" i="9"/>
  <c r="D148" i="9"/>
  <c r="A148" i="9"/>
  <c r="O147" i="9"/>
  <c r="E147" i="9"/>
  <c r="D147" i="9"/>
  <c r="A147" i="9"/>
  <c r="O146" i="9"/>
  <c r="E146" i="9"/>
  <c r="D146" i="9"/>
  <c r="A146" i="9"/>
  <c r="O145" i="9"/>
  <c r="E145" i="9"/>
  <c r="D145" i="9"/>
  <c r="A145" i="9"/>
  <c r="O144" i="9"/>
  <c r="E144" i="9"/>
  <c r="D144" i="9"/>
  <c r="A144" i="9"/>
  <c r="O143" i="9"/>
  <c r="E143" i="9"/>
  <c r="D143" i="9"/>
  <c r="A143" i="9"/>
  <c r="O142" i="9"/>
  <c r="E142" i="9"/>
  <c r="D142" i="9"/>
  <c r="A142" i="9"/>
  <c r="O140" i="9"/>
  <c r="E140" i="9"/>
  <c r="D140" i="9"/>
  <c r="A140" i="9"/>
  <c r="O139" i="9"/>
  <c r="E139" i="9"/>
  <c r="D139" i="9"/>
  <c r="A139" i="9"/>
  <c r="O138" i="9"/>
  <c r="E138" i="9"/>
  <c r="D138" i="9"/>
  <c r="A138" i="9"/>
  <c r="O137" i="9"/>
  <c r="E137" i="9"/>
  <c r="D137" i="9"/>
  <c r="A137" i="9"/>
  <c r="O136" i="9"/>
  <c r="E136" i="9"/>
  <c r="D136" i="9"/>
  <c r="A136" i="9"/>
  <c r="O135" i="9"/>
  <c r="E135" i="9"/>
  <c r="D135" i="9"/>
  <c r="A135" i="9"/>
  <c r="O134" i="9"/>
  <c r="E134" i="9"/>
  <c r="D134" i="9"/>
  <c r="A134" i="9"/>
  <c r="O128" i="9"/>
  <c r="E128" i="9"/>
  <c r="D128" i="9"/>
  <c r="O127" i="9"/>
  <c r="E127" i="9"/>
  <c r="D127" i="9"/>
  <c r="A127" i="9"/>
  <c r="O126" i="9"/>
  <c r="E126" i="9"/>
  <c r="D126" i="9"/>
  <c r="A126" i="9"/>
  <c r="O125" i="9"/>
  <c r="E125" i="9"/>
  <c r="D125" i="9"/>
  <c r="A125" i="9"/>
  <c r="O124" i="9"/>
  <c r="E124" i="9"/>
  <c r="D124" i="9"/>
  <c r="A124" i="9"/>
  <c r="O123" i="9"/>
  <c r="E123" i="9"/>
  <c r="D123" i="9"/>
  <c r="A123" i="9"/>
  <c r="O122" i="9"/>
  <c r="E122" i="9"/>
  <c r="D122" i="9"/>
  <c r="A122" i="9"/>
  <c r="O121" i="9"/>
  <c r="E121" i="9"/>
  <c r="D121" i="9"/>
  <c r="A121" i="9"/>
  <c r="N103" i="10"/>
  <c r="U103" i="10"/>
  <c r="X103" i="10"/>
  <c r="W103" i="10"/>
  <c r="Y103" i="10"/>
  <c r="V103" i="10"/>
  <c r="Z103" i="10"/>
  <c r="O103" i="10"/>
  <c r="R103" i="10"/>
  <c r="Q103" i="10"/>
  <c r="S103" i="10"/>
  <c r="P103" i="10"/>
  <c r="T103" i="10"/>
  <c r="H103" i="10"/>
  <c r="K103" i="10"/>
  <c r="J103" i="10"/>
  <c r="L103" i="10"/>
  <c r="I103" i="10"/>
  <c r="M103" i="10"/>
  <c r="N102" i="10"/>
  <c r="U102" i="10"/>
  <c r="X102" i="10"/>
  <c r="W102" i="10"/>
  <c r="Y102" i="10"/>
  <c r="V102" i="10"/>
  <c r="Z102" i="10"/>
  <c r="O102" i="10"/>
  <c r="R102" i="10"/>
  <c r="Q102" i="10"/>
  <c r="S102" i="10"/>
  <c r="P102" i="10"/>
  <c r="T102" i="10"/>
  <c r="H102" i="10"/>
  <c r="K102" i="10"/>
  <c r="J102" i="10"/>
  <c r="L102" i="10"/>
  <c r="I102" i="10"/>
  <c r="M102" i="10"/>
  <c r="N101" i="10"/>
  <c r="U101" i="10"/>
  <c r="X101" i="10"/>
  <c r="W101" i="10"/>
  <c r="Y101" i="10"/>
  <c r="V101" i="10"/>
  <c r="Z101" i="10"/>
  <c r="O101" i="10"/>
  <c r="R101" i="10"/>
  <c r="Q101" i="10"/>
  <c r="S101" i="10"/>
  <c r="P101" i="10"/>
  <c r="T101" i="10"/>
  <c r="H101" i="10"/>
  <c r="K101" i="10"/>
  <c r="J101" i="10"/>
  <c r="L101" i="10"/>
  <c r="I101" i="10"/>
  <c r="M101" i="10"/>
  <c r="N100" i="10"/>
  <c r="U100" i="10"/>
  <c r="X100" i="10"/>
  <c r="W100" i="10"/>
  <c r="Y100" i="10"/>
  <c r="V100" i="10"/>
  <c r="Z100" i="10"/>
  <c r="O100" i="10"/>
  <c r="R100" i="10"/>
  <c r="Q100" i="10"/>
  <c r="S100" i="10"/>
  <c r="P100" i="10"/>
  <c r="T100" i="10"/>
  <c r="H100" i="10"/>
  <c r="K100" i="10"/>
  <c r="J100" i="10"/>
  <c r="L100" i="10"/>
  <c r="I100" i="10"/>
  <c r="M100" i="10"/>
  <c r="N99" i="10"/>
  <c r="U99" i="10"/>
  <c r="X99" i="10"/>
  <c r="W99" i="10"/>
  <c r="Y99" i="10"/>
  <c r="V99" i="10"/>
  <c r="Z99" i="10"/>
  <c r="O99" i="10"/>
  <c r="R99" i="10"/>
  <c r="Q99" i="10"/>
  <c r="S99" i="10"/>
  <c r="P99" i="10"/>
  <c r="T99" i="10"/>
  <c r="H99" i="10"/>
  <c r="K99" i="10"/>
  <c r="J99" i="10"/>
  <c r="L99" i="10"/>
  <c r="I99" i="10"/>
  <c r="M99" i="10"/>
  <c r="N98" i="10"/>
  <c r="U98" i="10"/>
  <c r="X98" i="10"/>
  <c r="W98" i="10"/>
  <c r="Y98" i="10"/>
  <c r="V98" i="10"/>
  <c r="Z98" i="10"/>
  <c r="O98" i="10"/>
  <c r="R98" i="10"/>
  <c r="Q98" i="10"/>
  <c r="S98" i="10"/>
  <c r="P98" i="10"/>
  <c r="T98" i="10"/>
  <c r="H98" i="10"/>
  <c r="K98" i="10"/>
  <c r="J98" i="10"/>
  <c r="L98" i="10"/>
  <c r="I98" i="10"/>
  <c r="M98" i="10"/>
  <c r="N97" i="10"/>
  <c r="U97" i="10"/>
  <c r="X97" i="10"/>
  <c r="W97" i="10"/>
  <c r="Y97" i="10"/>
  <c r="V97" i="10"/>
  <c r="Z97" i="10"/>
  <c r="O97" i="10"/>
  <c r="R97" i="10"/>
  <c r="Q97" i="10"/>
  <c r="S97" i="10"/>
  <c r="P97" i="10"/>
  <c r="T97" i="10"/>
  <c r="H97" i="10"/>
  <c r="K97" i="10"/>
  <c r="J97" i="10"/>
  <c r="L97" i="10"/>
  <c r="I97" i="10"/>
  <c r="M97" i="10"/>
  <c r="N95" i="10"/>
  <c r="U95" i="10"/>
  <c r="X95" i="10"/>
  <c r="W95" i="10"/>
  <c r="Y95" i="10"/>
  <c r="V95" i="10"/>
  <c r="Z95" i="10"/>
  <c r="O95" i="10"/>
  <c r="R95" i="10"/>
  <c r="Q95" i="10"/>
  <c r="S95" i="10"/>
  <c r="P95" i="10"/>
  <c r="T95" i="10"/>
  <c r="H95" i="10"/>
  <c r="K95" i="10"/>
  <c r="J95" i="10"/>
  <c r="L95" i="10"/>
  <c r="I95" i="10"/>
  <c r="M95" i="10"/>
  <c r="N94" i="10"/>
  <c r="U94" i="10"/>
  <c r="X94" i="10"/>
  <c r="W94" i="10"/>
  <c r="Y94" i="10"/>
  <c r="V94" i="10"/>
  <c r="Z94" i="10"/>
  <c r="O94" i="10"/>
  <c r="R94" i="10"/>
  <c r="Q94" i="10"/>
  <c r="S94" i="10"/>
  <c r="P94" i="10"/>
  <c r="T94" i="10"/>
  <c r="H94" i="10"/>
  <c r="K94" i="10"/>
  <c r="J94" i="10"/>
  <c r="L94" i="10"/>
  <c r="I94" i="10"/>
  <c r="M94" i="10"/>
  <c r="N93" i="10"/>
  <c r="U93" i="10"/>
  <c r="X93" i="10"/>
  <c r="W93" i="10"/>
  <c r="Y93" i="10"/>
  <c r="V93" i="10"/>
  <c r="Z93" i="10"/>
  <c r="O93" i="10"/>
  <c r="R93" i="10"/>
  <c r="Q93" i="10"/>
  <c r="S93" i="10"/>
  <c r="P93" i="10"/>
  <c r="T93" i="10"/>
  <c r="H93" i="10"/>
  <c r="K93" i="10"/>
  <c r="J93" i="10"/>
  <c r="L93" i="10"/>
  <c r="I93" i="10"/>
  <c r="M93" i="10"/>
  <c r="N92" i="10"/>
  <c r="U92" i="10"/>
  <c r="X92" i="10"/>
  <c r="W92" i="10"/>
  <c r="Y92" i="10"/>
  <c r="V92" i="10"/>
  <c r="Z92" i="10"/>
  <c r="O92" i="10"/>
  <c r="R92" i="10"/>
  <c r="Q92" i="10"/>
  <c r="S92" i="10"/>
  <c r="P92" i="10"/>
  <c r="T92" i="10"/>
  <c r="H92" i="10"/>
  <c r="K92" i="10"/>
  <c r="J92" i="10"/>
  <c r="L92" i="10"/>
  <c r="I92" i="10"/>
  <c r="M92" i="10"/>
  <c r="N91" i="10"/>
  <c r="U91" i="10"/>
  <c r="X91" i="10"/>
  <c r="W91" i="10"/>
  <c r="Y91" i="10"/>
  <c r="V91" i="10"/>
  <c r="Z91" i="10"/>
  <c r="O91" i="10"/>
  <c r="R91" i="10"/>
  <c r="Q91" i="10"/>
  <c r="S91" i="10"/>
  <c r="P91" i="10"/>
  <c r="T91" i="10"/>
  <c r="H91" i="10"/>
  <c r="K91" i="10"/>
  <c r="J91" i="10"/>
  <c r="L91" i="10"/>
  <c r="I91" i="10"/>
  <c r="M91" i="10"/>
  <c r="N90" i="10"/>
  <c r="U90" i="10"/>
  <c r="X90" i="10"/>
  <c r="W90" i="10"/>
  <c r="Y90" i="10"/>
  <c r="V90" i="10"/>
  <c r="Z90" i="10"/>
  <c r="O90" i="10"/>
  <c r="R90" i="10"/>
  <c r="Q90" i="10"/>
  <c r="S90" i="10"/>
  <c r="P90" i="10"/>
  <c r="T90" i="10"/>
  <c r="H90" i="10"/>
  <c r="K90" i="10"/>
  <c r="J90" i="10"/>
  <c r="L90" i="10"/>
  <c r="I90" i="10"/>
  <c r="M90" i="10"/>
  <c r="N89" i="10"/>
  <c r="U89" i="10"/>
  <c r="X89" i="10"/>
  <c r="W89" i="10"/>
  <c r="Y89" i="10"/>
  <c r="V89" i="10"/>
  <c r="Z89" i="10"/>
  <c r="O89" i="10"/>
  <c r="R89" i="10"/>
  <c r="Q89" i="10"/>
  <c r="S89" i="10"/>
  <c r="P89" i="10"/>
  <c r="T89" i="10"/>
  <c r="H89" i="10"/>
  <c r="K89" i="10"/>
  <c r="J89" i="10"/>
  <c r="L89" i="10"/>
  <c r="I89" i="10"/>
  <c r="M89" i="10"/>
  <c r="N78" i="10"/>
  <c r="U78" i="10"/>
  <c r="X78" i="10"/>
  <c r="W78" i="10"/>
  <c r="Y78" i="10"/>
  <c r="V78" i="10"/>
  <c r="Z78" i="10"/>
  <c r="O78" i="10"/>
  <c r="R78" i="10"/>
  <c r="Q78" i="10"/>
  <c r="S78" i="10"/>
  <c r="P78" i="10"/>
  <c r="T78" i="10"/>
  <c r="H78" i="10"/>
  <c r="K78" i="10"/>
  <c r="J78" i="10"/>
  <c r="L78" i="10"/>
  <c r="I78" i="10"/>
  <c r="M78" i="10"/>
  <c r="N77" i="10"/>
  <c r="U77" i="10"/>
  <c r="X77" i="10"/>
  <c r="W77" i="10"/>
  <c r="Y77" i="10"/>
  <c r="V77" i="10"/>
  <c r="Z77" i="10"/>
  <c r="O77" i="10"/>
  <c r="R77" i="10"/>
  <c r="Q77" i="10"/>
  <c r="S77" i="10"/>
  <c r="P77" i="10"/>
  <c r="T77" i="10"/>
  <c r="H77" i="10"/>
  <c r="K77" i="10"/>
  <c r="J77" i="10"/>
  <c r="L77" i="10"/>
  <c r="I77" i="10"/>
  <c r="M77" i="10"/>
  <c r="N76" i="10"/>
  <c r="U76" i="10"/>
  <c r="X76" i="10"/>
  <c r="W76" i="10"/>
  <c r="Y76" i="10"/>
  <c r="V76" i="10"/>
  <c r="Z76" i="10"/>
  <c r="O76" i="10"/>
  <c r="R76" i="10"/>
  <c r="Q76" i="10"/>
  <c r="S76" i="10"/>
  <c r="P76" i="10"/>
  <c r="T76" i="10"/>
  <c r="H76" i="10"/>
  <c r="K76" i="10"/>
  <c r="J76" i="10"/>
  <c r="L76" i="10"/>
  <c r="I76" i="10"/>
  <c r="M76" i="10"/>
  <c r="N75" i="10"/>
  <c r="U75" i="10"/>
  <c r="X75" i="10"/>
  <c r="W75" i="10"/>
  <c r="Y75" i="10"/>
  <c r="V75" i="10"/>
  <c r="Z75" i="10"/>
  <c r="O75" i="10"/>
  <c r="R75" i="10"/>
  <c r="Q75" i="10"/>
  <c r="S75" i="10"/>
  <c r="P75" i="10"/>
  <c r="T75" i="10"/>
  <c r="H75" i="10"/>
  <c r="K75" i="10"/>
  <c r="J75" i="10"/>
  <c r="L75" i="10"/>
  <c r="I75" i="10"/>
  <c r="M75" i="10"/>
  <c r="N74" i="10"/>
  <c r="U74" i="10"/>
  <c r="X74" i="10"/>
  <c r="W74" i="10"/>
  <c r="Y74" i="10"/>
  <c r="V74" i="10"/>
  <c r="Z74" i="10"/>
  <c r="O74" i="10"/>
  <c r="R74" i="10"/>
  <c r="Q74" i="10"/>
  <c r="S74" i="10"/>
  <c r="P74" i="10"/>
  <c r="T74" i="10"/>
  <c r="H74" i="10"/>
  <c r="K74" i="10"/>
  <c r="J74" i="10"/>
  <c r="L74" i="10"/>
  <c r="I74" i="10"/>
  <c r="M74" i="10"/>
  <c r="N73" i="10"/>
  <c r="U73" i="10"/>
  <c r="X73" i="10"/>
  <c r="W73" i="10"/>
  <c r="Y73" i="10"/>
  <c r="V73" i="10"/>
  <c r="Z73" i="10"/>
  <c r="O73" i="10"/>
  <c r="R73" i="10"/>
  <c r="Q73" i="10"/>
  <c r="S73" i="10"/>
  <c r="P73" i="10"/>
  <c r="T73" i="10"/>
  <c r="H73" i="10"/>
  <c r="K73" i="10"/>
  <c r="J73" i="10"/>
  <c r="L73" i="10"/>
  <c r="I73" i="10"/>
  <c r="M73" i="10"/>
  <c r="N72" i="10"/>
  <c r="U72" i="10"/>
  <c r="X72" i="10"/>
  <c r="W72" i="10"/>
  <c r="Y72" i="10"/>
  <c r="V72" i="10"/>
  <c r="Z72" i="10"/>
  <c r="O72" i="10"/>
  <c r="R72" i="10"/>
  <c r="Q72" i="10"/>
  <c r="S72" i="10"/>
  <c r="P72" i="10"/>
  <c r="T72" i="10"/>
  <c r="H72" i="10"/>
  <c r="J72" i="10"/>
  <c r="L72" i="10"/>
  <c r="I72" i="10"/>
  <c r="M72" i="10"/>
  <c r="N69" i="10"/>
  <c r="U69" i="10"/>
  <c r="X69" i="10"/>
  <c r="W69" i="10"/>
  <c r="Y69" i="10"/>
  <c r="V69" i="10"/>
  <c r="Z69" i="10"/>
  <c r="O69" i="10"/>
  <c r="R69" i="10"/>
  <c r="Q69" i="10"/>
  <c r="S69" i="10"/>
  <c r="P69" i="10"/>
  <c r="T69" i="10"/>
  <c r="H69" i="10"/>
  <c r="K69" i="10"/>
  <c r="J69" i="10"/>
  <c r="L69" i="10"/>
  <c r="I69" i="10"/>
  <c r="M69" i="10"/>
  <c r="N68" i="10"/>
  <c r="U68" i="10"/>
  <c r="X68" i="10"/>
  <c r="W68" i="10"/>
  <c r="Y68" i="10"/>
  <c r="V68" i="10"/>
  <c r="Z68" i="10"/>
  <c r="O68" i="10"/>
  <c r="R68" i="10"/>
  <c r="Q68" i="10"/>
  <c r="S68" i="10"/>
  <c r="P68" i="10"/>
  <c r="T68" i="10"/>
  <c r="H68" i="10"/>
  <c r="K68" i="10"/>
  <c r="J68" i="10"/>
  <c r="L68" i="10"/>
  <c r="I68" i="10"/>
  <c r="M68" i="10"/>
  <c r="N67" i="10"/>
  <c r="U67" i="10"/>
  <c r="X67" i="10"/>
  <c r="W67" i="10"/>
  <c r="Y67" i="10"/>
  <c r="V67" i="10"/>
  <c r="Z67" i="10"/>
  <c r="O67" i="10"/>
  <c r="R67" i="10"/>
  <c r="Q67" i="10"/>
  <c r="S67" i="10"/>
  <c r="P67" i="10"/>
  <c r="T67" i="10"/>
  <c r="H67" i="10"/>
  <c r="K67" i="10"/>
  <c r="J67" i="10"/>
  <c r="L67" i="10"/>
  <c r="I67" i="10"/>
  <c r="M67" i="10"/>
  <c r="N66" i="10"/>
  <c r="U66" i="10"/>
  <c r="X66" i="10"/>
  <c r="W66" i="10"/>
  <c r="Y66" i="10"/>
  <c r="V66" i="10"/>
  <c r="Z66" i="10"/>
  <c r="O66" i="10"/>
  <c r="R66" i="10"/>
  <c r="Q66" i="10"/>
  <c r="S66" i="10"/>
  <c r="P66" i="10"/>
  <c r="T66" i="10"/>
  <c r="H66" i="10"/>
  <c r="K66" i="10"/>
  <c r="J66" i="10"/>
  <c r="L66" i="10"/>
  <c r="I66" i="10"/>
  <c r="M66" i="10"/>
  <c r="N65" i="10"/>
  <c r="U65" i="10"/>
  <c r="X65" i="10"/>
  <c r="W65" i="10"/>
  <c r="Y65" i="10"/>
  <c r="V65" i="10"/>
  <c r="Z65" i="10"/>
  <c r="O65" i="10"/>
  <c r="R65" i="10"/>
  <c r="Q65" i="10"/>
  <c r="S65" i="10"/>
  <c r="P65" i="10"/>
  <c r="T65" i="10"/>
  <c r="H65" i="10"/>
  <c r="K65" i="10"/>
  <c r="J65" i="10"/>
  <c r="L65" i="10"/>
  <c r="I65" i="10"/>
  <c r="M65" i="10"/>
  <c r="N64" i="10"/>
  <c r="U64" i="10"/>
  <c r="X64" i="10"/>
  <c r="W64" i="10"/>
  <c r="Y64" i="10"/>
  <c r="V64" i="10"/>
  <c r="Z64" i="10"/>
  <c r="O64" i="10"/>
  <c r="R64" i="10"/>
  <c r="Q64" i="10"/>
  <c r="S64" i="10"/>
  <c r="P64" i="10"/>
  <c r="T64" i="10"/>
  <c r="H64" i="10"/>
  <c r="K64" i="10"/>
  <c r="J64" i="10"/>
  <c r="L64" i="10"/>
  <c r="I64" i="10"/>
  <c r="M64" i="10"/>
  <c r="N62" i="10"/>
  <c r="U62" i="10"/>
  <c r="X62" i="10"/>
  <c r="W62" i="10"/>
  <c r="Y62" i="10"/>
  <c r="V62" i="10"/>
  <c r="Z62" i="10"/>
  <c r="O62" i="10"/>
  <c r="R62" i="10"/>
  <c r="Q62" i="10"/>
  <c r="S62" i="10"/>
  <c r="P62" i="10"/>
  <c r="T62" i="10"/>
  <c r="H62" i="10"/>
  <c r="K62" i="10"/>
  <c r="J62" i="10"/>
  <c r="L62" i="10"/>
  <c r="I62" i="10"/>
  <c r="M62" i="10"/>
  <c r="N61" i="10"/>
  <c r="U61" i="10"/>
  <c r="X61" i="10"/>
  <c r="W61" i="10"/>
  <c r="Y61" i="10"/>
  <c r="V61" i="10"/>
  <c r="Z61" i="10"/>
  <c r="O61" i="10"/>
  <c r="R61" i="10"/>
  <c r="Q61" i="10"/>
  <c r="S61" i="10"/>
  <c r="P61" i="10"/>
  <c r="T61" i="10"/>
  <c r="H61" i="10"/>
  <c r="K61" i="10"/>
  <c r="J61" i="10"/>
  <c r="L61" i="10"/>
  <c r="I61" i="10"/>
  <c r="M61" i="10"/>
  <c r="N60" i="10"/>
  <c r="U60" i="10"/>
  <c r="X60" i="10"/>
  <c r="W60" i="10"/>
  <c r="Y60" i="10"/>
  <c r="V60" i="10"/>
  <c r="Z60" i="10"/>
  <c r="O60" i="10"/>
  <c r="R60" i="10"/>
  <c r="Q60" i="10"/>
  <c r="S60" i="10"/>
  <c r="P60" i="10"/>
  <c r="T60" i="10"/>
  <c r="H60" i="10"/>
  <c r="K60" i="10"/>
  <c r="J60" i="10"/>
  <c r="L60" i="10"/>
  <c r="I60" i="10"/>
  <c r="M60" i="10"/>
  <c r="N59" i="10"/>
  <c r="U59" i="10"/>
  <c r="X59" i="10"/>
  <c r="W59" i="10"/>
  <c r="Y59" i="10"/>
  <c r="V59" i="10"/>
  <c r="Z59" i="10"/>
  <c r="O59" i="10"/>
  <c r="R59" i="10"/>
  <c r="Q59" i="10"/>
  <c r="S59" i="10"/>
  <c r="P59" i="10"/>
  <c r="T59" i="10"/>
  <c r="H59" i="10"/>
  <c r="K59" i="10"/>
  <c r="J59" i="10"/>
  <c r="L59" i="10"/>
  <c r="I59" i="10"/>
  <c r="M59" i="10"/>
  <c r="N58" i="10"/>
  <c r="U58" i="10"/>
  <c r="X58" i="10"/>
  <c r="W58" i="10"/>
  <c r="Y58" i="10"/>
  <c r="V58" i="10"/>
  <c r="Z58" i="10"/>
  <c r="O58" i="10"/>
  <c r="R58" i="10"/>
  <c r="Q58" i="10"/>
  <c r="S58" i="10"/>
  <c r="P58" i="10"/>
  <c r="T58" i="10"/>
  <c r="H58" i="10"/>
  <c r="K58" i="10"/>
  <c r="J58" i="10"/>
  <c r="L58" i="10"/>
  <c r="I58" i="10"/>
  <c r="M58" i="10"/>
  <c r="N57" i="10"/>
  <c r="U57" i="10"/>
  <c r="X57" i="10"/>
  <c r="W57" i="10"/>
  <c r="Y57" i="10"/>
  <c r="V57" i="10"/>
  <c r="Z57" i="10"/>
  <c r="O57" i="10"/>
  <c r="R57" i="10"/>
  <c r="Q57" i="10"/>
  <c r="S57" i="10"/>
  <c r="P57" i="10"/>
  <c r="T57" i="10"/>
  <c r="H57" i="10"/>
  <c r="K57" i="10"/>
  <c r="J57" i="10"/>
  <c r="L57" i="10"/>
  <c r="I57" i="10"/>
  <c r="M57" i="10"/>
  <c r="N54" i="10"/>
  <c r="U54" i="10"/>
  <c r="X54" i="10"/>
  <c r="W54" i="10"/>
  <c r="Y54" i="10"/>
  <c r="V54" i="10"/>
  <c r="Z54" i="10"/>
  <c r="O54" i="10"/>
  <c r="R54" i="10"/>
  <c r="Q54" i="10"/>
  <c r="S54" i="10"/>
  <c r="P54" i="10"/>
  <c r="T54" i="10"/>
  <c r="H54" i="10"/>
  <c r="K54" i="10"/>
  <c r="J54" i="10"/>
  <c r="L54" i="10"/>
  <c r="I54" i="10"/>
  <c r="M54" i="10"/>
  <c r="N52" i="10"/>
  <c r="U52" i="10"/>
  <c r="X52" i="10"/>
  <c r="W52" i="10"/>
  <c r="Y52" i="10"/>
  <c r="V52" i="10"/>
  <c r="Z52" i="10"/>
  <c r="O52" i="10"/>
  <c r="R52" i="10"/>
  <c r="Q52" i="10"/>
  <c r="S52" i="10"/>
  <c r="P52" i="10"/>
  <c r="T52" i="10"/>
  <c r="H52" i="10"/>
  <c r="K52" i="10"/>
  <c r="J52" i="10"/>
  <c r="L52" i="10"/>
  <c r="I52" i="10"/>
  <c r="M52" i="10"/>
  <c r="N51" i="10"/>
  <c r="U51" i="10"/>
  <c r="X51" i="10"/>
  <c r="W51" i="10"/>
  <c r="Y51" i="10"/>
  <c r="V51" i="10"/>
  <c r="Z51" i="10"/>
  <c r="O51" i="10"/>
  <c r="R51" i="10"/>
  <c r="Q51" i="10"/>
  <c r="S51" i="10"/>
  <c r="P51" i="10"/>
  <c r="T51" i="10"/>
  <c r="H51" i="10"/>
  <c r="K51" i="10"/>
  <c r="J51" i="10"/>
  <c r="L51" i="10"/>
  <c r="I51" i="10"/>
  <c r="M51" i="10"/>
  <c r="N50" i="10"/>
  <c r="U50" i="10"/>
  <c r="X50" i="10"/>
  <c r="W50" i="10"/>
  <c r="Y50" i="10"/>
  <c r="V50" i="10"/>
  <c r="Z50" i="10"/>
  <c r="O50" i="10"/>
  <c r="R50" i="10"/>
  <c r="Q50" i="10"/>
  <c r="S50" i="10"/>
  <c r="P50" i="10"/>
  <c r="T50" i="10"/>
  <c r="H50" i="10"/>
  <c r="K50" i="10"/>
  <c r="J50" i="10"/>
  <c r="L50" i="10"/>
  <c r="I50" i="10"/>
  <c r="M50" i="10"/>
  <c r="N49" i="10"/>
  <c r="U49" i="10"/>
  <c r="X49" i="10"/>
  <c r="W49" i="10"/>
  <c r="Y49" i="10"/>
  <c r="V49" i="10"/>
  <c r="Z49" i="10"/>
  <c r="O49" i="10"/>
  <c r="R49" i="10"/>
  <c r="Q49" i="10"/>
  <c r="S49" i="10"/>
  <c r="P49" i="10"/>
  <c r="T49" i="10"/>
  <c r="H49" i="10"/>
  <c r="K49" i="10"/>
  <c r="J49" i="10"/>
  <c r="L49" i="10"/>
  <c r="I49" i="10"/>
  <c r="M49" i="10"/>
  <c r="N45" i="10"/>
  <c r="U45" i="10"/>
  <c r="X45" i="10"/>
  <c r="W45" i="10"/>
  <c r="Y45" i="10"/>
  <c r="V45" i="10"/>
  <c r="Z45" i="10"/>
  <c r="O45" i="10"/>
  <c r="R45" i="10"/>
  <c r="Q45" i="10"/>
  <c r="S45" i="10"/>
  <c r="P45" i="10"/>
  <c r="T45" i="10"/>
  <c r="H45" i="10"/>
  <c r="K45" i="10"/>
  <c r="J45" i="10"/>
  <c r="L45" i="10"/>
  <c r="I45" i="10"/>
  <c r="M45" i="10"/>
  <c r="N44" i="10"/>
  <c r="U44" i="10"/>
  <c r="X44" i="10"/>
  <c r="W44" i="10"/>
  <c r="Y44" i="10"/>
  <c r="V44" i="10"/>
  <c r="Z44" i="10"/>
  <c r="O44" i="10"/>
  <c r="R44" i="10"/>
  <c r="Q44" i="10"/>
  <c r="S44" i="10"/>
  <c r="P44" i="10"/>
  <c r="T44" i="10"/>
  <c r="H44" i="10"/>
  <c r="K44" i="10"/>
  <c r="J44" i="10"/>
  <c r="L44" i="10"/>
  <c r="I44" i="10"/>
  <c r="M44" i="10"/>
  <c r="N43" i="10"/>
  <c r="U43" i="10"/>
  <c r="X43" i="10"/>
  <c r="W43" i="10"/>
  <c r="Y43" i="10"/>
  <c r="V43" i="10"/>
  <c r="Z43" i="10"/>
  <c r="O43" i="10"/>
  <c r="R43" i="10"/>
  <c r="Q43" i="10"/>
  <c r="S43" i="10"/>
  <c r="P43" i="10"/>
  <c r="T43" i="10"/>
  <c r="H43" i="10"/>
  <c r="K43" i="10"/>
  <c r="J43" i="10"/>
  <c r="L43" i="10"/>
  <c r="I43" i="10"/>
  <c r="M43" i="10"/>
  <c r="N42" i="10"/>
  <c r="U42" i="10"/>
  <c r="X42" i="10"/>
  <c r="W42" i="10"/>
  <c r="Y42" i="10"/>
  <c r="V42" i="10"/>
  <c r="Z42" i="10"/>
  <c r="O42" i="10"/>
  <c r="R42" i="10"/>
  <c r="Q42" i="10"/>
  <c r="S42" i="10"/>
  <c r="P42" i="10"/>
  <c r="T42" i="10"/>
  <c r="H42" i="10"/>
  <c r="K42" i="10"/>
  <c r="J42" i="10"/>
  <c r="L42" i="10"/>
  <c r="I42" i="10"/>
  <c r="M42" i="10"/>
  <c r="N41" i="10"/>
  <c r="U41" i="10"/>
  <c r="X41" i="10"/>
  <c r="W41" i="10"/>
  <c r="Y41" i="10"/>
  <c r="V41" i="10"/>
  <c r="Z41" i="10"/>
  <c r="O41" i="10"/>
  <c r="R41" i="10"/>
  <c r="Q41" i="10"/>
  <c r="S41" i="10"/>
  <c r="P41" i="10"/>
  <c r="T41" i="10"/>
  <c r="H41" i="10"/>
  <c r="K41" i="10"/>
  <c r="J41" i="10"/>
  <c r="L41" i="10"/>
  <c r="I41" i="10"/>
  <c r="M41" i="10"/>
  <c r="N40" i="10"/>
  <c r="U40" i="10"/>
  <c r="X40" i="10"/>
  <c r="W40" i="10"/>
  <c r="Y40" i="10"/>
  <c r="V40" i="10"/>
  <c r="Z40" i="10"/>
  <c r="O40" i="10"/>
  <c r="R40" i="10"/>
  <c r="Q40" i="10"/>
  <c r="S40" i="10"/>
  <c r="P40" i="10"/>
  <c r="T40" i="10"/>
  <c r="H40" i="10"/>
  <c r="K40" i="10"/>
  <c r="J40" i="10"/>
  <c r="L40" i="10"/>
  <c r="I40" i="10"/>
  <c r="M40" i="10"/>
  <c r="N39" i="10"/>
  <c r="U39" i="10"/>
  <c r="X39" i="10"/>
  <c r="W39" i="10"/>
  <c r="Y39" i="10"/>
  <c r="V39" i="10"/>
  <c r="Z39" i="10"/>
  <c r="O39" i="10"/>
  <c r="R39" i="10"/>
  <c r="Q39" i="10"/>
  <c r="S39" i="10"/>
  <c r="P39" i="10"/>
  <c r="T39" i="10"/>
  <c r="H39" i="10"/>
  <c r="K39" i="10"/>
  <c r="J39" i="10"/>
  <c r="L39" i="10"/>
  <c r="I39" i="10"/>
  <c r="M39" i="10"/>
  <c r="N37" i="10"/>
  <c r="U37" i="10"/>
  <c r="X37" i="10"/>
  <c r="W37" i="10"/>
  <c r="Y37" i="10"/>
  <c r="V37" i="10"/>
  <c r="Z37" i="10"/>
  <c r="O37" i="10"/>
  <c r="R37" i="10"/>
  <c r="Q37" i="10"/>
  <c r="S37" i="10"/>
  <c r="P37" i="10"/>
  <c r="T37" i="10"/>
  <c r="H37" i="10"/>
  <c r="K37" i="10"/>
  <c r="J37" i="10"/>
  <c r="L37" i="10"/>
  <c r="I37" i="10"/>
  <c r="M37" i="10"/>
  <c r="N36" i="10"/>
  <c r="U36" i="10"/>
  <c r="X36" i="10"/>
  <c r="W36" i="10"/>
  <c r="Y36" i="10"/>
  <c r="V36" i="10"/>
  <c r="Z36" i="10"/>
  <c r="O36" i="10"/>
  <c r="R36" i="10"/>
  <c r="Q36" i="10"/>
  <c r="S36" i="10"/>
  <c r="P36" i="10"/>
  <c r="T36" i="10"/>
  <c r="H36" i="10"/>
  <c r="K36" i="10"/>
  <c r="J36" i="10"/>
  <c r="L36" i="10"/>
  <c r="I36" i="10"/>
  <c r="M36" i="10"/>
  <c r="N96" i="10"/>
  <c r="U96" i="10"/>
  <c r="X96" i="10"/>
  <c r="W96" i="10"/>
  <c r="Y96" i="10"/>
  <c r="V96" i="10"/>
  <c r="Z96" i="10"/>
  <c r="O96" i="10"/>
  <c r="R96" i="10"/>
  <c r="Q96" i="10"/>
  <c r="S96" i="10"/>
  <c r="P96" i="10"/>
  <c r="T96" i="10"/>
  <c r="H96" i="10"/>
  <c r="K96" i="10"/>
  <c r="J96" i="10"/>
  <c r="L96" i="10"/>
  <c r="I96" i="10"/>
  <c r="M96" i="10"/>
  <c r="N88" i="10"/>
  <c r="U88" i="10"/>
  <c r="X88" i="10"/>
  <c r="W88" i="10"/>
  <c r="Y88" i="10"/>
  <c r="V88" i="10"/>
  <c r="Z88" i="10"/>
  <c r="O88" i="10"/>
  <c r="R88" i="10"/>
  <c r="Q88" i="10"/>
  <c r="S88" i="10"/>
  <c r="P88" i="10"/>
  <c r="T88" i="10"/>
  <c r="H88" i="10"/>
  <c r="K88" i="10"/>
  <c r="J88" i="10"/>
  <c r="L88" i="10"/>
  <c r="I88" i="10"/>
  <c r="M88" i="10"/>
  <c r="N71" i="10"/>
  <c r="U71" i="10"/>
  <c r="X71" i="10"/>
  <c r="W71" i="10"/>
  <c r="Y71" i="10"/>
  <c r="V71" i="10"/>
  <c r="Z71" i="10"/>
  <c r="O71" i="10"/>
  <c r="R71" i="10"/>
  <c r="Q71" i="10"/>
  <c r="S71" i="10"/>
  <c r="P71" i="10"/>
  <c r="T71" i="10"/>
  <c r="H71" i="10"/>
  <c r="K71" i="10"/>
  <c r="J71" i="10"/>
  <c r="L71" i="10"/>
  <c r="I71" i="10"/>
  <c r="M71" i="10"/>
  <c r="N63" i="10"/>
  <c r="U63" i="10"/>
  <c r="X63" i="10"/>
  <c r="W63" i="10"/>
  <c r="Y63" i="10"/>
  <c r="V63" i="10"/>
  <c r="Z63" i="10"/>
  <c r="O63" i="10"/>
  <c r="R63" i="10"/>
  <c r="Q63" i="10"/>
  <c r="S63" i="10"/>
  <c r="P63" i="10"/>
  <c r="T63" i="10"/>
  <c r="H63" i="10"/>
  <c r="K63" i="10"/>
  <c r="J63" i="10"/>
  <c r="L63" i="10"/>
  <c r="I63" i="10"/>
  <c r="M63" i="10"/>
  <c r="N48" i="10"/>
  <c r="U48" i="10"/>
  <c r="X48" i="10"/>
  <c r="W48" i="10"/>
  <c r="Y48" i="10"/>
  <c r="V48" i="10"/>
  <c r="Z48" i="10"/>
  <c r="O48" i="10"/>
  <c r="R48" i="10"/>
  <c r="Q48" i="10"/>
  <c r="S48" i="10"/>
  <c r="P48" i="10"/>
  <c r="T48" i="10"/>
  <c r="H48" i="10"/>
  <c r="K48" i="10"/>
  <c r="J48" i="10"/>
  <c r="L48" i="10"/>
  <c r="I48" i="10"/>
  <c r="M48" i="10"/>
  <c r="O120" i="9"/>
  <c r="N120" i="9"/>
  <c r="M120" i="9"/>
  <c r="L120" i="9"/>
  <c r="K120" i="9"/>
  <c r="J120" i="9"/>
  <c r="I120" i="9"/>
  <c r="H120" i="9"/>
  <c r="G120" i="9"/>
  <c r="E120" i="9"/>
  <c r="D120" i="9"/>
  <c r="A120" i="9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J9" i="7"/>
  <c r="I9" i="7"/>
  <c r="D9" i="7"/>
  <c r="F9" i="7"/>
  <c r="E9" i="7"/>
  <c r="A9" i="7"/>
  <c r="R8" i="7"/>
  <c r="Q8" i="7"/>
  <c r="P8" i="7"/>
  <c r="O8" i="7"/>
  <c r="N8" i="7"/>
  <c r="H8" i="7"/>
  <c r="J8" i="7"/>
  <c r="I8" i="7"/>
  <c r="D8" i="7"/>
  <c r="F8" i="7"/>
  <c r="E8" i="7"/>
  <c r="A8" i="7"/>
  <c r="R7" i="7"/>
  <c r="Q7" i="7"/>
  <c r="P7" i="7"/>
  <c r="O7" i="7"/>
  <c r="N7" i="7"/>
  <c r="H7" i="7"/>
  <c r="J7" i="7"/>
  <c r="I7" i="7"/>
  <c r="D7" i="7"/>
  <c r="F7" i="7"/>
  <c r="E7" i="7"/>
  <c r="A7" i="7"/>
  <c r="R6" i="7"/>
  <c r="Q6" i="7"/>
  <c r="P6" i="7"/>
  <c r="O6" i="7"/>
  <c r="N6" i="7"/>
  <c r="H6" i="7"/>
  <c r="J6" i="7"/>
  <c r="I6" i="7"/>
  <c r="D6" i="7"/>
  <c r="F6" i="7"/>
  <c r="E6" i="7"/>
  <c r="A6" i="7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H7" i="1"/>
  <c r="AJ7" i="1"/>
  <c r="AM7" i="1"/>
  <c r="AK7" i="1"/>
  <c r="AI7" i="1"/>
  <c r="Q7" i="1"/>
  <c r="P7" i="1"/>
  <c r="O7" i="1"/>
  <c r="N7" i="1"/>
  <c r="M7" i="1"/>
  <c r="H7" i="1"/>
  <c r="J7" i="1"/>
  <c r="I7" i="1"/>
  <c r="D7" i="1"/>
  <c r="F7" i="1"/>
  <c r="E7" i="1"/>
  <c r="A7" i="1"/>
  <c r="AH6" i="1"/>
  <c r="AJ6" i="1"/>
  <c r="AM6" i="1"/>
  <c r="AK6" i="1"/>
  <c r="AI6" i="1"/>
  <c r="Q6" i="1"/>
  <c r="P6" i="1"/>
  <c r="O6" i="1"/>
  <c r="N6" i="1"/>
  <c r="M6" i="1"/>
  <c r="H6" i="1"/>
  <c r="J6" i="1"/>
  <c r="I6" i="1"/>
  <c r="D6" i="1"/>
  <c r="F6" i="1"/>
  <c r="E6" i="1"/>
  <c r="A6" i="1"/>
  <c r="AH5" i="1"/>
  <c r="AJ5" i="1"/>
  <c r="AM5" i="1"/>
  <c r="AK5" i="1"/>
  <c r="AI5" i="1"/>
  <c r="Q5" i="1"/>
  <c r="P5" i="1"/>
  <c r="O5" i="1"/>
  <c r="N5" i="1"/>
  <c r="M5" i="1"/>
  <c r="H5" i="1"/>
  <c r="J5" i="1"/>
  <c r="I5" i="1"/>
  <c r="D5" i="1"/>
  <c r="F5" i="1"/>
  <c r="E5" i="1"/>
  <c r="A5" i="1"/>
  <c r="AH4" i="1"/>
  <c r="AJ4" i="1"/>
  <c r="AM4" i="1"/>
  <c r="AK4" i="1"/>
  <c r="AI4" i="1"/>
  <c r="Q4" i="1"/>
  <c r="P4" i="1"/>
  <c r="O4" i="1"/>
  <c r="N4" i="1"/>
  <c r="M4" i="1"/>
  <c r="H4" i="1"/>
  <c r="J4" i="1"/>
  <c r="I4" i="1"/>
  <c r="D4" i="1"/>
  <c r="F4" i="1"/>
  <c r="E4" i="1"/>
  <c r="A4" i="1"/>
  <c r="H7" i="2"/>
  <c r="E7" i="2"/>
  <c r="D7" i="2"/>
  <c r="H2" i="1"/>
  <c r="H3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E13" i="16"/>
  <c r="I2" i="21"/>
  <c r="J2" i="21"/>
  <c r="G2" i="21"/>
  <c r="F2" i="21"/>
  <c r="D2" i="21"/>
  <c r="C2" i="21"/>
  <c r="E12" i="16"/>
  <c r="E11" i="16"/>
  <c r="E10" i="16"/>
  <c r="E9" i="16"/>
  <c r="R2" i="7"/>
  <c r="Q2" i="7"/>
  <c r="P2" i="7"/>
  <c r="O2" i="7"/>
  <c r="N2" i="7"/>
  <c r="AH3" i="1"/>
  <c r="AK3" i="1"/>
  <c r="AJ3" i="1"/>
  <c r="AI3" i="1"/>
  <c r="AH2" i="1"/>
  <c r="AK2" i="1"/>
  <c r="AJ2" i="1"/>
  <c r="AI2" i="1"/>
  <c r="Q3" i="1"/>
  <c r="P3" i="1"/>
  <c r="O3" i="1"/>
  <c r="N3" i="1"/>
  <c r="M3" i="1"/>
  <c r="Q2" i="1"/>
  <c r="P2" i="1"/>
  <c r="O2" i="1"/>
  <c r="N2" i="1"/>
  <c r="M2" i="1"/>
  <c r="AM2" i="1"/>
  <c r="H2" i="7"/>
  <c r="J2" i="7"/>
  <c r="E8" i="16"/>
  <c r="E7" i="16"/>
  <c r="E6" i="16"/>
  <c r="E5" i="16"/>
  <c r="E4" i="16"/>
  <c r="E3" i="16"/>
  <c r="E2" i="16"/>
  <c r="A3" i="1"/>
  <c r="A2" i="1"/>
  <c r="AM3" i="1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L11" authorId="0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ユニットごとに勝利時TIPSを出し分ける
KOFコラボ専用(17/05/30)
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AT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3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  <author>Microsoft Office ユーザー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  <comment ref="A54" authorId="3">
      <text>
        <r>
          <rPr>
            <b/>
            <sz val="11"/>
            <color indexed="81"/>
            <rFont val="ＭＳ Ｐゴシック"/>
            <family val="3"/>
            <charset val="128"/>
          </rPr>
          <t>開幕トリガー 5900390〜
死亡時トリガー 59003950〜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<sst xmlns="http://schemas.openxmlformats.org/spreadsheetml/2006/main" count="1706" uniqueCount="735">
  <si>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</si>
  <si>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</si>
  <si>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</si>
  <si>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</si>
  <si>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</si>
  <si>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</si>
  <si>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</si>
  <si>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</si>
  <si>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</si>
  <si>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</si>
  <si>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</si>
  <si>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</si>
  <si>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</si>
  <si>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</si>
  <si>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</si>
  <si>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</si>
  <si>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</si>
  <si>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</si>
  <si>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</si>
  <si>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</si>
  <si>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</si>
  <si>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</si>
  <si>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</si>
  <si>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</si>
  <si>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</si>
  <si>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</si>
  <si>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</si>
  <si>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</si>
  <si>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</si>
  <si>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</si>
  <si>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</si>
  <si>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</si>
  <si>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</si>
  <si>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</si>
  <si>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</si>
  <si>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</si>
  <si>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</si>
  <si>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</si>
  <si>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</si>
  <si>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</si>
  <si>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</si>
  <si>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</si>
  <si>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</si>
  <si>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</si>
  <si>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</si>
  <si>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</si>
  <si>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</si>
  <si>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</si>
  <si>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</si>
  <si>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</si>
  <si>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</si>
  <si>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</si>
  <si>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</si>
  <si>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</si>
  <si>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</si>
  <si>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</si>
  <si>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</si>
  <si>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</si>
  <si>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</si>
  <si>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</si>
  <si>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</si>
  <si>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</si>
  <si>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</si>
  <si>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</si>
  <si>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</si>
  <si>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</si>
  <si>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</si>
  <si>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</si>
  <si>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</si>
  <si>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</si>
  <si>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</si>
  <si>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</si>
  <si>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</si>
  <si>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</si>
  <si>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</si>
  <si>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</si>
  <si>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</si>
  <si>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</si>
  <si>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</si>
  <si>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</si>
  <si>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</si>
  <si>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</si>
  <si>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</si>
  <si>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</si>
  <si>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</si>
  <si>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</si>
  <si>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</si>
  <si>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</si>
  <si>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</si>
  <si>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</si>
  <si>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</si>
  <si>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</si>
  <si>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</si>
  <si>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</si>
  <si>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</si>
  <si>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</si>
  <si>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</si>
  <si>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</si>
  <si>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</si>
  <si>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</si>
  <si>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</si>
  <si>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</si>
  <si>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</si>
  <si>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</si>
  <si>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</si>
  <si>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</si>
  <si>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</si>
  <si>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</si>
  <si>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</si>
  <si>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</si>
  <si>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</si>
  <si>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</si>
  <si>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</si>
  <si>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</si>
  <si>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</si>
  <si>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</si>
  <si>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</si>
  <si>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</si>
  <si>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</si>
  <si>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</si>
  <si>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</si>
  <si>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</si>
  <si>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</si>
  <si>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</si>
  <si>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</si>
  <si>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</si>
  <si>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</si>
  <si>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</si>
  <si>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</si>
  <si>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</si>
  <si>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</si>
  <si>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</si>
  <si>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</si>
  <si>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</si>
  <si>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</si>
  <si>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</si>
  <si>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</si>
  <si>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</si>
  <si>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</si>
  <si>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</si>
  <si>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</si>
  <si>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</si>
  <si>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</si>
  <si>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</si>
  <si>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</si>
  <si>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</si>
  <si>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</si>
  <si>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</si>
  <si>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</si>
  <si>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</si>
  <si>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</si>
  <si>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</si>
  <si>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</si>
  <si>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</si>
  <si>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</si>
  <si>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</si>
  <si>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</si>
  <si>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</si>
  <si>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</si>
  <si>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</si>
  <si>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</si>
  <si>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</si>
  <si>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</si>
  <si>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</si>
  <si>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</si>
  <si>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</si>
  <si>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</si>
  <si>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</si>
  <si>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</si>
  <si>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</si>
  <si>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</si>
  <si>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</si>
  <si>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</si>
  <si>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</si>
  <si>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</si>
  <si>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</si>
  <si>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</si>
  <si>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</si>
  <si>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</si>
  <si>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</si>
  <si>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</si>
  <si>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</si>
  <si>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</si>
  <si>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</si>
  <si>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</si>
  <si>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</si>
  <si>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</si>
  <si>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</si>
  <si>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</si>
  <si>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</si>
  <si>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</si>
  <si>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</si>
  <si>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</si>
  <si>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</si>
  <si>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</si>
  <si>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</si>
  <si>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</si>
  <si>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</si>
  <si>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</si>
  <si>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</si>
  <si>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</si>
  <si>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</si>
  <si>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</si>
  <si>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</si>
  <si>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</si>
  <si>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</si>
  <si>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</si>
  <si>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</si>
  <si>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</si>
  <si>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</si>
  <si>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</si>
  <si>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</si>
  <si>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</si>
  <si>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</si>
  <si>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</si>
  <si>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</si>
  <si>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</si>
  <si>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</si>
  <si>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</si>
  <si>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</si>
  <si>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</si>
  <si>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</si>
  <si>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</si>
  <si>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</si>
  <si>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</si>
  <si>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</si>
  <si>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</si>
  <si>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</si>
  <si>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</si>
  <si>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</si>
  <si>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</si>
  <si>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</si>
  <si>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</si>
  <si>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</si>
  <si>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</si>
  <si>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</si>
  <si>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</si>
  <si>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</si>
  <si>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</si>
  <si>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</si>
  <si>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</si>
  <si>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</si>
  <si>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</si>
  <si>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</si>
  <si>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</si>
  <si>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</si>
  <si>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</si>
  <si>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</si>
  <si>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</si>
  <si>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</si>
  <si>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</si>
  <si>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</si>
  <si>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old</t>
  </si>
  <si>
    <t>状態異常耐性</t>
    <phoneticPr fontId="5"/>
  </si>
  <si>
    <t>ja</t>
    <phoneticPr fontId="5"/>
  </si>
  <si>
    <t>状態異常耐性</t>
    <phoneticPr fontId="5"/>
  </si>
  <si>
    <t>null</t>
    <phoneticPr fontId="5"/>
  </si>
  <si>
    <t>null</t>
    <phoneticPr fontId="5"/>
  </si>
  <si>
    <t>null</t>
    <phoneticPr fontId="5"/>
  </si>
  <si>
    <t>HP基礎値</t>
    <phoneticPr fontId="5"/>
  </si>
  <si>
    <t>基礎攻撃力</t>
    <phoneticPr fontId="5"/>
  </si>
  <si>
    <t>HP基礎値</t>
    <phoneticPr fontId="5"/>
  </si>
  <si>
    <t>基礎攻撃力</t>
    <phoneticPr fontId="5"/>
  </si>
  <si>
    <t>対赤属性</t>
    <phoneticPr fontId="5"/>
  </si>
  <si>
    <t>対赤属性</t>
    <phoneticPr fontId="5"/>
  </si>
  <si>
    <t>対赤属性</t>
    <phoneticPr fontId="5"/>
  </si>
  <si>
    <t>95 草薙京R5</t>
  </si>
  <si>
    <t>95 草薙京R6</t>
  </si>
  <si>
    <t>麻宮アテナR5</t>
  </si>
  <si>
    <t>麻宮アテナR6</t>
  </si>
  <si>
    <t>クリスR5</t>
  </si>
  <si>
    <t>クリスR6</t>
  </si>
  <si>
    <t>キングR5</t>
  </si>
  <si>
    <t>神楽ちづるR5</t>
  </si>
  <si>
    <t>神楽ちづるR6</t>
  </si>
  <si>
    <t>草薙京R5</t>
  </si>
  <si>
    <t>草薙京R6</t>
  </si>
  <si>
    <t>不知火舞R5</t>
  </si>
  <si>
    <t>不知火舞R6</t>
  </si>
  <si>
    <t>二階堂紅丸R5</t>
  </si>
  <si>
    <t>二階堂紅丸R6</t>
  </si>
  <si>
    <t>95草薙京 (主人公)</t>
  </si>
  <si>
    <t>麻宮アテナ (原作準拠)</t>
  </si>
  <si>
    <t>クリス＋炎のさだめのクリス (バグ枠・原作準拠)</t>
  </si>
  <si>
    <t>キング (原作準拠・ガチャ)</t>
  </si>
  <si>
    <t>神楽ちづる (原作準拠・ガチャ)</t>
  </si>
  <si>
    <t>二階堂紅丸 (原作準拠・ガチャ)</t>
  </si>
  <si>
    <t>不知火舞 (超当たり)</t>
  </si>
  <si>
    <t>草薙京 (超当たり)</t>
  </si>
  <si>
    <t>通常セリフ</t>
  </si>
  <si>
    <t>炎のさだめのクリスR6</t>
  </si>
  <si>
    <t>『レイブナス』</t>
  </si>
  <si>
    <t>備考</t>
    <phoneticPr fontId="5"/>
  </si>
  <si>
    <t>青、緑、黄パネルを赤のダメージパネルに変換+
2回連続攻撃</t>
    <phoneticPr fontId="5"/>
  </si>
  <si>
    <t>残りHPの90%ダメージ！</t>
    <phoneticPr fontId="5"/>
  </si>
  <si>
    <t>5ターン確率でダメージパネルがドロップ+状態異常耐性</t>
    <phoneticPr fontId="5"/>
  </si>
  <si>
    <t>8回連続攻撃</t>
    <phoneticPr fontId="5"/>
  </si>
  <si>
    <t>[effect:enemy_message, val1:1.2, val2:2.3],[effect:fix_speed, target:myself, turn:1],[effect:dis_panel, target:block_green, turn:3, animation:enemy_dis_green],[effect:dis_panel, target:block_blue, turn:3, animation:enemy_dis_blue],[effect:dis_heart, turn:3, animation:enemy_dis_heart],[effect:tolerance, target:myself, turn:-1, count:-1, tolerance_effect:all, animation:enemy_tolerance]</t>
  </si>
  <si>
    <t>[effect:enemy_message, val1:1.2, val2:1.3],[effect:damage_gravity, val:0.9, animation:fevergauge_down]</t>
  </si>
  <si>
    <t>『アウトレイジ』</t>
  </si>
  <si>
    <t>214
『メイヘム』</t>
    <phoneticPr fontId="5"/>
  </si>
  <si>
    <t>ダメージパネルを吸収して攻撃</t>
    <phoneticPr fontId="5"/>
  </si>
  <si>
    <t>『ミサンズロウブ』</t>
  </si>
  <si>
    <t>『ミサンズロウブ』</t>
    <phoneticPr fontId="5"/>
  </si>
  <si>
    <t>41236
『ディーサイド』</t>
    <phoneticPr fontId="5"/>
  </si>
  <si>
    <t>『ゴアフェスト』</t>
  </si>
  <si>
    <t>1ターン全ユニットのタップ回数を2DOWN+3回連続攻撃</t>
    <phoneticPr fontId="5"/>
  </si>
  <si>
    <t>『ネガティブゲイン』</t>
  </si>
  <si>
    <t>1ターン青属性の攻撃をカウンター+3回連続攻撃</t>
    <phoneticPr fontId="5"/>
  </si>
  <si>
    <t>特定エリアを緑のダメージパネルに変換+クリティカル！</t>
    <phoneticPr fontId="5"/>
  </si>
  <si>
    <t>41236
『ブラックンド』</t>
    <phoneticPr fontId="5"/>
  </si>
  <si>
    <t>ダメージパネルを吸収して攻撃</t>
    <phoneticPr fontId="5"/>
  </si>
  <si>
    <t>『ネガティブゲインMAX』</t>
  </si>
  <si>
    <t>2ターン全ユニットの攻撃力80%DOWN+5回連続攻撃</t>
    <phoneticPr fontId="5"/>
  </si>
  <si>
    <t>『ウィザリングサーフェスMAX』</t>
  </si>
  <si>
    <t>ダメージパネルを吸収して攻撃+1ターン攻撃力UP</t>
    <phoneticPr fontId="5"/>
  </si>
  <si>
    <t>『デスロウ』</t>
  </si>
  <si>
    <t>236+9
『デスペアー』</t>
    <phoneticPr fontId="5"/>
  </si>
  <si>
    <t>『メタルマサカー』</t>
  </si>
  <si>
    <t>特定エリアを赤のダメージパネルに変換+クリティカル！</t>
    <phoneticPr fontId="5"/>
  </si>
  <si>
    <t>盤面右
『ヘブンズゲイト』</t>
    <phoneticPr fontId="5"/>
  </si>
  <si>
    <t>特定エリアを赤のダメージパネルに変換+クリティカル！</t>
    <phoneticPr fontId="5"/>
  </si>
  <si>
    <t>盤面左
『ヘブンズゲイト』</t>
    <phoneticPr fontId="5"/>
  </si>
  <si>
    <t>5回連続攻撃</t>
    <phoneticPr fontId="5"/>
  </si>
  <si>
    <t>『エボニーティアーズ』</t>
  </si>
  <si>
    <t>特定エリアを黄のダメージパネルと
赤の時限式ダメージパネルに変換+3回連続攻撃</t>
    <phoneticPr fontId="5"/>
  </si>
  <si>
    <t>623+789
『サクラリッジ』</t>
    <phoneticPr fontId="5"/>
  </si>
  <si>
    <t>カウンター状態のユニットに大ダメージの3回連続攻撃</t>
    <phoneticPr fontId="5"/>
  </si>
  <si>
    <t>特定エリアを赤のダメージパネルに変換+クリティカル！</t>
    <phoneticPr fontId="5"/>
  </si>
  <si>
    <t>盤面右
『ヘブンズゲイトMAX』</t>
    <phoneticPr fontId="5"/>
  </si>
  <si>
    <t>特定エリアを赤のダメージパネルに変換+クリティカル！</t>
    <phoneticPr fontId="5"/>
  </si>
  <si>
    <t>盤面左
『ヘブンズゲイトMAX』</t>
    <phoneticPr fontId="5"/>
  </si>
  <si>
    <t>属性パネルを赤のダメージパネルに5個変換+
2回連続攻撃</t>
    <phoneticPr fontId="5"/>
  </si>
  <si>
    <t>2回連続攻撃+2ターン攻撃力UP</t>
    <phoneticPr fontId="5"/>
  </si>
  <si>
    <t xml:space="preserve">『外式・夢弾イメージ』 </t>
  </si>
  <si>
    <t>8000固定ダメージ</t>
    <phoneticPr fontId="5"/>
  </si>
  <si>
    <t>3回連続攻撃</t>
    <phoneticPr fontId="5"/>
  </si>
  <si>
    <t>『屑風』</t>
  </si>
  <si>
    <t>[effect:enemy_message, val1:1.2, val2:2.6],[effect:hungup, target:unit_blue, turn:2, rate:1, animation:hungup02],[effect:rush, count:3, val:0.35]</t>
  </si>
  <si>
    <t>[effect:enemy_message, val1:1.2, val2:2.8],[effect:degrade_unit, target:unit_all, turn:1, status:action, val:2, calc:add, animation:enemy_tap_down],[effect:rush, count:3, val:0.4]</t>
  </si>
  <si>
    <t>[effect:enemy_message, val1:1.2, val2:2.3],[effect:enemy_counter, target:myself, invoke_condition:unit_blue, counter_target:attacker, turn:1, val:0.1, animation:enemy_counter],[effect:rush, count:3, val:0.35]</t>
  </si>
  <si>
    <t>[effect:enemy_message, val1:1.2, val2:2.6],[effect:change_range_block, block_change:1, base_type:0, square_count:3, position01:3, value_h01:1, value_w01:1, position02:5, value_h02:1,  value_w02:1, position03:6, value_h03:1, value_w03:3, new_block:damage, target:block_all, ignore01:block_positive, count:0, val:0.05, animation:change_range_block],[effect:critical, val:1.2, animation:enemy_critical]</t>
  </si>
  <si>
    <t>[effect:enemy_message, val1:1.2, val2:1.2],[effect:rush, count:5, val:0.2]</t>
  </si>
  <si>
    <t>[effect:enemy_message, val1:1.2, val2:1.6],[effect:rush, count:2, val:0.5],[effect:enhance_enemy, target:myself, turn:2, status:attack, val:0.2, calc:mul, animation:enemy_enhance_attack]</t>
  </si>
  <si>
    <t>[effect:enemy_message, val1:1.2, val2:1.2],[effect:damage_fix_absolute, target:unit_one, val:8000]</t>
  </si>
  <si>
    <t>[effect:enemy_message, val1:1.2, val2:1.2],[effect:rush, count:3, val:0.35]</t>
  </si>
  <si>
    <t>ja</t>
  </si>
  <si>
    <t>2ターン青属性ユニットにスキルバインド+3回連続攻撃</t>
    <phoneticPr fontId="5"/>
  </si>
  <si>
    <t>3ターン青、緑、ハートパネル無効+状態異常耐性</t>
    <phoneticPr fontId="5"/>
  </si>
  <si>
    <t>カウンター状態のユニットに大ダメージの3回連続攻撃</t>
    <phoneticPr fontId="5"/>
  </si>
  <si>
    <t>残りHPの5%消費+赤パネルドロップ率UP+状態異常耐性</t>
    <phoneticPr fontId="5"/>
  </si>
  <si>
    <t>残りHPの5%消費+3回連続攻撃+攻撃力UP</t>
    <phoneticPr fontId="5"/>
  </si>
  <si>
    <t>null</t>
    <phoneticPr fontId="5"/>
  </si>
  <si>
    <t>[effect:enemy_message, val1:1.2, val2:1.4],[effect:break_attack_fix, target:unit_one, val:100, lowest_val:7000, count:-1, block01:damage]</t>
  </si>
  <si>
    <t>[effect:enemy_message, val1:1.2, val2:2.6],[effect:change_range_block, block_change:1, base_type:0, square_count:3, position01:3, value_h01:1, value_w01:1, position02:5, value_h02:1,  value_w02:1, position03:6, value_h03:1, value_w03:3, new_block:damage, target:block_all, ignore01:block_positive, count:0, val:0.02, animation:change_range_block],[effect:critical, val:1.2, animation:enemy_critical]</t>
  </si>
  <si>
    <t>[effect:enemy_message, val1:1.2, val2:2.7],[effect:force_change_block, new_block:damage, target:normal, count:5, val:0.02],[effect:rush, count:2, val:0.5]</t>
  </si>
  <si>
    <t>16666固定ダメージ</t>
    <phoneticPr fontId="5"/>
  </si>
  <si>
    <t>属性パネルを緑のダメージパネルに5個変換</t>
    <phoneticPr fontId="5"/>
  </si>
  <si>
    <t>[effect:enemy_message, val1:1.2, val2:1.2],[effect:damage_fix_absolute, target:unit_one, val:1111],[effect:damage_fix_absolute, target:unit_one, val:1111],[effect:damage_fix_absolute, target:unit_one, val:1111],[effect:damage_fix_absolute, target:unit_one, val:1111],[effect:damage_fix_absolute, target:unit_one, val:1111],[effect:damage_fix_absolute, target:unit_one, val:11111]</t>
  </si>
  <si>
    <t>ja</t>
    <phoneticPr fontId="5"/>
  </si>
  <si>
    <t>[effect:enemy_message, val1:1.2, val2:2.4],[effect:break_attack_fix, target:unit_one, val:100, lowest_val:7000, count:-1, block01:damage],[effect:enhance_enemy, target:myself, turn:1, status:attack, val:0.3, calc:mul, animation:enemy_enhance_attack]</t>
  </si>
  <si>
    <t>[表示しない]</t>
    <phoneticPr fontId="5"/>
  </si>
  <si>
    <t>[effect:enemy_message, val1:1.2, val2:0.0]</t>
  </si>
  <si>
    <t>はあぁぁぁぁぁ！</t>
  </si>
  <si>
    <t>[表示しない]</t>
    <phoneticPr fontId="5"/>
  </si>
  <si>
    <t>オ〜ホッホッホ！</t>
  </si>
  <si>
    <t xml:space="preserve">『外式・轟斧 陰“死神”』 </t>
    <phoneticPr fontId="5"/>
  </si>
  <si>
    <t>楽には死ねんぞ！</t>
  </si>
  <si>
    <t xml:space="preserve">『百式・鬼焼き』 </t>
    <phoneticPr fontId="5"/>
  </si>
  <si>
    <t xml:space="preserve">『百八式・闇払い』 </t>
    <phoneticPr fontId="5"/>
  </si>
  <si>
    <t>百弐拾七式・葵花』</t>
    <phoneticPr fontId="5"/>
  </si>
  <si>
    <t>[effect:enemy_message, val1:1.2, val2:2.2],[effect:suicide, val:0.05],[effect:rush, count:3, val:0.35],[effect:enhance_enemy, target:myself, turn:-1, status:attack, val:0.2 calc:mul, animation:enemy_enhance_attack]</t>
  </si>
  <si>
    <t>7ターン目。コンティニュー時セリフ</t>
    <phoneticPr fontId="5"/>
  </si>
  <si>
    <t>カウンター状態のユニットに大ダメージ</t>
    <phoneticPr fontId="5"/>
  </si>
  <si>
    <t>お邪魔パネルを赤のダメージパネルに変換+
青属性ダメージ40%軽減+状態異常耐性</t>
  </si>
  <si>
    <t>お邪魔パネルを赤のダメージパネルに変換+
青属性ダメージ40%軽減+状態異常耐性</t>
    <phoneticPr fontId="5"/>
  </si>
  <si>
    <t>青属性ダメージ40%軽減+状態異常耐性</t>
    <phoneticPr fontId="5"/>
  </si>
  <si>
    <t>[表示しない]</t>
    <phoneticPr fontId="5"/>
  </si>
  <si>
    <t>[effect:enemy_message, val1:1.3, val2:1.2],[effect:fix_speed, target:myself, turn:1],[effect:tolerance, target:myself, turn:-1, count:-1, tolerance_effect:all, animation:enemy_tolerance]</t>
  </si>
  <si>
    <t>[effect:enemy_message, val1:1.6, val2:2.7],[effect:attack_break, target:unit_all, turn:2, val:0.8, calc:mul, animation:attack_break02],[effect:rush, count:5, val:0.3]</t>
  </si>
  <si>
    <t>[effect:enemy_message, val1:1.2, val2:1.4]</t>
  </si>
  <si>
    <t>[effect:enemy_message, val1:2.1, val2:0.0]</t>
  </si>
  <si>
    <t>専用セリフ（共通）</t>
    <phoneticPr fontId="5"/>
  </si>
  <si>
    <t>[effect:enemy_message, val1:1.2, val2:2.6],[effect:fix_speed, target:myself, turn:1],[effect:drop_block, block_type:damage, color:block_red, val:0.05, rate:0.1, turn:5],[effect:drop_block, block_type:damage, color:block_green, val:0.05, rate:0.1, turn:5],[effect:drop_block, block_type:damage, color:block_blue, val:0.05, rate:0.1, turn:5],[effect:drop_block, block_type:damage, color:block_yellow, val:0.05, rate:0.1, turn:5, animation:damage_influence04],[effect:tolerance, target:myself, turn:-1, count:-1, tolerance_effect:all, animation:enemy_tolerance]</t>
  </si>
  <si>
    <t>[effect:enemy_message, val1:1.2, val2:3.9],[effect:reduction,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t>
  </si>
  <si>
    <t>[effect:enemy_message, val1:1.2, val2:2.7],[effect:force_change_block, new_block:damage, target:normal, count:5, val:0.05],[effect:rush, count:2, val:0.5]</t>
  </si>
  <si>
    <t>ハァーッハッハッハッハッ！！</t>
    <phoneticPr fontId="5"/>
  </si>
  <si>
    <t>complete</t>
  </si>
  <si>
    <t>『ノクターナルライツMAX』</t>
    <phoneticPr fontId="5"/>
  </si>
  <si>
    <t>[effect:enemy_message, val1:1.4, val2:1.2],[effect:fix_speed, target:myself, turn:1],[effect:tolerance, target:myself, turn:-1, count:-1, tolerance_effect:all, animation:enemy_tolerance]</t>
  </si>
  <si>
    <t>投技（『逆剥ぎ』『逆逆剥ぎ』)</t>
    <phoneticPr fontId="5"/>
  </si>
  <si>
    <t>『弐百拾弐式・琴月　陰』</t>
    <phoneticPr fontId="5"/>
  </si>
  <si>
    <t xml:space="preserve">『裏百八式・八酒杯』 </t>
    <phoneticPr fontId="5"/>
  </si>
  <si>
    <t>禁千弐百拾壱式・八稚女</t>
    <phoneticPr fontId="5"/>
  </si>
  <si>
    <t>[effect:enemy_message, val1:1.2, val2:1.4],[effect:break_attack_fix, target:unit_one, val:100, lowest_val:4000, count:-1, block01:damage]</t>
  </si>
  <si>
    <t>o</t>
    <phoneticPr fontId="5"/>
  </si>
  <si>
    <t>o</t>
    <phoneticPr fontId="5"/>
  </si>
  <si>
    <t>o</t>
    <phoneticPr fontId="5"/>
  </si>
  <si>
    <t>2ターン全ユニットの攻撃力40%DOWN+5回連続攻撃</t>
    <phoneticPr fontId="5"/>
  </si>
  <si>
    <t>[effect:enemy_message, val1:1.6, val2:2.7],[effect:attack_break, target:unit_all, turn:2, val:0.4, calc:mul, animation:attack_break02],[effect:rush, count:5, val:0.3]</t>
  </si>
  <si>
    <t>o</t>
    <phoneticPr fontId="5"/>
  </si>
  <si>
    <t>[effect:enemy_message, val1:1.2, val2:2.4],[effect:break_attack_fix, target:unit_one, val:100, lowest_val:4000, count:-1, block01:damage],[effect:enhance_enemy, target:myself, turn:1, status:attack, val:0.3, calc:mul, animation:enemy_enhance_attack]</t>
  </si>
  <si>
    <t>o</t>
    <phoneticPr fontId="5"/>
  </si>
  <si>
    <t>[effect:enemy_message, val1:1.2, val2:2.3],[effect:fix_speed, target:myself, turn:1],[effect:dis_panel, target:block_green, turn:2, animation:enemy_dis_green],[effect:dis_panel, target:block_blue, turn:2, animation:enemy_dis_blue],[effect:dis_heart, turn:2, animation:enemy_dis_heart],[effect:tolerance, target:myself, turn:-1, count:-1, tolerance_effect:all, animation:enemy_tolerance]</t>
  </si>
  <si>
    <t>o</t>
    <phoneticPr fontId="5"/>
  </si>
  <si>
    <t>お邪魔パネルを赤のダメージパネルに変換+
青属性ダメージ30%軽減+状態異常耐性</t>
  </si>
  <si>
    <t>お邪魔パネルを赤のダメージパネルに変換+
青属性ダメージ30%軽減+状態異常耐性</t>
    <phoneticPr fontId="5"/>
  </si>
  <si>
    <t>[effect:enemy_message, val1:1.2, val2:1.2],[effect:damage_fix_absolute, target:unit_one, val:5000]</t>
  </si>
  <si>
    <t>5000固定ダメージ</t>
    <phoneticPr fontId="5"/>
  </si>
  <si>
    <t>残りHPの60%ダメージ！</t>
    <phoneticPr fontId="5"/>
  </si>
  <si>
    <t>[effect:enemy_message, val1:1.2, val2:1.3],[effect:damage_gravity, val:0.6, animation:fevergauge_down]</t>
  </si>
  <si>
    <t>o</t>
    <phoneticPr fontId="5"/>
  </si>
  <si>
    <t>[effect:enemy_message, val1:1.2, val2:1.2],[effect:damage_fix_absolute, target:unit_one, val:1111],[effect:damage_fix_absolute, target:unit_one, val:1111],[effect:damage_fix_absolute, target:unit_one, val:1111],[effect:damage_fix_absolute, target:unit_one, val:1111],[effect:damage_fix_absolute, target:unit_one, val:1111],[effect:damage_fix_absolute, target:unit_one, val:4444]</t>
  </si>
  <si>
    <t>9999固定ダメージ</t>
    <phoneticPr fontId="5"/>
  </si>
  <si>
    <t>o</t>
    <phoneticPr fontId="5"/>
  </si>
  <si>
    <t>o</t>
    <phoneticPr fontId="5"/>
  </si>
  <si>
    <t>o</t>
    <phoneticPr fontId="5"/>
  </si>
  <si>
    <t>o</t>
    <phoneticPr fontId="5"/>
  </si>
  <si>
    <t>o</t>
    <phoneticPr fontId="5"/>
  </si>
  <si>
    <t>o</t>
    <phoneticPr fontId="5"/>
  </si>
  <si>
    <t>o</t>
    <phoneticPr fontId="5"/>
  </si>
  <si>
    <t>青属性ダメージ30%軽減+状態異常耐性</t>
    <phoneticPr fontId="5"/>
  </si>
  <si>
    <t>o</t>
    <phoneticPr fontId="5"/>
  </si>
  <si>
    <t>o</t>
    <phoneticPr fontId="5"/>
  </si>
  <si>
    <t>o</t>
    <phoneticPr fontId="5"/>
  </si>
  <si>
    <t>[effect:enemy_message, val1:1.2, val2:2.0],[effect:force_change_block, new_block:damage, target:normal, count:5, val:0.05]</t>
  </si>
  <si>
    <t>[effect:enemy_message, val1:1.2, val2:2.0],[effect:force_change_block, new_block:damage, target:normal, count:5, val:0.02]</t>
  </si>
  <si>
    <t>o</t>
    <phoneticPr fontId="5"/>
  </si>
  <si>
    <t>2ターン青、緑、ハートパネル無効+状態異常耐性</t>
    <phoneticPr fontId="5"/>
  </si>
  <si>
    <t>o</t>
    <phoneticPr fontId="5"/>
  </si>
  <si>
    <t>o</t>
    <phoneticPr fontId="5"/>
  </si>
  <si>
    <t>o</t>
    <phoneticPr fontId="5"/>
  </si>
  <si>
    <t>o</t>
    <phoneticPr fontId="5"/>
  </si>
  <si>
    <t>3ターン確率でダメージパネルがドロップ+状態異常耐性</t>
    <phoneticPr fontId="5"/>
  </si>
  <si>
    <t>[effect:enemy_message, val1:1.2, val2:2.6],[effect:fix_speed, target:myself, turn:1],[effect:drop_block, block_type:damage, color:block_red, val:0.02, rate:0.1, turn:3],[effect:drop_block, block_type:damage, color:block_green, val:0.02, rate:0.1, turn:3],[effect:drop_block, block_type:damage, color:block_blue, val:0.02, rate:0.1, turn:3],[effect:drop_block, block_type:damage, color:block_yellow, val:0.02, rate:0.1, turn:3, animation:damage_influence04],[effect:tolerance, target:myself, turn:-1, count:-1, tolerance_effect:all, animation:enemy_tolerance]</t>
  </si>
  <si>
    <t>o</t>
    <phoneticPr fontId="5"/>
  </si>
  <si>
    <t>o</t>
    <phoneticPr fontId="5"/>
  </si>
  <si>
    <t>o</t>
    <phoneticPr fontId="5"/>
  </si>
  <si>
    <t>o</t>
    <phoneticPr fontId="5"/>
  </si>
  <si>
    <t>[effect:enemy_message, val1:1.2, val2:3.9],[effect:reduction,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t>
  </si>
  <si>
    <t>o</t>
    <phoneticPr fontId="5"/>
  </si>
  <si>
    <t>o</t>
    <phoneticPr fontId="5"/>
  </si>
  <si>
    <t>o</t>
    <phoneticPr fontId="5"/>
  </si>
  <si>
    <t>o</t>
    <phoneticPr fontId="5"/>
  </si>
  <si>
    <t>o</t>
    <phoneticPr fontId="5"/>
  </si>
  <si>
    <t>クリティカル！</t>
    <phoneticPr fontId="5"/>
  </si>
  <si>
    <t>null</t>
    <phoneticPr fontId="5"/>
  </si>
  <si>
    <t>[effect:enemy_message, val1:1.2, val2:1.2],[effect:critical, val:1.1, animation:enemy_critical]</t>
  </si>
  <si>
    <t>[effect:enemy_message, val1:1.2, val2:3.8],[effect:change_range_block, block_change:1, base_type:0, square_count:3, position01:7, value_h01:1, value_w01:1, position02:5, value_h02:2,  value_w02:1, new_block:damage, target:block_all, ignore01:block_positive, count:0, val:0.05, animation:change_range_block],[effect:change_range_block, block_change:1, base_type:0, square_count:3, position01:0, value_h01:1, value_w01:3, new_block:time_bomb, target:block_all, ignore01:block_positive, color:block_red, count:0, val:0.1, min_time_count:3, max_time_count:3, animation:change_range_block],[effect:rush, count:3, val:0.35]</t>
  </si>
  <si>
    <t>[effect:enemy_message, val1:1.2, val2:2.6],[effect:force_change_block,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animation:change_range_block],[effect:enhance_enemy, target:myself, turn:-1, status:attack, val:0.3, calc:mul, animation:enemy_enhance_attack]</t>
  </si>
  <si>
    <t>特定エリアを赤パネルとお邪魔パネルに変換</t>
    <phoneticPr fontId="5"/>
  </si>
  <si>
    <t>特定エリアを赤パネルとお邪魔パネルに変換+攻撃力UP</t>
    <phoneticPr fontId="5"/>
  </si>
  <si>
    <t>[effect:enemy_message, val1:1.2, val2:3.8],[effect:change_range_block, block_change:1, base_type:0, square_count:3, position01:7, value_h01:1, value_w01:1, position02:5, value_h02:2,  value_w02:1, new_block:damage, target:block_all, ignore01:block_positive, count:0, val:0.02, animation:change_range_block],[effect:change_range_block, block_change:1, base_type:0, square_count:3, position01:0, value_h01:1, value_w01:3, new_block:time_bomb, target:block_all, ignore01:block_positive, color:block_red, count:0, val:0.05, min_time_count:3, max_time_count:3, animation:change_range_block],[effect:rush, count:3, val:0.35]</t>
  </si>
  <si>
    <t>[effect:enemy_message, val1:1.8, val2:3.9],[effect:reduction,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t>
  </si>
  <si>
    <t>[effect:enemy_message, val1:1.9, val2:3.9],[effect:reduction,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t>
  </si>
  <si>
    <t>[effect:enemy_message, val1:2.1, val2:3.9],[effect:reduction,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t>
  </si>
  <si>
    <t>[effect:enemy_message, val1:1.2, val2:2.0],[effect:force_change_block,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</t>
  </si>
  <si>
    <t>でやっ！</t>
    <phoneticPr fontId="5"/>
  </si>
  <si>
    <t>くたばれっ！</t>
    <phoneticPr fontId="5"/>
  </si>
  <si>
    <t>落ちろっ！</t>
    <phoneticPr fontId="5"/>
  </si>
  <si>
    <t>楽しいねぇ</t>
    <phoneticPr fontId="5"/>
  </si>
  <si>
    <t>ハンッ！　愚図が！</t>
    <phoneticPr fontId="5"/>
  </si>
  <si>
    <t>ふんっ！</t>
    <phoneticPr fontId="5"/>
  </si>
  <si>
    <t>ほおぉぉぉぉぉ！</t>
    <phoneticPr fontId="5"/>
  </si>
  <si>
    <t>怒らせんじゃないよ！　くたばれ！</t>
    <phoneticPr fontId="5"/>
  </si>
  <si>
    <t>満月の夜にまた会おうか</t>
    <phoneticPr fontId="5"/>
  </si>
  <si>
    <t>さあ、いらっしゃい</t>
    <phoneticPr fontId="5"/>
  </si>
  <si>
    <t>そこっ！</t>
    <phoneticPr fontId="5"/>
  </si>
  <si>
    <t>殺してあげる！</t>
    <phoneticPr fontId="5"/>
  </si>
  <si>
    <t>オ〜ホッホッホ！</t>
    <phoneticPr fontId="5"/>
  </si>
  <si>
    <t>そろそろおやすみの時間よ</t>
    <phoneticPr fontId="5"/>
  </si>
  <si>
    <t>アハハハハハ！</t>
    <phoneticPr fontId="5"/>
  </si>
  <si>
    <t>止まらないわ！</t>
    <phoneticPr fontId="5"/>
  </si>
  <si>
    <t>すぐ楽にしてやる…</t>
    <phoneticPr fontId="5"/>
  </si>
  <si>
    <t>ハッ！</t>
    <phoneticPr fontId="5"/>
  </si>
  <si>
    <t>邪魔だ！</t>
    <phoneticPr fontId="5"/>
  </si>
  <si>
    <t>おおぁぁ！　死ね！</t>
    <phoneticPr fontId="5"/>
  </si>
  <si>
    <t>この俺を相手にする運命を呪うんだな！</t>
    <phoneticPr fontId="5"/>
  </si>
  <si>
    <t>目障りな炎だな…まとめて燃やし尽くす！</t>
    <phoneticPr fontId="5"/>
  </si>
  <si>
    <t>これは俺と京の問題だ…邪魔だては許さんぞ！</t>
    <phoneticPr fontId="5"/>
  </si>
  <si>
    <t>京のライバル…？　くだらん！　失せろ！</t>
    <phoneticPr fontId="5"/>
  </si>
  <si>
    <t>燃えつきろ…潔くな</t>
    <phoneticPr fontId="5"/>
  </si>
  <si>
    <t>月を見るたび思い出せ！</t>
    <phoneticPr fontId="5"/>
  </si>
  <si>
    <t>う〜ん…面白い、やろうか！</t>
    <phoneticPr fontId="5"/>
  </si>
  <si>
    <t>そこだっ！</t>
    <phoneticPr fontId="5"/>
  </si>
  <si>
    <t>遅い！</t>
    <phoneticPr fontId="5"/>
  </si>
  <si>
    <t>でやっ！</t>
    <phoneticPr fontId="5"/>
  </si>
  <si>
    <t>くたばれっ！</t>
    <phoneticPr fontId="5"/>
  </si>
  <si>
    <t>落ちろっ！</t>
    <phoneticPr fontId="5"/>
  </si>
  <si>
    <t>楽しいねぇ</t>
    <phoneticPr fontId="5"/>
  </si>
  <si>
    <t>ハンッ！　愚図が！</t>
    <phoneticPr fontId="5"/>
  </si>
  <si>
    <t>痛いよぉ</t>
    <phoneticPr fontId="5"/>
  </si>
  <si>
    <t>さぁ、心地いい悲鳴を聞かせておくれ…小娘！</t>
    <phoneticPr fontId="5"/>
  </si>
  <si>
    <t>うっとおしいねえ…
あの親父の息子ってだけでムカつくんだよ！</t>
    <phoneticPr fontId="5"/>
  </si>
  <si>
    <t>最後ぐらい華々しく散りなよ！</t>
    <phoneticPr fontId="5"/>
  </si>
  <si>
    <t>ほぉおら！</t>
    <phoneticPr fontId="5"/>
  </si>
  <si>
    <t>ふんっ！</t>
    <phoneticPr fontId="5"/>
  </si>
  <si>
    <t>ほおぉぉぉぉぉ！</t>
    <phoneticPr fontId="5"/>
  </si>
  <si>
    <t>怒らせんじゃないよ！　くたばれ！</t>
    <phoneticPr fontId="5"/>
  </si>
  <si>
    <t>バカなぁぁぁぁ！！</t>
    <phoneticPr fontId="5"/>
  </si>
  <si>
    <t>さあ、いらっしゃい</t>
    <phoneticPr fontId="5"/>
  </si>
  <si>
    <t>そこっ！</t>
    <phoneticPr fontId="5"/>
  </si>
  <si>
    <t>殺してあげる！</t>
    <phoneticPr fontId="5"/>
  </si>
  <si>
    <t>オ〜ホッホッホ！</t>
    <phoneticPr fontId="5"/>
  </si>
  <si>
    <t>ハァッ！</t>
    <phoneticPr fontId="5"/>
  </si>
  <si>
    <t>オレが怖いのか？</t>
    <phoneticPr fontId="5"/>
  </si>
  <si>
    <t>ウオォォォォ！</t>
    <phoneticPr fontId="5"/>
  </si>
  <si>
    <t>はぁぁっ！</t>
    <phoneticPr fontId="5"/>
  </si>
  <si>
    <t>遊びは終わりだ！</t>
    <phoneticPr fontId="5"/>
  </si>
  <si>
    <t>泣け！　叫べ！</t>
    <phoneticPr fontId="5"/>
  </si>
  <si>
    <t>ククク…ハハハ…</t>
    <phoneticPr fontId="5"/>
  </si>
  <si>
    <t>このままでは終わらんぞおぉぉっ！</t>
    <phoneticPr fontId="5"/>
  </si>
  <si>
    <t>ja</t>
    <phoneticPr fontId="5"/>
  </si>
  <si>
    <t>庵は大きくよろけている！
【2ターン全ユニットのタップ回数を2UP】</t>
    <phoneticPr fontId="5"/>
  </si>
  <si>
    <t>ぐっ…馬鹿な…</t>
    <phoneticPr fontId="5"/>
  </si>
  <si>
    <t>調子に…乗るなよ…！</t>
    <phoneticPr fontId="5"/>
  </si>
  <si>
    <t>庵のガードを崩した！
【2ターン確率でCパネルがドロップ】</t>
    <phoneticPr fontId="5"/>
  </si>
  <si>
    <t>やるのね…でも、それも今だけよ…</t>
    <phoneticPr fontId="5"/>
  </si>
  <si>
    <t>マチュアは大きくよろけている！
【パネル無効を解除+
2ターン全ユニットのCパネル生成短縮(効果特大)】</t>
    <phoneticPr fontId="5"/>
  </si>
  <si>
    <t>バイスのガードを崩した！
【残りHPの100%消費+
2ターン全ユニットのCパネル生成短縮(効果特大)】</t>
    <phoneticPr fontId="5"/>
  </si>
  <si>
    <t>気に入らないねぇ…本当に気に入らない…</t>
    <phoneticPr fontId="5"/>
  </si>
  <si>
    <t>[effect:enemy_message, val1:1.9, val2:5.0],[effect:suicide, val:1],[effect:crash_condition, target:unit_all, turn:2, val:-4, animation:crash_panel_reduce04]</t>
  </si>
  <si>
    <t>[effect:enemy_message, val1:1.6, val2:5.0],[effect:remove_enhancement, target:unit_all, target_effect:dis_panel, animation:frozen_wave],[effect:remove_enhancement, target:unit_all, target_effect:dis_heart, animation:frozen_wave],[effect:crash_condition, target:unit_all, turn:2, val:-4, animation:crash_panel_reduce04]</t>
  </si>
  <si>
    <t>[effect:enemy_message, val1:1.2, val2:3.3],[effect:enhance_unit, target:unit_all, turn:2, status:action, val:2, calc:add]</t>
  </si>
  <si>
    <t>[effect:enemy_message, val1:1.8, val2:3.9],[effect:reduction,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t>
  </si>
  <si>
    <t>[effect:enemy_message, val1:1.9, val2:3.9],[effect:reduction,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t>
  </si>
  <si>
    <t>[effect:enemy_message, val1:2.1, val2:3.9],[effect:reduction,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t>
  </si>
  <si>
    <t>[effect:enemy_message, val1:1.2, val2:2.8],[effect:drop_block, block_type:crash, color:block_all, val:8, rate:0.1, turn:2, animation:crash_influence04]</t>
  </si>
  <si>
    <t>この俺を相手にする運命を呪うんだな！</t>
    <phoneticPr fontId="5"/>
  </si>
  <si>
    <t>目障りな炎だな…まとめて灰にしてやる！</t>
    <phoneticPr fontId="5"/>
  </si>
  <si>
    <t>残りHPの5%消費+フィーバーゲージ33%減少+
カウンター状態のユニットに大ダメージの3連続攻撃</t>
    <phoneticPr fontId="5"/>
  </si>
  <si>
    <t>特定エリアを緑のダメージパネルに変換+単体攻撃</t>
    <phoneticPr fontId="5"/>
  </si>
  <si>
    <t>特定エリアを緑の時限式パネルに変換+単体攻撃+
1ターン攻撃力UP</t>
    <phoneticPr fontId="5"/>
  </si>
  <si>
    <t>1ターン全ユニットの攻撃力40%DOWN+単体攻撃</t>
    <phoneticPr fontId="5"/>
  </si>
  <si>
    <t>特定エリアを黄のダメージパネルと
赤の時限式ダメージパネルに変換+単体攻撃</t>
    <phoneticPr fontId="5"/>
  </si>
  <si>
    <t>特定エリアを青の時限式ダメージパネルに変換+単体攻撃</t>
    <phoneticPr fontId="5"/>
  </si>
  <si>
    <t>特定エリアを緑のダメージパネルに変換+単体攻撃</t>
    <phoneticPr fontId="5"/>
  </si>
  <si>
    <t>特定エリアを緑の時限式パネルに変換+単体攻撃+
1ターン攻撃力UP</t>
    <phoneticPr fontId="5"/>
  </si>
  <si>
    <t>1ターン全ユニットの攻撃力80%DOWN+単体攻撃</t>
    <phoneticPr fontId="5"/>
  </si>
  <si>
    <t>特定エリアを黄のダメージパネルと
赤の時限式ダメージパネルに変換+単体攻撃</t>
    <phoneticPr fontId="5"/>
  </si>
  <si>
    <t>特定エリアを青の時限式ダメージパネルに変換+単体攻撃</t>
    <phoneticPr fontId="5"/>
  </si>
  <si>
    <t>[effect:enemy_message, val1:1.2, val2:2.3],[effect:change_range_block, block_change:1, base_type:0, square_count:3, position01:3, value_h01:1, value_w01:1, position02:6, value_h02:1, value_w02:2, new_block:damage, target:block_all, ignore01:block_positive, count:0, val:0.02, animation:change_range_block],[effect:rush, count:1, val:1.0]</t>
  </si>
  <si>
    <t>[effect:enemy_message, val1:1.2, val2:3.2],[effect:change_range_block, block_change:1, base_type:0, square_count:3, position01:3, value_h01:1, value_w01:1, position02:5, value_h02:1,  value_w02:1, position03:6, value_h03:1, value_w03:3, new_block:time_bomb, target:block_all, ignore01:block_positive, count:0, val:0.05, min_time_count:3, max_time_count:3, animation:change_range_block],[effect:rush, count:1, val:1.0],[effect:enhance_enemy, target:myself, turn:1, status:attack, val:0.3, calc:mul, animation:enemy_enhance_attack]</t>
  </si>
  <si>
    <t>[effect:enemy_message, val1:1.2, val2:2.5],[effect:attack_break, target:unit_all, turn:1, val:0.4, calc:mul, animation:attack_break02],[effect:rush, count:1, val:1.0]</t>
  </si>
  <si>
    <t>[effect:enemy_message, val1:1.2, val2:3.6],[effect:change_range_block, block_change:1, base_type:0, square_count:3, position01:7, value_h01:1, value_w01:1, position02:5, value_h02:2,  value_w02:1, new_block:damage, target:block_all, ignore01:block_positive, count:0, val:0.02, animation:change_range_block],[effect:change_range_block, block_change:1, base_type:0, square_count:3, position01:2, value_h01:1, value_w01:1, new_block:time_bomb, target:block_all, ignore01:block_positive, color:block_red, count:0, val:0.05, min_time_count:2, max_time_count:2, animation:change_range_block],[effect:rush, count:1, val:1.0]</t>
  </si>
  <si>
    <t>[effect:enemy_message, val1:1.2, val2:2.6],[effect:change_range_block, block_change:1, base_type:0, square_count:7, position01:21, value_h01:1, value_w01:7, new_block:time_bomb, target:block_all, ignore01:block_positive, color:block_blue, count:0, val:0.05, min_time_count:2, max_time_count:2, animation:change_range_block],[effect:rush, count:1, val:1.0]</t>
  </si>
  <si>
    <t>[effect:enemy_message, val1:1.2, val2:2.6],[effect:change_range_block, block_change:1, base_type:0, square_count:3, position01:2, value_h01:3, value_w01:1, new_block:damage, target:block_all, ignore01:block_positive, color:block_red, count:0, val:0.02, animation:change_range_block],[effect:critical, val:1.25, animation:enemy_critical]</t>
  </si>
  <si>
    <t>[effect:enemy_message, val1:1.2, val2:2.6],[effect:change_range_block, block_change:1, base_type:0, square_count:3, position01:0, value_h01:3, value_w01:1, new_block:damage, target:block_all, ignore01:block_positive, color:block_red, count:0, val:0.02, animation:change_range_block],[effect:critical, val:1.25, animation:enemy_critical]</t>
  </si>
  <si>
    <t>[effect:enemy_message, val1:1.2, val2:2.6],[effect:change_range_block, block_change:1, base_type:0, square_count:3, position01:2, value_h01:3, value_w01:1, new_block:damage, target:block_all, ignore01:block_positive, color:block_red, count:0, val:0.02, animation:change_range_block],[effect:critical, val:1.3, animation:enemy_critical]</t>
  </si>
  <si>
    <t>[effect:enemy_message, val1:1.2, val2:2.6],[effect:change_range_block, block_change:1, base_type:0, square_count:3, position01:0, value_h01:3, value_w01:1, new_block:damage, target:block_all, ignore01:block_positive, color:block_red, count:0, val:0.02, animation:change_range_block],[effect:critical, val:1.3, animation:enemy_critical]</t>
  </si>
  <si>
    <t>[effect:enemy_message, val1:1.2, val2:2.3],[effect:change_range_block, block_change:1, base_type:0, square_count:3, position01:3, value_h01:1, value_w01:1, position02:6, value_h02:1, value_w02:2, new_block:damage, target:block_all, ignore01:block_positive, count:0, val:0.05, animation:change_range_block],[effect:rush, count:1, val:1.0]</t>
  </si>
  <si>
    <t>[effect:enemy_message, val1:1.2, val2:3.2],[effect:change_range_block, block_change:1, base_type:0, square_count:3, position01:3, value_h01:1, value_w01:1, position02:5, value_h02:1,  value_w02:1, position03:6, value_h03:1, value_w03:3, new_block:time_bomb, target:block_all, ignore01:block_positive, count:0, val:0.1, min_time_count:3, max_time_count:3, animation:change_range_block],[effect:rush, count:1, val:1.0],[effect:enhance_enemy, target:myself, turn:1, status:attack, val:0.3, calc:mul, animation:enemy_enhance_attack]</t>
  </si>
  <si>
    <t>[effect:enemy_message, val1:1.2, val2:2.5],[effect:attack_break, target:unit_all, turn:1, val:0.8, calc:mul, animation:attack_break02],[effect:rush, count:1, val:1.0]</t>
  </si>
  <si>
    <t>[effect:enemy_message, val1:1.2, val2:3.6],[effect:change_range_block, block_change:1, base_type:0, square_count:3, position01:7, value_h01:1, value_w01:1, position02:5, value_h02:2,  value_w02:1, new_block:damage, target:block_all, ignore01:block_positive, count:0, val:0.05, animation:change_range_block],[effect:change_range_block, block_change:1, base_type:0, square_count:3, position01:2, value_h01:1, value_w01:1, new_block:time_bomb, target:block_all, ignore01:block_positive, color:block_red, count:0, val:0.1, min_time_count:2, max_time_count:2, animation:change_range_block],[effect:rush, count:1, val:1.0]</t>
  </si>
  <si>
    <t>[effect:enemy_message, val1:1.2, val2:2.6],[effect:change_range_block, block_change:1, base_type:0, square_count:7, position01:21, value_h01:1, value_w01:7, new_block:time_bomb, target:block_all, ignore01:block_positive, color:block_blue, count:0, val:0.1, min_time_count:2, max_time_count:2, animation:change_range_block],[effect:rush, count:1, val:1.0]</t>
  </si>
  <si>
    <t>[effect:enemy_message, val1:1.2, val2:2.6],[effect:change_range_block, block_change:1, base_type:0, square_count:3, position01:2, value_h01:3, value_w01:1, new_block:damage, target:block_all, ignore01:block_positive, color:block_red, count:0, val:0.05, animation:change_range_block],[effect:critical, val:1.25, animation:enemy_critical]</t>
  </si>
  <si>
    <t>[effect:enemy_message, val1:1.2, val2:2.6],[effect:change_range_block, block_change:1, base_type:0, square_count:3, position01:0, value_h01:3, value_w01:1, new_block:damage, target:block_all, ignore01:block_positive, color:block_red, count:0, val:0.05, animation:change_range_block],[effect:critical, val:1.25, animation:enemy_critical]</t>
  </si>
  <si>
    <t>[effect:enemy_message, val1:1.2, val2:2.6],[effect:change_range_block, block_change:1, base_type:0, square_count:3, position01:2, value_h01:3, value_w01:1, new_block:damage, target:block_all, ignore01:block_positive, color:block_red, count:0, val:0.05, animation:change_range_block],[effect:critical, val:1.3, animation:enemy_critical]</t>
  </si>
  <si>
    <t>[effect:enemy_message, val1:1.2, val2:2.6],[effect:change_range_block, block_change:1, base_type:0, square_count:3, position01:0, value_h01:3, value_w01:1, new_block:damage, target:block_all, ignore01:block_positive, color:block_red, count:0, val:0.05, animation:change_range_block],[effect:critical, val:1.3, animation:enemy_critical]</t>
  </si>
  <si>
    <t>[effect:enemy_message, val1:1.2, val2:3.6],[effect:suicide, val:0.05],[effect:sp_boost, target:unit_red, val:2],[effect:rush, count:1, val:1.0]</t>
  </si>
  <si>
    <t>[effect:enemy_message, val1:1.2, val2:1.2],[effect:rush, count:7, val:0.4],[effect:critical, val:20.0, animation:enemy_critical]</t>
  </si>
  <si>
    <t>どおしたぁっ！</t>
    <phoneticPr fontId="5"/>
  </si>
  <si>
    <t>バイスの2ゲージ目は青属性の攻撃にのみ
反撃するカウンターを使用します
青属性ユニットを編成している場合は
注意しましょう</t>
  </si>
  <si>
    <t>バイスの2ゲージ目は青属性の攻撃にのみ
反撃するカウンターを使用します
青属性ユニットを編成している場合は
注意しましょう</t>
    <phoneticPr fontId="5"/>
  </si>
  <si>
    <t>マチュアの2ゲージ目はHPが少なくなると
広範囲をお邪魔パネルに変換します
スキルやフィーバーで対応するか
発動前に一気に倒しましょう</t>
  </si>
  <si>
    <t>マチュアはカウンター状態のユニットに
大ダメージを与える連続攻撃を使用します
発動する場合はHPに余裕を持ちましょう</t>
  </si>
  <si>
    <t>マチュアはカウンター状態のユニットに
大ダメージを与える連続攻撃を使用します
発動する場合はHPに余裕を持ちましょう</t>
    <phoneticPr fontId="5"/>
  </si>
  <si>
    <t>八神庵の2ゲージ目はHPが一定以下の時
完全固定ダメージの連続攻撃を行います
発動前にはHPを一定以上に保ちましょう</t>
  </si>
  <si>
    <t>八神庵の3ゲージ目はターン経過で
即死攻撃を行ってきます
数ターン前に攻撃予告が入るので
倒しきれるよう準備しましょう</t>
  </si>
  <si>
    <t>八神庵の3ゲージ目はターン経過で
即死攻撃を行ってきます
数ターン前に攻撃予告が入るので
倒しきれるよう準備しましょう</t>
    <phoneticPr fontId="5"/>
  </si>
  <si>
    <t>マチュアの1ゲージ目は
HPが一定の範囲になると
パネル無効状態を解除します
ダメージ量を調整してみましょう</t>
  </si>
  <si>
    <t>マチュアの1ゲージ目は
HPが一定の範囲になると
パネル無効状態を解除します
ダメージ量を調整してみましょう</t>
    <phoneticPr fontId="5"/>
  </si>
  <si>
    <t>八神庵の2ゲージ目はHPが一定以下の時
完全固定ダメージの連続攻撃を行います
発動前にはHPを一定以上に保ちましょう</t>
    <phoneticPr fontId="5"/>
  </si>
  <si>
    <t>八神庵は盤面中央の縦一列を
お邪魔パネルに変換するスキルを使用します
スキルやフィーバーで対応できるように
しておくと良いでしょう</t>
  </si>
  <si>
    <t>八神庵は盤面中央の縦一列を
お邪魔パネルに変換するスキルを使用します
スキルやフィーバーで対応できるように
しておくと良いでしょう</t>
    <phoneticPr fontId="5"/>
  </si>
  <si>
    <t>マチュアの2ゲージ目はHPが少なくなると
広範囲をお邪魔パネルに変換します
スキルやフィーバーで対応するか
発動前に一気に倒しましょう</t>
    <phoneticPr fontId="5"/>
  </si>
  <si>
    <t>バイスの1ゲージ目はHPが少なくなると
全ユニットにCパネル生成短縮を付与し
自ら2ゲージ目へ移行します</t>
    <phoneticPr fontId="5"/>
  </si>
  <si>
    <t>2ターン全ユニットのタップ回数を2DOWN+5回連続攻撃</t>
    <phoneticPr fontId="5"/>
  </si>
  <si>
    <t>10回連続攻撃+特定エリアをお邪魔パネルに変換</t>
    <phoneticPr fontId="5"/>
  </si>
  <si>
    <t>特定エリアを赤のダメージパネルに変換+単体攻撃</t>
    <phoneticPr fontId="5"/>
  </si>
  <si>
    <t>特定エリアを赤のダメージパネルに変換+単体攻撃</t>
    <phoneticPr fontId="5"/>
  </si>
  <si>
    <t>残りHPの5%消費+特定エリアをお邪魔パネルに変換+
単体攻撃
【2ターン後超大ダメージ】</t>
    <phoneticPr fontId="5"/>
  </si>
  <si>
    <t>残りHPの5%消費
【次ターン超大ダメージ】</t>
    <phoneticPr fontId="5"/>
  </si>
  <si>
    <t>1ターンハートパネル無効
【次ターン固定ダメージの強力な連続攻撃】</t>
    <phoneticPr fontId="5"/>
  </si>
  <si>
    <t>そして…死ねぇぇぇ！</t>
    <phoneticPr fontId="5"/>
  </si>
  <si>
    <t>[effect:enemy_message, val1:1.2, val2:2.3],[effect:change_range_block, block_change:1, base_type:0, square_count:5, position01:20, value_h01:1, value_w01:5, new_block:damage, target:normal, count:0, val:0.02, animation:change_range_block],[effect:rush, count:1, val:1.0]</t>
  </si>
  <si>
    <t>[effect:enemy_message, val1:1.2, val2:2.8],[effect:degrade_unit, target:unit_all, turn:2, status:action, val:2, calc:add, animation:enemy_tap_down],[effect:rush, count:5, val:0.3]</t>
  </si>
  <si>
    <t>[effect:enemy_message, val1:1.2, val2:2.3],[effect:rush, count:10, val:0.1],[effect:change_range_block, block_change:1, base_type:0, square_count:7, position01:8, value_h01:1, value_w01:1, position02:12, value_h02:1, value_w02:1, position03:16, value_h03:3, value_w03:1, position04:18, value_h04:3, value_w04:1, position05:24, value_h05:1, value_w05:1, position06:36, value_h06:1, value_w06:1, position07:40, value_h07:1, value_w07:1, new_block:jammer, target:block_all, ignore01:block_positive, count:0, val:0, animation:change_range_block]</t>
  </si>
  <si>
    <t>[effect:enemy_message, val1:1.2, val2:2.3],[effect:change_range_block, block_change:1, base_type:0, square_count:5, position01:20, value_h01:1, value_w01:5, new_block:damage, target:normal, count:0, val:0.05, animation:change_range_block],[effect:rush, count:1, val:1.0]</t>
  </si>
  <si>
    <t>[effect:enemy_message, val1:1.2, val2:3.2],[effect:dis_heart, turn:1, animation:enemy_dis_heart]</t>
  </si>
  <si>
    <t>[effect:enemy_message, val1:1.2, val2:4.3],[effect:suicide, val:0.05],[effect:change_range_block, block_change:1, base_type:0, square_count:3, position01:1, value_h01:3, value_w01:1, new_block:jammer, target:block_all, ignore01:block_positive, count:0, val:0, animation:change_range_block],[effect:rush, count:1, val:1.0]</t>
  </si>
  <si>
    <t>[effect:enemy_message, val1:1.2, val2:2.1],[effect:suicide, val:0.05]</t>
  </si>
  <si>
    <t>八神庵の1、2ゲージ目は
HPが一定範囲になると
全ユニットに有利な効果を付与します
ダメージ量を調整出来れば
攻撃のチャンスです</t>
    <phoneticPr fontId="5"/>
  </si>
  <si>
    <t>満月の夜にまた逢おうか</t>
    <phoneticPr fontId="5"/>
  </si>
  <si>
    <t>月を見る度思い出せ！</t>
    <phoneticPr fontId="5"/>
  </si>
  <si>
    <t>ホラッ！　ホラッ！　ホラッ！</t>
    <phoneticPr fontId="5"/>
  </si>
  <si>
    <t>全て終わらせてやる…貴様の死をもってな！</t>
    <phoneticPr fontId="5"/>
  </si>
  <si>
    <t>もがけ、苦しめ、そして狂い散れ！！</t>
    <phoneticPr fontId="5"/>
  </si>
  <si>
    <t>その顔…覚えたぞ…貴様等…！</t>
    <phoneticPr fontId="5"/>
  </si>
  <si>
    <t>大門五郎R5</t>
  </si>
  <si>
    <t>リョウ・サカザキR5</t>
  </si>
  <si>
    <t>リョウ・サカザキR6</t>
  </si>
  <si>
    <t>ユリ・サカザキR5</t>
  </si>
  <si>
    <t>ユリ・サカザキR6</t>
  </si>
  <si>
    <t>ロバート・ガルシアR5</t>
  </si>
  <si>
    <t>テリー・ボガードR5</t>
  </si>
  <si>
    <t>テリー・ボガードR6</t>
  </si>
  <si>
    <t>アンディ・ボガードR5</t>
  </si>
  <si>
    <t>アンディ・ボガードR6</t>
  </si>
  <si>
    <t>ジョー・東R5</t>
  </si>
  <si>
    <t>八神庵R5</t>
  </si>
  <si>
    <t>八神庵R6</t>
  </si>
  <si>
    <t>バイスR5</t>
  </si>
  <si>
    <t>マチュアR5</t>
  </si>
  <si>
    <t>キムR5</t>
  </si>
  <si>
    <t>キムR6</t>
  </si>
  <si>
    <t>チョイ・ボンゲR4</t>
  </si>
  <si>
    <t>チャン・コーハンR4</t>
  </si>
  <si>
    <t>山崎 竜二R4</t>
  </si>
  <si>
    <t>山崎 竜二R5</t>
  </si>
  <si>
    <t>山崎 竜二R6</t>
  </si>
  <si>
    <t>事件の真相</t>
  </si>
  <si>
    <t>八神庵の目的</t>
  </si>
  <si>
    <t>血の暴走</t>
  </si>
  <si>
    <t>ウィルスによるものと思われていた暴走は
八神庵から溢れる瘴気によるものでした</t>
  </si>
  <si>
    <t>八神庵は今回の格闘大会で
格闘家として草薙京との対決を
渇望していたようです</t>
  </si>
  <si>
    <t>八神庵の中に流れるオロチの血は
きっかけがあると暴走する危険なものです
今回も血の暴走が影響しているようです</t>
  </si>
  <si>
    <t>バイスの1ゲージ目はHPが少なくなると
全ユニットにCパネル生成短縮を付与し
自ら2ゲージ目へ移行します</t>
  </si>
  <si>
    <t>八神庵の1、2ゲージ目は
HPが一定範囲になると
全ユニットに有利な効果を付与します
ダメージ量を調整出来れば
攻撃のチャンスです</t>
  </si>
  <si>
    <t>ホラッ！　ホラッ！　ホラッ！</t>
    <phoneticPr fontId="5"/>
  </si>
  <si>
    <t>外式・夢弾</t>
    <phoneticPr fontId="5"/>
  </si>
  <si>
    <t>外式・轟斧 陰“死神”</t>
    <phoneticPr fontId="5"/>
  </si>
  <si>
    <t>百式・鬼焼き</t>
    <phoneticPr fontId="5"/>
  </si>
  <si>
    <t>外式・百合折り</t>
    <phoneticPr fontId="5"/>
  </si>
  <si>
    <t>参百拾壱式・爪櫛</t>
    <phoneticPr fontId="5"/>
  </si>
  <si>
    <t>百弐拾七式・葵花</t>
    <phoneticPr fontId="5"/>
  </si>
  <si>
    <t>外式・轟斧 陰“死神”</t>
    <phoneticPr fontId="5"/>
  </si>
  <si>
    <t>身の程知らずが…高くつくぞ…！</t>
    <phoneticPr fontId="5"/>
  </si>
  <si>
    <t>身の程知らずが…高くつくぞ…！</t>
    <phoneticPr fontId="5"/>
  </si>
  <si>
    <t>全て終わらせてやる…貴様の死をもってな！</t>
    <phoneticPr fontId="5"/>
  </si>
  <si>
    <t>[effect:enemy_message, val1:1.2, val2:2.8],[effect:force_change_block, new_block:damage, target:normal, ignore01:block_red, ignore02:block_heart, count:0, val:0.02, animation:change_block],[effect:rush, count:2, val:0.5]</t>
  </si>
  <si>
    <t>[effect:enemy_message, val1:2.0, val2:3.9],[effect:reduction,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t>
  </si>
  <si>
    <t>[effect:enemy_message, val1:2.6, val2:3.9],[effect:reduction,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t>
  </si>
  <si>
    <t>[effect:enemy_message, val1:1.5, val2:1.9],[effect:fix_speed, target:myself, turn:1],[effect:reduction, target:myself, reduction_target:unit_blue, turn:-1, val:0.3, animation:reduction_one03],[effect:tolerance, target:myself, turn:-1, count:-1, tolerance_effect:all, animation:enemy_tolerance]</t>
  </si>
  <si>
    <t>[effect:enemy_message, val1:1.2, val2:2.8],[effect:force_change_block, new_block:damage, target:normal, ignore01:block_red, ignore02:block_heart, count:0, val:0.05, animation:change_block],[effect:rush, count:2, val:0.5]</t>
  </si>
  <si>
    <t>[effect:enemy_message, val1:2.0, val2:3.9],[effect:reduction,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t>
  </si>
  <si>
    <t>[effect:enemy_message, val1:2.6, val2:3.9],[effect:reduction,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t>
  </si>
  <si>
    <t>[effect:enemy_message, val1:1.5, val2:1.9],[effect:fix_speed, target:myself, turn:1],[effect:reduction, target:myself, reduction_target:unit_blue, turn:-1, val:0.4, animation:reduction_one03],[effect:tolerance, target:myself, turn:-1, count:-1, tolerance_effect:all, animation:enemy_tolerance]</t>
  </si>
  <si>
    <t>[effect:enemy_message, val1:1.7, val2:2.8],[effect:fix_speed, target:myself, turn:1],[effect:suicide, val:0.05],[effect:change_panel_ratio, turn:-1, block_type:red, val:0.3, animation:block_incidence04],[effect:tolerance, target:myself, turn:-1, count:-1, tolerance_effect:all, animation:enemy_tolerance]</t>
  </si>
  <si>
    <t>[effect:enemy_message, val1:1.9, val2:0.0]</t>
  </si>
  <si>
    <t>赤・黄属性ユニットのスキルターンを2ターン短縮+
状態異常耐性</t>
  </si>
  <si>
    <t>残りHPの5%消費+単体攻撃+
赤属性ユニットのスキルターンを2ターン短縮</t>
  </si>
  <si>
    <t>蝶などと…
くだらん、ならばその羽ごと切り刻んでやる…</t>
  </si>
  <si>
    <t>蝶などと…
くだらん、ならばその羽ごと切り刻んでやる…</t>
    <phoneticPr fontId="5"/>
  </si>
  <si>
    <t>[effect:enemy_message, val1:1.2, val2:4.8],[effect:suicide, val:0.05],[effect:degrade_fever, val:330, animation:fevergauge_down],[effect:damage_anti_abnormal, target:unit_one, target_effect01:counter_new, option:1, val1:0.6, val2:0.3],[effect:damage_anti_abnormal, target:unit_one, target_effect01:counter_new, option:1, val1:0.6, val2:0.3],[effect:damage_anti_abnormal, target:unit_one, target_effect01:counter_new, option:1, val1:0.8, val2:0.4]</t>
    <phoneticPr fontId="5"/>
  </si>
  <si>
    <t>[effect:enemy_message, val1:1.2, val2:1.8],[effect:damage_anti_abnormal, target:unit_one, target_effect01:counter_new, option:1, val1:2.0, val2:1.0]</t>
    <phoneticPr fontId="5"/>
  </si>
  <si>
    <t>[effect:enemy_message, val1:1.4, val2:2.5],[effect:damage_anti_abnormal, target:unit_one, target_effect01:counter_new, option:1, val1:0.5, val2:0.3],[effect:damage_anti_abnormal, target:unit_one, target_effect01:counter_new, option:1, val1:0.5, val2:0.3],[effect:damage_anti_abnormal, target:unit_one, target_effect01:counter_new, option:1, val1:0.7, val2:0.4]</t>
    <phoneticPr fontId="5"/>
  </si>
  <si>
    <t>[effect:enemy_message, val1:1.2, val2:1.4],[effect:break_attack_fix, target:unit_one, val:100, lowest_val:7000, count:-1, block01:damage]</t>
    <phoneticPr fontId="5"/>
  </si>
  <si>
    <t>[effect:enemy_message, val1:1.4, val2:2.5],[effect:damage_anti_abnormal, target:unit_one, target_effect01:counter_new, option:1, val1:1.0, val2:0.3],[effect:damage_anti_abnormal, target:unit_one, target_effect01:counter_new, option:1, val1:1.0, val2:0.3],[effect:damage_anti_abnormal, target:unit_one, target_effect01:counter_new, option:1, val1:1.0, val2:0.3]</t>
    <phoneticPr fontId="5"/>
  </si>
  <si>
    <t>base_character_id</t>
    <phoneticPr fontId="5"/>
  </si>
  <si>
    <t>base_character_id</t>
    <phoneticPr fontId="5"/>
  </si>
  <si>
    <t>full_member</t>
    <phoneticPr fontId="5"/>
  </si>
  <si>
    <t>null</t>
    <phoneticPr fontId="5"/>
  </si>
  <si>
    <t>unit</t>
  </si>
  <si>
    <t>null</t>
    <phoneticPr fontId="5"/>
  </si>
  <si>
    <t>ケリは…つけたぜ！！！</t>
  </si>
  <si>
    <t>ケリは…つけたぜ！！！</t>
    <phoneticPr fontId="5"/>
  </si>
  <si>
    <t>草薙京</t>
  </si>
  <si>
    <t>草薙京</t>
    <phoneticPr fontId="5"/>
  </si>
  <si>
    <t>二階堂紅丸</t>
  </si>
  <si>
    <t>いったい何にしびれてる？
電撃か？それとも俺の美貌にかい？</t>
  </si>
  <si>
    <t>いったい何にしびれてる？
電撃か？それとも俺の美貌にかい？</t>
    <phoneticPr fontId="5"/>
  </si>
  <si>
    <t>大門五郎</t>
  </si>
  <si>
    <t>これが答えだ…！</t>
  </si>
  <si>
    <t>リョウ・サカザキ</t>
  </si>
  <si>
    <t>絶対無比の空手！
それが極限流だ！覚えておく事だぜ！</t>
  </si>
  <si>
    <t>絶対無比の空手！
それが極限流だ！覚えておく事だぜ！</t>
    <phoneticPr fontId="5"/>
  </si>
  <si>
    <t>ユリ・サカザキ</t>
  </si>
  <si>
    <t>勝負は勝負！
負けたからってスネちゃダメよ！</t>
  </si>
  <si>
    <t>勝負は勝負！
負けたからってスネちゃダメよ！</t>
    <phoneticPr fontId="5"/>
  </si>
  <si>
    <t>ロバート・ガルシア</t>
  </si>
  <si>
    <t>ワイの力みくびるなんて
まだまだ、ひよっこって事やな！</t>
  </si>
  <si>
    <t>ワイの力みくびるなんて
まだまだ、ひよっこって事やな！</t>
    <phoneticPr fontId="5"/>
  </si>
  <si>
    <t>テリー・ボガード</t>
  </si>
  <si>
    <t>甘い夢を見続けるなら、
夢の中だけで十分だぜ！
現実は厳しいって事だ！</t>
  </si>
  <si>
    <t>甘い夢を見続けるなら、
夢の中だけで十分だぜ！
現実は厳しいって事だ！</t>
    <phoneticPr fontId="5"/>
  </si>
  <si>
    <t>アンディ・ボガード</t>
  </si>
  <si>
    <t>相手の力量を見誤ると大怪我するよ。
気をつけるんだ！</t>
  </si>
  <si>
    <t>相手の力量を見誤ると大怪我するよ。
気をつけるんだ！</t>
    <phoneticPr fontId="5"/>
  </si>
  <si>
    <t>ジョー・東</t>
  </si>
  <si>
    <t>勝利者はいつもこの俺！ジョー東様よ！
そこんとこ勘違いしちゃいけねーぜ！</t>
  </si>
  <si>
    <t>勝利者はいつもこの俺！ジョー東様よ！
そこんとこ勘違いしちゃいけねーぜ！</t>
    <phoneticPr fontId="5"/>
  </si>
  <si>
    <t>不知火舞</t>
  </si>
  <si>
    <t>私の扇子はタダの飾りじゃないわけよ。
それくらい知ってると思ったけどね</t>
  </si>
  <si>
    <t>神楽ちづる</t>
  </si>
  <si>
    <t>憎しみに支配された拳は、
いつか己の身すら滅ぼしてしまうでしょう</t>
  </si>
  <si>
    <t>憎しみに支配された拳は、
いつか己の身すら滅ぼしてしまうでしょう</t>
    <phoneticPr fontId="5"/>
  </si>
  <si>
    <t>キング</t>
  </si>
  <si>
    <t>戦いに性別は関係ない。
最後に立っていた奴が、強者だ！
わかるだろ！</t>
  </si>
  <si>
    <t>戦いに性別は関係ない。
最後に立っていた奴が、強者だ！
わかるだろ！</t>
    <phoneticPr fontId="5"/>
  </si>
  <si>
    <t>八神庵</t>
  </si>
  <si>
    <t>無力さは罪ということだ！
そのままブザマに朽ち果てろ！！</t>
  </si>
  <si>
    <t>バイス</t>
  </si>
  <si>
    <t>マチュア</t>
  </si>
  <si>
    <t>キム・カッファン</t>
  </si>
  <si>
    <t>チョイ・ボンゲ</t>
  </si>
  <si>
    <t>チャン・コーハン</t>
  </si>
  <si>
    <t>天使か悪魔のどっちだい？
見えてくるはずだよ、そろそろね！！</t>
  </si>
  <si>
    <t>おやすみなさい。百万回のごきげんよう…</t>
  </si>
  <si>
    <t>おやすみなさい。百万回のごきげんよう…</t>
    <phoneticPr fontId="5"/>
  </si>
  <si>
    <t>いい試合でした。
私もつい本気になってしまったようです！
ハッハッハ！！</t>
  </si>
  <si>
    <t>いい試合でした。
私もつい本気になってしまったようです！
ハッハッハ！！</t>
    <phoneticPr fontId="5"/>
  </si>
  <si>
    <t>ってゆっかー、じぶんらよわすぎぃー、
みたいなぁーでヤンスぅー</t>
  </si>
  <si>
    <t>ってゆっかー、じぶんらよわすぎぃー、
みたいなぁーでヤンスぅー</t>
    <phoneticPr fontId="5"/>
  </si>
  <si>
    <t>なんでぇ。
もう、オレのオモチャが壊れちまったぜ！！
面白くねえな！</t>
  </si>
  <si>
    <t>なんでぇ。
もう、オレのオモチャが壊れちまったぜ！！
面白くねえな！</t>
    <phoneticPr fontId="5"/>
  </si>
  <si>
    <t>'95 草薙京</t>
  </si>
  <si>
    <t>八神よ！オレを殺すには力不足だぜ！
八神家もお前で終わりだな！</t>
  </si>
  <si>
    <t>八神よ！オレを殺すには力不足だぜ！
八神家もお前で終わりだな！</t>
    <phoneticPr fontId="5"/>
  </si>
  <si>
    <t>クリス</t>
  </si>
  <si>
    <t>クリス</t>
    <phoneticPr fontId="5"/>
  </si>
  <si>
    <t>くすっ。そんなに怖い顔しないでよ…</t>
  </si>
  <si>
    <t>山崎竜二</t>
  </si>
  <si>
    <t>山崎竜二</t>
    <phoneticPr fontId="5"/>
  </si>
  <si>
    <t>いちいちシャクに触る野郎だなぁ！
沈めるぞ！！</t>
  </si>
  <si>
    <t>いちいちシャクに触る野郎だなぁ！
沈めるぞ！！</t>
    <phoneticPr fontId="5"/>
  </si>
  <si>
    <t>麻宮アテナ</t>
  </si>
  <si>
    <t>これ、最近出した私のアルバムです。
よければ聴いて下さいね！</t>
  </si>
  <si>
    <t>ナイスバディで最強の格闘家の
私に勝とうなんてやっぱ、無謀って感じぃ！</t>
    <phoneticPr fontId="5"/>
  </si>
  <si>
    <t>失せろ！キサマ等にくれてやるのは
痛み、苦しみという名の慈悲だけだ！！！</t>
    <phoneticPr fontId="5"/>
  </si>
  <si>
    <t>意識が無くなるまでしばらくあるよ。
好きな歌でも口ずさんで待つんだね</t>
    <phoneticPr fontId="5"/>
  </si>
  <si>
    <t>おしまいですか？ふふっ、つまんないの！</t>
    <phoneticPr fontId="5"/>
  </si>
  <si>
    <t>全身全霊をかけた試合、楽しかったです。
ありがとうございました！</t>
    <phoneticPr fontId="5"/>
  </si>
  <si>
    <t>[effect:enemy_message, val1:2.1, val2:3.0],[effect:fix_speed, target:myself, turn:1],[effect:sp_boost, target:unit_red/unit_yellow/or, val:2],[effect:tolerance, target:myself, turn:-1, count:-1, tolerance_effect:all, animation:enemy_tolerance]</t>
    <phoneticPr fontId="5"/>
  </si>
  <si>
    <t>[effect:enemy_message, val1:2.9, val2:3.0],[effect:fix_speed, target:myself, turn:1],[effect:sp_boost, target:unit_red/unit_yellow/or, val:2],[effect:tolerance, target:myself, turn:-1, count:-1, tolerance_effect:all, animation:enemy_tolerance]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</si>
</sst>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"/>
    <numFmt numFmtId="178" formatCode="0.0000"/>
  </numFmts>
  <fonts count="5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1"/>
      <color indexed="81"/>
      <name val="ＭＳ Ｐゴシック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color rgb="FF7030A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B0F0"/>
      <name val="ＭＳ Ｐゴシック"/>
      <family val="3"/>
      <charset val="128"/>
      <scheme val="minor"/>
    </font>
    <font>
      <sz val="9.6"/>
      <color rgb="FFFF0000"/>
      <name val="ＭＳ Ｐゴシック"/>
      <family val="2"/>
      <charset val="128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1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8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176" fontId="4" fillId="33" borderId="3" xfId="0" applyNumberFormat="1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6" fillId="34" borderId="3" xfId="0" applyFont="1" applyFill="1" applyBorder="1" applyAlignment="1">
      <alignment vertical="center"/>
    </xf>
    <xf numFmtId="0" fontId="4" fillId="33" borderId="7" xfId="0" applyFont="1" applyFill="1" applyBorder="1" applyAlignment="1">
      <alignment horizontal="center" vertical="center"/>
    </xf>
    <xf numFmtId="0" fontId="6" fillId="33" borderId="7" xfId="0" applyFont="1" applyFill="1" applyBorder="1" applyAlignment="1">
      <alignment vertical="center"/>
    </xf>
    <xf numFmtId="0" fontId="8" fillId="33" borderId="4" xfId="0" applyFont="1" applyFill="1" applyBorder="1" applyAlignment="1">
      <alignment vertical="center"/>
    </xf>
    <xf numFmtId="177" fontId="8" fillId="33" borderId="4" xfId="0" applyNumberFormat="1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6" fillId="33" borderId="3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3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53" fillId="0" borderId="12" xfId="0" applyFont="1" applyFill="1" applyBorder="1" applyAlignment="1">
      <alignment vertical="center"/>
    </xf>
    <xf numFmtId="0" fontId="53" fillId="13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3" fillId="35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horizontal="left" vertical="center" wrapText="1"/>
    </xf>
    <xf numFmtId="0" fontId="54" fillId="35" borderId="7" xfId="0" applyFont="1" applyFill="1" applyBorder="1" applyAlignment="1">
      <alignment horizontal="left" vertical="center" wrapText="1"/>
    </xf>
    <xf numFmtId="1" fontId="8" fillId="37" borderId="24" xfId="0" applyNumberFormat="1" applyFont="1" applyFill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54" fillId="35" borderId="7" xfId="0" applyFont="1" applyFill="1" applyBorder="1" applyAlignment="1">
      <alignment vertical="center"/>
    </xf>
    <xf numFmtId="0" fontId="54" fillId="35" borderId="7" xfId="0" applyFont="1" applyFill="1" applyBorder="1" applyAlignment="1">
      <alignment horizontal="left" vertical="center"/>
    </xf>
    <xf numFmtId="0" fontId="54" fillId="35" borderId="7" xfId="0" quotePrefix="1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horizontal="left" vertical="center"/>
    </xf>
    <xf numFmtId="0" fontId="55" fillId="0" borderId="7" xfId="0" applyFont="1" applyFill="1" applyBorder="1" applyAlignment="1">
      <alignment vertical="center"/>
    </xf>
    <xf numFmtId="0" fontId="55" fillId="0" borderId="7" xfId="0" applyFont="1" applyFill="1" applyBorder="1" applyAlignment="1">
      <alignment horizontal="left" vertical="center"/>
    </xf>
    <xf numFmtId="0" fontId="55" fillId="0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horizontal="left" vertical="center" wrapText="1"/>
    </xf>
    <xf numFmtId="0" fontId="16" fillId="6" borderId="12" xfId="0" applyFont="1" applyFill="1" applyBorder="1" applyAlignment="1">
      <alignment horizontal="left" vertical="center" wrapText="1"/>
    </xf>
    <xf numFmtId="0" fontId="55" fillId="6" borderId="7" xfId="0" applyFont="1" applyFill="1" applyBorder="1" applyAlignment="1">
      <alignment horizontal="left" vertical="center" wrapText="1"/>
    </xf>
    <xf numFmtId="0" fontId="54" fillId="6" borderId="7" xfId="0" applyFont="1" applyFill="1" applyBorder="1" applyAlignment="1">
      <alignment horizontal="left" vertical="center" wrapText="1"/>
    </xf>
    <xf numFmtId="0" fontId="54" fillId="6" borderId="7" xfId="0" quotePrefix="1" applyFont="1" applyFill="1" applyBorder="1" applyAlignment="1">
      <alignment horizontal="left" vertical="center" wrapText="1"/>
    </xf>
    <xf numFmtId="0" fontId="55" fillId="35" borderId="7" xfId="0" applyFont="1" applyFill="1" applyBorder="1" applyAlignment="1">
      <alignment horizontal="left" vertical="center" wrapText="1"/>
    </xf>
    <xf numFmtId="0" fontId="55" fillId="13" borderId="7" xfId="0" applyFont="1" applyFill="1" applyBorder="1" applyAlignment="1">
      <alignment horizontal="left" vertical="center" wrapText="1"/>
    </xf>
    <xf numFmtId="0" fontId="54" fillId="13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39" borderId="7" xfId="0" applyFont="1" applyFill="1" applyBorder="1"/>
    <xf numFmtId="0" fontId="28" fillId="39" borderId="7" xfId="0" applyFont="1" applyFill="1" applyBorder="1"/>
    <xf numFmtId="0" fontId="29" fillId="0" borderId="12" xfId="0" applyFont="1" applyFill="1" applyBorder="1" applyAlignment="1">
      <alignment horizontal="right"/>
    </xf>
    <xf numFmtId="0" fontId="30" fillId="13" borderId="7" xfId="0" applyFont="1" applyFill="1" applyBorder="1"/>
    <xf numFmtId="0" fontId="29" fillId="13" borderId="12" xfId="0" applyFont="1" applyFill="1" applyBorder="1" applyAlignment="1">
      <alignment vertical="center"/>
    </xf>
    <xf numFmtId="0" fontId="29" fillId="13" borderId="12" xfId="0" applyFont="1" applyFill="1" applyBorder="1" applyAlignment="1">
      <alignment horizontal="right"/>
    </xf>
    <xf numFmtId="0" fontId="31" fillId="13" borderId="7" xfId="0" applyFont="1" applyFill="1" applyBorder="1"/>
    <xf numFmtId="38" fontId="16" fillId="13" borderId="7" xfId="628" applyFont="1" applyFill="1" applyBorder="1" applyAlignment="1">
      <alignment wrapText="1"/>
    </xf>
    <xf numFmtId="0" fontId="53" fillId="33" borderId="7" xfId="0" applyFont="1" applyFill="1" applyBorder="1" applyAlignment="1">
      <alignment vertical="center"/>
    </xf>
    <xf numFmtId="0" fontId="53" fillId="38" borderId="7" xfId="0" applyFont="1" applyFill="1" applyBorder="1" applyAlignment="1">
      <alignment vertical="center"/>
    </xf>
    <xf numFmtId="0" fontId="53" fillId="39" borderId="7" xfId="0" applyFont="1" applyFill="1" applyBorder="1" applyAlignment="1">
      <alignment vertical="center"/>
    </xf>
    <xf numFmtId="0" fontId="53" fillId="39" borderId="23" xfId="0" applyFont="1" applyFill="1" applyBorder="1" applyAlignment="1">
      <alignment vertical="center"/>
    </xf>
    <xf numFmtId="0" fontId="16" fillId="13" borderId="23" xfId="0" applyFont="1" applyFill="1" applyBorder="1" applyAlignment="1">
      <alignment vertical="center"/>
    </xf>
    <xf numFmtId="0" fontId="16" fillId="13" borderId="23" xfId="0" applyFont="1" applyFill="1" applyBorder="1" applyAlignment="1">
      <alignment horizontal="left" vertical="center"/>
    </xf>
    <xf numFmtId="0" fontId="16" fillId="13" borderId="23" xfId="0" applyFont="1" applyFill="1" applyBorder="1" applyAlignment="1">
      <alignment horizontal="left" vertical="center" wrapText="1"/>
    </xf>
    <xf numFmtId="0" fontId="16" fillId="6" borderId="23" xfId="0" applyFont="1" applyFill="1" applyBorder="1" applyAlignment="1">
      <alignment horizontal="left" vertical="center" wrapText="1"/>
    </xf>
    <xf numFmtId="0" fontId="55" fillId="13" borderId="7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53" fillId="38" borderId="23" xfId="0" applyFont="1" applyFill="1" applyBorder="1" applyAlignment="1">
      <alignment vertical="center"/>
    </xf>
    <xf numFmtId="0" fontId="16" fillId="36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56" fillId="0" borderId="7" xfId="0" applyFont="1" applyFill="1" applyBorder="1" applyAlignment="1">
      <alignment vertical="center"/>
    </xf>
    <xf numFmtId="0" fontId="0" fillId="40" borderId="7" xfId="615" applyFont="1" applyFill="1" applyBorder="1"/>
    <xf numFmtId="0" fontId="57" fillId="13" borderId="7" xfId="0" applyFont="1" applyFill="1" applyBorder="1"/>
    <xf numFmtId="38" fontId="53" fillId="13" borderId="7" xfId="628" applyFont="1" applyFill="1" applyBorder="1" applyAlignment="1">
      <alignment wrapText="1"/>
    </xf>
    <xf numFmtId="0" fontId="57" fillId="0" borderId="7" xfId="0" applyFont="1" applyFill="1" applyBorder="1"/>
    <xf numFmtId="38" fontId="53" fillId="0" borderId="7" xfId="628" applyFont="1" applyFill="1" applyBorder="1" applyAlignment="1">
      <alignment wrapText="1"/>
    </xf>
    <xf numFmtId="0" fontId="0" fillId="0" borderId="7" xfId="0" applyFill="1" applyBorder="1"/>
  </cellXfs>
  <cellStyles count="71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赤字強調" xfId="431"/>
    <cellStyle name="青字強調" xfId="4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48504</v>
          </cell>
        </row>
        <row r="263">
          <cell r="A263">
            <v>48701</v>
          </cell>
        </row>
        <row r="264">
          <cell r="A264">
            <v>48702</v>
          </cell>
        </row>
        <row r="265">
          <cell r="A265">
            <v>41001</v>
          </cell>
        </row>
        <row r="266">
          <cell r="A266">
            <v>41002</v>
          </cell>
        </row>
        <row r="267">
          <cell r="A267">
            <v>41003</v>
          </cell>
        </row>
        <row r="268">
          <cell r="A268">
            <v>41004</v>
          </cell>
        </row>
        <row r="269">
          <cell r="A269">
            <v>41005</v>
          </cell>
        </row>
        <row r="270">
          <cell r="A270">
            <v>41006</v>
          </cell>
        </row>
        <row r="271">
          <cell r="A271">
            <v>41007</v>
          </cell>
        </row>
        <row r="272">
          <cell r="A272">
            <v>41008</v>
          </cell>
        </row>
        <row r="273">
          <cell r="A273">
            <v>41009</v>
          </cell>
        </row>
        <row r="274">
          <cell r="A274">
            <v>41010</v>
          </cell>
        </row>
        <row r="275">
          <cell r="A275">
            <v>41011</v>
          </cell>
        </row>
        <row r="276">
          <cell r="A276">
            <v>41012</v>
          </cell>
        </row>
        <row r="277">
          <cell r="A277">
            <v>41013</v>
          </cell>
        </row>
        <row r="278">
          <cell r="A278">
            <v>41014</v>
          </cell>
        </row>
        <row r="279">
          <cell r="A279">
            <v>41015</v>
          </cell>
        </row>
        <row r="280">
          <cell r="A280">
            <v>47001</v>
          </cell>
        </row>
        <row r="281">
          <cell r="A281">
            <v>47002</v>
          </cell>
        </row>
        <row r="282">
          <cell r="A282">
            <v>47003</v>
          </cell>
        </row>
        <row r="283">
          <cell r="A283">
            <v>47004</v>
          </cell>
        </row>
        <row r="284">
          <cell r="A284">
            <v>47005</v>
          </cell>
        </row>
        <row r="285">
          <cell r="A285">
            <v>47006</v>
          </cell>
        </row>
        <row r="286">
          <cell r="A286">
            <v>47007</v>
          </cell>
        </row>
        <row r="287">
          <cell r="A287">
            <v>47008</v>
          </cell>
        </row>
        <row r="288">
          <cell r="A288">
            <v>47009</v>
          </cell>
        </row>
        <row r="289">
          <cell r="A289">
            <v>47010</v>
          </cell>
        </row>
        <row r="290">
          <cell r="A290">
            <v>47011</v>
          </cell>
        </row>
        <row r="291">
          <cell r="A291">
            <v>47012</v>
          </cell>
        </row>
        <row r="292">
          <cell r="A292">
            <v>47013</v>
          </cell>
        </row>
        <row r="293">
          <cell r="A293">
            <v>47014</v>
          </cell>
        </row>
        <row r="294">
          <cell r="A294">
            <v>47015</v>
          </cell>
        </row>
        <row r="295">
          <cell r="A295">
            <v>47016</v>
          </cell>
        </row>
        <row r="296">
          <cell r="A296">
            <v>49001</v>
          </cell>
        </row>
        <row r="297">
          <cell r="A297">
            <v>49002</v>
          </cell>
        </row>
        <row r="298">
          <cell r="A298">
            <v>49003</v>
          </cell>
        </row>
        <row r="299">
          <cell r="A299">
            <v>49004</v>
          </cell>
        </row>
        <row r="300">
          <cell r="A300">
            <v>49005</v>
          </cell>
        </row>
        <row r="301">
          <cell r="A301">
            <v>49006</v>
          </cell>
        </row>
        <row r="302">
          <cell r="A302">
            <v>49007</v>
          </cell>
        </row>
        <row r="303">
          <cell r="A303">
            <v>49008</v>
          </cell>
        </row>
        <row r="304">
          <cell r="A304">
            <v>49009</v>
          </cell>
        </row>
        <row r="305">
          <cell r="A305">
            <v>49010</v>
          </cell>
        </row>
        <row r="306">
          <cell r="A306">
            <v>49011</v>
          </cell>
        </row>
        <row r="307">
          <cell r="A307">
            <v>49012</v>
          </cell>
        </row>
        <row r="308">
          <cell r="A308">
            <v>49013</v>
          </cell>
        </row>
        <row r="309">
          <cell r="A309">
            <v>49014</v>
          </cell>
        </row>
        <row r="310">
          <cell r="A310">
            <v>49015</v>
          </cell>
        </row>
        <row r="311">
          <cell r="A311">
            <v>49016</v>
          </cell>
        </row>
        <row r="312">
          <cell r="A312">
            <v>50001</v>
          </cell>
        </row>
        <row r="313">
          <cell r="A313">
            <v>50002</v>
          </cell>
        </row>
        <row r="314">
          <cell r="A314">
            <v>50003</v>
          </cell>
        </row>
        <row r="315">
          <cell r="A315">
            <v>50004</v>
          </cell>
        </row>
        <row r="316">
          <cell r="A316">
            <v>50005</v>
          </cell>
        </row>
        <row r="317">
          <cell r="A317">
            <v>50006</v>
          </cell>
        </row>
        <row r="318">
          <cell r="A318">
            <v>50007</v>
          </cell>
        </row>
        <row r="319">
          <cell r="A319">
            <v>50008</v>
          </cell>
        </row>
        <row r="320">
          <cell r="A320">
            <v>50009</v>
          </cell>
        </row>
        <row r="321">
          <cell r="A321">
            <v>50010</v>
          </cell>
        </row>
        <row r="322">
          <cell r="A322">
            <v>50011</v>
          </cell>
        </row>
        <row r="323">
          <cell r="A323">
            <v>50012</v>
          </cell>
        </row>
        <row r="324">
          <cell r="A324">
            <v>50013</v>
          </cell>
        </row>
        <row r="325">
          <cell r="A325">
            <v>50014</v>
          </cell>
        </row>
        <row r="326">
          <cell r="A326">
            <v>50015</v>
          </cell>
        </row>
        <row r="327">
          <cell r="A327">
            <v>50016</v>
          </cell>
        </row>
        <row r="328">
          <cell r="A328">
            <v>51001</v>
          </cell>
        </row>
        <row r="329">
          <cell r="A329">
            <v>51002</v>
          </cell>
        </row>
        <row r="330">
          <cell r="A330">
            <v>58001</v>
          </cell>
        </row>
        <row r="331">
          <cell r="A331">
            <v>58002</v>
          </cell>
        </row>
        <row r="332">
          <cell r="A332">
            <v>58003</v>
          </cell>
        </row>
        <row r="333">
          <cell r="A333">
            <v>58101</v>
          </cell>
        </row>
        <row r="334">
          <cell r="A334">
            <v>59001</v>
          </cell>
        </row>
        <row r="335">
          <cell r="A335">
            <v>59002</v>
          </cell>
        </row>
        <row r="336">
          <cell r="A336">
            <v>59003</v>
          </cell>
        </row>
        <row r="337">
          <cell r="A337">
            <v>60001</v>
          </cell>
        </row>
        <row r="338">
          <cell r="A338">
            <v>60002</v>
          </cell>
        </row>
        <row r="339">
          <cell r="A339">
            <v>60003</v>
          </cell>
        </row>
        <row r="340">
          <cell r="A340">
            <v>60004</v>
          </cell>
        </row>
        <row r="341">
          <cell r="A341">
            <v>60005</v>
          </cell>
        </row>
        <row r="342">
          <cell r="A342">
            <v>60006</v>
          </cell>
        </row>
        <row r="343">
          <cell r="A343">
            <v>60007</v>
          </cell>
        </row>
        <row r="344">
          <cell r="A344">
            <v>60010</v>
          </cell>
        </row>
        <row r="345">
          <cell r="A345">
            <v>60011</v>
          </cell>
        </row>
        <row r="346">
          <cell r="A346">
            <v>61011</v>
          </cell>
        </row>
        <row r="347">
          <cell r="A347">
            <v>60012</v>
          </cell>
        </row>
        <row r="348">
          <cell r="A348">
            <v>60013</v>
          </cell>
        </row>
        <row r="349">
          <cell r="A349">
            <v>60014</v>
          </cell>
        </row>
        <row r="350">
          <cell r="A350">
            <v>60015</v>
          </cell>
        </row>
        <row r="351">
          <cell r="A351">
            <v>60016</v>
          </cell>
        </row>
        <row r="352">
          <cell r="A352">
            <v>60017</v>
          </cell>
        </row>
        <row r="353">
          <cell r="A353">
            <v>60018</v>
          </cell>
        </row>
        <row r="354">
          <cell r="A354">
            <v>60019</v>
          </cell>
        </row>
        <row r="355">
          <cell r="A355">
            <v>60020</v>
          </cell>
        </row>
        <row r="356">
          <cell r="A356">
            <v>60025</v>
          </cell>
        </row>
        <row r="357">
          <cell r="A357">
            <v>60026</v>
          </cell>
        </row>
        <row r="358">
          <cell r="A358">
            <v>60027</v>
          </cell>
        </row>
        <row r="359">
          <cell r="A359">
            <v>60028</v>
          </cell>
        </row>
        <row r="360">
          <cell r="A360">
            <v>60029</v>
          </cell>
        </row>
        <row r="361">
          <cell r="A361">
            <v>60030</v>
          </cell>
        </row>
        <row r="362">
          <cell r="A362">
            <v>60031</v>
          </cell>
        </row>
        <row r="363">
          <cell r="A363">
            <v>60032</v>
          </cell>
        </row>
        <row r="364">
          <cell r="A364">
            <v>65523</v>
          </cell>
        </row>
        <row r="365">
          <cell r="A365">
            <v>65524</v>
          </cell>
        </row>
        <row r="366">
          <cell r="A366">
            <v>65525</v>
          </cell>
        </row>
        <row r="367">
          <cell r="A367">
            <v>65526</v>
          </cell>
        </row>
        <row r="368">
          <cell r="A368">
            <v>65527</v>
          </cell>
        </row>
        <row r="369">
          <cell r="A369">
            <v>65528</v>
          </cell>
        </row>
        <row r="370">
          <cell r="A370">
            <v>65529</v>
          </cell>
        </row>
        <row r="371">
          <cell r="A371">
            <v>65530</v>
          </cell>
        </row>
        <row r="372">
          <cell r="A372">
            <v>65531</v>
          </cell>
        </row>
        <row r="373">
          <cell r="A373">
            <v>65532</v>
          </cell>
        </row>
        <row r="374">
          <cell r="A374">
            <v>65533</v>
          </cell>
        </row>
        <row r="375">
          <cell r="A375">
            <v>65534</v>
          </cell>
        </row>
        <row r="376">
          <cell r="A376">
            <v>65535</v>
          </cell>
        </row>
        <row r="377">
          <cell r="A377">
            <v>60021</v>
          </cell>
        </row>
        <row r="378">
          <cell r="A378">
            <v>60022</v>
          </cell>
        </row>
        <row r="379">
          <cell r="A379">
            <v>60023</v>
          </cell>
        </row>
        <row r="380">
          <cell r="A38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48015_1</v>
          </cell>
        </row>
        <row r="916">
          <cell r="A916" t="str">
            <v>48015_2</v>
          </cell>
        </row>
        <row r="917">
          <cell r="A917" t="str">
            <v>48101_1</v>
          </cell>
        </row>
        <row r="918">
          <cell r="A918" t="str">
            <v>48101_2</v>
          </cell>
        </row>
        <row r="919">
          <cell r="A919" t="str">
            <v>48501_1</v>
          </cell>
        </row>
        <row r="920">
          <cell r="A920" t="str">
            <v>48501_2</v>
          </cell>
        </row>
        <row r="921">
          <cell r="A921" t="str">
            <v>48502_1</v>
          </cell>
        </row>
        <row r="922">
          <cell r="A922" t="str">
            <v>48502_2</v>
          </cell>
        </row>
        <row r="923">
          <cell r="A923" t="str">
            <v>48503_1</v>
          </cell>
        </row>
        <row r="924">
          <cell r="A924" t="str">
            <v>48503_2</v>
          </cell>
        </row>
        <row r="925">
          <cell r="A925" t="str">
            <v>48504_1</v>
          </cell>
        </row>
        <row r="926">
          <cell r="A926" t="str">
            <v>48504_2</v>
          </cell>
        </row>
        <row r="927">
          <cell r="A927" t="str">
            <v>48701_1</v>
          </cell>
        </row>
        <row r="928">
          <cell r="A928" t="str">
            <v>48701_2</v>
          </cell>
        </row>
        <row r="929">
          <cell r="A929" t="str">
            <v>48702_1</v>
          </cell>
        </row>
        <row r="930">
          <cell r="A930" t="str">
            <v>48702_2</v>
          </cell>
        </row>
        <row r="931">
          <cell r="A931" t="str">
            <v>49001_1</v>
          </cell>
        </row>
        <row r="932">
          <cell r="A932" t="str">
            <v>49002_1</v>
          </cell>
        </row>
        <row r="933">
          <cell r="A933" t="str">
            <v>49002_2</v>
          </cell>
        </row>
        <row r="934">
          <cell r="A934" t="str">
            <v>49003_1</v>
          </cell>
        </row>
        <row r="935">
          <cell r="A935" t="str">
            <v>49003_2</v>
          </cell>
        </row>
        <row r="936">
          <cell r="A936" t="str">
            <v>49004_1</v>
          </cell>
        </row>
        <row r="937">
          <cell r="A937" t="str">
            <v>49004_2</v>
          </cell>
        </row>
        <row r="938">
          <cell r="A938" t="str">
            <v>49004_3</v>
          </cell>
        </row>
        <row r="939">
          <cell r="A939" t="str">
            <v>49005_1</v>
          </cell>
        </row>
        <row r="940">
          <cell r="A940" t="str">
            <v>49006_1</v>
          </cell>
        </row>
        <row r="941">
          <cell r="A941" t="str">
            <v>49006_2</v>
          </cell>
        </row>
        <row r="942">
          <cell r="A942" t="str">
            <v>49007_1</v>
          </cell>
        </row>
        <row r="943">
          <cell r="A943" t="str">
            <v>49007_2</v>
          </cell>
        </row>
        <row r="944">
          <cell r="A944" t="str">
            <v>49007_3</v>
          </cell>
        </row>
        <row r="945">
          <cell r="A945" t="str">
            <v>49008_1</v>
          </cell>
        </row>
        <row r="946">
          <cell r="A946" t="str">
            <v>49009_1</v>
          </cell>
        </row>
        <row r="947">
          <cell r="A947" t="str">
            <v>49010_1</v>
          </cell>
        </row>
        <row r="948">
          <cell r="A948" t="str">
            <v>49011_1</v>
          </cell>
        </row>
        <row r="949">
          <cell r="A949" t="str">
            <v>49012_1</v>
          </cell>
        </row>
        <row r="950">
          <cell r="A950" t="str">
            <v>49013_1</v>
          </cell>
        </row>
        <row r="951">
          <cell r="A951" t="str">
            <v>49014_1</v>
          </cell>
        </row>
        <row r="952">
          <cell r="A952" t="str">
            <v>49014_2</v>
          </cell>
        </row>
        <row r="953">
          <cell r="A953" t="str">
            <v>49015_1</v>
          </cell>
        </row>
        <row r="954">
          <cell r="A954" t="str">
            <v>49015_2</v>
          </cell>
        </row>
        <row r="955">
          <cell r="A955" t="str">
            <v>49015_3</v>
          </cell>
        </row>
        <row r="956">
          <cell r="A956" t="str">
            <v>49016_1</v>
          </cell>
        </row>
        <row r="957">
          <cell r="A957" t="str">
            <v>49016_2</v>
          </cell>
        </row>
        <row r="958">
          <cell r="A958" t="str">
            <v>50001_1</v>
          </cell>
        </row>
        <row r="959">
          <cell r="A959" t="str">
            <v>50002_1</v>
          </cell>
        </row>
        <row r="960">
          <cell r="A960" t="str">
            <v>50003_1</v>
          </cell>
        </row>
        <row r="961">
          <cell r="A961" t="str">
            <v>50004_1</v>
          </cell>
        </row>
        <row r="962">
          <cell r="A962" t="str">
            <v>50005_1</v>
          </cell>
        </row>
        <row r="963">
          <cell r="A963" t="str">
            <v>50006_1</v>
          </cell>
        </row>
        <row r="964">
          <cell r="A964" t="str">
            <v>50007_1</v>
          </cell>
        </row>
        <row r="965">
          <cell r="A965" t="str">
            <v>50008_1</v>
          </cell>
        </row>
        <row r="966">
          <cell r="A966" t="str">
            <v>50009_1</v>
          </cell>
        </row>
        <row r="967">
          <cell r="A967" t="str">
            <v>50010_1</v>
          </cell>
        </row>
        <row r="968">
          <cell r="A968" t="str">
            <v>50011_1</v>
          </cell>
        </row>
        <row r="969">
          <cell r="A969" t="str">
            <v>50012_1</v>
          </cell>
        </row>
        <row r="970">
          <cell r="A970" t="str">
            <v>50013_1</v>
          </cell>
        </row>
        <row r="971">
          <cell r="A971" t="str">
            <v>50014_1</v>
          </cell>
        </row>
        <row r="972">
          <cell r="A972" t="str">
            <v>50015_1</v>
          </cell>
        </row>
        <row r="973">
          <cell r="A973" t="str">
            <v>50016_1</v>
          </cell>
        </row>
        <row r="974">
          <cell r="A974" t="str">
            <v>51001_1</v>
          </cell>
        </row>
        <row r="975">
          <cell r="A975" t="str">
            <v>51002_1</v>
          </cell>
        </row>
        <row r="976">
          <cell r="A976" t="str">
            <v>58001_1</v>
          </cell>
        </row>
        <row r="977">
          <cell r="A977" t="str">
            <v>58002_1</v>
          </cell>
        </row>
        <row r="978">
          <cell r="A978" t="str">
            <v>58003_1</v>
          </cell>
        </row>
        <row r="979">
          <cell r="A979" t="str">
            <v>58101_1</v>
          </cell>
        </row>
        <row r="980">
          <cell r="A980" t="str">
            <v>59001_1</v>
          </cell>
        </row>
        <row r="981">
          <cell r="A981" t="str">
            <v>59002_1</v>
          </cell>
        </row>
        <row r="982">
          <cell r="A982" t="str">
            <v>59003_1</v>
          </cell>
        </row>
        <row r="983">
          <cell r="A983" t="str">
            <v>59003_2</v>
          </cell>
        </row>
        <row r="984">
          <cell r="A984" t="str">
            <v>60001_1</v>
          </cell>
        </row>
        <row r="985">
          <cell r="A985" t="str">
            <v>60002_1</v>
          </cell>
        </row>
        <row r="986">
          <cell r="A986" t="str">
            <v>60002_2</v>
          </cell>
        </row>
        <row r="987">
          <cell r="A987" t="str">
            <v>60003_1</v>
          </cell>
        </row>
        <row r="988">
          <cell r="A988" t="str">
            <v>60003_2</v>
          </cell>
        </row>
        <row r="989">
          <cell r="A989" t="str">
            <v>60003_3</v>
          </cell>
        </row>
        <row r="990">
          <cell r="A990" t="str">
            <v>60004_1</v>
          </cell>
        </row>
        <row r="991">
          <cell r="A991" t="str">
            <v>60005_1</v>
          </cell>
        </row>
        <row r="992">
          <cell r="A992" t="str">
            <v>60006_1</v>
          </cell>
        </row>
        <row r="993">
          <cell r="A993" t="str">
            <v>60006_2</v>
          </cell>
        </row>
        <row r="994">
          <cell r="A994" t="str">
            <v>60006_3</v>
          </cell>
        </row>
        <row r="995">
          <cell r="A995" t="str">
            <v>60007_1</v>
          </cell>
        </row>
        <row r="996">
          <cell r="A996" t="str">
            <v>60007_2</v>
          </cell>
        </row>
        <row r="997">
          <cell r="A997" t="str">
            <v>60007_3</v>
          </cell>
        </row>
        <row r="998">
          <cell r="A998" t="str">
            <v>60010_1</v>
          </cell>
        </row>
        <row r="999">
          <cell r="A999" t="str">
            <v>60011_1</v>
          </cell>
        </row>
        <row r="1000">
          <cell r="A1000" t="str">
            <v>60011_2</v>
          </cell>
        </row>
        <row r="1001">
          <cell r="A1001" t="str">
            <v>60012_1</v>
          </cell>
        </row>
        <row r="1002">
          <cell r="A1002" t="str">
            <v>60013_1</v>
          </cell>
        </row>
        <row r="1003">
          <cell r="A1003" t="str">
            <v>60013_2</v>
          </cell>
        </row>
        <row r="1004">
          <cell r="A1004" t="str">
            <v>60013_3</v>
          </cell>
        </row>
        <row r="1005">
          <cell r="A1005" t="str">
            <v>60014_1</v>
          </cell>
        </row>
        <row r="1006">
          <cell r="A1006" t="str">
            <v>60015_1</v>
          </cell>
        </row>
        <row r="1007">
          <cell r="A1007" t="str">
            <v>60016_1</v>
          </cell>
        </row>
        <row r="1008">
          <cell r="A1008" t="str">
            <v>60017_1</v>
          </cell>
        </row>
        <row r="1009">
          <cell r="A1009" t="str">
            <v>60018_1</v>
          </cell>
        </row>
        <row r="1010">
          <cell r="A1010" t="str">
            <v>60019_1</v>
          </cell>
        </row>
        <row r="1011">
          <cell r="A1011" t="str">
            <v>60020_1</v>
          </cell>
        </row>
        <row r="1012">
          <cell r="A1012" t="str">
            <v>60021_3</v>
          </cell>
        </row>
        <row r="1013">
          <cell r="A1013" t="str">
            <v>60022_3</v>
          </cell>
        </row>
        <row r="1014">
          <cell r="A1014" t="str">
            <v>60023_3</v>
          </cell>
        </row>
        <row r="1015">
          <cell r="A1015" t="str">
            <v>60024_3</v>
          </cell>
        </row>
        <row r="1016">
          <cell r="A1016" t="str">
            <v>60025_1</v>
          </cell>
        </row>
        <row r="1017">
          <cell r="A1017" t="str">
            <v>60026_1</v>
          </cell>
        </row>
        <row r="1018">
          <cell r="A1018" t="str">
            <v>61011_1</v>
          </cell>
        </row>
        <row r="1019">
          <cell r="A1019" t="str">
            <v>60027_1</v>
          </cell>
        </row>
        <row r="1020">
          <cell r="A1020" t="str">
            <v>60028_1</v>
          </cell>
        </row>
        <row r="1021">
          <cell r="A1021" t="str">
            <v>60029_1</v>
          </cell>
        </row>
        <row r="1022">
          <cell r="A1022" t="str">
            <v>60030_1</v>
          </cell>
        </row>
        <row r="1023">
          <cell r="A1023" t="str">
            <v>60031_1</v>
          </cell>
        </row>
        <row r="1024">
          <cell r="A1024" t="str">
            <v>60032_1</v>
          </cell>
        </row>
        <row r="1025">
          <cell r="A1025" t="str">
            <v>65523_1</v>
          </cell>
        </row>
        <row r="1026">
          <cell r="A1026" t="str">
            <v>65523_2</v>
          </cell>
        </row>
        <row r="1027">
          <cell r="A1027" t="str">
            <v>65523_3</v>
          </cell>
        </row>
        <row r="1028">
          <cell r="A1028" t="str">
            <v>65524_1</v>
          </cell>
        </row>
        <row r="1029">
          <cell r="A1029" t="str">
            <v>65524_2</v>
          </cell>
        </row>
        <row r="1030">
          <cell r="A1030" t="str">
            <v>65525_1</v>
          </cell>
        </row>
        <row r="1031">
          <cell r="A1031" t="str">
            <v>65526_1</v>
          </cell>
        </row>
        <row r="1032">
          <cell r="A1032" t="str">
            <v>65526_2</v>
          </cell>
        </row>
        <row r="1033">
          <cell r="A1033" t="str">
            <v>65527_1</v>
          </cell>
        </row>
        <row r="1034">
          <cell r="A1034" t="str">
            <v>65528_1</v>
          </cell>
        </row>
        <row r="1035">
          <cell r="A1035" t="str">
            <v>65529_1</v>
          </cell>
        </row>
        <row r="1036">
          <cell r="A1036" t="str">
            <v>65530_1</v>
          </cell>
        </row>
        <row r="1037">
          <cell r="A1037" t="str">
            <v>65531_1</v>
          </cell>
        </row>
        <row r="1038">
          <cell r="A1038" t="str">
            <v>65531_2</v>
          </cell>
        </row>
        <row r="1039">
          <cell r="A1039" t="str">
            <v>65532_1</v>
          </cell>
        </row>
        <row r="1040">
          <cell r="A1040" t="str">
            <v>65532_2</v>
          </cell>
        </row>
        <row r="1041">
          <cell r="A1041" t="str">
            <v>65533_1</v>
          </cell>
        </row>
        <row r="1042">
          <cell r="A1042" t="str">
            <v>65533_2</v>
          </cell>
        </row>
        <row r="1043">
          <cell r="A1043" t="str">
            <v>65534_1</v>
          </cell>
        </row>
        <row r="1044">
          <cell r="A1044" t="str">
            <v>65535_1</v>
          </cell>
        </row>
        <row r="1045">
          <cell r="A1045" t="str">
            <v>65535_2</v>
          </cell>
        </row>
        <row r="1046">
          <cell r="A1046" t="str">
            <v>65535_3</v>
          </cell>
        </row>
        <row r="1047">
          <cell r="A1047" t="str">
            <v>65535_4</v>
          </cell>
        </row>
        <row r="1048">
          <cell r="A1048" t="str">
            <v>65535_5</v>
          </cell>
        </row>
        <row r="1049">
          <cell r="A1049" t="str">
            <v>65535_6</v>
          </cell>
        </row>
        <row r="1050">
          <cell r="A1050" t="str">
            <v>65535_7</v>
          </cell>
        </row>
        <row r="1051">
          <cell r="A1051" t="str">
            <v>65535_8</v>
          </cell>
        </row>
        <row r="1052">
          <cell r="A1052" t="str">
            <v>65535_9</v>
          </cell>
        </row>
        <row r="1053">
          <cell r="A105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D13"/>
  <sheetViews>
    <sheetView topLeftCell="C1" workbookViewId="0">
      <selection activeCell="L11" sqref="L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252</v>
      </c>
      <c r="B2" s="56" t="s">
        <v>105</v>
      </c>
      <c r="C2" s="62">
        <v>59003</v>
      </c>
      <c r="D2" s="56" t="s">
        <v>106</v>
      </c>
      <c r="E2" s="55" t="str">
        <f>B2&amp;C2&amp;D2</f>
        <v>floors_59003.tmp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252</v>
      </c>
      <c r="B3" s="56" t="s">
        <v>108</v>
      </c>
      <c r="C3" s="62">
        <v>59003</v>
      </c>
      <c r="D3" s="56" t="s">
        <v>106</v>
      </c>
      <c r="E3" s="55" t="str">
        <f>B3&amp;C3&amp;D3</f>
        <v>enemy_habitats_59003.tmp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252</v>
      </c>
      <c r="B4" s="56" t="s">
        <v>110</v>
      </c>
      <c r="C4" s="62">
        <v>59003</v>
      </c>
      <c r="D4" s="56" t="s">
        <v>106</v>
      </c>
      <c r="E4" s="55" t="str">
        <f>B4&amp;C4&amp;D4</f>
        <v>enemy_habitat_S_59003.tmp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252</v>
      </c>
      <c r="B5" s="56" t="s">
        <v>112</v>
      </c>
      <c r="C5" s="62">
        <v>59003</v>
      </c>
      <c r="D5" s="56" t="s">
        <v>106</v>
      </c>
      <c r="E5" s="55" t="str">
        <f>B5&amp;C5&amp;D5</f>
        <v>enemy_skill_sets_59003.tmp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252</v>
      </c>
      <c r="B6" s="56" t="s">
        <v>114</v>
      </c>
      <c r="C6" s="62">
        <v>59003</v>
      </c>
      <c r="D6" s="56" t="s">
        <v>115</v>
      </c>
      <c r="E6" s="55" t="str">
        <f t="shared" ref="E6:E10" si="0">B6&amp;C6&amp;D6</f>
        <v>enemy_skills_tmp_59003.tmp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252</v>
      </c>
      <c r="B7" s="56" t="s">
        <v>116</v>
      </c>
      <c r="C7" s="62">
        <v>59003</v>
      </c>
      <c r="D7" s="56" t="s">
        <v>106</v>
      </c>
      <c r="E7" s="55" t="str">
        <f>B7&amp;C7&amp;D7</f>
        <v>enemy_skills_i18n_59003.tmp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252</v>
      </c>
      <c r="B8" s="56" t="s">
        <v>118</v>
      </c>
      <c r="C8" s="62">
        <v>59003</v>
      </c>
      <c r="D8" s="56" t="s">
        <v>119</v>
      </c>
      <c r="E8" s="55" t="str">
        <f t="shared" si="0"/>
        <v>enemy_skill_triggers_59003.tmp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252</v>
      </c>
      <c r="B9" s="67" t="s">
        <v>176</v>
      </c>
      <c r="C9" s="62">
        <v>59003</v>
      </c>
      <c r="D9" s="67" t="s">
        <v>170</v>
      </c>
      <c r="E9" s="68" t="str">
        <f t="shared" si="0"/>
        <v>stage_bug_bonuses_59003.tmp</v>
      </c>
      <c r="F9" s="67" t="s">
        <v>171</v>
      </c>
      <c r="G9" s="64" t="s">
        <v>149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186</v>
      </c>
      <c r="B10" s="67" t="s">
        <v>199</v>
      </c>
      <c r="C10" s="62">
        <v>59003</v>
      </c>
      <c r="D10" s="67" t="s">
        <v>179</v>
      </c>
      <c r="E10" s="68" t="str">
        <f t="shared" si="0"/>
        <v>stage_hints_data_c_59003.tmp</v>
      </c>
      <c r="F10" s="67" t="s">
        <v>207</v>
      </c>
      <c r="G10" s="73" t="s">
        <v>180</v>
      </c>
      <c r="H10" s="73" t="s">
        <v>172</v>
      </c>
      <c r="I10" s="74" t="s">
        <v>181</v>
      </c>
      <c r="J10" s="66" t="s">
        <v>182</v>
      </c>
      <c r="K10" s="66" t="s">
        <v>183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0" t="s">
        <v>252</v>
      </c>
      <c r="B11" s="67" t="s">
        <v>200</v>
      </c>
      <c r="C11" s="62">
        <v>59003</v>
      </c>
      <c r="D11" s="67" t="s">
        <v>170</v>
      </c>
      <c r="E11" s="68" t="str">
        <f t="shared" ref="E11:E13" si="1">B11&amp;C11&amp;D11</f>
        <v>stage_hints_data_f_59003.tmp</v>
      </c>
      <c r="F11" s="67" t="s">
        <v>208</v>
      </c>
      <c r="G11" s="73" t="s">
        <v>180</v>
      </c>
      <c r="H11" s="73" t="s">
        <v>172</v>
      </c>
      <c r="I11" s="74" t="s">
        <v>181</v>
      </c>
      <c r="J11" s="66" t="s">
        <v>182</v>
      </c>
      <c r="K11" s="66" t="s">
        <v>183</v>
      </c>
      <c r="L11" s="181" t="s">
        <v>659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0" t="s">
        <v>252</v>
      </c>
      <c r="B12" s="67" t="s">
        <v>201</v>
      </c>
      <c r="C12" s="62">
        <v>59003</v>
      </c>
      <c r="D12" s="67" t="s">
        <v>170</v>
      </c>
      <c r="E12" s="68" t="str">
        <f t="shared" si="1"/>
        <v>stage_hints_i18n_59003.tmp</v>
      </c>
      <c r="F12" s="67" t="s">
        <v>209</v>
      </c>
      <c r="G12" s="74" t="s">
        <v>202</v>
      </c>
      <c r="H12" s="93" t="s">
        <v>203</v>
      </c>
      <c r="I12" s="73" t="s">
        <v>204</v>
      </c>
      <c r="J12" s="101" t="s">
        <v>205</v>
      </c>
      <c r="K12" s="66" t="s">
        <v>206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0" t="s">
        <v>252</v>
      </c>
      <c r="B13" s="67" t="s">
        <v>248</v>
      </c>
      <c r="C13" s="62">
        <v>59003</v>
      </c>
      <c r="D13" s="67" t="s">
        <v>229</v>
      </c>
      <c r="E13" s="68" t="str">
        <f t="shared" si="1"/>
        <v>stage_bonuses_59003.tmp</v>
      </c>
      <c r="F13" s="67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J7" sqref="J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59003_1-1</v>
      </c>
      <c r="B2" s="16" t="str">
        <f>IF(COUNTIF(enemy_habitats!$H:$H,A2),"OK","NG")</f>
        <v>OK</v>
      </c>
      <c r="C2" s="7">
        <v>59003</v>
      </c>
      <c r="D2" s="11" t="str">
        <f ca="1">VLOOKUP($C2,OFFSET([2]quests!$A$1,0,0,COUNTA([2]quests!$A:$A),MATCH(D$1,[2]quests!$1:$1,0)-MATCH($C$1,[2]quests!$1:$1,0)+1),MATCH(D$1,[2]quests!$1:$1,0)-MATCH($C$1,[2]quests!$1:$1,0)+1,FALSE)</f>
        <v>風雷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コラボ超降臨3</v>
      </c>
      <c r="F2" s="21">
        <v>1</v>
      </c>
      <c r="G2" s="23" t="str">
        <f>C2&amp;"_"&amp;F2</f>
        <v>59003_1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【ウィザード級】風雷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7" si="0">G3&amp;"-"&amp;I3</f>
        <v>59003_1-2</v>
      </c>
      <c r="B3" s="16" t="str">
        <f>IF(COUNTIF(enemy_habitats!$H:$H,A3),"OK","NG")</f>
        <v>OK</v>
      </c>
      <c r="C3" s="7">
        <v>59003</v>
      </c>
      <c r="D3" s="11" t="str">
        <f ca="1">VLOOKUP($C3,OFFSET([2]quests!$A$1,0,0,COUNTA([2]quests!$A:$A),MATCH(D$1,[2]quests!$1:$1,0)-MATCH($C$1,[2]quests!$1:$1,0)+1),MATCH(D$1,[2]quests!$1:$1,0)-MATCH($C$1,[2]quests!$1:$1,0)+1,FALSE)</f>
        <v>風雷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コラボ超降臨3</v>
      </c>
      <c r="F3" s="21">
        <v>1</v>
      </c>
      <c r="G3" s="23" t="str">
        <f t="shared" ref="G3:G7" si="1">C3&amp;"_"&amp;F3</f>
        <v>59003_1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【ウィザード級】風雷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59003_1-3</v>
      </c>
      <c r="B4" s="16" t="str">
        <f>IF(COUNTIF(enemy_habitats!$H:$H,A4),"OK","NG")</f>
        <v>OK</v>
      </c>
      <c r="C4" s="7">
        <v>59003</v>
      </c>
      <c r="D4" s="11" t="str">
        <f ca="1">VLOOKUP($C4,OFFSET([2]quests!$A$1,0,0,COUNTA([2]quests!$A:$A),MATCH(D$1,[2]quests!$1:$1,0)-MATCH($C$1,[2]quests!$1:$1,0)+1),MATCH(D$1,[2]quests!$1:$1,0)-MATCH($C$1,[2]quests!$1:$1,0)+1,FALSE)</f>
        <v>風雷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コラボ超降臨3</v>
      </c>
      <c r="F4" s="21">
        <v>1</v>
      </c>
      <c r="G4" s="23" t="str">
        <f t="shared" si="1"/>
        <v>59003_1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【ウィザード級】風雷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59003_2-1</v>
      </c>
      <c r="B5" s="16" t="str">
        <f>IF(COUNTIF(enemy_habitats!$H:$H,A5),"OK","NG")</f>
        <v>OK</v>
      </c>
      <c r="C5" s="7">
        <v>59003</v>
      </c>
      <c r="D5" s="11" t="str">
        <f ca="1">VLOOKUP($C5,OFFSET([2]quests!$A$1,0,0,COUNTA([2]quests!$A:$A),MATCH(D$1,[2]quests!$1:$1,0)-MATCH($C$1,[2]quests!$1:$1,0)+1),MATCH(D$1,[2]quests!$1:$1,0)-MATCH($C$1,[2]quests!$1:$1,0)+1,FALSE)</f>
        <v>風雷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コラボ超降臨3</v>
      </c>
      <c r="F5" s="21">
        <v>2</v>
      </c>
      <c r="G5" s="23" t="str">
        <f t="shared" si="1"/>
        <v>59003_2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【超ウィザード級】風雷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59003_2-2</v>
      </c>
      <c r="B6" s="16" t="str">
        <f>IF(COUNTIF(enemy_habitats!$H:$H,A6),"OK","NG")</f>
        <v>OK</v>
      </c>
      <c r="C6" s="7">
        <v>59003</v>
      </c>
      <c r="D6" s="11" t="str">
        <f ca="1">VLOOKUP($C6,OFFSET([2]quests!$A$1,0,0,COUNTA([2]quests!$A:$A),MATCH(D$1,[2]quests!$1:$1,0)-MATCH($C$1,[2]quests!$1:$1,0)+1),MATCH(D$1,[2]quests!$1:$1,0)-MATCH($C$1,[2]quests!$1:$1,0)+1,FALSE)</f>
        <v>風雷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コラボ超降臨3</v>
      </c>
      <c r="F6" s="21">
        <v>2</v>
      </c>
      <c r="G6" s="23" t="str">
        <f t="shared" si="1"/>
        <v>59003_2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【超ウィザード級】風雷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59003_2-3</v>
      </c>
      <c r="B7" s="16" t="str">
        <f>IF(COUNTIF(enemy_habitats!$H:$H,A7),"OK","NG")</f>
        <v>OK</v>
      </c>
      <c r="C7" s="7">
        <v>59003</v>
      </c>
      <c r="D7" s="11" t="str">
        <f ca="1">VLOOKUP($C7,OFFSET([2]quests!$A$1,0,0,COUNTA([2]quests!$A:$A),MATCH(D$1,[2]quests!$1:$1,0)-MATCH($C$1,[2]quests!$1:$1,0)+1),MATCH(D$1,[2]quests!$1:$1,0)-MATCH($C$1,[2]quests!$1:$1,0)+1,FALSE)</f>
        <v>風雷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コラボ超降臨3</v>
      </c>
      <c r="F7" s="21">
        <v>2</v>
      </c>
      <c r="G7" s="23" t="str">
        <f t="shared" si="1"/>
        <v>59003_2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【超ウィザード級】風雷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T9"/>
  <sheetViews>
    <sheetView showGridLines="0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AH7" sqref="AH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3.5" style="3" bestFit="1" customWidth="1"/>
    <col min="20" max="20" width="11.1640625" style="3" customWidth="1"/>
    <col min="21" max="21" width="7.33203125" style="104" bestFit="1" customWidth="1"/>
    <col min="22" max="22" width="14.83203125" style="104" customWidth="1"/>
    <col min="23" max="23" width="16.33203125" style="3" bestFit="1" customWidth="1"/>
    <col min="24" max="24" width="12.5" style="3" hidden="1" customWidth="1"/>
    <col min="25" max="25" width="8.5" style="3" bestFit="1" customWidth="1"/>
    <col min="26" max="26" width="17.5" style="3" customWidth="1"/>
    <col min="27" max="27" width="18.33203125" style="3" bestFit="1" customWidth="1"/>
    <col min="28" max="28" width="10" style="3" customWidth="1"/>
    <col min="29" max="29" width="12.1640625" style="3" customWidth="1" outlineLevel="1"/>
    <col min="30" max="30" width="11.33203125" style="3" bestFit="1" customWidth="1"/>
    <col min="31" max="31" width="11.6640625" style="3" bestFit="1" customWidth="1"/>
    <col min="32" max="32" width="10.6640625" style="3" bestFit="1" customWidth="1"/>
    <col min="33" max="33" width="9.33203125" style="3" bestFit="1" customWidth="1"/>
    <col min="34" max="34" width="13" style="3" bestFit="1" customWidth="1" collapsed="1"/>
    <col min="35" max="35" width="8.83203125" style="13" hidden="1" customWidth="1" outlineLevel="1"/>
    <col min="36" max="36" width="8" style="14" hidden="1" customWidth="1" outlineLevel="1"/>
    <col min="37" max="37" width="12" style="14" hidden="1" customWidth="1" outlineLevel="1"/>
    <col min="38" max="38" width="15" style="10" bestFit="1" customWidth="1" collapsed="1"/>
    <col min="39" max="40" width="14.83203125" style="3" bestFit="1" customWidth="1"/>
    <col min="41" max="41" width="6.6640625" style="3" bestFit="1" customWidth="1"/>
    <col min="42" max="42" width="9.33203125" style="3" bestFit="1" customWidth="1"/>
    <col min="43" max="43" width="10.33203125" style="3" bestFit="1" customWidth="1"/>
    <col min="44" max="44" width="7.6640625" style="3" bestFit="1" customWidth="1"/>
    <col min="45" max="45" width="4" style="3" bestFit="1" customWidth="1"/>
    <col min="46" max="16384" width="13" style="3"/>
  </cols>
  <sheetData>
    <row r="1" spans="1:46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259</v>
      </c>
      <c r="U1" s="102" t="s">
        <v>249</v>
      </c>
      <c r="V1" s="102" t="s">
        <v>263</v>
      </c>
      <c r="W1" s="26" t="s">
        <v>50</v>
      </c>
      <c r="X1" s="26" t="s">
        <v>260</v>
      </c>
      <c r="Y1" s="102" t="s">
        <v>250</v>
      </c>
      <c r="Z1" s="102" t="s">
        <v>264</v>
      </c>
      <c r="AA1" s="26" t="s">
        <v>52</v>
      </c>
      <c r="AB1" s="29" t="s">
        <v>31</v>
      </c>
      <c r="AC1" s="28" t="s">
        <v>4</v>
      </c>
      <c r="AD1" s="28" t="s">
        <v>5</v>
      </c>
      <c r="AE1" s="28" t="s">
        <v>6</v>
      </c>
      <c r="AF1" s="28" t="s">
        <v>7</v>
      </c>
      <c r="AG1" s="28" t="s">
        <v>8</v>
      </c>
      <c r="AH1" s="33" t="s">
        <v>9</v>
      </c>
      <c r="AI1" s="34" t="s">
        <v>16</v>
      </c>
      <c r="AJ1" s="34" t="s">
        <v>17</v>
      </c>
      <c r="AK1" s="34" t="s">
        <v>27</v>
      </c>
      <c r="AL1" s="33" t="s">
        <v>10</v>
      </c>
      <c r="AM1" s="28" t="s">
        <v>11</v>
      </c>
      <c r="AN1" s="28" t="s">
        <v>12</v>
      </c>
      <c r="AO1" s="28" t="s">
        <v>38</v>
      </c>
      <c r="AP1" s="28" t="s">
        <v>40</v>
      </c>
      <c r="AQ1" s="28" t="s">
        <v>42</v>
      </c>
      <c r="AR1" s="28" t="s">
        <v>44</v>
      </c>
      <c r="AS1" s="28" t="s">
        <v>46</v>
      </c>
      <c r="AT1" s="36" t="s">
        <v>178</v>
      </c>
    </row>
    <row r="2" spans="1:46" ht="21" customHeight="1" x14ac:dyDescent="0.15">
      <c r="A2" s="16" t="str">
        <f t="shared" ref="A2:A7" si="0">B2&amp;"_"&amp;C2&amp;"-"&amp;G2&amp;"/"&amp;L2&amp;"&lt;lv"&amp;R2&amp;"&gt;s"&amp;AG2</f>
        <v>59003_1-1/1573&lt;lv80&gt;s1</v>
      </c>
      <c r="B2" s="22">
        <v>59003</v>
      </c>
      <c r="C2" s="21">
        <v>1</v>
      </c>
      <c r="D2" s="2" t="str">
        <f>B2&amp;"_"&amp;C2</f>
        <v>59003_1</v>
      </c>
      <c r="E2" s="4" t="str">
        <f ca="1">VLOOKUP($B2,OFFSET([2]quests!$A$1,0,0,COUNTA([2]quests!$A:$A),MATCH(E$1,[2]quests!$1:$1,0)-MATCH($B$1,[2]quests!$1:$1,0)+1),MATCH(E$1,[2]quests!$1:$1,0)-MATCH($B$1,[2]quests!$1:$1,0)+1,FALSE)</f>
        <v>風雷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【ウィザード級】風雷</v>
      </c>
      <c r="G2" s="21">
        <v>1</v>
      </c>
      <c r="H2" s="15" t="str">
        <f>B2&amp;"_"&amp;C2&amp;"-"&amp;G2</f>
        <v>59003_1-1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1573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Scorpius01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orochi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1.6</v>
      </c>
      <c r="T2" s="137">
        <v>204916</v>
      </c>
      <c r="U2" s="103">
        <f>S2*T2</f>
        <v>327865.60000000003</v>
      </c>
      <c r="V2" s="138">
        <f>0.76*U2</f>
        <v>249177.85600000003</v>
      </c>
      <c r="W2" s="25">
        <v>0.7</v>
      </c>
      <c r="X2" s="137">
        <v>7414</v>
      </c>
      <c r="Y2" s="103">
        <f>W2*X2</f>
        <v>5189.7999999999993</v>
      </c>
      <c r="Z2" s="138">
        <f>0.7*Y2</f>
        <v>3632.8599999999992</v>
      </c>
      <c r="AA2" s="5">
        <v>0</v>
      </c>
      <c r="AB2" s="4"/>
      <c r="AC2" s="61">
        <v>59003000</v>
      </c>
      <c r="AD2" s="6">
        <v>1</v>
      </c>
      <c r="AE2" s="6">
        <v>100</v>
      </c>
      <c r="AF2" s="6">
        <v>0</v>
      </c>
      <c r="AG2" s="17">
        <v>1</v>
      </c>
      <c r="AH2" s="24">
        <f t="shared" ref="AH2:AH7" si="1">L2</f>
        <v>1573</v>
      </c>
      <c r="AI2" s="4" t="str">
        <f ca="1">VLOOKUP($AH2,OFFSET([4]characters!$A$1,0,0,COUNTA([4]characters!$A:$A),MATCH(AI$1,[4]characters!$1:$1,0)-MATCH("character_id",[4]characters!$1:$1,0)+1),MATCH(AI$1,[4]characters!$1:$1,0)-MATCH("character_id",[4]characters!$1:$1,0)+1,FALSE)</f>
        <v>Scorpius01</v>
      </c>
      <c r="AJ2" s="4">
        <f ca="1">VLOOKUP($AH2,OFFSET([4]characters!$A$1,0,0,COUNTA([4]characters!$A:$A),MATCH(AJ$1,[4]characters!$1:$1,0)-MATCH("character_id",[4]characters!$1:$1,0)+1),MATCH(AJ$1,[4]characters!$1:$1,0)-MATCH("character_id",[4]characters!$1:$1,0)+1,FALSE)</f>
        <v>5</v>
      </c>
      <c r="AK2" s="4" t="str">
        <f ca="1">VLOOKUP($AH2,OFFSET([4]characters!$A$1,0,0,COUNTA([4]characters!$A:$A),MATCH(AK$1,[4]characters!$1:$1,0)-MATCH("character_id",[4]characters!$1:$1,0)+1),MATCH(AK$1,[4]characters!$1:$1,0)-MATCH("character_id",[4]characters!$1:$1,0)+1,FALSE)</f>
        <v>PremiumS</v>
      </c>
      <c r="AL2" s="7">
        <v>1</v>
      </c>
      <c r="AM2" s="24">
        <f ca="1">AJ2</f>
        <v>5</v>
      </c>
      <c r="AN2" s="8">
        <v>0</v>
      </c>
      <c r="AO2" s="7">
        <v>0</v>
      </c>
      <c r="AP2" s="7">
        <v>0</v>
      </c>
      <c r="AQ2" s="7">
        <v>0</v>
      </c>
      <c r="AR2" s="7">
        <v>0</v>
      </c>
      <c r="AS2" s="7">
        <v>1</v>
      </c>
      <c r="AT2" s="69">
        <v>1</v>
      </c>
    </row>
    <row r="3" spans="1:46" ht="21" customHeight="1" x14ac:dyDescent="0.15">
      <c r="A3" s="16" t="str">
        <f t="shared" si="0"/>
        <v>59003_1-2/1574&lt;lv80&gt;s1</v>
      </c>
      <c r="B3" s="22">
        <v>59003</v>
      </c>
      <c r="C3" s="21">
        <v>1</v>
      </c>
      <c r="D3" s="2" t="str">
        <f>B3&amp;"_"&amp;C3</f>
        <v>59003_1</v>
      </c>
      <c r="E3" s="4" t="str">
        <f ca="1">VLOOKUP($B3,OFFSET([2]quests!$A$1,0,0,COUNTA([2]quests!$A:$A),MATCH(E$1,[2]quests!$1:$1,0)-MATCH($B$1,[2]quests!$1:$1,0)+1),MATCH(E$1,[2]quests!$1:$1,0)-MATCH($B$1,[2]quests!$1:$1,0)+1,FALSE)</f>
        <v>風雷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【ウィザード級】風雷</v>
      </c>
      <c r="G3" s="21">
        <v>2</v>
      </c>
      <c r="H3" s="15" t="str">
        <f>B3&amp;"_"&amp;C3&amp;"-"&amp;G3</f>
        <v>59003_1-2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1574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Cancer01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orochi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3</v>
      </c>
      <c r="T3" s="137">
        <v>122202</v>
      </c>
      <c r="U3" s="103">
        <f t="shared" ref="U3:U7" si="2">S3*T3</f>
        <v>366606</v>
      </c>
      <c r="V3" s="138"/>
      <c r="W3" s="25">
        <v>0.6</v>
      </c>
      <c r="X3" s="137">
        <v>8090</v>
      </c>
      <c r="Y3" s="103">
        <f t="shared" ref="Y3:Y7" si="3">W3*X3</f>
        <v>4854</v>
      </c>
      <c r="Z3" s="138"/>
      <c r="AA3" s="5">
        <v>0</v>
      </c>
      <c r="AB3" s="4"/>
      <c r="AC3" s="61">
        <v>59003100</v>
      </c>
      <c r="AD3" s="6">
        <v>1</v>
      </c>
      <c r="AE3" s="6">
        <v>100</v>
      </c>
      <c r="AF3" s="6">
        <v>0</v>
      </c>
      <c r="AG3" s="17">
        <v>1</v>
      </c>
      <c r="AH3" s="24">
        <f t="shared" si="1"/>
        <v>1574</v>
      </c>
      <c r="AI3" s="4" t="str">
        <f ca="1">VLOOKUP($AH3,OFFSET([4]characters!$A$1,0,0,COUNTA([4]characters!$A:$A),MATCH(AI$1,[4]characters!$1:$1,0)-MATCH("character_id",[4]characters!$1:$1,0)+1),MATCH(AI$1,[4]characters!$1:$1,0)-MATCH("character_id",[4]characters!$1:$1,0)+1,FALSE)</f>
        <v>Cancer01</v>
      </c>
      <c r="AJ3" s="4">
        <f ca="1">VLOOKUP($AH3,OFFSET([4]characters!$A$1,0,0,COUNTA([4]characters!$A:$A),MATCH(AJ$1,[4]characters!$1:$1,0)-MATCH("character_id",[4]characters!$1:$1,0)+1),MATCH(AJ$1,[4]characters!$1:$1,0)-MATCH("character_id",[4]characters!$1:$1,0)+1,FALSE)</f>
        <v>5</v>
      </c>
      <c r="AK3" s="4" t="str">
        <f ca="1">VLOOKUP($AH3,OFFSET([4]characters!$A$1,0,0,COUNTA([4]characters!$A:$A),MATCH(AK$1,[4]characters!$1:$1,0)-MATCH("character_id",[4]characters!$1:$1,0)+1),MATCH(AK$1,[4]characters!$1:$1,0)-MATCH("character_id",[4]characters!$1:$1,0)+1,FALSE)</f>
        <v>PremiumS</v>
      </c>
      <c r="AL3" s="7">
        <v>1</v>
      </c>
      <c r="AM3" s="24">
        <f ca="1">AJ3</f>
        <v>5</v>
      </c>
      <c r="AN3" s="8">
        <v>0</v>
      </c>
      <c r="AO3" s="7">
        <v>0</v>
      </c>
      <c r="AP3" s="7">
        <v>0</v>
      </c>
      <c r="AQ3" s="7">
        <v>0</v>
      </c>
      <c r="AR3" s="7">
        <v>0</v>
      </c>
      <c r="AS3" s="7">
        <v>1</v>
      </c>
      <c r="AT3" s="69">
        <v>1</v>
      </c>
    </row>
    <row r="4" spans="1:46" ht="21" customHeight="1" x14ac:dyDescent="0.15">
      <c r="A4" s="16" t="str">
        <f t="shared" si="0"/>
        <v>59003_1-3/1571&lt;lv80&gt;s1</v>
      </c>
      <c r="B4" s="22">
        <v>59003</v>
      </c>
      <c r="C4" s="21">
        <v>1</v>
      </c>
      <c r="D4" s="2" t="str">
        <f t="shared" ref="D4:D7" si="4">B4&amp;"_"&amp;C4</f>
        <v>59003_1</v>
      </c>
      <c r="E4" s="4" t="str">
        <f ca="1">VLOOKUP($B4,OFFSET([2]quests!$A$1,0,0,COUNTA([2]quests!$A:$A),MATCH(E$1,[2]quests!$1:$1,0)-MATCH($B$1,[2]quests!$1:$1,0)+1),MATCH(E$1,[2]quests!$1:$1,0)-MATCH($B$1,[2]quests!$1:$1,0)+1,FALSE)</f>
        <v>風雷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【ウィザード級】風雷</v>
      </c>
      <c r="G4" s="21">
        <v>3</v>
      </c>
      <c r="H4" s="15" t="str">
        <f t="shared" ref="H4:H7" si="5">B4&amp;"_"&amp;C4&amp;"-"&amp;G4</f>
        <v>59003_1-3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1571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Lupus01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3.1</v>
      </c>
      <c r="T4" s="137">
        <v>130237</v>
      </c>
      <c r="U4" s="103">
        <f t="shared" si="2"/>
        <v>403734.7</v>
      </c>
      <c r="V4" s="138"/>
      <c r="W4" s="25">
        <v>0.4</v>
      </c>
      <c r="X4" s="137">
        <v>11953</v>
      </c>
      <c r="Y4" s="103">
        <f t="shared" si="3"/>
        <v>4781.2</v>
      </c>
      <c r="Z4" s="138"/>
      <c r="AA4" s="5">
        <v>0</v>
      </c>
      <c r="AB4" s="4"/>
      <c r="AC4" s="61">
        <v>59003200</v>
      </c>
      <c r="AD4" s="6">
        <v>1</v>
      </c>
      <c r="AE4" s="6">
        <v>100</v>
      </c>
      <c r="AF4" s="6">
        <v>1</v>
      </c>
      <c r="AG4" s="17">
        <v>1</v>
      </c>
      <c r="AH4" s="24">
        <f t="shared" si="1"/>
        <v>1571</v>
      </c>
      <c r="AI4" s="4" t="str">
        <f ca="1">VLOOKUP($AH4,OFFSET([4]characters!$A$1,0,0,COUNTA([4]characters!$A:$A),MATCH(AI$1,[4]characters!$1:$1,0)-MATCH("character_id",[4]characters!$1:$1,0)+1),MATCH(AI$1,[4]characters!$1:$1,0)-MATCH("character_id",[4]characters!$1:$1,0)+1,FALSE)</f>
        <v>Lupus01</v>
      </c>
      <c r="AJ4" s="4">
        <f ca="1">VLOOKUP($AH4,OFFSET([4]characters!$A$1,0,0,COUNTA([4]characters!$A:$A),MATCH(AJ$1,[4]characters!$1:$1,0)-MATCH("character_id",[4]characters!$1:$1,0)+1),MATCH(AJ$1,[4]characters!$1:$1,0)-MATCH("character_id",[4]characters!$1:$1,0)+1,FALSE)</f>
        <v>5</v>
      </c>
      <c r="AK4" s="4" t="str">
        <f ca="1">VLOOKUP($AH4,OFFSET([4]characters!$A$1,0,0,COUNTA([4]characters!$A:$A),MATCH(AK$1,[4]characters!$1:$1,0)-MATCH("character_id",[4]characters!$1:$1,0)+1),MATCH(AK$1,[4]characters!$1:$1,0)-MATCH("character_id",[4]characters!$1:$1,0)+1,FALSE)</f>
        <v>DropWizSS</v>
      </c>
      <c r="AL4" s="7">
        <v>1</v>
      </c>
      <c r="AM4" s="24">
        <f t="shared" ref="AM4:AM7" ca="1" si="6">AJ4</f>
        <v>5</v>
      </c>
      <c r="AN4" s="106">
        <v>30</v>
      </c>
      <c r="AO4" s="7">
        <v>0</v>
      </c>
      <c r="AP4" s="7">
        <v>0</v>
      </c>
      <c r="AQ4" s="7">
        <v>0</v>
      </c>
      <c r="AR4" s="7">
        <v>0</v>
      </c>
      <c r="AS4" s="7">
        <v>1</v>
      </c>
      <c r="AT4" s="69">
        <v>1</v>
      </c>
    </row>
    <row r="5" spans="1:46" ht="21" customHeight="1" x14ac:dyDescent="0.15">
      <c r="A5" s="16" t="str">
        <f t="shared" si="0"/>
        <v>59003_2-1/1573&lt;lv80&gt;s1</v>
      </c>
      <c r="B5" s="108">
        <v>59003</v>
      </c>
      <c r="C5" s="109">
        <v>2</v>
      </c>
      <c r="D5" s="109" t="str">
        <f t="shared" si="4"/>
        <v>59003_2</v>
      </c>
      <c r="E5" s="110" t="str">
        <f ca="1">VLOOKUP($B5,OFFSET([2]quests!$A$1,0,0,COUNTA([2]quests!$A:$A),MATCH(E$1,[2]quests!$1:$1,0)-MATCH($B$1,[2]quests!$1:$1,0)+1),MATCH(E$1,[2]quests!$1:$1,0)-MATCH($B$1,[2]quests!$1:$1,0)+1,FALSE)</f>
        <v>風雷</v>
      </c>
      <c r="F5" s="110" t="str">
        <f ca="1">VLOOKUP($D5,OFFSET([2]stages!$A$1,0,0,COUNTA([2]stages!$A:$A),MATCH(F$1,[2]stages!$2:$2,0)-MATCH($D$1,[2]stages!$2:$2,0)+1),MATCH(F$1,[2]stages!$2:$2,0)-MATCH($D$1,[2]stages!$2:$2,0)+1,FALSE)</f>
        <v>【超ウィザード級】風雷</v>
      </c>
      <c r="G5" s="109">
        <v>1</v>
      </c>
      <c r="H5" s="111" t="str">
        <f t="shared" si="5"/>
        <v>59003_2-1</v>
      </c>
      <c r="I5" s="110">
        <f ca="1">VLOOKUP($H5,OFFSET(floors!$A$1,0,0,COUNTA(floors!$A:$A),MATCH(I$1,floors!$1:$1,0)-MATCH($H$1,floors!$1:$1,0)+1),MATCH(I$1,floors!$1:$1,0)-MATCH($H$1,floors!$1:$1,0)+1,FALSE)</f>
        <v>60</v>
      </c>
      <c r="J5" s="110">
        <f ca="1">VLOOKUP($H5,OFFSET(floors!$A$1,0,0,COUNTA(floors!$A:$A),MATCH(J$1,floors!$1:$1,0)-MATCH($H$1,floors!$1:$1,0)+1),MATCH(J$1,floors!$1:$1,0)-MATCH($H$1,floors!$1:$1,0)+1,FALSE)</f>
        <v>60</v>
      </c>
      <c r="K5" s="112">
        <v>1</v>
      </c>
      <c r="L5" s="109">
        <v>1573</v>
      </c>
      <c r="M5" s="105" t="str">
        <f ca="1">VLOOKUP($L5,OFFSET([3]enemies!$A$1,0,0,COUNTA([3]enemies!$A:$A),MATCH(M$1,[3]enemies!$1:$1,0)-MATCH($L$1,[3]enemies!$1:$1,0)+1),MATCH(M$1,[3]enemies!$1:$1,0)-MATCH($L$1,[3]enemies!$1:$1,0)+1,FALSE)</f>
        <v>Scorpius01</v>
      </c>
      <c r="N5" s="105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05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05" t="str">
        <f ca="1">VLOOKUP($L5,OFFSET([3]enemies!$A$1,0,0,COUNTA([3]enemies!$A:$A),MATCH(P$1,[3]enemies!$1:$1,0)-MATCH($L$1,[3]enemies!$1:$1,0)+1),MATCH(P$1,[3]enemies!$1:$1,0)-MATCH($L$1,[3]enemies!$1:$1,0)+1,FALSE)</f>
        <v>orochi</v>
      </c>
      <c r="Q5" s="105">
        <f ca="1">VLOOKUP($L5,OFFSET([3]enemies!$A$1,0,0,COUNTA([3]enemies!$A:$A),MATCH(Q$1,[3]enemies!$1:$1,0)-MATCH($L$1,[3]enemies!$1:$1,0)+1),MATCH(Q$1,[3]enemies!$1:$1,0)-MATCH($L$1,[3]enemies!$1:$1,0)+1,FALSE)</f>
        <v>60</v>
      </c>
      <c r="R5" s="115">
        <v>80</v>
      </c>
      <c r="S5" s="114">
        <v>1.9</v>
      </c>
      <c r="T5" s="137">
        <v>204916</v>
      </c>
      <c r="U5" s="103">
        <f t="shared" si="2"/>
        <v>389340.39999999997</v>
      </c>
      <c r="V5" s="138">
        <f t="shared" ref="V5" si="7">0.76*U5</f>
        <v>295898.70399999997</v>
      </c>
      <c r="W5" s="114">
        <v>1</v>
      </c>
      <c r="X5" s="137">
        <v>7414</v>
      </c>
      <c r="Y5" s="103">
        <f t="shared" si="3"/>
        <v>7414</v>
      </c>
      <c r="Z5" s="138">
        <f t="shared" ref="Z5" si="8">0.7*Y5</f>
        <v>5189.7999999999993</v>
      </c>
      <c r="AA5" s="115">
        <v>0</v>
      </c>
      <c r="AB5" s="4"/>
      <c r="AC5" s="116">
        <v>59003500</v>
      </c>
      <c r="AD5" s="107">
        <v>1</v>
      </c>
      <c r="AE5" s="107">
        <v>100</v>
      </c>
      <c r="AF5" s="107">
        <v>0</v>
      </c>
      <c r="AG5" s="17">
        <v>1</v>
      </c>
      <c r="AH5" s="24">
        <f t="shared" si="1"/>
        <v>1573</v>
      </c>
      <c r="AI5" s="4" t="str">
        <f ca="1">VLOOKUP($AH5,OFFSET([4]characters!$A$1,0,0,COUNTA([4]characters!$A:$A),MATCH(AI$1,[4]characters!$1:$1,0)-MATCH("character_id",[4]characters!$1:$1,0)+1),MATCH(AI$1,[4]characters!$1:$1,0)-MATCH("character_id",[4]characters!$1:$1,0)+1,FALSE)</f>
        <v>Scorpius01</v>
      </c>
      <c r="AJ5" s="4">
        <f ca="1">VLOOKUP($AH5,OFFSET([4]characters!$A$1,0,0,COUNTA([4]characters!$A:$A),MATCH(AJ$1,[4]characters!$1:$1,0)-MATCH("character_id",[4]characters!$1:$1,0)+1),MATCH(AJ$1,[4]characters!$1:$1,0)-MATCH("character_id",[4]characters!$1:$1,0)+1,FALSE)</f>
        <v>5</v>
      </c>
      <c r="AK5" s="4" t="str">
        <f ca="1">VLOOKUP($AH5,OFFSET([4]characters!$A$1,0,0,COUNTA([4]characters!$A:$A),MATCH(AK$1,[4]characters!$1:$1,0)-MATCH("character_id",[4]characters!$1:$1,0)+1),MATCH(AK$1,[4]characters!$1:$1,0)-MATCH("character_id",[4]characters!$1:$1,0)+1,FALSE)</f>
        <v>PremiumS</v>
      </c>
      <c r="AL5" s="7">
        <v>1</v>
      </c>
      <c r="AM5" s="24">
        <f t="shared" ca="1" si="6"/>
        <v>5</v>
      </c>
      <c r="AN5" s="8">
        <v>0</v>
      </c>
      <c r="AO5" s="7">
        <v>0</v>
      </c>
      <c r="AP5" s="7">
        <v>0</v>
      </c>
      <c r="AQ5" s="7">
        <v>0</v>
      </c>
      <c r="AR5" s="7">
        <v>0</v>
      </c>
      <c r="AS5" s="7">
        <v>1</v>
      </c>
      <c r="AT5" s="69">
        <v>1</v>
      </c>
    </row>
    <row r="6" spans="1:46" ht="21" customHeight="1" x14ac:dyDescent="0.15">
      <c r="A6" s="16" t="str">
        <f t="shared" si="0"/>
        <v>59003_2-2/1574&lt;lv80&gt;s1</v>
      </c>
      <c r="B6" s="108">
        <v>59003</v>
      </c>
      <c r="C6" s="109">
        <v>2</v>
      </c>
      <c r="D6" s="109" t="str">
        <f t="shared" si="4"/>
        <v>59003_2</v>
      </c>
      <c r="E6" s="110" t="str">
        <f ca="1">VLOOKUP($B6,OFFSET([2]quests!$A$1,0,0,COUNTA([2]quests!$A:$A),MATCH(E$1,[2]quests!$1:$1,0)-MATCH($B$1,[2]quests!$1:$1,0)+1),MATCH(E$1,[2]quests!$1:$1,0)-MATCH($B$1,[2]quests!$1:$1,0)+1,FALSE)</f>
        <v>風雷</v>
      </c>
      <c r="F6" s="110" t="str">
        <f ca="1">VLOOKUP($D6,OFFSET([2]stages!$A$1,0,0,COUNTA([2]stages!$A:$A),MATCH(F$1,[2]stages!$2:$2,0)-MATCH($D$1,[2]stages!$2:$2,0)+1),MATCH(F$1,[2]stages!$2:$2,0)-MATCH($D$1,[2]stages!$2:$2,0)+1,FALSE)</f>
        <v>【超ウィザード級】風雷</v>
      </c>
      <c r="G6" s="109">
        <v>2</v>
      </c>
      <c r="H6" s="111" t="str">
        <f t="shared" si="5"/>
        <v>59003_2-2</v>
      </c>
      <c r="I6" s="110">
        <f ca="1">VLOOKUP($H6,OFFSET(floors!$A$1,0,0,COUNTA(floors!$A:$A),MATCH(I$1,floors!$1:$1,0)-MATCH($H$1,floors!$1:$1,0)+1),MATCH(I$1,floors!$1:$1,0)-MATCH($H$1,floors!$1:$1,0)+1,FALSE)</f>
        <v>60</v>
      </c>
      <c r="J6" s="110">
        <f ca="1">VLOOKUP($H6,OFFSET(floors!$A$1,0,0,COUNTA(floors!$A:$A),MATCH(J$1,floors!$1:$1,0)-MATCH($H$1,floors!$1:$1,0)+1),MATCH(J$1,floors!$1:$1,0)-MATCH($H$1,floors!$1:$1,0)+1,FALSE)</f>
        <v>60</v>
      </c>
      <c r="K6" s="112">
        <v>2</v>
      </c>
      <c r="L6" s="109">
        <v>1574</v>
      </c>
      <c r="M6" s="105" t="str">
        <f ca="1">VLOOKUP($L6,OFFSET([3]enemies!$A$1,0,0,COUNTA([3]enemies!$A:$A),MATCH(M$1,[3]enemies!$1:$1,0)-MATCH($L$1,[3]enemies!$1:$1,0)+1),MATCH(M$1,[3]enemies!$1:$1,0)-MATCH($L$1,[3]enemies!$1:$1,0)+1,FALSE)</f>
        <v>Cancer01</v>
      </c>
      <c r="N6" s="105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05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05" t="str">
        <f ca="1">VLOOKUP($L6,OFFSET([3]enemies!$A$1,0,0,COUNTA([3]enemies!$A:$A),MATCH(P$1,[3]enemies!$1:$1,0)-MATCH($L$1,[3]enemies!$1:$1,0)+1),MATCH(P$1,[3]enemies!$1:$1,0)-MATCH($L$1,[3]enemies!$1:$1,0)+1,FALSE)</f>
        <v>orochi</v>
      </c>
      <c r="Q6" s="105">
        <f ca="1">VLOOKUP($L6,OFFSET([3]enemies!$A$1,0,0,COUNTA([3]enemies!$A:$A),MATCH(Q$1,[3]enemies!$1:$1,0)-MATCH($L$1,[3]enemies!$1:$1,0)+1),MATCH(Q$1,[3]enemies!$1:$1,0)-MATCH($L$1,[3]enemies!$1:$1,0)+1,FALSE)</f>
        <v>60</v>
      </c>
      <c r="R6" s="115">
        <v>80</v>
      </c>
      <c r="S6" s="114">
        <v>5</v>
      </c>
      <c r="T6" s="137">
        <v>122202</v>
      </c>
      <c r="U6" s="103">
        <f t="shared" si="2"/>
        <v>611010</v>
      </c>
      <c r="V6" s="138"/>
      <c r="W6" s="114">
        <v>0.9</v>
      </c>
      <c r="X6" s="137">
        <v>8090</v>
      </c>
      <c r="Y6" s="103">
        <f t="shared" si="3"/>
        <v>7281</v>
      </c>
      <c r="Z6" s="138"/>
      <c r="AA6" s="115">
        <v>0</v>
      </c>
      <c r="AB6" s="4"/>
      <c r="AC6" s="116">
        <v>59003600</v>
      </c>
      <c r="AD6" s="107">
        <v>1</v>
      </c>
      <c r="AE6" s="107">
        <v>100</v>
      </c>
      <c r="AF6" s="107">
        <v>0</v>
      </c>
      <c r="AG6" s="17">
        <v>1</v>
      </c>
      <c r="AH6" s="24">
        <f t="shared" si="1"/>
        <v>1574</v>
      </c>
      <c r="AI6" s="4" t="str">
        <f ca="1">VLOOKUP($AH6,OFFSET([4]characters!$A$1,0,0,COUNTA([4]characters!$A:$A),MATCH(AI$1,[4]characters!$1:$1,0)-MATCH("character_id",[4]characters!$1:$1,0)+1),MATCH(AI$1,[4]characters!$1:$1,0)-MATCH("character_id",[4]characters!$1:$1,0)+1,FALSE)</f>
        <v>Cancer01</v>
      </c>
      <c r="AJ6" s="4">
        <f ca="1">VLOOKUP($AH6,OFFSET([4]characters!$A$1,0,0,COUNTA([4]characters!$A:$A),MATCH(AJ$1,[4]characters!$1:$1,0)-MATCH("character_id",[4]characters!$1:$1,0)+1),MATCH(AJ$1,[4]characters!$1:$1,0)-MATCH("character_id",[4]characters!$1:$1,0)+1,FALSE)</f>
        <v>5</v>
      </c>
      <c r="AK6" s="4" t="str">
        <f ca="1">VLOOKUP($AH6,OFFSET([4]characters!$A$1,0,0,COUNTA([4]characters!$A:$A),MATCH(AK$1,[4]characters!$1:$1,0)-MATCH("character_id",[4]characters!$1:$1,0)+1),MATCH(AK$1,[4]characters!$1:$1,0)-MATCH("character_id",[4]characters!$1:$1,0)+1,FALSE)</f>
        <v>PremiumS</v>
      </c>
      <c r="AL6" s="7">
        <v>1</v>
      </c>
      <c r="AM6" s="24">
        <f t="shared" ca="1" si="6"/>
        <v>5</v>
      </c>
      <c r="AN6" s="8">
        <v>0</v>
      </c>
      <c r="AO6" s="7">
        <v>0</v>
      </c>
      <c r="AP6" s="7">
        <v>0</v>
      </c>
      <c r="AQ6" s="7">
        <v>0</v>
      </c>
      <c r="AR6" s="7">
        <v>0</v>
      </c>
      <c r="AS6" s="7">
        <v>1</v>
      </c>
      <c r="AT6" s="69">
        <v>1</v>
      </c>
    </row>
    <row r="7" spans="1:46" ht="21" customHeight="1" x14ac:dyDescent="0.15">
      <c r="A7" s="16" t="str">
        <f t="shared" si="0"/>
        <v>59003_2-3/1571&lt;lv80&gt;s1</v>
      </c>
      <c r="B7" s="108">
        <v>59003</v>
      </c>
      <c r="C7" s="109">
        <v>2</v>
      </c>
      <c r="D7" s="109" t="str">
        <f t="shared" si="4"/>
        <v>59003_2</v>
      </c>
      <c r="E7" s="110" t="str">
        <f ca="1">VLOOKUP($B7,OFFSET([2]quests!$A$1,0,0,COUNTA([2]quests!$A:$A),MATCH(E$1,[2]quests!$1:$1,0)-MATCH($B$1,[2]quests!$1:$1,0)+1),MATCH(E$1,[2]quests!$1:$1,0)-MATCH($B$1,[2]quests!$1:$1,0)+1,FALSE)</f>
        <v>風雷</v>
      </c>
      <c r="F7" s="110" t="str">
        <f ca="1">VLOOKUP($D7,OFFSET([2]stages!$A$1,0,0,COUNTA([2]stages!$A:$A),MATCH(F$1,[2]stages!$2:$2,0)-MATCH($D$1,[2]stages!$2:$2,0)+1),MATCH(F$1,[2]stages!$2:$2,0)-MATCH($D$1,[2]stages!$2:$2,0)+1,FALSE)</f>
        <v>【超ウィザード級】風雷</v>
      </c>
      <c r="G7" s="109">
        <v>3</v>
      </c>
      <c r="H7" s="111" t="str">
        <f t="shared" si="5"/>
        <v>59003_2-3</v>
      </c>
      <c r="I7" s="110">
        <f ca="1">VLOOKUP($H7,OFFSET(floors!$A$1,0,0,COUNTA(floors!$A:$A),MATCH(I$1,floors!$1:$1,0)-MATCH($H$1,floors!$1:$1,0)+1),MATCH(I$1,floors!$1:$1,0)-MATCH($H$1,floors!$1:$1,0)+1,FALSE)</f>
        <v>60</v>
      </c>
      <c r="J7" s="110">
        <f ca="1">VLOOKUP($H7,OFFSET(floors!$A$1,0,0,COUNTA(floors!$A:$A),MATCH(J$1,floors!$1:$1,0)-MATCH($H$1,floors!$1:$1,0)+1),MATCH(J$1,floors!$1:$1,0)-MATCH($H$1,floors!$1:$1,0)+1,FALSE)</f>
        <v>60</v>
      </c>
      <c r="K7" s="112">
        <v>3</v>
      </c>
      <c r="L7" s="109">
        <v>1571</v>
      </c>
      <c r="M7" s="105" t="str">
        <f ca="1">VLOOKUP($L7,OFFSET([3]enemies!$A$1,0,0,COUNTA([3]enemies!$A:$A),MATCH(M$1,[3]enemies!$1:$1,0)-MATCH($L$1,[3]enemies!$1:$1,0)+1),MATCH(M$1,[3]enemies!$1:$1,0)-MATCH($L$1,[3]enemies!$1:$1,0)+1,FALSE)</f>
        <v>Lupus01</v>
      </c>
      <c r="N7" s="105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05" t="str">
        <f ca="1">VLOOKUP($L7,OFFSET([4]characters!$A$1,0,0,COUNTA([4]characters!$A:$A),MATCH(O$1,[4]characters!$1:$1,0)-MATCH($L$1,[4]characters!$1:$1,0)+1),MATCH(O$1,[4]characters!$1:$1,0)-MATCH($L$1,[4]characters!$1:$1,0)+1,FALSE)</f>
        <v>DropWizSS</v>
      </c>
      <c r="P7" s="105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05">
        <f ca="1">VLOOKUP($L7,OFFSET([3]enemies!$A$1,0,0,COUNTA([3]enemies!$A:$A),MATCH(Q$1,[3]enemies!$1:$1,0)-MATCH($L$1,[3]enemies!$1:$1,0)+1),MATCH(Q$1,[3]enemies!$1:$1,0)-MATCH($L$1,[3]enemies!$1:$1,0)+1,FALSE)</f>
        <v>60</v>
      </c>
      <c r="R7" s="115">
        <v>80</v>
      </c>
      <c r="S7" s="114">
        <v>7.6</v>
      </c>
      <c r="T7" s="137">
        <v>130237</v>
      </c>
      <c r="U7" s="103">
        <f t="shared" si="2"/>
        <v>989801.2</v>
      </c>
      <c r="V7" s="138"/>
      <c r="W7" s="114">
        <v>0.7</v>
      </c>
      <c r="X7" s="137">
        <v>11953</v>
      </c>
      <c r="Y7" s="103">
        <f t="shared" si="3"/>
        <v>8367.1</v>
      </c>
      <c r="Z7" s="138"/>
      <c r="AA7" s="115">
        <v>0</v>
      </c>
      <c r="AB7" s="4"/>
      <c r="AC7" s="116">
        <v>59003700</v>
      </c>
      <c r="AD7" s="107">
        <v>1</v>
      </c>
      <c r="AE7" s="107">
        <v>100</v>
      </c>
      <c r="AF7" s="107">
        <v>1</v>
      </c>
      <c r="AG7" s="17">
        <v>1</v>
      </c>
      <c r="AH7" s="24">
        <f t="shared" si="1"/>
        <v>1571</v>
      </c>
      <c r="AI7" s="4" t="str">
        <f ca="1">VLOOKUP($AH7,OFFSET([4]characters!$A$1,0,0,COUNTA([4]characters!$A:$A),MATCH(AI$1,[4]characters!$1:$1,0)-MATCH("character_id",[4]characters!$1:$1,0)+1),MATCH(AI$1,[4]characters!$1:$1,0)-MATCH("character_id",[4]characters!$1:$1,0)+1,FALSE)</f>
        <v>Lupus01</v>
      </c>
      <c r="AJ7" s="4">
        <f ca="1">VLOOKUP($AH7,OFFSET([4]characters!$A$1,0,0,COUNTA([4]characters!$A:$A),MATCH(AJ$1,[4]characters!$1:$1,0)-MATCH("character_id",[4]characters!$1:$1,0)+1),MATCH(AJ$1,[4]characters!$1:$1,0)-MATCH("character_id",[4]characters!$1:$1,0)+1,FALSE)</f>
        <v>5</v>
      </c>
      <c r="AK7" s="4" t="str">
        <f ca="1">VLOOKUP($AH7,OFFSET([4]characters!$A$1,0,0,COUNTA([4]characters!$A:$A),MATCH(AK$1,[4]characters!$1:$1,0)-MATCH("character_id",[4]characters!$1:$1,0)+1),MATCH(AK$1,[4]characters!$1:$1,0)-MATCH("character_id",[4]characters!$1:$1,0)+1,FALSE)</f>
        <v>DropWizSS</v>
      </c>
      <c r="AL7" s="7">
        <v>1</v>
      </c>
      <c r="AM7" s="24">
        <f t="shared" ca="1" si="6"/>
        <v>5</v>
      </c>
      <c r="AN7" s="106">
        <v>100</v>
      </c>
      <c r="AO7" s="7">
        <v>0</v>
      </c>
      <c r="AP7" s="7">
        <v>0</v>
      </c>
      <c r="AQ7" s="7">
        <v>0</v>
      </c>
      <c r="AR7" s="7">
        <v>0</v>
      </c>
      <c r="AS7" s="7">
        <v>1</v>
      </c>
      <c r="AT7" s="69">
        <v>1</v>
      </c>
    </row>
    <row r="8" spans="1:46" ht="21" customHeight="1" x14ac:dyDescent="0.15">
      <c r="T8" s="10"/>
    </row>
    <row r="9" spans="1:46" ht="21" customHeight="1" x14ac:dyDescent="0.15">
      <c r="T9" s="10"/>
    </row>
  </sheetData>
  <sheetProtection selectLockedCells="1" selectUnlockedCells="1"/>
  <autoFilter ref="B1:AN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E9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9.5" style="3" customWidth="1"/>
    <col min="23" max="23" width="14.83203125" style="3" customWidth="1"/>
    <col min="24" max="24" width="17.5" style="3" bestFit="1" customWidth="1"/>
    <col min="25" max="25" width="17.5" style="3" hidden="1" customWidth="1"/>
    <col min="26" max="26" width="8.5" style="3" bestFit="1" customWidth="1"/>
    <col min="27" max="27" width="17.5" style="3" customWidth="1"/>
    <col min="28" max="28" width="18.33203125" style="3" bestFit="1" customWidth="1"/>
    <col min="29" max="29" width="16.6640625" style="3" customWidth="1"/>
    <col min="30" max="30" width="10" style="3" bestFit="1" customWidth="1" outlineLevel="1"/>
    <col min="31" max="31" width="9.33203125" style="3" bestFit="1" customWidth="1"/>
    <col min="32" max="16384" width="13" style="3"/>
  </cols>
  <sheetData>
    <row r="1" spans="1:31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261</v>
      </c>
      <c r="V1" s="102" t="s">
        <v>249</v>
      </c>
      <c r="W1" s="102" t="s">
        <v>265</v>
      </c>
      <c r="X1" s="26" t="s">
        <v>50</v>
      </c>
      <c r="Y1" s="26" t="s">
        <v>262</v>
      </c>
      <c r="Z1" s="102" t="s">
        <v>250</v>
      </c>
      <c r="AA1" s="102" t="s">
        <v>265</v>
      </c>
      <c r="AB1" s="26" t="s">
        <v>52</v>
      </c>
      <c r="AC1" s="28" t="s">
        <v>128</v>
      </c>
      <c r="AD1" s="29" t="s">
        <v>127</v>
      </c>
      <c r="AE1" s="28" t="s">
        <v>8</v>
      </c>
    </row>
    <row r="2" spans="1:31" ht="21" customHeight="1" x14ac:dyDescent="0.15">
      <c r="A2" s="16" t="str">
        <f>B2&amp;"_"&amp;C2&amp;"-"&amp;G2&amp;"/"&amp;M2&amp;"&lt;lv"&amp;S2&amp;"&gt;sq"&amp;K2&amp;"st"&amp;L2</f>
        <v>59003_1-1/1573&lt;lv80&gt;sq1st2</v>
      </c>
      <c r="B2" s="22">
        <v>59003</v>
      </c>
      <c r="C2" s="21">
        <v>1</v>
      </c>
      <c r="D2" s="2" t="str">
        <f>B2&amp;"_"&amp;C2</f>
        <v>59003_1</v>
      </c>
      <c r="E2" s="4" t="str">
        <f ca="1">VLOOKUP($B2,OFFSET([2]quests!$A$1,0,0,COUNTA([2]quests!$A:$A),MATCH(E$1,[2]quests!$1:$1,0)-MATCH($B$1,[2]quests!$1:$1,0)+1),MATCH(E$1,[2]quests!$1:$1,0)-MATCH($B$1,[2]quests!$1:$1,0)+1,FALSE)</f>
        <v>風雷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【ウィザード級】風雷</v>
      </c>
      <c r="G2" s="21">
        <v>1</v>
      </c>
      <c r="H2" s="15" t="str">
        <f>B2&amp;"_"&amp;C2&amp;"-"&amp;G2</f>
        <v>59003_1-1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1573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Scorpius01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orochi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1.7</v>
      </c>
      <c r="U2" s="137">
        <v>204916</v>
      </c>
      <c r="V2" s="103">
        <f>T2*U2</f>
        <v>348357.2</v>
      </c>
      <c r="W2" s="138">
        <f>0.76*V2</f>
        <v>264751.47200000001</v>
      </c>
      <c r="X2" s="25">
        <v>0.8</v>
      </c>
      <c r="Y2" s="137">
        <v>7414</v>
      </c>
      <c r="Z2" s="103">
        <f>X2*Y2</f>
        <v>5931.2000000000007</v>
      </c>
      <c r="AA2" s="138">
        <f>0.7*Z2</f>
        <v>4151.84</v>
      </c>
      <c r="AB2" s="5">
        <v>0</v>
      </c>
      <c r="AC2" s="4"/>
      <c r="AD2" s="61">
        <v>59003050</v>
      </c>
      <c r="AE2" s="70">
        <v>1</v>
      </c>
    </row>
    <row r="3" spans="1:31" ht="21" customHeight="1" x14ac:dyDescent="0.15">
      <c r="A3" s="16" t="str">
        <f t="shared" ref="A3:A9" si="0">B3&amp;"_"&amp;C3&amp;"-"&amp;G3&amp;"/"&amp;M3&amp;"&lt;lv"&amp;S3&amp;"&gt;sq"&amp;K3&amp;"st"&amp;L3</f>
        <v>59003_1-2/1574&lt;lv80&gt;sq2st2</v>
      </c>
      <c r="B3" s="22">
        <v>59003</v>
      </c>
      <c r="C3" s="21">
        <v>1</v>
      </c>
      <c r="D3" s="2" t="str">
        <f t="shared" ref="D3:D9" si="1">B3&amp;"_"&amp;C3</f>
        <v>59003_1</v>
      </c>
      <c r="E3" s="4" t="str">
        <f ca="1">VLOOKUP($B3,OFFSET([2]quests!$A$1,0,0,COUNTA([2]quests!$A:$A),MATCH(E$1,[2]quests!$1:$1,0)-MATCH($B$1,[2]quests!$1:$1,0)+1),MATCH(E$1,[2]quests!$1:$1,0)-MATCH($B$1,[2]quests!$1:$1,0)+1,FALSE)</f>
        <v>風雷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【ウィザード級】風雷</v>
      </c>
      <c r="G3" s="21">
        <v>2</v>
      </c>
      <c r="H3" s="15" t="str">
        <f t="shared" ref="H3:H9" si="2">B3&amp;"_"&amp;C3&amp;"-"&amp;G3</f>
        <v>59003_1-2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1574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Cancer01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orochi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2.5</v>
      </c>
      <c r="U3" s="137">
        <v>122202</v>
      </c>
      <c r="V3" s="103">
        <f t="shared" ref="V3:V9" si="3">T3*U3</f>
        <v>305505</v>
      </c>
      <c r="W3" s="138"/>
      <c r="X3" s="25">
        <v>0.6</v>
      </c>
      <c r="Y3" s="137">
        <v>8090</v>
      </c>
      <c r="Z3" s="103">
        <f t="shared" ref="Z3:Z9" si="4">X3*Y3</f>
        <v>4854</v>
      </c>
      <c r="AA3" s="138"/>
      <c r="AB3" s="5">
        <v>0</v>
      </c>
      <c r="AC3" s="4"/>
      <c r="AD3" s="61">
        <v>59003150</v>
      </c>
      <c r="AE3" s="70">
        <v>1</v>
      </c>
    </row>
    <row r="4" spans="1:31" ht="21" customHeight="1" x14ac:dyDescent="0.15">
      <c r="A4" s="16" t="str">
        <f t="shared" si="0"/>
        <v>59003_1-3/1571&lt;lv80&gt;sq3st2</v>
      </c>
      <c r="B4" s="22">
        <v>59003</v>
      </c>
      <c r="C4" s="21">
        <v>1</v>
      </c>
      <c r="D4" s="2" t="str">
        <f t="shared" si="1"/>
        <v>59003_1</v>
      </c>
      <c r="E4" s="4" t="str">
        <f ca="1">VLOOKUP($B4,OFFSET([2]quests!$A$1,0,0,COUNTA([2]quests!$A:$A),MATCH(E$1,[2]quests!$1:$1,0)-MATCH($B$1,[2]quests!$1:$1,0)+1),MATCH(E$1,[2]quests!$1:$1,0)-MATCH($B$1,[2]quests!$1:$1,0)+1,FALSE)</f>
        <v>風雷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【ウィザード級】風雷</v>
      </c>
      <c r="G4" s="21">
        <v>3</v>
      </c>
      <c r="H4" s="15" t="str">
        <f t="shared" si="2"/>
        <v>59003_1-3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1571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Lupus01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3.4</v>
      </c>
      <c r="U4" s="137">
        <v>130237</v>
      </c>
      <c r="V4" s="103">
        <f t="shared" si="3"/>
        <v>442805.8</v>
      </c>
      <c r="W4" s="138"/>
      <c r="X4" s="25">
        <v>0.5</v>
      </c>
      <c r="Y4" s="137">
        <v>11953</v>
      </c>
      <c r="Z4" s="103">
        <f t="shared" si="4"/>
        <v>5976.5</v>
      </c>
      <c r="AA4" s="138"/>
      <c r="AB4" s="5">
        <v>0</v>
      </c>
      <c r="AC4" s="4"/>
      <c r="AD4" s="61">
        <v>59003250</v>
      </c>
      <c r="AE4" s="70">
        <v>1</v>
      </c>
    </row>
    <row r="5" spans="1:31" ht="21" customHeight="1" x14ac:dyDescent="0.15">
      <c r="A5" s="16" t="str">
        <f t="shared" si="0"/>
        <v>59003_1-3/1572&lt;lv80&gt;sq3st3</v>
      </c>
      <c r="B5" s="22">
        <v>59003</v>
      </c>
      <c r="C5" s="21">
        <v>1</v>
      </c>
      <c r="D5" s="2" t="str">
        <f t="shared" si="1"/>
        <v>59003_1</v>
      </c>
      <c r="E5" s="4" t="str">
        <f ca="1">VLOOKUP($B5,OFFSET([2]quests!$A$1,0,0,COUNTA([2]quests!$A:$A),MATCH(E$1,[2]quests!$1:$1,0)-MATCH($B$1,[2]quests!$1:$1,0)+1),MATCH(E$1,[2]quests!$1:$1,0)-MATCH($B$1,[2]quests!$1:$1,0)+1,FALSE)</f>
        <v>風雷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【ウィザード級】風雷</v>
      </c>
      <c r="G5" s="21">
        <v>3</v>
      </c>
      <c r="H5" s="15" t="str">
        <f t="shared" si="2"/>
        <v>59003_1-3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1572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Lupus02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4.2</v>
      </c>
      <c r="U5" s="137">
        <v>130237</v>
      </c>
      <c r="V5" s="103">
        <f t="shared" si="3"/>
        <v>546995.4</v>
      </c>
      <c r="W5" s="138"/>
      <c r="X5" s="25">
        <v>0.5</v>
      </c>
      <c r="Y5" s="137">
        <v>11953</v>
      </c>
      <c r="Z5" s="103">
        <f t="shared" si="4"/>
        <v>5976.5</v>
      </c>
      <c r="AA5" s="138"/>
      <c r="AB5" s="5">
        <v>0</v>
      </c>
      <c r="AC5" s="4"/>
      <c r="AD5" s="61">
        <v>59003300</v>
      </c>
      <c r="AE5" s="70">
        <v>1</v>
      </c>
    </row>
    <row r="6" spans="1:31" ht="21" customHeight="1" x14ac:dyDescent="0.15">
      <c r="A6" s="16" t="str">
        <f t="shared" si="0"/>
        <v>59003_2-1/1573&lt;lv80&gt;sq1st2</v>
      </c>
      <c r="B6" s="22">
        <v>59003</v>
      </c>
      <c r="C6" s="109">
        <v>2</v>
      </c>
      <c r="D6" s="109" t="str">
        <f t="shared" si="1"/>
        <v>59003_2</v>
      </c>
      <c r="E6" s="110" t="str">
        <f ca="1">VLOOKUP($B6,OFFSET([2]quests!$A$1,0,0,COUNTA([2]quests!$A:$A),MATCH(E$1,[2]quests!$1:$1,0)-MATCH($B$1,[2]quests!$1:$1,0)+1),MATCH(E$1,[2]quests!$1:$1,0)-MATCH($B$1,[2]quests!$1:$1,0)+1,FALSE)</f>
        <v>風雷</v>
      </c>
      <c r="F6" s="110" t="str">
        <f ca="1">VLOOKUP($D6,OFFSET([2]stages!$A$1,0,0,COUNTA([2]stages!$A:$A),MATCH(F$1,[2]stages!$2:$2,0)-MATCH($D$1,[2]stages!$2:$2,0)+1),MATCH(F$1,[2]stages!$2:$2,0)-MATCH($D$1,[2]stages!$2:$2,0)+1,FALSE)</f>
        <v>【超ウィザード級】風雷</v>
      </c>
      <c r="G6" s="109">
        <v>1</v>
      </c>
      <c r="H6" s="111" t="str">
        <f t="shared" si="2"/>
        <v>59003_2-1</v>
      </c>
      <c r="I6" s="110">
        <f ca="1">VLOOKUP($H6,OFFSET(floors!$A$1,0,0,COUNTA(floors!$A:$A),MATCH(I$1,floors!$1:$1,0)-MATCH($H$1,floors!$1:$1,0)+1),MATCH(I$1,floors!$1:$1,0)-MATCH($H$1,floors!$1:$1,0)+1,FALSE)</f>
        <v>60</v>
      </c>
      <c r="J6" s="110">
        <f ca="1">VLOOKUP($H6,OFFSET(floors!$A$1,0,0,COUNTA(floors!$A:$A),MATCH(J$1,floors!$1:$1,0)-MATCH($H$1,floors!$1:$1,0)+1),MATCH(J$1,floors!$1:$1,0)-MATCH($H$1,floors!$1:$1,0)+1,FALSE)</f>
        <v>60</v>
      </c>
      <c r="K6" s="112">
        <v>1</v>
      </c>
      <c r="L6" s="112">
        <v>2</v>
      </c>
      <c r="M6" s="109">
        <v>1573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Scorpius01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orochi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13">
        <v>80</v>
      </c>
      <c r="T6" s="114">
        <v>3.5</v>
      </c>
      <c r="U6" s="137">
        <v>204916</v>
      </c>
      <c r="V6" s="103">
        <f t="shared" si="3"/>
        <v>717206</v>
      </c>
      <c r="W6" s="138">
        <f>0.76*V6</f>
        <v>545076.56000000006</v>
      </c>
      <c r="X6" s="114">
        <v>1.2</v>
      </c>
      <c r="Y6" s="137">
        <v>7414</v>
      </c>
      <c r="Z6" s="103">
        <f t="shared" si="4"/>
        <v>8896.7999999999993</v>
      </c>
      <c r="AA6" s="138">
        <f>0.7*Z6</f>
        <v>6227.7599999999993</v>
      </c>
      <c r="AB6" s="5">
        <v>0</v>
      </c>
      <c r="AC6" s="4"/>
      <c r="AD6" s="116">
        <v>59003550</v>
      </c>
      <c r="AE6" s="70">
        <v>1</v>
      </c>
    </row>
    <row r="7" spans="1:31" ht="21" customHeight="1" x14ac:dyDescent="0.15">
      <c r="A7" s="16" t="str">
        <f t="shared" si="0"/>
        <v>59003_2-2/1574&lt;lv80&gt;sq2st2</v>
      </c>
      <c r="B7" s="22">
        <v>59003</v>
      </c>
      <c r="C7" s="109">
        <v>2</v>
      </c>
      <c r="D7" s="109" t="str">
        <f t="shared" si="1"/>
        <v>59003_2</v>
      </c>
      <c r="E7" s="110" t="str">
        <f ca="1">VLOOKUP($B7,OFFSET([2]quests!$A$1,0,0,COUNTA([2]quests!$A:$A),MATCH(E$1,[2]quests!$1:$1,0)-MATCH($B$1,[2]quests!$1:$1,0)+1),MATCH(E$1,[2]quests!$1:$1,0)-MATCH($B$1,[2]quests!$1:$1,0)+1,FALSE)</f>
        <v>風雷</v>
      </c>
      <c r="F7" s="110" t="str">
        <f ca="1">VLOOKUP($D7,OFFSET([2]stages!$A$1,0,0,COUNTA([2]stages!$A:$A),MATCH(F$1,[2]stages!$2:$2,0)-MATCH($D$1,[2]stages!$2:$2,0)+1),MATCH(F$1,[2]stages!$2:$2,0)-MATCH($D$1,[2]stages!$2:$2,0)+1,FALSE)</f>
        <v>【超ウィザード級】風雷</v>
      </c>
      <c r="G7" s="109">
        <v>2</v>
      </c>
      <c r="H7" s="111" t="str">
        <f t="shared" si="2"/>
        <v>59003_2-2</v>
      </c>
      <c r="I7" s="110">
        <f ca="1">VLOOKUP($H7,OFFSET(floors!$A$1,0,0,COUNTA(floors!$A:$A),MATCH(I$1,floors!$1:$1,0)-MATCH($H$1,floors!$1:$1,0)+1),MATCH(I$1,floors!$1:$1,0)-MATCH($H$1,floors!$1:$1,0)+1,FALSE)</f>
        <v>60</v>
      </c>
      <c r="J7" s="110">
        <f ca="1">VLOOKUP($H7,OFFSET(floors!$A$1,0,0,COUNTA(floors!$A:$A),MATCH(J$1,floors!$1:$1,0)-MATCH($H$1,floors!$1:$1,0)+1),MATCH(J$1,floors!$1:$1,0)-MATCH($H$1,floors!$1:$1,0)+1,FALSE)</f>
        <v>60</v>
      </c>
      <c r="K7" s="112">
        <v>2</v>
      </c>
      <c r="L7" s="112">
        <v>2</v>
      </c>
      <c r="M7" s="109">
        <v>1574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Cancer01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orochi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113">
        <v>80</v>
      </c>
      <c r="T7" s="114">
        <v>5.3</v>
      </c>
      <c r="U7" s="137">
        <v>122202</v>
      </c>
      <c r="V7" s="103">
        <f t="shared" si="3"/>
        <v>647670.6</v>
      </c>
      <c r="W7" s="138"/>
      <c r="X7" s="114">
        <v>1</v>
      </c>
      <c r="Y7" s="137">
        <v>8090</v>
      </c>
      <c r="Z7" s="103">
        <f t="shared" si="4"/>
        <v>8090</v>
      </c>
      <c r="AA7" s="138"/>
      <c r="AB7" s="5">
        <v>0</v>
      </c>
      <c r="AC7" s="4"/>
      <c r="AD7" s="116">
        <v>59003650</v>
      </c>
      <c r="AE7" s="70">
        <v>1</v>
      </c>
    </row>
    <row r="8" spans="1:31" ht="21" customHeight="1" x14ac:dyDescent="0.15">
      <c r="A8" s="16" t="str">
        <f t="shared" si="0"/>
        <v>59003_2-3/1571&lt;lv80&gt;sq3st2</v>
      </c>
      <c r="B8" s="22">
        <v>59003</v>
      </c>
      <c r="C8" s="109">
        <v>2</v>
      </c>
      <c r="D8" s="109" t="str">
        <f t="shared" si="1"/>
        <v>59003_2</v>
      </c>
      <c r="E8" s="110" t="str">
        <f ca="1">VLOOKUP($B8,OFFSET([2]quests!$A$1,0,0,COUNTA([2]quests!$A:$A),MATCH(E$1,[2]quests!$1:$1,0)-MATCH($B$1,[2]quests!$1:$1,0)+1),MATCH(E$1,[2]quests!$1:$1,0)-MATCH($B$1,[2]quests!$1:$1,0)+1,FALSE)</f>
        <v>風雷</v>
      </c>
      <c r="F8" s="110" t="str">
        <f ca="1">VLOOKUP($D8,OFFSET([2]stages!$A$1,0,0,COUNTA([2]stages!$A:$A),MATCH(F$1,[2]stages!$2:$2,0)-MATCH($D$1,[2]stages!$2:$2,0)+1),MATCH(F$1,[2]stages!$2:$2,0)-MATCH($D$1,[2]stages!$2:$2,0)+1,FALSE)</f>
        <v>【超ウィザード級】風雷</v>
      </c>
      <c r="G8" s="109">
        <v>3</v>
      </c>
      <c r="H8" s="111" t="str">
        <f t="shared" si="2"/>
        <v>59003_2-3</v>
      </c>
      <c r="I8" s="110">
        <f ca="1">VLOOKUP($H8,OFFSET(floors!$A$1,0,0,COUNTA(floors!$A:$A),MATCH(I$1,floors!$1:$1,0)-MATCH($H$1,floors!$1:$1,0)+1),MATCH(I$1,floors!$1:$1,0)-MATCH($H$1,floors!$1:$1,0)+1,FALSE)</f>
        <v>60</v>
      </c>
      <c r="J8" s="110">
        <f ca="1">VLOOKUP($H8,OFFSET(floors!$A$1,0,0,COUNTA(floors!$A:$A),MATCH(J$1,floors!$1:$1,0)-MATCH($H$1,floors!$1:$1,0)+1),MATCH(J$1,floors!$1:$1,0)-MATCH($H$1,floors!$1:$1,0)+1,FALSE)</f>
        <v>60</v>
      </c>
      <c r="K8" s="112">
        <v>3</v>
      </c>
      <c r="L8" s="112">
        <v>2</v>
      </c>
      <c r="M8" s="109">
        <v>1571</v>
      </c>
      <c r="N8" s="17" t="str">
        <f ca="1">VLOOKUP($M8,OFFSET([3]enemies!$A$1,0,0,COUNTA([3]enemies!$A:$A),MATCH(N$1,[3]enemies!$1:$1,0)-MATCH($M$1,[3]enemies!$1:$1,0)+1),MATCH(N$1,[3]enemies!$1:$1,0)-MATCH($M$1,[3]enemies!$1:$1,0)+1,FALSE)</f>
        <v>Lupus01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113">
        <v>80</v>
      </c>
      <c r="T8" s="114">
        <v>6.5</v>
      </c>
      <c r="U8" s="137">
        <v>130237</v>
      </c>
      <c r="V8" s="103">
        <f t="shared" si="3"/>
        <v>846540.5</v>
      </c>
      <c r="W8" s="138"/>
      <c r="X8" s="114">
        <v>0.6</v>
      </c>
      <c r="Y8" s="137">
        <v>11953</v>
      </c>
      <c r="Z8" s="103">
        <f t="shared" si="4"/>
        <v>7171.8</v>
      </c>
      <c r="AA8" s="138"/>
      <c r="AB8" s="5">
        <v>0</v>
      </c>
      <c r="AC8" s="4"/>
      <c r="AD8" s="116">
        <v>59003750</v>
      </c>
      <c r="AE8" s="70">
        <v>1</v>
      </c>
    </row>
    <row r="9" spans="1:31" ht="21" customHeight="1" x14ac:dyDescent="0.15">
      <c r="A9" s="16" t="str">
        <f t="shared" si="0"/>
        <v>59003_2-3/1572&lt;lv80&gt;sq3st3</v>
      </c>
      <c r="B9" s="22">
        <v>59003</v>
      </c>
      <c r="C9" s="109">
        <v>2</v>
      </c>
      <c r="D9" s="109" t="str">
        <f t="shared" si="1"/>
        <v>59003_2</v>
      </c>
      <c r="E9" s="110" t="str">
        <f ca="1">VLOOKUP($B9,OFFSET([2]quests!$A$1,0,0,COUNTA([2]quests!$A:$A),MATCH(E$1,[2]quests!$1:$1,0)-MATCH($B$1,[2]quests!$1:$1,0)+1),MATCH(E$1,[2]quests!$1:$1,0)-MATCH($B$1,[2]quests!$1:$1,0)+1,FALSE)</f>
        <v>風雷</v>
      </c>
      <c r="F9" s="110" t="str">
        <f ca="1">VLOOKUP($D9,OFFSET([2]stages!$A$1,0,0,COUNTA([2]stages!$A:$A),MATCH(F$1,[2]stages!$2:$2,0)-MATCH($D$1,[2]stages!$2:$2,0)+1),MATCH(F$1,[2]stages!$2:$2,0)-MATCH($D$1,[2]stages!$2:$2,0)+1,FALSE)</f>
        <v>【超ウィザード級】風雷</v>
      </c>
      <c r="G9" s="109">
        <v>3</v>
      </c>
      <c r="H9" s="111" t="str">
        <f t="shared" si="2"/>
        <v>59003_2-3</v>
      </c>
      <c r="I9" s="110">
        <f ca="1">VLOOKUP($H9,OFFSET(floors!$A$1,0,0,COUNTA(floors!$A:$A),MATCH(I$1,floors!$1:$1,0)-MATCH($H$1,floors!$1:$1,0)+1),MATCH(I$1,floors!$1:$1,0)-MATCH($H$1,floors!$1:$1,0)+1,FALSE)</f>
        <v>60</v>
      </c>
      <c r="J9" s="110">
        <f ca="1">VLOOKUP($H9,OFFSET(floors!$A$1,0,0,COUNTA(floors!$A:$A),MATCH(J$1,floors!$1:$1,0)-MATCH($H$1,floors!$1:$1,0)+1),MATCH(J$1,floors!$1:$1,0)-MATCH($H$1,floors!$1:$1,0)+1,FALSE)</f>
        <v>60</v>
      </c>
      <c r="K9" s="112">
        <v>3</v>
      </c>
      <c r="L9" s="112">
        <v>3</v>
      </c>
      <c r="M9" s="109">
        <v>1572</v>
      </c>
      <c r="N9" s="17" t="str">
        <f ca="1">VLOOKUP($M9,OFFSET([3]enemies!$A$1,0,0,COUNTA([3]enemies!$A:$A),MATCH(N$1,[3]enemies!$1:$1,0)-MATCH($M$1,[3]enemies!$1:$1,0)+1),MATCH(N$1,[3]enemies!$1:$1,0)-MATCH($M$1,[3]enemies!$1:$1,0)+1,FALSE)</f>
        <v>Lupus02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113">
        <v>80</v>
      </c>
      <c r="T9" s="114">
        <v>8.1</v>
      </c>
      <c r="U9" s="137">
        <v>130237</v>
      </c>
      <c r="V9" s="103">
        <f t="shared" si="3"/>
        <v>1054919.7</v>
      </c>
      <c r="W9" s="138"/>
      <c r="X9" s="114">
        <v>0.7</v>
      </c>
      <c r="Y9" s="137">
        <v>11953</v>
      </c>
      <c r="Z9" s="103">
        <f t="shared" si="4"/>
        <v>8367.1</v>
      </c>
      <c r="AA9" s="138"/>
      <c r="AB9" s="5">
        <v>0</v>
      </c>
      <c r="AC9" s="4"/>
      <c r="AD9" s="116">
        <v>59003800</v>
      </c>
      <c r="AE9" s="70">
        <v>1</v>
      </c>
    </row>
  </sheetData>
  <sheetProtection selectLockedCells="1" selectUnlockedCells="1"/>
  <autoFilter ref="B1:AE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R23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D25" sqref="D2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49.332031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70" si="0">B2&amp;"_"&amp;C2</f>
        <v>59003000_59003501</v>
      </c>
      <c r="B2" s="47">
        <v>59003000</v>
      </c>
      <c r="C2" s="125">
        <v>59003501</v>
      </c>
      <c r="D2" s="129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う〜ん…面白い、やろうか！</v>
      </c>
      <c r="E2" s="129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130">
        <v>59003900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59003000_59003502</v>
      </c>
      <c r="B3" s="47">
        <v>59003000</v>
      </c>
      <c r="C3" s="47">
        <v>59003502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そこだっ！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2ターン青属性ユニットにスキルバインド+3回連続攻撃</v>
      </c>
      <c r="F3" s="47">
        <v>59003502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1">B4&amp;"_"&amp;C4</f>
        <v>59003000_59003503</v>
      </c>
      <c r="B4" s="47">
        <v>59003000</v>
      </c>
      <c r="C4" s="47">
        <v>59003503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遅い！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7">
        <v>59003503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59003000_59003004</v>
      </c>
      <c r="B5" s="47">
        <v>59003000</v>
      </c>
      <c r="C5" s="132">
        <v>59003004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でやっ！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特定エリアを緑のダメージパネルに変換+単体攻撃</v>
      </c>
      <c r="F5" s="47">
        <v>59003504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59003000_59003005</v>
      </c>
      <c r="B6" s="47">
        <v>59003000</v>
      </c>
      <c r="C6" s="132">
        <v>59003005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くたばれっ！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6" s="47">
        <v>59003505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59003000_59003006</v>
      </c>
      <c r="B7" s="47">
        <v>59003000</v>
      </c>
      <c r="C7" s="132">
        <v>59003006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落ちろっ！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特定エリアを緑の時限式パネルに変換+単体攻撃+_x000D_1ターン攻撃力UP</v>
      </c>
      <c r="F7" s="47">
        <v>59003506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59003000_59003007</v>
      </c>
      <c r="B8" s="47">
        <v>59003000</v>
      </c>
      <c r="C8" s="132">
        <v>59003007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楽しいねぇ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1ターン全ユニットの攻撃力40%DOWN+単体攻撃</v>
      </c>
      <c r="F8" s="47">
        <v>59003507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59003000_59003008</v>
      </c>
      <c r="B9" s="47">
        <v>59003000</v>
      </c>
      <c r="C9" s="132">
        <v>59003008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ハンッ！　愚図が！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属性パネルを緑のダメージパネルに5個変換</v>
      </c>
      <c r="F9" s="47">
        <v>59003508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59003000_59003509</v>
      </c>
      <c r="B10" s="47">
        <v>59003000</v>
      </c>
      <c r="C10" s="47">
        <v>59003509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痛いよぉ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1ターン全ユニットのタップ回数を2DOWN+3回連続攻撃</v>
      </c>
      <c r="F10" s="47">
        <v>59003509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59003000_59003510</v>
      </c>
      <c r="B11" s="47">
        <v>59003000</v>
      </c>
      <c r="C11" s="47">
        <v>59003510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気に入らないねぇ…本当に気に入らない…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バイスのガードを崩した！_x000D_【残りHPの100%消費+_x000D_2ターン全ユニットのCパネル生成短縮(効果特大)】</v>
      </c>
      <c r="F11" s="47">
        <v>59003510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15" si="2">B12&amp;"_"&amp;C12</f>
        <v>59003000_59003511</v>
      </c>
      <c r="B12" s="47">
        <v>59003000</v>
      </c>
      <c r="C12" s="47">
        <v>59003511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さぁ、心地いい悲鳴を聞かせておくれ…小娘！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2" s="47">
        <v>59003913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59003000_59003511</v>
      </c>
      <c r="B13" s="47">
        <v>59003000</v>
      </c>
      <c r="C13" s="47">
        <v>59003511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さぁ、心地いい悲鳴を聞かせておくれ…小娘！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3" s="47">
        <v>59003914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59003000_59003512</v>
      </c>
      <c r="B14" s="47">
        <v>59003000</v>
      </c>
      <c r="C14" s="47">
        <v>59003512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うっとおしいねえ…_x000D_あの親父の息子ってだけでムカつくんだよ！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4" s="47">
        <v>59003915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59003000_59003512</v>
      </c>
      <c r="B15" s="47">
        <v>59003000</v>
      </c>
      <c r="C15" s="47">
        <v>59003512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うっとおしいねえ…_x000D_あの親父の息子ってだけでムカつくんだよ！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5" s="47">
        <v>59003916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59003050_59003551</v>
      </c>
      <c r="B16" s="47">
        <v>59003050</v>
      </c>
      <c r="C16" s="118">
        <v>59003551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最後ぐらい華々しく散りなよ！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131">
        <v>59003900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59003050_59003552</v>
      </c>
      <c r="B17" s="47">
        <v>59003050</v>
      </c>
      <c r="C17" s="175">
        <v>59003552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ほぉおら！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1ターン青属性の攻撃をカウンター+3回連続攻撃</v>
      </c>
      <c r="F17" s="118">
        <v>59003552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59003050_59003053</v>
      </c>
      <c r="B18" s="47">
        <v>59003050</v>
      </c>
      <c r="C18" s="131">
        <v>59003053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ふんっ！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特定エリアを緑のダメージパネルに変換+クリティカル！</v>
      </c>
      <c r="F18" s="118">
        <v>59003553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59003050_59003054</v>
      </c>
      <c r="B19" s="47">
        <v>59003050</v>
      </c>
      <c r="C19" s="131">
        <v>59003054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ほおぉぉぉぉぉ！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19" s="118">
        <v>59003554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59003050_59003555</v>
      </c>
      <c r="B20" s="47">
        <v>59003050</v>
      </c>
      <c r="C20" s="118">
        <v>59003555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痛いよぉ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2ターン全ユニットのタップ回数を2DOWN+5回連続攻撃</v>
      </c>
      <c r="F20" s="118">
        <v>59003555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59003050_59003056</v>
      </c>
      <c r="B21" s="47">
        <v>59003050</v>
      </c>
      <c r="C21" s="131">
        <v>59003056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怒らせんじゃないよ！　くたばれ！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2ターン全ユニットの攻撃力40%DOWN+5回連続攻撃</v>
      </c>
      <c r="F21" s="118">
        <v>59003556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59003050_59003057</v>
      </c>
      <c r="B22" s="47">
        <v>59003050</v>
      </c>
      <c r="C22" s="131">
        <v>59003057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満月の夜にまた会おうか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ダメージパネルを吸収して攻撃+1ターン攻撃力UP</v>
      </c>
      <c r="F22" s="118">
        <v>59003557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59003050_59003558</v>
      </c>
      <c r="B23" s="47">
        <v>59003050</v>
      </c>
      <c r="C23" s="118">
        <v>59003558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バカなぁぁぁぁ！！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" s="157">
        <v>59003950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59003100_59003101</v>
      </c>
      <c r="B24" s="47">
        <v>59003100</v>
      </c>
      <c r="C24" s="132">
        <v>59003101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さあ、いらっしゃい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2ターン青、緑、ハートパネル無効+状態異常耐性</v>
      </c>
      <c r="F24" s="132">
        <v>59003900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59003100_59003602</v>
      </c>
      <c r="B25" s="47">
        <v>59003100</v>
      </c>
      <c r="C25" s="47">
        <v>59003602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ホラッ！　ホラッ！　ホラッ！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カウンター状態のユニットに大ダメージの3回連続攻撃</v>
      </c>
      <c r="F25" s="47">
        <v>59003602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59003100_59003103</v>
      </c>
      <c r="B26" s="47">
        <v>59003100</v>
      </c>
      <c r="C26" s="132">
        <v>59003103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そこっ！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特定エリアを黄のダメージパネルと_x000D_赤の時限式ダメージパネルに変換+単体攻撃</v>
      </c>
      <c r="F26" s="47">
        <v>59003603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59003100_59003104</v>
      </c>
      <c r="B27" s="47">
        <v>59003100</v>
      </c>
      <c r="C27" s="132">
        <v>59003104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殺してあげる！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特定エリアを青の時限式ダメージパネルに変換+単体攻撃</v>
      </c>
      <c r="F27" s="47">
        <v>59003604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0"/>
        <v>59003100_59003105</v>
      </c>
      <c r="B28" s="47">
        <v>59003100</v>
      </c>
      <c r="C28" s="132">
        <v>59003105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28" s="47">
        <v>59003605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0"/>
        <v>59003100_59003106</v>
      </c>
      <c r="B29" s="47">
        <v>59003100</v>
      </c>
      <c r="C29" s="132">
        <v>59003106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29" s="47">
        <v>59003606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0"/>
        <v>59003100_59003607</v>
      </c>
      <c r="B30" s="47">
        <v>59003100</v>
      </c>
      <c r="C30" s="146">
        <v>59003607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やるのね…でも、それも今だけよ…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マチュアは大きくよろけている！_x000D_【パネル無効を解除+_x000D_2ターン全ユニットのCパネル生成短縮(効果特大)】</v>
      </c>
      <c r="F30" s="132">
        <v>59003107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65</v>
      </c>
      <c r="K30" s="48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55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59003150_59003151</v>
      </c>
      <c r="B31" s="47">
        <v>59003150</v>
      </c>
      <c r="C31" s="131">
        <v>59003151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そろそろおやすみの時間よ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3ターン確率でダメージパネルがドロップ+状態異常耐性</v>
      </c>
      <c r="F31" s="131">
        <v>59003900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0"/>
        <v>59003150_59003652</v>
      </c>
      <c r="B32" s="47">
        <v>59003150</v>
      </c>
      <c r="C32" s="118">
        <v>59003652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ハァッ！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2" s="118">
        <v>59003652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59003150_59003153</v>
      </c>
      <c r="B33" s="47">
        <v>59003150</v>
      </c>
      <c r="C33" s="131">
        <v>59003153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アハハハハハ！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特定エリアを黄のダメージパネルと_x000D_赤の時限式ダメージパネルに変換+3回連続攻撃</v>
      </c>
      <c r="F33" s="118">
        <v>59003653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59003150_59003654</v>
      </c>
      <c r="B34" s="47">
        <v>59003150</v>
      </c>
      <c r="C34" s="118">
        <v>59003654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ホラッ！　ホラッ！　ホラッ！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カウンター状態のユニットに大ダメージの3回連続攻撃</v>
      </c>
      <c r="F34" s="118">
        <v>59003654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59003150_59003155</v>
      </c>
      <c r="B35" s="47">
        <v>59003150</v>
      </c>
      <c r="C35" s="131">
        <v>59003155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35" s="118">
        <v>59003655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" s="47"/>
      <c r="Q35" s="47"/>
      <c r="R35" s="47"/>
    </row>
    <row r="36" spans="1:18" ht="21" customHeight="1" x14ac:dyDescent="0.15">
      <c r="A36" s="39" t="str">
        <f t="shared" si="0"/>
        <v>59003150_59003156</v>
      </c>
      <c r="B36" s="47">
        <v>59003150</v>
      </c>
      <c r="C36" s="131">
        <v>59003156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36" s="118">
        <v>59003656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0"/>
        <v>59003150_59003657</v>
      </c>
      <c r="B37" s="47">
        <v>59003150</v>
      </c>
      <c r="C37" s="175">
        <v>59003657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止まらないわ！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10回連続攻撃+特定エリアをお邪魔パネルに変換</v>
      </c>
      <c r="F37" s="118">
        <v>59003657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59003150_59003658</v>
      </c>
      <c r="B38" s="47">
        <v>59003150</v>
      </c>
      <c r="C38" s="118">
        <v>59003658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はあぁぁぁぁぁ！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8" s="157">
        <v>59003950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0"/>
        <v>59003200_59003201</v>
      </c>
      <c r="B39" s="47">
        <v>59003200</v>
      </c>
      <c r="C39" s="132">
        <v>59003201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すぐ楽にしてやる…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お邪魔パネルを赤のダメージパネルに変換+_x000D_青属性ダメージ30%軽減+状態異常耐性</v>
      </c>
      <c r="F39" s="132">
        <v>59003900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0"/>
        <v>59003200_59003202</v>
      </c>
      <c r="B40" s="47">
        <v>59003200</v>
      </c>
      <c r="C40" s="132">
        <v>59003202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ハッ！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属性パネルを赤のダメージパネルに5個変換+_x000D_2回連続攻撃</v>
      </c>
      <c r="F40" s="47">
        <v>59003702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0"/>
        <v>59003200_59003703</v>
      </c>
      <c r="B41" s="47">
        <v>59003200</v>
      </c>
      <c r="C41" s="47">
        <v>59003703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外式・夢弾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2回連続攻撃+2ターン攻撃力UP</v>
      </c>
      <c r="F41" s="47">
        <v>59003703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59003200_59003204</v>
      </c>
      <c r="B42" s="47">
        <v>59003200</v>
      </c>
      <c r="C42" s="132">
        <v>59003204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邪魔だ！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5000固定ダメージ</v>
      </c>
      <c r="F42" s="47">
        <v>59003704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0"/>
        <v>59003200_59003205</v>
      </c>
      <c r="B43" s="47">
        <v>59003200</v>
      </c>
      <c r="C43" s="132">
        <v>59003205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外式・轟斧 陰“死神”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青、緑、黄パネルを赤のダメージパネルに変換+_x000D_2回連続攻撃</v>
      </c>
      <c r="F43" s="47">
        <v>59003705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0"/>
        <v>59003200_59003706</v>
      </c>
      <c r="B44" s="47">
        <v>59003200</v>
      </c>
      <c r="C44" s="146">
        <v>59003706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オレが怖いのか？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特定エリアを赤パネルとお邪魔パネルに変換</v>
      </c>
      <c r="F44" s="47">
        <v>59003706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0"/>
        <v>59003200_59003207</v>
      </c>
      <c r="B45" s="47">
        <v>59003200</v>
      </c>
      <c r="C45" s="132">
        <v>59003207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おおぁぁ！　死ね！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残りHPの60%ダメージ！</v>
      </c>
      <c r="F45" s="47">
        <v>59003707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0"/>
        <v>59003200_59003708</v>
      </c>
      <c r="B46" s="47">
        <v>59003200</v>
      </c>
      <c r="C46" s="146">
        <v>59003708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オレが怖いのか？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特定エリアを赤パネルとお邪魔パネルに変換</v>
      </c>
      <c r="F46" s="47">
        <v>59003708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0"/>
        <v>59003200_59003709</v>
      </c>
      <c r="B47" s="47">
        <v>59003200</v>
      </c>
      <c r="C47" s="47">
        <v>59003709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ぐっ…馬鹿な…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庵は大きくよろけている！_x000D_【2ターン全ユニットのタップ回数を2UP】</v>
      </c>
      <c r="F47" s="47">
        <v>59003709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7" s="48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0"/>
        <v>59003200_59003709</v>
      </c>
      <c r="B48" s="47">
        <v>59003200</v>
      </c>
      <c r="C48" s="47">
        <v>59003709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ぐっ…馬鹿な…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庵は大きくよろけている！_x000D_【2ターン全ユニットのタップ回数を2UP】</v>
      </c>
      <c r="F48" s="47">
        <v>59003710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8" s="48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0"/>
        <v>59003200_59003710</v>
      </c>
      <c r="B49" s="47">
        <v>59003200</v>
      </c>
      <c r="C49" s="132">
        <v>59003710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全て終わらせてやる…貴様の死をもってな！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49" s="132">
        <v>59003901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59003200_59003710</v>
      </c>
      <c r="B50" s="47">
        <v>59003200</v>
      </c>
      <c r="C50" s="132">
        <v>59003710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全て終わらせてやる…貴様の死をもってな！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0" s="132">
        <v>59003902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59003200_59003711</v>
      </c>
      <c r="B51" s="47">
        <v>59003200</v>
      </c>
      <c r="C51" s="132">
        <v>59003711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この俺を相手にする運命を呪うんだな！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1" s="132">
        <v>59003903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903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59003200_59003711</v>
      </c>
      <c r="B52" s="47">
        <v>59003200</v>
      </c>
      <c r="C52" s="132">
        <v>59003711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この俺を相手にする運命を呪うんだな！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2" s="132">
        <v>59003904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904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59003200_59003712</v>
      </c>
      <c r="B53" s="47">
        <v>59003200</v>
      </c>
      <c r="C53" s="132">
        <v>59003712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目障りな炎だな…まとめて灰にしてやる！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3" s="132">
        <v>59003905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905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0"/>
        <v>59003200_59003712</v>
      </c>
      <c r="B54" s="47">
        <v>59003200</v>
      </c>
      <c r="C54" s="132">
        <v>59003712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目障りな炎だな…まとめて灰にしてやる！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4" s="132">
        <v>59003906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0"/>
        <v>59003200_59003712</v>
      </c>
      <c r="B55" s="47">
        <v>59003200</v>
      </c>
      <c r="C55" s="132">
        <v>59003712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目障りな炎だな…まとめて灰にしてやる！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5" s="132">
        <v>59003907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907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0"/>
        <v>59003200_59003713</v>
      </c>
      <c r="B56" s="47">
        <v>59003200</v>
      </c>
      <c r="C56" s="132">
        <v>59003713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この俺を相手にする運命を呪うんだな！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6" s="132">
        <v>59003908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0"/>
        <v>59003200_59003714</v>
      </c>
      <c r="B57" s="47">
        <v>59003200</v>
      </c>
      <c r="C57" s="132">
        <v>59003714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これは俺と京の問題だ…邪魔だては許さんぞ！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7" s="132">
        <v>59003909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0"/>
        <v>59003200_59003714</v>
      </c>
      <c r="B58" s="47">
        <v>59003200</v>
      </c>
      <c r="C58" s="132">
        <v>59003714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これは俺と京の問題だ…邪魔だては許さんぞ！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8" s="132">
        <v>59003910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0"/>
        <v>59003200_59003715</v>
      </c>
      <c r="B59" s="47">
        <v>59003200</v>
      </c>
      <c r="C59" s="132">
        <v>59003715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京のライバル…？　くだらん！　失せろ！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59" s="132">
        <v>59003911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0"/>
        <v>59003200_59003715</v>
      </c>
      <c r="B60" s="47">
        <v>59003200</v>
      </c>
      <c r="C60" s="132">
        <v>59003715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京のライバル…？　くだらん！　失せろ！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60" s="132">
        <v>59003912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0"/>
        <v>59003200_59003716</v>
      </c>
      <c r="B61" s="47">
        <v>59003200</v>
      </c>
      <c r="C61" s="132">
        <v>59003716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蝶などと…_x000D_くだらん、ならばその羽ごと切り刻んでやる…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61" s="132">
        <v>59003913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0"/>
        <v>59003200_59003716</v>
      </c>
      <c r="B62" s="47">
        <v>59003200</v>
      </c>
      <c r="C62" s="132">
        <v>59003716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蝶などと…_x000D_くだらん、ならばその羽ごと切り刻んでやる…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62" s="132">
        <v>59003914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0"/>
        <v>59003200_59003717</v>
      </c>
      <c r="B63" s="47">
        <v>59003200</v>
      </c>
      <c r="C63" s="132">
        <v>59003717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燃えつきろ…潔くな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63" s="132">
        <v>59003915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0"/>
        <v>59003200_59003717</v>
      </c>
      <c r="B64" s="47">
        <v>59003200</v>
      </c>
      <c r="C64" s="132">
        <v>59003717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燃えつきろ…潔くな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64" s="132">
        <v>59003916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0"/>
        <v>59003250_59003251</v>
      </c>
      <c r="B65" s="47">
        <v>59003250</v>
      </c>
      <c r="C65" s="131">
        <v>59003251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身の程知らずが…高くつくぞ…！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青属性ダメージ30%軽減+状態異常耐性</v>
      </c>
      <c r="F65" s="131">
        <v>59003900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0"/>
        <v>59003250_59003752</v>
      </c>
      <c r="B66" s="47">
        <v>59003250</v>
      </c>
      <c r="C66" s="118">
        <v>59003752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百式・鬼焼き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66" s="118">
        <v>59003752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0"/>
        <v>59003250_59003253</v>
      </c>
      <c r="B67" s="47">
        <v>59003250</v>
      </c>
      <c r="C67" s="131">
        <v>59003253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どおしたぁっ！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特定エリアを赤のダメージパネルに変換+単体攻撃</v>
      </c>
      <c r="F67" s="118">
        <v>59003753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0"/>
        <v>59003250_59003754</v>
      </c>
      <c r="B68" s="47">
        <v>59003250</v>
      </c>
      <c r="C68" s="118">
        <v>59003754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外式・百合折り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</v>
      </c>
      <c r="F68" s="118">
        <v>59003754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0"/>
        <v>59003250_59003755</v>
      </c>
      <c r="B69" s="47">
        <v>59003250</v>
      </c>
      <c r="C69" s="175">
        <v>59003755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ウオォォォォ！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特定エリアを赤パネルとお邪魔パネルに変換+攻撃力UP</v>
      </c>
      <c r="F69" s="118">
        <v>59003755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0"/>
        <v>59003250_59003756</v>
      </c>
      <c r="B70" s="47">
        <v>59003250</v>
      </c>
      <c r="C70" s="175">
        <v>59003756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はぁぁっ！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1ターンハートパネル無効_x000D_【次ターン固定ダメージの強力な連続攻撃】</v>
      </c>
      <c r="F70" s="118">
        <v>59003756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ref="A71:A119" si="3">B71&amp;"_"&amp;C71</f>
        <v>59003250_59003257</v>
      </c>
      <c r="B71" s="47">
        <v>59003250</v>
      </c>
      <c r="C71" s="131">
        <v>59003257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月を見るたび思い出せ！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9999固定ダメージ</v>
      </c>
      <c r="F71" s="118">
        <v>59003757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3"/>
        <v>59003250_59003758</v>
      </c>
      <c r="B72" s="47">
        <v>59003250</v>
      </c>
      <c r="C72" s="118">
        <v>59003758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調子に…乗るなよ…！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庵のガードを崩した！_x000D_【2ターン確率でCパネルがドロップ】</v>
      </c>
      <c r="F72" s="131">
        <v>59003258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72" s="48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3"/>
        <v>59003300_59003801</v>
      </c>
      <c r="B73" s="47">
        <v>59003300</v>
      </c>
      <c r="C73" s="121">
        <v>59003801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もがけ、苦しめ、そして狂い散れ！！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残りHPの5%消費+赤パネルドロップ率UP+状態異常耐性</v>
      </c>
      <c r="F73" s="133">
        <v>59003900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3"/>
        <v>59003300_59003802</v>
      </c>
      <c r="B74" s="47">
        <v>59003300</v>
      </c>
      <c r="C74" s="121">
        <v>59003802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参百拾壱式・爪櫛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残りHPの5%消費+単体攻撃+_x000D_赤属性ユニットのスキルターンを2ターン短縮</v>
      </c>
      <c r="F74" s="121">
        <v>59003802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3"/>
        <v>59003300_59003803</v>
      </c>
      <c r="B75" s="47">
        <v>59003300</v>
      </c>
      <c r="C75" s="121">
        <v>59003803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百弐拾七式・葵花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残りHPの5%消費+3回連続攻撃+攻撃力UP</v>
      </c>
      <c r="F75" s="121">
        <v>59003803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3"/>
        <v>59003300_59003804</v>
      </c>
      <c r="B76" s="47">
        <v>59003300</v>
      </c>
      <c r="C76" s="121">
        <v>59003804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楽には死ねんぞ！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残りHPの5%消費+フィーバーゲージ33%減少+_x000D_カウンター状態のユニットに大ダメージの3連続攻撃</v>
      </c>
      <c r="F76" s="121">
        <v>59003804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3"/>
        <v>59003300_59003805</v>
      </c>
      <c r="B77" s="47">
        <v>59003300</v>
      </c>
      <c r="C77" s="121">
        <v>59003805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遊びは終わりだ！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残りHPの5%消費+特定エリアをお邪魔パネルに変換+_x000D_単体攻撃_x000D_【2ターン後超大ダメージ】</v>
      </c>
      <c r="F77" s="121">
        <v>59003805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3"/>
        <v>59003300_59003806</v>
      </c>
      <c r="B78" s="47">
        <v>59003300</v>
      </c>
      <c r="C78" s="121">
        <v>59003806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泣け！　叫べ！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残りHPの5%消費_x000D_【次ターン超大ダメージ】</v>
      </c>
      <c r="F78" s="121">
        <v>59003806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3"/>
        <v>59003300_59003807</v>
      </c>
      <c r="B79" s="47">
        <v>59003300</v>
      </c>
      <c r="C79" s="121">
        <v>59003807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そして…死ねぇぇぇ！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79" s="121">
        <v>59003807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3"/>
        <v>59003300_59003808</v>
      </c>
      <c r="B80" s="47">
        <v>59003300</v>
      </c>
      <c r="C80" s="121">
        <v>59003808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ククク…ハハハ…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ハァーッハッハッハッハッ！！</v>
      </c>
      <c r="F80" s="121">
        <v>59003808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3"/>
        <v>59003300_59003809</v>
      </c>
      <c r="B81" s="47">
        <v>59003300</v>
      </c>
      <c r="C81" s="121">
        <v>59003809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その顔…覚えたぞ…貴様等…！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1" s="142">
        <v>59003950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3"/>
        <v>59003300_59003810</v>
      </c>
      <c r="B82" s="47">
        <v>59003300</v>
      </c>
      <c r="C82" s="121">
        <v>59003810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2" s="142">
        <v>59003951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3"/>
        <v>59003300_59003810</v>
      </c>
      <c r="B83" s="47">
        <v>59003300</v>
      </c>
      <c r="C83" s="121">
        <v>59003810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3" s="142">
        <v>59003952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3"/>
        <v>59003300_59003810</v>
      </c>
      <c r="B84" s="47">
        <v>59003300</v>
      </c>
      <c r="C84" s="121">
        <v>59003810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4" s="142">
        <v>59003953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3"/>
        <v>59003300_59003810</v>
      </c>
      <c r="B85" s="47">
        <v>59003300</v>
      </c>
      <c r="C85" s="121">
        <v>59003810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5" s="142">
        <v>59003954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954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3"/>
        <v>59003300_59003810</v>
      </c>
      <c r="B86" s="47">
        <v>59003300</v>
      </c>
      <c r="C86" s="121">
        <v>59003810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6" s="142">
        <v>59003955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955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3"/>
        <v>59003300_59003810</v>
      </c>
      <c r="B87" s="47">
        <v>59003300</v>
      </c>
      <c r="C87" s="121">
        <v>59003810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7" s="142">
        <v>59003956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956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3"/>
        <v>59003300_59003810</v>
      </c>
      <c r="B88" s="47">
        <v>59003300</v>
      </c>
      <c r="C88" s="121">
        <v>59003810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8" s="142">
        <v>59003957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957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3"/>
        <v>59003300_59003810</v>
      </c>
      <c r="B89" s="47">
        <v>59003300</v>
      </c>
      <c r="C89" s="121">
        <v>59003810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9" s="142">
        <v>59003958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958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3"/>
        <v>59003300_59003810</v>
      </c>
      <c r="B90" s="47">
        <v>59003300</v>
      </c>
      <c r="C90" s="121">
        <v>59003810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0" s="142">
        <v>59003959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959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3"/>
        <v>59003300_59003810</v>
      </c>
      <c r="B91" s="47">
        <v>59003300</v>
      </c>
      <c r="C91" s="121">
        <v>59003810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1" s="142">
        <v>59003960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960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3"/>
        <v>59003300_59003810</v>
      </c>
      <c r="B92" s="47">
        <v>59003300</v>
      </c>
      <c r="C92" s="121">
        <v>59003810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2" s="142">
        <v>59003961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961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3"/>
        <v>59003300_59003810</v>
      </c>
      <c r="B93" s="47">
        <v>59003300</v>
      </c>
      <c r="C93" s="121">
        <v>59003810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3" s="142">
        <v>59003962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962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3"/>
        <v>59003300_59003810</v>
      </c>
      <c r="B94" s="47">
        <v>59003300</v>
      </c>
      <c r="C94" s="121">
        <v>59003810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4" s="142">
        <v>59003963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963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3"/>
        <v>59003300_59003810</v>
      </c>
      <c r="B95" s="47">
        <v>59003300</v>
      </c>
      <c r="C95" s="121">
        <v>59003810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5" s="142">
        <v>59003964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964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3"/>
        <v>59003300_59003810</v>
      </c>
      <c r="B96" s="47">
        <v>59003300</v>
      </c>
      <c r="C96" s="121">
        <v>59003810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6" s="142">
        <v>59003965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965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3"/>
        <v>59003300_59003810</v>
      </c>
      <c r="B97" s="47">
        <v>59003300</v>
      </c>
      <c r="C97" s="121">
        <v>59003810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7" s="142">
        <v>59003966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966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3"/>
        <v>59003300_59003810</v>
      </c>
      <c r="B98" s="47">
        <v>59003300</v>
      </c>
      <c r="C98" s="121">
        <v>59003810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8" s="142">
        <v>59003967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967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8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3"/>
        <v>59003300_59003810</v>
      </c>
      <c r="B99" s="47">
        <v>59003300</v>
      </c>
      <c r="C99" s="121">
        <v>59003810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9" s="142">
        <v>59003968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968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3"/>
        <v>59003300_59003810</v>
      </c>
      <c r="B100" s="47">
        <v>59003300</v>
      </c>
      <c r="C100" s="121">
        <v>59003810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0" s="142">
        <v>59003969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969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3"/>
        <v>59003300_59003810</v>
      </c>
      <c r="B101" s="47">
        <v>59003300</v>
      </c>
      <c r="C101" s="121">
        <v>59003810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1" s="142">
        <v>59003970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970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3"/>
        <v>59003300_59003810</v>
      </c>
      <c r="B102" s="47">
        <v>59003300</v>
      </c>
      <c r="C102" s="121">
        <v>59003810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2" s="142">
        <v>59003971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971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3"/>
        <v>59003300_59003810</v>
      </c>
      <c r="B103" s="47">
        <v>59003300</v>
      </c>
      <c r="C103" s="121">
        <v>59003810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3" s="142">
        <v>59003972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972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3"/>
        <v>59003300_59003810</v>
      </c>
      <c r="B104" s="47">
        <v>59003300</v>
      </c>
      <c r="C104" s="121">
        <v>59003810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4" s="142">
        <v>59003973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973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3"/>
        <v>59003300_59003810</v>
      </c>
      <c r="B105" s="47">
        <v>59003300</v>
      </c>
      <c r="C105" s="121">
        <v>59003810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5" s="142">
        <v>59003974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974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3"/>
        <v>59003300_59003810</v>
      </c>
      <c r="B106" s="47">
        <v>59003300</v>
      </c>
      <c r="C106" s="121">
        <v>59003810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6" s="142">
        <v>59003975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975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3"/>
        <v>59003300_59003810</v>
      </c>
      <c r="B107" s="47">
        <v>59003300</v>
      </c>
      <c r="C107" s="121">
        <v>59003810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7" s="142">
        <v>59003976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976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3"/>
        <v>59003300_59003810</v>
      </c>
      <c r="B108" s="47">
        <v>59003300</v>
      </c>
      <c r="C108" s="121">
        <v>59003810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8" s="142">
        <v>59003977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977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3"/>
        <v>59003300_59003810</v>
      </c>
      <c r="B109" s="47">
        <v>59003300</v>
      </c>
      <c r="C109" s="121">
        <v>59003810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9" s="142">
        <v>59003978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978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3"/>
        <v>59003300_59003810</v>
      </c>
      <c r="B110" s="47">
        <v>59003300</v>
      </c>
      <c r="C110" s="121">
        <v>59003810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0" s="142">
        <v>59003979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979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3"/>
        <v>59003300_59003810</v>
      </c>
      <c r="B111" s="47">
        <v>59003300</v>
      </c>
      <c r="C111" s="121">
        <v>59003810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1" s="142">
        <v>59003980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980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3"/>
        <v>59003300_59003810</v>
      </c>
      <c r="B112" s="47">
        <v>59003300</v>
      </c>
      <c r="C112" s="121">
        <v>59003810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2" s="142">
        <v>59003981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981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3"/>
        <v>59003300_59003810</v>
      </c>
      <c r="B113" s="47">
        <v>59003300</v>
      </c>
      <c r="C113" s="121">
        <v>59003810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3" s="142">
        <v>59003982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982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3"/>
        <v>59003300_59003810</v>
      </c>
      <c r="B114" s="47">
        <v>59003300</v>
      </c>
      <c r="C114" s="121">
        <v>59003810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4" s="142">
        <v>59003983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983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3"/>
        <v>59003300_59003810</v>
      </c>
      <c r="B115" s="47">
        <v>59003300</v>
      </c>
      <c r="C115" s="121">
        <v>59003810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5" s="142">
        <v>59003984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984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3"/>
        <v>59003300_59003810</v>
      </c>
      <c r="B116" s="47">
        <v>59003300</v>
      </c>
      <c r="C116" s="121">
        <v>59003810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6" s="142">
        <v>59003985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985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3"/>
        <v>59003300_59003810</v>
      </c>
      <c r="B117" s="47">
        <v>59003300</v>
      </c>
      <c r="C117" s="121">
        <v>59003810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7" s="142">
        <v>59003986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986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3"/>
        <v>59003300_59003810</v>
      </c>
      <c r="B118" s="47">
        <v>59003300</v>
      </c>
      <c r="C118" s="121">
        <v>59003810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8" s="142">
        <v>59003987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987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3"/>
        <v>59003300_59003810</v>
      </c>
      <c r="B119" s="47">
        <v>59003300</v>
      </c>
      <c r="C119" s="121">
        <v>59003810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9" s="142">
        <v>59003988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988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ref="A120" si="4">B120&amp;"_"&amp;C120</f>
        <v>59003500_59003501</v>
      </c>
      <c r="B120" s="124">
        <v>59003500</v>
      </c>
      <c r="C120" s="125">
        <v>59003501</v>
      </c>
      <c r="D120" s="129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う〜ん…面白い、やろうか！</v>
      </c>
      <c r="E120" s="129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0" s="130">
        <v>59003900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ref="A121:A198" si="5">B121&amp;"_"&amp;C121</f>
        <v>59003500_59003502</v>
      </c>
      <c r="B121" s="117">
        <v>59003500</v>
      </c>
      <c r="C121" s="47">
        <v>59003502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そこだっ！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2ターン青属性ユニットにスキルバインド+3回連続攻撃</v>
      </c>
      <c r="F121" s="47">
        <v>59003502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5"/>
        <v>59003500_59003503</v>
      </c>
      <c r="B122" s="117">
        <v>59003500</v>
      </c>
      <c r="C122" s="47">
        <v>59003503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遅い！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2" s="47">
        <v>59003503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5"/>
        <v>59003500_59003504</v>
      </c>
      <c r="B123" s="117">
        <v>59003500</v>
      </c>
      <c r="C123" s="47">
        <v>59003504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でやっ！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特定エリアを緑のダメージパネルに変換+単体攻撃</v>
      </c>
      <c r="F123" s="47">
        <v>59003504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 t="str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5"/>
        <v>59003500_59003505</v>
      </c>
      <c r="B124" s="117">
        <v>59003500</v>
      </c>
      <c r="C124" s="47">
        <v>59003505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くたばれっ！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124" s="47">
        <v>59003505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5"/>
        <v>59003500_59003506</v>
      </c>
      <c r="B125" s="117">
        <v>59003500</v>
      </c>
      <c r="C125" s="47">
        <v>59003506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落ちろっ！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特定エリアを緑の時限式パネルに変換+単体攻撃+_x000D_1ターン攻撃力UP</v>
      </c>
      <c r="F125" s="47">
        <v>59003506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5"/>
        <v>59003500_59003507</v>
      </c>
      <c r="B126" s="117">
        <v>59003500</v>
      </c>
      <c r="C126" s="47">
        <v>59003507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楽しいねぇ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1ターン全ユニットの攻撃力80%DOWN+単体攻撃</v>
      </c>
      <c r="F126" s="47">
        <v>59003507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5"/>
        <v>59003500_59003508</v>
      </c>
      <c r="B127" s="117">
        <v>59003500</v>
      </c>
      <c r="C127" s="47">
        <v>59003508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ハンッ！　愚図が！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属性パネルを緑のダメージパネルに5個変換</v>
      </c>
      <c r="F127" s="47">
        <v>59003508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5"/>
        <v>59003500_59003509</v>
      </c>
      <c r="B128" s="117">
        <v>59003500</v>
      </c>
      <c r="C128" s="47">
        <v>59003509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痛いよぉ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1ターン全ユニットのタップ回数を2DOWN+3回連続攻撃</v>
      </c>
      <c r="F128" s="47">
        <v>59003509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ref="A129:A130" si="6">B129&amp;"_"&amp;C129</f>
        <v>59003500_59003510</v>
      </c>
      <c r="B129" s="117">
        <v>59003500</v>
      </c>
      <c r="C129" s="47">
        <v>59003510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気に入らないねぇ…本当に気に入らない…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バイスのガードを崩した！_x000D_【残りHPの100%消費+_x000D_2ターン全ユニットのCパネル生成短縮(効果特大)】</v>
      </c>
      <c r="F129" s="47">
        <v>59003510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6"/>
        <v>59003500_59003511</v>
      </c>
      <c r="B130" s="117">
        <v>59003500</v>
      </c>
      <c r="C130" s="47">
        <v>59003511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さぁ、心地いい悲鳴を聞かせておくれ…小娘！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30" s="47">
        <v>59003913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ref="A131:A133" si="7">B131&amp;"_"&amp;C131</f>
        <v>59003500_59003511</v>
      </c>
      <c r="B131" s="117">
        <v>59003500</v>
      </c>
      <c r="C131" s="47">
        <v>59003511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さぁ、心地いい悲鳴を聞かせておくれ…小娘！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31" s="47">
        <v>59003914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7"/>
        <v>59003500_59003512</v>
      </c>
      <c r="B132" s="117">
        <v>59003500</v>
      </c>
      <c r="C132" s="47">
        <v>59003512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うっとおしいねえ…_x000D_あの親父の息子ってだけでムカつくんだよ！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32" s="47">
        <v>59003915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7"/>
        <v>59003500_59003512</v>
      </c>
      <c r="B133" s="117">
        <v>59003500</v>
      </c>
      <c r="C133" s="47">
        <v>59003512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うっとおしいねえ…_x000D_あの親父の息子ってだけでムカつくんだよ！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赤・黄属性ユニットのスキルターンを2ターン短縮+_x000D_状態異常耐性</v>
      </c>
      <c r="F133" s="47">
        <v>59003916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5"/>
        <v>59003550_59003551</v>
      </c>
      <c r="B134" s="117">
        <v>59003550</v>
      </c>
      <c r="C134" s="118">
        <v>59003551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最後ぐらい華々しく散りなよ！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4" s="131">
        <v>59003900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5"/>
        <v>59003550_59003552</v>
      </c>
      <c r="B135" s="117">
        <v>59003550</v>
      </c>
      <c r="C135" s="118">
        <v>59003552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ほぉおら！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1ターン青属性の攻撃をカウンター+3回連続攻撃</v>
      </c>
      <c r="F135" s="118">
        <v>59003552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 t="str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5" s="48" t="str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5"/>
        <v>59003550_59003553</v>
      </c>
      <c r="B136" s="117">
        <v>59003550</v>
      </c>
      <c r="C136" s="118">
        <v>59003553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ふんっ！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特定エリアを緑のダメージパネルに変換+クリティカル！</v>
      </c>
      <c r="F136" s="118">
        <v>59003553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 t="str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6" s="4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6" s="48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5"/>
        <v>59003550_59003554</v>
      </c>
      <c r="B137" s="117">
        <v>59003550</v>
      </c>
      <c r="C137" s="118">
        <v>59003554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ほおぉぉぉぉぉ！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137" s="118">
        <v>59003554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7" s="48" t="str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5"/>
        <v>59003550_59003555</v>
      </c>
      <c r="B138" s="117">
        <v>59003550</v>
      </c>
      <c r="C138" s="118">
        <v>59003555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痛いよぉ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2ターン全ユニットのタップ回数を2DOWN+5回連続攻撃</v>
      </c>
      <c r="F138" s="118">
        <v>59003555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38" s="48" t="str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8" s="48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8" s="48" t="str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5"/>
        <v>59003550_59003556</v>
      </c>
      <c r="B139" s="117">
        <v>59003550</v>
      </c>
      <c r="C139" s="118">
        <v>59003556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怒らせんじゃないよ！　くたばれ！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2ターン全ユニットの攻撃力80%DOWN+5回連続攻撃</v>
      </c>
      <c r="F139" s="118">
        <v>59003556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 t="str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9" s="48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9" s="48" t="str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5"/>
        <v>59003550_59003557</v>
      </c>
      <c r="B140" s="117">
        <v>59003550</v>
      </c>
      <c r="C140" s="118">
        <v>59003557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満月の夜にまた逢おうか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ダメージパネルを吸収して攻撃+1ターン攻撃力UP</v>
      </c>
      <c r="F140" s="118">
        <v>59003557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40" s="48" t="str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ref="A141" si="8">B141&amp;"_"&amp;C141</f>
        <v>59003550_59003558</v>
      </c>
      <c r="B141" s="117">
        <v>59003550</v>
      </c>
      <c r="C141" s="118">
        <v>59003558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バカなぁぁぁぁ！！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1" s="157">
        <v>59003950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8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5"/>
        <v>59003600_59003601</v>
      </c>
      <c r="B142" s="117">
        <v>59003600</v>
      </c>
      <c r="C142" s="47">
        <v>59003601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さあ、いらっしゃい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3ターン青、緑、ハートパネル無効+状態異常耐性</v>
      </c>
      <c r="F142" s="132">
        <v>59003900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 t="str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5"/>
        <v>59003600_59003602</v>
      </c>
      <c r="B143" s="117">
        <v>59003600</v>
      </c>
      <c r="C143" s="47">
        <v>59003602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ホラッ！　ホラッ！　ホラッ！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カウンター状態のユニットに大ダメージの3回連続攻撃</v>
      </c>
      <c r="F143" s="47">
        <v>59003602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 t="str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3" s="48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3" s="48" t="str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5"/>
        <v>59003600_59003603</v>
      </c>
      <c r="B144" s="117">
        <v>59003600</v>
      </c>
      <c r="C144" s="47">
        <v>59003603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そこっ！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特定エリアを黄のダメージパネルと_x000D_赤の時限式ダメージパネルに変換+単体攻撃</v>
      </c>
      <c r="F144" s="47">
        <v>59003603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 t="str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4" s="48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4" s="48" t="str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5"/>
        <v>59003600_59003604</v>
      </c>
      <c r="B145" s="117">
        <v>59003600</v>
      </c>
      <c r="C145" s="47">
        <v>59003604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殺してあげる！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特定エリアを青の時限式ダメージパネルに変換+単体攻撃</v>
      </c>
      <c r="F145" s="47">
        <v>59003604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 t="str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5" s="48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5" s="48" t="str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5"/>
        <v>59003600_59003605</v>
      </c>
      <c r="B146" s="117">
        <v>59003600</v>
      </c>
      <c r="C146" s="47">
        <v>59003605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146" s="47">
        <v>59003605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 t="str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6" s="48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6" s="48" t="str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6" s="47"/>
      <c r="Q146" s="47"/>
      <c r="R146" s="47"/>
    </row>
    <row r="147" spans="1:18" ht="21" customHeight="1" x14ac:dyDescent="0.15">
      <c r="A147" s="39" t="str">
        <f t="shared" si="5"/>
        <v>59003600_59003606</v>
      </c>
      <c r="B147" s="117">
        <v>59003600</v>
      </c>
      <c r="C147" s="47">
        <v>59003606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147" s="47">
        <v>59003606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 t="str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7" s="48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7" s="48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5"/>
        <v>59003600_59003607</v>
      </c>
      <c r="B148" s="117">
        <v>59003600</v>
      </c>
      <c r="C148" s="47">
        <v>59003607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やるのね…でも、それも今だけよ…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マチュアは大きくよろけている！_x000D_【パネル無効を解除+_x000D_2ターン全ユニットのCパネル生成短縮(効果特大)】</v>
      </c>
      <c r="F148" s="47">
        <v>59003607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48" s="48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48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8" s="48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5"/>
        <v>59003650_59003651</v>
      </c>
      <c r="B149" s="117">
        <v>59003650</v>
      </c>
      <c r="C149" s="118">
        <v>59003651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そろそろおやすみの時間よ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5ターン確率でダメージパネルがドロップ+状態異常耐性</v>
      </c>
      <c r="F149" s="131">
        <v>59003900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48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8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21" customHeight="1" x14ac:dyDescent="0.15">
      <c r="A150" s="39" t="str">
        <f t="shared" si="5"/>
        <v>59003650_59003652</v>
      </c>
      <c r="B150" s="117">
        <v>59003650</v>
      </c>
      <c r="C150" s="118">
        <v>59003652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ハァッ！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50" s="118">
        <v>59003652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 t="str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0" s="4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0" s="48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21" customHeight="1" x14ac:dyDescent="0.15">
      <c r="A151" s="39" t="str">
        <f t="shared" si="5"/>
        <v>59003650_59003653</v>
      </c>
      <c r="B151" s="117">
        <v>59003650</v>
      </c>
      <c r="C151" s="118">
        <v>59003653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アハハハハハ！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特定エリアを黄のダメージパネルと_x000D_赤の時限式ダメージパネルに変換+3回連続攻撃</v>
      </c>
      <c r="F151" s="118">
        <v>59003653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 t="str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1" s="48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1" s="48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21" customHeight="1" x14ac:dyDescent="0.15">
      <c r="A152" s="39" t="str">
        <f t="shared" si="5"/>
        <v>59003650_59003654</v>
      </c>
      <c r="B152" s="117">
        <v>59003650</v>
      </c>
      <c r="C152" s="118">
        <v>59003654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ホラッ！　ホラッ！　ホラッ！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カウンター状態のユニットに大ダメージの3回連続攻撃</v>
      </c>
      <c r="F152" s="118">
        <v>59003654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 t="str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2" s="48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2" s="48" t="str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5"/>
        <v>59003650_59003655</v>
      </c>
      <c r="B153" s="117">
        <v>59003650</v>
      </c>
      <c r="C153" s="118">
        <v>59003655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153" s="118">
        <v>59003655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 t="str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3" s="48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3" s="48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3" s="47"/>
      <c r="Q153" s="47"/>
      <c r="R153" s="47"/>
    </row>
    <row r="154" spans="1:18" ht="21" customHeight="1" x14ac:dyDescent="0.15">
      <c r="A154" s="39" t="str">
        <f t="shared" si="5"/>
        <v>59003650_59003656</v>
      </c>
      <c r="B154" s="117">
        <v>59003650</v>
      </c>
      <c r="C154" s="118">
        <v>59003656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オ〜ホッホッホ！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特定エリアを赤のダメージパネルに変換+クリティカル！</v>
      </c>
      <c r="F154" s="118">
        <v>59003656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 t="str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4" s="48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4" s="48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5"/>
        <v>59003650_59003657</v>
      </c>
      <c r="B155" s="117">
        <v>59003650</v>
      </c>
      <c r="C155" s="118">
        <v>59003657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止まらないわ！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10回連続攻撃+特定エリアをお邪魔パネルに変換</v>
      </c>
      <c r="F155" s="118">
        <v>59003657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8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5" s="48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ref="A156" si="9">B156&amp;"_"&amp;C156</f>
        <v>59003650_59003658</v>
      </c>
      <c r="B156" s="117">
        <v>59003650</v>
      </c>
      <c r="C156" s="118">
        <v>59003658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はあぁぁぁぁぁ！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6" s="157">
        <v>59003950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6" s="48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6" s="4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5"/>
        <v>59003700_59003701</v>
      </c>
      <c r="B157" s="117">
        <v>59003700</v>
      </c>
      <c r="C157" s="47">
        <v>59003701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すぐ楽にしてやる…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57" s="132">
        <v>59003900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8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8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5"/>
        <v>59003700_59003702</v>
      </c>
      <c r="B158" s="117">
        <v>59003700</v>
      </c>
      <c r="C158" s="47">
        <v>59003702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ハッ！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属性パネルを赤のダメージパネルに5個変換+_x000D_2回連続攻撃</v>
      </c>
      <c r="F158" s="47">
        <v>59003702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 t="str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8" s="4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8" s="48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5"/>
        <v>59003700_59003703</v>
      </c>
      <c r="B159" s="117">
        <v>59003700</v>
      </c>
      <c r="C159" s="47">
        <v>59003703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外式・夢弾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2回連続攻撃+2ターン攻撃力UP</v>
      </c>
      <c r="F159" s="47">
        <v>59003703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 t="str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9" s="4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9" s="48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5"/>
        <v>59003700_59003704</v>
      </c>
      <c r="B160" s="117">
        <v>59003700</v>
      </c>
      <c r="C160" s="47">
        <v>59003704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邪魔だ！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8000固定ダメージ</v>
      </c>
      <c r="F160" s="47">
        <v>59003704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 t="str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0" s="4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0" s="48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5"/>
        <v>59003700_59003705</v>
      </c>
      <c r="B161" s="117">
        <v>59003700</v>
      </c>
      <c r="C161" s="47">
        <v>59003705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外式・轟斧 陰“死神”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青、緑、黄パネルを赤のダメージパネルに変換+_x000D_2回連続攻撃</v>
      </c>
      <c r="F161" s="47">
        <v>59003705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 t="str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1" s="48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61" s="48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x14ac:dyDescent="0.15">
      <c r="A162" s="39" t="str">
        <f t="shared" si="5"/>
        <v>59003700_59003706</v>
      </c>
      <c r="B162" s="117">
        <v>59003700</v>
      </c>
      <c r="C162" s="47">
        <v>59003706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オレが怖いのか？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特定エリアを赤パネルとお邪魔パネルに変換</v>
      </c>
      <c r="F162" s="47">
        <v>59003706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 t="str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2" s="48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62" s="48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5"/>
        <v>59003700_59003707</v>
      </c>
      <c r="B163" s="117">
        <v>59003700</v>
      </c>
      <c r="C163" s="47">
        <v>59003707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おおぁぁ！　死ね！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残りHPの90%ダメージ！</v>
      </c>
      <c r="F163" s="47">
        <v>59003707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63" s="48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5"/>
        <v>59003700_59003708</v>
      </c>
      <c r="B164" s="117">
        <v>59003700</v>
      </c>
      <c r="C164" s="47">
        <v>59003708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オレが怖いのか？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特定エリアを赤パネルとお邪魔パネルに変換</v>
      </c>
      <c r="F164" s="47">
        <v>59003708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8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4" s="48" t="str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5"/>
        <v>59003700_59003709</v>
      </c>
      <c r="B165" s="117">
        <v>59003700</v>
      </c>
      <c r="C165" s="47">
        <v>59003709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ぐっ…馬鹿な…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庵は大きくよろけている！_x000D_【2ターン全ユニットのタップ回数を2UP】</v>
      </c>
      <c r="F165" s="47">
        <v>59003709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65" s="48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8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5" s="48" t="str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ref="A166" si="10">B166&amp;"_"&amp;C166</f>
        <v>59003700_59003709</v>
      </c>
      <c r="B166" s="117">
        <v>59003700</v>
      </c>
      <c r="C166" s="47">
        <v>59003709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ぐっ…馬鹿な…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庵は大きくよろけている！_x000D_【2ターン全ユニットのタップ回数を2UP】</v>
      </c>
      <c r="F166" s="47">
        <v>59003710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66" s="48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6" s="48" t="str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ref="A167:A178" si="11">B167&amp;"_"&amp;C167</f>
        <v>59003700_59003710</v>
      </c>
      <c r="B167" s="117">
        <v>59003700</v>
      </c>
      <c r="C167" s="47">
        <v>59003710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全て終わらせてやる…貴様の死をもってな！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67" s="132">
        <v>59003901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48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8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11"/>
        <v>59003700_59003710</v>
      </c>
      <c r="B168" s="117">
        <v>59003700</v>
      </c>
      <c r="C168" s="47">
        <v>59003710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全て終わらせてやる…貴様の死をもってな！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68" s="132">
        <v>59003902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21" customHeight="1" x14ac:dyDescent="0.15">
      <c r="A169" s="39" t="str">
        <f t="shared" si="11"/>
        <v>59003700_59003711</v>
      </c>
      <c r="B169" s="117">
        <v>59003700</v>
      </c>
      <c r="C169" s="47">
        <v>59003711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この俺を相手にする運命を呪うんだな！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69" s="132">
        <v>59003903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903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11"/>
        <v>59003700_59003711</v>
      </c>
      <c r="B170" s="117">
        <v>59003700</v>
      </c>
      <c r="C170" s="47">
        <v>59003711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この俺を相手にする運命を呪うんだな！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0" s="132">
        <v>59003904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904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x14ac:dyDescent="0.15">
      <c r="A171" s="39" t="str">
        <f t="shared" si="11"/>
        <v>59003700_59003712</v>
      </c>
      <c r="B171" s="117">
        <v>59003700</v>
      </c>
      <c r="C171" s="47">
        <v>59003712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目障りな炎だな…まとめて灰にしてやる！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1" s="132">
        <v>59003905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905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48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8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21" customHeight="1" x14ac:dyDescent="0.15">
      <c r="A172" s="39" t="str">
        <f t="shared" si="11"/>
        <v>59003700_59003712</v>
      </c>
      <c r="B172" s="117">
        <v>59003700</v>
      </c>
      <c r="C172" s="47">
        <v>59003712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目障りな炎だな…まとめて灰にしてやる！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2" s="132">
        <v>59003906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906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48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8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21" customHeight="1" x14ac:dyDescent="0.15">
      <c r="A173" s="39" t="str">
        <f t="shared" si="11"/>
        <v>59003700_59003712</v>
      </c>
      <c r="B173" s="117">
        <v>59003700</v>
      </c>
      <c r="C173" s="47">
        <v>59003712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目障りな炎だな…まとめて灰にしてやる！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3" s="132">
        <v>59003907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907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8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21" customHeight="1" x14ac:dyDescent="0.15">
      <c r="A174" s="39" t="str">
        <f t="shared" si="11"/>
        <v>59003700_59003713</v>
      </c>
      <c r="B174" s="117">
        <v>59003700</v>
      </c>
      <c r="C174" s="47">
        <v>59003713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この俺を相手にする運命を呪うんだな！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4" s="132">
        <v>59003908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11"/>
        <v>59003700_59003714</v>
      </c>
      <c r="B175" s="117">
        <v>59003700</v>
      </c>
      <c r="C175" s="47">
        <v>59003714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これは俺と京の問題だ…邪魔だては許さんぞ！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5" s="132">
        <v>59003909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48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11"/>
        <v>59003700_59003714</v>
      </c>
      <c r="B176" s="117">
        <v>59003700</v>
      </c>
      <c r="C176" s="47">
        <v>59003714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これは俺と京の問題だ…邪魔だては許さんぞ！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6" s="132">
        <v>59003910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48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4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11"/>
        <v>59003700_59003715</v>
      </c>
      <c r="B177" s="117">
        <v>59003700</v>
      </c>
      <c r="C177" s="47">
        <v>59003715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京のライバル…？　くだらん！　失せろ！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7" s="132">
        <v>59003911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48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11"/>
        <v>59003700_59003715</v>
      </c>
      <c r="B178" s="117">
        <v>59003700</v>
      </c>
      <c r="C178" s="47">
        <v>59003715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京のライバル…？　くだらん！　失せろ！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8" s="132">
        <v>59003912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48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ref="A179:A182" si="12">B179&amp;"_"&amp;C179</f>
        <v>59003700_59003716</v>
      </c>
      <c r="B179" s="117">
        <v>59003700</v>
      </c>
      <c r="C179" s="47">
        <v>59003716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蝶などと…_x000D_くだらん、ならばその羽ごと切り刻んでやる…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79" s="132">
        <v>59003913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si="12"/>
        <v>59003700_59003716</v>
      </c>
      <c r="B180" s="117">
        <v>59003700</v>
      </c>
      <c r="C180" s="47">
        <v>59003716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蝶などと…_x000D_くだらん、ならばその羽ごと切り刻んでやる…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80" s="132">
        <v>59003914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12"/>
        <v>59003700_59003717</v>
      </c>
      <c r="B181" s="117">
        <v>59003700</v>
      </c>
      <c r="C181" s="47">
        <v>59003717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燃えつきろ…潔くな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81" s="132">
        <v>59003915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48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12"/>
        <v>59003700_59003717</v>
      </c>
      <c r="B182" s="117">
        <v>59003700</v>
      </c>
      <c r="C182" s="47">
        <v>59003717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燃えつきろ…潔くな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お邪魔パネルを赤のダメージパネルに変換+_x000D_青属性ダメージ40%軽減+状態異常耐性</v>
      </c>
      <c r="F182" s="132">
        <v>59003916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5"/>
        <v>59003750_59003751</v>
      </c>
      <c r="B183" s="117">
        <v>59003750</v>
      </c>
      <c r="C183" s="118">
        <v>59003751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身の程知らずが…高くつくぞ…！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青属性ダメージ40%軽減+状態異常耐性</v>
      </c>
      <c r="F183" s="131">
        <v>59003900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 t="str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5"/>
        <v>59003750_59003752</v>
      </c>
      <c r="B184" s="117">
        <v>59003750</v>
      </c>
      <c r="C184" s="118">
        <v>59003752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百式・鬼焼き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84" s="118">
        <v>59003752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 t="str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4" s="48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4" s="48" t="str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5"/>
        <v>59003750_59003753</v>
      </c>
      <c r="B185" s="117">
        <v>59003750</v>
      </c>
      <c r="C185" s="118">
        <v>59003753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どおしたぁっ！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特定エリアを赤のダメージパネルに変換+単体攻撃</v>
      </c>
      <c r="F185" s="118">
        <v>59003753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 t="str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5" s="48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5" s="48" t="str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5"/>
        <v>59003750_59003754</v>
      </c>
      <c r="B186" s="117">
        <v>59003750</v>
      </c>
      <c r="C186" s="118">
        <v>59003754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外式・百合折り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</v>
      </c>
      <c r="F186" s="118">
        <v>59003754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 t="str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6" s="48" t="str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5"/>
        <v>59003750_59003755</v>
      </c>
      <c r="B187" s="117">
        <v>59003750</v>
      </c>
      <c r="C187" s="118">
        <v>59003755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ウオォォォォ！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特定エリアを赤パネルとお邪魔パネルに変換+攻撃力UP</v>
      </c>
      <c r="F187" s="118">
        <v>59003755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 t="str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7" s="48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87" s="48" t="str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5"/>
        <v>59003750_59003756</v>
      </c>
      <c r="B188" s="117">
        <v>59003750</v>
      </c>
      <c r="C188" s="118">
        <v>59003756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はぁぁっ！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1ターンハートパネル無効_x000D_【次ターン固定ダメージの強力な連続攻撃】</v>
      </c>
      <c r="F188" s="118">
        <v>59003756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8" s="48" t="str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5"/>
        <v>59003750_59003757</v>
      </c>
      <c r="B189" s="117">
        <v>59003750</v>
      </c>
      <c r="C189" s="118">
        <v>59003757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月を見る度思い出せ！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16666固定ダメージ</v>
      </c>
      <c r="F189" s="118">
        <v>59003757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48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9" s="48" t="str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5"/>
        <v>59003750_59003758</v>
      </c>
      <c r="B190" s="117">
        <v>59003750</v>
      </c>
      <c r="C190" s="118">
        <v>59003758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調子に…乗るなよ…！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庵のガードを崩した！_x000D_【2ターン確率でCパネルがドロップ】</v>
      </c>
      <c r="F190" s="118">
        <v>59003758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90" s="48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48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0" s="48" t="str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5"/>
        <v>59003800_59003801</v>
      </c>
      <c r="B191" s="117">
        <v>59003800</v>
      </c>
      <c r="C191" s="121">
        <v>59003801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もがけ、苦しめ、そして狂い散れ！！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残りHPの5%消費+赤パネルドロップ率UP+状態異常耐性</v>
      </c>
      <c r="F191" s="133">
        <v>59003900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1" s="48" t="str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1" s="48" t="str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5"/>
        <v>59003800_59003802</v>
      </c>
      <c r="B192" s="117">
        <v>59003800</v>
      </c>
      <c r="C192" s="121">
        <v>59003802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参百拾壱式・爪櫛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残りHPの5%消費+単体攻撃+_x000D_赤属性ユニットのスキルターンを2ターン短縮</v>
      </c>
      <c r="F192" s="121">
        <v>59003802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 t="str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2" s="48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2" s="48" t="str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5"/>
        <v>59003800_59003803</v>
      </c>
      <c r="B193" s="117">
        <v>59003800</v>
      </c>
      <c r="C193" s="121">
        <v>59003803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百弐拾七式・葵花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残りHPの5%消費+3回連続攻撃+攻撃力UP</v>
      </c>
      <c r="F193" s="121">
        <v>59003803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 t="str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3" s="48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3" s="48" t="str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5"/>
        <v>59003800_59003804</v>
      </c>
      <c r="B194" s="117">
        <v>59003800</v>
      </c>
      <c r="C194" s="121">
        <v>59003804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楽には死ねんぞ！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残りHPの5%消費+フィーバーゲージ33%減少+_x000D_カウンター状態のユニットに大ダメージの3連続攻撃</v>
      </c>
      <c r="F194" s="121">
        <v>59003804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 t="str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4" s="4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4" s="48" t="str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5"/>
        <v>59003800_59003805</v>
      </c>
      <c r="B195" s="117">
        <v>59003800</v>
      </c>
      <c r="C195" s="121">
        <v>59003805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遊びは終わりだ！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残りHPの5%消費+特定エリアをお邪魔パネルに変換+_x000D_単体攻撃_x000D_【2ターン後超大ダメージ】</v>
      </c>
      <c r="F195" s="121">
        <v>59003805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4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5" s="48" t="str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5"/>
        <v>59003800_59003806</v>
      </c>
      <c r="B196" s="117">
        <v>59003800</v>
      </c>
      <c r="C196" s="121">
        <v>59003806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泣け！　叫べ！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残りHPの5%消費_x000D_【次ターン超大ダメージ】</v>
      </c>
      <c r="F196" s="121">
        <v>59003806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96" s="48" t="str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5"/>
        <v>59003800_59003807</v>
      </c>
      <c r="B197" s="117">
        <v>59003800</v>
      </c>
      <c r="C197" s="121">
        <v>59003807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そして…死ねぇぇぇ！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197" s="121">
        <v>59003807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97" s="48" t="str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5"/>
        <v>59003800_59003808</v>
      </c>
      <c r="B198" s="117">
        <v>59003800</v>
      </c>
      <c r="C198" s="121">
        <v>59003808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ククク…ハハハ…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ハァーッハッハッハッハッ！！</v>
      </c>
      <c r="F198" s="121">
        <v>59003808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8" s="4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98" s="48" t="str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ref="A199" si="13">B199&amp;"_"&amp;C199</f>
        <v>59003800_59003809</v>
      </c>
      <c r="B199" s="117">
        <v>59003800</v>
      </c>
      <c r="C199" s="121">
        <v>59003809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その顔…覚えたぞ…貴様等…！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9" s="142">
        <v>59003950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48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ref="A200:A213" si="14">B200&amp;"_"&amp;C200</f>
        <v>59003800_59003810</v>
      </c>
      <c r="B200" s="117">
        <v>59003800</v>
      </c>
      <c r="C200" s="121">
        <v>59003810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0" s="142">
        <v>59003951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48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14"/>
        <v>59003800_59003810</v>
      </c>
      <c r="B201" s="117">
        <v>59003800</v>
      </c>
      <c r="C201" s="121">
        <v>59003810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1" s="142">
        <v>59003952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48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21" customHeight="1" x14ac:dyDescent="0.15">
      <c r="A202" s="39" t="str">
        <f t="shared" si="14"/>
        <v>59003800_59003810</v>
      </c>
      <c r="B202" s="117">
        <v>59003800</v>
      </c>
      <c r="C202" s="121">
        <v>59003810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2" s="142">
        <v>59003953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48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si="14"/>
        <v>59003800_59003810</v>
      </c>
      <c r="B203" s="117">
        <v>59003800</v>
      </c>
      <c r="C203" s="121">
        <v>59003810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3" s="142">
        <v>59003954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954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3" s="48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3" s="4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14"/>
        <v>59003800_59003810</v>
      </c>
      <c r="B204" s="117">
        <v>59003800</v>
      </c>
      <c r="C204" s="121">
        <v>59003810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4" s="142">
        <v>59003955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955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4" s="48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4" s="4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14"/>
        <v>59003800_59003810</v>
      </c>
      <c r="B205" s="117">
        <v>59003800</v>
      </c>
      <c r="C205" s="121">
        <v>59003810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5" s="142">
        <v>59003956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956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5" s="48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5" s="4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4"/>
        <v>59003800_59003810</v>
      </c>
      <c r="B206" s="117">
        <v>59003800</v>
      </c>
      <c r="C206" s="121">
        <v>59003810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6" s="142">
        <v>59003957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957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6" s="48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6" s="4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14"/>
        <v>59003800_59003810</v>
      </c>
      <c r="B207" s="117">
        <v>59003800</v>
      </c>
      <c r="C207" s="121">
        <v>59003810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7" s="142">
        <v>59003958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958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7" s="48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7" s="48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14"/>
        <v>59003800_59003810</v>
      </c>
      <c r="B208" s="117">
        <v>59003800</v>
      </c>
      <c r="C208" s="121">
        <v>59003810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8" s="142">
        <v>59003959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959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8" s="48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8" s="48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7"/>
      <c r="Q208" s="47"/>
      <c r="R208" s="47"/>
    </row>
    <row r="209" spans="1:18" ht="21" customHeight="1" x14ac:dyDescent="0.15">
      <c r="A209" s="39" t="str">
        <f t="shared" si="14"/>
        <v>59003800_59003810</v>
      </c>
      <c r="B209" s="117">
        <v>59003800</v>
      </c>
      <c r="C209" s="121">
        <v>59003810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9" s="142">
        <v>59003960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960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9" s="48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9" s="48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si="14"/>
        <v>59003800_59003810</v>
      </c>
      <c r="B210" s="117">
        <v>59003800</v>
      </c>
      <c r="C210" s="121">
        <v>59003810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0" s="142">
        <v>59003961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961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0" s="48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14"/>
        <v>59003800_59003810</v>
      </c>
      <c r="B211" s="117">
        <v>59003800</v>
      </c>
      <c r="C211" s="121">
        <v>59003810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1" s="142">
        <v>59003962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962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1" s="48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1" s="4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14"/>
        <v>59003800_59003810</v>
      </c>
      <c r="B212" s="117">
        <v>59003800</v>
      </c>
      <c r="C212" s="121">
        <v>59003810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2" s="142">
        <v>59003963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963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2" s="48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2" s="4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14"/>
        <v>59003800_59003810</v>
      </c>
      <c r="B213" s="117">
        <v>59003800</v>
      </c>
      <c r="C213" s="121">
        <v>59003810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3" s="142">
        <v>59003964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964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3" s="48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3" s="4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ref="A214" si="15">B214&amp;"_"&amp;C214</f>
        <v>59003800_59003810</v>
      </c>
      <c r="B214" s="117">
        <v>59003800</v>
      </c>
      <c r="C214" s="121">
        <v>59003810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4" s="142">
        <v>59003965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965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4" s="48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4" s="48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ref="A215" si="16">B215&amp;"_"&amp;C215</f>
        <v>59003800_59003810</v>
      </c>
      <c r="B215" s="117">
        <v>59003800</v>
      </c>
      <c r="C215" s="121">
        <v>59003810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5" s="142">
        <v>59003966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966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5" s="4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5" s="48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ref="A216:A237" si="17">B216&amp;"_"&amp;C216</f>
        <v>59003800_59003810</v>
      </c>
      <c r="B216" s="117">
        <v>59003800</v>
      </c>
      <c r="C216" s="121">
        <v>59003810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6" s="142">
        <v>59003967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967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6" s="48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17"/>
        <v>59003800_59003810</v>
      </c>
      <c r="B217" s="117">
        <v>59003800</v>
      </c>
      <c r="C217" s="121">
        <v>59003810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7" s="142">
        <v>59003968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968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7" s="48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si="17"/>
        <v>59003800_59003810</v>
      </c>
      <c r="B218" s="117">
        <v>59003800</v>
      </c>
      <c r="C218" s="121">
        <v>59003810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8" s="142">
        <v>59003969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969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8" s="48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si="17"/>
        <v>59003800_59003810</v>
      </c>
      <c r="B219" s="117">
        <v>59003800</v>
      </c>
      <c r="C219" s="121">
        <v>59003810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9" s="142">
        <v>59003970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970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9" s="48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17"/>
        <v>59003800_59003810</v>
      </c>
      <c r="B220" s="117">
        <v>59003800</v>
      </c>
      <c r="C220" s="121">
        <v>59003810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0" s="142">
        <v>59003971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971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0" s="48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17"/>
        <v>59003800_59003810</v>
      </c>
      <c r="B221" s="117">
        <v>59003800</v>
      </c>
      <c r="C221" s="121">
        <v>59003810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1" s="142">
        <v>59003972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972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1" s="48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1" s="4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17"/>
        <v>59003800_59003810</v>
      </c>
      <c r="B222" s="117">
        <v>59003800</v>
      </c>
      <c r="C222" s="121">
        <v>59003810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2" s="142">
        <v>59003973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973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2" s="48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2" s="48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17"/>
        <v>59003800_59003810</v>
      </c>
      <c r="B223" s="117">
        <v>59003800</v>
      </c>
      <c r="C223" s="121">
        <v>59003810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3" s="142">
        <v>59003974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974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3" s="48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3" s="48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17"/>
        <v>59003800_59003810</v>
      </c>
      <c r="B224" s="117">
        <v>59003800</v>
      </c>
      <c r="C224" s="121">
        <v>59003810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4" s="142">
        <v>59003975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975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4" s="48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4" s="48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17"/>
        <v>59003800_59003810</v>
      </c>
      <c r="B225" s="117">
        <v>59003800</v>
      </c>
      <c r="C225" s="121">
        <v>59003810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5" s="142">
        <v>59003976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976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5" s="48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5" s="48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17"/>
        <v>59003800_59003810</v>
      </c>
      <c r="B226" s="117">
        <v>59003800</v>
      </c>
      <c r="C226" s="121">
        <v>59003810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6" s="142">
        <v>59003977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977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6" s="48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17"/>
        <v>59003800_59003810</v>
      </c>
      <c r="B227" s="117">
        <v>59003800</v>
      </c>
      <c r="C227" s="121">
        <v>59003810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7" s="142">
        <v>59003978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978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7" s="48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17"/>
        <v>59003800_59003810</v>
      </c>
      <c r="B228" s="117">
        <v>59003800</v>
      </c>
      <c r="C228" s="121">
        <v>59003810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8" s="142">
        <v>59003979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979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8" s="48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8" s="48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17"/>
        <v>59003800_59003810</v>
      </c>
      <c r="B229" s="117">
        <v>59003800</v>
      </c>
      <c r="C229" s="121">
        <v>59003810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9" s="142">
        <v>59003980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980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9" s="48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9" s="48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17"/>
        <v>59003800_59003810</v>
      </c>
      <c r="B230" s="117">
        <v>59003800</v>
      </c>
      <c r="C230" s="121">
        <v>59003810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0" s="142">
        <v>59003981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981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0" s="48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0" s="48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17"/>
        <v>59003800_59003810</v>
      </c>
      <c r="B231" s="117">
        <v>59003800</v>
      </c>
      <c r="C231" s="121">
        <v>59003810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1" s="142">
        <v>59003982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982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1" s="48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1" s="48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17"/>
        <v>59003800_59003810</v>
      </c>
      <c r="B232" s="117">
        <v>59003800</v>
      </c>
      <c r="C232" s="121">
        <v>59003810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2" s="142">
        <v>59003983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983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2" s="48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2" s="48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17"/>
        <v>59003800_59003810</v>
      </c>
      <c r="B233" s="117">
        <v>59003800</v>
      </c>
      <c r="C233" s="121">
        <v>59003810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3" s="142">
        <v>59003984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984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3" s="48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3" s="48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17"/>
        <v>59003800_59003810</v>
      </c>
      <c r="B234" s="117">
        <v>59003800</v>
      </c>
      <c r="C234" s="121">
        <v>59003810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4" s="142">
        <v>59003985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985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4" s="48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17"/>
        <v>59003800_59003810</v>
      </c>
      <c r="B235" s="117">
        <v>59003800</v>
      </c>
      <c r="C235" s="121">
        <v>59003810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5" s="142">
        <v>59003986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986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5" s="48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17"/>
        <v>59003800_59003810</v>
      </c>
      <c r="B236" s="117">
        <v>59003800</v>
      </c>
      <c r="C236" s="121">
        <v>59003810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6" s="142">
        <v>59003987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987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6" s="48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17"/>
        <v>59003800_59003810</v>
      </c>
      <c r="B237" s="117">
        <v>59003800</v>
      </c>
      <c r="C237" s="121">
        <v>59003810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このままでは終わらんぞおぉぉっ！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7" s="142">
        <v>59003988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988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7" s="48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AC105"/>
  <sheetViews>
    <sheetView showGridLines="0" tabSelected="1" workbookViewId="0">
      <pane ySplit="1" topLeftCell="A58" activePane="bottomLeft" state="frozenSplit"/>
      <selection pane="bottomLeft" activeCell="B69" sqref="B69"/>
    </sheetView>
  </sheetViews>
  <sheetFormatPr baseColWidth="12" defaultColWidth="12.83203125" defaultRowHeight="43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44.1640625" style="49" customWidth="1"/>
    <col min="6" max="6" width="44.1640625" style="49" bestFit="1" customWidth="1"/>
    <col min="7" max="7" width="14" style="49" customWidth="1"/>
    <col min="8" max="8" width="52" style="49" customWidth="1" outlineLevel="1"/>
    <col min="9" max="9" width="18.33203125" style="49" customWidth="1" outlineLevel="1"/>
    <col min="10" max="12" width="18.6640625" style="49" customWidth="1" outlineLevel="1"/>
    <col min="13" max="13" width="23.6640625" style="49" customWidth="1"/>
    <col min="14" max="19" width="23.6640625" style="49" customWidth="1" outlineLevel="1"/>
    <col min="20" max="20" width="23.6640625" style="49" customWidth="1"/>
    <col min="21" max="25" width="23.6640625" style="49" customWidth="1" outlineLevel="1"/>
    <col min="26" max="26" width="23.6640625" style="49" customWidth="1"/>
    <col min="27" max="28" width="12.83203125" style="49"/>
    <col min="29" max="29" width="44.5" style="49" customWidth="1"/>
    <col min="30" max="16384" width="12.83203125" style="49"/>
  </cols>
  <sheetData>
    <row r="1" spans="1:29" ht="43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0" t="s">
        <v>292</v>
      </c>
      <c r="H1" s="41" t="s">
        <v>131</v>
      </c>
      <c r="I1" s="41" t="s">
        <v>137</v>
      </c>
      <c r="J1" s="41" t="s">
        <v>139</v>
      </c>
      <c r="K1" s="41" t="s">
        <v>138</v>
      </c>
      <c r="L1" s="41" t="s">
        <v>140</v>
      </c>
      <c r="M1" s="41" t="s">
        <v>132</v>
      </c>
      <c r="N1" s="41" t="s">
        <v>130</v>
      </c>
      <c r="O1" s="41" t="s">
        <v>133</v>
      </c>
      <c r="P1" s="41" t="s">
        <v>141</v>
      </c>
      <c r="Q1" s="41" t="s">
        <v>142</v>
      </c>
      <c r="R1" s="41" t="s">
        <v>143</v>
      </c>
      <c r="S1" s="41" t="s">
        <v>144</v>
      </c>
      <c r="T1" s="41" t="s">
        <v>134</v>
      </c>
      <c r="U1" s="41" t="s">
        <v>135</v>
      </c>
      <c r="V1" s="41" t="s">
        <v>145</v>
      </c>
      <c r="W1" s="41" t="s">
        <v>146</v>
      </c>
      <c r="X1" s="41" t="s">
        <v>147</v>
      </c>
      <c r="Y1" s="41" t="s">
        <v>148</v>
      </c>
      <c r="Z1" s="41" t="s">
        <v>136</v>
      </c>
      <c r="AA1" s="41" t="s">
        <v>76</v>
      </c>
      <c r="AB1" s="41" t="s">
        <v>77</v>
      </c>
      <c r="AC1" s="41" t="s">
        <v>78</v>
      </c>
    </row>
    <row r="2" spans="1:29" ht="43" customHeight="1" x14ac:dyDescent="0.15">
      <c r="A2" s="167">
        <v>59003004</v>
      </c>
      <c r="B2" s="47" t="s">
        <v>541</v>
      </c>
      <c r="C2" s="50">
        <v>1</v>
      </c>
      <c r="D2" s="50" t="s">
        <v>126</v>
      </c>
      <c r="E2" s="51" t="s">
        <v>457</v>
      </c>
      <c r="F2" s="51" t="s">
        <v>531</v>
      </c>
      <c r="G2" s="150" t="s">
        <v>423</v>
      </c>
      <c r="H2" s="63" t="str">
        <f t="shared" ref="H2:H35" si="0">IFERROR(LEFT(B2,FIND("],",B2)),B2)</f>
        <v>[effect:enemy_message, val1:1.2, val2:2.3]</v>
      </c>
      <c r="I2" s="63">
        <f t="shared" ref="I2:I35" si="1">FIND("effect:",H2)+7</f>
        <v>9</v>
      </c>
      <c r="J2" s="63">
        <f t="shared" ref="J2:J35" si="2">IFERROR(FIND(",",H2),LEN(H2))</f>
        <v>22</v>
      </c>
      <c r="K2" s="63" t="e">
        <f t="shared" ref="K2:K35" si="3">FIND("target:",H2)+7</f>
        <v>#VALUE!</v>
      </c>
      <c r="L2" s="63">
        <f t="shared" ref="L2:L35" si="4">FIND(",",H2,J2+1)</f>
        <v>32</v>
      </c>
      <c r="M2" s="63" t="str">
        <f>IFERROR(VLOOKUP(MID(H2,K2,L2-K2),[5]skilldef!$C:$D,2,FALSE),"-") &amp; " / " &amp; IFERROR(VLOOKUP(MID(H2,I2,J2-I2),[5]skilldef!$A:$B,2,FALSE),"-")</f>
        <v>- / -</v>
      </c>
      <c r="N2" s="63" t="str">
        <f t="shared" ref="N2:N35" si="5">IFERROR(RIGHT(B2,LEN(B2)-FIND("],",B2)-1),"none")</f>
        <v>[effect:change_range_block, block_change:1, base_type:0, square_count:3, position01:3, value_h01:1, value_w01:1, position02:6, value_h02:1, value_w02:2, new_block:damage, target:block_all, ignore01:block_positive, count:0, val:0.02, animation:change_range_block],[effect:rush, count:1, val:1.0]</v>
      </c>
      <c r="O2" s="48" t="str">
        <f>IFERROR(LEFT(N2,FIND("],",N2)+#REF!),N2)</f>
        <v>[effect:change_range_block, block_change:1, base_type:0, square_count:3, position01:3, value_h01:1, value_w01:1, position02:6, value_h02:1, value_w02:2, new_block:damage, target:block_all, ignore01:block_positive, count:0, val:0.02, animation:change_range_block],[effect:rush, count:1, val:1.0]</v>
      </c>
      <c r="P2" s="63">
        <f t="shared" ref="P2:P35" si="6">FIND("effect:",O2)+7</f>
        <v>9</v>
      </c>
      <c r="Q2" s="63">
        <f t="shared" ref="Q2:Q35" si="7">IFERROR(FIND(",",O2),LEN(O2))</f>
        <v>27</v>
      </c>
      <c r="R2" s="63">
        <f t="shared" ref="R2:R35" si="8">FIND("target:",O2)+7</f>
        <v>179</v>
      </c>
      <c r="S2" s="63">
        <f t="shared" ref="S2:S35" si="9">FIND(",",O2,Q2+1)</f>
        <v>43</v>
      </c>
      <c r="T2" s="63" t="str">
        <f>IFERROR(VLOOKUP(MID(O2,R2,S2-R2),[5]skilldef!$C:$D,2,FALSE),"-") &amp; " / " &amp; IFERROR(VLOOKUP(MID(O2,P2,Q2-P2),[5]skilldef!$A:$B,2,FALSE),"-")</f>
        <v>- / -</v>
      </c>
      <c r="U2" s="48" t="str">
        <f t="shared" ref="U2:U35" si="10">IFERROR(RIGHT(N2,LEN(N2)-FIND("],",N2)-1),"none")</f>
        <v>[effect:rush, count:1, val:1.0]</v>
      </c>
      <c r="V2" s="63">
        <f t="shared" ref="V2:V35" si="11">FIND("effect:",U2)+7</f>
        <v>9</v>
      </c>
      <c r="W2" s="63">
        <f t="shared" ref="W2:W35" si="12">IFERROR(FIND(",",U2),LEN(U2))</f>
        <v>13</v>
      </c>
      <c r="X2" s="63" t="e">
        <f t="shared" ref="X2:X35" si="13">FIND("target:",U2)+7</f>
        <v>#VALUE!</v>
      </c>
      <c r="Y2" s="63">
        <f t="shared" ref="Y2:Y35" si="14">FIND(",",U2,W2+1)</f>
        <v>22</v>
      </c>
      <c r="Z2" s="63" t="str">
        <f>IFERROR(VLOOKUP(MID(U2,X2,Y2-X2),[5]skilldef!$C:$D,2,FALSE),"-") &amp; " / " &amp; IFERROR(VLOOKUP(MID(U2,V2,W2-V2),[5]skilldef!$A:$B,2,FALSE),"-")</f>
        <v>- / 連続攻撃</v>
      </c>
      <c r="AA2" s="50"/>
      <c r="AB2" s="52"/>
      <c r="AC2" s="50"/>
    </row>
    <row r="3" spans="1:29" ht="43" customHeight="1" x14ac:dyDescent="0.15">
      <c r="A3" s="167">
        <v>59003005</v>
      </c>
      <c r="B3" s="47" t="s">
        <v>394</v>
      </c>
      <c r="C3" s="50">
        <v>1</v>
      </c>
      <c r="D3" s="50" t="s">
        <v>126</v>
      </c>
      <c r="E3" s="51" t="s">
        <v>458</v>
      </c>
      <c r="F3" s="51" t="s">
        <v>301</v>
      </c>
      <c r="G3" s="150" t="s">
        <v>395</v>
      </c>
      <c r="H3" s="63" t="str">
        <f t="shared" si="0"/>
        <v>[effect:enemy_message, val1:1.2, val2:1.4]</v>
      </c>
      <c r="I3" s="63">
        <f t="shared" si="1"/>
        <v>9</v>
      </c>
      <c r="J3" s="63">
        <f t="shared" si="2"/>
        <v>22</v>
      </c>
      <c r="K3" s="63" t="e">
        <f t="shared" si="3"/>
        <v>#VALUE!</v>
      </c>
      <c r="L3" s="63">
        <f t="shared" si="4"/>
        <v>32</v>
      </c>
      <c r="M3" s="63" t="str">
        <f>IFERROR(VLOOKUP(MID(H3,K3,L3-K3),[5]skilldef!$C:$D,2,FALSE),"-") &amp; " / " &amp; IFERROR(VLOOKUP(MID(H3,I3,J3-I3),[5]skilldef!$A:$B,2,FALSE),"-")</f>
        <v>- / -</v>
      </c>
      <c r="N3" s="63" t="str">
        <f t="shared" si="5"/>
        <v>[effect:break_attack_fix, target:unit_one, val:100, lowest_val:4000, count:-1, block01:damage]</v>
      </c>
      <c r="O3" s="48" t="str">
        <f>IFERROR(LEFT(N3,FIND("],",N3)+#REF!),N3)</f>
        <v>[effect:break_attack_fix, target:unit_one, val:100, lowest_val:4000, count:-1, block01:damage]</v>
      </c>
      <c r="P3" s="63">
        <f t="shared" si="6"/>
        <v>9</v>
      </c>
      <c r="Q3" s="63">
        <f t="shared" si="7"/>
        <v>25</v>
      </c>
      <c r="R3" s="63">
        <f t="shared" si="8"/>
        <v>34</v>
      </c>
      <c r="S3" s="63">
        <f t="shared" si="9"/>
        <v>42</v>
      </c>
      <c r="T3" s="63" t="str">
        <f>IFERROR(VLOOKUP(MID(O3,R3,S3-R3),[5]skilldef!$C:$D,2,FALSE),"-") &amp; " / " &amp; IFERROR(VLOOKUP(MID(O3,P3,Q3-P3),[5]skilldef!$A:$B,2,FALSE),"-")</f>
        <v>味方単体に / -</v>
      </c>
      <c r="U3" s="48" t="str">
        <f t="shared" si="10"/>
        <v>none</v>
      </c>
      <c r="V3" s="63" t="e">
        <f t="shared" si="11"/>
        <v>#VALUE!</v>
      </c>
      <c r="W3" s="63">
        <f t="shared" si="12"/>
        <v>4</v>
      </c>
      <c r="X3" s="63" t="e">
        <f t="shared" si="13"/>
        <v>#VALUE!</v>
      </c>
      <c r="Y3" s="63" t="e">
        <f t="shared" si="14"/>
        <v>#VALUE!</v>
      </c>
      <c r="Z3" s="63" t="str">
        <f>IFERROR(VLOOKUP(MID(U3,X3,Y3-X3),[5]skilldef!$C:$D,2,FALSE),"-") &amp; " / " &amp; IFERROR(VLOOKUP(MID(U3,V3,W3-V3),[5]skilldef!$A:$B,2,FALSE),"-")</f>
        <v>- / -</v>
      </c>
      <c r="AA3" s="50"/>
      <c r="AB3" s="52"/>
      <c r="AC3" s="50"/>
    </row>
    <row r="4" spans="1:29" ht="43" customHeight="1" x14ac:dyDescent="0.15">
      <c r="A4" s="167">
        <v>59003006</v>
      </c>
      <c r="B4" s="47" t="s">
        <v>542</v>
      </c>
      <c r="C4" s="50">
        <v>1</v>
      </c>
      <c r="D4" s="50" t="s">
        <v>126</v>
      </c>
      <c r="E4" s="51" t="s">
        <v>459</v>
      </c>
      <c r="F4" s="51" t="s">
        <v>532</v>
      </c>
      <c r="G4" s="150" t="s">
        <v>424</v>
      </c>
      <c r="H4" s="63" t="str">
        <f t="shared" si="0"/>
        <v>[effect:enemy_message, val1:1.2, val2:3.2]</v>
      </c>
      <c r="I4" s="63">
        <f t="shared" si="1"/>
        <v>9</v>
      </c>
      <c r="J4" s="63">
        <f t="shared" si="2"/>
        <v>22</v>
      </c>
      <c r="K4" s="63" t="e">
        <f t="shared" si="3"/>
        <v>#VALUE!</v>
      </c>
      <c r="L4" s="63">
        <f t="shared" si="4"/>
        <v>32</v>
      </c>
      <c r="M4" s="63" t="str">
        <f>IFERROR(VLOOKUP(MID(H4,K4,L4-K4),[5]skilldef!$C:$D,2,FALSE),"-") &amp; " / " &amp; IFERROR(VLOOKUP(MID(H4,I4,J4-I4),[5]skilldef!$A:$B,2,FALSE),"-")</f>
        <v>- / -</v>
      </c>
      <c r="N4" s="63" t="str">
        <f t="shared" si="5"/>
        <v>[effect:change_range_block, block_change:1, base_type:0, square_count:3, position01:3, value_h01:1, value_w01:1, position02:5, value_h02:1,  value_w02:1, position03:6, value_h03:1, value_w03:3, new_block:time_bomb, target:block_all, ignore01:block_positive, count:0, val:0.05, min_time_count:3, max_time_count:3, animation:change_range_block],[effect:rush, count:1, val:1.0],[effect:enhance_enemy, target:myself, turn:1, status:attack, val:0.3, calc:mul, animation:enemy_enhance_attack]</v>
      </c>
      <c r="O4" s="48" t="str">
        <f>IFERROR(LEFT(N4,FIND("],",N4)+#REF!),N4)</f>
        <v>[effect:change_range_block, block_change:1, base_type:0, square_count:3, position01:3, value_h01:1, value_w01:1, position02:5, value_h02:1,  value_w02:1, position03:6, value_h03:1, value_w03:3, new_block:time_bomb, target:block_all, ignore01:block_positive, count:0, val:0.05, min_time_count:3, max_time_count:3, animation:change_range_block],[effect:rush, count:1, val:1.0],[effect:enhance_enemy, target:myself, turn:1, status:attack, val:0.3, calc:mul, animation:enemy_enhance_attack]</v>
      </c>
      <c r="P4" s="63">
        <f t="shared" si="6"/>
        <v>9</v>
      </c>
      <c r="Q4" s="63">
        <f t="shared" si="7"/>
        <v>27</v>
      </c>
      <c r="R4" s="63">
        <f t="shared" si="8"/>
        <v>223</v>
      </c>
      <c r="S4" s="63">
        <f t="shared" si="9"/>
        <v>43</v>
      </c>
      <c r="T4" s="63" t="str">
        <f>IFERROR(VLOOKUP(MID(O4,R4,S4-R4),[5]skilldef!$C:$D,2,FALSE),"-") &amp; " / " &amp; IFERROR(VLOOKUP(MID(O4,P4,Q4-P4),[5]skilldef!$A:$B,2,FALSE),"-")</f>
        <v>- / -</v>
      </c>
      <c r="U4" s="48" t="str">
        <f t="shared" si="10"/>
        <v>[effect:rush, count:1, val:1.0],[effect:enhance_enemy, target:myself, turn:1, status:attack, val:0.3, calc:mul, animation:enemy_enhance_attack]</v>
      </c>
      <c r="V4" s="63">
        <f t="shared" si="11"/>
        <v>9</v>
      </c>
      <c r="W4" s="63">
        <f t="shared" si="12"/>
        <v>13</v>
      </c>
      <c r="X4" s="63">
        <f t="shared" si="13"/>
        <v>63</v>
      </c>
      <c r="Y4" s="63">
        <f t="shared" si="14"/>
        <v>22</v>
      </c>
      <c r="Z4" s="63" t="str">
        <f>IFERROR(VLOOKUP(MID(U4,X4,Y4-X4),[5]skilldef!$C:$D,2,FALSE),"-") &amp; " / " &amp; IFERROR(VLOOKUP(MID(U4,V4,W4-V4),[5]skilldef!$A:$B,2,FALSE),"-")</f>
        <v>- / 連続攻撃</v>
      </c>
      <c r="AA4" s="50"/>
      <c r="AB4" s="52"/>
      <c r="AC4" s="50"/>
    </row>
    <row r="5" spans="1:29" ht="43" customHeight="1" x14ac:dyDescent="0.15">
      <c r="A5" s="167">
        <v>59003007</v>
      </c>
      <c r="B5" s="47" t="s">
        <v>543</v>
      </c>
      <c r="C5" s="50">
        <v>1</v>
      </c>
      <c r="D5" s="50" t="s">
        <v>126</v>
      </c>
      <c r="E5" s="51" t="s">
        <v>460</v>
      </c>
      <c r="F5" s="51" t="s">
        <v>533</v>
      </c>
      <c r="G5" s="150" t="s">
        <v>396</v>
      </c>
      <c r="H5" s="63" t="str">
        <f t="shared" si="0"/>
        <v>[effect:enemy_message, val1:1.2, val2:2.5]</v>
      </c>
      <c r="I5" s="63">
        <f t="shared" si="1"/>
        <v>9</v>
      </c>
      <c r="J5" s="63">
        <f t="shared" si="2"/>
        <v>22</v>
      </c>
      <c r="K5" s="63" t="e">
        <f t="shared" si="3"/>
        <v>#VALUE!</v>
      </c>
      <c r="L5" s="63">
        <f t="shared" si="4"/>
        <v>32</v>
      </c>
      <c r="M5" s="63" t="str">
        <f>IFERROR(VLOOKUP(MID(H5,K5,L5-K5),[5]skilldef!$C:$D,2,FALSE),"-") &amp; " / " &amp; IFERROR(VLOOKUP(MID(H5,I5,J5-I5),[5]skilldef!$A:$B,2,FALSE),"-")</f>
        <v>- / -</v>
      </c>
      <c r="N5" s="63" t="str">
        <f t="shared" si="5"/>
        <v>[effect:attack_break, target:unit_all, turn:1, val:0.4, calc:mul, animation:attack_break02],[effect:rush, count:1, val:1.0]</v>
      </c>
      <c r="O5" s="48" t="str">
        <f>IFERROR(LEFT(N5,FIND("],",N5)+#REF!),N5)</f>
        <v>[effect:attack_break, target:unit_all, turn:1, val:0.4, calc:mul, animation:attack_break02],[effect:rush, count:1, val:1.0]</v>
      </c>
      <c r="P5" s="63">
        <f t="shared" si="6"/>
        <v>9</v>
      </c>
      <c r="Q5" s="63">
        <f t="shared" si="7"/>
        <v>21</v>
      </c>
      <c r="R5" s="63">
        <f t="shared" si="8"/>
        <v>30</v>
      </c>
      <c r="S5" s="63">
        <f t="shared" si="9"/>
        <v>38</v>
      </c>
      <c r="T5" s="63" t="str">
        <f>IFERROR(VLOOKUP(MID(O5,R5,S5-R5),[5]skilldef!$C:$D,2,FALSE),"-") &amp; " / " &amp; IFERROR(VLOOKUP(MID(O5,P5,Q5-P5),[5]skilldef!$A:$B,2,FALSE),"-")</f>
        <v>味方全体に / -</v>
      </c>
      <c r="U5" s="48" t="str">
        <f t="shared" si="10"/>
        <v>[effect:rush, count:1, val:1.0]</v>
      </c>
      <c r="V5" s="63">
        <f t="shared" si="11"/>
        <v>9</v>
      </c>
      <c r="W5" s="63">
        <f t="shared" si="12"/>
        <v>13</v>
      </c>
      <c r="X5" s="63" t="e">
        <f t="shared" si="13"/>
        <v>#VALUE!</v>
      </c>
      <c r="Y5" s="63">
        <f t="shared" si="14"/>
        <v>22</v>
      </c>
      <c r="Z5" s="63" t="str">
        <f>IFERROR(VLOOKUP(MID(U5,X5,Y5-X5),[5]skilldef!$C:$D,2,FALSE),"-") &amp; " / " &amp; IFERROR(VLOOKUP(MID(U5,V5,W5-V5),[5]skilldef!$A:$B,2,FALSE),"-")</f>
        <v>- / 連続攻撃</v>
      </c>
      <c r="AA5" s="50"/>
      <c r="AB5" s="52"/>
      <c r="AC5" s="50"/>
    </row>
    <row r="6" spans="1:29" ht="43" customHeight="1" x14ac:dyDescent="0.15">
      <c r="A6" s="167">
        <v>59003008</v>
      </c>
      <c r="B6" s="47" t="s">
        <v>426</v>
      </c>
      <c r="C6" s="50">
        <v>1</v>
      </c>
      <c r="D6" s="50" t="s">
        <v>126</v>
      </c>
      <c r="E6" s="51" t="s">
        <v>461</v>
      </c>
      <c r="F6" s="51" t="s">
        <v>357</v>
      </c>
      <c r="G6" s="150"/>
      <c r="H6" s="63" t="str">
        <f t="shared" si="0"/>
        <v>[effect:enemy_message, val1:1.2, val2:2.0]</v>
      </c>
      <c r="I6" s="63">
        <f t="shared" si="1"/>
        <v>9</v>
      </c>
      <c r="J6" s="63">
        <f t="shared" si="2"/>
        <v>22</v>
      </c>
      <c r="K6" s="63" t="e">
        <f t="shared" si="3"/>
        <v>#VALUE!</v>
      </c>
      <c r="L6" s="63">
        <f t="shared" si="4"/>
        <v>32</v>
      </c>
      <c r="M6" s="63" t="str">
        <f>IFERROR(VLOOKUP(MID(H6,K6,L6-K6),[5]skilldef!$C:$D,2,FALSE),"-") &amp; " / " &amp; IFERROR(VLOOKUP(MID(H6,I6,J6-I6),[5]skilldef!$A:$B,2,FALSE),"-")</f>
        <v>- / -</v>
      </c>
      <c r="N6" s="63" t="str">
        <f t="shared" si="5"/>
        <v>[effect:force_change_block, new_block:damage, target:normal, count:5, val:0.02]</v>
      </c>
      <c r="O6" s="48" t="str">
        <f>IFERROR(LEFT(N6,FIND("],",N6)+#REF!),N6)</f>
        <v>[effect:force_change_block, new_block:damage, target:normal, count:5, val:0.02]</v>
      </c>
      <c r="P6" s="63">
        <f t="shared" si="6"/>
        <v>9</v>
      </c>
      <c r="Q6" s="63">
        <f t="shared" si="7"/>
        <v>27</v>
      </c>
      <c r="R6" s="63">
        <f t="shared" si="8"/>
        <v>54</v>
      </c>
      <c r="S6" s="63">
        <f t="shared" si="9"/>
        <v>45</v>
      </c>
      <c r="T6" s="63" t="str">
        <f>IFERROR(VLOOKUP(MID(O6,R6,S6-R6),[5]skilldef!$C:$D,2,FALSE),"-") &amp; " / " &amp; IFERROR(VLOOKUP(MID(O6,P6,Q6-P6),[5]skilldef!$A:$B,2,FALSE),"-")</f>
        <v>- / -</v>
      </c>
      <c r="U6" s="48" t="str">
        <f t="shared" si="10"/>
        <v>none</v>
      </c>
      <c r="V6" s="63" t="e">
        <f t="shared" si="11"/>
        <v>#VALUE!</v>
      </c>
      <c r="W6" s="63">
        <f t="shared" si="12"/>
        <v>4</v>
      </c>
      <c r="X6" s="63" t="e">
        <f t="shared" si="13"/>
        <v>#VALUE!</v>
      </c>
      <c r="Y6" s="63" t="e">
        <f t="shared" si="14"/>
        <v>#VALUE!</v>
      </c>
      <c r="Z6" s="63" t="str">
        <f>IFERROR(VLOOKUP(MID(U6,X6,Y6-X6),[5]skilldef!$C:$D,2,FALSE),"-") &amp; " / " &amp; IFERROR(VLOOKUP(MID(U6,V6,W6-V6),[5]skilldef!$A:$B,2,FALSE),"-")</f>
        <v>- / -</v>
      </c>
      <c r="AA6" s="50"/>
      <c r="AB6" s="52"/>
      <c r="AC6" s="50"/>
    </row>
    <row r="7" spans="1:29" ht="43" customHeight="1" x14ac:dyDescent="0.15">
      <c r="A7" s="167">
        <v>59003053</v>
      </c>
      <c r="B7" s="118" t="s">
        <v>354</v>
      </c>
      <c r="C7" s="119">
        <v>1</v>
      </c>
      <c r="D7" s="119" t="s">
        <v>126</v>
      </c>
      <c r="E7" s="120" t="s">
        <v>462</v>
      </c>
      <c r="F7" s="120" t="s">
        <v>309</v>
      </c>
      <c r="G7" s="150" t="s">
        <v>427</v>
      </c>
      <c r="H7" s="63" t="str">
        <f t="shared" si="0"/>
        <v>[effect:enemy_message, val1:1.2, val2:2.6]</v>
      </c>
      <c r="I7" s="63">
        <f t="shared" si="1"/>
        <v>9</v>
      </c>
      <c r="J7" s="63">
        <f t="shared" si="2"/>
        <v>22</v>
      </c>
      <c r="K7" s="63" t="e">
        <f t="shared" si="3"/>
        <v>#VALUE!</v>
      </c>
      <c r="L7" s="63">
        <f t="shared" si="4"/>
        <v>32</v>
      </c>
      <c r="M7" s="63" t="str">
        <f>IFERROR(VLOOKUP(MID(H7,K7,L7-K7),[5]skilldef!$C:$D,2,FALSE),"-") &amp; " / " &amp; IFERROR(VLOOKUP(MID(H7,I7,J7-I7),[5]skilldef!$A:$B,2,FALSE),"-")</f>
        <v>- / -</v>
      </c>
      <c r="N7" s="63" t="str">
        <f t="shared" si="5"/>
        <v>[effect:change_range_block, block_change:1, base_type:0, square_count:3, position01:3, value_h01:1, value_w01:1, position02:5, value_h02:1,  value_w02:1, position03:6, value_h03:1, value_w03:3, new_block:damage, target:block_all, ignore01:block_positive, count:0, val:0.02, animation:change_range_block],[effect:critical, val:1.2, animation:enemy_critical]</v>
      </c>
      <c r="O7" s="48" t="str">
        <f>IFERROR(LEFT(N7,FIND("],",N7)+#REF!),N7)</f>
        <v>[effect:change_range_block, block_change:1, base_type:0, square_count:3, position01:3, value_h01:1, value_w01:1, position02:5, value_h02:1,  value_w02:1, position03:6, value_h03:1, value_w03:3, new_block:damage, target:block_all, ignore01:block_positive, count:0, val:0.02, animation:change_range_block],[effect:critical, val:1.2, animation:enemy_critical]</v>
      </c>
      <c r="P7" s="63">
        <f t="shared" si="6"/>
        <v>9</v>
      </c>
      <c r="Q7" s="63">
        <f t="shared" si="7"/>
        <v>27</v>
      </c>
      <c r="R7" s="63">
        <f t="shared" si="8"/>
        <v>220</v>
      </c>
      <c r="S7" s="63">
        <f t="shared" si="9"/>
        <v>43</v>
      </c>
      <c r="T7" s="63" t="str">
        <f>IFERROR(VLOOKUP(MID(O7,R7,S7-R7),[5]skilldef!$C:$D,2,FALSE),"-") &amp; " / " &amp; IFERROR(VLOOKUP(MID(O7,P7,Q7-P7),[5]skilldef!$A:$B,2,FALSE),"-")</f>
        <v>- / -</v>
      </c>
      <c r="U7" s="48" t="str">
        <f t="shared" si="10"/>
        <v>[effect:critical, val:1.2, animation:enemy_critical]</v>
      </c>
      <c r="V7" s="63">
        <f t="shared" si="11"/>
        <v>9</v>
      </c>
      <c r="W7" s="63">
        <f t="shared" si="12"/>
        <v>17</v>
      </c>
      <c r="X7" s="63" t="e">
        <f t="shared" si="13"/>
        <v>#VALUE!</v>
      </c>
      <c r="Y7" s="63">
        <f t="shared" si="14"/>
        <v>26</v>
      </c>
      <c r="Z7" s="63" t="str">
        <f>IFERROR(VLOOKUP(MID(U7,X7,Y7-X7),[5]skilldef!$C:$D,2,FALSE),"-") &amp; " / " &amp; IFERROR(VLOOKUP(MID(U7,V7,W7-V7),[5]skilldef!$A:$B,2,FALSE),"-")</f>
        <v>- / 大攻撃</v>
      </c>
      <c r="AA7" s="50"/>
      <c r="AB7" s="52"/>
      <c r="AC7" s="50"/>
    </row>
    <row r="8" spans="1:29" ht="43" customHeight="1" x14ac:dyDescent="0.15">
      <c r="A8" s="167">
        <v>59003054</v>
      </c>
      <c r="B8" s="118" t="s">
        <v>394</v>
      </c>
      <c r="C8" s="119">
        <v>1</v>
      </c>
      <c r="D8" s="119" t="s">
        <v>126</v>
      </c>
      <c r="E8" s="120" t="s">
        <v>463</v>
      </c>
      <c r="F8" s="120" t="s">
        <v>311</v>
      </c>
      <c r="G8" s="150" t="s">
        <v>397</v>
      </c>
      <c r="H8" s="63" t="str">
        <f t="shared" si="0"/>
        <v>[effect:enemy_message, val1:1.2, val2:1.4]</v>
      </c>
      <c r="I8" s="63">
        <f t="shared" si="1"/>
        <v>9</v>
      </c>
      <c r="J8" s="63">
        <f t="shared" si="2"/>
        <v>22</v>
      </c>
      <c r="K8" s="63" t="e">
        <f t="shared" si="3"/>
        <v>#VALUE!</v>
      </c>
      <c r="L8" s="63">
        <f t="shared" si="4"/>
        <v>32</v>
      </c>
      <c r="M8" s="63" t="str">
        <f>IFERROR(VLOOKUP(MID(H8,K8,L8-K8),[5]skilldef!$C:$D,2,FALSE),"-") &amp; " / " &amp; IFERROR(VLOOKUP(MID(H8,I8,J8-I8),[5]skilldef!$A:$B,2,FALSE),"-")</f>
        <v>- / -</v>
      </c>
      <c r="N8" s="63" t="str">
        <f t="shared" si="5"/>
        <v>[effect:break_attack_fix, target:unit_one, val:100, lowest_val:4000, count:-1, block01:damage]</v>
      </c>
      <c r="O8" s="48" t="str">
        <f>IFERROR(LEFT(N8,FIND("],",N8)+#REF!),N8)</f>
        <v>[effect:break_attack_fix, target:unit_one, val:100, lowest_val:4000, count:-1, block01:damage]</v>
      </c>
      <c r="P8" s="63">
        <f t="shared" si="6"/>
        <v>9</v>
      </c>
      <c r="Q8" s="63">
        <f t="shared" si="7"/>
        <v>25</v>
      </c>
      <c r="R8" s="63">
        <f t="shared" si="8"/>
        <v>34</v>
      </c>
      <c r="S8" s="63">
        <f t="shared" si="9"/>
        <v>42</v>
      </c>
      <c r="T8" s="63" t="str">
        <f>IFERROR(VLOOKUP(MID(O8,R8,S8-R8),[5]skilldef!$C:$D,2,FALSE),"-") &amp; " / " &amp; IFERROR(VLOOKUP(MID(O8,P8,Q8-P8),[5]skilldef!$A:$B,2,FALSE),"-")</f>
        <v>味方単体に / -</v>
      </c>
      <c r="U8" s="48" t="str">
        <f t="shared" si="10"/>
        <v>none</v>
      </c>
      <c r="V8" s="63" t="e">
        <f t="shared" si="11"/>
        <v>#VALUE!</v>
      </c>
      <c r="W8" s="63">
        <f t="shared" si="12"/>
        <v>4</v>
      </c>
      <c r="X8" s="63" t="e">
        <f t="shared" si="13"/>
        <v>#VALUE!</v>
      </c>
      <c r="Y8" s="63" t="e">
        <f t="shared" si="14"/>
        <v>#VALUE!</v>
      </c>
      <c r="Z8" s="63" t="str">
        <f>IFERROR(VLOOKUP(MID(U8,X8,Y8-X8),[5]skilldef!$C:$D,2,FALSE),"-") &amp; " / " &amp; IFERROR(VLOOKUP(MID(U8,V8,W8-V8),[5]skilldef!$A:$B,2,FALSE),"-")</f>
        <v>- / -</v>
      </c>
      <c r="AA8" s="50"/>
      <c r="AB8" s="52"/>
      <c r="AC8" s="50"/>
    </row>
    <row r="9" spans="1:29" ht="43" customHeight="1" x14ac:dyDescent="0.15">
      <c r="A9" s="167">
        <v>59003056</v>
      </c>
      <c r="B9" s="118" t="s">
        <v>399</v>
      </c>
      <c r="C9" s="119">
        <v>1</v>
      </c>
      <c r="D9" s="119" t="s">
        <v>126</v>
      </c>
      <c r="E9" s="120" t="s">
        <v>464</v>
      </c>
      <c r="F9" s="120" t="s">
        <v>398</v>
      </c>
      <c r="G9" s="150" t="s">
        <v>400</v>
      </c>
      <c r="H9" s="63" t="str">
        <f t="shared" si="0"/>
        <v>[effect:enemy_message, val1:1.6, val2:2.7]</v>
      </c>
      <c r="I9" s="63">
        <f t="shared" si="1"/>
        <v>9</v>
      </c>
      <c r="J9" s="63">
        <f t="shared" si="2"/>
        <v>22</v>
      </c>
      <c r="K9" s="63" t="e">
        <f t="shared" si="3"/>
        <v>#VALUE!</v>
      </c>
      <c r="L9" s="63">
        <f t="shared" si="4"/>
        <v>32</v>
      </c>
      <c r="M9" s="63" t="str">
        <f>IFERROR(VLOOKUP(MID(H9,K9,L9-K9),[5]skilldef!$C:$D,2,FALSE),"-") &amp; " / " &amp; IFERROR(VLOOKUP(MID(H9,I9,J9-I9),[5]skilldef!$A:$B,2,FALSE),"-")</f>
        <v>- / -</v>
      </c>
      <c r="N9" s="63" t="str">
        <f t="shared" si="5"/>
        <v>[effect:attack_break, target:unit_all, turn:2, val:0.4, calc:mul, animation:attack_break02],[effect:rush, count:5, val:0.3]</v>
      </c>
      <c r="O9" s="48" t="str">
        <f>IFERROR(LEFT(N9,FIND("],",N9)+#REF!),N9)</f>
        <v>[effect:attack_break, target:unit_all, turn:2, val:0.4, calc:mul, animation:attack_break02],[effect:rush, count:5, val:0.3]</v>
      </c>
      <c r="P9" s="63">
        <f t="shared" si="6"/>
        <v>9</v>
      </c>
      <c r="Q9" s="63">
        <f t="shared" si="7"/>
        <v>21</v>
      </c>
      <c r="R9" s="63">
        <f t="shared" si="8"/>
        <v>30</v>
      </c>
      <c r="S9" s="63">
        <f t="shared" si="9"/>
        <v>38</v>
      </c>
      <c r="T9" s="63" t="str">
        <f>IFERROR(VLOOKUP(MID(O9,R9,S9-R9),[5]skilldef!$C:$D,2,FALSE),"-") &amp; " / " &amp; IFERROR(VLOOKUP(MID(O9,P9,Q9-P9),[5]skilldef!$A:$B,2,FALSE),"-")</f>
        <v>味方全体に / -</v>
      </c>
      <c r="U9" s="48" t="str">
        <f t="shared" si="10"/>
        <v>[effect:rush, count:5, val:0.3]</v>
      </c>
      <c r="V9" s="63">
        <f t="shared" si="11"/>
        <v>9</v>
      </c>
      <c r="W9" s="63">
        <f t="shared" si="12"/>
        <v>13</v>
      </c>
      <c r="X9" s="63" t="e">
        <f t="shared" si="13"/>
        <v>#VALUE!</v>
      </c>
      <c r="Y9" s="63">
        <f t="shared" si="14"/>
        <v>22</v>
      </c>
      <c r="Z9" s="63" t="str">
        <f>IFERROR(VLOOKUP(MID(U9,X9,Y9-X9),[5]skilldef!$C:$D,2,FALSE),"-") &amp; " / " &amp; IFERROR(VLOOKUP(MID(U9,V9,W9-V9),[5]skilldef!$A:$B,2,FALSE),"-")</f>
        <v>- / 連続攻撃</v>
      </c>
      <c r="AA9" s="50"/>
      <c r="AB9" s="52"/>
      <c r="AC9" s="50"/>
    </row>
    <row r="10" spans="1:29" ht="43" customHeight="1" x14ac:dyDescent="0.15">
      <c r="A10" s="167">
        <v>59003057</v>
      </c>
      <c r="B10" s="118" t="s">
        <v>401</v>
      </c>
      <c r="C10" s="119">
        <v>1</v>
      </c>
      <c r="D10" s="119" t="s">
        <v>126</v>
      </c>
      <c r="E10" s="120" t="s">
        <v>465</v>
      </c>
      <c r="F10" s="120" t="s">
        <v>315</v>
      </c>
      <c r="G10" s="150" t="s">
        <v>402</v>
      </c>
      <c r="H10" s="63" t="str">
        <f t="shared" si="0"/>
        <v>[effect:enemy_message, val1:1.2, val2:2.4]</v>
      </c>
      <c r="I10" s="63">
        <f t="shared" si="1"/>
        <v>9</v>
      </c>
      <c r="J10" s="63">
        <f t="shared" si="2"/>
        <v>22</v>
      </c>
      <c r="K10" s="63" t="e">
        <f t="shared" si="3"/>
        <v>#VALUE!</v>
      </c>
      <c r="L10" s="63">
        <f t="shared" si="4"/>
        <v>32</v>
      </c>
      <c r="M10" s="63" t="str">
        <f>IFERROR(VLOOKUP(MID(H10,K10,L10-K10),[5]skilldef!$C:$D,2,FALSE),"-") &amp; " / " &amp; IFERROR(VLOOKUP(MID(H10,I10,J10-I10),[5]skilldef!$A:$B,2,FALSE),"-")</f>
        <v>- / -</v>
      </c>
      <c r="N10" s="63" t="str">
        <f t="shared" si="5"/>
        <v>[effect:break_attack_fix, target:unit_one, val:100, lowest_val:4000, count:-1, block01:damage],[effect:enhance_enemy, target:myself, turn:1, status:attack, val:0.3, calc:mul, animation:enemy_enhance_attack]</v>
      </c>
      <c r="O10" s="48" t="str">
        <f>IFERROR(LEFT(N10,FIND("],",N10)+#REF!),N10)</f>
        <v>[effect:break_attack_fix, target:unit_one, val:100, lowest_val:4000, count:-1, block01:damage],[effect:enhance_enemy, target:myself, turn:1, status:attack, val:0.3, calc:mul, animation:enemy_enhance_attack]</v>
      </c>
      <c r="P10" s="63">
        <f t="shared" si="6"/>
        <v>9</v>
      </c>
      <c r="Q10" s="63">
        <f t="shared" si="7"/>
        <v>25</v>
      </c>
      <c r="R10" s="63">
        <f t="shared" si="8"/>
        <v>34</v>
      </c>
      <c r="S10" s="63">
        <f t="shared" si="9"/>
        <v>42</v>
      </c>
      <c r="T10" s="63" t="str">
        <f>IFERROR(VLOOKUP(MID(O10,R10,S10-R10),[5]skilldef!$C:$D,2,FALSE),"-") &amp; " / " &amp; IFERROR(VLOOKUP(MID(O10,P10,Q10-P10),[5]skilldef!$A:$B,2,FALSE),"-")</f>
        <v>味方単体に / -</v>
      </c>
      <c r="U10" s="48" t="str">
        <f t="shared" si="10"/>
        <v>[effect:enhance_enemy, target:myself, turn:1, status:attack, val:0.3, calc:mul, animation:enemy_enhance_attack]</v>
      </c>
      <c r="V10" s="63">
        <f t="shared" si="11"/>
        <v>9</v>
      </c>
      <c r="W10" s="63">
        <f t="shared" si="12"/>
        <v>22</v>
      </c>
      <c r="X10" s="63">
        <f t="shared" si="13"/>
        <v>31</v>
      </c>
      <c r="Y10" s="63">
        <f t="shared" si="14"/>
        <v>37</v>
      </c>
      <c r="Z10" s="63" t="str">
        <f>IFERROR(VLOOKUP(MID(U10,X10,Y10-X10),[5]skilldef!$C:$D,2,FALSE),"-") &amp; " / " &amp; IFERROR(VLOOKUP(MID(U10,V10,W10-V10),[5]skilldef!$A:$B,2,FALSE),"-")</f>
        <v>自分自身に / ステータス強化</v>
      </c>
      <c r="AA10" s="50"/>
      <c r="AB10" s="52"/>
      <c r="AC10" s="50"/>
    </row>
    <row r="11" spans="1:29" ht="43" customHeight="1" x14ac:dyDescent="0.15">
      <c r="A11" s="168">
        <v>59003101</v>
      </c>
      <c r="B11" s="47" t="s">
        <v>403</v>
      </c>
      <c r="C11" s="50">
        <v>1</v>
      </c>
      <c r="D11" s="50" t="s">
        <v>126</v>
      </c>
      <c r="E11" s="51" t="s">
        <v>466</v>
      </c>
      <c r="F11" s="51" t="s">
        <v>428</v>
      </c>
      <c r="G11" s="150" t="s">
        <v>404</v>
      </c>
      <c r="H11" s="63" t="str">
        <f t="shared" si="0"/>
        <v>[effect:enemy_message, val1:1.2, val2:2.3]</v>
      </c>
      <c r="I11" s="63">
        <f t="shared" si="1"/>
        <v>9</v>
      </c>
      <c r="J11" s="63">
        <f t="shared" si="2"/>
        <v>22</v>
      </c>
      <c r="K11" s="63" t="e">
        <f t="shared" si="3"/>
        <v>#VALUE!</v>
      </c>
      <c r="L11" s="63">
        <f t="shared" si="4"/>
        <v>32</v>
      </c>
      <c r="M11" s="63" t="str">
        <f>IFERROR(VLOOKUP(MID(H11,K11,L11-K11),[5]skilldef!$C:$D,2,FALSE),"-") &amp; " / " &amp; IFERROR(VLOOKUP(MID(H11,I11,J11-I11),[5]skilldef!$A:$B,2,FALSE),"-")</f>
        <v>- / -</v>
      </c>
      <c r="N11" s="63" t="str">
        <f t="shared" si="5"/>
        <v>[effect:fix_speed, target:myself, turn:1],[effect:dis_panel, target:block_green, turn:2, animation:enemy_dis_green],[effect:dis_panel, target:block_blue, turn:2, animation:enemy_dis_blue],[effect:dis_heart, turn:2, animation:enemy_dis_heart],[effect:tolerance, target:myself, turn:-1, count:-1, tolerance_effect:all, animation:enemy_tolerance]</v>
      </c>
      <c r="O11" s="48" t="str">
        <f>IFERROR(LEFT(N11,FIND("],",N11)+#REF!),N11)</f>
        <v>[effect:fix_speed, target:myself, turn:1],[effect:dis_panel, target:block_green, turn:2, animation:enemy_dis_green],[effect:dis_panel, target:block_blue, turn:2, animation:enemy_dis_blue],[effect:dis_heart, turn:2, animation:enemy_dis_heart],[effect:tolerance, target:myself, turn:-1, count:-1, tolerance_effect:all, animation:enemy_tolerance]</v>
      </c>
      <c r="P11" s="63">
        <f t="shared" si="6"/>
        <v>9</v>
      </c>
      <c r="Q11" s="63">
        <f t="shared" si="7"/>
        <v>18</v>
      </c>
      <c r="R11" s="63">
        <f t="shared" si="8"/>
        <v>27</v>
      </c>
      <c r="S11" s="63">
        <f t="shared" si="9"/>
        <v>33</v>
      </c>
      <c r="T11" s="63" t="str">
        <f>IFERROR(VLOOKUP(MID(O11,R11,S11-R11),[5]skilldef!$C:$D,2,FALSE),"-") &amp; " / " &amp; IFERROR(VLOOKUP(MID(O11,P11,Q11-P11),[5]skilldef!$A:$B,2,FALSE),"-")</f>
        <v>自分自身に / 行動値設定</v>
      </c>
      <c r="U11" s="48" t="str">
        <f t="shared" si="10"/>
        <v>[effect:dis_panel, target:block_green, turn:2, animation:enemy_dis_green],[effect:dis_panel, target:block_blue, turn:2, animation:enemy_dis_blue],[effect:dis_heart, turn:2, animation:enemy_dis_heart],[effect:tolerance, target:myself, turn:-1, count:-1, tolerance_effect:all, animation:enemy_tolerance]</v>
      </c>
      <c r="V11" s="63">
        <f t="shared" si="11"/>
        <v>9</v>
      </c>
      <c r="W11" s="63">
        <f t="shared" si="12"/>
        <v>18</v>
      </c>
      <c r="X11" s="63">
        <f t="shared" si="13"/>
        <v>27</v>
      </c>
      <c r="Y11" s="63">
        <f t="shared" si="14"/>
        <v>38</v>
      </c>
      <c r="Z11" s="63" t="str">
        <f>IFERROR(VLOOKUP(MID(U11,X11,Y11-X11),[5]skilldef!$C:$D,2,FALSE),"-") &amp; " / " &amp; IFERROR(VLOOKUP(MID(U11,V11,W11-V11),[5]skilldef!$A:$B,2,FALSE),"-")</f>
        <v>緑パネルを / ディスパネル</v>
      </c>
      <c r="AA11" s="50"/>
      <c r="AB11" s="52"/>
      <c r="AC11" s="50"/>
    </row>
    <row r="12" spans="1:29" ht="43" customHeight="1" x14ac:dyDescent="0.15">
      <c r="A12" s="168">
        <v>59003103</v>
      </c>
      <c r="B12" s="47" t="s">
        <v>544</v>
      </c>
      <c r="C12" s="50">
        <v>1</v>
      </c>
      <c r="D12" s="50" t="s">
        <v>126</v>
      </c>
      <c r="E12" s="51" t="s">
        <v>467</v>
      </c>
      <c r="F12" s="51" t="s">
        <v>534</v>
      </c>
      <c r="G12" s="150" t="s">
        <v>429</v>
      </c>
      <c r="H12" s="63" t="str">
        <f t="shared" si="0"/>
        <v>[effect:enemy_message, val1:1.2, val2:3.6]</v>
      </c>
      <c r="I12" s="63">
        <f t="shared" si="1"/>
        <v>9</v>
      </c>
      <c r="J12" s="63">
        <f t="shared" si="2"/>
        <v>22</v>
      </c>
      <c r="K12" s="63" t="e">
        <f t="shared" si="3"/>
        <v>#VALUE!</v>
      </c>
      <c r="L12" s="63">
        <f t="shared" si="4"/>
        <v>32</v>
      </c>
      <c r="M12" s="63" t="str">
        <f>IFERROR(VLOOKUP(MID(H12,K12,L12-K12),[5]skilldef!$C:$D,2,FALSE),"-") &amp; " / " &amp; IFERROR(VLOOKUP(MID(H12,I12,J12-I12),[5]skilldef!$A:$B,2,FALSE),"-")</f>
        <v>- / -</v>
      </c>
      <c r="N12" s="63" t="str">
        <f t="shared" si="5"/>
        <v>[effect:change_range_block, block_change:1, base_type:0, square_count:3, position01:7, value_h01:1, value_w01:1, position02:5, value_h02:2,  value_w02:1, new_block:damage, target:block_all, ignore01:block_positive, count:0, val:0.02, animation:change_range_block],[effect:change_range_block, block_change:1, base_type:0, square_count:3, position01:2, value_h01:1, value_w01:1, new_block:time_bomb, target:block_all, ignore01:block_positive, color:block_red, count:0, val:0.05, min_time_count:2, max_time_count:2, animation:change_range_block],[effect:rush, count:1, val:1.0]</v>
      </c>
      <c r="O12" s="48" t="str">
        <f>IFERROR(LEFT(N12,FIND("],",N12)+#REF!),N12)</f>
        <v>[effect:change_range_block, block_change:1, base_type:0, square_count:3, position01:7, value_h01:1, value_w01:1, position02:5, value_h02:2,  value_w02:1, new_block:damage, target:block_all, ignore01:block_positive, count:0, val:0.02, animation:change_range_block],[effect:change_range_block, block_change:1, base_type:0, square_count:3, position01:2, value_h01:1, value_w01:1, new_block:time_bomb, target:block_all, ignore01:block_positive, color:block_red, count:0, val:0.05, min_time_count:2, max_time_count:2, animation:change_range_block],[effect:rush, count:1, val:1.0]</v>
      </c>
      <c r="P12" s="63">
        <f t="shared" si="6"/>
        <v>9</v>
      </c>
      <c r="Q12" s="63">
        <f t="shared" si="7"/>
        <v>27</v>
      </c>
      <c r="R12" s="63">
        <f t="shared" si="8"/>
        <v>180</v>
      </c>
      <c r="S12" s="63">
        <f t="shared" si="9"/>
        <v>43</v>
      </c>
      <c r="T12" s="63" t="str">
        <f>IFERROR(VLOOKUP(MID(O12,R12,S12-R12),[5]skilldef!$C:$D,2,FALSE),"-") &amp; " / " &amp; IFERROR(VLOOKUP(MID(O12,P12,Q12-P12),[5]skilldef!$A:$B,2,FALSE),"-")</f>
        <v>- / -</v>
      </c>
      <c r="U12" s="48" t="str">
        <f t="shared" si="10"/>
        <v>[effect:change_range_block, block_change:1, base_type:0, square_count:3, position01:2, value_h01:1, value_w01:1, new_block:time_bomb, target:block_all, ignore01:block_positive, color:block_red, count:0, val:0.05, min_time_count:2, max_time_count:2, animation:change_range_block],[effect:rush, count:1, val:1.0]</v>
      </c>
      <c r="V12" s="63">
        <f t="shared" si="11"/>
        <v>9</v>
      </c>
      <c r="W12" s="63">
        <f t="shared" si="12"/>
        <v>27</v>
      </c>
      <c r="X12" s="63">
        <f t="shared" si="13"/>
        <v>142</v>
      </c>
      <c r="Y12" s="63">
        <f t="shared" si="14"/>
        <v>43</v>
      </c>
      <c r="Z12" s="63" t="str">
        <f>IFERROR(VLOOKUP(MID(U12,X12,Y12-X12),[5]skilldef!$C:$D,2,FALSE),"-") &amp; " / " &amp; IFERROR(VLOOKUP(MID(U12,V12,W12-V12),[5]skilldef!$A:$B,2,FALSE),"-")</f>
        <v>- / -</v>
      </c>
      <c r="AA12" s="50"/>
      <c r="AB12" s="52"/>
      <c r="AC12" s="50"/>
    </row>
    <row r="13" spans="1:29" ht="43" customHeight="1" x14ac:dyDescent="0.15">
      <c r="A13" s="168">
        <v>59003104</v>
      </c>
      <c r="B13" s="47" t="s">
        <v>545</v>
      </c>
      <c r="C13" s="50">
        <v>1</v>
      </c>
      <c r="D13" s="50" t="s">
        <v>126</v>
      </c>
      <c r="E13" s="51" t="s">
        <v>468</v>
      </c>
      <c r="F13" s="51" t="s">
        <v>535</v>
      </c>
      <c r="G13" s="150" t="s">
        <v>430</v>
      </c>
      <c r="H13" s="63" t="str">
        <f t="shared" si="0"/>
        <v>[effect:enemy_message, val1:1.2, val2:2.6]</v>
      </c>
      <c r="I13" s="63">
        <f t="shared" si="1"/>
        <v>9</v>
      </c>
      <c r="J13" s="63">
        <f t="shared" si="2"/>
        <v>22</v>
      </c>
      <c r="K13" s="63" t="e">
        <f t="shared" si="3"/>
        <v>#VALUE!</v>
      </c>
      <c r="L13" s="63">
        <f t="shared" si="4"/>
        <v>32</v>
      </c>
      <c r="M13" s="63" t="str">
        <f>IFERROR(VLOOKUP(MID(H13,K13,L13-K13),[5]skilldef!$C:$D,2,FALSE),"-") &amp; " / " &amp; IFERROR(VLOOKUP(MID(H13,I13,J13-I13),[5]skilldef!$A:$B,2,FALSE),"-")</f>
        <v>- / -</v>
      </c>
      <c r="N13" s="63" t="str">
        <f t="shared" si="5"/>
        <v>[effect:change_range_block, block_change:1, base_type:0, square_count:7, position01:21, value_h01:1, value_w01:7, new_block:time_bomb, target:block_all, ignore01:block_positive, color:block_blue, count:0, val:0.05, min_time_count:2, max_time_count:2, animation:change_range_block],[effect:rush, count:1, val:1.0]</v>
      </c>
      <c r="O13" s="48" t="str">
        <f>IFERROR(LEFT(N13,FIND("],",N13)+#REF!),N13)</f>
        <v>[effect:change_range_block, block_change:1, base_type:0, square_count:7, position01:21, value_h01:1, value_w01:7, new_block:time_bomb, target:block_all, ignore01:block_positive, color:block_blue, count:0, val:0.05, min_time_count:2, max_time_count:2, animation:change_range_block],[effect:rush, count:1, val:1.0]</v>
      </c>
      <c r="P13" s="63">
        <f t="shared" si="6"/>
        <v>9</v>
      </c>
      <c r="Q13" s="63">
        <f t="shared" si="7"/>
        <v>27</v>
      </c>
      <c r="R13" s="63">
        <f t="shared" si="8"/>
        <v>143</v>
      </c>
      <c r="S13" s="63">
        <f t="shared" si="9"/>
        <v>43</v>
      </c>
      <c r="T13" s="63" t="str">
        <f>IFERROR(VLOOKUP(MID(O13,R13,S13-R13),[5]skilldef!$C:$D,2,FALSE),"-") &amp; " / " &amp; IFERROR(VLOOKUP(MID(O13,P13,Q13-P13),[5]skilldef!$A:$B,2,FALSE),"-")</f>
        <v>- / -</v>
      </c>
      <c r="U13" s="48" t="str">
        <f t="shared" si="10"/>
        <v>[effect:rush, count:1, val:1.0]</v>
      </c>
      <c r="V13" s="63">
        <f t="shared" si="11"/>
        <v>9</v>
      </c>
      <c r="W13" s="63">
        <f t="shared" si="12"/>
        <v>13</v>
      </c>
      <c r="X13" s="63" t="e">
        <f t="shared" si="13"/>
        <v>#VALUE!</v>
      </c>
      <c r="Y13" s="63">
        <f t="shared" si="14"/>
        <v>22</v>
      </c>
      <c r="Z13" s="63" t="str">
        <f>IFERROR(VLOOKUP(MID(U13,X13,Y13-X13),[5]skilldef!$C:$D,2,FALSE),"-") &amp; " / " &amp; IFERROR(VLOOKUP(MID(U13,V13,W13-V13),[5]skilldef!$A:$B,2,FALSE),"-")</f>
        <v>- / 連続攻撃</v>
      </c>
      <c r="AA13" s="50"/>
      <c r="AB13" s="52"/>
      <c r="AC13" s="50"/>
    </row>
    <row r="14" spans="1:29" ht="43" customHeight="1" x14ac:dyDescent="0.15">
      <c r="A14" s="168">
        <v>59003105</v>
      </c>
      <c r="B14" s="47" t="s">
        <v>546</v>
      </c>
      <c r="C14" s="50">
        <v>1</v>
      </c>
      <c r="D14" s="50" t="s">
        <v>126</v>
      </c>
      <c r="E14" s="51" t="s">
        <v>469</v>
      </c>
      <c r="F14" s="51" t="s">
        <v>319</v>
      </c>
      <c r="G14" s="150" t="s">
        <v>431</v>
      </c>
      <c r="H14" s="63" t="str">
        <f t="shared" si="0"/>
        <v>[effect:enemy_message, val1:1.2, val2:2.6]</v>
      </c>
      <c r="I14" s="63">
        <f t="shared" si="1"/>
        <v>9</v>
      </c>
      <c r="J14" s="63">
        <f t="shared" si="2"/>
        <v>22</v>
      </c>
      <c r="K14" s="63" t="e">
        <f t="shared" si="3"/>
        <v>#VALUE!</v>
      </c>
      <c r="L14" s="63">
        <f t="shared" si="4"/>
        <v>32</v>
      </c>
      <c r="M14" s="63" t="str">
        <f>IFERROR(VLOOKUP(MID(H14,K14,L14-K14),[5]skilldef!$C:$D,2,FALSE),"-") &amp; " / " &amp; IFERROR(VLOOKUP(MID(H14,I14,J14-I14),[5]skilldef!$A:$B,2,FALSE),"-")</f>
        <v>- / -</v>
      </c>
      <c r="N14" s="63" t="str">
        <f t="shared" si="5"/>
        <v>[effect:change_range_block, block_change:1, base_type:0, square_count:3, position01:2, value_h01:3, value_w01:1, new_block:damage, target:block_all, ignore01:block_positive, color:block_red, count:0, val:0.02, animation:change_range_block],[effect:critical, val:1.25, animation:enemy_critical]</v>
      </c>
      <c r="O14" s="48" t="str">
        <f>IFERROR(LEFT(N14,FIND("],",N14)+#REF!),N14)</f>
        <v>[effect:change_range_block, block_change:1, base_type:0, square_count:3, position01:2, value_h01:3, value_w01:1, new_block:damage, target:block_all, ignore01:block_positive, color:block_red, count:0, val:0.02, animation:change_range_block],[effect:critical, val:1.25, animation:enemy_critical]</v>
      </c>
      <c r="P14" s="63">
        <f t="shared" si="6"/>
        <v>9</v>
      </c>
      <c r="Q14" s="63">
        <f t="shared" si="7"/>
        <v>27</v>
      </c>
      <c r="R14" s="63">
        <f t="shared" si="8"/>
        <v>139</v>
      </c>
      <c r="S14" s="63">
        <f t="shared" si="9"/>
        <v>43</v>
      </c>
      <c r="T14" s="63" t="str">
        <f>IFERROR(VLOOKUP(MID(O14,R14,S14-R14),[5]skilldef!$C:$D,2,FALSE),"-") &amp; " / " &amp; IFERROR(VLOOKUP(MID(O14,P14,Q14-P14),[5]skilldef!$A:$B,2,FALSE),"-")</f>
        <v>- / -</v>
      </c>
      <c r="U14" s="48" t="str">
        <f t="shared" si="10"/>
        <v>[effect:critical, val:1.25, animation:enemy_critical]</v>
      </c>
      <c r="V14" s="63">
        <f t="shared" si="11"/>
        <v>9</v>
      </c>
      <c r="W14" s="63">
        <f t="shared" si="12"/>
        <v>17</v>
      </c>
      <c r="X14" s="63" t="e">
        <f t="shared" si="13"/>
        <v>#VALUE!</v>
      </c>
      <c r="Y14" s="63">
        <f t="shared" si="14"/>
        <v>27</v>
      </c>
      <c r="Z14" s="63" t="str">
        <f>IFERROR(VLOOKUP(MID(U14,X14,Y14-X14),[5]skilldef!$C:$D,2,FALSE),"-") &amp; " / " &amp; IFERROR(VLOOKUP(MID(U14,V14,W14-V14),[5]skilldef!$A:$B,2,FALSE),"-")</f>
        <v>- / 大攻撃</v>
      </c>
      <c r="AA14" s="50"/>
      <c r="AB14" s="52"/>
      <c r="AC14" s="50"/>
    </row>
    <row r="15" spans="1:29" ht="43" customHeight="1" x14ac:dyDescent="0.15">
      <c r="A15" s="168">
        <v>59003106</v>
      </c>
      <c r="B15" s="47" t="s">
        <v>547</v>
      </c>
      <c r="C15" s="50">
        <v>1</v>
      </c>
      <c r="D15" s="50" t="s">
        <v>126</v>
      </c>
      <c r="E15" s="51" t="s">
        <v>469</v>
      </c>
      <c r="F15" s="51" t="s">
        <v>321</v>
      </c>
      <c r="G15" s="150" t="s">
        <v>432</v>
      </c>
      <c r="H15" s="63" t="str">
        <f t="shared" si="0"/>
        <v>[effect:enemy_message, val1:1.2, val2:2.6]</v>
      </c>
      <c r="I15" s="63">
        <f t="shared" si="1"/>
        <v>9</v>
      </c>
      <c r="J15" s="63">
        <f t="shared" si="2"/>
        <v>22</v>
      </c>
      <c r="K15" s="63" t="e">
        <f t="shared" si="3"/>
        <v>#VALUE!</v>
      </c>
      <c r="L15" s="63">
        <f t="shared" si="4"/>
        <v>32</v>
      </c>
      <c r="M15" s="63" t="str">
        <f>IFERROR(VLOOKUP(MID(H15,K15,L15-K15),[5]skilldef!$C:$D,2,FALSE),"-") &amp; " / " &amp; IFERROR(VLOOKUP(MID(H15,I15,J15-I15),[5]skilldef!$A:$B,2,FALSE),"-")</f>
        <v>- / -</v>
      </c>
      <c r="N15" s="63" t="str">
        <f t="shared" si="5"/>
        <v>[effect:change_range_block, block_change:1, base_type:0, square_count:3, position01:0, value_h01:3, value_w01:1, new_block:damage, target:block_all, ignore01:block_positive, color:block_red, count:0, val:0.02, animation:change_range_block],[effect:critical, val:1.25, animation:enemy_critical]</v>
      </c>
      <c r="O15" s="48" t="str">
        <f>IFERROR(LEFT(N15,FIND("],",N15)+#REF!),N15)</f>
        <v>[effect:change_range_block, block_change:1, base_type:0, square_count:3, position01:0, value_h01:3, value_w01:1, new_block:damage, target:block_all, ignore01:block_positive, color:block_red, count:0, val:0.02, animation:change_range_block],[effect:critical, val:1.25, animation:enemy_critical]</v>
      </c>
      <c r="P15" s="63">
        <f t="shared" si="6"/>
        <v>9</v>
      </c>
      <c r="Q15" s="63">
        <f t="shared" si="7"/>
        <v>27</v>
      </c>
      <c r="R15" s="63">
        <f t="shared" si="8"/>
        <v>139</v>
      </c>
      <c r="S15" s="63">
        <f t="shared" si="9"/>
        <v>43</v>
      </c>
      <c r="T15" s="63" t="str">
        <f>IFERROR(VLOOKUP(MID(O15,R15,S15-R15),[5]skilldef!$C:$D,2,FALSE),"-") &amp; " / " &amp; IFERROR(VLOOKUP(MID(O15,P15,Q15-P15),[5]skilldef!$A:$B,2,FALSE),"-")</f>
        <v>- / -</v>
      </c>
      <c r="U15" s="48" t="str">
        <f t="shared" si="10"/>
        <v>[effect:critical, val:1.25, animation:enemy_critical]</v>
      </c>
      <c r="V15" s="63">
        <f t="shared" si="11"/>
        <v>9</v>
      </c>
      <c r="W15" s="63">
        <f t="shared" si="12"/>
        <v>17</v>
      </c>
      <c r="X15" s="63" t="e">
        <f t="shared" si="13"/>
        <v>#VALUE!</v>
      </c>
      <c r="Y15" s="63">
        <f t="shared" si="14"/>
        <v>27</v>
      </c>
      <c r="Z15" s="63" t="str">
        <f>IFERROR(VLOOKUP(MID(U15,X15,Y15-X15),[5]skilldef!$C:$D,2,FALSE),"-") &amp; " / " &amp; IFERROR(VLOOKUP(MID(U15,V15,W15-V15),[5]skilldef!$A:$B,2,FALSE),"-")</f>
        <v>- / 大攻撃</v>
      </c>
      <c r="AA15" s="50"/>
      <c r="AB15" s="52"/>
      <c r="AC15" s="50"/>
    </row>
    <row r="16" spans="1:29" ht="43" customHeight="1" x14ac:dyDescent="0.15">
      <c r="A16" s="168">
        <v>59003151</v>
      </c>
      <c r="B16" s="118" t="s">
        <v>434</v>
      </c>
      <c r="C16" s="119">
        <v>1</v>
      </c>
      <c r="D16" s="119" t="s">
        <v>126</v>
      </c>
      <c r="E16" s="120" t="s">
        <v>470</v>
      </c>
      <c r="F16" s="120" t="s">
        <v>433</v>
      </c>
      <c r="G16" s="150" t="s">
        <v>435</v>
      </c>
      <c r="H16" s="63" t="str">
        <f t="shared" si="0"/>
        <v>[effect:enemy_message, val1:1.2, val2:2.6]</v>
      </c>
      <c r="I16" s="63">
        <f t="shared" si="1"/>
        <v>9</v>
      </c>
      <c r="J16" s="63">
        <f t="shared" si="2"/>
        <v>22</v>
      </c>
      <c r="K16" s="63" t="e">
        <f t="shared" si="3"/>
        <v>#VALUE!</v>
      </c>
      <c r="L16" s="63">
        <f t="shared" si="4"/>
        <v>32</v>
      </c>
      <c r="M16" s="63" t="str">
        <f>IFERROR(VLOOKUP(MID(H16,K16,L16-K16),[5]skilldef!$C:$D,2,FALSE),"-") &amp; " / " &amp; IFERROR(VLOOKUP(MID(H16,I16,J16-I16),[5]skilldef!$A:$B,2,FALSE),"-")</f>
        <v>- / -</v>
      </c>
      <c r="N16" s="63" t="str">
        <f t="shared" si="5"/>
        <v>[effect:fix_speed, target:myself, turn:1],[effect:drop_block, block_type:damage, color:block_red, val:0.02, rate:0.1, turn:3],[effect:drop_block, block_type:damage, color:block_green, val:0.02, rate:0.1, turn:3],[effect:drop_block, block_type:damage, color:block_blue, val:0.02, rate:0.1, turn:3],[effect:drop_block, block_type:damage, color:block_yellow, val:0.02, rate:0.1, turn:3, animation:damage_influence04],[effect:tolerance, target:myself, turn:-1, count:-1, tolerance_effect:all, animation:enemy_tolerance]</v>
      </c>
      <c r="O16" s="48" t="str">
        <f>IFERROR(LEFT(N16,FIND("],",N16)+#REF!),N16)</f>
        <v>[effect:fix_speed, target:myself, turn:1],[effect:drop_block, block_type:damage, color:block_red, val:0.02, rate:0.1, turn:3],[effect:drop_block, block_type:damage, color:block_green, val:0.02, rate:0.1, turn:3],[effect:drop_block, block_type:damage, color:block_blue, val:0.02, rate:0.1, turn:3],[effect:drop_block, block_type:damage, color:block_yellow, val:0.02, rate:0.1, turn:3, animation:damage_influence04],[effect:tolerance, target:myself, turn:-1, count:-1, tolerance_effect:all, animation:enemy_tolerance]</v>
      </c>
      <c r="P16" s="63">
        <f t="shared" si="6"/>
        <v>9</v>
      </c>
      <c r="Q16" s="63">
        <f t="shared" si="7"/>
        <v>18</v>
      </c>
      <c r="R16" s="63">
        <f t="shared" si="8"/>
        <v>27</v>
      </c>
      <c r="S16" s="63">
        <f t="shared" si="9"/>
        <v>33</v>
      </c>
      <c r="T16" s="63" t="str">
        <f>IFERROR(VLOOKUP(MID(O16,R16,S16-R16),[5]skilldef!$C:$D,2,FALSE),"-") &amp; " / " &amp; IFERROR(VLOOKUP(MID(O16,P16,Q16-P16),[5]skilldef!$A:$B,2,FALSE),"-")</f>
        <v>自分自身に / 行動値設定</v>
      </c>
      <c r="U16" s="48" t="str">
        <f t="shared" si="10"/>
        <v>[effect:drop_block, block_type:damage, color:block_red, val:0.02, rate:0.1, turn:3],[effect:drop_block, block_type:damage, color:block_green, val:0.02, rate:0.1, turn:3],[effect:drop_block, block_type:damage, color:block_blue, val:0.02, rate:0.1, turn:3],[effect:drop_block, block_type:damage, color:block_yellow, val:0.02, rate:0.1, turn:3, animation:damage_influence04],[effect:tolerance, target:myself, turn:-1, count:-1, tolerance_effect:all, animation:enemy_tolerance]</v>
      </c>
      <c r="V16" s="63">
        <f t="shared" si="11"/>
        <v>9</v>
      </c>
      <c r="W16" s="63">
        <f t="shared" si="12"/>
        <v>19</v>
      </c>
      <c r="X16" s="63">
        <f t="shared" si="13"/>
        <v>399</v>
      </c>
      <c r="Y16" s="63">
        <f t="shared" si="14"/>
        <v>38</v>
      </c>
      <c r="Z16" s="63" t="str">
        <f>IFERROR(VLOOKUP(MID(U16,X16,Y16-X16),[5]skilldef!$C:$D,2,FALSE),"-") &amp; " / " &amp; IFERROR(VLOOKUP(MID(U16,V16,W16-V16),[5]skilldef!$A:$B,2,FALSE),"-")</f>
        <v>- / 特定ブロックの割合ドロップ</v>
      </c>
      <c r="AA16" s="50"/>
      <c r="AB16" s="52"/>
      <c r="AC16" s="50"/>
    </row>
    <row r="17" spans="1:29" ht="43" customHeight="1" x14ac:dyDescent="0.15">
      <c r="A17" s="168">
        <v>59003153</v>
      </c>
      <c r="B17" s="118" t="s">
        <v>452</v>
      </c>
      <c r="C17" s="119">
        <v>1</v>
      </c>
      <c r="D17" s="119" t="s">
        <v>126</v>
      </c>
      <c r="E17" s="120" t="s">
        <v>471</v>
      </c>
      <c r="F17" s="156" t="s">
        <v>325</v>
      </c>
      <c r="G17" s="150" t="s">
        <v>436</v>
      </c>
      <c r="H17" s="63" t="str">
        <f t="shared" si="0"/>
        <v>[effect:enemy_message, val1:1.2, val2:3.8]</v>
      </c>
      <c r="I17" s="63">
        <f t="shared" si="1"/>
        <v>9</v>
      </c>
      <c r="J17" s="63">
        <f t="shared" si="2"/>
        <v>22</v>
      </c>
      <c r="K17" s="63" t="e">
        <f t="shared" si="3"/>
        <v>#VALUE!</v>
      </c>
      <c r="L17" s="63">
        <f t="shared" si="4"/>
        <v>32</v>
      </c>
      <c r="M17" s="63" t="str">
        <f>IFERROR(VLOOKUP(MID(H17,K17,L17-K17),[5]skilldef!$C:$D,2,FALSE),"-") &amp; " / " &amp; IFERROR(VLOOKUP(MID(H17,I17,J17-I17),[5]skilldef!$A:$B,2,FALSE),"-")</f>
        <v>- / -</v>
      </c>
      <c r="N17" s="63" t="str">
        <f t="shared" si="5"/>
        <v>[effect:change_range_block, block_change:1, base_type:0, square_count:3, position01:7, value_h01:1, value_w01:1, position02:5, value_h02:2,  value_w02:1, new_block:damage, target:block_all, ignore01:block_positive, count:0, val:0.02, animation:change_range_block],[effect:change_range_block, block_change:1, base_type:0, square_count:3, position01:0, value_h01:1, value_w01:3, new_block:time_bomb, target:block_all, ignore01:block_positive, color:block_red, count:0, val:0.05, min_time_count:3, max_time_count:3, animation:change_range_block],[effect:rush, count:3, val:0.35]</v>
      </c>
      <c r="O17" s="48" t="str">
        <f>IFERROR(LEFT(N17,FIND("],",N17)+#REF!),N17)</f>
        <v>[effect:change_range_block, block_change:1, base_type:0, square_count:3, position01:7, value_h01:1, value_w01:1, position02:5, value_h02:2,  value_w02:1, new_block:damage, target:block_all, ignore01:block_positive, count:0, val:0.02, animation:change_range_block],[effect:change_range_block, block_change:1, base_type:0, square_count:3, position01:0, value_h01:1, value_w01:3, new_block:time_bomb, target:block_all, ignore01:block_positive, color:block_red, count:0, val:0.05, min_time_count:3, max_time_count:3, animation:change_range_block],[effect:rush, count:3, val:0.35]</v>
      </c>
      <c r="P17" s="63">
        <f t="shared" si="6"/>
        <v>9</v>
      </c>
      <c r="Q17" s="63">
        <f t="shared" si="7"/>
        <v>27</v>
      </c>
      <c r="R17" s="63">
        <f t="shared" si="8"/>
        <v>180</v>
      </c>
      <c r="S17" s="63">
        <f t="shared" si="9"/>
        <v>43</v>
      </c>
      <c r="T17" s="63" t="str">
        <f>IFERROR(VLOOKUP(MID(O17,R17,S17-R17),[5]skilldef!$C:$D,2,FALSE),"-") &amp; " / " &amp; IFERROR(VLOOKUP(MID(O17,P17,Q17-P17),[5]skilldef!$A:$B,2,FALSE),"-")</f>
        <v>- / -</v>
      </c>
      <c r="U17" s="48" t="str">
        <f t="shared" si="10"/>
        <v>[effect:change_range_block, block_change:1, base_type:0, square_count:3, position01:0, value_h01:1, value_w01:3, new_block:time_bomb, target:block_all, ignore01:block_positive, color:block_red, count:0, val:0.05, min_time_count:3, max_time_count:3, animation:change_range_block],[effect:rush, count:3, val:0.35]</v>
      </c>
      <c r="V17" s="63">
        <f t="shared" si="11"/>
        <v>9</v>
      </c>
      <c r="W17" s="63">
        <f t="shared" si="12"/>
        <v>27</v>
      </c>
      <c r="X17" s="63">
        <f t="shared" si="13"/>
        <v>142</v>
      </c>
      <c r="Y17" s="63">
        <f t="shared" si="14"/>
        <v>43</v>
      </c>
      <c r="Z17" s="63" t="str">
        <f>IFERROR(VLOOKUP(MID(U17,X17,Y17-X17),[5]skilldef!$C:$D,2,FALSE),"-") &amp; " / " &amp; IFERROR(VLOOKUP(MID(U17,V17,W17-V17),[5]skilldef!$A:$B,2,FALSE),"-")</f>
        <v>- / -</v>
      </c>
      <c r="AA17" s="50"/>
      <c r="AB17" s="52"/>
      <c r="AC17" s="50"/>
    </row>
    <row r="18" spans="1:29" ht="43" customHeight="1" x14ac:dyDescent="0.15">
      <c r="A18" s="168">
        <v>59003155</v>
      </c>
      <c r="B18" s="118" t="s">
        <v>548</v>
      </c>
      <c r="C18" s="119">
        <v>1</v>
      </c>
      <c r="D18" s="119" t="s">
        <v>126</v>
      </c>
      <c r="E18" s="120" t="s">
        <v>365</v>
      </c>
      <c r="F18" s="120" t="s">
        <v>328</v>
      </c>
      <c r="G18" s="150" t="s">
        <v>437</v>
      </c>
      <c r="H18" s="63" t="str">
        <f t="shared" si="0"/>
        <v>[effect:enemy_message, val1:1.2, val2:2.6]</v>
      </c>
      <c r="I18" s="63">
        <f t="shared" si="1"/>
        <v>9</v>
      </c>
      <c r="J18" s="63">
        <f t="shared" si="2"/>
        <v>22</v>
      </c>
      <c r="K18" s="63" t="e">
        <f t="shared" si="3"/>
        <v>#VALUE!</v>
      </c>
      <c r="L18" s="63">
        <f t="shared" si="4"/>
        <v>32</v>
      </c>
      <c r="M18" s="63" t="str">
        <f>IFERROR(VLOOKUP(MID(H18,K18,L18-K18),[5]skilldef!$C:$D,2,FALSE),"-") &amp; " / " &amp; IFERROR(VLOOKUP(MID(H18,I18,J18-I18),[5]skilldef!$A:$B,2,FALSE),"-")</f>
        <v>- / -</v>
      </c>
      <c r="N18" s="63" t="str">
        <f t="shared" si="5"/>
        <v>[effect:change_range_block, block_change:1, base_type:0, square_count:3, position01:2, value_h01:3, value_w01:1, new_block:damage, target:block_all, ignore01:block_positive, color:block_red, count:0, val:0.02, animation:change_range_block],[effect:critical, val:1.3, animation:enemy_critical]</v>
      </c>
      <c r="O18" s="48" t="str">
        <f>IFERROR(LEFT(N18,FIND("],",N18)+#REF!),N18)</f>
        <v>[effect:change_range_block, block_change:1, base_type:0, square_count:3, position01:2, value_h01:3, value_w01:1, new_block:damage, target:block_all, ignore01:block_positive, color:block_red, count:0, val:0.02, animation:change_range_block],[effect:critical, val:1.3, animation:enemy_critical]</v>
      </c>
      <c r="P18" s="63">
        <f t="shared" si="6"/>
        <v>9</v>
      </c>
      <c r="Q18" s="63">
        <f t="shared" si="7"/>
        <v>27</v>
      </c>
      <c r="R18" s="63">
        <f t="shared" si="8"/>
        <v>139</v>
      </c>
      <c r="S18" s="63">
        <f t="shared" si="9"/>
        <v>43</v>
      </c>
      <c r="T18" s="63" t="str">
        <f>IFERROR(VLOOKUP(MID(O18,R18,S18-R18),[5]skilldef!$C:$D,2,FALSE),"-") &amp; " / " &amp; IFERROR(VLOOKUP(MID(O18,P18,Q18-P18),[5]skilldef!$A:$B,2,FALSE),"-")</f>
        <v>- / -</v>
      </c>
      <c r="U18" s="48" t="str">
        <f t="shared" si="10"/>
        <v>[effect:critical, val:1.3, animation:enemy_critical]</v>
      </c>
      <c r="V18" s="63">
        <f t="shared" si="11"/>
        <v>9</v>
      </c>
      <c r="W18" s="63">
        <f t="shared" si="12"/>
        <v>17</v>
      </c>
      <c r="X18" s="63" t="e">
        <f t="shared" si="13"/>
        <v>#VALUE!</v>
      </c>
      <c r="Y18" s="63">
        <f t="shared" si="14"/>
        <v>26</v>
      </c>
      <c r="Z18" s="63" t="str">
        <f>IFERROR(VLOOKUP(MID(U18,X18,Y18-X18),[5]skilldef!$C:$D,2,FALSE),"-") &amp; " / " &amp; IFERROR(VLOOKUP(MID(U18,V18,W18-V18),[5]skilldef!$A:$B,2,FALSE),"-")</f>
        <v>- / 大攻撃</v>
      </c>
      <c r="AA18" s="50"/>
      <c r="AB18" s="52"/>
      <c r="AC18" s="50"/>
    </row>
    <row r="19" spans="1:29" ht="43" customHeight="1" x14ac:dyDescent="0.15">
      <c r="A19" s="168">
        <v>59003156</v>
      </c>
      <c r="B19" s="118" t="s">
        <v>549</v>
      </c>
      <c r="C19" s="119">
        <v>1</v>
      </c>
      <c r="D19" s="119" t="s">
        <v>126</v>
      </c>
      <c r="E19" s="120" t="s">
        <v>365</v>
      </c>
      <c r="F19" s="120" t="s">
        <v>330</v>
      </c>
      <c r="G19" s="150" t="s">
        <v>438</v>
      </c>
      <c r="H19" s="63" t="str">
        <f t="shared" si="0"/>
        <v>[effect:enemy_message, val1:1.2, val2:2.6]</v>
      </c>
      <c r="I19" s="63">
        <f t="shared" si="1"/>
        <v>9</v>
      </c>
      <c r="J19" s="63">
        <f t="shared" si="2"/>
        <v>22</v>
      </c>
      <c r="K19" s="63" t="e">
        <f t="shared" si="3"/>
        <v>#VALUE!</v>
      </c>
      <c r="L19" s="63">
        <f t="shared" si="4"/>
        <v>32</v>
      </c>
      <c r="M19" s="63" t="str">
        <f>IFERROR(VLOOKUP(MID(H19,K19,L19-K19),[5]skilldef!$C:$D,2,FALSE),"-") &amp; " / " &amp; IFERROR(VLOOKUP(MID(H19,I19,J19-I19),[5]skilldef!$A:$B,2,FALSE),"-")</f>
        <v>- / -</v>
      </c>
      <c r="N19" s="63" t="str">
        <f t="shared" si="5"/>
        <v>[effect:change_range_block, block_change:1, base_type:0, square_count:3, position01:0, value_h01:3, value_w01:1, new_block:damage, target:block_all, ignore01:block_positive, color:block_red, count:0, val:0.02, animation:change_range_block],[effect:critical, val:1.3, animation:enemy_critical]</v>
      </c>
      <c r="O19" s="48" t="str">
        <f>IFERROR(LEFT(N19,FIND("],",N19)+#REF!),N19)</f>
        <v>[effect:change_range_block, block_change:1, base_type:0, square_count:3, position01:0, value_h01:3, value_w01:1, new_block:damage, target:block_all, ignore01:block_positive, color:block_red, count:0, val:0.02, animation:change_range_block],[effect:critical, val:1.3, animation:enemy_critical]</v>
      </c>
      <c r="P19" s="63">
        <f t="shared" si="6"/>
        <v>9</v>
      </c>
      <c r="Q19" s="63">
        <f t="shared" si="7"/>
        <v>27</v>
      </c>
      <c r="R19" s="63">
        <f t="shared" si="8"/>
        <v>139</v>
      </c>
      <c r="S19" s="63">
        <f t="shared" si="9"/>
        <v>43</v>
      </c>
      <c r="T19" s="63" t="str">
        <f>IFERROR(VLOOKUP(MID(O19,R19,S19-R19),[5]skilldef!$C:$D,2,FALSE),"-") &amp; " / " &amp; IFERROR(VLOOKUP(MID(O19,P19,Q19-P19),[5]skilldef!$A:$B,2,FALSE),"-")</f>
        <v>- / -</v>
      </c>
      <c r="U19" s="48" t="str">
        <f t="shared" si="10"/>
        <v>[effect:critical, val:1.3, animation:enemy_critical]</v>
      </c>
      <c r="V19" s="63">
        <f t="shared" si="11"/>
        <v>9</v>
      </c>
      <c r="W19" s="63">
        <f t="shared" si="12"/>
        <v>17</v>
      </c>
      <c r="X19" s="63" t="e">
        <f t="shared" si="13"/>
        <v>#VALUE!</v>
      </c>
      <c r="Y19" s="63">
        <f t="shared" si="14"/>
        <v>26</v>
      </c>
      <c r="Z19" s="63" t="str">
        <f>IFERROR(VLOOKUP(MID(U19,X19,Y19-X19),[5]skilldef!$C:$D,2,FALSE),"-") &amp; " / " &amp; IFERROR(VLOOKUP(MID(U19,V19,W19-V19),[5]skilldef!$A:$B,2,FALSE),"-")</f>
        <v>- / 大攻撃</v>
      </c>
      <c r="AA19" s="50"/>
      <c r="AB19" s="52"/>
      <c r="AC19" s="50"/>
    </row>
    <row r="20" spans="1:29" ht="43" customHeight="1" x14ac:dyDescent="0.15">
      <c r="A20" s="169">
        <v>59003201</v>
      </c>
      <c r="B20" s="47" t="s">
        <v>439</v>
      </c>
      <c r="C20" s="50">
        <v>1</v>
      </c>
      <c r="D20" s="50" t="s">
        <v>126</v>
      </c>
      <c r="E20" s="51" t="s">
        <v>473</v>
      </c>
      <c r="F20" s="51" t="s">
        <v>406</v>
      </c>
      <c r="G20" s="150" t="s">
        <v>417</v>
      </c>
      <c r="H20" s="63" t="str">
        <f t="shared" si="0"/>
        <v>[effect:enemy_message, val1:1.2, val2:3.9]</v>
      </c>
      <c r="I20" s="63">
        <f t="shared" si="1"/>
        <v>9</v>
      </c>
      <c r="J20" s="63">
        <f t="shared" si="2"/>
        <v>22</v>
      </c>
      <c r="K20" s="63" t="e">
        <f t="shared" si="3"/>
        <v>#VALUE!</v>
      </c>
      <c r="L20" s="63">
        <f t="shared" si="4"/>
        <v>32</v>
      </c>
      <c r="M20" s="63" t="str">
        <f>IFERROR(VLOOKUP(MID(H20,K20,L20-K20),[5]skilldef!$C:$D,2,FALSE),"-") &amp; " / " &amp; IFERROR(VLOOKUP(MID(H20,I20,J20-I20),[5]skilldef!$A:$B,2,FALSE),"-")</f>
        <v>- / -</v>
      </c>
      <c r="N20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20" s="48" t="str">
        <f>IFERROR(LEFT(N20,FIND("],",N20)+#REF!),N20)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20" s="63">
        <f t="shared" si="6"/>
        <v>9</v>
      </c>
      <c r="Q20" s="63">
        <f t="shared" si="7"/>
        <v>18</v>
      </c>
      <c r="R20" s="63">
        <f t="shared" si="8"/>
        <v>27</v>
      </c>
      <c r="S20" s="63">
        <f t="shared" si="9"/>
        <v>33</v>
      </c>
      <c r="T20" s="63" t="str">
        <f>IFERROR(VLOOKUP(MID(O20,R20,S20-R20),[5]skilldef!$C:$D,2,FALSE),"-") &amp; " / " &amp; IFERROR(VLOOKUP(MID(O20,P20,Q20-P20),[5]skilldef!$A:$B,2,FALSE),"-")</f>
        <v>自分自身に / -</v>
      </c>
      <c r="U20" s="48" t="str">
        <f t="shared" si="10"/>
        <v>[effect:force_change_block, new_block:damage, target:jammer, count:0, val:0.02],[effect:tolerance, target:myself, turn:-1, count:-1, tolerance_effect:all, animation:enemy_tolerance]</v>
      </c>
      <c r="V20" s="63">
        <f t="shared" si="11"/>
        <v>9</v>
      </c>
      <c r="W20" s="63">
        <f t="shared" si="12"/>
        <v>27</v>
      </c>
      <c r="X20" s="63">
        <f t="shared" si="13"/>
        <v>54</v>
      </c>
      <c r="Y20" s="63">
        <f t="shared" si="14"/>
        <v>45</v>
      </c>
      <c r="Z20" s="63" t="str">
        <f>IFERROR(VLOOKUP(MID(U20,X20,Y20-X20),[5]skilldef!$C:$D,2,FALSE),"-") &amp; " / " &amp; IFERROR(VLOOKUP(MID(U20,V20,W20-V20),[5]skilldef!$A:$B,2,FALSE),"-")</f>
        <v>- / -</v>
      </c>
      <c r="AA20" s="50"/>
      <c r="AB20" s="52"/>
      <c r="AC20" s="50"/>
    </row>
    <row r="21" spans="1:29" ht="43" customHeight="1" x14ac:dyDescent="0.15">
      <c r="A21" s="169">
        <v>59003202</v>
      </c>
      <c r="B21" s="47" t="s">
        <v>355</v>
      </c>
      <c r="C21" s="50">
        <v>1</v>
      </c>
      <c r="D21" s="50" t="s">
        <v>126</v>
      </c>
      <c r="E21" s="51" t="s">
        <v>474</v>
      </c>
      <c r="F21" s="51" t="s">
        <v>332</v>
      </c>
      <c r="G21" s="150" t="s">
        <v>440</v>
      </c>
      <c r="H21" s="63" t="str">
        <f t="shared" si="0"/>
        <v>[effect:enemy_message, val1:1.2, val2:2.7]</v>
      </c>
      <c r="I21" s="63">
        <f t="shared" si="1"/>
        <v>9</v>
      </c>
      <c r="J21" s="63">
        <f t="shared" si="2"/>
        <v>22</v>
      </c>
      <c r="K21" s="63" t="e">
        <f t="shared" si="3"/>
        <v>#VALUE!</v>
      </c>
      <c r="L21" s="63">
        <f t="shared" si="4"/>
        <v>32</v>
      </c>
      <c r="M21" s="63" t="str">
        <f>IFERROR(VLOOKUP(MID(H21,K21,L21-K21),[5]skilldef!$C:$D,2,FALSE),"-") &amp; " / " &amp; IFERROR(VLOOKUP(MID(H21,I21,J21-I21),[5]skilldef!$A:$B,2,FALSE),"-")</f>
        <v>- / -</v>
      </c>
      <c r="N21" s="63" t="str">
        <f t="shared" si="5"/>
        <v>[effect:force_change_block, new_block:damage, target:normal, count:5, val:0.02],[effect:rush, count:2, val:0.5]</v>
      </c>
      <c r="O21" s="48" t="str">
        <f>IFERROR(LEFT(N21,FIND("],",N21)+#REF!),N21)</f>
        <v>[effect:force_change_block, new_block:damage, target:normal, count:5, val:0.02],[effect:rush, count:2, val:0.5]</v>
      </c>
      <c r="P21" s="63">
        <f t="shared" si="6"/>
        <v>9</v>
      </c>
      <c r="Q21" s="63">
        <f t="shared" si="7"/>
        <v>27</v>
      </c>
      <c r="R21" s="63">
        <f t="shared" si="8"/>
        <v>54</v>
      </c>
      <c r="S21" s="63">
        <f t="shared" si="9"/>
        <v>45</v>
      </c>
      <c r="T21" s="63" t="str">
        <f>IFERROR(VLOOKUP(MID(O21,R21,S21-R21),[5]skilldef!$C:$D,2,FALSE),"-") &amp; " / " &amp; IFERROR(VLOOKUP(MID(O21,P21,Q21-P21),[5]skilldef!$A:$B,2,FALSE),"-")</f>
        <v>- / -</v>
      </c>
      <c r="U21" s="48" t="str">
        <f t="shared" si="10"/>
        <v>[effect:rush, count:2, val:0.5]</v>
      </c>
      <c r="V21" s="63">
        <f t="shared" si="11"/>
        <v>9</v>
      </c>
      <c r="W21" s="63">
        <f t="shared" si="12"/>
        <v>13</v>
      </c>
      <c r="X21" s="63" t="e">
        <f t="shared" si="13"/>
        <v>#VALUE!</v>
      </c>
      <c r="Y21" s="63">
        <f t="shared" si="14"/>
        <v>22</v>
      </c>
      <c r="Z21" s="63" t="str">
        <f>IFERROR(VLOOKUP(MID(U21,X21,Y21-X21),[5]skilldef!$C:$D,2,FALSE),"-") &amp; " / " &amp; IFERROR(VLOOKUP(MID(U21,V21,W21-V21),[5]skilldef!$A:$B,2,FALSE),"-")</f>
        <v>- / 連続攻撃</v>
      </c>
      <c r="AA21" s="50"/>
      <c r="AB21" s="52"/>
      <c r="AC21" s="50"/>
    </row>
    <row r="22" spans="1:29" ht="43" customHeight="1" x14ac:dyDescent="0.15">
      <c r="A22" s="169">
        <v>59003204</v>
      </c>
      <c r="B22" s="47" t="s">
        <v>407</v>
      </c>
      <c r="C22" s="50">
        <v>1</v>
      </c>
      <c r="D22" s="50" t="s">
        <v>126</v>
      </c>
      <c r="E22" s="51" t="s">
        <v>475</v>
      </c>
      <c r="F22" s="51" t="s">
        <v>408</v>
      </c>
      <c r="G22" s="150" t="s">
        <v>441</v>
      </c>
      <c r="H22" s="63" t="str">
        <f t="shared" si="0"/>
        <v>[effect:enemy_message, val1:1.2, val2:1.2]</v>
      </c>
      <c r="I22" s="63">
        <f t="shared" si="1"/>
        <v>9</v>
      </c>
      <c r="J22" s="63">
        <f t="shared" si="2"/>
        <v>22</v>
      </c>
      <c r="K22" s="63" t="e">
        <f t="shared" si="3"/>
        <v>#VALUE!</v>
      </c>
      <c r="L22" s="63">
        <f t="shared" si="4"/>
        <v>32</v>
      </c>
      <c r="M22" s="63" t="str">
        <f>IFERROR(VLOOKUP(MID(H22,K22,L22-K22),[5]skilldef!$C:$D,2,FALSE),"-") &amp; " / " &amp; IFERROR(VLOOKUP(MID(H22,I22,J22-I22),[5]skilldef!$A:$B,2,FALSE),"-")</f>
        <v>- / -</v>
      </c>
      <c r="N22" s="63" t="str">
        <f t="shared" si="5"/>
        <v>[effect:damage_fix_absolute, target:unit_one, val:5000]</v>
      </c>
      <c r="O22" s="48" t="str">
        <f>IFERROR(LEFT(N22,FIND("],",N22)+#REF!),N22)</f>
        <v>[effect:damage_fix_absolute, target:unit_one, val:5000]</v>
      </c>
      <c r="P22" s="63">
        <f t="shared" si="6"/>
        <v>9</v>
      </c>
      <c r="Q22" s="63">
        <f t="shared" si="7"/>
        <v>28</v>
      </c>
      <c r="R22" s="63">
        <f t="shared" si="8"/>
        <v>37</v>
      </c>
      <c r="S22" s="63">
        <f t="shared" si="9"/>
        <v>45</v>
      </c>
      <c r="T22" s="63" t="str">
        <f>IFERROR(VLOOKUP(MID(O22,R22,S22-R22),[5]skilldef!$C:$D,2,FALSE),"-") &amp; " / " &amp; IFERROR(VLOOKUP(MID(O22,P22,Q22-P22),[5]skilldef!$A:$B,2,FALSE),"-")</f>
        <v>味方単体に / -</v>
      </c>
      <c r="U22" s="48" t="str">
        <f t="shared" si="10"/>
        <v>none</v>
      </c>
      <c r="V22" s="63" t="e">
        <f t="shared" si="11"/>
        <v>#VALUE!</v>
      </c>
      <c r="W22" s="63">
        <f t="shared" si="12"/>
        <v>4</v>
      </c>
      <c r="X22" s="63" t="e">
        <f t="shared" si="13"/>
        <v>#VALUE!</v>
      </c>
      <c r="Y22" s="63" t="e">
        <f t="shared" si="14"/>
        <v>#VALUE!</v>
      </c>
      <c r="Z22" s="63" t="str">
        <f>IFERROR(VLOOKUP(MID(U22,X22,Y22-X22),[5]skilldef!$C:$D,2,FALSE),"-") &amp; " / " &amp; IFERROR(VLOOKUP(MID(U22,V22,W22-V22),[5]skilldef!$A:$B,2,FALSE),"-")</f>
        <v>- / -</v>
      </c>
      <c r="AA22" s="50"/>
      <c r="AB22" s="52"/>
      <c r="AC22" s="50"/>
    </row>
    <row r="23" spans="1:29" ht="43" customHeight="1" x14ac:dyDescent="0.15">
      <c r="A23" s="169">
        <v>59003205</v>
      </c>
      <c r="B23" s="47" t="s">
        <v>640</v>
      </c>
      <c r="C23" s="50">
        <v>1</v>
      </c>
      <c r="D23" s="50" t="s">
        <v>126</v>
      </c>
      <c r="E23" s="51" t="s">
        <v>636</v>
      </c>
      <c r="F23" s="51" t="s">
        <v>293</v>
      </c>
      <c r="G23" s="150" t="s">
        <v>442</v>
      </c>
      <c r="H23" s="63" t="str">
        <f t="shared" si="0"/>
        <v>[effect:enemy_message, val1:1.2, val2:2.8]</v>
      </c>
      <c r="I23" s="63">
        <f t="shared" si="1"/>
        <v>9</v>
      </c>
      <c r="J23" s="63">
        <f t="shared" si="2"/>
        <v>22</v>
      </c>
      <c r="K23" s="63" t="e">
        <f t="shared" si="3"/>
        <v>#VALUE!</v>
      </c>
      <c r="L23" s="63">
        <f t="shared" si="4"/>
        <v>32</v>
      </c>
      <c r="M23" s="63" t="str">
        <f>IFERROR(VLOOKUP(MID(H23,K23,L23-K23),[5]skilldef!$C:$D,2,FALSE),"-") &amp; " / " &amp; IFERROR(VLOOKUP(MID(H23,I23,J23-I23),[5]skilldef!$A:$B,2,FALSE),"-")</f>
        <v>- / -</v>
      </c>
      <c r="N23" s="63" t="str">
        <f t="shared" si="5"/>
        <v>[effect:force_change_block, new_block:damage, target:normal, ignore01:block_red, ignore02:block_heart, count:0, val:0.02, animation:change_block],[effect:rush, count:2, val:0.5]</v>
      </c>
      <c r="O23" s="48" t="str">
        <f>IFERROR(LEFT(N23,FIND("],",N23)+#REF!),N23)</f>
        <v>[effect:force_change_block, new_block:damage, target:normal, ignore01:block_red, ignore02:block_heart, count:0, val:0.02, animation:change_block],[effect:rush, count:2, val:0.5]</v>
      </c>
      <c r="P23" s="63">
        <f t="shared" si="6"/>
        <v>9</v>
      </c>
      <c r="Q23" s="63">
        <f t="shared" si="7"/>
        <v>27</v>
      </c>
      <c r="R23" s="63">
        <f t="shared" si="8"/>
        <v>54</v>
      </c>
      <c r="S23" s="63">
        <f t="shared" si="9"/>
        <v>45</v>
      </c>
      <c r="T23" s="63" t="str">
        <f>IFERROR(VLOOKUP(MID(O23,R23,S23-R23),[5]skilldef!$C:$D,2,FALSE),"-") &amp; " / " &amp; IFERROR(VLOOKUP(MID(O23,P23,Q23-P23),[5]skilldef!$A:$B,2,FALSE),"-")</f>
        <v>- / -</v>
      </c>
      <c r="U23" s="48" t="str">
        <f t="shared" si="10"/>
        <v>[effect:rush, count:2, val:0.5]</v>
      </c>
      <c r="V23" s="63">
        <f t="shared" si="11"/>
        <v>9</v>
      </c>
      <c r="W23" s="63">
        <f t="shared" si="12"/>
        <v>13</v>
      </c>
      <c r="X23" s="63" t="e">
        <f t="shared" si="13"/>
        <v>#VALUE!</v>
      </c>
      <c r="Y23" s="63">
        <f t="shared" si="14"/>
        <v>22</v>
      </c>
      <c r="Z23" s="63" t="str">
        <f>IFERROR(VLOOKUP(MID(U23,X23,Y23-X23),[5]skilldef!$C:$D,2,FALSE),"-") &amp; " / " &amp; IFERROR(VLOOKUP(MID(U23,V23,W23-V23),[5]skilldef!$A:$B,2,FALSE),"-")</f>
        <v>- / 連続攻撃</v>
      </c>
      <c r="AA23" s="50"/>
      <c r="AB23" s="52"/>
      <c r="AC23" s="50"/>
    </row>
    <row r="24" spans="1:29" ht="43" customHeight="1" x14ac:dyDescent="0.15">
      <c r="A24" s="169">
        <v>59003207</v>
      </c>
      <c r="B24" s="47" t="s">
        <v>410</v>
      </c>
      <c r="C24" s="50">
        <v>1</v>
      </c>
      <c r="D24" s="50" t="s">
        <v>126</v>
      </c>
      <c r="E24" s="51" t="s">
        <v>476</v>
      </c>
      <c r="F24" s="51" t="s">
        <v>409</v>
      </c>
      <c r="G24" s="150" t="s">
        <v>411</v>
      </c>
      <c r="H24" s="63" t="str">
        <f t="shared" si="0"/>
        <v>[effect:enemy_message, val1:1.2, val2:1.3]</v>
      </c>
      <c r="I24" s="63">
        <f t="shared" si="1"/>
        <v>9</v>
      </c>
      <c r="J24" s="63">
        <f t="shared" si="2"/>
        <v>22</v>
      </c>
      <c r="K24" s="63" t="e">
        <f t="shared" si="3"/>
        <v>#VALUE!</v>
      </c>
      <c r="L24" s="63">
        <f t="shared" si="4"/>
        <v>32</v>
      </c>
      <c r="M24" s="63" t="str">
        <f>IFERROR(VLOOKUP(MID(H24,K24,L24-K24),[5]skilldef!$C:$D,2,FALSE),"-") &amp; " / " &amp; IFERROR(VLOOKUP(MID(H24,I24,J24-I24),[5]skilldef!$A:$B,2,FALSE),"-")</f>
        <v>- / -</v>
      </c>
      <c r="N24" s="63" t="str">
        <f t="shared" si="5"/>
        <v>[effect:damage_gravity, val:0.6, animation:fevergauge_down]</v>
      </c>
      <c r="O24" s="48" t="str">
        <f>IFERROR(LEFT(N24,FIND("],",N24)+#REF!),N24)</f>
        <v>[effect:damage_gravity, val:0.6, animation:fevergauge_down]</v>
      </c>
      <c r="P24" s="63">
        <f t="shared" si="6"/>
        <v>9</v>
      </c>
      <c r="Q24" s="63">
        <f t="shared" si="7"/>
        <v>23</v>
      </c>
      <c r="R24" s="63" t="e">
        <f t="shared" si="8"/>
        <v>#VALUE!</v>
      </c>
      <c r="S24" s="63">
        <f t="shared" si="9"/>
        <v>32</v>
      </c>
      <c r="T24" s="63" t="str">
        <f>IFERROR(VLOOKUP(MID(O24,R24,S24-R24),[5]skilldef!$C:$D,2,FALSE),"-") &amp; " / " &amp; IFERROR(VLOOKUP(MID(O24,P24,Q24-P24),[5]skilldef!$A:$B,2,FALSE),"-")</f>
        <v>- / 割合ダメージ</v>
      </c>
      <c r="U24" s="48" t="str">
        <f t="shared" si="10"/>
        <v>none</v>
      </c>
      <c r="V24" s="63" t="e">
        <f t="shared" si="11"/>
        <v>#VALUE!</v>
      </c>
      <c r="W24" s="63">
        <f t="shared" si="12"/>
        <v>4</v>
      </c>
      <c r="X24" s="63" t="e">
        <f t="shared" si="13"/>
        <v>#VALUE!</v>
      </c>
      <c r="Y24" s="63" t="e">
        <f t="shared" si="14"/>
        <v>#VALUE!</v>
      </c>
      <c r="Z24" s="63" t="str">
        <f>IFERROR(VLOOKUP(MID(U24,X24,Y24-X24),[5]skilldef!$C:$D,2,FALSE),"-") &amp; " / " &amp; IFERROR(VLOOKUP(MID(U24,V24,W24-V24),[5]skilldef!$A:$B,2,FALSE),"-")</f>
        <v>- / -</v>
      </c>
      <c r="AA24" s="50"/>
      <c r="AB24" s="52"/>
      <c r="AC24" s="50"/>
    </row>
    <row r="25" spans="1:29" ht="43" customHeight="1" x14ac:dyDescent="0.15">
      <c r="A25" s="169">
        <v>59003210</v>
      </c>
      <c r="B25" s="134" t="s">
        <v>641</v>
      </c>
      <c r="C25" s="145">
        <v>1</v>
      </c>
      <c r="D25" s="145" t="s">
        <v>346</v>
      </c>
      <c r="E25" s="135" t="s">
        <v>639</v>
      </c>
      <c r="F25" s="135" t="s">
        <v>405</v>
      </c>
      <c r="G25" s="153" t="s">
        <v>414</v>
      </c>
      <c r="H25" s="63" t="str">
        <f t="shared" si="0"/>
        <v>[effect:enemy_message, val1:2.0, val2:3.9]</v>
      </c>
      <c r="I25" s="63">
        <f t="shared" si="1"/>
        <v>9</v>
      </c>
      <c r="J25" s="63">
        <f t="shared" si="2"/>
        <v>22</v>
      </c>
      <c r="K25" s="63" t="e">
        <f t="shared" si="3"/>
        <v>#VALUE!</v>
      </c>
      <c r="L25" s="63">
        <f t="shared" si="4"/>
        <v>32</v>
      </c>
      <c r="M25" s="63" t="str">
        <f>IFERROR(VLOOKUP(MID(H25,K25,L25-K25),[5]skilldef!$C:$D,2,FALSE),"-") &amp; " / " &amp; IFERROR(VLOOKUP(MID(H25,I25,J25-I25),[5]skilldef!$A:$B,2,FALSE),"-")</f>
        <v>- / -</v>
      </c>
      <c r="N25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25" s="48" t="str">
        <f>IFERROR(LEFT(N25,FIND("],",N25)+#REF!),N25)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25" s="63">
        <f t="shared" si="6"/>
        <v>9</v>
      </c>
      <c r="Q25" s="63">
        <f t="shared" si="7"/>
        <v>18</v>
      </c>
      <c r="R25" s="63">
        <f t="shared" si="8"/>
        <v>27</v>
      </c>
      <c r="S25" s="63">
        <f t="shared" si="9"/>
        <v>33</v>
      </c>
      <c r="T25" s="63" t="str">
        <f>IFERROR(VLOOKUP(MID(O25,R25,S25-R25),[5]skilldef!$C:$D,2,FALSE),"-") &amp; " / " &amp; IFERROR(VLOOKUP(MID(O25,P25,Q25-P25),[5]skilldef!$A:$B,2,FALSE),"-")</f>
        <v>自分自身に / -</v>
      </c>
      <c r="U25" s="48" t="str">
        <f t="shared" si="10"/>
        <v>[effect:force_change_block, new_block:damage, target:jammer, count:0, val:0.02],[effect:tolerance, target:myself, turn:-1, count:-1, tolerance_effect:all, animation:enemy_tolerance]</v>
      </c>
      <c r="V25" s="63">
        <f t="shared" si="11"/>
        <v>9</v>
      </c>
      <c r="W25" s="63">
        <f t="shared" si="12"/>
        <v>27</v>
      </c>
      <c r="X25" s="63">
        <f t="shared" si="13"/>
        <v>54</v>
      </c>
      <c r="Y25" s="63">
        <f t="shared" si="14"/>
        <v>45</v>
      </c>
      <c r="Z25" s="63" t="str">
        <f>IFERROR(VLOOKUP(MID(U25,X25,Y25-X25),[5]skilldef!$C:$D,2,FALSE),"-") &amp; " / " &amp; IFERROR(VLOOKUP(MID(U25,V25,W25-V25),[5]skilldef!$A:$B,2,FALSE),"-")</f>
        <v>- / -</v>
      </c>
      <c r="AA25" s="50"/>
      <c r="AB25" s="52"/>
      <c r="AC25" s="50"/>
    </row>
    <row r="26" spans="1:29" ht="43" customHeight="1" x14ac:dyDescent="0.15">
      <c r="A26" s="169">
        <v>59003211</v>
      </c>
      <c r="B26" s="134" t="s">
        <v>453</v>
      </c>
      <c r="C26" s="145">
        <v>1</v>
      </c>
      <c r="D26" s="145" t="s">
        <v>346</v>
      </c>
      <c r="E26" s="135" t="s">
        <v>477</v>
      </c>
      <c r="F26" s="135" t="s">
        <v>405</v>
      </c>
      <c r="G26" s="153" t="s">
        <v>415</v>
      </c>
      <c r="H26" s="63" t="str">
        <f t="shared" si="0"/>
        <v>[effect:enemy_message, val1:1.8, val2:3.9]</v>
      </c>
      <c r="I26" s="63">
        <f t="shared" si="1"/>
        <v>9</v>
      </c>
      <c r="J26" s="63">
        <f t="shared" si="2"/>
        <v>22</v>
      </c>
      <c r="K26" s="63" t="e">
        <f t="shared" si="3"/>
        <v>#VALUE!</v>
      </c>
      <c r="L26" s="63">
        <f t="shared" si="4"/>
        <v>32</v>
      </c>
      <c r="M26" s="63" t="str">
        <f>IFERROR(VLOOKUP(MID(H26,K26,L26-K26),[5]skilldef!$C:$D,2,FALSE),"-") &amp; " / " &amp; IFERROR(VLOOKUP(MID(H26,I26,J26-I26),[5]skilldef!$A:$B,2,FALSE),"-")</f>
        <v>- / -</v>
      </c>
      <c r="N26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26" s="48" t="str">
        <f>IFERROR(LEFT(N26,FIND("],",N26)+#REF!),N26)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26" s="63">
        <f t="shared" si="6"/>
        <v>9</v>
      </c>
      <c r="Q26" s="63">
        <f t="shared" si="7"/>
        <v>18</v>
      </c>
      <c r="R26" s="63">
        <f t="shared" si="8"/>
        <v>27</v>
      </c>
      <c r="S26" s="63">
        <f t="shared" si="9"/>
        <v>33</v>
      </c>
      <c r="T26" s="63" t="str">
        <f>IFERROR(VLOOKUP(MID(O26,R26,S26-R26),[5]skilldef!$C:$D,2,FALSE),"-") &amp; " / " &amp; IFERROR(VLOOKUP(MID(O26,P26,Q26-P26),[5]skilldef!$A:$B,2,FALSE),"-")</f>
        <v>自分自身に / -</v>
      </c>
      <c r="U26" s="48" t="str">
        <f t="shared" si="10"/>
        <v>[effect:force_change_block, new_block:damage, target:jammer, count:0, val:0.02],[effect:tolerance, target:myself, turn:-1, count:-1, tolerance_effect:all, animation:enemy_tolerance]</v>
      </c>
      <c r="V26" s="63">
        <f t="shared" si="11"/>
        <v>9</v>
      </c>
      <c r="W26" s="63">
        <f t="shared" si="12"/>
        <v>27</v>
      </c>
      <c r="X26" s="63">
        <f t="shared" si="13"/>
        <v>54</v>
      </c>
      <c r="Y26" s="63">
        <f t="shared" si="14"/>
        <v>45</v>
      </c>
      <c r="Z26" s="63" t="str">
        <f>IFERROR(VLOOKUP(MID(U26,X26,Y26-X26),[5]skilldef!$C:$D,2,FALSE),"-") &amp; " / " &amp; IFERROR(VLOOKUP(MID(U26,V26,W26-V26),[5]skilldef!$A:$B,2,FALSE),"-")</f>
        <v>- / -</v>
      </c>
      <c r="AA26" s="50"/>
      <c r="AB26" s="52"/>
      <c r="AC26" s="50"/>
    </row>
    <row r="27" spans="1:29" ht="43" customHeight="1" x14ac:dyDescent="0.15">
      <c r="A27" s="169">
        <v>59003212</v>
      </c>
      <c r="B27" s="134" t="s">
        <v>454</v>
      </c>
      <c r="C27" s="145">
        <v>1</v>
      </c>
      <c r="D27" s="145" t="s">
        <v>346</v>
      </c>
      <c r="E27" s="135" t="s">
        <v>478</v>
      </c>
      <c r="F27" s="135" t="s">
        <v>405</v>
      </c>
      <c r="G27" s="153" t="s">
        <v>416</v>
      </c>
      <c r="H27" s="63" t="str">
        <f t="shared" si="0"/>
        <v>[effect:enemy_message, val1:1.9, val2:3.9]</v>
      </c>
      <c r="I27" s="63">
        <f t="shared" si="1"/>
        <v>9</v>
      </c>
      <c r="J27" s="63">
        <f t="shared" si="2"/>
        <v>22</v>
      </c>
      <c r="K27" s="63" t="e">
        <f t="shared" si="3"/>
        <v>#VALUE!</v>
      </c>
      <c r="L27" s="63">
        <f t="shared" si="4"/>
        <v>32</v>
      </c>
      <c r="M27" s="63" t="str">
        <f>IFERROR(VLOOKUP(MID(H27,K27,L27-K27),[5]skilldef!$C:$D,2,FALSE),"-") &amp; " / " &amp; IFERROR(VLOOKUP(MID(H27,I27,J27-I27),[5]skilldef!$A:$B,2,FALSE),"-")</f>
        <v>- / -</v>
      </c>
      <c r="N27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27" s="48" t="str">
        <f>IFERROR(LEFT(N27,FIND("],",N27)+#REF!),N27)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27" s="63">
        <f t="shared" si="6"/>
        <v>9</v>
      </c>
      <c r="Q27" s="63">
        <f t="shared" si="7"/>
        <v>18</v>
      </c>
      <c r="R27" s="63">
        <f t="shared" si="8"/>
        <v>27</v>
      </c>
      <c r="S27" s="63">
        <f t="shared" si="9"/>
        <v>33</v>
      </c>
      <c r="T27" s="63" t="str">
        <f>IFERROR(VLOOKUP(MID(O27,R27,S27-R27),[5]skilldef!$C:$D,2,FALSE),"-") &amp; " / " &amp; IFERROR(VLOOKUP(MID(O27,P27,Q27-P27),[5]skilldef!$A:$B,2,FALSE),"-")</f>
        <v>自分自身に / -</v>
      </c>
      <c r="U27" s="48" t="str">
        <f t="shared" si="10"/>
        <v>[effect:force_change_block, new_block:damage, target:jammer, count:0, val:0.02],[effect:tolerance, target:myself, turn:-1, count:-1, tolerance_effect:all, animation:enemy_tolerance]</v>
      </c>
      <c r="V27" s="63">
        <f t="shared" si="11"/>
        <v>9</v>
      </c>
      <c r="W27" s="63">
        <f t="shared" si="12"/>
        <v>27</v>
      </c>
      <c r="X27" s="63">
        <f t="shared" si="13"/>
        <v>54</v>
      </c>
      <c r="Y27" s="63">
        <f t="shared" si="14"/>
        <v>45</v>
      </c>
      <c r="Z27" s="63" t="str">
        <f>IFERROR(VLOOKUP(MID(U27,X27,Y27-X27),[5]skilldef!$C:$D,2,FALSE),"-") &amp; " / " &amp; IFERROR(VLOOKUP(MID(U27,V27,W27-V27),[5]skilldef!$A:$B,2,FALSE),"-")</f>
        <v>- / -</v>
      </c>
      <c r="AA27" s="50"/>
      <c r="AB27" s="52"/>
      <c r="AC27" s="50"/>
    </row>
    <row r="28" spans="1:29" ht="43" customHeight="1" x14ac:dyDescent="0.15">
      <c r="A28" s="169">
        <v>59003213</v>
      </c>
      <c r="B28" s="134" t="s">
        <v>453</v>
      </c>
      <c r="C28" s="145">
        <v>1</v>
      </c>
      <c r="D28" s="145" t="s">
        <v>346</v>
      </c>
      <c r="E28" s="135" t="s">
        <v>477</v>
      </c>
      <c r="F28" s="135" t="s">
        <v>405</v>
      </c>
      <c r="G28" s="153" t="s">
        <v>417</v>
      </c>
      <c r="H28" s="63" t="str">
        <f t="shared" si="0"/>
        <v>[effect:enemy_message, val1:1.8, val2:3.9]</v>
      </c>
      <c r="I28" s="63">
        <f t="shared" si="1"/>
        <v>9</v>
      </c>
      <c r="J28" s="63">
        <f t="shared" si="2"/>
        <v>22</v>
      </c>
      <c r="K28" s="63" t="e">
        <f t="shared" si="3"/>
        <v>#VALUE!</v>
      </c>
      <c r="L28" s="63">
        <f t="shared" si="4"/>
        <v>32</v>
      </c>
      <c r="M28" s="63" t="str">
        <f>IFERROR(VLOOKUP(MID(H28,K28,L28-K28),[5]skilldef!$C:$D,2,FALSE),"-") &amp; " / " &amp; IFERROR(VLOOKUP(MID(H28,I28,J28-I28),[5]skilldef!$A:$B,2,FALSE),"-")</f>
        <v>- / -</v>
      </c>
      <c r="N28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28" s="48" t="str">
        <f>IFERROR(LEFT(N28,FIND("],",N28)+#REF!),N28)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28" s="63">
        <f t="shared" si="6"/>
        <v>9</v>
      </c>
      <c r="Q28" s="63">
        <f t="shared" si="7"/>
        <v>18</v>
      </c>
      <c r="R28" s="63">
        <f t="shared" si="8"/>
        <v>27</v>
      </c>
      <c r="S28" s="63">
        <f t="shared" si="9"/>
        <v>33</v>
      </c>
      <c r="T28" s="63" t="str">
        <f>IFERROR(VLOOKUP(MID(O28,R28,S28-R28),[5]skilldef!$C:$D,2,FALSE),"-") &amp; " / " &amp; IFERROR(VLOOKUP(MID(O28,P28,Q28-P28),[5]skilldef!$A:$B,2,FALSE),"-")</f>
        <v>自分自身に / -</v>
      </c>
      <c r="U28" s="48" t="str">
        <f t="shared" si="10"/>
        <v>[effect:force_change_block, new_block:damage, target:jammer, count:0, val:0.02],[effect:tolerance, target:myself, turn:-1, count:-1, tolerance_effect:all, animation:enemy_tolerance]</v>
      </c>
      <c r="V28" s="63">
        <f t="shared" si="11"/>
        <v>9</v>
      </c>
      <c r="W28" s="63">
        <f t="shared" si="12"/>
        <v>27</v>
      </c>
      <c r="X28" s="63">
        <f t="shared" si="13"/>
        <v>54</v>
      </c>
      <c r="Y28" s="63">
        <f t="shared" si="14"/>
        <v>45</v>
      </c>
      <c r="Z28" s="63" t="str">
        <f>IFERROR(VLOOKUP(MID(U28,X28,Y28-X28),[5]skilldef!$C:$D,2,FALSE),"-") &amp; " / " &amp; IFERROR(VLOOKUP(MID(U28,V28,W28-V28),[5]skilldef!$A:$B,2,FALSE),"-")</f>
        <v>- / -</v>
      </c>
      <c r="AA28" s="50"/>
      <c r="AB28" s="52"/>
      <c r="AC28" s="50"/>
    </row>
    <row r="29" spans="1:29" ht="43" customHeight="1" x14ac:dyDescent="0.15">
      <c r="A29" s="169">
        <v>59003214</v>
      </c>
      <c r="B29" s="134" t="s">
        <v>455</v>
      </c>
      <c r="C29" s="145">
        <v>1</v>
      </c>
      <c r="D29" s="145" t="s">
        <v>346</v>
      </c>
      <c r="E29" s="135" t="s">
        <v>479</v>
      </c>
      <c r="F29" s="135" t="s">
        <v>405</v>
      </c>
      <c r="G29" s="153" t="s">
        <v>422</v>
      </c>
      <c r="H29" s="63" t="str">
        <f t="shared" si="0"/>
        <v>[effect:enemy_message, val1:2.1, val2:3.9]</v>
      </c>
      <c r="I29" s="63">
        <f t="shared" si="1"/>
        <v>9</v>
      </c>
      <c r="J29" s="63">
        <f t="shared" si="2"/>
        <v>22</v>
      </c>
      <c r="K29" s="63" t="e">
        <f t="shared" si="3"/>
        <v>#VALUE!</v>
      </c>
      <c r="L29" s="63">
        <f t="shared" si="4"/>
        <v>32</v>
      </c>
      <c r="M29" s="63" t="str">
        <f>IFERROR(VLOOKUP(MID(H29,K29,L29-K29),[5]skilldef!$C:$D,2,FALSE),"-") &amp; " / " &amp; IFERROR(VLOOKUP(MID(H29,I29,J29-I29),[5]skilldef!$A:$B,2,FALSE),"-")</f>
        <v>- / -</v>
      </c>
      <c r="N29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29" s="48" t="str">
        <f>IFERROR(LEFT(N29,FIND("],",N29)+#REF!),N29)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29" s="63">
        <f t="shared" si="6"/>
        <v>9</v>
      </c>
      <c r="Q29" s="63">
        <f t="shared" si="7"/>
        <v>18</v>
      </c>
      <c r="R29" s="63">
        <f t="shared" si="8"/>
        <v>27</v>
      </c>
      <c r="S29" s="63">
        <f t="shared" si="9"/>
        <v>33</v>
      </c>
      <c r="T29" s="63" t="str">
        <f>IFERROR(VLOOKUP(MID(O29,R29,S29-R29),[5]skilldef!$C:$D,2,FALSE),"-") &amp; " / " &amp; IFERROR(VLOOKUP(MID(O29,P29,Q29-P29),[5]skilldef!$A:$B,2,FALSE),"-")</f>
        <v>自分自身に / -</v>
      </c>
      <c r="U29" s="48" t="str">
        <f t="shared" si="10"/>
        <v>[effect:force_change_block, new_block:damage, target:jammer, count:0, val:0.02],[effect:tolerance, target:myself, turn:-1, count:-1, tolerance_effect:all, animation:enemy_tolerance]</v>
      </c>
      <c r="V29" s="63">
        <f t="shared" si="11"/>
        <v>9</v>
      </c>
      <c r="W29" s="63">
        <f t="shared" si="12"/>
        <v>27</v>
      </c>
      <c r="X29" s="63">
        <f t="shared" si="13"/>
        <v>54</v>
      </c>
      <c r="Y29" s="63">
        <f t="shared" si="14"/>
        <v>45</v>
      </c>
      <c r="Z29" s="63" t="str">
        <f>IFERROR(VLOOKUP(MID(U29,X29,Y29-X29),[5]skilldef!$C:$D,2,FALSE),"-") &amp; " / " &amp; IFERROR(VLOOKUP(MID(U29,V29,W29-V29),[5]skilldef!$A:$B,2,FALSE),"-")</f>
        <v>- / -</v>
      </c>
      <c r="AA29" s="50"/>
      <c r="AB29" s="52"/>
      <c r="AC29" s="50"/>
    </row>
    <row r="30" spans="1:29" ht="43" customHeight="1" x14ac:dyDescent="0.15">
      <c r="A30" s="169">
        <v>59003215</v>
      </c>
      <c r="B30" s="134" t="s">
        <v>454</v>
      </c>
      <c r="C30" s="145">
        <v>1</v>
      </c>
      <c r="D30" s="145" t="s">
        <v>346</v>
      </c>
      <c r="E30" s="135" t="s">
        <v>480</v>
      </c>
      <c r="F30" s="135" t="s">
        <v>405</v>
      </c>
      <c r="G30" s="153" t="s">
        <v>416</v>
      </c>
      <c r="H30" s="63" t="str">
        <f t="shared" si="0"/>
        <v>[effect:enemy_message, val1:1.9, val2:3.9]</v>
      </c>
      <c r="I30" s="63">
        <f t="shared" si="1"/>
        <v>9</v>
      </c>
      <c r="J30" s="63">
        <f t="shared" si="2"/>
        <v>22</v>
      </c>
      <c r="K30" s="63" t="e">
        <f t="shared" si="3"/>
        <v>#VALUE!</v>
      </c>
      <c r="L30" s="63">
        <f t="shared" si="4"/>
        <v>32</v>
      </c>
      <c r="M30" s="63" t="str">
        <f>IFERROR(VLOOKUP(MID(H30,K30,L30-K30),[5]skilldef!$C:$D,2,FALSE),"-") &amp; " / " &amp; IFERROR(VLOOKUP(MID(H30,I30,J30-I30),[5]skilldef!$A:$B,2,FALSE),"-")</f>
        <v>- / -</v>
      </c>
      <c r="N30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30" s="48" t="str">
        <f>IFERROR(LEFT(N30,FIND("],",N30)+#REF!),N30)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30" s="63">
        <f t="shared" si="6"/>
        <v>9</v>
      </c>
      <c r="Q30" s="63">
        <f t="shared" si="7"/>
        <v>18</v>
      </c>
      <c r="R30" s="63">
        <f t="shared" si="8"/>
        <v>27</v>
      </c>
      <c r="S30" s="63">
        <f t="shared" si="9"/>
        <v>33</v>
      </c>
      <c r="T30" s="63" t="str">
        <f>IFERROR(VLOOKUP(MID(O30,R30,S30-R30),[5]skilldef!$C:$D,2,FALSE),"-") &amp; " / " &amp; IFERROR(VLOOKUP(MID(O30,P30,Q30-P30),[5]skilldef!$A:$B,2,FALSE),"-")</f>
        <v>自分自身に / -</v>
      </c>
      <c r="U30" s="48" t="str">
        <f t="shared" si="10"/>
        <v>[effect:force_change_block, new_block:damage, target:jammer, count:0, val:0.02],[effect:tolerance, target:myself, turn:-1, count:-1, tolerance_effect:all, animation:enemy_tolerance]</v>
      </c>
      <c r="V30" s="63">
        <f t="shared" si="11"/>
        <v>9</v>
      </c>
      <c r="W30" s="63">
        <f t="shared" si="12"/>
        <v>27</v>
      </c>
      <c r="X30" s="63">
        <f t="shared" si="13"/>
        <v>54</v>
      </c>
      <c r="Y30" s="63">
        <f t="shared" si="14"/>
        <v>45</v>
      </c>
      <c r="Z30" s="63" t="str">
        <f>IFERROR(VLOOKUP(MID(U30,X30,Y30-X30),[5]skilldef!$C:$D,2,FALSE),"-") &amp; " / " &amp; IFERROR(VLOOKUP(MID(U30,V30,W30-V30),[5]skilldef!$A:$B,2,FALSE),"-")</f>
        <v>- / -</v>
      </c>
      <c r="AA30" s="50"/>
      <c r="AB30" s="52"/>
      <c r="AC30" s="50"/>
    </row>
    <row r="31" spans="1:29" ht="43" customHeight="1" x14ac:dyDescent="0.15">
      <c r="A31" s="169">
        <v>59003216</v>
      </c>
      <c r="B31" s="134" t="s">
        <v>642</v>
      </c>
      <c r="C31" s="145">
        <v>1</v>
      </c>
      <c r="D31" s="145" t="s">
        <v>346</v>
      </c>
      <c r="E31" s="135" t="s">
        <v>652</v>
      </c>
      <c r="F31" s="135" t="s">
        <v>405</v>
      </c>
      <c r="G31" s="153" t="s">
        <v>418</v>
      </c>
      <c r="H31" s="63" t="str">
        <f t="shared" si="0"/>
        <v>[effect:enemy_message, val1:2.6, val2:3.9]</v>
      </c>
      <c r="I31" s="63">
        <f t="shared" si="1"/>
        <v>9</v>
      </c>
      <c r="J31" s="63">
        <f t="shared" si="2"/>
        <v>22</v>
      </c>
      <c r="K31" s="63" t="e">
        <f t="shared" si="3"/>
        <v>#VALUE!</v>
      </c>
      <c r="L31" s="63">
        <f t="shared" si="4"/>
        <v>32</v>
      </c>
      <c r="M31" s="63" t="str">
        <f>IFERROR(VLOOKUP(MID(H31,K31,L31-K31),[5]skilldef!$C:$D,2,FALSE),"-") &amp; " / " &amp; IFERROR(VLOOKUP(MID(H31,I31,J31-I31),[5]skilldef!$A:$B,2,FALSE),"-")</f>
        <v>- / -</v>
      </c>
      <c r="N31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31" s="48" t="str">
        <f>IFERROR(LEFT(N31,FIND("],",N31)+#REF!),N31)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31" s="63">
        <f t="shared" si="6"/>
        <v>9</v>
      </c>
      <c r="Q31" s="63">
        <f t="shared" si="7"/>
        <v>18</v>
      </c>
      <c r="R31" s="63">
        <f t="shared" si="8"/>
        <v>27</v>
      </c>
      <c r="S31" s="63">
        <f t="shared" si="9"/>
        <v>33</v>
      </c>
      <c r="T31" s="63" t="str">
        <f>IFERROR(VLOOKUP(MID(O31,R31,S31-R31),[5]skilldef!$C:$D,2,FALSE),"-") &amp; " / " &amp; IFERROR(VLOOKUP(MID(O31,P31,Q31-P31),[5]skilldef!$A:$B,2,FALSE),"-")</f>
        <v>自分自身に / -</v>
      </c>
      <c r="U31" s="48" t="str">
        <f t="shared" si="10"/>
        <v>[effect:force_change_block, new_block:damage, target:jammer, count:0, val:0.02],[effect:tolerance, target:myself, turn:-1, count:-1, tolerance_effect:all, animation:enemy_tolerance]</v>
      </c>
      <c r="V31" s="63">
        <f t="shared" si="11"/>
        <v>9</v>
      </c>
      <c r="W31" s="63">
        <f t="shared" si="12"/>
        <v>27</v>
      </c>
      <c r="X31" s="63">
        <f t="shared" si="13"/>
        <v>54</v>
      </c>
      <c r="Y31" s="63">
        <f t="shared" si="14"/>
        <v>45</v>
      </c>
      <c r="Z31" s="63" t="str">
        <f>IFERROR(VLOOKUP(MID(U31,X31,Y31-X31),[5]skilldef!$C:$D,2,FALSE),"-") &amp; " / " &amp; IFERROR(VLOOKUP(MID(U31,V31,W31-V31),[5]skilldef!$A:$B,2,FALSE),"-")</f>
        <v>- / -</v>
      </c>
      <c r="AA31" s="50"/>
      <c r="AB31" s="52"/>
      <c r="AC31" s="50"/>
    </row>
    <row r="32" spans="1:29" ht="43" customHeight="1" x14ac:dyDescent="0.15">
      <c r="A32" s="169">
        <v>59003217</v>
      </c>
      <c r="B32" s="134" t="s">
        <v>439</v>
      </c>
      <c r="C32" s="145">
        <v>1</v>
      </c>
      <c r="D32" s="145" t="s">
        <v>346</v>
      </c>
      <c r="E32" s="135" t="s">
        <v>481</v>
      </c>
      <c r="F32" s="135" t="s">
        <v>405</v>
      </c>
      <c r="G32" s="153" t="s">
        <v>419</v>
      </c>
      <c r="H32" s="63" t="str">
        <f t="shared" si="0"/>
        <v>[effect:enemy_message, val1:1.2, val2:3.9]</v>
      </c>
      <c r="I32" s="63">
        <f t="shared" si="1"/>
        <v>9</v>
      </c>
      <c r="J32" s="63">
        <f t="shared" si="2"/>
        <v>22</v>
      </c>
      <c r="K32" s="63" t="e">
        <f t="shared" si="3"/>
        <v>#VALUE!</v>
      </c>
      <c r="L32" s="63">
        <f t="shared" si="4"/>
        <v>32</v>
      </c>
      <c r="M32" s="63" t="str">
        <f>IFERROR(VLOOKUP(MID(H32,K32,L32-K32),[5]skilldef!$C:$D,2,FALSE),"-") &amp; " / " &amp; IFERROR(VLOOKUP(MID(H32,I32,J32-I32),[5]skilldef!$A:$B,2,FALSE),"-")</f>
        <v>- / -</v>
      </c>
      <c r="N32" s="63" t="str">
        <f t="shared" si="5"/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O32" s="48" t="str">
        <f>IFERROR(LEFT(N32,FIND("],",N32)+#REF!),N32)</f>
        <v>[effect:reduction, target:myself, reduction_target:unit_blue, turn:-1, val:0.3, animation:reduction_one03],[effect:force_change_block, new_block:damage, target:jammer, count:0, val:0.02],[effect:tolerance, target:myself, turn:-1, count:-1, tolerance_effect:all, animation:enemy_tolerance]</v>
      </c>
      <c r="P32" s="63">
        <f t="shared" si="6"/>
        <v>9</v>
      </c>
      <c r="Q32" s="63">
        <f t="shared" si="7"/>
        <v>18</v>
      </c>
      <c r="R32" s="63">
        <f t="shared" si="8"/>
        <v>27</v>
      </c>
      <c r="S32" s="63">
        <f t="shared" si="9"/>
        <v>33</v>
      </c>
      <c r="T32" s="63" t="str">
        <f>IFERROR(VLOOKUP(MID(O32,R32,S32-R32),[5]skilldef!$C:$D,2,FALSE),"-") &amp; " / " &amp; IFERROR(VLOOKUP(MID(O32,P32,Q32-P32),[5]skilldef!$A:$B,2,FALSE),"-")</f>
        <v>自分自身に / -</v>
      </c>
      <c r="U32" s="48" t="str">
        <f t="shared" si="10"/>
        <v>[effect:force_change_block, new_block:damage, target:jammer, count:0, val:0.02],[effect:tolerance, target:myself, turn:-1, count:-1, tolerance_effect:all, animation:enemy_tolerance]</v>
      </c>
      <c r="V32" s="63">
        <f t="shared" si="11"/>
        <v>9</v>
      </c>
      <c r="W32" s="63">
        <f t="shared" si="12"/>
        <v>27</v>
      </c>
      <c r="X32" s="63">
        <f t="shared" si="13"/>
        <v>54</v>
      </c>
      <c r="Y32" s="63">
        <f t="shared" si="14"/>
        <v>45</v>
      </c>
      <c r="Z32" s="63" t="str">
        <f>IFERROR(VLOOKUP(MID(U32,X32,Y32-X32),[5]skilldef!$C:$D,2,FALSE),"-") &amp; " / " &amp; IFERROR(VLOOKUP(MID(U32,V32,W32-V32),[5]skilldef!$A:$B,2,FALSE),"-")</f>
        <v>- / -</v>
      </c>
      <c r="AA32" s="50"/>
      <c r="AB32" s="52"/>
      <c r="AC32" s="50"/>
    </row>
    <row r="33" spans="1:29" ht="43" customHeight="1" x14ac:dyDescent="0.15">
      <c r="A33" s="169">
        <v>59003251</v>
      </c>
      <c r="B33" s="118" t="s">
        <v>643</v>
      </c>
      <c r="C33" s="119">
        <v>1</v>
      </c>
      <c r="D33" s="119" t="s">
        <v>126</v>
      </c>
      <c r="E33" s="120" t="s">
        <v>638</v>
      </c>
      <c r="F33" s="120" t="s">
        <v>421</v>
      </c>
      <c r="G33" s="150" t="s">
        <v>420</v>
      </c>
      <c r="H33" s="63" t="str">
        <f t="shared" si="0"/>
        <v>[effect:enemy_message, val1:1.5, val2:1.9]</v>
      </c>
      <c r="I33" s="63">
        <f t="shared" si="1"/>
        <v>9</v>
      </c>
      <c r="J33" s="63">
        <f t="shared" si="2"/>
        <v>22</v>
      </c>
      <c r="K33" s="63" t="e">
        <f t="shared" si="3"/>
        <v>#VALUE!</v>
      </c>
      <c r="L33" s="63">
        <f t="shared" si="4"/>
        <v>32</v>
      </c>
      <c r="M33" s="63" t="str">
        <f>IFERROR(VLOOKUP(MID(H33,K33,L33-K33),[5]skilldef!$C:$D,2,FALSE),"-") &amp; " / " &amp; IFERROR(VLOOKUP(MID(H33,I33,J33-I33),[5]skilldef!$A:$B,2,FALSE),"-")</f>
        <v>- / -</v>
      </c>
      <c r="N33" s="63" t="str">
        <f t="shared" si="5"/>
        <v>[effect:fix_speed, target:myself, turn:1],[effect:reduction, target:myself, reduction_target:unit_blue, turn:-1, val:0.3, animation:reduction_one03],[effect:tolerance, target:myself, turn:-1, count:-1, tolerance_effect:all, animation:enemy_tolerance]</v>
      </c>
      <c r="O33" s="48" t="str">
        <f>IFERROR(LEFT(N33,FIND("],",N33)+#REF!),N33)</f>
        <v>[effect:fix_speed, target:myself, turn:1],[effect:reduction, target:myself, reduction_target:unit_blue, turn:-1, val:0.3, animation:reduction_one03],[effect:tolerance, target:myself, turn:-1, count:-1, tolerance_effect:all, animation:enemy_tolerance]</v>
      </c>
      <c r="P33" s="63">
        <f t="shared" si="6"/>
        <v>9</v>
      </c>
      <c r="Q33" s="63">
        <f t="shared" si="7"/>
        <v>18</v>
      </c>
      <c r="R33" s="63">
        <f t="shared" si="8"/>
        <v>27</v>
      </c>
      <c r="S33" s="63">
        <f t="shared" si="9"/>
        <v>33</v>
      </c>
      <c r="T33" s="63" t="str">
        <f>IFERROR(VLOOKUP(MID(O33,R33,S33-R33),[5]skilldef!$C:$D,2,FALSE),"-") &amp; " / " &amp; IFERROR(VLOOKUP(MID(O33,P33,Q33-P33),[5]skilldef!$A:$B,2,FALSE),"-")</f>
        <v>自分自身に / 行動値設定</v>
      </c>
      <c r="U33" s="48" t="str">
        <f t="shared" si="10"/>
        <v>[effect:reduction, target:myself, reduction_target:unit_blue, turn:-1, val:0.3, animation:reduction_one03],[effect:tolerance, target:myself, turn:-1, count:-1, tolerance_effect:all, animation:enemy_tolerance]</v>
      </c>
      <c r="V33" s="63">
        <f t="shared" si="11"/>
        <v>9</v>
      </c>
      <c r="W33" s="63">
        <f t="shared" si="12"/>
        <v>18</v>
      </c>
      <c r="X33" s="63">
        <f t="shared" si="13"/>
        <v>27</v>
      </c>
      <c r="Y33" s="63">
        <f t="shared" si="14"/>
        <v>33</v>
      </c>
      <c r="Z33" s="63" t="str">
        <f>IFERROR(VLOOKUP(MID(U33,X33,Y33-X33),[5]skilldef!$C:$D,2,FALSE),"-") &amp; " / " &amp; IFERROR(VLOOKUP(MID(U33,V33,W33-V33),[5]skilldef!$A:$B,2,FALSE),"-")</f>
        <v>自分自身に / -</v>
      </c>
      <c r="AA33" s="50"/>
      <c r="AB33" s="52"/>
      <c r="AC33" s="50"/>
    </row>
    <row r="34" spans="1:29" ht="43" customHeight="1" x14ac:dyDescent="0.15">
      <c r="A34" s="169">
        <v>59003253</v>
      </c>
      <c r="B34" s="118" t="s">
        <v>585</v>
      </c>
      <c r="C34" s="119">
        <v>1</v>
      </c>
      <c r="D34" s="119" t="s">
        <v>126</v>
      </c>
      <c r="E34" s="120" t="s">
        <v>561</v>
      </c>
      <c r="F34" s="120" t="s">
        <v>580</v>
      </c>
      <c r="G34" s="150" t="s">
        <v>444</v>
      </c>
      <c r="H34" s="63" t="str">
        <f t="shared" si="0"/>
        <v>[effect:enemy_message, val1:1.2, val2:2.3]</v>
      </c>
      <c r="I34" s="63">
        <f t="shared" si="1"/>
        <v>9</v>
      </c>
      <c r="J34" s="63">
        <f t="shared" si="2"/>
        <v>22</v>
      </c>
      <c r="K34" s="63" t="e">
        <f t="shared" si="3"/>
        <v>#VALUE!</v>
      </c>
      <c r="L34" s="63">
        <f t="shared" si="4"/>
        <v>32</v>
      </c>
      <c r="M34" s="63" t="str">
        <f>IFERROR(VLOOKUP(MID(H34,K34,L34-K34),[5]skilldef!$C:$D,2,FALSE),"-") &amp; " / " &amp; IFERROR(VLOOKUP(MID(H34,I34,J34-I34),[5]skilldef!$A:$B,2,FALSE),"-")</f>
        <v>- / -</v>
      </c>
      <c r="N34" s="63" t="str">
        <f t="shared" si="5"/>
        <v>[effect:change_range_block, block_change:1, base_type:0, square_count:5, position01:20, value_h01:1, value_w01:5, new_block:damage, target:normal, count:0, val:0.02, animation:change_range_block],[effect:rush, count:1, val:1.0]</v>
      </c>
      <c r="O34" s="48" t="str">
        <f>IFERROR(LEFT(N34,FIND("],",N34)+#REF!),N34)</f>
        <v>[effect:change_range_block, block_change:1, base_type:0, square_count:5, position01:20, value_h01:1, value_w01:5, new_block:damage, target:normal, count:0, val:0.02, animation:change_range_block],[effect:rush, count:1, val:1.0]</v>
      </c>
      <c r="P34" s="63">
        <f t="shared" si="6"/>
        <v>9</v>
      </c>
      <c r="Q34" s="63">
        <f t="shared" si="7"/>
        <v>27</v>
      </c>
      <c r="R34" s="63">
        <f t="shared" si="8"/>
        <v>140</v>
      </c>
      <c r="S34" s="63">
        <f t="shared" si="9"/>
        <v>43</v>
      </c>
      <c r="T34" s="63" t="str">
        <f>IFERROR(VLOOKUP(MID(O34,R34,S34-R34),[5]skilldef!$C:$D,2,FALSE),"-") &amp; " / " &amp; IFERROR(VLOOKUP(MID(O34,P34,Q34-P34),[5]skilldef!$A:$B,2,FALSE),"-")</f>
        <v>- / -</v>
      </c>
      <c r="U34" s="48" t="str">
        <f t="shared" si="10"/>
        <v>[effect:rush, count:1, val:1.0]</v>
      </c>
      <c r="V34" s="63">
        <f t="shared" si="11"/>
        <v>9</v>
      </c>
      <c r="W34" s="63">
        <f t="shared" si="12"/>
        <v>13</v>
      </c>
      <c r="X34" s="63" t="e">
        <f t="shared" si="13"/>
        <v>#VALUE!</v>
      </c>
      <c r="Y34" s="63">
        <f t="shared" si="14"/>
        <v>22</v>
      </c>
      <c r="Z34" s="63" t="str">
        <f>IFERROR(VLOOKUP(MID(U34,X34,Y34-X34),[5]skilldef!$C:$D,2,FALSE),"-") &amp; " / " &amp; IFERROR(VLOOKUP(MID(U34,V34,W34-V34),[5]skilldef!$A:$B,2,FALSE),"-")</f>
        <v>- / 連続攻撃</v>
      </c>
      <c r="AA34" s="50"/>
      <c r="AB34" s="52"/>
      <c r="AC34" s="50"/>
    </row>
    <row r="35" spans="1:29" ht="43" customHeight="1" thickBot="1" x14ac:dyDescent="0.2">
      <c r="A35" s="170">
        <v>59003257</v>
      </c>
      <c r="B35" s="171" t="s">
        <v>412</v>
      </c>
      <c r="C35" s="172">
        <v>1</v>
      </c>
      <c r="D35" s="172" t="s">
        <v>126</v>
      </c>
      <c r="E35" s="173" t="s">
        <v>482</v>
      </c>
      <c r="F35" s="173" t="s">
        <v>413</v>
      </c>
      <c r="G35" s="174" t="s">
        <v>443</v>
      </c>
      <c r="H35" s="63" t="str">
        <f t="shared" si="0"/>
        <v>[effect:enemy_message, val1:1.2, val2:1.2]</v>
      </c>
      <c r="I35" s="63">
        <f t="shared" si="1"/>
        <v>9</v>
      </c>
      <c r="J35" s="63">
        <f t="shared" si="2"/>
        <v>22</v>
      </c>
      <c r="K35" s="63" t="e">
        <f t="shared" si="3"/>
        <v>#VALUE!</v>
      </c>
      <c r="L35" s="63">
        <f t="shared" si="4"/>
        <v>32</v>
      </c>
      <c r="M35" s="63" t="str">
        <f>IFERROR(VLOOKUP(MID(H35,K35,L35-K35),[5]skilldef!$C:$D,2,FALSE),"-") &amp; " / " &amp; IFERROR(VLOOKUP(MID(H35,I35,J35-I35),[5]skilldef!$A:$B,2,FALSE),"-")</f>
        <v>- / -</v>
      </c>
      <c r="N35" s="63" t="str">
        <f t="shared" si="5"/>
        <v>[effect:damage_fix_absolute, target:unit_one, val:1111],[effect:damage_fix_absolute, target:unit_one, val:1111],[effect:damage_fix_absolute, target:unit_one, val:1111],[effect:damage_fix_absolute, target:unit_one, val:1111],[effect:damage_fix_absolute, target:unit_one, val:1111],[effect:damage_fix_absolute, target:unit_one, val:4444]</v>
      </c>
      <c r="O35" s="48" t="str">
        <f>IFERROR(LEFT(N35,FIND("],",N35)+#REF!),N35)</f>
        <v>[effect:damage_fix_absolute, target:unit_one, val:1111],[effect:damage_fix_absolute, target:unit_one, val:1111],[effect:damage_fix_absolute, target:unit_one, val:1111],[effect:damage_fix_absolute, target:unit_one, val:1111],[effect:damage_fix_absolute, target:unit_one, val:1111],[effect:damage_fix_absolute, target:unit_one, val:4444]</v>
      </c>
      <c r="P35" s="63">
        <f t="shared" si="6"/>
        <v>9</v>
      </c>
      <c r="Q35" s="63">
        <f t="shared" si="7"/>
        <v>28</v>
      </c>
      <c r="R35" s="63">
        <f t="shared" si="8"/>
        <v>37</v>
      </c>
      <c r="S35" s="63">
        <f t="shared" si="9"/>
        <v>45</v>
      </c>
      <c r="T35" s="63" t="str">
        <f>IFERROR(VLOOKUP(MID(O35,R35,S35-R35),[5]skilldef!$C:$D,2,FALSE),"-") &amp; " / " &amp; IFERROR(VLOOKUP(MID(O35,P35,Q35-P35),[5]skilldef!$A:$B,2,FALSE),"-")</f>
        <v>味方単体に / -</v>
      </c>
      <c r="U35" s="48" t="str">
        <f t="shared" si="10"/>
        <v>[effect:damage_fix_absolute, target:unit_one, val:1111],[effect:damage_fix_absolute, target:unit_one, val:1111],[effect:damage_fix_absolute, target:unit_one, val:1111],[effect:damage_fix_absolute, target:unit_one, val:1111],[effect:damage_fix_absolute, target:unit_one, val:4444]</v>
      </c>
      <c r="V35" s="63">
        <f t="shared" si="11"/>
        <v>9</v>
      </c>
      <c r="W35" s="63">
        <f t="shared" si="12"/>
        <v>28</v>
      </c>
      <c r="X35" s="63">
        <f t="shared" si="13"/>
        <v>37</v>
      </c>
      <c r="Y35" s="63">
        <f t="shared" si="14"/>
        <v>45</v>
      </c>
      <c r="Z35" s="63" t="str">
        <f>IFERROR(VLOOKUP(MID(U35,X35,Y35-X35),[5]skilldef!$C:$D,2,FALSE),"-") &amp; " / " &amp; IFERROR(VLOOKUP(MID(U35,V35,W35-V35),[5]skilldef!$A:$B,2,FALSE),"-")</f>
        <v>味方単体に / -</v>
      </c>
      <c r="AA35" s="50"/>
      <c r="AB35" s="52"/>
      <c r="AC35" s="50"/>
    </row>
    <row r="36" spans="1:29" ht="43" customHeight="1" x14ac:dyDescent="0.15">
      <c r="A36" s="124">
        <v>59003501</v>
      </c>
      <c r="B36" s="125" t="s">
        <v>378</v>
      </c>
      <c r="C36" s="126">
        <v>1</v>
      </c>
      <c r="D36" s="126" t="s">
        <v>126</v>
      </c>
      <c r="E36" s="127" t="s">
        <v>483</v>
      </c>
      <c r="F36" s="127" t="s">
        <v>253</v>
      </c>
      <c r="G36" s="151"/>
      <c r="H36" s="63" t="str">
        <f t="shared" ref="H36:H45" si="15">IFERROR(LEFT(B36,FIND("],",B36)),B36)</f>
        <v>[effect:enemy_message, val1:1.3, val2:1.2]</v>
      </c>
      <c r="I36" s="63">
        <f t="shared" ref="I36:I45" si="16">FIND("effect:",H36)+7</f>
        <v>9</v>
      </c>
      <c r="J36" s="63">
        <f t="shared" ref="J36:J45" si="17">IFERROR(FIND(",",H36),LEN(H36))</f>
        <v>22</v>
      </c>
      <c r="K36" s="63" t="e">
        <f t="shared" ref="K36:K45" si="18">FIND("target:",H36)+7</f>
        <v>#VALUE!</v>
      </c>
      <c r="L36" s="63">
        <f t="shared" ref="L36:L45" si="19">FIND(",",H36,J36+1)</f>
        <v>32</v>
      </c>
      <c r="M36" s="63" t="str">
        <f>IFERROR(VLOOKUP(MID(H36,K36,L36-K36),[5]skilldef!$C:$D,2,FALSE),"-") &amp; " / " &amp; IFERROR(VLOOKUP(MID(H36,I36,J36-I36),[5]skilldef!$A:$B,2,FALSE),"-")</f>
        <v>- / -</v>
      </c>
      <c r="N36" s="63" t="str">
        <f t="shared" ref="N36:N45" si="20">IFERROR(RIGHT(B36,LEN(B36)-FIND("],",B36)-1),"none")</f>
        <v>[effect:fix_speed, target:myself, turn:1],[effect:tolerance, target:myself, turn:-1, count:-1, tolerance_effect:all, animation:enemy_tolerance]</v>
      </c>
      <c r="O36" s="48" t="str">
        <f>IFERROR(LEFT(N36,FIND("],",N36)+#REF!),N36)</f>
        <v>[effect:fix_speed, target:myself, turn:1],[effect:tolerance, target:myself, turn:-1, count:-1, tolerance_effect:all, animation:enemy_tolerance]</v>
      </c>
      <c r="P36" s="63">
        <f t="shared" ref="P36:P45" si="21">FIND("effect:",O36)+7</f>
        <v>9</v>
      </c>
      <c r="Q36" s="63">
        <f t="shared" ref="Q36:Q45" si="22">IFERROR(FIND(",",O36),LEN(O36))</f>
        <v>18</v>
      </c>
      <c r="R36" s="63">
        <f t="shared" ref="R36:R45" si="23">FIND("target:",O36)+7</f>
        <v>27</v>
      </c>
      <c r="S36" s="63">
        <f t="shared" ref="S36:S45" si="24">FIND(",",O36,Q36+1)</f>
        <v>33</v>
      </c>
      <c r="T36" s="63" t="str">
        <f>IFERROR(VLOOKUP(MID(O36,R36,S36-R36),[5]skilldef!$C:$D,2,FALSE),"-") &amp; " / " &amp; IFERROR(VLOOKUP(MID(O36,P36,Q36-P36),[5]skilldef!$A:$B,2,FALSE),"-")</f>
        <v>自分自身に / 行動値設定</v>
      </c>
      <c r="U36" s="48" t="str">
        <f t="shared" ref="U36:U45" si="25">IFERROR(RIGHT(N36,LEN(N36)-FIND("],",N36)-1),"none")</f>
        <v>[effect:tolerance, target:myself, turn:-1, count:-1, tolerance_effect:all, animation:enemy_tolerance]</v>
      </c>
      <c r="V36" s="63">
        <f t="shared" ref="V36:V45" si="26">FIND("effect:",U36)+7</f>
        <v>9</v>
      </c>
      <c r="W36" s="63">
        <f t="shared" ref="W36:W45" si="27">IFERROR(FIND(",",U36),LEN(U36))</f>
        <v>18</v>
      </c>
      <c r="X36" s="63">
        <f t="shared" ref="X36:X45" si="28">FIND("target:",U36)+7</f>
        <v>27</v>
      </c>
      <c r="Y36" s="63">
        <f t="shared" ref="Y36:Y45" si="29">FIND(",",U36,W36+1)</f>
        <v>33</v>
      </c>
      <c r="Z36" s="63" t="str">
        <f>IFERROR(VLOOKUP(MID(U36,X36,Y36-X36),[5]skilldef!$C:$D,2,FALSE),"-") &amp; " / " &amp; IFERROR(VLOOKUP(MID(U36,V36,W36-V36),[5]skilldef!$A:$B,2,FALSE),"-")</f>
        <v>自分自身に / 状態異常耐性</v>
      </c>
      <c r="AA36" s="50"/>
      <c r="AB36" s="52"/>
      <c r="AC36" s="50"/>
    </row>
    <row r="37" spans="1:29" ht="43" customHeight="1" x14ac:dyDescent="0.15">
      <c r="A37" s="117">
        <v>59003502</v>
      </c>
      <c r="B37" s="47" t="s">
        <v>338</v>
      </c>
      <c r="C37" s="50">
        <v>1</v>
      </c>
      <c r="D37" s="50" t="s">
        <v>359</v>
      </c>
      <c r="E37" s="51" t="s">
        <v>484</v>
      </c>
      <c r="F37" s="51" t="s">
        <v>347</v>
      </c>
      <c r="G37" s="150" t="s">
        <v>299</v>
      </c>
      <c r="H37" s="63" t="str">
        <f t="shared" si="15"/>
        <v>[effect:enemy_message, val1:1.2, val2:2.6]</v>
      </c>
      <c r="I37" s="63">
        <f t="shared" si="16"/>
        <v>9</v>
      </c>
      <c r="J37" s="63">
        <f t="shared" si="17"/>
        <v>22</v>
      </c>
      <c r="K37" s="63" t="e">
        <f t="shared" si="18"/>
        <v>#VALUE!</v>
      </c>
      <c r="L37" s="63">
        <f t="shared" si="19"/>
        <v>32</v>
      </c>
      <c r="M37" s="63" t="str">
        <f>IFERROR(VLOOKUP(MID(H37,K37,L37-K37),[5]skilldef!$C:$D,2,FALSE),"-") &amp; " / " &amp; IFERROR(VLOOKUP(MID(H37,I37,J37-I37),[5]skilldef!$A:$B,2,FALSE),"-")</f>
        <v>- / -</v>
      </c>
      <c r="N37" s="63" t="str">
        <f t="shared" si="20"/>
        <v>[effect:hungup, target:unit_blue, turn:2, rate:1, animation:hungup02],[effect:rush, count:3, val:0.35]</v>
      </c>
      <c r="O37" s="48" t="str">
        <f>IFERROR(LEFT(N37,FIND("],",N37)+#REF!),N37)</f>
        <v>[effect:hungup, target:unit_blue, turn:2, rate:1, animation:hungup02],[effect:rush, count:3, val:0.35]</v>
      </c>
      <c r="P37" s="63">
        <f t="shared" si="21"/>
        <v>9</v>
      </c>
      <c r="Q37" s="63">
        <f t="shared" si="22"/>
        <v>15</v>
      </c>
      <c r="R37" s="63">
        <f t="shared" si="23"/>
        <v>24</v>
      </c>
      <c r="S37" s="63">
        <f t="shared" si="24"/>
        <v>33</v>
      </c>
      <c r="T37" s="63" t="str">
        <f>IFERROR(VLOOKUP(MID(O37,R37,S37-R37),[5]skilldef!$C:$D,2,FALSE),"-") &amp; " / " &amp; IFERROR(VLOOKUP(MID(O37,P37,Q37-P37),[5]skilldef!$A:$B,2,FALSE),"-")</f>
        <v>青の味方に / ハングアップ</v>
      </c>
      <c r="U37" s="48" t="str">
        <f t="shared" si="25"/>
        <v>[effect:rush, count:3, val:0.35]</v>
      </c>
      <c r="V37" s="63">
        <f t="shared" si="26"/>
        <v>9</v>
      </c>
      <c r="W37" s="63">
        <f t="shared" si="27"/>
        <v>13</v>
      </c>
      <c r="X37" s="63" t="e">
        <f t="shared" si="28"/>
        <v>#VALUE!</v>
      </c>
      <c r="Y37" s="63">
        <f t="shared" si="29"/>
        <v>22</v>
      </c>
      <c r="Z37" s="63" t="str">
        <f>IFERROR(VLOOKUP(MID(U37,X37,Y37-X37),[5]skilldef!$C:$D,2,FALSE),"-") &amp; " / " &amp; IFERROR(VLOOKUP(MID(U37,V37,W37-V37),[5]skilldef!$A:$B,2,FALSE),"-")</f>
        <v>- / 連続攻撃</v>
      </c>
      <c r="AA37" s="50"/>
      <c r="AB37" s="52"/>
      <c r="AC37" s="50"/>
    </row>
    <row r="38" spans="1:29" ht="43" customHeight="1" x14ac:dyDescent="0.15">
      <c r="A38" s="117">
        <v>59003503</v>
      </c>
      <c r="B38" s="47" t="s">
        <v>447</v>
      </c>
      <c r="C38" s="50">
        <v>1</v>
      </c>
      <c r="D38" s="50" t="s">
        <v>359</v>
      </c>
      <c r="E38" s="148" t="s">
        <v>485</v>
      </c>
      <c r="F38" s="51" t="s">
        <v>445</v>
      </c>
      <c r="G38" s="150" t="s">
        <v>299</v>
      </c>
      <c r="H38" s="63" t="str">
        <f t="shared" ref="H38" si="30">IFERROR(LEFT(B38,FIND("],",B38)),B38)</f>
        <v>[effect:enemy_message, val1:1.2, val2:1.2]</v>
      </c>
      <c r="I38" s="63">
        <f t="shared" ref="I38" si="31">FIND("effect:",H38)+7</f>
        <v>9</v>
      </c>
      <c r="J38" s="63">
        <f t="shared" ref="J38" si="32">IFERROR(FIND(",",H38),LEN(H38))</f>
        <v>22</v>
      </c>
      <c r="K38" s="63" t="e">
        <f t="shared" ref="K38" si="33">FIND("target:",H38)+7</f>
        <v>#VALUE!</v>
      </c>
      <c r="L38" s="63">
        <f t="shared" ref="L38" si="34">FIND(",",H38,J38+1)</f>
        <v>32</v>
      </c>
      <c r="M38" s="63" t="str">
        <f>IFERROR(VLOOKUP(MID(H38,K38,L38-K38),[5]skilldef!$C:$D,2,FALSE),"-") &amp; " / " &amp; IFERROR(VLOOKUP(MID(H38,I38,J38-I38),[5]skilldef!$A:$B,2,FALSE),"-")</f>
        <v>- / -</v>
      </c>
      <c r="N38" s="63" t="str">
        <f t="shared" ref="N38" si="35">IFERROR(RIGHT(B38,LEN(B38)-FIND("],",B38)-1),"none")</f>
        <v>[effect:critical, val:1.1, animation:enemy_critical]</v>
      </c>
      <c r="O38" s="48" t="str">
        <f>IFERROR(LEFT(N38,FIND("],",N38)+#REF!),N38)</f>
        <v>[effect:critical, val:1.1, animation:enemy_critical]</v>
      </c>
      <c r="P38" s="63">
        <f t="shared" ref="P38" si="36">FIND("effect:",O38)+7</f>
        <v>9</v>
      </c>
      <c r="Q38" s="63">
        <f t="shared" ref="Q38" si="37">IFERROR(FIND(",",O38),LEN(O38))</f>
        <v>17</v>
      </c>
      <c r="R38" s="63" t="e">
        <f t="shared" ref="R38" si="38">FIND("target:",O38)+7</f>
        <v>#VALUE!</v>
      </c>
      <c r="S38" s="63">
        <f t="shared" ref="S38" si="39">FIND(",",O38,Q38+1)</f>
        <v>26</v>
      </c>
      <c r="T38" s="63" t="str">
        <f>IFERROR(VLOOKUP(MID(O38,R38,S38-R38),[5]skilldef!$C:$D,2,FALSE),"-") &amp; " / " &amp; IFERROR(VLOOKUP(MID(O38,P38,Q38-P38),[5]skilldef!$A:$B,2,FALSE),"-")</f>
        <v>- / 大攻撃</v>
      </c>
      <c r="U38" s="48" t="str">
        <f t="shared" ref="U38" si="40">IFERROR(RIGHT(N38,LEN(N38)-FIND("],",N38)-1),"none")</f>
        <v>none</v>
      </c>
      <c r="V38" s="63" t="e">
        <f t="shared" ref="V38" si="41">FIND("effect:",U38)+7</f>
        <v>#VALUE!</v>
      </c>
      <c r="W38" s="63">
        <f t="shared" ref="W38" si="42">IFERROR(FIND(",",U38),LEN(U38))</f>
        <v>4</v>
      </c>
      <c r="X38" s="63" t="e">
        <f t="shared" ref="X38" si="43">FIND("target:",U38)+7</f>
        <v>#VALUE!</v>
      </c>
      <c r="Y38" s="63" t="e">
        <f t="shared" ref="Y38" si="44">FIND(",",U38,W38+1)</f>
        <v>#VALUE!</v>
      </c>
      <c r="Z38" s="63" t="str">
        <f>IFERROR(VLOOKUP(MID(U38,X38,Y38-X38),[5]skilldef!$C:$D,2,FALSE),"-") &amp; " / " &amp; IFERROR(VLOOKUP(MID(U38,V38,W38-V38),[5]skilldef!$A:$B,2,FALSE),"-")</f>
        <v>- / -</v>
      </c>
      <c r="AA38" s="50"/>
      <c r="AB38" s="52"/>
      <c r="AC38" s="50"/>
    </row>
    <row r="39" spans="1:29" ht="43" customHeight="1" x14ac:dyDescent="0.15">
      <c r="A39" s="117">
        <v>59003504</v>
      </c>
      <c r="B39" s="47" t="s">
        <v>550</v>
      </c>
      <c r="C39" s="50">
        <v>1</v>
      </c>
      <c r="D39" s="50" t="s">
        <v>126</v>
      </c>
      <c r="E39" s="51" t="s">
        <v>486</v>
      </c>
      <c r="F39" s="51" t="s">
        <v>536</v>
      </c>
      <c r="G39" s="150" t="s">
        <v>300</v>
      </c>
      <c r="H39" s="63" t="str">
        <f t="shared" si="15"/>
        <v>[effect:enemy_message, val1:1.2, val2:2.3]</v>
      </c>
      <c r="I39" s="63">
        <f t="shared" si="16"/>
        <v>9</v>
      </c>
      <c r="J39" s="63">
        <f t="shared" si="17"/>
        <v>22</v>
      </c>
      <c r="K39" s="63" t="e">
        <f t="shared" si="18"/>
        <v>#VALUE!</v>
      </c>
      <c r="L39" s="63">
        <f t="shared" si="19"/>
        <v>32</v>
      </c>
      <c r="M39" s="63" t="str">
        <f>IFERROR(VLOOKUP(MID(H39,K39,L39-K39),[5]skilldef!$C:$D,2,FALSE),"-") &amp; " / " &amp; IFERROR(VLOOKUP(MID(H39,I39,J39-I39),[5]skilldef!$A:$B,2,FALSE),"-")</f>
        <v>- / -</v>
      </c>
      <c r="N39" s="63" t="str">
        <f t="shared" si="20"/>
        <v>[effect:change_range_block, block_change:1, base_type:0, square_count:3, position01:3, value_h01:1, value_w01:1, position02:6, value_h02:1, value_w02:2, new_block:damage, target:block_all, ignore01:block_positive, count:0, val:0.05, animation:change_range_block],[effect:rush, count:1, val:1.0]</v>
      </c>
      <c r="O39" s="48" t="str">
        <f>IFERROR(LEFT(N39,FIND("],",N39)+#REF!),N39)</f>
        <v>[effect:change_range_block, block_change:1, base_type:0, square_count:3, position01:3, value_h01:1, value_w01:1, position02:6, value_h02:1, value_w02:2, new_block:damage, target:block_all, ignore01:block_positive, count:0, val:0.05, animation:change_range_block],[effect:rush, count:1, val:1.0]</v>
      </c>
      <c r="P39" s="63">
        <f t="shared" si="21"/>
        <v>9</v>
      </c>
      <c r="Q39" s="63">
        <f t="shared" si="22"/>
        <v>27</v>
      </c>
      <c r="R39" s="63">
        <f t="shared" si="23"/>
        <v>179</v>
      </c>
      <c r="S39" s="63">
        <f t="shared" si="24"/>
        <v>43</v>
      </c>
      <c r="T39" s="63" t="str">
        <f>IFERROR(VLOOKUP(MID(O39,R39,S39-R39),[5]skilldef!$C:$D,2,FALSE),"-") &amp; " / " &amp; IFERROR(VLOOKUP(MID(O39,P39,Q39-P39),[5]skilldef!$A:$B,2,FALSE),"-")</f>
        <v>- / -</v>
      </c>
      <c r="U39" s="48" t="str">
        <f t="shared" si="25"/>
        <v>[effect:rush, count:1, val:1.0]</v>
      </c>
      <c r="V39" s="63">
        <f t="shared" si="26"/>
        <v>9</v>
      </c>
      <c r="W39" s="63">
        <f t="shared" si="27"/>
        <v>13</v>
      </c>
      <c r="X39" s="63" t="e">
        <f t="shared" si="28"/>
        <v>#VALUE!</v>
      </c>
      <c r="Y39" s="63">
        <f t="shared" si="29"/>
        <v>22</v>
      </c>
      <c r="Z39" s="63" t="str">
        <f>IFERROR(VLOOKUP(MID(U39,X39,Y39-X39),[5]skilldef!$C:$D,2,FALSE),"-") &amp; " / " &amp; IFERROR(VLOOKUP(MID(U39,V39,W39-V39),[5]skilldef!$A:$B,2,FALSE),"-")</f>
        <v>- / 連続攻撃</v>
      </c>
      <c r="AA39" s="50"/>
      <c r="AB39" s="52"/>
      <c r="AC39" s="50"/>
    </row>
    <row r="40" spans="1:29" ht="43" customHeight="1" x14ac:dyDescent="0.15">
      <c r="A40" s="117">
        <v>59003505</v>
      </c>
      <c r="B40" s="47" t="s">
        <v>353</v>
      </c>
      <c r="C40" s="50">
        <v>1</v>
      </c>
      <c r="D40" s="50" t="s">
        <v>126</v>
      </c>
      <c r="E40" s="51" t="s">
        <v>487</v>
      </c>
      <c r="F40" s="51" t="s">
        <v>301</v>
      </c>
      <c r="G40" s="150" t="s">
        <v>303</v>
      </c>
      <c r="H40" s="63" t="str">
        <f t="shared" si="15"/>
        <v>[effect:enemy_message, val1:1.2, val2:1.4]</v>
      </c>
      <c r="I40" s="63">
        <f t="shared" si="16"/>
        <v>9</v>
      </c>
      <c r="J40" s="63">
        <f t="shared" si="17"/>
        <v>22</v>
      </c>
      <c r="K40" s="63" t="e">
        <f t="shared" si="18"/>
        <v>#VALUE!</v>
      </c>
      <c r="L40" s="63">
        <f t="shared" si="19"/>
        <v>32</v>
      </c>
      <c r="M40" s="63" t="str">
        <f>IFERROR(VLOOKUP(MID(H40,K40,L40-K40),[5]skilldef!$C:$D,2,FALSE),"-") &amp; " / " &amp; IFERROR(VLOOKUP(MID(H40,I40,J40-I40),[5]skilldef!$A:$B,2,FALSE),"-")</f>
        <v>- / -</v>
      </c>
      <c r="N40" s="63" t="str">
        <f t="shared" si="20"/>
        <v>[effect:break_attack_fix, target:unit_one, val:100, lowest_val:7000, count:-1, block01:damage]</v>
      </c>
      <c r="O40" s="48" t="str">
        <f>IFERROR(LEFT(N40,FIND("],",N40)+#REF!),N40)</f>
        <v>[effect:break_attack_fix, target:unit_one, val:100, lowest_val:7000, count:-1, block01:damage]</v>
      </c>
      <c r="P40" s="63">
        <f t="shared" si="21"/>
        <v>9</v>
      </c>
      <c r="Q40" s="63">
        <f t="shared" si="22"/>
        <v>25</v>
      </c>
      <c r="R40" s="63">
        <f t="shared" si="23"/>
        <v>34</v>
      </c>
      <c r="S40" s="63">
        <f t="shared" si="24"/>
        <v>42</v>
      </c>
      <c r="T40" s="63" t="str">
        <f>IFERROR(VLOOKUP(MID(O40,R40,S40-R40),[5]skilldef!$C:$D,2,FALSE),"-") &amp; " / " &amp; IFERROR(VLOOKUP(MID(O40,P40,Q40-P40),[5]skilldef!$A:$B,2,FALSE),"-")</f>
        <v>味方単体に / -</v>
      </c>
      <c r="U40" s="48" t="str">
        <f t="shared" si="25"/>
        <v>none</v>
      </c>
      <c r="V40" s="63" t="e">
        <f t="shared" si="26"/>
        <v>#VALUE!</v>
      </c>
      <c r="W40" s="63">
        <f t="shared" si="27"/>
        <v>4</v>
      </c>
      <c r="X40" s="63" t="e">
        <f t="shared" si="28"/>
        <v>#VALUE!</v>
      </c>
      <c r="Y40" s="63" t="e">
        <f t="shared" si="29"/>
        <v>#VALUE!</v>
      </c>
      <c r="Z40" s="63" t="str">
        <f>IFERROR(VLOOKUP(MID(U40,X40,Y40-X40),[5]skilldef!$C:$D,2,FALSE),"-") &amp; " / " &amp; IFERROR(VLOOKUP(MID(U40,V40,W40-V40),[5]skilldef!$A:$B,2,FALSE),"-")</f>
        <v>- / -</v>
      </c>
      <c r="AA40" s="50"/>
      <c r="AB40" s="52"/>
      <c r="AC40" s="50"/>
    </row>
    <row r="41" spans="1:29" ht="43" customHeight="1" x14ac:dyDescent="0.15">
      <c r="A41" s="117">
        <v>59003506</v>
      </c>
      <c r="B41" s="47" t="s">
        <v>551</v>
      </c>
      <c r="C41" s="50">
        <v>1</v>
      </c>
      <c r="D41" s="50" t="s">
        <v>126</v>
      </c>
      <c r="E41" s="51" t="s">
        <v>488</v>
      </c>
      <c r="F41" s="51" t="s">
        <v>537</v>
      </c>
      <c r="G41" s="150" t="s">
        <v>304</v>
      </c>
      <c r="H41" s="63" t="str">
        <f t="shared" si="15"/>
        <v>[effect:enemy_message, val1:1.2, val2:3.2]</v>
      </c>
      <c r="I41" s="63">
        <f t="shared" si="16"/>
        <v>9</v>
      </c>
      <c r="J41" s="63">
        <f t="shared" si="17"/>
        <v>22</v>
      </c>
      <c r="K41" s="63" t="e">
        <f t="shared" si="18"/>
        <v>#VALUE!</v>
      </c>
      <c r="L41" s="63">
        <f t="shared" si="19"/>
        <v>32</v>
      </c>
      <c r="M41" s="63" t="str">
        <f>IFERROR(VLOOKUP(MID(H41,K41,L41-K41),[5]skilldef!$C:$D,2,FALSE),"-") &amp; " / " &amp; IFERROR(VLOOKUP(MID(H41,I41,J41-I41),[5]skilldef!$A:$B,2,FALSE),"-")</f>
        <v>- / -</v>
      </c>
      <c r="N41" s="63" t="str">
        <f t="shared" si="20"/>
        <v>[effect:change_range_block, block_change:1, base_type:0, square_count:3, position01:3, value_h01:1, value_w01:1, position02:5, value_h02:1,  value_w02:1, position03:6, value_h03:1, value_w03:3, new_block:time_bomb, target:block_all, ignore01:block_positive, count:0, val:0.1, min_time_count:3, max_time_count:3, animation:change_range_block],[effect:rush, count:1, val:1.0],[effect:enhance_enemy, target:myself, turn:1, status:attack, val:0.3, calc:mul, animation:enemy_enhance_attack]</v>
      </c>
      <c r="O41" s="48" t="str">
        <f>IFERROR(LEFT(N41,FIND("],",N41)+#REF!),N41)</f>
        <v>[effect:change_range_block, block_change:1, base_type:0, square_count:3, position01:3, value_h01:1, value_w01:1, position02:5, value_h02:1,  value_w02:1, position03:6, value_h03:1, value_w03:3, new_block:time_bomb, target:block_all, ignore01:block_positive, count:0, val:0.1, min_time_count:3, max_time_count:3, animation:change_range_block],[effect:rush, count:1, val:1.0],[effect:enhance_enemy, target:myself, turn:1, status:attack, val:0.3, calc:mul, animation:enemy_enhance_attack]</v>
      </c>
      <c r="P41" s="63">
        <f t="shared" si="21"/>
        <v>9</v>
      </c>
      <c r="Q41" s="63">
        <f t="shared" si="22"/>
        <v>27</v>
      </c>
      <c r="R41" s="63">
        <f t="shared" si="23"/>
        <v>223</v>
      </c>
      <c r="S41" s="63">
        <f t="shared" si="24"/>
        <v>43</v>
      </c>
      <c r="T41" s="63" t="str">
        <f>IFERROR(VLOOKUP(MID(O41,R41,S41-R41),[5]skilldef!$C:$D,2,FALSE),"-") &amp; " / " &amp; IFERROR(VLOOKUP(MID(O41,P41,Q41-P41),[5]skilldef!$A:$B,2,FALSE),"-")</f>
        <v>- / -</v>
      </c>
      <c r="U41" s="48" t="str">
        <f t="shared" si="25"/>
        <v>[effect:rush, count:1, val:1.0],[effect:enhance_enemy, target:myself, turn:1, status:attack, val:0.3, calc:mul, animation:enemy_enhance_attack]</v>
      </c>
      <c r="V41" s="63">
        <f t="shared" si="26"/>
        <v>9</v>
      </c>
      <c r="W41" s="63">
        <f t="shared" si="27"/>
        <v>13</v>
      </c>
      <c r="X41" s="63">
        <f t="shared" si="28"/>
        <v>63</v>
      </c>
      <c r="Y41" s="63">
        <f t="shared" si="29"/>
        <v>22</v>
      </c>
      <c r="Z41" s="63" t="str">
        <f>IFERROR(VLOOKUP(MID(U41,X41,Y41-X41),[5]skilldef!$C:$D,2,FALSE),"-") &amp; " / " &amp; IFERROR(VLOOKUP(MID(U41,V41,W41-V41),[5]skilldef!$A:$B,2,FALSE),"-")</f>
        <v>- / 連続攻撃</v>
      </c>
      <c r="AA41" s="50"/>
      <c r="AB41" s="52"/>
      <c r="AC41" s="50"/>
    </row>
    <row r="42" spans="1:29" ht="43" customHeight="1" x14ac:dyDescent="0.15">
      <c r="A42" s="117">
        <v>59003507</v>
      </c>
      <c r="B42" s="47" t="s">
        <v>552</v>
      </c>
      <c r="C42" s="50">
        <v>1</v>
      </c>
      <c r="D42" s="50" t="s">
        <v>126</v>
      </c>
      <c r="E42" s="51" t="s">
        <v>489</v>
      </c>
      <c r="F42" s="51" t="s">
        <v>538</v>
      </c>
      <c r="G42" s="150" t="s">
        <v>305</v>
      </c>
      <c r="H42" s="63" t="str">
        <f t="shared" si="15"/>
        <v>[effect:enemy_message, val1:1.2, val2:2.5]</v>
      </c>
      <c r="I42" s="63">
        <f t="shared" si="16"/>
        <v>9</v>
      </c>
      <c r="J42" s="63">
        <f t="shared" si="17"/>
        <v>22</v>
      </c>
      <c r="K42" s="63" t="e">
        <f t="shared" si="18"/>
        <v>#VALUE!</v>
      </c>
      <c r="L42" s="63">
        <f t="shared" si="19"/>
        <v>32</v>
      </c>
      <c r="M42" s="63" t="str">
        <f>IFERROR(VLOOKUP(MID(H42,K42,L42-K42),[5]skilldef!$C:$D,2,FALSE),"-") &amp; " / " &amp; IFERROR(VLOOKUP(MID(H42,I42,J42-I42),[5]skilldef!$A:$B,2,FALSE),"-")</f>
        <v>- / -</v>
      </c>
      <c r="N42" s="63" t="str">
        <f t="shared" si="20"/>
        <v>[effect:attack_break, target:unit_all, turn:1, val:0.8, calc:mul, animation:attack_break02],[effect:rush, count:1, val:1.0]</v>
      </c>
      <c r="O42" s="48" t="str">
        <f>IFERROR(LEFT(N42,FIND("],",N42)+#REF!),N42)</f>
        <v>[effect:attack_break, target:unit_all, turn:1, val:0.8, calc:mul, animation:attack_break02],[effect:rush, count:1, val:1.0]</v>
      </c>
      <c r="P42" s="63">
        <f t="shared" si="21"/>
        <v>9</v>
      </c>
      <c r="Q42" s="63">
        <f t="shared" si="22"/>
        <v>21</v>
      </c>
      <c r="R42" s="63">
        <f t="shared" si="23"/>
        <v>30</v>
      </c>
      <c r="S42" s="63">
        <f t="shared" si="24"/>
        <v>38</v>
      </c>
      <c r="T42" s="63" t="str">
        <f>IFERROR(VLOOKUP(MID(O42,R42,S42-R42),[5]skilldef!$C:$D,2,FALSE),"-") &amp; " / " &amp; IFERROR(VLOOKUP(MID(O42,P42,Q42-P42),[5]skilldef!$A:$B,2,FALSE),"-")</f>
        <v>味方全体に / -</v>
      </c>
      <c r="U42" s="48" t="str">
        <f t="shared" si="25"/>
        <v>[effect:rush, count:1, val:1.0]</v>
      </c>
      <c r="V42" s="63">
        <f t="shared" si="26"/>
        <v>9</v>
      </c>
      <c r="W42" s="63">
        <f t="shared" si="27"/>
        <v>13</v>
      </c>
      <c r="X42" s="63" t="e">
        <f t="shared" si="28"/>
        <v>#VALUE!</v>
      </c>
      <c r="Y42" s="63">
        <f t="shared" si="29"/>
        <v>22</v>
      </c>
      <c r="Z42" s="63" t="str">
        <f>IFERROR(VLOOKUP(MID(U42,X42,Y42-X42),[5]skilldef!$C:$D,2,FALSE),"-") &amp; " / " &amp; IFERROR(VLOOKUP(MID(U42,V42,W42-V42),[5]skilldef!$A:$B,2,FALSE),"-")</f>
        <v>- / 連続攻撃</v>
      </c>
      <c r="AA42" s="50"/>
      <c r="AB42" s="52"/>
      <c r="AC42" s="50"/>
    </row>
    <row r="43" spans="1:29" ht="43" customHeight="1" x14ac:dyDescent="0.15">
      <c r="A43" s="117">
        <v>59003508</v>
      </c>
      <c r="B43" s="47" t="s">
        <v>425</v>
      </c>
      <c r="C43" s="50">
        <v>1</v>
      </c>
      <c r="D43" s="50" t="s">
        <v>126</v>
      </c>
      <c r="E43" s="51" t="s">
        <v>490</v>
      </c>
      <c r="F43" s="51" t="s">
        <v>357</v>
      </c>
      <c r="G43" s="150"/>
      <c r="H43" s="63" t="str">
        <f t="shared" si="15"/>
        <v>[effect:enemy_message, val1:1.2, val2:2.0]</v>
      </c>
      <c r="I43" s="63">
        <f t="shared" si="16"/>
        <v>9</v>
      </c>
      <c r="J43" s="63">
        <f t="shared" si="17"/>
        <v>22</v>
      </c>
      <c r="K43" s="63" t="e">
        <f t="shared" si="18"/>
        <v>#VALUE!</v>
      </c>
      <c r="L43" s="63">
        <f t="shared" si="19"/>
        <v>32</v>
      </c>
      <c r="M43" s="63" t="str">
        <f>IFERROR(VLOOKUP(MID(H43,K43,L43-K43),[5]skilldef!$C:$D,2,FALSE),"-") &amp; " / " &amp; IFERROR(VLOOKUP(MID(H43,I43,J43-I43),[5]skilldef!$A:$B,2,FALSE),"-")</f>
        <v>- / -</v>
      </c>
      <c r="N43" s="63" t="str">
        <f t="shared" si="20"/>
        <v>[effect:force_change_block, new_block:damage, target:normal, count:5, val:0.05]</v>
      </c>
      <c r="O43" s="48" t="str">
        <f>IFERROR(LEFT(N43,FIND("],",N43)+#REF!),N43)</f>
        <v>[effect:force_change_block, new_block:damage, target:normal, count:5, val:0.05]</v>
      </c>
      <c r="P43" s="63">
        <f t="shared" si="21"/>
        <v>9</v>
      </c>
      <c r="Q43" s="63">
        <f t="shared" si="22"/>
        <v>27</v>
      </c>
      <c r="R43" s="63">
        <f t="shared" si="23"/>
        <v>54</v>
      </c>
      <c r="S43" s="63">
        <f t="shared" si="24"/>
        <v>45</v>
      </c>
      <c r="T43" s="63" t="str">
        <f>IFERROR(VLOOKUP(MID(O43,R43,S43-R43),[5]skilldef!$C:$D,2,FALSE),"-") &amp; " / " &amp; IFERROR(VLOOKUP(MID(O43,P43,Q43-P43),[5]skilldef!$A:$B,2,FALSE),"-")</f>
        <v>- / -</v>
      </c>
      <c r="U43" s="48" t="str">
        <f t="shared" si="25"/>
        <v>none</v>
      </c>
      <c r="V43" s="63" t="e">
        <f t="shared" si="26"/>
        <v>#VALUE!</v>
      </c>
      <c r="W43" s="63">
        <f t="shared" si="27"/>
        <v>4</v>
      </c>
      <c r="X43" s="63" t="e">
        <f t="shared" si="28"/>
        <v>#VALUE!</v>
      </c>
      <c r="Y43" s="63" t="e">
        <f t="shared" si="29"/>
        <v>#VALUE!</v>
      </c>
      <c r="Z43" s="63" t="str">
        <f>IFERROR(VLOOKUP(MID(U43,X43,Y43-X43),[5]skilldef!$C:$D,2,FALSE),"-") &amp; " / " &amp; IFERROR(VLOOKUP(MID(U43,V43,W43-V43),[5]skilldef!$A:$B,2,FALSE),"-")</f>
        <v>- / -</v>
      </c>
      <c r="AA43" s="50"/>
      <c r="AB43" s="52"/>
      <c r="AC43" s="50"/>
    </row>
    <row r="44" spans="1:29" ht="43" customHeight="1" x14ac:dyDescent="0.15">
      <c r="A44" s="117">
        <v>59003509</v>
      </c>
      <c r="B44" s="47" t="s">
        <v>339</v>
      </c>
      <c r="C44" s="50">
        <v>1</v>
      </c>
      <c r="D44" s="50" t="s">
        <v>126</v>
      </c>
      <c r="E44" s="51" t="s">
        <v>491</v>
      </c>
      <c r="F44" s="51" t="s">
        <v>306</v>
      </c>
      <c r="G44" s="150" t="s">
        <v>307</v>
      </c>
      <c r="H44" s="63" t="str">
        <f t="shared" si="15"/>
        <v>[effect:enemy_message, val1:1.2, val2:2.8]</v>
      </c>
      <c r="I44" s="63">
        <f t="shared" si="16"/>
        <v>9</v>
      </c>
      <c r="J44" s="63">
        <f t="shared" si="17"/>
        <v>22</v>
      </c>
      <c r="K44" s="63" t="e">
        <f t="shared" si="18"/>
        <v>#VALUE!</v>
      </c>
      <c r="L44" s="63">
        <f t="shared" si="19"/>
        <v>32</v>
      </c>
      <c r="M44" s="63" t="str">
        <f>IFERROR(VLOOKUP(MID(H44,K44,L44-K44),[5]skilldef!$C:$D,2,FALSE),"-") &amp; " / " &amp; IFERROR(VLOOKUP(MID(H44,I44,J44-I44),[5]skilldef!$A:$B,2,FALSE),"-")</f>
        <v>- / -</v>
      </c>
      <c r="N44" s="63" t="str">
        <f t="shared" si="20"/>
        <v>[effect:degrade_unit, target:unit_all, turn:1, status:action, val:2, calc:add, animation:enemy_tap_down],[effect:rush, count:3, val:0.4]</v>
      </c>
      <c r="O44" s="48" t="str">
        <f>IFERROR(LEFT(N44,FIND("],",N44)+#REF!),N44)</f>
        <v>[effect:degrade_unit, target:unit_all, turn:1, status:action, val:2, calc:add, animation:enemy_tap_down],[effect:rush, count:3, val:0.4]</v>
      </c>
      <c r="P44" s="63">
        <f t="shared" si="21"/>
        <v>9</v>
      </c>
      <c r="Q44" s="63">
        <f t="shared" si="22"/>
        <v>21</v>
      </c>
      <c r="R44" s="63">
        <f t="shared" si="23"/>
        <v>30</v>
      </c>
      <c r="S44" s="63">
        <f t="shared" si="24"/>
        <v>38</v>
      </c>
      <c r="T44" s="63" t="str">
        <f>IFERROR(VLOOKUP(MID(O44,R44,S44-R44),[5]skilldef!$C:$D,2,FALSE),"-") &amp; " / " &amp; IFERROR(VLOOKUP(MID(O44,P44,Q44-P44),[5]skilldef!$A:$B,2,FALSE),"-")</f>
        <v>味方全体に / ステータスDOWN</v>
      </c>
      <c r="U44" s="48" t="str">
        <f t="shared" si="25"/>
        <v>[effect:rush, count:3, val:0.4]</v>
      </c>
      <c r="V44" s="63">
        <f t="shared" si="26"/>
        <v>9</v>
      </c>
      <c r="W44" s="63">
        <f t="shared" si="27"/>
        <v>13</v>
      </c>
      <c r="X44" s="63" t="e">
        <f t="shared" si="28"/>
        <v>#VALUE!</v>
      </c>
      <c r="Y44" s="63">
        <f t="shared" si="29"/>
        <v>22</v>
      </c>
      <c r="Z44" s="63" t="str">
        <f>IFERROR(VLOOKUP(MID(U44,X44,Y44-X44),[5]skilldef!$C:$D,2,FALSE),"-") &amp; " / " &amp; IFERROR(VLOOKUP(MID(U44,V44,W44-V44),[5]skilldef!$A:$B,2,FALSE),"-")</f>
        <v>- / 連続攻撃</v>
      </c>
      <c r="AA44" s="50"/>
      <c r="AB44" s="52"/>
      <c r="AC44" s="50"/>
    </row>
    <row r="45" spans="1:29" ht="43" customHeight="1" x14ac:dyDescent="0.15">
      <c r="A45" s="117">
        <v>59003510</v>
      </c>
      <c r="B45" s="47" t="s">
        <v>521</v>
      </c>
      <c r="C45" s="50">
        <v>1</v>
      </c>
      <c r="D45" s="50" t="s">
        <v>126</v>
      </c>
      <c r="E45" s="51" t="s">
        <v>520</v>
      </c>
      <c r="F45" s="51" t="s">
        <v>519</v>
      </c>
      <c r="G45" s="150"/>
      <c r="H45" s="63" t="str">
        <f t="shared" si="15"/>
        <v>[effect:enemy_message, val1:1.9, val2:5.0]</v>
      </c>
      <c r="I45" s="63">
        <f t="shared" si="16"/>
        <v>9</v>
      </c>
      <c r="J45" s="63">
        <f t="shared" si="17"/>
        <v>22</v>
      </c>
      <c r="K45" s="63" t="e">
        <f t="shared" si="18"/>
        <v>#VALUE!</v>
      </c>
      <c r="L45" s="63">
        <f t="shared" si="19"/>
        <v>32</v>
      </c>
      <c r="M45" s="63" t="str">
        <f>IFERROR(VLOOKUP(MID(H45,K45,L45-K45),[5]skilldef!$C:$D,2,FALSE),"-") &amp; " / " &amp; IFERROR(VLOOKUP(MID(H45,I45,J45-I45),[5]skilldef!$A:$B,2,FALSE),"-")</f>
        <v>- / -</v>
      </c>
      <c r="N45" s="63" t="str">
        <f t="shared" si="20"/>
        <v>[effect:suicide, val:1],[effect:crash_condition, target:unit_all, turn:2, val:-4, animation:crash_panel_reduce04]</v>
      </c>
      <c r="O45" s="48" t="str">
        <f>IFERROR(LEFT(N45,FIND("],",N45)+#REF!),N45)</f>
        <v>[effect:suicide, val:1],[effect:crash_condition, target:unit_all, turn:2, val:-4, animation:crash_panel_reduce04]</v>
      </c>
      <c r="P45" s="63">
        <f t="shared" si="21"/>
        <v>9</v>
      </c>
      <c r="Q45" s="63">
        <f t="shared" si="22"/>
        <v>16</v>
      </c>
      <c r="R45" s="63">
        <f t="shared" si="23"/>
        <v>57</v>
      </c>
      <c r="S45" s="63">
        <f t="shared" si="24"/>
        <v>24</v>
      </c>
      <c r="T45" s="63" t="str">
        <f>IFERROR(VLOOKUP(MID(O45,R45,S45-R45),[5]skilldef!$C:$D,2,FALSE),"-") &amp; " / " &amp; IFERROR(VLOOKUP(MID(O45,P45,Q45-P45),[5]skilldef!$A:$B,2,FALSE),"-")</f>
        <v>- / -</v>
      </c>
      <c r="U45" s="48" t="str">
        <f t="shared" si="25"/>
        <v>[effect:crash_condition, target:unit_all, turn:2, val:-4, animation:crash_panel_reduce04]</v>
      </c>
      <c r="V45" s="63">
        <f t="shared" si="26"/>
        <v>9</v>
      </c>
      <c r="W45" s="63">
        <f t="shared" si="27"/>
        <v>24</v>
      </c>
      <c r="X45" s="63">
        <f t="shared" si="28"/>
        <v>33</v>
      </c>
      <c r="Y45" s="63">
        <f t="shared" si="29"/>
        <v>41</v>
      </c>
      <c r="Z45" s="63" t="str">
        <f>IFERROR(VLOOKUP(MID(U45,X45,Y45-X45),[5]skilldef!$C:$D,2,FALSE),"-") &amp; " / " &amp; IFERROR(VLOOKUP(MID(U45,V45,W45-V45),[5]skilldef!$A:$B,2,FALSE),"-")</f>
        <v>味方全体に / -</v>
      </c>
      <c r="AA45" s="50"/>
      <c r="AB45" s="52"/>
      <c r="AC45" s="50"/>
    </row>
    <row r="46" spans="1:29" ht="43" customHeight="1" x14ac:dyDescent="0.15">
      <c r="A46" s="117">
        <v>59003511</v>
      </c>
      <c r="B46" s="47" t="s">
        <v>733</v>
      </c>
      <c r="C46" s="50">
        <v>1</v>
      </c>
      <c r="D46" s="50" t="s">
        <v>126</v>
      </c>
      <c r="E46" s="148" t="s">
        <v>492</v>
      </c>
      <c r="F46" s="51" t="s">
        <v>650</v>
      </c>
      <c r="G46" s="153" t="s">
        <v>287</v>
      </c>
      <c r="H46" s="63" t="str">
        <f t="shared" ref="H46" si="45">IFERROR(LEFT(B46,FIND("],",B46)),B46)</f>
        <v>[effect:enemy_message, val1:2.1, val2:3.0]</v>
      </c>
      <c r="I46" s="63">
        <f t="shared" ref="I46" si="46">FIND("effect:",H46)+7</f>
        <v>9</v>
      </c>
      <c r="J46" s="63">
        <f t="shared" ref="J46" si="47">IFERROR(FIND(",",H46),LEN(H46))</f>
        <v>22</v>
      </c>
      <c r="K46" s="63" t="e">
        <f t="shared" ref="K46" si="48">FIND("target:",H46)+7</f>
        <v>#VALUE!</v>
      </c>
      <c r="L46" s="63">
        <f t="shared" ref="L46" si="49">FIND(",",H46,J46+1)</f>
        <v>32</v>
      </c>
      <c r="M46" s="63" t="str">
        <f>IFERROR(VLOOKUP(MID(H46,K46,L46-K46),[5]skilldef!$C:$D,2,FALSE),"-") &amp; " / " &amp; IFERROR(VLOOKUP(MID(H46,I46,J46-I46),[5]skilldef!$A:$B,2,FALSE),"-")</f>
        <v>- / -</v>
      </c>
      <c r="N46" s="63" t="str">
        <f t="shared" ref="N46" si="50">IFERROR(RIGHT(B46,LEN(B46)-FIND("],",B46)-1),"none")</f>
        <v>[effect:fix_speed, target:myself, turn:1],[effect:sp_boost, target:unit_red/unit_yellow/or, val:2],[effect:tolerance, target:myself, turn:-1, count:-1, tolerance_effect:all, animation:enemy_tolerance]</v>
      </c>
      <c r="O46" s="48" t="str">
        <f>IFERROR(LEFT(N46,FIND("],",N46)+#REF!),N46)</f>
        <v>[effect:fix_speed, target:myself, turn:1],[effect:sp_boost, target:unit_red/unit_yellow/or, val:2],[effect:tolerance, target:myself, turn:-1, count:-1, tolerance_effect:all, animation:enemy_tolerance]</v>
      </c>
      <c r="P46" s="63">
        <f t="shared" ref="P46" si="51">FIND("effect:",O46)+7</f>
        <v>9</v>
      </c>
      <c r="Q46" s="63">
        <f t="shared" ref="Q46" si="52">IFERROR(FIND(",",O46),LEN(O46))</f>
        <v>18</v>
      </c>
      <c r="R46" s="63">
        <f t="shared" ref="R46" si="53">FIND("target:",O46)+7</f>
        <v>27</v>
      </c>
      <c r="S46" s="63">
        <f t="shared" ref="S46" si="54">FIND(",",O46,Q46+1)</f>
        <v>33</v>
      </c>
      <c r="T46" s="63" t="str">
        <f>IFERROR(VLOOKUP(MID(O46,R46,S46-R46),[5]skilldef!$C:$D,2,FALSE),"-") &amp; " / " &amp; IFERROR(VLOOKUP(MID(O46,P46,Q46-P46),[5]skilldef!$A:$B,2,FALSE),"-")</f>
        <v>自分自身に / 行動値設定</v>
      </c>
      <c r="U46" s="48" t="str">
        <f t="shared" ref="U46" si="55">IFERROR(RIGHT(N46,LEN(N46)-FIND("],",N46)-1),"none")</f>
        <v>[effect:sp_boost, target:unit_red/unit_yellow/or, val:2],[effect:tolerance, target:myself, turn:-1, count:-1, tolerance_effect:all, animation:enemy_tolerance]</v>
      </c>
      <c r="V46" s="63">
        <f t="shared" ref="V46" si="56">FIND("effect:",U46)+7</f>
        <v>9</v>
      </c>
      <c r="W46" s="63">
        <f t="shared" ref="W46" si="57">IFERROR(FIND(",",U46),LEN(U46))</f>
        <v>17</v>
      </c>
      <c r="X46" s="63">
        <f t="shared" ref="X46" si="58">FIND("target:",U46)+7</f>
        <v>26</v>
      </c>
      <c r="Y46" s="63">
        <f t="shared" ref="Y46" si="59">FIND(",",U46,W46+1)</f>
        <v>49</v>
      </c>
      <c r="Z46" s="63" t="str">
        <f>IFERROR(VLOOKUP(MID(U46,X46,Y46-X46),[5]skilldef!$C:$D,2,FALSE),"-") &amp; " / " &amp; IFERROR(VLOOKUP(MID(U46,V46,W46-V46),[5]skilldef!$A:$B,2,FALSE),"-")</f>
        <v>- / -</v>
      </c>
      <c r="AA46" s="50"/>
      <c r="AB46" s="52"/>
      <c r="AC46" s="50"/>
    </row>
    <row r="47" spans="1:29" ht="43" customHeight="1" x14ac:dyDescent="0.15">
      <c r="A47" s="117">
        <v>59003512</v>
      </c>
      <c r="B47" s="47" t="s">
        <v>734</v>
      </c>
      <c r="C47" s="50">
        <v>1</v>
      </c>
      <c r="D47" s="50" t="s">
        <v>126</v>
      </c>
      <c r="E47" s="148" t="s">
        <v>493</v>
      </c>
      <c r="F47" s="51" t="s">
        <v>650</v>
      </c>
      <c r="G47" s="153" t="s">
        <v>288</v>
      </c>
      <c r="H47" s="63" t="str">
        <f t="shared" ref="H47" si="60">IFERROR(LEFT(B47,FIND("],",B47)),B47)</f>
        <v>[effect:enemy_message, val1:2.9, val2:3.0]</v>
      </c>
      <c r="I47" s="63">
        <f t="shared" ref="I47" si="61">FIND("effect:",H47)+7</f>
        <v>9</v>
      </c>
      <c r="J47" s="63">
        <f t="shared" ref="J47" si="62">IFERROR(FIND(",",H47),LEN(H47))</f>
        <v>22</v>
      </c>
      <c r="K47" s="63" t="e">
        <f t="shared" ref="K47" si="63">FIND("target:",H47)+7</f>
        <v>#VALUE!</v>
      </c>
      <c r="L47" s="63">
        <f t="shared" ref="L47" si="64">FIND(",",H47,J47+1)</f>
        <v>32</v>
      </c>
      <c r="M47" s="63" t="str">
        <f>IFERROR(VLOOKUP(MID(H47,K47,L47-K47),[5]skilldef!$C:$D,2,FALSE),"-") &amp; " / " &amp; IFERROR(VLOOKUP(MID(H47,I47,J47-I47),[5]skilldef!$A:$B,2,FALSE),"-")</f>
        <v>- / -</v>
      </c>
      <c r="N47" s="63" t="str">
        <f t="shared" ref="N47" si="65">IFERROR(RIGHT(B47,LEN(B47)-FIND("],",B47)-1),"none")</f>
        <v>[effect:fix_speed, target:myself, turn:1],[effect:sp_boost, target:unit_red/unit_yellow/or, val:2],[effect:tolerance, target:myself, turn:-1, count:-1, tolerance_effect:all, animation:enemy_tolerance]</v>
      </c>
      <c r="O47" s="48" t="str">
        <f>IFERROR(LEFT(N47,FIND("],",N47)+#REF!),N47)</f>
        <v>[effect:fix_speed, target:myself, turn:1],[effect:sp_boost, target:unit_red/unit_yellow/or, val:2],[effect:tolerance, target:myself, turn:-1, count:-1, tolerance_effect:all, animation:enemy_tolerance]</v>
      </c>
      <c r="P47" s="63">
        <f t="shared" ref="P47" si="66">FIND("effect:",O47)+7</f>
        <v>9</v>
      </c>
      <c r="Q47" s="63">
        <f t="shared" ref="Q47" si="67">IFERROR(FIND(",",O47),LEN(O47))</f>
        <v>18</v>
      </c>
      <c r="R47" s="63">
        <f t="shared" ref="R47" si="68">FIND("target:",O47)+7</f>
        <v>27</v>
      </c>
      <c r="S47" s="63">
        <f t="shared" ref="S47" si="69">FIND(",",O47,Q47+1)</f>
        <v>33</v>
      </c>
      <c r="T47" s="63" t="str">
        <f>IFERROR(VLOOKUP(MID(O47,R47,S47-R47),[5]skilldef!$C:$D,2,FALSE),"-") &amp; " / " &amp; IFERROR(VLOOKUP(MID(O47,P47,Q47-P47),[5]skilldef!$A:$B,2,FALSE),"-")</f>
        <v>自分自身に / 行動値設定</v>
      </c>
      <c r="U47" s="48" t="str">
        <f t="shared" ref="U47" si="70">IFERROR(RIGHT(N47,LEN(N47)-FIND("],",N47)-1),"none")</f>
        <v>[effect:sp_boost, target:unit_red/unit_yellow/or, val:2],[effect:tolerance, target:myself, turn:-1, count:-1, tolerance_effect:all, animation:enemy_tolerance]</v>
      </c>
      <c r="V47" s="63">
        <f t="shared" ref="V47" si="71">FIND("effect:",U47)+7</f>
        <v>9</v>
      </c>
      <c r="W47" s="63">
        <f t="shared" ref="W47" si="72">IFERROR(FIND(",",U47),LEN(U47))</f>
        <v>17</v>
      </c>
      <c r="X47" s="63">
        <f t="shared" ref="X47" si="73">FIND("target:",U47)+7</f>
        <v>26</v>
      </c>
      <c r="Y47" s="63">
        <f t="shared" ref="Y47" si="74">FIND(",",U47,W47+1)</f>
        <v>49</v>
      </c>
      <c r="Z47" s="63" t="str">
        <f>IFERROR(VLOOKUP(MID(U47,X47,Y47-X47),[5]skilldef!$C:$D,2,FALSE),"-") &amp; " / " &amp; IFERROR(VLOOKUP(MID(U47,V47,W47-V47),[5]skilldef!$A:$B,2,FALSE),"-")</f>
        <v>- / -</v>
      </c>
      <c r="AA47" s="50"/>
      <c r="AB47" s="52"/>
      <c r="AC47" s="50"/>
    </row>
    <row r="48" spans="1:29" ht="43" customHeight="1" x14ac:dyDescent="0.15">
      <c r="A48" s="117">
        <v>59003551</v>
      </c>
      <c r="B48" s="118" t="s">
        <v>389</v>
      </c>
      <c r="C48" s="119">
        <v>1</v>
      </c>
      <c r="D48" s="119" t="s">
        <v>126</v>
      </c>
      <c r="E48" s="120" t="s">
        <v>494</v>
      </c>
      <c r="F48" s="120" t="s">
        <v>255</v>
      </c>
      <c r="G48" s="150"/>
      <c r="H48" s="63" t="str">
        <f t="shared" ref="H48:H96" si="75">IFERROR(LEFT(B48,FIND("],",B48)),B48)</f>
        <v>[effect:enemy_message, val1:1.4, val2:1.2]</v>
      </c>
      <c r="I48" s="63">
        <f t="shared" ref="I48:I96" si="76">FIND("effect:",H48)+7</f>
        <v>9</v>
      </c>
      <c r="J48" s="63">
        <f t="shared" ref="J48:J96" si="77">IFERROR(FIND(",",H48),LEN(H48))</f>
        <v>22</v>
      </c>
      <c r="K48" s="63" t="e">
        <f t="shared" ref="K48:K96" si="78">FIND("target:",H48)+7</f>
        <v>#VALUE!</v>
      </c>
      <c r="L48" s="63">
        <f t="shared" ref="L48:L96" si="79">FIND(",",H48,J48+1)</f>
        <v>32</v>
      </c>
      <c r="M48" s="63" t="str">
        <f>IFERROR(VLOOKUP(MID(H48,K48,L48-K48),[5]skilldef!$C:$D,2,FALSE),"-") &amp; " / " &amp; IFERROR(VLOOKUP(MID(H48,I48,J48-I48),[5]skilldef!$A:$B,2,FALSE),"-")</f>
        <v>- / -</v>
      </c>
      <c r="N48" s="63" t="str">
        <f t="shared" ref="N48:N96" si="80">IFERROR(RIGHT(B48,LEN(B48)-FIND("],",B48)-1),"none")</f>
        <v>[effect:fix_speed, target:myself, turn:1],[effect:tolerance, target:myself, turn:-1, count:-1, tolerance_effect:all, animation:enemy_tolerance]</v>
      </c>
      <c r="O48" s="48" t="str">
        <f>IFERROR(LEFT(N48,FIND("],",N48)+#REF!),N48)</f>
        <v>[effect:fix_speed, target:myself, turn:1],[effect:tolerance, target:myself, turn:-1, count:-1, tolerance_effect:all, animation:enemy_tolerance]</v>
      </c>
      <c r="P48" s="63">
        <f t="shared" ref="P48:P96" si="81">FIND("effect:",O48)+7</f>
        <v>9</v>
      </c>
      <c r="Q48" s="63">
        <f t="shared" ref="Q48:Q96" si="82">IFERROR(FIND(",",O48),LEN(O48))</f>
        <v>18</v>
      </c>
      <c r="R48" s="63">
        <f t="shared" ref="R48:R96" si="83">FIND("target:",O48)+7</f>
        <v>27</v>
      </c>
      <c r="S48" s="63">
        <f t="shared" ref="S48:S96" si="84">FIND(",",O48,Q48+1)</f>
        <v>33</v>
      </c>
      <c r="T48" s="63" t="str">
        <f>IFERROR(VLOOKUP(MID(O48,R48,S48-R48),[5]skilldef!$C:$D,2,FALSE),"-") &amp; " / " &amp; IFERROR(VLOOKUP(MID(O48,P48,Q48-P48),[5]skilldef!$A:$B,2,FALSE),"-")</f>
        <v>自分自身に / 行動値設定</v>
      </c>
      <c r="U48" s="48" t="str">
        <f t="shared" ref="U48:U96" si="85">IFERROR(RIGHT(N48,LEN(N48)-FIND("],",N48)-1),"none")</f>
        <v>[effect:tolerance, target:myself, turn:-1, count:-1, tolerance_effect:all, animation:enemy_tolerance]</v>
      </c>
      <c r="V48" s="63">
        <f t="shared" ref="V48:V96" si="86">FIND("effect:",U48)+7</f>
        <v>9</v>
      </c>
      <c r="W48" s="63">
        <f t="shared" ref="W48:W96" si="87">IFERROR(FIND(",",U48),LEN(U48))</f>
        <v>18</v>
      </c>
      <c r="X48" s="63">
        <f t="shared" ref="X48:X96" si="88">FIND("target:",U48)+7</f>
        <v>27</v>
      </c>
      <c r="Y48" s="63">
        <f t="shared" ref="Y48:Y96" si="89">FIND(",",U48,W48+1)</f>
        <v>33</v>
      </c>
      <c r="Z48" s="63" t="str">
        <f>IFERROR(VLOOKUP(MID(U48,X48,Y48-X48),[5]skilldef!$C:$D,2,FALSE),"-") &amp; " / " &amp; IFERROR(VLOOKUP(MID(U48,V48,W48-V48),[5]skilldef!$A:$B,2,FALSE),"-")</f>
        <v>自分自身に / 状態異常耐性</v>
      </c>
      <c r="AA48" s="50"/>
      <c r="AB48" s="52"/>
      <c r="AC48" s="50"/>
    </row>
    <row r="49" spans="1:29" ht="43" customHeight="1" x14ac:dyDescent="0.15">
      <c r="A49" s="117">
        <v>59003552</v>
      </c>
      <c r="B49" s="149" t="s">
        <v>340</v>
      </c>
      <c r="C49" s="119">
        <v>1</v>
      </c>
      <c r="D49" s="119" t="s">
        <v>254</v>
      </c>
      <c r="E49" s="120" t="s">
        <v>495</v>
      </c>
      <c r="F49" s="120" t="s">
        <v>308</v>
      </c>
      <c r="G49" s="150" t="s">
        <v>291</v>
      </c>
      <c r="H49" s="63" t="str">
        <f t="shared" ref="H49:H54" si="90">IFERROR(LEFT(B49,FIND("],",B49)),B49)</f>
        <v>[effect:enemy_message, val1:1.2, val2:2.3]</v>
      </c>
      <c r="I49" s="63">
        <f t="shared" ref="I49:I54" si="91">FIND("effect:",H49)+7</f>
        <v>9</v>
      </c>
      <c r="J49" s="63">
        <f t="shared" ref="J49:J54" si="92">IFERROR(FIND(",",H49),LEN(H49))</f>
        <v>22</v>
      </c>
      <c r="K49" s="63" t="e">
        <f t="shared" ref="K49:K54" si="93">FIND("target:",H49)+7</f>
        <v>#VALUE!</v>
      </c>
      <c r="L49" s="63">
        <f t="shared" ref="L49:L54" si="94">FIND(",",H49,J49+1)</f>
        <v>32</v>
      </c>
      <c r="M49" s="63" t="str">
        <f>IFERROR(VLOOKUP(MID(H49,K49,L49-K49),[5]skilldef!$C:$D,2,FALSE),"-") &amp; " / " &amp; IFERROR(VLOOKUP(MID(H49,I49,J49-I49),[5]skilldef!$A:$B,2,FALSE),"-")</f>
        <v>- / -</v>
      </c>
      <c r="N49" s="63" t="str">
        <f t="shared" ref="N49:N54" si="95">IFERROR(RIGHT(B49,LEN(B49)-FIND("],",B49)-1),"none")</f>
        <v>[effect:enemy_counter, target:myself, invoke_condition:unit_blue, counter_target:attacker, turn:1, val:0.1, animation:enemy_counter],[effect:rush, count:3, val:0.35]</v>
      </c>
      <c r="O49" s="48" t="str">
        <f>IFERROR(LEFT(N49,FIND("],",N49)+#REF!),N49)</f>
        <v>[effect:enemy_counter, target:myself, invoke_condition:unit_blue, counter_target:attacker, turn:1, val:0.1, animation:enemy_counter],[effect:rush, count:3, val:0.35]</v>
      </c>
      <c r="P49" s="63">
        <f t="shared" ref="P49:P54" si="96">FIND("effect:",O49)+7</f>
        <v>9</v>
      </c>
      <c r="Q49" s="63">
        <f t="shared" ref="Q49:Q54" si="97">IFERROR(FIND(",",O49),LEN(O49))</f>
        <v>22</v>
      </c>
      <c r="R49" s="63">
        <f t="shared" ref="R49:R54" si="98">FIND("target:",O49)+7</f>
        <v>31</v>
      </c>
      <c r="S49" s="63">
        <f t="shared" ref="S49:S54" si="99">FIND(",",O49,Q49+1)</f>
        <v>37</v>
      </c>
      <c r="T49" s="63" t="str">
        <f>IFERROR(VLOOKUP(MID(O49,R49,S49-R49),[5]skilldef!$C:$D,2,FALSE),"-") &amp; " / " &amp; IFERROR(VLOOKUP(MID(O49,P49,Q49-P49),[5]skilldef!$A:$B,2,FALSE),"-")</f>
        <v>自分自身に / カウンター</v>
      </c>
      <c r="U49" s="48" t="str">
        <f t="shared" ref="U49:U54" si="100">IFERROR(RIGHT(N49,LEN(N49)-FIND("],",N49)-1),"none")</f>
        <v>[effect:rush, count:3, val:0.35]</v>
      </c>
      <c r="V49" s="63">
        <f t="shared" ref="V49:V54" si="101">FIND("effect:",U49)+7</f>
        <v>9</v>
      </c>
      <c r="W49" s="63">
        <f t="shared" ref="W49:W54" si="102">IFERROR(FIND(",",U49),LEN(U49))</f>
        <v>13</v>
      </c>
      <c r="X49" s="63" t="e">
        <f t="shared" ref="X49:X54" si="103">FIND("target:",U49)+7</f>
        <v>#VALUE!</v>
      </c>
      <c r="Y49" s="63">
        <f t="shared" ref="Y49:Y54" si="104">FIND(",",U49,W49+1)</f>
        <v>22</v>
      </c>
      <c r="Z49" s="63" t="str">
        <f>IFERROR(VLOOKUP(MID(U49,X49,Y49-X49),[5]skilldef!$C:$D,2,FALSE),"-") &amp; " / " &amp; IFERROR(VLOOKUP(MID(U49,V49,W49-V49),[5]skilldef!$A:$B,2,FALSE),"-")</f>
        <v>- / 連続攻撃</v>
      </c>
      <c r="AA49" s="50"/>
      <c r="AB49" s="52"/>
      <c r="AC49" s="50"/>
    </row>
    <row r="50" spans="1:29" ht="43" customHeight="1" x14ac:dyDescent="0.15">
      <c r="A50" s="117">
        <v>59003553</v>
      </c>
      <c r="B50" s="118" t="s">
        <v>341</v>
      </c>
      <c r="C50" s="119">
        <v>1</v>
      </c>
      <c r="D50" s="119" t="s">
        <v>126</v>
      </c>
      <c r="E50" s="120" t="s">
        <v>496</v>
      </c>
      <c r="F50" s="120" t="s">
        <v>309</v>
      </c>
      <c r="G50" s="150" t="s">
        <v>310</v>
      </c>
      <c r="H50" s="63" t="str">
        <f t="shared" si="90"/>
        <v>[effect:enemy_message, val1:1.2, val2:2.6]</v>
      </c>
      <c r="I50" s="63">
        <f t="shared" si="91"/>
        <v>9</v>
      </c>
      <c r="J50" s="63">
        <f t="shared" si="92"/>
        <v>22</v>
      </c>
      <c r="K50" s="63" t="e">
        <f t="shared" si="93"/>
        <v>#VALUE!</v>
      </c>
      <c r="L50" s="63">
        <f t="shared" si="94"/>
        <v>32</v>
      </c>
      <c r="M50" s="63" t="str">
        <f>IFERROR(VLOOKUP(MID(H50,K50,L50-K50),[5]skilldef!$C:$D,2,FALSE),"-") &amp; " / " &amp; IFERROR(VLOOKUP(MID(H50,I50,J50-I50),[5]skilldef!$A:$B,2,FALSE),"-")</f>
        <v>- / -</v>
      </c>
      <c r="N50" s="63" t="str">
        <f t="shared" si="95"/>
        <v>[effect:change_range_block, block_change:1, base_type:0, square_count:3, position01:3, value_h01:1, value_w01:1, position02:5, value_h02:1,  value_w02:1, position03:6, value_h03:1, value_w03:3, new_block:damage, target:block_all, ignore01:block_positive, count:0, val:0.05, animation:change_range_block],[effect:critical, val:1.2, animation:enemy_critical]</v>
      </c>
      <c r="O50" s="48" t="str">
        <f>IFERROR(LEFT(N50,FIND("],",N50)+#REF!),N50)</f>
        <v>[effect:change_range_block, block_change:1, base_type:0, square_count:3, position01:3, value_h01:1, value_w01:1, position02:5, value_h02:1,  value_w02:1, position03:6, value_h03:1, value_w03:3, new_block:damage, target:block_all, ignore01:block_positive, count:0, val:0.05, animation:change_range_block],[effect:critical, val:1.2, animation:enemy_critical]</v>
      </c>
      <c r="P50" s="63">
        <f t="shared" si="96"/>
        <v>9</v>
      </c>
      <c r="Q50" s="63">
        <f t="shared" si="97"/>
        <v>27</v>
      </c>
      <c r="R50" s="63">
        <f t="shared" si="98"/>
        <v>220</v>
      </c>
      <c r="S50" s="63">
        <f t="shared" si="99"/>
        <v>43</v>
      </c>
      <c r="T50" s="63" t="str">
        <f>IFERROR(VLOOKUP(MID(O50,R50,S50-R50),[5]skilldef!$C:$D,2,FALSE),"-") &amp; " / " &amp; IFERROR(VLOOKUP(MID(O50,P50,Q50-P50),[5]skilldef!$A:$B,2,FALSE),"-")</f>
        <v>- / -</v>
      </c>
      <c r="U50" s="48" t="str">
        <f t="shared" si="100"/>
        <v>[effect:critical, val:1.2, animation:enemy_critical]</v>
      </c>
      <c r="V50" s="63">
        <f t="shared" si="101"/>
        <v>9</v>
      </c>
      <c r="W50" s="63">
        <f t="shared" si="102"/>
        <v>17</v>
      </c>
      <c r="X50" s="63" t="e">
        <f t="shared" si="103"/>
        <v>#VALUE!</v>
      </c>
      <c r="Y50" s="63">
        <f t="shared" si="104"/>
        <v>26</v>
      </c>
      <c r="Z50" s="63" t="str">
        <f>IFERROR(VLOOKUP(MID(U50,X50,Y50-X50),[5]skilldef!$C:$D,2,FALSE),"-") &amp; " / " &amp; IFERROR(VLOOKUP(MID(U50,V50,W50-V50),[5]skilldef!$A:$B,2,FALSE),"-")</f>
        <v>- / 大攻撃</v>
      </c>
      <c r="AA50" s="50"/>
      <c r="AB50" s="52"/>
      <c r="AC50" s="50"/>
    </row>
    <row r="51" spans="1:29" ht="43" customHeight="1" x14ac:dyDescent="0.15">
      <c r="A51" s="117">
        <v>59003554</v>
      </c>
      <c r="B51" s="118" t="s">
        <v>657</v>
      </c>
      <c r="C51" s="119">
        <v>1</v>
      </c>
      <c r="D51" s="119" t="s">
        <v>126</v>
      </c>
      <c r="E51" s="120" t="s">
        <v>497</v>
      </c>
      <c r="F51" s="120" t="s">
        <v>311</v>
      </c>
      <c r="G51" s="150" t="s">
        <v>302</v>
      </c>
      <c r="H51" s="63" t="str">
        <f t="shared" si="90"/>
        <v>[effect:enemy_message, val1:1.2, val2:1.4]</v>
      </c>
      <c r="I51" s="63">
        <f t="shared" si="91"/>
        <v>9</v>
      </c>
      <c r="J51" s="63">
        <f t="shared" si="92"/>
        <v>22</v>
      </c>
      <c r="K51" s="63" t="e">
        <f t="shared" si="93"/>
        <v>#VALUE!</v>
      </c>
      <c r="L51" s="63">
        <f t="shared" si="94"/>
        <v>32</v>
      </c>
      <c r="M51" s="63" t="str">
        <f>IFERROR(VLOOKUP(MID(H51,K51,L51-K51),[5]skilldef!$C:$D,2,FALSE),"-") &amp; " / " &amp; IFERROR(VLOOKUP(MID(H51,I51,J51-I51),[5]skilldef!$A:$B,2,FALSE),"-")</f>
        <v>- / -</v>
      </c>
      <c r="N51" s="63" t="str">
        <f t="shared" si="95"/>
        <v>[effect:break_attack_fix, target:unit_one, val:100, lowest_val:7000, count:-1, block01:damage]</v>
      </c>
      <c r="O51" s="48" t="str">
        <f>IFERROR(LEFT(N51,FIND("],",N51)+#REF!),N51)</f>
        <v>[effect:break_attack_fix, target:unit_one, val:100, lowest_val:7000, count:-1, block01:damage]</v>
      </c>
      <c r="P51" s="63">
        <f t="shared" si="96"/>
        <v>9</v>
      </c>
      <c r="Q51" s="63">
        <f t="shared" si="97"/>
        <v>25</v>
      </c>
      <c r="R51" s="63">
        <f t="shared" si="98"/>
        <v>34</v>
      </c>
      <c r="S51" s="63">
        <f t="shared" si="99"/>
        <v>42</v>
      </c>
      <c r="T51" s="63" t="str">
        <f>IFERROR(VLOOKUP(MID(O51,R51,S51-R51),[5]skilldef!$C:$D,2,FALSE),"-") &amp; " / " &amp; IFERROR(VLOOKUP(MID(O51,P51,Q51-P51),[5]skilldef!$A:$B,2,FALSE),"-")</f>
        <v>味方単体に / -</v>
      </c>
      <c r="U51" s="48" t="str">
        <f t="shared" si="100"/>
        <v>none</v>
      </c>
      <c r="V51" s="63" t="e">
        <f t="shared" si="101"/>
        <v>#VALUE!</v>
      </c>
      <c r="W51" s="63">
        <f t="shared" si="102"/>
        <v>4</v>
      </c>
      <c r="X51" s="63" t="e">
        <f t="shared" si="103"/>
        <v>#VALUE!</v>
      </c>
      <c r="Y51" s="63" t="e">
        <f t="shared" si="104"/>
        <v>#VALUE!</v>
      </c>
      <c r="Z51" s="63" t="str">
        <f>IFERROR(VLOOKUP(MID(U51,X51,Y51-X51),[5]skilldef!$C:$D,2,FALSE),"-") &amp; " / " &amp; IFERROR(VLOOKUP(MID(U51,V51,W51-V51),[5]skilldef!$A:$B,2,FALSE),"-")</f>
        <v>- / -</v>
      </c>
      <c r="AA51" s="50"/>
      <c r="AB51" s="52"/>
      <c r="AC51" s="50"/>
    </row>
    <row r="52" spans="1:29" ht="43" customHeight="1" x14ac:dyDescent="0.15">
      <c r="A52" s="117">
        <v>59003555</v>
      </c>
      <c r="B52" s="118" t="s">
        <v>586</v>
      </c>
      <c r="C52" s="119">
        <v>1</v>
      </c>
      <c r="D52" s="119" t="s">
        <v>126</v>
      </c>
      <c r="E52" s="120" t="s">
        <v>491</v>
      </c>
      <c r="F52" s="120" t="s">
        <v>577</v>
      </c>
      <c r="G52" s="150" t="s">
        <v>312</v>
      </c>
      <c r="H52" s="63" t="str">
        <f t="shared" si="90"/>
        <v>[effect:enemy_message, val1:1.2, val2:2.8]</v>
      </c>
      <c r="I52" s="63">
        <f t="shared" si="91"/>
        <v>9</v>
      </c>
      <c r="J52" s="63">
        <f t="shared" si="92"/>
        <v>22</v>
      </c>
      <c r="K52" s="63" t="e">
        <f t="shared" si="93"/>
        <v>#VALUE!</v>
      </c>
      <c r="L52" s="63">
        <f t="shared" si="94"/>
        <v>32</v>
      </c>
      <c r="M52" s="63" t="str">
        <f>IFERROR(VLOOKUP(MID(H52,K52,L52-K52),[5]skilldef!$C:$D,2,FALSE),"-") &amp; " / " &amp; IFERROR(VLOOKUP(MID(H52,I52,J52-I52),[5]skilldef!$A:$B,2,FALSE),"-")</f>
        <v>- / -</v>
      </c>
      <c r="N52" s="63" t="str">
        <f t="shared" si="95"/>
        <v>[effect:degrade_unit, target:unit_all, turn:2, status:action, val:2, calc:add, animation:enemy_tap_down],[effect:rush, count:5, val:0.3]</v>
      </c>
      <c r="O52" s="48" t="str">
        <f>IFERROR(LEFT(N52,FIND("],",N52)+#REF!),N52)</f>
        <v>[effect:degrade_unit, target:unit_all, turn:2, status:action, val:2, calc:add, animation:enemy_tap_down],[effect:rush, count:5, val:0.3]</v>
      </c>
      <c r="P52" s="63">
        <f t="shared" si="96"/>
        <v>9</v>
      </c>
      <c r="Q52" s="63">
        <f t="shared" si="97"/>
        <v>21</v>
      </c>
      <c r="R52" s="63">
        <f t="shared" si="98"/>
        <v>30</v>
      </c>
      <c r="S52" s="63">
        <f t="shared" si="99"/>
        <v>38</v>
      </c>
      <c r="T52" s="63" t="str">
        <f>IFERROR(VLOOKUP(MID(O52,R52,S52-R52),[5]skilldef!$C:$D,2,FALSE),"-") &amp; " / " &amp; IFERROR(VLOOKUP(MID(O52,P52,Q52-P52),[5]skilldef!$A:$B,2,FALSE),"-")</f>
        <v>味方全体に / ステータスDOWN</v>
      </c>
      <c r="U52" s="48" t="str">
        <f t="shared" si="100"/>
        <v>[effect:rush, count:5, val:0.3]</v>
      </c>
      <c r="V52" s="63">
        <f t="shared" si="101"/>
        <v>9</v>
      </c>
      <c r="W52" s="63">
        <f t="shared" si="102"/>
        <v>13</v>
      </c>
      <c r="X52" s="63" t="e">
        <f t="shared" si="103"/>
        <v>#VALUE!</v>
      </c>
      <c r="Y52" s="63">
        <f t="shared" si="104"/>
        <v>22</v>
      </c>
      <c r="Z52" s="63" t="str">
        <f>IFERROR(VLOOKUP(MID(U52,X52,Y52-X52),[5]skilldef!$C:$D,2,FALSE),"-") &amp; " / " &amp; IFERROR(VLOOKUP(MID(U52,V52,W52-V52),[5]skilldef!$A:$B,2,FALSE),"-")</f>
        <v>- / 連続攻撃</v>
      </c>
      <c r="AA52" s="50"/>
      <c r="AB52" s="52"/>
      <c r="AC52" s="50"/>
    </row>
    <row r="53" spans="1:29" ht="43" customHeight="1" x14ac:dyDescent="0.15">
      <c r="A53" s="117">
        <v>59003556</v>
      </c>
      <c r="B53" s="118" t="s">
        <v>379</v>
      </c>
      <c r="C53" s="119">
        <v>1</v>
      </c>
      <c r="D53" s="119" t="s">
        <v>126</v>
      </c>
      <c r="E53" s="120" t="s">
        <v>498</v>
      </c>
      <c r="F53" s="120" t="s">
        <v>313</v>
      </c>
      <c r="G53" s="150" t="s">
        <v>314</v>
      </c>
      <c r="H53" s="63" t="str">
        <f t="shared" ref="H53" si="105">IFERROR(LEFT(B53,FIND("],",B53)),B53)</f>
        <v>[effect:enemy_message, val1:1.6, val2:2.7]</v>
      </c>
      <c r="I53" s="63">
        <f t="shared" ref="I53" si="106">FIND("effect:",H53)+7</f>
        <v>9</v>
      </c>
      <c r="J53" s="63">
        <f t="shared" ref="J53" si="107">IFERROR(FIND(",",H53),LEN(H53))</f>
        <v>22</v>
      </c>
      <c r="K53" s="63" t="e">
        <f t="shared" ref="K53" si="108">FIND("target:",H53)+7</f>
        <v>#VALUE!</v>
      </c>
      <c r="L53" s="63">
        <f t="shared" ref="L53" si="109">FIND(",",H53,J53+1)</f>
        <v>32</v>
      </c>
      <c r="M53" s="63" t="str">
        <f>IFERROR(VLOOKUP(MID(H53,K53,L53-K53),[5]skilldef!$C:$D,2,FALSE),"-") &amp; " / " &amp; IFERROR(VLOOKUP(MID(H53,I53,J53-I53),[5]skilldef!$A:$B,2,FALSE),"-")</f>
        <v>- / -</v>
      </c>
      <c r="N53" s="63" t="str">
        <f t="shared" ref="N53" si="110">IFERROR(RIGHT(B53,LEN(B53)-FIND("],",B53)-1),"none")</f>
        <v>[effect:attack_break, target:unit_all, turn:2, val:0.8, calc:mul, animation:attack_break02],[effect:rush, count:5, val:0.3]</v>
      </c>
      <c r="O53" s="48" t="str">
        <f>IFERROR(LEFT(N53,FIND("],",N53)+#REF!),N53)</f>
        <v>[effect:attack_break, target:unit_all, turn:2, val:0.8, calc:mul, animation:attack_break02],[effect:rush, count:5, val:0.3]</v>
      </c>
      <c r="P53" s="63">
        <f t="shared" ref="P53" si="111">FIND("effect:",O53)+7</f>
        <v>9</v>
      </c>
      <c r="Q53" s="63">
        <f t="shared" ref="Q53" si="112">IFERROR(FIND(",",O53),LEN(O53))</f>
        <v>21</v>
      </c>
      <c r="R53" s="63">
        <f t="shared" ref="R53" si="113">FIND("target:",O53)+7</f>
        <v>30</v>
      </c>
      <c r="S53" s="63">
        <f t="shared" ref="S53" si="114">FIND(",",O53,Q53+1)</f>
        <v>38</v>
      </c>
      <c r="T53" s="63" t="str">
        <f>IFERROR(VLOOKUP(MID(O53,R53,S53-R53),[5]skilldef!$C:$D,2,FALSE),"-") &amp; " / " &amp; IFERROR(VLOOKUP(MID(O53,P53,Q53-P53),[5]skilldef!$A:$B,2,FALSE),"-")</f>
        <v>味方全体に / -</v>
      </c>
      <c r="U53" s="48" t="str">
        <f t="shared" ref="U53" si="115">IFERROR(RIGHT(N53,LEN(N53)-FIND("],",N53)-1),"none")</f>
        <v>[effect:rush, count:5, val:0.3]</v>
      </c>
      <c r="V53" s="63">
        <f t="shared" ref="V53" si="116">FIND("effect:",U53)+7</f>
        <v>9</v>
      </c>
      <c r="W53" s="63">
        <f t="shared" ref="W53" si="117">IFERROR(FIND(",",U53),LEN(U53))</f>
        <v>13</v>
      </c>
      <c r="X53" s="63" t="e">
        <f t="shared" ref="X53" si="118">FIND("target:",U53)+7</f>
        <v>#VALUE!</v>
      </c>
      <c r="Y53" s="63">
        <f t="shared" ref="Y53" si="119">FIND(",",U53,W53+1)</f>
        <v>22</v>
      </c>
      <c r="Z53" s="63" t="str">
        <f>IFERROR(VLOOKUP(MID(U53,X53,Y53-X53),[5]skilldef!$C:$D,2,FALSE),"-") &amp; " / " &amp; IFERROR(VLOOKUP(MID(U53,V53,W53-V53),[5]skilldef!$A:$B,2,FALSE),"-")</f>
        <v>- / 連続攻撃</v>
      </c>
      <c r="AA53" s="50"/>
      <c r="AB53" s="52"/>
      <c r="AC53" s="50"/>
    </row>
    <row r="54" spans="1:29" ht="43" customHeight="1" x14ac:dyDescent="0.15">
      <c r="A54" s="117">
        <v>59003557</v>
      </c>
      <c r="B54" s="118" t="s">
        <v>360</v>
      </c>
      <c r="C54" s="119">
        <v>1</v>
      </c>
      <c r="D54" s="119" t="s">
        <v>126</v>
      </c>
      <c r="E54" s="120" t="s">
        <v>593</v>
      </c>
      <c r="F54" s="120" t="s">
        <v>315</v>
      </c>
      <c r="G54" s="150" t="s">
        <v>302</v>
      </c>
      <c r="H54" s="63" t="str">
        <f t="shared" si="90"/>
        <v>[effect:enemy_message, val1:1.2, val2:2.4]</v>
      </c>
      <c r="I54" s="63">
        <f t="shared" si="91"/>
        <v>9</v>
      </c>
      <c r="J54" s="63">
        <f t="shared" si="92"/>
        <v>22</v>
      </c>
      <c r="K54" s="63" t="e">
        <f t="shared" si="93"/>
        <v>#VALUE!</v>
      </c>
      <c r="L54" s="63">
        <f t="shared" si="94"/>
        <v>32</v>
      </c>
      <c r="M54" s="63" t="str">
        <f>IFERROR(VLOOKUP(MID(H54,K54,L54-K54),[5]skilldef!$C:$D,2,FALSE),"-") &amp; " / " &amp; IFERROR(VLOOKUP(MID(H54,I54,J54-I54),[5]skilldef!$A:$B,2,FALSE),"-")</f>
        <v>- / -</v>
      </c>
      <c r="N54" s="63" t="str">
        <f t="shared" si="95"/>
        <v>[effect:break_attack_fix, target:unit_one, val:100, lowest_val:7000, count:-1, block01:damage],[effect:enhance_enemy, target:myself, turn:1, status:attack, val:0.3, calc:mul, animation:enemy_enhance_attack]</v>
      </c>
      <c r="O54" s="48" t="str">
        <f>IFERROR(LEFT(N54,FIND("],",N54)+#REF!),N54)</f>
        <v>[effect:break_attack_fix, target:unit_one, val:100, lowest_val:7000, count:-1, block01:damage],[effect:enhance_enemy, target:myself, turn:1, status:attack, val:0.3, calc:mul, animation:enemy_enhance_attack]</v>
      </c>
      <c r="P54" s="63">
        <f t="shared" si="96"/>
        <v>9</v>
      </c>
      <c r="Q54" s="63">
        <f t="shared" si="97"/>
        <v>25</v>
      </c>
      <c r="R54" s="63">
        <f t="shared" si="98"/>
        <v>34</v>
      </c>
      <c r="S54" s="63">
        <f t="shared" si="99"/>
        <v>42</v>
      </c>
      <c r="T54" s="63" t="str">
        <f>IFERROR(VLOOKUP(MID(O54,R54,S54-R54),[5]skilldef!$C:$D,2,FALSE),"-") &amp; " / " &amp; IFERROR(VLOOKUP(MID(O54,P54,Q54-P54),[5]skilldef!$A:$B,2,FALSE),"-")</f>
        <v>味方単体に / -</v>
      </c>
      <c r="U54" s="48" t="str">
        <f t="shared" si="100"/>
        <v>[effect:enhance_enemy, target:myself, turn:1, status:attack, val:0.3, calc:mul, animation:enemy_enhance_attack]</v>
      </c>
      <c r="V54" s="63">
        <f t="shared" si="101"/>
        <v>9</v>
      </c>
      <c r="W54" s="63">
        <f t="shared" si="102"/>
        <v>22</v>
      </c>
      <c r="X54" s="63">
        <f t="shared" si="103"/>
        <v>31</v>
      </c>
      <c r="Y54" s="63">
        <f t="shared" si="104"/>
        <v>37</v>
      </c>
      <c r="Z54" s="63" t="str">
        <f>IFERROR(VLOOKUP(MID(U54,X54,Y54-X54),[5]skilldef!$C:$D,2,FALSE),"-") &amp; " / " &amp; IFERROR(VLOOKUP(MID(U54,V54,W54-V54),[5]skilldef!$A:$B,2,FALSE),"-")</f>
        <v>自分自身に / ステータス強化</v>
      </c>
      <c r="AA54" s="50"/>
      <c r="AB54" s="52"/>
      <c r="AC54" s="50"/>
    </row>
    <row r="55" spans="1:29" ht="43" customHeight="1" x14ac:dyDescent="0.15">
      <c r="A55" s="117">
        <v>59003558</v>
      </c>
      <c r="B55" s="118" t="s">
        <v>362</v>
      </c>
      <c r="C55" s="119">
        <v>1</v>
      </c>
      <c r="D55" s="119" t="s">
        <v>126</v>
      </c>
      <c r="E55" s="120" t="s">
        <v>499</v>
      </c>
      <c r="F55" s="120" t="s">
        <v>361</v>
      </c>
      <c r="G55" s="150" t="s">
        <v>302</v>
      </c>
      <c r="H55" s="63" t="str">
        <f t="shared" ref="H55:H56" si="120">IFERROR(LEFT(B55,FIND("],",B55)),B55)</f>
        <v>[effect:enemy_message, val1:1.2, val2:0.0]</v>
      </c>
      <c r="I55" s="63">
        <f t="shared" ref="I55:I56" si="121">FIND("effect:",H55)+7</f>
        <v>9</v>
      </c>
      <c r="J55" s="63">
        <f t="shared" ref="J55:J56" si="122">IFERROR(FIND(",",H55),LEN(H55))</f>
        <v>22</v>
      </c>
      <c r="K55" s="63" t="e">
        <f t="shared" ref="K55:K56" si="123">FIND("target:",H55)+7</f>
        <v>#VALUE!</v>
      </c>
      <c r="L55" s="63">
        <f t="shared" ref="L55:L56" si="124">FIND(",",H55,J55+1)</f>
        <v>32</v>
      </c>
      <c r="M55" s="63" t="str">
        <f>IFERROR(VLOOKUP(MID(H55,K55,L55-K55),[5]skilldef!$C:$D,2,FALSE),"-") &amp; " / " &amp; IFERROR(VLOOKUP(MID(H55,I55,J55-I55),[5]skilldef!$A:$B,2,FALSE),"-")</f>
        <v>- / -</v>
      </c>
      <c r="N55" s="63" t="str">
        <f t="shared" ref="N55:N56" si="125">IFERROR(RIGHT(B55,LEN(B55)-FIND("],",B55)-1),"none")</f>
        <v>none</v>
      </c>
      <c r="O55" s="48" t="str">
        <f>IFERROR(LEFT(N55,FIND("],",N55)+#REF!),N55)</f>
        <v>none</v>
      </c>
      <c r="P55" s="63" t="e">
        <f t="shared" ref="P55:P56" si="126">FIND("effect:",O55)+7</f>
        <v>#VALUE!</v>
      </c>
      <c r="Q55" s="63">
        <f t="shared" ref="Q55:Q56" si="127">IFERROR(FIND(",",O55),LEN(O55))</f>
        <v>4</v>
      </c>
      <c r="R55" s="63" t="e">
        <f t="shared" ref="R55:R56" si="128">FIND("target:",O55)+7</f>
        <v>#VALUE!</v>
      </c>
      <c r="S55" s="63" t="e">
        <f t="shared" ref="S55:S56" si="129">FIND(",",O55,Q55+1)</f>
        <v>#VALUE!</v>
      </c>
      <c r="T55" s="63" t="str">
        <f>IFERROR(VLOOKUP(MID(O55,R55,S55-R55),[5]skilldef!$C:$D,2,FALSE),"-") &amp; " / " &amp; IFERROR(VLOOKUP(MID(O55,P55,Q55-P55),[5]skilldef!$A:$B,2,FALSE),"-")</f>
        <v>- / -</v>
      </c>
      <c r="U55" s="48" t="str">
        <f t="shared" ref="U55:U56" si="130">IFERROR(RIGHT(N55,LEN(N55)-FIND("],",N55)-1),"none")</f>
        <v>none</v>
      </c>
      <c r="V55" s="63" t="e">
        <f t="shared" ref="V55:V56" si="131">FIND("effect:",U55)+7</f>
        <v>#VALUE!</v>
      </c>
      <c r="W55" s="63">
        <f t="shared" ref="W55:W56" si="132">IFERROR(FIND(",",U55),LEN(U55))</f>
        <v>4</v>
      </c>
      <c r="X55" s="63" t="e">
        <f t="shared" ref="X55:X56" si="133">FIND("target:",U55)+7</f>
        <v>#VALUE!</v>
      </c>
      <c r="Y55" s="63" t="e">
        <f t="shared" ref="Y55:Y56" si="134">FIND(",",U55,W55+1)</f>
        <v>#VALUE!</v>
      </c>
      <c r="Z55" s="63" t="str">
        <f>IFERROR(VLOOKUP(MID(U55,X55,Y55-X55),[5]skilldef!$C:$D,2,FALSE),"-") &amp; " / " &amp; IFERROR(VLOOKUP(MID(U55,V55,W55-V55),[5]skilldef!$A:$B,2,FALSE),"-")</f>
        <v>- / -</v>
      </c>
      <c r="AA55" s="50"/>
      <c r="AB55" s="52"/>
      <c r="AC55" s="50"/>
    </row>
    <row r="56" spans="1:29" ht="43" customHeight="1" x14ac:dyDescent="0.15">
      <c r="A56" s="140">
        <v>59003601</v>
      </c>
      <c r="B56" s="47" t="s">
        <v>297</v>
      </c>
      <c r="C56" s="50">
        <v>1</v>
      </c>
      <c r="D56" s="50" t="s">
        <v>126</v>
      </c>
      <c r="E56" s="51" t="s">
        <v>500</v>
      </c>
      <c r="F56" s="51" t="s">
        <v>348</v>
      </c>
      <c r="G56" s="150"/>
      <c r="H56" s="63" t="str">
        <f t="shared" si="120"/>
        <v>[effect:enemy_message, val1:1.2, val2:2.3]</v>
      </c>
      <c r="I56" s="63">
        <f t="shared" si="121"/>
        <v>9</v>
      </c>
      <c r="J56" s="63">
        <f t="shared" si="122"/>
        <v>22</v>
      </c>
      <c r="K56" s="63" t="e">
        <f t="shared" si="123"/>
        <v>#VALUE!</v>
      </c>
      <c r="L56" s="63">
        <f t="shared" si="124"/>
        <v>32</v>
      </c>
      <c r="M56" s="63" t="str">
        <f>IFERROR(VLOOKUP(MID(H56,K56,L56-K56),[5]skilldef!$C:$D,2,FALSE),"-") &amp; " / " &amp; IFERROR(VLOOKUP(MID(H56,I56,J56-I56),[5]skilldef!$A:$B,2,FALSE),"-")</f>
        <v>- / -</v>
      </c>
      <c r="N56" s="63" t="str">
        <f t="shared" si="125"/>
        <v>[effect:fix_speed, target:myself, turn:1],[effect:dis_panel, target:block_green, turn:3, animation:enemy_dis_green],[effect:dis_panel, target:block_blue, turn:3, animation:enemy_dis_blue],[effect:dis_heart, turn:3, animation:enemy_dis_heart],[effect:tolerance, target:myself, turn:-1, count:-1, tolerance_effect:all, animation:enemy_tolerance]</v>
      </c>
      <c r="O56" s="48" t="str">
        <f>IFERROR(LEFT(N56,FIND("],",N56)+#REF!),N56)</f>
        <v>[effect:fix_speed, target:myself, turn:1],[effect:dis_panel, target:block_green, turn:3, animation:enemy_dis_green],[effect:dis_panel, target:block_blue, turn:3, animation:enemy_dis_blue],[effect:dis_heart, turn:3, animation:enemy_dis_heart],[effect:tolerance, target:myself, turn:-1, count:-1, tolerance_effect:all, animation:enemy_tolerance]</v>
      </c>
      <c r="P56" s="63">
        <f t="shared" si="126"/>
        <v>9</v>
      </c>
      <c r="Q56" s="63">
        <f t="shared" si="127"/>
        <v>18</v>
      </c>
      <c r="R56" s="63">
        <f t="shared" si="128"/>
        <v>27</v>
      </c>
      <c r="S56" s="63">
        <f t="shared" si="129"/>
        <v>33</v>
      </c>
      <c r="T56" s="63" t="str">
        <f>IFERROR(VLOOKUP(MID(O56,R56,S56-R56),[5]skilldef!$C:$D,2,FALSE),"-") &amp; " / " &amp; IFERROR(VLOOKUP(MID(O56,P56,Q56-P56),[5]skilldef!$A:$B,2,FALSE),"-")</f>
        <v>自分自身に / 行動値設定</v>
      </c>
      <c r="U56" s="48" t="str">
        <f t="shared" si="130"/>
        <v>[effect:dis_panel, target:block_green, turn:3, animation:enemy_dis_green],[effect:dis_panel, target:block_blue, turn:3, animation:enemy_dis_blue],[effect:dis_heart, turn:3, animation:enemy_dis_heart],[effect:tolerance, target:myself, turn:-1, count:-1, tolerance_effect:all, animation:enemy_tolerance]</v>
      </c>
      <c r="V56" s="63">
        <f t="shared" si="131"/>
        <v>9</v>
      </c>
      <c r="W56" s="63">
        <f t="shared" si="132"/>
        <v>18</v>
      </c>
      <c r="X56" s="63">
        <f t="shared" si="133"/>
        <v>27</v>
      </c>
      <c r="Y56" s="63">
        <f t="shared" si="134"/>
        <v>38</v>
      </c>
      <c r="Z56" s="63" t="str">
        <f>IFERROR(VLOOKUP(MID(U56,X56,Y56-X56),[5]skilldef!$C:$D,2,FALSE),"-") &amp; " / " &amp; IFERROR(VLOOKUP(MID(U56,V56,W56-V56),[5]skilldef!$A:$B,2,FALSE),"-")</f>
        <v>緑パネルを / ディスパネル</v>
      </c>
      <c r="AA56" s="50"/>
      <c r="AB56" s="52"/>
      <c r="AC56" s="50"/>
    </row>
    <row r="57" spans="1:29" ht="43" customHeight="1" x14ac:dyDescent="0.15">
      <c r="A57" s="140">
        <v>59003602</v>
      </c>
      <c r="B57" s="47" t="s">
        <v>658</v>
      </c>
      <c r="C57" s="50">
        <v>1</v>
      </c>
      <c r="D57" s="50" t="s">
        <v>126</v>
      </c>
      <c r="E57" s="51" t="s">
        <v>595</v>
      </c>
      <c r="F57" s="51" t="s">
        <v>349</v>
      </c>
      <c r="G57" s="150" t="s">
        <v>316</v>
      </c>
      <c r="H57" s="63" t="str">
        <f t="shared" ref="H57:H62" si="135">IFERROR(LEFT(B57,FIND("],",B57)),B57)</f>
        <v>[effect:enemy_message, val1:1.4, val2:2.5]</v>
      </c>
      <c r="I57" s="63">
        <f t="shared" ref="I57:I62" si="136">FIND("effect:",H57)+7</f>
        <v>9</v>
      </c>
      <c r="J57" s="63">
        <f t="shared" ref="J57:J62" si="137">IFERROR(FIND(",",H57),LEN(H57))</f>
        <v>22</v>
      </c>
      <c r="K57" s="63" t="e">
        <f t="shared" ref="K57:K62" si="138">FIND("target:",H57)+7</f>
        <v>#VALUE!</v>
      </c>
      <c r="L57" s="63">
        <f t="shared" ref="L57:L62" si="139">FIND(",",H57,J57+1)</f>
        <v>32</v>
      </c>
      <c r="M57" s="63" t="str">
        <f>IFERROR(VLOOKUP(MID(H57,K57,L57-K57),[5]skilldef!$C:$D,2,FALSE),"-") &amp; " / " &amp; IFERROR(VLOOKUP(MID(H57,I57,J57-I57),[5]skilldef!$A:$B,2,FALSE),"-")</f>
        <v>- / -</v>
      </c>
      <c r="N57" s="63" t="str">
        <f t="shared" ref="N57:N62" si="140">IFERROR(RIGHT(B57,LEN(B57)-FIND("],",B57)-1),"none")</f>
        <v>[effect:damage_anti_abnormal, target:unit_one, target_effect01:counter_new, option:1, val1:1.0, val2:0.3],[effect:damage_anti_abnormal, target:unit_one, target_effect01:counter_new, option:1, val1:1.0, val2:0.3],[effect:damage_anti_abnormal, target:unit_one, target_effect01:counter_new, option:1, val1:1.0, val2:0.3]</v>
      </c>
      <c r="O57" s="48" t="str">
        <f>IFERROR(LEFT(N57,FIND("],",N57)+#REF!),N57)</f>
        <v>[effect:damage_anti_abnormal, target:unit_one, target_effect01:counter_new, option:1, val1:1.0, val2:0.3],[effect:damage_anti_abnormal, target:unit_one, target_effect01:counter_new, option:1, val1:1.0, val2:0.3],[effect:damage_anti_abnormal, target:unit_one, target_effect01:counter_new, option:1, val1:1.0, val2:0.3]</v>
      </c>
      <c r="P57" s="63">
        <f t="shared" ref="P57:P62" si="141">FIND("effect:",O57)+7</f>
        <v>9</v>
      </c>
      <c r="Q57" s="63">
        <f t="shared" ref="Q57:Q62" si="142">IFERROR(FIND(",",O57),LEN(O57))</f>
        <v>29</v>
      </c>
      <c r="R57" s="63">
        <f t="shared" ref="R57:R62" si="143">FIND("target:",O57)+7</f>
        <v>38</v>
      </c>
      <c r="S57" s="63">
        <f t="shared" ref="S57:S62" si="144">FIND(",",O57,Q57+1)</f>
        <v>46</v>
      </c>
      <c r="T57" s="63" t="str">
        <f>IFERROR(VLOOKUP(MID(O57,R57,S57-R57),[5]skilldef!$C:$D,2,FALSE),"-") &amp; " / " &amp; IFERROR(VLOOKUP(MID(O57,P57,Q57-P57),[5]skilldef!$A:$B,2,FALSE),"-")</f>
        <v>味方単体に / -</v>
      </c>
      <c r="U57" s="48" t="str">
        <f t="shared" ref="U57:U62" si="145">IFERROR(RIGHT(N57,LEN(N57)-FIND("],",N57)-1),"none")</f>
        <v>[effect:damage_anti_abnormal, target:unit_one, target_effect01:counter_new, option:1, val1:1.0, val2:0.3],[effect:damage_anti_abnormal, target:unit_one, target_effect01:counter_new, option:1, val1:1.0, val2:0.3]</v>
      </c>
      <c r="V57" s="63">
        <f t="shared" ref="V57:V62" si="146">FIND("effect:",U57)+7</f>
        <v>9</v>
      </c>
      <c r="W57" s="63">
        <f t="shared" ref="W57:W62" si="147">IFERROR(FIND(",",U57),LEN(U57))</f>
        <v>29</v>
      </c>
      <c r="X57" s="63">
        <f t="shared" ref="X57:X62" si="148">FIND("target:",U57)+7</f>
        <v>38</v>
      </c>
      <c r="Y57" s="63">
        <f t="shared" ref="Y57:Y62" si="149">FIND(",",U57,W57+1)</f>
        <v>46</v>
      </c>
      <c r="Z57" s="63" t="str">
        <f>IFERROR(VLOOKUP(MID(U57,X57,Y57-X57),[5]skilldef!$C:$D,2,FALSE),"-") &amp; " / " &amp; IFERROR(VLOOKUP(MID(U57,V57,W57-V57),[5]skilldef!$A:$B,2,FALSE),"-")</f>
        <v>味方単体に / -</v>
      </c>
      <c r="AA57" s="50"/>
      <c r="AB57" s="52"/>
      <c r="AC57" s="50"/>
    </row>
    <row r="58" spans="1:29" ht="43" customHeight="1" x14ac:dyDescent="0.15">
      <c r="A58" s="140">
        <v>59003603</v>
      </c>
      <c r="B58" s="47" t="s">
        <v>553</v>
      </c>
      <c r="C58" s="50">
        <v>1</v>
      </c>
      <c r="D58" s="50" t="s">
        <v>126</v>
      </c>
      <c r="E58" s="51" t="s">
        <v>501</v>
      </c>
      <c r="F58" s="51" t="s">
        <v>539</v>
      </c>
      <c r="G58" s="150" t="s">
        <v>317</v>
      </c>
      <c r="H58" s="63" t="str">
        <f t="shared" si="135"/>
        <v>[effect:enemy_message, val1:1.2, val2:3.6]</v>
      </c>
      <c r="I58" s="63">
        <f t="shared" si="136"/>
        <v>9</v>
      </c>
      <c r="J58" s="63">
        <f t="shared" si="137"/>
        <v>22</v>
      </c>
      <c r="K58" s="63" t="e">
        <f t="shared" si="138"/>
        <v>#VALUE!</v>
      </c>
      <c r="L58" s="63">
        <f t="shared" si="139"/>
        <v>32</v>
      </c>
      <c r="M58" s="63" t="str">
        <f>IFERROR(VLOOKUP(MID(H58,K58,L58-K58),[5]skilldef!$C:$D,2,FALSE),"-") &amp; " / " &amp; IFERROR(VLOOKUP(MID(H58,I58,J58-I58),[5]skilldef!$A:$B,2,FALSE),"-")</f>
        <v>- / -</v>
      </c>
      <c r="N58" s="63" t="str">
        <f t="shared" si="140"/>
        <v>[effect:change_range_block, block_change:1, base_type:0, square_count:3, position01:7, value_h01:1, value_w01:1, position02:5, value_h02:2,  value_w02:1, new_block:damage, target:block_all, ignore01:block_positive, count:0, val:0.05, animation:change_range_block],[effect:change_range_block, block_change:1, base_type:0, square_count:3, position01:2, value_h01:1, value_w01:1, new_block:time_bomb, target:block_all, ignore01:block_positive, color:block_red, count:0, val:0.1, min_time_count:2, max_time_count:2, animation:change_range_block],[effect:rush, count:1, val:1.0]</v>
      </c>
      <c r="O58" s="48" t="str">
        <f>IFERROR(LEFT(N58,FIND("],",N58)+#REF!),N58)</f>
        <v>[effect:change_range_block, block_change:1, base_type:0, square_count:3, position01:7, value_h01:1, value_w01:1, position02:5, value_h02:2,  value_w02:1, new_block:damage, target:block_all, ignore01:block_positive, count:0, val:0.05, animation:change_range_block],[effect:change_range_block, block_change:1, base_type:0, square_count:3, position01:2, value_h01:1, value_w01:1, new_block:time_bomb, target:block_all, ignore01:block_positive, color:block_red, count:0, val:0.1, min_time_count:2, max_time_count:2, animation:change_range_block],[effect:rush, count:1, val:1.0]</v>
      </c>
      <c r="P58" s="63">
        <f t="shared" si="141"/>
        <v>9</v>
      </c>
      <c r="Q58" s="63">
        <f t="shared" si="142"/>
        <v>27</v>
      </c>
      <c r="R58" s="63">
        <f t="shared" si="143"/>
        <v>180</v>
      </c>
      <c r="S58" s="63">
        <f t="shared" si="144"/>
        <v>43</v>
      </c>
      <c r="T58" s="63" t="str">
        <f>IFERROR(VLOOKUP(MID(O58,R58,S58-R58),[5]skilldef!$C:$D,2,FALSE),"-") &amp; " / " &amp; IFERROR(VLOOKUP(MID(O58,P58,Q58-P58),[5]skilldef!$A:$B,2,FALSE),"-")</f>
        <v>- / -</v>
      </c>
      <c r="U58" s="48" t="str">
        <f t="shared" si="145"/>
        <v>[effect:change_range_block, block_change:1, base_type:0, square_count:3, position01:2, value_h01:1, value_w01:1, new_block:time_bomb, target:block_all, ignore01:block_positive, color:block_red, count:0, val:0.1, min_time_count:2, max_time_count:2, animation:change_range_block],[effect:rush, count:1, val:1.0]</v>
      </c>
      <c r="V58" s="63">
        <f t="shared" si="146"/>
        <v>9</v>
      </c>
      <c r="W58" s="63">
        <f t="shared" si="147"/>
        <v>27</v>
      </c>
      <c r="X58" s="63">
        <f t="shared" si="148"/>
        <v>142</v>
      </c>
      <c r="Y58" s="63">
        <f t="shared" si="149"/>
        <v>43</v>
      </c>
      <c r="Z58" s="63" t="str">
        <f>IFERROR(VLOOKUP(MID(U58,X58,Y58-X58),[5]skilldef!$C:$D,2,FALSE),"-") &amp; " / " &amp; IFERROR(VLOOKUP(MID(U58,V58,W58-V58),[5]skilldef!$A:$B,2,FALSE),"-")</f>
        <v>- / -</v>
      </c>
      <c r="AA58" s="50"/>
      <c r="AB58" s="52"/>
      <c r="AC58" s="50"/>
    </row>
    <row r="59" spans="1:29" ht="43" customHeight="1" x14ac:dyDescent="0.15">
      <c r="A59" s="140">
        <v>59003604</v>
      </c>
      <c r="B59" s="47" t="s">
        <v>554</v>
      </c>
      <c r="C59" s="50">
        <v>1</v>
      </c>
      <c r="D59" s="50" t="s">
        <v>126</v>
      </c>
      <c r="E59" s="51" t="s">
        <v>502</v>
      </c>
      <c r="F59" s="51" t="s">
        <v>540</v>
      </c>
      <c r="G59" s="150" t="s">
        <v>318</v>
      </c>
      <c r="H59" s="63" t="str">
        <f t="shared" si="135"/>
        <v>[effect:enemy_message, val1:1.2, val2:2.6]</v>
      </c>
      <c r="I59" s="63">
        <f t="shared" si="136"/>
        <v>9</v>
      </c>
      <c r="J59" s="63">
        <f t="shared" si="137"/>
        <v>22</v>
      </c>
      <c r="K59" s="63" t="e">
        <f t="shared" si="138"/>
        <v>#VALUE!</v>
      </c>
      <c r="L59" s="63">
        <f t="shared" si="139"/>
        <v>32</v>
      </c>
      <c r="M59" s="63" t="str">
        <f>IFERROR(VLOOKUP(MID(H59,K59,L59-K59),[5]skilldef!$C:$D,2,FALSE),"-") &amp; " / " &amp; IFERROR(VLOOKUP(MID(H59,I59,J59-I59),[5]skilldef!$A:$B,2,FALSE),"-")</f>
        <v>- / -</v>
      </c>
      <c r="N59" s="63" t="str">
        <f t="shared" si="140"/>
        <v>[effect:change_range_block, block_change:1, base_type:0, square_count:7, position01:21, value_h01:1, value_w01:7, new_block:time_bomb, target:block_all, ignore01:block_positive, color:block_blue, count:0, val:0.1, min_time_count:2, max_time_count:2, animation:change_range_block],[effect:rush, count:1, val:1.0]</v>
      </c>
      <c r="O59" s="48" t="str">
        <f>IFERROR(LEFT(N59,FIND("],",N59)+#REF!),N59)</f>
        <v>[effect:change_range_block, block_change:1, base_type:0, square_count:7, position01:21, value_h01:1, value_w01:7, new_block:time_bomb, target:block_all, ignore01:block_positive, color:block_blue, count:0, val:0.1, min_time_count:2, max_time_count:2, animation:change_range_block],[effect:rush, count:1, val:1.0]</v>
      </c>
      <c r="P59" s="63">
        <f t="shared" si="141"/>
        <v>9</v>
      </c>
      <c r="Q59" s="63">
        <f t="shared" si="142"/>
        <v>27</v>
      </c>
      <c r="R59" s="63">
        <f t="shared" si="143"/>
        <v>143</v>
      </c>
      <c r="S59" s="63">
        <f t="shared" si="144"/>
        <v>43</v>
      </c>
      <c r="T59" s="63" t="str">
        <f>IFERROR(VLOOKUP(MID(O59,R59,S59-R59),[5]skilldef!$C:$D,2,FALSE),"-") &amp; " / " &amp; IFERROR(VLOOKUP(MID(O59,P59,Q59-P59),[5]skilldef!$A:$B,2,FALSE),"-")</f>
        <v>- / -</v>
      </c>
      <c r="U59" s="48" t="str">
        <f t="shared" si="145"/>
        <v>[effect:rush, count:1, val:1.0]</v>
      </c>
      <c r="V59" s="63">
        <f t="shared" si="146"/>
        <v>9</v>
      </c>
      <c r="W59" s="63">
        <f t="shared" si="147"/>
        <v>13</v>
      </c>
      <c r="X59" s="63" t="e">
        <f t="shared" si="148"/>
        <v>#VALUE!</v>
      </c>
      <c r="Y59" s="63">
        <f t="shared" si="149"/>
        <v>22</v>
      </c>
      <c r="Z59" s="63" t="str">
        <f>IFERROR(VLOOKUP(MID(U59,X59,Y59-X59),[5]skilldef!$C:$D,2,FALSE),"-") &amp; " / " &amp; IFERROR(VLOOKUP(MID(U59,V59,W59-V59),[5]skilldef!$A:$B,2,FALSE),"-")</f>
        <v>- / 連続攻撃</v>
      </c>
      <c r="AA59" s="50"/>
      <c r="AB59" s="52"/>
      <c r="AC59" s="50"/>
    </row>
    <row r="60" spans="1:29" ht="43" customHeight="1" x14ac:dyDescent="0.15">
      <c r="A60" s="140">
        <v>59003605</v>
      </c>
      <c r="B60" s="47" t="s">
        <v>555</v>
      </c>
      <c r="C60" s="50">
        <v>1</v>
      </c>
      <c r="D60" s="50" t="s">
        <v>126</v>
      </c>
      <c r="E60" s="51" t="s">
        <v>503</v>
      </c>
      <c r="F60" s="51" t="s">
        <v>319</v>
      </c>
      <c r="G60" s="150" t="s">
        <v>320</v>
      </c>
      <c r="H60" s="63" t="str">
        <f t="shared" si="135"/>
        <v>[effect:enemy_message, val1:1.2, val2:2.6]</v>
      </c>
      <c r="I60" s="63">
        <f t="shared" si="136"/>
        <v>9</v>
      </c>
      <c r="J60" s="63">
        <f t="shared" si="137"/>
        <v>22</v>
      </c>
      <c r="K60" s="63" t="e">
        <f t="shared" si="138"/>
        <v>#VALUE!</v>
      </c>
      <c r="L60" s="63">
        <f t="shared" si="139"/>
        <v>32</v>
      </c>
      <c r="M60" s="63" t="str">
        <f>IFERROR(VLOOKUP(MID(H60,K60,L60-K60),[5]skilldef!$C:$D,2,FALSE),"-") &amp; " / " &amp; IFERROR(VLOOKUP(MID(H60,I60,J60-I60),[5]skilldef!$A:$B,2,FALSE),"-")</f>
        <v>- / -</v>
      </c>
      <c r="N60" s="63" t="str">
        <f t="shared" si="140"/>
        <v>[effect:change_range_block, block_change:1, base_type:0, square_count:3, position01:2, value_h01:3, value_w01:1, new_block:damage, target:block_all, ignore01:block_positive, color:block_red, count:0, val:0.05, animation:change_range_block],[effect:critical, val:1.25, animation:enemy_critical]</v>
      </c>
      <c r="O60" s="48" t="str">
        <f>IFERROR(LEFT(N60,FIND("],",N60)+#REF!),N60)</f>
        <v>[effect:change_range_block, block_change:1, base_type:0, square_count:3, position01:2, value_h01:3, value_w01:1, new_block:damage, target:block_all, ignore01:block_positive, color:block_red, count:0, val:0.05, animation:change_range_block],[effect:critical, val:1.25, animation:enemy_critical]</v>
      </c>
      <c r="P60" s="63">
        <f t="shared" si="141"/>
        <v>9</v>
      </c>
      <c r="Q60" s="63">
        <f t="shared" si="142"/>
        <v>27</v>
      </c>
      <c r="R60" s="63">
        <f t="shared" si="143"/>
        <v>139</v>
      </c>
      <c r="S60" s="63">
        <f t="shared" si="144"/>
        <v>43</v>
      </c>
      <c r="T60" s="63" t="str">
        <f>IFERROR(VLOOKUP(MID(O60,R60,S60-R60),[5]skilldef!$C:$D,2,FALSE),"-") &amp; " / " &amp; IFERROR(VLOOKUP(MID(O60,P60,Q60-P60),[5]skilldef!$A:$B,2,FALSE),"-")</f>
        <v>- / -</v>
      </c>
      <c r="U60" s="48" t="str">
        <f t="shared" si="145"/>
        <v>[effect:critical, val:1.25, animation:enemy_critical]</v>
      </c>
      <c r="V60" s="63">
        <f t="shared" si="146"/>
        <v>9</v>
      </c>
      <c r="W60" s="63">
        <f t="shared" si="147"/>
        <v>17</v>
      </c>
      <c r="X60" s="63" t="e">
        <f t="shared" si="148"/>
        <v>#VALUE!</v>
      </c>
      <c r="Y60" s="63">
        <f t="shared" si="149"/>
        <v>27</v>
      </c>
      <c r="Z60" s="63" t="str">
        <f>IFERROR(VLOOKUP(MID(U60,X60,Y60-X60),[5]skilldef!$C:$D,2,FALSE),"-") &amp; " / " &amp; IFERROR(VLOOKUP(MID(U60,V60,W60-V60),[5]skilldef!$A:$B,2,FALSE),"-")</f>
        <v>- / 大攻撃</v>
      </c>
      <c r="AA60" s="50"/>
      <c r="AB60" s="52"/>
      <c r="AC60" s="50"/>
    </row>
    <row r="61" spans="1:29" ht="43" customHeight="1" x14ac:dyDescent="0.15">
      <c r="A61" s="140">
        <v>59003606</v>
      </c>
      <c r="B61" s="47" t="s">
        <v>556</v>
      </c>
      <c r="C61" s="50">
        <v>1</v>
      </c>
      <c r="D61" s="50" t="s">
        <v>126</v>
      </c>
      <c r="E61" s="51" t="s">
        <v>503</v>
      </c>
      <c r="F61" s="51" t="s">
        <v>321</v>
      </c>
      <c r="G61" s="150" t="s">
        <v>322</v>
      </c>
      <c r="H61" s="63" t="str">
        <f t="shared" si="135"/>
        <v>[effect:enemy_message, val1:1.2, val2:2.6]</v>
      </c>
      <c r="I61" s="63">
        <f t="shared" si="136"/>
        <v>9</v>
      </c>
      <c r="J61" s="63">
        <f t="shared" si="137"/>
        <v>22</v>
      </c>
      <c r="K61" s="63" t="e">
        <f t="shared" si="138"/>
        <v>#VALUE!</v>
      </c>
      <c r="L61" s="63">
        <f t="shared" si="139"/>
        <v>32</v>
      </c>
      <c r="M61" s="63" t="str">
        <f>IFERROR(VLOOKUP(MID(H61,K61,L61-K61),[5]skilldef!$C:$D,2,FALSE),"-") &amp; " / " &amp; IFERROR(VLOOKUP(MID(H61,I61,J61-I61),[5]skilldef!$A:$B,2,FALSE),"-")</f>
        <v>- / -</v>
      </c>
      <c r="N61" s="63" t="str">
        <f t="shared" si="140"/>
        <v>[effect:change_range_block, block_change:1, base_type:0, square_count:3, position01:0, value_h01:3, value_w01:1, new_block:damage, target:block_all, ignore01:block_positive, color:block_red, count:0, val:0.05, animation:change_range_block],[effect:critical, val:1.25, animation:enemy_critical]</v>
      </c>
      <c r="O61" s="48" t="str">
        <f>IFERROR(LEFT(N61,FIND("],",N61)+#REF!),N61)</f>
        <v>[effect:change_range_block, block_change:1, base_type:0, square_count:3, position01:0, value_h01:3, value_w01:1, new_block:damage, target:block_all, ignore01:block_positive, color:block_red, count:0, val:0.05, animation:change_range_block],[effect:critical, val:1.25, animation:enemy_critical]</v>
      </c>
      <c r="P61" s="63">
        <f t="shared" si="141"/>
        <v>9</v>
      </c>
      <c r="Q61" s="63">
        <f t="shared" si="142"/>
        <v>27</v>
      </c>
      <c r="R61" s="63">
        <f t="shared" si="143"/>
        <v>139</v>
      </c>
      <c r="S61" s="63">
        <f t="shared" si="144"/>
        <v>43</v>
      </c>
      <c r="T61" s="63" t="str">
        <f>IFERROR(VLOOKUP(MID(O61,R61,S61-R61),[5]skilldef!$C:$D,2,FALSE),"-") &amp; " / " &amp; IFERROR(VLOOKUP(MID(O61,P61,Q61-P61),[5]skilldef!$A:$B,2,FALSE),"-")</f>
        <v>- / -</v>
      </c>
      <c r="U61" s="48" t="str">
        <f t="shared" si="145"/>
        <v>[effect:critical, val:1.25, animation:enemy_critical]</v>
      </c>
      <c r="V61" s="63">
        <f t="shared" si="146"/>
        <v>9</v>
      </c>
      <c r="W61" s="63">
        <f t="shared" si="147"/>
        <v>17</v>
      </c>
      <c r="X61" s="63" t="e">
        <f t="shared" si="148"/>
        <v>#VALUE!</v>
      </c>
      <c r="Y61" s="63">
        <f t="shared" si="149"/>
        <v>27</v>
      </c>
      <c r="Z61" s="63" t="str">
        <f>IFERROR(VLOOKUP(MID(U61,X61,Y61-X61),[5]skilldef!$C:$D,2,FALSE),"-") &amp; " / " &amp; IFERROR(VLOOKUP(MID(U61,V61,W61-V61),[5]skilldef!$A:$B,2,FALSE),"-")</f>
        <v>- / 大攻撃</v>
      </c>
      <c r="AA61" s="50"/>
      <c r="AB61" s="52"/>
      <c r="AC61" s="50"/>
    </row>
    <row r="62" spans="1:29" ht="43" customHeight="1" x14ac:dyDescent="0.15">
      <c r="A62" s="140">
        <v>59003607</v>
      </c>
      <c r="B62" s="47" t="s">
        <v>522</v>
      </c>
      <c r="C62" s="50">
        <v>1</v>
      </c>
      <c r="D62" s="50" t="s">
        <v>126</v>
      </c>
      <c r="E62" s="51" t="s">
        <v>517</v>
      </c>
      <c r="F62" s="51" t="s">
        <v>518</v>
      </c>
      <c r="G62" s="150"/>
      <c r="H62" s="63" t="str">
        <f t="shared" si="135"/>
        <v>[effect:enemy_message, val1:1.6, val2:5.0]</v>
      </c>
      <c r="I62" s="63">
        <f t="shared" si="136"/>
        <v>9</v>
      </c>
      <c r="J62" s="63">
        <f t="shared" si="137"/>
        <v>22</v>
      </c>
      <c r="K62" s="63" t="e">
        <f t="shared" si="138"/>
        <v>#VALUE!</v>
      </c>
      <c r="L62" s="63">
        <f t="shared" si="139"/>
        <v>32</v>
      </c>
      <c r="M62" s="63" t="str">
        <f>IFERROR(VLOOKUP(MID(H62,K62,L62-K62),[5]skilldef!$C:$D,2,FALSE),"-") &amp; " / " &amp; IFERROR(VLOOKUP(MID(H62,I62,J62-I62),[5]skilldef!$A:$B,2,FALSE),"-")</f>
        <v>- / -</v>
      </c>
      <c r="N62" s="63" t="str">
        <f t="shared" si="140"/>
        <v>[effect:remove_enhancement, target:unit_all, target_effect:dis_panel, animation:frozen_wave],[effect:remove_enhancement, target:unit_all, target_effect:dis_heart, animation:frozen_wave],[effect:crash_condition, target:unit_all, turn:2, val:-4, animation:crash_panel_reduce04]</v>
      </c>
      <c r="O62" s="48" t="str">
        <f>IFERROR(LEFT(N62,FIND("],",N62)+#REF!),N62)</f>
        <v>[effect:remove_enhancement, target:unit_all, target_effect:dis_panel, animation:frozen_wave],[effect:remove_enhancement, target:unit_all, target_effect:dis_heart, animation:frozen_wave],[effect:crash_condition, target:unit_all, turn:2, val:-4, animation:crash_panel_reduce04]</v>
      </c>
      <c r="P62" s="63">
        <f t="shared" si="141"/>
        <v>9</v>
      </c>
      <c r="Q62" s="63">
        <f t="shared" si="142"/>
        <v>27</v>
      </c>
      <c r="R62" s="63">
        <f t="shared" si="143"/>
        <v>36</v>
      </c>
      <c r="S62" s="63">
        <f t="shared" si="144"/>
        <v>44</v>
      </c>
      <c r="T62" s="63" t="str">
        <f>IFERROR(VLOOKUP(MID(O62,R62,S62-R62),[5]skilldef!$C:$D,2,FALSE),"-") &amp; " / " &amp; IFERROR(VLOOKUP(MID(O62,P62,Q62-P62),[5]skilldef!$A:$B,2,FALSE),"-")</f>
        <v>味方全体に / -</v>
      </c>
      <c r="U62" s="48" t="str">
        <f t="shared" si="145"/>
        <v>[effect:remove_enhancement, target:unit_all, target_effect:dis_heart, animation:frozen_wave],[effect:crash_condition, target:unit_all, turn:2, val:-4, animation:crash_panel_reduce04]</v>
      </c>
      <c r="V62" s="63">
        <f t="shared" si="146"/>
        <v>9</v>
      </c>
      <c r="W62" s="63">
        <f t="shared" si="147"/>
        <v>27</v>
      </c>
      <c r="X62" s="63">
        <f t="shared" si="148"/>
        <v>36</v>
      </c>
      <c r="Y62" s="63">
        <f t="shared" si="149"/>
        <v>44</v>
      </c>
      <c r="Z62" s="63" t="str">
        <f>IFERROR(VLOOKUP(MID(U62,X62,Y62-X62),[5]skilldef!$C:$D,2,FALSE),"-") &amp; " / " &amp; IFERROR(VLOOKUP(MID(U62,V62,W62-V62),[5]skilldef!$A:$B,2,FALSE),"-")</f>
        <v>味方全体に / -</v>
      </c>
      <c r="AA62" s="50"/>
      <c r="AB62" s="52"/>
      <c r="AC62" s="50"/>
    </row>
    <row r="63" spans="1:29" ht="43" customHeight="1" x14ac:dyDescent="0.15">
      <c r="A63" s="140">
        <v>59003651</v>
      </c>
      <c r="B63" s="118" t="s">
        <v>383</v>
      </c>
      <c r="C63" s="119">
        <v>1</v>
      </c>
      <c r="D63" s="119" t="s">
        <v>126</v>
      </c>
      <c r="E63" s="120" t="s">
        <v>470</v>
      </c>
      <c r="F63" s="120" t="s">
        <v>295</v>
      </c>
      <c r="G63" s="150"/>
      <c r="H63" s="63" t="str">
        <f t="shared" si="75"/>
        <v>[effect:enemy_message, val1:1.2, val2:2.6]</v>
      </c>
      <c r="I63" s="63">
        <f t="shared" si="76"/>
        <v>9</v>
      </c>
      <c r="J63" s="63">
        <f t="shared" si="77"/>
        <v>22</v>
      </c>
      <c r="K63" s="63" t="e">
        <f t="shared" si="78"/>
        <v>#VALUE!</v>
      </c>
      <c r="L63" s="63">
        <f t="shared" si="79"/>
        <v>32</v>
      </c>
      <c r="M63" s="63" t="str">
        <f>IFERROR(VLOOKUP(MID(H63,K63,L63-K63),[5]skilldef!$C:$D,2,FALSE),"-") &amp; " / " &amp; IFERROR(VLOOKUP(MID(H63,I63,J63-I63),[5]skilldef!$A:$B,2,FALSE),"-")</f>
        <v>- / -</v>
      </c>
      <c r="N63" s="63" t="str">
        <f t="shared" si="80"/>
        <v>[effect:fix_speed, target:myself, turn:1],[effect:drop_block, block_type:damage, color:block_red, val:0.05, rate:0.1, turn:5],[effect:drop_block, block_type:damage, color:block_green, val:0.05, rate:0.1, turn:5],[effect:drop_block, block_type:damage, color:block_blue, val:0.05, rate:0.1, turn:5],[effect:drop_block, block_type:damage, color:block_yellow, val:0.05, rate:0.1, turn:5, animation:damage_influence04],[effect:tolerance, target:myself, turn:-1, count:-1, tolerance_effect:all, animation:enemy_tolerance]</v>
      </c>
      <c r="O63" s="48" t="str">
        <f>IFERROR(LEFT(N63,FIND("],",N63)+#REF!),N63)</f>
        <v>[effect:fix_speed, target:myself, turn:1],[effect:drop_block, block_type:damage, color:block_red, val:0.05, rate:0.1, turn:5],[effect:drop_block, block_type:damage, color:block_green, val:0.05, rate:0.1, turn:5],[effect:drop_block, block_type:damage, color:block_blue, val:0.05, rate:0.1, turn:5],[effect:drop_block, block_type:damage, color:block_yellow, val:0.05, rate:0.1, turn:5, animation:damage_influence04],[effect:tolerance, target:myself, turn:-1, count:-1, tolerance_effect:all, animation:enemy_tolerance]</v>
      </c>
      <c r="P63" s="63">
        <f t="shared" si="81"/>
        <v>9</v>
      </c>
      <c r="Q63" s="63">
        <f t="shared" si="82"/>
        <v>18</v>
      </c>
      <c r="R63" s="63">
        <f t="shared" si="83"/>
        <v>27</v>
      </c>
      <c r="S63" s="63">
        <f t="shared" si="84"/>
        <v>33</v>
      </c>
      <c r="T63" s="63" t="str">
        <f>IFERROR(VLOOKUP(MID(O63,R63,S63-R63),[5]skilldef!$C:$D,2,FALSE),"-") &amp; " / " &amp; IFERROR(VLOOKUP(MID(O63,P63,Q63-P63),[5]skilldef!$A:$B,2,FALSE),"-")</f>
        <v>自分自身に / 行動値設定</v>
      </c>
      <c r="U63" s="48" t="str">
        <f t="shared" si="85"/>
        <v>[effect:drop_block, block_type:damage, color:block_red, val:0.05, rate:0.1, turn:5],[effect:drop_block, block_type:damage, color:block_green, val:0.05, rate:0.1, turn:5],[effect:drop_block, block_type:damage, color:block_blue, val:0.05, rate:0.1, turn:5],[effect:drop_block, block_type:damage, color:block_yellow, val:0.05, rate:0.1, turn:5, animation:damage_influence04],[effect:tolerance, target:myself, turn:-1, count:-1, tolerance_effect:all, animation:enemy_tolerance]</v>
      </c>
      <c r="V63" s="63">
        <f t="shared" si="86"/>
        <v>9</v>
      </c>
      <c r="W63" s="63">
        <f t="shared" si="87"/>
        <v>19</v>
      </c>
      <c r="X63" s="63">
        <f t="shared" si="88"/>
        <v>399</v>
      </c>
      <c r="Y63" s="63">
        <f t="shared" si="89"/>
        <v>38</v>
      </c>
      <c r="Z63" s="63" t="str">
        <f>IFERROR(VLOOKUP(MID(U63,X63,Y63-X63),[5]skilldef!$C:$D,2,FALSE),"-") &amp; " / " &amp; IFERROR(VLOOKUP(MID(U63,V63,W63-V63),[5]skilldef!$A:$B,2,FALSE),"-")</f>
        <v>- / 特定ブロックの割合ドロップ</v>
      </c>
      <c r="AA63" s="50"/>
      <c r="AB63" s="52"/>
      <c r="AC63" s="50"/>
    </row>
    <row r="64" spans="1:29" ht="43" customHeight="1" x14ac:dyDescent="0.15">
      <c r="A64" s="140">
        <v>59003652</v>
      </c>
      <c r="B64" s="118" t="s">
        <v>342</v>
      </c>
      <c r="C64" s="119">
        <v>1</v>
      </c>
      <c r="D64" s="119" t="s">
        <v>126</v>
      </c>
      <c r="E64" s="120" t="s">
        <v>504</v>
      </c>
      <c r="F64" s="120" t="s">
        <v>323</v>
      </c>
      <c r="G64" s="150" t="s">
        <v>324</v>
      </c>
      <c r="H64" s="63" t="str">
        <f t="shared" ref="H64:H69" si="150">IFERROR(LEFT(B64,FIND("],",B64)),B64)</f>
        <v>[effect:enemy_message, val1:1.2, val2:1.2]</v>
      </c>
      <c r="I64" s="63">
        <f t="shared" ref="I64:I69" si="151">FIND("effect:",H64)+7</f>
        <v>9</v>
      </c>
      <c r="J64" s="63">
        <f t="shared" ref="J64:J69" si="152">IFERROR(FIND(",",H64),LEN(H64))</f>
        <v>22</v>
      </c>
      <c r="K64" s="63" t="e">
        <f t="shared" ref="K64:K69" si="153">FIND("target:",H64)+7</f>
        <v>#VALUE!</v>
      </c>
      <c r="L64" s="63">
        <f t="shared" ref="L64:L69" si="154">FIND(",",H64,J64+1)</f>
        <v>32</v>
      </c>
      <c r="M64" s="63" t="str">
        <f>IFERROR(VLOOKUP(MID(H64,K64,L64-K64),[5]skilldef!$C:$D,2,FALSE),"-") &amp; " / " &amp; IFERROR(VLOOKUP(MID(H64,I64,J64-I64),[5]skilldef!$A:$B,2,FALSE),"-")</f>
        <v>- / -</v>
      </c>
      <c r="N64" s="63" t="str">
        <f t="shared" ref="N64:N69" si="155">IFERROR(RIGHT(B64,LEN(B64)-FIND("],",B64)-1),"none")</f>
        <v>[effect:rush, count:5, val:0.2]</v>
      </c>
      <c r="O64" s="48" t="str">
        <f>IFERROR(LEFT(N64,FIND("],",N64)+#REF!),N64)</f>
        <v>[effect:rush, count:5, val:0.2]</v>
      </c>
      <c r="P64" s="63">
        <f t="shared" ref="P64:P69" si="156">FIND("effect:",O64)+7</f>
        <v>9</v>
      </c>
      <c r="Q64" s="63">
        <f t="shared" ref="Q64:Q69" si="157">IFERROR(FIND(",",O64),LEN(O64))</f>
        <v>13</v>
      </c>
      <c r="R64" s="63" t="e">
        <f t="shared" ref="R64:R69" si="158">FIND("target:",O64)+7</f>
        <v>#VALUE!</v>
      </c>
      <c r="S64" s="63">
        <f t="shared" ref="S64:S69" si="159">FIND(",",O64,Q64+1)</f>
        <v>22</v>
      </c>
      <c r="T64" s="63" t="str">
        <f>IFERROR(VLOOKUP(MID(O64,R64,S64-R64),[5]skilldef!$C:$D,2,FALSE),"-") &amp; " / " &amp; IFERROR(VLOOKUP(MID(O64,P64,Q64-P64),[5]skilldef!$A:$B,2,FALSE),"-")</f>
        <v>- / 連続攻撃</v>
      </c>
      <c r="U64" s="48" t="str">
        <f t="shared" ref="U64:U69" si="160">IFERROR(RIGHT(N64,LEN(N64)-FIND("],",N64)-1),"none")</f>
        <v>none</v>
      </c>
      <c r="V64" s="63" t="e">
        <f t="shared" ref="V64:V69" si="161">FIND("effect:",U64)+7</f>
        <v>#VALUE!</v>
      </c>
      <c r="W64" s="63">
        <f t="shared" ref="W64:W69" si="162">IFERROR(FIND(",",U64),LEN(U64))</f>
        <v>4</v>
      </c>
      <c r="X64" s="63" t="e">
        <f t="shared" ref="X64:X69" si="163">FIND("target:",U64)+7</f>
        <v>#VALUE!</v>
      </c>
      <c r="Y64" s="63" t="e">
        <f t="shared" ref="Y64:Y69" si="164">FIND(",",U64,W64+1)</f>
        <v>#VALUE!</v>
      </c>
      <c r="Z64" s="63" t="str">
        <f>IFERROR(VLOOKUP(MID(U64,X64,Y64-X64),[5]skilldef!$C:$D,2,FALSE),"-") &amp; " / " &amp; IFERROR(VLOOKUP(MID(U64,V64,W64-V64),[5]skilldef!$A:$B,2,FALSE),"-")</f>
        <v>- / -</v>
      </c>
      <c r="AA64" s="50"/>
      <c r="AB64" s="52"/>
      <c r="AC64" s="50"/>
    </row>
    <row r="65" spans="1:29" ht="43" customHeight="1" x14ac:dyDescent="0.15">
      <c r="A65" s="140">
        <v>59003653</v>
      </c>
      <c r="B65" s="118" t="s">
        <v>448</v>
      </c>
      <c r="C65" s="119">
        <v>1</v>
      </c>
      <c r="D65" s="119" t="s">
        <v>126</v>
      </c>
      <c r="E65" s="120" t="s">
        <v>471</v>
      </c>
      <c r="F65" s="156" t="s">
        <v>325</v>
      </c>
      <c r="G65" s="150" t="s">
        <v>326</v>
      </c>
      <c r="H65" s="63" t="str">
        <f t="shared" si="150"/>
        <v>[effect:enemy_message, val1:1.2, val2:3.8]</v>
      </c>
      <c r="I65" s="63">
        <f t="shared" si="151"/>
        <v>9</v>
      </c>
      <c r="J65" s="63">
        <f t="shared" si="152"/>
        <v>22</v>
      </c>
      <c r="K65" s="63" t="e">
        <f t="shared" si="153"/>
        <v>#VALUE!</v>
      </c>
      <c r="L65" s="63">
        <f t="shared" si="154"/>
        <v>32</v>
      </c>
      <c r="M65" s="63" t="str">
        <f>IFERROR(VLOOKUP(MID(H65,K65,L65-K65),[5]skilldef!$C:$D,2,FALSE),"-") &amp; " / " &amp; IFERROR(VLOOKUP(MID(H65,I65,J65-I65),[5]skilldef!$A:$B,2,FALSE),"-")</f>
        <v>- / -</v>
      </c>
      <c r="N65" s="63" t="str">
        <f t="shared" si="155"/>
        <v>[effect:change_range_block, block_change:1, base_type:0, square_count:3, position01:7, value_h01:1, value_w01:1, position02:5, value_h02:2,  value_w02:1, new_block:damage, target:block_all, ignore01:block_positive, count:0, val:0.05, animation:change_range_block],[effect:change_range_block, block_change:1, base_type:0, square_count:3, position01:0, value_h01:1, value_w01:3, new_block:time_bomb, target:block_all, ignore01:block_positive, color:block_red, count:0, val:0.1, min_time_count:3, max_time_count:3, animation:change_range_block],[effect:rush, count:3, val:0.35]</v>
      </c>
      <c r="O65" s="48" t="str">
        <f>IFERROR(LEFT(N65,FIND("],",N65)+#REF!),N65)</f>
        <v>[effect:change_range_block, block_change:1, base_type:0, square_count:3, position01:7, value_h01:1, value_w01:1, position02:5, value_h02:2,  value_w02:1, new_block:damage, target:block_all, ignore01:block_positive, count:0, val:0.05, animation:change_range_block],[effect:change_range_block, block_change:1, base_type:0, square_count:3, position01:0, value_h01:1, value_w01:3, new_block:time_bomb, target:block_all, ignore01:block_positive, color:block_red, count:0, val:0.1, min_time_count:3, max_time_count:3, animation:change_range_block],[effect:rush, count:3, val:0.35]</v>
      </c>
      <c r="P65" s="63">
        <f t="shared" si="156"/>
        <v>9</v>
      </c>
      <c r="Q65" s="63">
        <f t="shared" si="157"/>
        <v>27</v>
      </c>
      <c r="R65" s="63">
        <f t="shared" si="158"/>
        <v>180</v>
      </c>
      <c r="S65" s="63">
        <f t="shared" si="159"/>
        <v>43</v>
      </c>
      <c r="T65" s="63" t="str">
        <f>IFERROR(VLOOKUP(MID(O65,R65,S65-R65),[5]skilldef!$C:$D,2,FALSE),"-") &amp; " / " &amp; IFERROR(VLOOKUP(MID(O65,P65,Q65-P65),[5]skilldef!$A:$B,2,FALSE),"-")</f>
        <v>- / -</v>
      </c>
      <c r="U65" s="48" t="str">
        <f t="shared" si="160"/>
        <v>[effect:change_range_block, block_change:1, base_type:0, square_count:3, position01:0, value_h01:1, value_w01:3, new_block:time_bomb, target:block_all, ignore01:block_positive, color:block_red, count:0, val:0.1, min_time_count:3, max_time_count:3, animation:change_range_block],[effect:rush, count:3, val:0.35]</v>
      </c>
      <c r="V65" s="63">
        <f t="shared" si="161"/>
        <v>9</v>
      </c>
      <c r="W65" s="63">
        <f t="shared" si="162"/>
        <v>27</v>
      </c>
      <c r="X65" s="63">
        <f t="shared" si="163"/>
        <v>142</v>
      </c>
      <c r="Y65" s="63">
        <f t="shared" si="164"/>
        <v>43</v>
      </c>
      <c r="Z65" s="63" t="str">
        <f>IFERROR(VLOOKUP(MID(U65,X65,Y65-X65),[5]skilldef!$C:$D,2,FALSE),"-") &amp; " / " &amp; IFERROR(VLOOKUP(MID(U65,V65,W65-V65),[5]skilldef!$A:$B,2,FALSE),"-")</f>
        <v>- / -</v>
      </c>
      <c r="AA65" s="50"/>
      <c r="AB65" s="52"/>
      <c r="AC65" s="50"/>
    </row>
    <row r="66" spans="1:29" ht="43" customHeight="1" x14ac:dyDescent="0.15">
      <c r="A66" s="140">
        <v>59003654</v>
      </c>
      <c r="B66" s="118" t="s">
        <v>656</v>
      </c>
      <c r="C66" s="119">
        <v>1</v>
      </c>
      <c r="D66" s="119" t="s">
        <v>126</v>
      </c>
      <c r="E66" s="120" t="s">
        <v>629</v>
      </c>
      <c r="F66" s="120" t="s">
        <v>327</v>
      </c>
      <c r="G66" s="150" t="s">
        <v>316</v>
      </c>
      <c r="H66" s="63" t="str">
        <f t="shared" si="150"/>
        <v>[effect:enemy_message, val1:1.4, val2:2.5]</v>
      </c>
      <c r="I66" s="63">
        <f t="shared" si="151"/>
        <v>9</v>
      </c>
      <c r="J66" s="63">
        <f t="shared" si="152"/>
        <v>22</v>
      </c>
      <c r="K66" s="63" t="e">
        <f t="shared" si="153"/>
        <v>#VALUE!</v>
      </c>
      <c r="L66" s="63">
        <f t="shared" si="154"/>
        <v>32</v>
      </c>
      <c r="M66" s="63" t="str">
        <f>IFERROR(VLOOKUP(MID(H66,K66,L66-K66),[5]skilldef!$C:$D,2,FALSE),"-") &amp; " / " &amp; IFERROR(VLOOKUP(MID(H66,I66,J66-I66),[5]skilldef!$A:$B,2,FALSE),"-")</f>
        <v>- / -</v>
      </c>
      <c r="N66" s="63" t="str">
        <f t="shared" si="155"/>
        <v>[effect:damage_anti_abnormal, target:unit_one, target_effect01:counter_new, option:1, val1:0.5, val2:0.3],[effect:damage_anti_abnormal, target:unit_one, target_effect01:counter_new, option:1, val1:0.5, val2:0.3],[effect:damage_anti_abnormal, target:unit_one, target_effect01:counter_new, option:1, val1:0.7, val2:0.4]</v>
      </c>
      <c r="O66" s="48" t="str">
        <f>IFERROR(LEFT(N66,FIND("],",N66)+#REF!),N66)</f>
        <v>[effect:damage_anti_abnormal, target:unit_one, target_effect01:counter_new, option:1, val1:0.5, val2:0.3],[effect:damage_anti_abnormal, target:unit_one, target_effect01:counter_new, option:1, val1:0.5, val2:0.3],[effect:damage_anti_abnormal, target:unit_one, target_effect01:counter_new, option:1, val1:0.7, val2:0.4]</v>
      </c>
      <c r="P66" s="63">
        <f t="shared" si="156"/>
        <v>9</v>
      </c>
      <c r="Q66" s="63">
        <f t="shared" si="157"/>
        <v>29</v>
      </c>
      <c r="R66" s="63">
        <f t="shared" si="158"/>
        <v>38</v>
      </c>
      <c r="S66" s="63">
        <f t="shared" si="159"/>
        <v>46</v>
      </c>
      <c r="T66" s="63" t="str">
        <f>IFERROR(VLOOKUP(MID(O66,R66,S66-R66),[5]skilldef!$C:$D,2,FALSE),"-") &amp; " / " &amp; IFERROR(VLOOKUP(MID(O66,P66,Q66-P66),[5]skilldef!$A:$B,2,FALSE),"-")</f>
        <v>味方単体に / -</v>
      </c>
      <c r="U66" s="48" t="str">
        <f t="shared" si="160"/>
        <v>[effect:damage_anti_abnormal, target:unit_one, target_effect01:counter_new, option:1, val1:0.5, val2:0.3],[effect:damage_anti_abnormal, target:unit_one, target_effect01:counter_new, option:1, val1:0.7, val2:0.4]</v>
      </c>
      <c r="V66" s="63">
        <f t="shared" si="161"/>
        <v>9</v>
      </c>
      <c r="W66" s="63">
        <f t="shared" si="162"/>
        <v>29</v>
      </c>
      <c r="X66" s="63">
        <f t="shared" si="163"/>
        <v>38</v>
      </c>
      <c r="Y66" s="63">
        <f t="shared" si="164"/>
        <v>46</v>
      </c>
      <c r="Z66" s="63" t="str">
        <f>IFERROR(VLOOKUP(MID(U66,X66,Y66-X66),[5]skilldef!$C:$D,2,FALSE),"-") &amp; " / " &amp; IFERROR(VLOOKUP(MID(U66,V66,W66-V66),[5]skilldef!$A:$B,2,FALSE),"-")</f>
        <v>味方単体に / -</v>
      </c>
      <c r="AA66" s="50"/>
      <c r="AB66" s="52"/>
      <c r="AC66" s="50"/>
    </row>
    <row r="67" spans="1:29" ht="43" customHeight="1" x14ac:dyDescent="0.15">
      <c r="A67" s="140">
        <v>59003655</v>
      </c>
      <c r="B67" s="118" t="s">
        <v>557</v>
      </c>
      <c r="C67" s="119">
        <v>1</v>
      </c>
      <c r="D67" s="119" t="s">
        <v>126</v>
      </c>
      <c r="E67" s="120" t="s">
        <v>365</v>
      </c>
      <c r="F67" s="120" t="s">
        <v>328</v>
      </c>
      <c r="G67" s="150" t="s">
        <v>329</v>
      </c>
      <c r="H67" s="63" t="str">
        <f t="shared" si="150"/>
        <v>[effect:enemy_message, val1:1.2, val2:2.6]</v>
      </c>
      <c r="I67" s="63">
        <f t="shared" si="151"/>
        <v>9</v>
      </c>
      <c r="J67" s="63">
        <f t="shared" si="152"/>
        <v>22</v>
      </c>
      <c r="K67" s="63" t="e">
        <f t="shared" si="153"/>
        <v>#VALUE!</v>
      </c>
      <c r="L67" s="63">
        <f t="shared" si="154"/>
        <v>32</v>
      </c>
      <c r="M67" s="63" t="str">
        <f>IFERROR(VLOOKUP(MID(H67,K67,L67-K67),[5]skilldef!$C:$D,2,FALSE),"-") &amp; " / " &amp; IFERROR(VLOOKUP(MID(H67,I67,J67-I67),[5]skilldef!$A:$B,2,FALSE),"-")</f>
        <v>- / -</v>
      </c>
      <c r="N67" s="63" t="str">
        <f t="shared" si="155"/>
        <v>[effect:change_range_block, block_change:1, base_type:0, square_count:3, position01:2, value_h01:3, value_w01:1, new_block:damage, target:block_all, ignore01:block_positive, color:block_red, count:0, val:0.05, animation:change_range_block],[effect:critical, val:1.3, animation:enemy_critical]</v>
      </c>
      <c r="O67" s="48" t="str">
        <f>IFERROR(LEFT(N67,FIND("],",N67)+#REF!),N67)</f>
        <v>[effect:change_range_block, block_change:1, base_type:0, square_count:3, position01:2, value_h01:3, value_w01:1, new_block:damage, target:block_all, ignore01:block_positive, color:block_red, count:0, val:0.05, animation:change_range_block],[effect:critical, val:1.3, animation:enemy_critical]</v>
      </c>
      <c r="P67" s="63">
        <f t="shared" si="156"/>
        <v>9</v>
      </c>
      <c r="Q67" s="63">
        <f t="shared" si="157"/>
        <v>27</v>
      </c>
      <c r="R67" s="63">
        <f t="shared" si="158"/>
        <v>139</v>
      </c>
      <c r="S67" s="63">
        <f t="shared" si="159"/>
        <v>43</v>
      </c>
      <c r="T67" s="63" t="str">
        <f>IFERROR(VLOOKUP(MID(O67,R67,S67-R67),[5]skilldef!$C:$D,2,FALSE),"-") &amp; " / " &amp; IFERROR(VLOOKUP(MID(O67,P67,Q67-P67),[5]skilldef!$A:$B,2,FALSE),"-")</f>
        <v>- / -</v>
      </c>
      <c r="U67" s="48" t="str">
        <f t="shared" si="160"/>
        <v>[effect:critical, val:1.3, animation:enemy_critical]</v>
      </c>
      <c r="V67" s="63">
        <f t="shared" si="161"/>
        <v>9</v>
      </c>
      <c r="W67" s="63">
        <f t="shared" si="162"/>
        <v>17</v>
      </c>
      <c r="X67" s="63" t="e">
        <f t="shared" si="163"/>
        <v>#VALUE!</v>
      </c>
      <c r="Y67" s="63">
        <f t="shared" si="164"/>
        <v>26</v>
      </c>
      <c r="Z67" s="63" t="str">
        <f>IFERROR(VLOOKUP(MID(U67,X67,Y67-X67),[5]skilldef!$C:$D,2,FALSE),"-") &amp; " / " &amp; IFERROR(VLOOKUP(MID(U67,V67,W67-V67),[5]skilldef!$A:$B,2,FALSE),"-")</f>
        <v>- / 大攻撃</v>
      </c>
      <c r="AA67" s="50"/>
      <c r="AB67" s="52"/>
      <c r="AC67" s="50"/>
    </row>
    <row r="68" spans="1:29" ht="43" customHeight="1" x14ac:dyDescent="0.15">
      <c r="A68" s="140">
        <v>59003656</v>
      </c>
      <c r="B68" s="118" t="s">
        <v>558</v>
      </c>
      <c r="C68" s="119">
        <v>1</v>
      </c>
      <c r="D68" s="119" t="s">
        <v>126</v>
      </c>
      <c r="E68" s="120" t="s">
        <v>365</v>
      </c>
      <c r="F68" s="120" t="s">
        <v>330</v>
      </c>
      <c r="G68" s="150" t="s">
        <v>331</v>
      </c>
      <c r="H68" s="63" t="str">
        <f t="shared" si="150"/>
        <v>[effect:enemy_message, val1:1.2, val2:2.6]</v>
      </c>
      <c r="I68" s="63">
        <f t="shared" si="151"/>
        <v>9</v>
      </c>
      <c r="J68" s="63">
        <f t="shared" si="152"/>
        <v>22</v>
      </c>
      <c r="K68" s="63" t="e">
        <f t="shared" si="153"/>
        <v>#VALUE!</v>
      </c>
      <c r="L68" s="63">
        <f t="shared" si="154"/>
        <v>32</v>
      </c>
      <c r="M68" s="63" t="str">
        <f>IFERROR(VLOOKUP(MID(H68,K68,L68-K68),[5]skilldef!$C:$D,2,FALSE),"-") &amp; " / " &amp; IFERROR(VLOOKUP(MID(H68,I68,J68-I68),[5]skilldef!$A:$B,2,FALSE),"-")</f>
        <v>- / -</v>
      </c>
      <c r="N68" s="63" t="str">
        <f t="shared" si="155"/>
        <v>[effect:change_range_block, block_change:1, base_type:0, square_count:3, position01:0, value_h01:3, value_w01:1, new_block:damage, target:block_all, ignore01:block_positive, color:block_red, count:0, val:0.05, animation:change_range_block],[effect:critical, val:1.3, animation:enemy_critical]</v>
      </c>
      <c r="O68" s="48" t="str">
        <f>IFERROR(LEFT(N68,FIND("],",N68)+#REF!),N68)</f>
        <v>[effect:change_range_block, block_change:1, base_type:0, square_count:3, position01:0, value_h01:3, value_w01:1, new_block:damage, target:block_all, ignore01:block_positive, color:block_red, count:0, val:0.05, animation:change_range_block],[effect:critical, val:1.3, animation:enemy_critical]</v>
      </c>
      <c r="P68" s="63">
        <f t="shared" si="156"/>
        <v>9</v>
      </c>
      <c r="Q68" s="63">
        <f t="shared" si="157"/>
        <v>27</v>
      </c>
      <c r="R68" s="63">
        <f t="shared" si="158"/>
        <v>139</v>
      </c>
      <c r="S68" s="63">
        <f t="shared" si="159"/>
        <v>43</v>
      </c>
      <c r="T68" s="63" t="str">
        <f>IFERROR(VLOOKUP(MID(O68,R68,S68-R68),[5]skilldef!$C:$D,2,FALSE),"-") &amp; " / " &amp; IFERROR(VLOOKUP(MID(O68,P68,Q68-P68),[5]skilldef!$A:$B,2,FALSE),"-")</f>
        <v>- / -</v>
      </c>
      <c r="U68" s="48" t="str">
        <f t="shared" si="160"/>
        <v>[effect:critical, val:1.3, animation:enemy_critical]</v>
      </c>
      <c r="V68" s="63">
        <f t="shared" si="161"/>
        <v>9</v>
      </c>
      <c r="W68" s="63">
        <f t="shared" si="162"/>
        <v>17</v>
      </c>
      <c r="X68" s="63" t="e">
        <f t="shared" si="163"/>
        <v>#VALUE!</v>
      </c>
      <c r="Y68" s="63">
        <f t="shared" si="164"/>
        <v>26</v>
      </c>
      <c r="Z68" s="63" t="str">
        <f>IFERROR(VLOOKUP(MID(U68,X68,Y68-X68),[5]skilldef!$C:$D,2,FALSE),"-") &amp; " / " &amp; IFERROR(VLOOKUP(MID(U68,V68,W68-V68),[5]skilldef!$A:$B,2,FALSE),"-")</f>
        <v>- / 大攻撃</v>
      </c>
      <c r="AA68" s="50"/>
      <c r="AB68" s="52"/>
      <c r="AC68" s="50"/>
    </row>
    <row r="69" spans="1:29" ht="43" customHeight="1" x14ac:dyDescent="0.15">
      <c r="A69" s="140">
        <v>59003657</v>
      </c>
      <c r="B69" s="118" t="s">
        <v>587</v>
      </c>
      <c r="C69" s="119">
        <v>1</v>
      </c>
      <c r="D69" s="119" t="s">
        <v>126</v>
      </c>
      <c r="E69" s="120" t="s">
        <v>472</v>
      </c>
      <c r="F69" s="120" t="s">
        <v>578</v>
      </c>
      <c r="G69" s="150" t="s">
        <v>388</v>
      </c>
      <c r="H69" s="63" t="str">
        <f t="shared" si="150"/>
        <v>[effect:enemy_message, val1:1.2, val2:2.3]</v>
      </c>
      <c r="I69" s="63">
        <f t="shared" si="151"/>
        <v>9</v>
      </c>
      <c r="J69" s="63">
        <f t="shared" si="152"/>
        <v>22</v>
      </c>
      <c r="K69" s="63" t="e">
        <f t="shared" si="153"/>
        <v>#VALUE!</v>
      </c>
      <c r="L69" s="63">
        <f t="shared" si="154"/>
        <v>32</v>
      </c>
      <c r="M69" s="63" t="str">
        <f>IFERROR(VLOOKUP(MID(H69,K69,L69-K69),[5]skilldef!$C:$D,2,FALSE),"-") &amp; " / " &amp; IFERROR(VLOOKUP(MID(H69,I69,J69-I69),[5]skilldef!$A:$B,2,FALSE),"-")</f>
        <v>- / -</v>
      </c>
      <c r="N69" s="63" t="str">
        <f t="shared" si="155"/>
        <v>[effect:rush, count:10, val:0.1],[effect:change_range_block, block_change:1, base_type:0, square_count:7, position01:8, value_h01:1, value_w01:1, position02:12, value_h02:1, value_w02:1, position03:16, value_h03:3, value_w03:1, position04:18, value_h04:3, value_w04:1, position05:24, value_h05:1, value_w05:1, position06:36, value_h06:1, value_w06:1, position07:40, value_h07:1, value_w07:1, new_block:jammer, target:block_all, ignore01:block_positive, count:0, val:0, animation:change_range_block]</v>
      </c>
      <c r="O69" s="48" t="str">
        <f>IFERROR(LEFT(N69,FIND("],",N69)+#REF!),N69)</f>
        <v>[effect:rush, count:10, val:0.1],[effect:change_range_block, block_change:1, base_type:0, square_count:7, position01:8, value_h01:1, value_w01:1, position02:12, value_h02:1, value_w02:1, position03:16, value_h03:3, value_w03:1, position04:18, value_h04:3, value_w04:1, position05:24, value_h05:1, value_w05:1, position06:36, value_h06:1, value_w06:1, position07:40, value_h07:1, value_w07:1, new_block:jammer, target:block_all, ignore01:block_positive, count:0, val:0, animation:change_range_block]</v>
      </c>
      <c r="P69" s="63">
        <f t="shared" si="156"/>
        <v>9</v>
      </c>
      <c r="Q69" s="63">
        <f t="shared" si="157"/>
        <v>13</v>
      </c>
      <c r="R69" s="63">
        <f t="shared" si="158"/>
        <v>418</v>
      </c>
      <c r="S69" s="63">
        <f t="shared" si="159"/>
        <v>23</v>
      </c>
      <c r="T69" s="63" t="str">
        <f>IFERROR(VLOOKUP(MID(O69,R69,S69-R69),[5]skilldef!$C:$D,2,FALSE),"-") &amp; " / " &amp; IFERROR(VLOOKUP(MID(O69,P69,Q69-P69),[5]skilldef!$A:$B,2,FALSE),"-")</f>
        <v>- / 連続攻撃</v>
      </c>
      <c r="U69" s="48" t="str">
        <f t="shared" si="160"/>
        <v>[effect:change_range_block, block_change:1, base_type:0, square_count:7, position01:8, value_h01:1, value_w01:1, position02:12, value_h02:1, value_w02:1, position03:16, value_h03:3, value_w03:1, position04:18, value_h04:3, value_w04:1, position05:24, value_h05:1, value_w05:1, position06:36, value_h06:1, value_w06:1, position07:40, value_h07:1, value_w07:1, new_block:jammer, target:block_all, ignore01:block_positive, count:0, val:0, animation:change_range_block]</v>
      </c>
      <c r="V69" s="63">
        <f t="shared" si="161"/>
        <v>9</v>
      </c>
      <c r="W69" s="63">
        <f t="shared" si="162"/>
        <v>27</v>
      </c>
      <c r="X69" s="63">
        <f t="shared" si="163"/>
        <v>385</v>
      </c>
      <c r="Y69" s="63">
        <f t="shared" si="164"/>
        <v>43</v>
      </c>
      <c r="Z69" s="63" t="str">
        <f>IFERROR(VLOOKUP(MID(U69,X69,Y69-X69),[5]skilldef!$C:$D,2,FALSE),"-") &amp; " / " &amp; IFERROR(VLOOKUP(MID(U69,V69,W69-V69),[5]skilldef!$A:$B,2,FALSE),"-")</f>
        <v>- / -</v>
      </c>
      <c r="AA69" s="50"/>
      <c r="AB69" s="52"/>
      <c r="AC69" s="50"/>
    </row>
    <row r="70" spans="1:29" ht="43" customHeight="1" x14ac:dyDescent="0.15">
      <c r="A70" s="140">
        <v>59003658</v>
      </c>
      <c r="B70" s="118" t="s">
        <v>362</v>
      </c>
      <c r="C70" s="119">
        <v>1</v>
      </c>
      <c r="D70" s="119" t="s">
        <v>126</v>
      </c>
      <c r="E70" s="120" t="s">
        <v>363</v>
      </c>
      <c r="F70" s="120" t="s">
        <v>364</v>
      </c>
      <c r="G70" s="150"/>
      <c r="H70" s="63" t="str">
        <f t="shared" ref="H70" si="165">IFERROR(LEFT(B70,FIND("],",B70)),B70)</f>
        <v>[effect:enemy_message, val1:1.2, val2:0.0]</v>
      </c>
      <c r="I70" s="63">
        <f t="shared" ref="I70" si="166">FIND("effect:",H70)+7</f>
        <v>9</v>
      </c>
      <c r="J70" s="63">
        <f t="shared" ref="J70" si="167">IFERROR(FIND(",",H70),LEN(H70))</f>
        <v>22</v>
      </c>
      <c r="K70" s="63" t="e">
        <f t="shared" ref="K70" si="168">FIND("target:",H70)+7</f>
        <v>#VALUE!</v>
      </c>
      <c r="L70" s="63">
        <f t="shared" ref="L70" si="169">FIND(",",H70,J70+1)</f>
        <v>32</v>
      </c>
      <c r="M70" s="63" t="str">
        <f>IFERROR(VLOOKUP(MID(H70,K70,L70-K70),[5]skilldef!$C:$D,2,FALSE),"-") &amp; " / " &amp; IFERROR(VLOOKUP(MID(H70,I70,J70-I70),[5]skilldef!$A:$B,2,FALSE),"-")</f>
        <v>- / -</v>
      </c>
      <c r="N70" s="63" t="str">
        <f t="shared" ref="N70" si="170">IFERROR(RIGHT(B70,LEN(B70)-FIND("],",B70)-1),"none")</f>
        <v>none</v>
      </c>
      <c r="O70" s="48" t="str">
        <f>IFERROR(LEFT(N70,FIND("],",N70)+#REF!),N70)</f>
        <v>none</v>
      </c>
      <c r="P70" s="63" t="e">
        <f t="shared" ref="P70" si="171">FIND("effect:",O70)+7</f>
        <v>#VALUE!</v>
      </c>
      <c r="Q70" s="63">
        <f t="shared" ref="Q70" si="172">IFERROR(FIND(",",O70),LEN(O70))</f>
        <v>4</v>
      </c>
      <c r="R70" s="63" t="e">
        <f t="shared" ref="R70" si="173">FIND("target:",O70)+7</f>
        <v>#VALUE!</v>
      </c>
      <c r="S70" s="63" t="e">
        <f t="shared" ref="S70" si="174">FIND(",",O70,Q70+1)</f>
        <v>#VALUE!</v>
      </c>
      <c r="T70" s="63" t="str">
        <f>IFERROR(VLOOKUP(MID(O70,R70,S70-R70),[5]skilldef!$C:$D,2,FALSE),"-") &amp; " / " &amp; IFERROR(VLOOKUP(MID(O70,P70,Q70-P70),[5]skilldef!$A:$B,2,FALSE),"-")</f>
        <v>- / -</v>
      </c>
      <c r="U70" s="48" t="str">
        <f t="shared" ref="U70" si="175">IFERROR(RIGHT(N70,LEN(N70)-FIND("],",N70)-1),"none")</f>
        <v>none</v>
      </c>
      <c r="V70" s="63" t="e">
        <f t="shared" ref="V70" si="176">FIND("effect:",U70)+7</f>
        <v>#VALUE!</v>
      </c>
      <c r="W70" s="63">
        <f t="shared" ref="W70" si="177">IFERROR(FIND(",",U70),LEN(U70))</f>
        <v>4</v>
      </c>
      <c r="X70" s="63" t="e">
        <f t="shared" ref="X70" si="178">FIND("target:",U70)+7</f>
        <v>#VALUE!</v>
      </c>
      <c r="Y70" s="63" t="e">
        <f t="shared" ref="Y70" si="179">FIND(",",U70,W70+1)</f>
        <v>#VALUE!</v>
      </c>
      <c r="Z70" s="63" t="str">
        <f>IFERROR(VLOOKUP(MID(U70,X70,Y70-X70),[5]skilldef!$C:$D,2,FALSE),"-") &amp; " / " &amp; IFERROR(VLOOKUP(MID(U70,V70,W70-V70),[5]skilldef!$A:$B,2,FALSE),"-")</f>
        <v>- / -</v>
      </c>
      <c r="AA70" s="50"/>
      <c r="AB70" s="52"/>
      <c r="AC70" s="50"/>
    </row>
    <row r="71" spans="1:29" ht="43" customHeight="1" x14ac:dyDescent="0.15">
      <c r="A71" s="141">
        <v>59003701</v>
      </c>
      <c r="B71" s="47" t="s">
        <v>384</v>
      </c>
      <c r="C71" s="50">
        <v>1</v>
      </c>
      <c r="D71" s="50" t="s">
        <v>126</v>
      </c>
      <c r="E71" s="51" t="s">
        <v>473</v>
      </c>
      <c r="F71" s="51" t="s">
        <v>375</v>
      </c>
      <c r="G71" s="150"/>
      <c r="H71" s="63" t="str">
        <f t="shared" si="75"/>
        <v>[effect:enemy_message, val1:1.2, val2:3.9]</v>
      </c>
      <c r="I71" s="63">
        <f t="shared" si="76"/>
        <v>9</v>
      </c>
      <c r="J71" s="63">
        <f t="shared" si="77"/>
        <v>22</v>
      </c>
      <c r="K71" s="63" t="e">
        <f t="shared" si="78"/>
        <v>#VALUE!</v>
      </c>
      <c r="L71" s="63">
        <f t="shared" si="79"/>
        <v>32</v>
      </c>
      <c r="M71" s="63" t="str">
        <f>IFERROR(VLOOKUP(MID(H71,K71,L71-K71),[5]skilldef!$C:$D,2,FALSE),"-") &amp; " / " &amp; IFERROR(VLOOKUP(MID(H71,I71,J71-I71),[5]skilldef!$A:$B,2,FALSE),"-")</f>
        <v>- / -</v>
      </c>
      <c r="N71" s="63" t="str">
        <f t="shared" si="80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71" s="48" t="str">
        <f>IFERROR(LEFT(N71,FIND("],",N71)+#REF!),N71)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71" s="63">
        <f t="shared" si="81"/>
        <v>9</v>
      </c>
      <c r="Q71" s="63">
        <f t="shared" si="82"/>
        <v>18</v>
      </c>
      <c r="R71" s="63">
        <f t="shared" si="83"/>
        <v>27</v>
      </c>
      <c r="S71" s="63">
        <f t="shared" si="84"/>
        <v>33</v>
      </c>
      <c r="T71" s="63" t="str">
        <f>IFERROR(VLOOKUP(MID(O71,R71,S71-R71),[5]skilldef!$C:$D,2,FALSE),"-") &amp; " / " &amp; IFERROR(VLOOKUP(MID(O71,P71,Q71-P71),[5]skilldef!$A:$B,2,FALSE),"-")</f>
        <v>自分自身に / -</v>
      </c>
      <c r="U71" s="48" t="str">
        <f t="shared" si="85"/>
        <v>[effect:force_change_block, new_block:damage, target:jammer, count:0, val:0.05],[effect:tolerance, target:myself, turn:-1, count:-1, tolerance_effect:all, animation:enemy_tolerance]</v>
      </c>
      <c r="V71" s="63">
        <f t="shared" si="86"/>
        <v>9</v>
      </c>
      <c r="W71" s="63">
        <f t="shared" si="87"/>
        <v>27</v>
      </c>
      <c r="X71" s="63">
        <f t="shared" si="88"/>
        <v>54</v>
      </c>
      <c r="Y71" s="63">
        <f t="shared" si="89"/>
        <v>45</v>
      </c>
      <c r="Z71" s="63" t="str">
        <f>IFERROR(VLOOKUP(MID(U71,X71,Y71-X71),[5]skilldef!$C:$D,2,FALSE),"-") &amp; " / " &amp; IFERROR(VLOOKUP(MID(U71,V71,W71-V71),[5]skilldef!$A:$B,2,FALSE),"-")</f>
        <v>- / -</v>
      </c>
      <c r="AA71" s="50"/>
      <c r="AB71" s="52"/>
      <c r="AC71" s="50"/>
    </row>
    <row r="72" spans="1:29" ht="43" customHeight="1" x14ac:dyDescent="0.15">
      <c r="A72" s="141">
        <v>59003702</v>
      </c>
      <c r="B72" s="47" t="s">
        <v>385</v>
      </c>
      <c r="C72" s="50">
        <v>1</v>
      </c>
      <c r="D72" s="50" t="s">
        <v>126</v>
      </c>
      <c r="E72" s="51" t="s">
        <v>474</v>
      </c>
      <c r="F72" s="51" t="s">
        <v>332</v>
      </c>
      <c r="G72" s="150"/>
      <c r="H72" s="63" t="str">
        <f t="shared" ref="H72:H79" si="180">IFERROR(LEFT(B72,FIND("],",B72)),B72)</f>
        <v>[effect:enemy_message, val1:1.2, val2:2.7]</v>
      </c>
      <c r="I72" s="63">
        <f t="shared" ref="I72:I79" si="181">FIND("effect:",H72)+7</f>
        <v>9</v>
      </c>
      <c r="J72" s="63">
        <f t="shared" ref="J72:J79" si="182">IFERROR(FIND(",",H72),LEN(H72))</f>
        <v>22</v>
      </c>
      <c r="K72" s="63" t="str">
        <f t="shared" ref="K72" si="183">IFERROR(LEFT(E72,FIND("],",E72)),E72)</f>
        <v>ハッ！</v>
      </c>
      <c r="L72" s="63">
        <f t="shared" ref="L72:L79" si="184">FIND(",",H72,J72+1)</f>
        <v>32</v>
      </c>
      <c r="M72" s="63" t="str">
        <f>IFERROR(VLOOKUP(MID(H72,K72,L72-K72),[5]skilldef!$C:$D,2,FALSE),"-") &amp; " / " &amp; IFERROR(VLOOKUP(MID(H72,I72,J72-I72),[5]skilldef!$A:$B,2,FALSE),"-")</f>
        <v>- / -</v>
      </c>
      <c r="N72" s="63" t="str">
        <f t="shared" ref="N72:N79" si="185">IFERROR(RIGHT(B72,LEN(B72)-FIND("],",B72)-1),"none")</f>
        <v>[effect:force_change_block, new_block:damage, target:normal, count:5, val:0.05],[effect:rush, count:2, val:0.5]</v>
      </c>
      <c r="O72" s="48" t="str">
        <f>IFERROR(LEFT(N72,FIND("],",N72)+#REF!),N72)</f>
        <v>[effect:force_change_block, new_block:damage, target:normal, count:5, val:0.05],[effect:rush, count:2, val:0.5]</v>
      </c>
      <c r="P72" s="63">
        <f t="shared" ref="P72:P79" si="186">FIND("effect:",O72)+7</f>
        <v>9</v>
      </c>
      <c r="Q72" s="63">
        <f t="shared" ref="Q72:Q79" si="187">IFERROR(FIND(",",O72),LEN(O72))</f>
        <v>27</v>
      </c>
      <c r="R72" s="63">
        <f t="shared" ref="R72:R79" si="188">FIND("target:",O72)+7</f>
        <v>54</v>
      </c>
      <c r="S72" s="63">
        <f t="shared" ref="S72:S79" si="189">FIND(",",O72,Q72+1)</f>
        <v>45</v>
      </c>
      <c r="T72" s="63" t="str">
        <f>IFERROR(VLOOKUP(MID(O72,R72,S72-R72),[5]skilldef!$C:$D,2,FALSE),"-") &amp; " / " &amp; IFERROR(VLOOKUP(MID(O72,P72,Q72-P72),[5]skilldef!$A:$B,2,FALSE),"-")</f>
        <v>- / -</v>
      </c>
      <c r="U72" s="48" t="str">
        <f t="shared" ref="U72:U79" si="190">IFERROR(RIGHT(N72,LEN(N72)-FIND("],",N72)-1),"none")</f>
        <v>[effect:rush, count:2, val:0.5]</v>
      </c>
      <c r="V72" s="63">
        <f t="shared" ref="V72:V79" si="191">FIND("effect:",U72)+7</f>
        <v>9</v>
      </c>
      <c r="W72" s="63">
        <f t="shared" ref="W72:W79" si="192">IFERROR(FIND(",",U72),LEN(U72))</f>
        <v>13</v>
      </c>
      <c r="X72" s="63" t="e">
        <f t="shared" ref="X72:X79" si="193">FIND("target:",U72)+7</f>
        <v>#VALUE!</v>
      </c>
      <c r="Y72" s="63">
        <f t="shared" ref="Y72:Y79" si="194">FIND(",",U72,W72+1)</f>
        <v>22</v>
      </c>
      <c r="Z72" s="63" t="str">
        <f>IFERROR(VLOOKUP(MID(U72,X72,Y72-X72),[5]skilldef!$C:$D,2,FALSE),"-") &amp; " / " &amp; IFERROR(VLOOKUP(MID(U72,V72,W72-V72),[5]skilldef!$A:$B,2,FALSE),"-")</f>
        <v>- / 連続攻撃</v>
      </c>
      <c r="AA72" s="50"/>
      <c r="AB72" s="52"/>
      <c r="AC72" s="50"/>
    </row>
    <row r="73" spans="1:29" ht="43" customHeight="1" x14ac:dyDescent="0.15">
      <c r="A73" s="141">
        <v>59003703</v>
      </c>
      <c r="B73" s="47" t="s">
        <v>343</v>
      </c>
      <c r="C73" s="50">
        <v>1</v>
      </c>
      <c r="D73" s="50" t="s">
        <v>126</v>
      </c>
      <c r="E73" s="51" t="s">
        <v>630</v>
      </c>
      <c r="F73" s="51" t="s">
        <v>333</v>
      </c>
      <c r="G73" s="150" t="s">
        <v>334</v>
      </c>
      <c r="H73" s="63" t="str">
        <f t="shared" si="180"/>
        <v>[effect:enemy_message, val1:1.2, val2:1.6]</v>
      </c>
      <c r="I73" s="63">
        <f t="shared" si="181"/>
        <v>9</v>
      </c>
      <c r="J73" s="63">
        <f t="shared" si="182"/>
        <v>22</v>
      </c>
      <c r="K73" s="63" t="e">
        <f t="shared" ref="K73:K79" si="195">FIND("target:",H73)+7</f>
        <v>#VALUE!</v>
      </c>
      <c r="L73" s="63">
        <f t="shared" si="184"/>
        <v>32</v>
      </c>
      <c r="M73" s="63" t="str">
        <f>IFERROR(VLOOKUP(MID(H73,K73,L73-K73),[5]skilldef!$C:$D,2,FALSE),"-") &amp; " / " &amp; IFERROR(VLOOKUP(MID(H73,I73,J73-I73),[5]skilldef!$A:$B,2,FALSE),"-")</f>
        <v>- / -</v>
      </c>
      <c r="N73" s="63" t="str">
        <f t="shared" si="185"/>
        <v>[effect:rush, count:2, val:0.5],[effect:enhance_enemy, target:myself, turn:2, status:attack, val:0.2, calc:mul, animation:enemy_enhance_attack]</v>
      </c>
      <c r="O73" s="48" t="str">
        <f>IFERROR(LEFT(N73,FIND("],",N73)+#REF!),N73)</f>
        <v>[effect:rush, count:2, val:0.5],[effect:enhance_enemy, target:myself, turn:2, status:attack, val:0.2, calc:mul, animation:enemy_enhance_attack]</v>
      </c>
      <c r="P73" s="63">
        <f t="shared" si="186"/>
        <v>9</v>
      </c>
      <c r="Q73" s="63">
        <f t="shared" si="187"/>
        <v>13</v>
      </c>
      <c r="R73" s="63">
        <f t="shared" si="188"/>
        <v>63</v>
      </c>
      <c r="S73" s="63">
        <f t="shared" si="189"/>
        <v>22</v>
      </c>
      <c r="T73" s="63" t="str">
        <f>IFERROR(VLOOKUP(MID(O73,R73,S73-R73),[5]skilldef!$C:$D,2,FALSE),"-") &amp; " / " &amp; IFERROR(VLOOKUP(MID(O73,P73,Q73-P73),[5]skilldef!$A:$B,2,FALSE),"-")</f>
        <v>- / 連続攻撃</v>
      </c>
      <c r="U73" s="48" t="str">
        <f t="shared" si="190"/>
        <v>[effect:enhance_enemy, target:myself, turn:2, status:attack, val:0.2, calc:mul, animation:enemy_enhance_attack]</v>
      </c>
      <c r="V73" s="63">
        <f t="shared" si="191"/>
        <v>9</v>
      </c>
      <c r="W73" s="63">
        <f t="shared" si="192"/>
        <v>22</v>
      </c>
      <c r="X73" s="63">
        <f t="shared" si="193"/>
        <v>31</v>
      </c>
      <c r="Y73" s="63">
        <f t="shared" si="194"/>
        <v>37</v>
      </c>
      <c r="Z73" s="63" t="str">
        <f>IFERROR(VLOOKUP(MID(U73,X73,Y73-X73),[5]skilldef!$C:$D,2,FALSE),"-") &amp; " / " &amp; IFERROR(VLOOKUP(MID(U73,V73,W73-V73),[5]skilldef!$A:$B,2,FALSE),"-")</f>
        <v>自分自身に / ステータス強化</v>
      </c>
      <c r="AA73" s="50"/>
      <c r="AB73" s="52"/>
      <c r="AC73" s="50"/>
    </row>
    <row r="74" spans="1:29" ht="43" customHeight="1" x14ac:dyDescent="0.15">
      <c r="A74" s="141">
        <v>59003704</v>
      </c>
      <c r="B74" s="47" t="s">
        <v>344</v>
      </c>
      <c r="C74" s="50">
        <v>1</v>
      </c>
      <c r="D74" s="50" t="s">
        <v>126</v>
      </c>
      <c r="E74" s="51" t="s">
        <v>475</v>
      </c>
      <c r="F74" s="51" t="s">
        <v>335</v>
      </c>
      <c r="G74" s="150" t="s">
        <v>390</v>
      </c>
      <c r="H74" s="63" t="str">
        <f t="shared" si="180"/>
        <v>[effect:enemy_message, val1:1.2, val2:1.2]</v>
      </c>
      <c r="I74" s="63">
        <f t="shared" si="181"/>
        <v>9</v>
      </c>
      <c r="J74" s="63">
        <f t="shared" si="182"/>
        <v>22</v>
      </c>
      <c r="K74" s="63" t="e">
        <f t="shared" si="195"/>
        <v>#VALUE!</v>
      </c>
      <c r="L74" s="63">
        <f t="shared" si="184"/>
        <v>32</v>
      </c>
      <c r="M74" s="63" t="str">
        <f>IFERROR(VLOOKUP(MID(H74,K74,L74-K74),[5]skilldef!$C:$D,2,FALSE),"-") &amp; " / " &amp; IFERROR(VLOOKUP(MID(H74,I74,J74-I74),[5]skilldef!$A:$B,2,FALSE),"-")</f>
        <v>- / -</v>
      </c>
      <c r="N74" s="63" t="str">
        <f t="shared" si="185"/>
        <v>[effect:damage_fix_absolute, target:unit_one, val:8000]</v>
      </c>
      <c r="O74" s="48" t="str">
        <f>IFERROR(LEFT(N74,FIND("],",N74)+#REF!),N74)</f>
        <v>[effect:damage_fix_absolute, target:unit_one, val:8000]</v>
      </c>
      <c r="P74" s="63">
        <f t="shared" si="186"/>
        <v>9</v>
      </c>
      <c r="Q74" s="63">
        <f t="shared" si="187"/>
        <v>28</v>
      </c>
      <c r="R74" s="63">
        <f t="shared" si="188"/>
        <v>37</v>
      </c>
      <c r="S74" s="63">
        <f t="shared" si="189"/>
        <v>45</v>
      </c>
      <c r="T74" s="63" t="str">
        <f>IFERROR(VLOOKUP(MID(O74,R74,S74-R74),[5]skilldef!$C:$D,2,FALSE),"-") &amp; " / " &amp; IFERROR(VLOOKUP(MID(O74,P74,Q74-P74),[5]skilldef!$A:$B,2,FALSE),"-")</f>
        <v>味方単体に / -</v>
      </c>
      <c r="U74" s="48" t="str">
        <f t="shared" si="190"/>
        <v>none</v>
      </c>
      <c r="V74" s="63" t="e">
        <f t="shared" si="191"/>
        <v>#VALUE!</v>
      </c>
      <c r="W74" s="63">
        <f t="shared" si="192"/>
        <v>4</v>
      </c>
      <c r="X74" s="63" t="e">
        <f t="shared" si="193"/>
        <v>#VALUE!</v>
      </c>
      <c r="Y74" s="63" t="e">
        <f t="shared" si="194"/>
        <v>#VALUE!</v>
      </c>
      <c r="Z74" s="63" t="str">
        <f>IFERROR(VLOOKUP(MID(U74,X74,Y74-X74),[5]skilldef!$C:$D,2,FALSE),"-") &amp; " / " &amp; IFERROR(VLOOKUP(MID(U74,V74,W74-V74),[5]skilldef!$A:$B,2,FALSE),"-")</f>
        <v>- / -</v>
      </c>
      <c r="AA74" s="50"/>
      <c r="AB74" s="52"/>
      <c r="AC74" s="50"/>
    </row>
    <row r="75" spans="1:29" ht="43" customHeight="1" x14ac:dyDescent="0.15">
      <c r="A75" s="141">
        <v>59003705</v>
      </c>
      <c r="B75" s="47" t="s">
        <v>644</v>
      </c>
      <c r="C75" s="50">
        <v>1</v>
      </c>
      <c r="D75" s="50" t="s">
        <v>126</v>
      </c>
      <c r="E75" s="51" t="s">
        <v>631</v>
      </c>
      <c r="F75" s="51" t="s">
        <v>293</v>
      </c>
      <c r="G75" s="150" t="s">
        <v>366</v>
      </c>
      <c r="H75" s="63" t="str">
        <f t="shared" si="180"/>
        <v>[effect:enemy_message, val1:1.2, val2:2.8]</v>
      </c>
      <c r="I75" s="63">
        <f t="shared" si="181"/>
        <v>9</v>
      </c>
      <c r="J75" s="63">
        <f t="shared" si="182"/>
        <v>22</v>
      </c>
      <c r="K75" s="63" t="e">
        <f t="shared" si="195"/>
        <v>#VALUE!</v>
      </c>
      <c r="L75" s="63">
        <f t="shared" si="184"/>
        <v>32</v>
      </c>
      <c r="M75" s="63" t="str">
        <f>IFERROR(VLOOKUP(MID(H75,K75,L75-K75),[5]skilldef!$C:$D,2,FALSE),"-") &amp; " / " &amp; IFERROR(VLOOKUP(MID(H75,I75,J75-I75),[5]skilldef!$A:$B,2,FALSE),"-")</f>
        <v>- / -</v>
      </c>
      <c r="N75" s="63" t="str">
        <f t="shared" si="185"/>
        <v>[effect:force_change_block, new_block:damage, target:normal, ignore01:block_red, ignore02:block_heart, count:0, val:0.05, animation:change_block],[effect:rush, count:2, val:0.5]</v>
      </c>
      <c r="O75" s="48" t="str">
        <f>IFERROR(LEFT(N75,FIND("],",N75)+#REF!),N75)</f>
        <v>[effect:force_change_block, new_block:damage, target:normal, ignore01:block_red, ignore02:block_heart, count:0, val:0.05, animation:change_block],[effect:rush, count:2, val:0.5]</v>
      </c>
      <c r="P75" s="63">
        <f t="shared" si="186"/>
        <v>9</v>
      </c>
      <c r="Q75" s="63">
        <f t="shared" si="187"/>
        <v>27</v>
      </c>
      <c r="R75" s="63">
        <f t="shared" si="188"/>
        <v>54</v>
      </c>
      <c r="S75" s="63">
        <f t="shared" si="189"/>
        <v>45</v>
      </c>
      <c r="T75" s="63" t="str">
        <f>IFERROR(VLOOKUP(MID(O75,R75,S75-R75),[5]skilldef!$C:$D,2,FALSE),"-") &amp; " / " &amp; IFERROR(VLOOKUP(MID(O75,P75,Q75-P75),[5]skilldef!$A:$B,2,FALSE),"-")</f>
        <v>- / -</v>
      </c>
      <c r="U75" s="48" t="str">
        <f t="shared" si="190"/>
        <v>[effect:rush, count:2, val:0.5]</v>
      </c>
      <c r="V75" s="63">
        <f t="shared" si="191"/>
        <v>9</v>
      </c>
      <c r="W75" s="63">
        <f t="shared" si="192"/>
        <v>13</v>
      </c>
      <c r="X75" s="63" t="e">
        <f t="shared" si="193"/>
        <v>#VALUE!</v>
      </c>
      <c r="Y75" s="63">
        <f t="shared" si="194"/>
        <v>22</v>
      </c>
      <c r="Z75" s="63" t="str">
        <f>IFERROR(VLOOKUP(MID(U75,X75,Y75-X75),[5]skilldef!$C:$D,2,FALSE),"-") &amp; " / " &amp; IFERROR(VLOOKUP(MID(U75,V75,W75-V75),[5]skilldef!$A:$B,2,FALSE),"-")</f>
        <v>- / 連続攻撃</v>
      </c>
      <c r="AA75" s="50"/>
      <c r="AB75" s="52"/>
      <c r="AC75" s="50"/>
    </row>
    <row r="76" spans="1:29" ht="43" customHeight="1" x14ac:dyDescent="0.15">
      <c r="A76" s="141">
        <v>59003706</v>
      </c>
      <c r="B76" s="47" t="s">
        <v>456</v>
      </c>
      <c r="C76" s="50">
        <v>1</v>
      </c>
      <c r="D76" s="50" t="s">
        <v>126</v>
      </c>
      <c r="E76" s="51" t="s">
        <v>505</v>
      </c>
      <c r="F76" s="148" t="s">
        <v>450</v>
      </c>
      <c r="G76" s="150"/>
      <c r="H76" s="63" t="str">
        <f t="shared" si="180"/>
        <v>[effect:enemy_message, val1:1.2, val2:2.0]</v>
      </c>
      <c r="I76" s="63">
        <f t="shared" si="181"/>
        <v>9</v>
      </c>
      <c r="J76" s="63">
        <f t="shared" si="182"/>
        <v>22</v>
      </c>
      <c r="K76" s="63" t="e">
        <f t="shared" si="195"/>
        <v>#VALUE!</v>
      </c>
      <c r="L76" s="63">
        <f t="shared" si="184"/>
        <v>32</v>
      </c>
      <c r="M76" s="63" t="str">
        <f>IFERROR(VLOOKUP(MID(H76,K76,L76-K76),[5]skilldef!$C:$D,2,FALSE),"-") &amp; " / " &amp; IFERROR(VLOOKUP(MID(H76,I76,J76-I76),[5]skilldef!$A:$B,2,FALSE),"-")</f>
        <v>- / -</v>
      </c>
      <c r="N76" s="63" t="str">
        <f t="shared" si="185"/>
        <v>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</v>
      </c>
      <c r="O76" s="48" t="str">
        <f>IFERROR(LEFT(N76,FIND("],",N76)+#REF!),N76)</f>
        <v>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</v>
      </c>
      <c r="P76" s="63">
        <f t="shared" si="186"/>
        <v>9</v>
      </c>
      <c r="Q76" s="63">
        <f t="shared" si="187"/>
        <v>27</v>
      </c>
      <c r="R76" s="63">
        <f t="shared" si="188"/>
        <v>57</v>
      </c>
      <c r="S76" s="63">
        <f t="shared" si="189"/>
        <v>48</v>
      </c>
      <c r="T76" s="63" t="str">
        <f>IFERROR(VLOOKUP(MID(O76,R76,S76-R76),[5]skilldef!$C:$D,2,FALSE),"-") &amp; " / " &amp; IFERROR(VLOOKUP(MID(O76,P76,Q76-P76),[5]skilldef!$A:$B,2,FALSE),"-")</f>
        <v>- / -</v>
      </c>
      <c r="U76" s="48" t="str">
        <f t="shared" si="190"/>
        <v>[effect:change_range_block, block_change:1, base_type:0, square_count:3, position01:1, value_h01:3, value_w01:1, new_block:jammer, target:block_all, ignore01:block_positive, count:0, val:0, animation:change_range_block]</v>
      </c>
      <c r="V76" s="63">
        <f t="shared" si="191"/>
        <v>9</v>
      </c>
      <c r="W76" s="63">
        <f t="shared" si="192"/>
        <v>27</v>
      </c>
      <c r="X76" s="63">
        <f t="shared" si="193"/>
        <v>139</v>
      </c>
      <c r="Y76" s="63">
        <f t="shared" si="194"/>
        <v>43</v>
      </c>
      <c r="Z76" s="63" t="str">
        <f>IFERROR(VLOOKUP(MID(U76,X76,Y76-X76),[5]skilldef!$C:$D,2,FALSE),"-") &amp; " / " &amp; IFERROR(VLOOKUP(MID(U76,V76,W76-V76),[5]skilldef!$A:$B,2,FALSE),"-")</f>
        <v>- / -</v>
      </c>
      <c r="AA76" s="50"/>
      <c r="AB76" s="52"/>
      <c r="AC76" s="50"/>
    </row>
    <row r="77" spans="1:29" ht="43" customHeight="1" x14ac:dyDescent="0.15">
      <c r="A77" s="141">
        <v>59003707</v>
      </c>
      <c r="B77" s="47" t="s">
        <v>298</v>
      </c>
      <c r="C77" s="50">
        <v>1</v>
      </c>
      <c r="D77" s="50" t="s">
        <v>126</v>
      </c>
      <c r="E77" s="51" t="s">
        <v>476</v>
      </c>
      <c r="F77" s="51" t="s">
        <v>294</v>
      </c>
      <c r="G77" s="150" t="s">
        <v>391</v>
      </c>
      <c r="H77" s="63" t="str">
        <f t="shared" si="180"/>
        <v>[effect:enemy_message, val1:1.2, val2:1.3]</v>
      </c>
      <c r="I77" s="63">
        <f t="shared" si="181"/>
        <v>9</v>
      </c>
      <c r="J77" s="63">
        <f t="shared" si="182"/>
        <v>22</v>
      </c>
      <c r="K77" s="63" t="e">
        <f t="shared" si="195"/>
        <v>#VALUE!</v>
      </c>
      <c r="L77" s="63">
        <f t="shared" si="184"/>
        <v>32</v>
      </c>
      <c r="M77" s="63" t="str">
        <f>IFERROR(VLOOKUP(MID(H77,K77,L77-K77),[5]skilldef!$C:$D,2,FALSE),"-") &amp; " / " &amp; IFERROR(VLOOKUP(MID(H77,I77,J77-I77),[5]skilldef!$A:$B,2,FALSE),"-")</f>
        <v>- / -</v>
      </c>
      <c r="N77" s="63" t="str">
        <f t="shared" si="185"/>
        <v>[effect:damage_gravity, val:0.9, animation:fevergauge_down]</v>
      </c>
      <c r="O77" s="48" t="str">
        <f>IFERROR(LEFT(N77,FIND("],",N77)+#REF!),N77)</f>
        <v>[effect:damage_gravity, val:0.9, animation:fevergauge_down]</v>
      </c>
      <c r="P77" s="63">
        <f t="shared" si="186"/>
        <v>9</v>
      </c>
      <c r="Q77" s="63">
        <f t="shared" si="187"/>
        <v>23</v>
      </c>
      <c r="R77" s="63" t="e">
        <f t="shared" si="188"/>
        <v>#VALUE!</v>
      </c>
      <c r="S77" s="63">
        <f t="shared" si="189"/>
        <v>32</v>
      </c>
      <c r="T77" s="63" t="str">
        <f>IFERROR(VLOOKUP(MID(O77,R77,S77-R77),[5]skilldef!$C:$D,2,FALSE),"-") &amp; " / " &amp; IFERROR(VLOOKUP(MID(O77,P77,Q77-P77),[5]skilldef!$A:$B,2,FALSE),"-")</f>
        <v>- / 割合ダメージ</v>
      </c>
      <c r="U77" s="48" t="str">
        <f t="shared" si="190"/>
        <v>none</v>
      </c>
      <c r="V77" s="63" t="e">
        <f t="shared" si="191"/>
        <v>#VALUE!</v>
      </c>
      <c r="W77" s="63">
        <f t="shared" si="192"/>
        <v>4</v>
      </c>
      <c r="X77" s="63" t="e">
        <f t="shared" si="193"/>
        <v>#VALUE!</v>
      </c>
      <c r="Y77" s="63" t="e">
        <f t="shared" si="194"/>
        <v>#VALUE!</v>
      </c>
      <c r="Z77" s="63" t="str">
        <f>IFERROR(VLOOKUP(MID(U77,X77,Y77-X77),[5]skilldef!$C:$D,2,FALSE),"-") &amp; " / " &amp; IFERROR(VLOOKUP(MID(U77,V77,W77-V77),[5]skilldef!$A:$B,2,FALSE),"-")</f>
        <v>- / -</v>
      </c>
      <c r="AA77" s="50"/>
      <c r="AB77" s="52"/>
      <c r="AC77" s="50"/>
    </row>
    <row r="78" spans="1:29" ht="43" customHeight="1" x14ac:dyDescent="0.15">
      <c r="A78" s="141">
        <v>59003708</v>
      </c>
      <c r="B78" s="47" t="s">
        <v>456</v>
      </c>
      <c r="C78" s="50">
        <v>1</v>
      </c>
      <c r="D78" s="50" t="s">
        <v>126</v>
      </c>
      <c r="E78" s="51" t="s">
        <v>505</v>
      </c>
      <c r="F78" s="148" t="s">
        <v>450</v>
      </c>
      <c r="G78" s="150"/>
      <c r="H78" s="63" t="str">
        <f t="shared" si="180"/>
        <v>[effect:enemy_message, val1:1.2, val2:2.0]</v>
      </c>
      <c r="I78" s="63">
        <f t="shared" si="181"/>
        <v>9</v>
      </c>
      <c r="J78" s="63">
        <f t="shared" si="182"/>
        <v>22</v>
      </c>
      <c r="K78" s="63" t="e">
        <f t="shared" si="195"/>
        <v>#VALUE!</v>
      </c>
      <c r="L78" s="63">
        <f t="shared" si="184"/>
        <v>32</v>
      </c>
      <c r="M78" s="63" t="str">
        <f>IFERROR(VLOOKUP(MID(H78,K78,L78-K78),[5]skilldef!$C:$D,2,FALSE),"-") &amp; " / " &amp; IFERROR(VLOOKUP(MID(H78,I78,J78-I78),[5]skilldef!$A:$B,2,FALSE),"-")</f>
        <v>- / -</v>
      </c>
      <c r="N78" s="63" t="str">
        <f t="shared" si="185"/>
        <v>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</v>
      </c>
      <c r="O78" s="48" t="str">
        <f>IFERROR(LEFT(N78,FIND("],",N78)+#REF!),N78)</f>
        <v>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</v>
      </c>
      <c r="P78" s="63">
        <f t="shared" si="186"/>
        <v>9</v>
      </c>
      <c r="Q78" s="63">
        <f t="shared" si="187"/>
        <v>27</v>
      </c>
      <c r="R78" s="63">
        <f t="shared" si="188"/>
        <v>57</v>
      </c>
      <c r="S78" s="63">
        <f t="shared" si="189"/>
        <v>48</v>
      </c>
      <c r="T78" s="63" t="str">
        <f>IFERROR(VLOOKUP(MID(O78,R78,S78-R78),[5]skilldef!$C:$D,2,FALSE),"-") &amp; " / " &amp; IFERROR(VLOOKUP(MID(O78,P78,Q78-P78),[5]skilldef!$A:$B,2,FALSE),"-")</f>
        <v>- / -</v>
      </c>
      <c r="U78" s="48" t="str">
        <f t="shared" si="190"/>
        <v>[effect:change_range_block, block_change:1, base_type:0, square_count:3, position01:1, value_h01:3, value_w01:1, new_block:jammer, target:block_all, ignore01:block_positive, count:0, val:0, animation:change_range_block]</v>
      </c>
      <c r="V78" s="63">
        <f t="shared" si="191"/>
        <v>9</v>
      </c>
      <c r="W78" s="63">
        <f t="shared" si="192"/>
        <v>27</v>
      </c>
      <c r="X78" s="63">
        <f t="shared" si="193"/>
        <v>139</v>
      </c>
      <c r="Y78" s="63">
        <f t="shared" si="194"/>
        <v>43</v>
      </c>
      <c r="Z78" s="63" t="str">
        <f>IFERROR(VLOOKUP(MID(U78,X78,Y78-X78),[5]skilldef!$C:$D,2,FALSE),"-") &amp; " / " &amp; IFERROR(VLOOKUP(MID(U78,V78,W78-V78),[5]skilldef!$A:$B,2,FALSE),"-")</f>
        <v>- / -</v>
      </c>
      <c r="AA78" s="50"/>
      <c r="AB78" s="52"/>
      <c r="AC78" s="50"/>
    </row>
    <row r="79" spans="1:29" ht="43" customHeight="1" x14ac:dyDescent="0.15">
      <c r="A79" s="141">
        <v>59003709</v>
      </c>
      <c r="B79" s="146" t="s">
        <v>523</v>
      </c>
      <c r="C79" s="147">
        <v>1</v>
      </c>
      <c r="D79" s="147" t="s">
        <v>512</v>
      </c>
      <c r="E79" s="148" t="s">
        <v>514</v>
      </c>
      <c r="F79" s="148" t="s">
        <v>513</v>
      </c>
      <c r="G79" s="152"/>
      <c r="H79" s="63" t="str">
        <f t="shared" si="180"/>
        <v>[effect:enemy_message, val1:1.2, val2:3.3]</v>
      </c>
      <c r="I79" s="63">
        <f t="shared" si="181"/>
        <v>9</v>
      </c>
      <c r="J79" s="63">
        <f t="shared" si="182"/>
        <v>22</v>
      </c>
      <c r="K79" s="63" t="e">
        <f t="shared" si="195"/>
        <v>#VALUE!</v>
      </c>
      <c r="L79" s="63">
        <f t="shared" si="184"/>
        <v>32</v>
      </c>
      <c r="M79" s="63" t="str">
        <f>IFERROR(VLOOKUP(MID(H79,K79,L79-K79),[5]skilldef!$C:$D,2,FALSE),"-") &amp; " / " &amp; IFERROR(VLOOKUP(MID(H79,I79,J79-I79),[5]skilldef!$A:$B,2,FALSE),"-")</f>
        <v>- / -</v>
      </c>
      <c r="N79" s="63" t="str">
        <f t="shared" si="185"/>
        <v>[effect:enhance_unit, target:unit_all, turn:2, status:action, val:2, calc:add]</v>
      </c>
      <c r="O79" s="48" t="str">
        <f>IFERROR(LEFT(N79,FIND("],",N79)+#REF!),N79)</f>
        <v>[effect:enhance_unit, target:unit_all, turn:2, status:action, val:2, calc:add]</v>
      </c>
      <c r="P79" s="63">
        <f t="shared" si="186"/>
        <v>9</v>
      </c>
      <c r="Q79" s="63">
        <f t="shared" si="187"/>
        <v>21</v>
      </c>
      <c r="R79" s="63">
        <f t="shared" si="188"/>
        <v>30</v>
      </c>
      <c r="S79" s="63">
        <f t="shared" si="189"/>
        <v>38</v>
      </c>
      <c r="T79" s="63" t="str">
        <f>IFERROR(VLOOKUP(MID(O79,R79,S79-R79),[5]skilldef!$C:$D,2,FALSE),"-") &amp; " / " &amp; IFERROR(VLOOKUP(MID(O79,P79,Q79-P79),[5]skilldef!$A:$B,2,FALSE),"-")</f>
        <v>味方全体に / -</v>
      </c>
      <c r="U79" s="48" t="str">
        <f t="shared" si="190"/>
        <v>none</v>
      </c>
      <c r="V79" s="63" t="e">
        <f t="shared" si="191"/>
        <v>#VALUE!</v>
      </c>
      <c r="W79" s="63">
        <f t="shared" si="192"/>
        <v>4</v>
      </c>
      <c r="X79" s="63" t="e">
        <f t="shared" si="193"/>
        <v>#VALUE!</v>
      </c>
      <c r="Y79" s="63" t="e">
        <f t="shared" si="194"/>
        <v>#VALUE!</v>
      </c>
      <c r="Z79" s="63" t="str">
        <f>IFERROR(VLOOKUP(MID(U79,X79,Y79-X79),[5]skilldef!$C:$D,2,FALSE),"-") &amp; " / " &amp; IFERROR(VLOOKUP(MID(U79,V79,W79-V79),[5]skilldef!$A:$B,2,FALSE),"-")</f>
        <v>- / -</v>
      </c>
      <c r="AA79" s="50"/>
      <c r="AB79" s="52"/>
      <c r="AC79" s="50"/>
    </row>
    <row r="80" spans="1:29" ht="43" customHeight="1" x14ac:dyDescent="0.15">
      <c r="A80" s="141">
        <v>59003710</v>
      </c>
      <c r="B80" s="134" t="s">
        <v>645</v>
      </c>
      <c r="C80" s="145">
        <v>1</v>
      </c>
      <c r="D80" s="145" t="s">
        <v>346</v>
      </c>
      <c r="E80" s="135" t="s">
        <v>596</v>
      </c>
      <c r="F80" s="135" t="s">
        <v>374</v>
      </c>
      <c r="G80" s="153" t="s">
        <v>281</v>
      </c>
      <c r="H80" s="63" t="str">
        <f t="shared" ref="H80:H87" si="196">IFERROR(LEFT(B80,FIND("],",B80)),B80)</f>
        <v>[effect:enemy_message, val1:2.0, val2:3.9]</v>
      </c>
      <c r="I80" s="63">
        <f t="shared" ref="I80:I87" si="197">FIND("effect:",H80)+7</f>
        <v>9</v>
      </c>
      <c r="J80" s="63">
        <f t="shared" ref="J80:J87" si="198">IFERROR(FIND(",",H80),LEN(H80))</f>
        <v>22</v>
      </c>
      <c r="K80" s="63" t="e">
        <f t="shared" ref="K80:K87" si="199">FIND("target:",H80)+7</f>
        <v>#VALUE!</v>
      </c>
      <c r="L80" s="63">
        <f t="shared" ref="L80:L87" si="200">FIND(",",H80,J80+1)</f>
        <v>32</v>
      </c>
      <c r="M80" s="63" t="str">
        <f>IFERROR(VLOOKUP(MID(H80,K80,L80-K80),[5]skilldef!$C:$D,2,FALSE),"-") &amp; " / " &amp; IFERROR(VLOOKUP(MID(H80,I80,J80-I80),[5]skilldef!$A:$B,2,FALSE),"-")</f>
        <v>- / -</v>
      </c>
      <c r="N80" s="63" t="str">
        <f t="shared" ref="N80:N87" si="201">IFERROR(RIGHT(B80,LEN(B80)-FIND("],",B80)-1),"none")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0" s="48" t="str">
        <f>IFERROR(LEFT(N80,FIND("],",N80)+#REF!),N80)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0" s="63">
        <f t="shared" ref="P80:P87" si="202">FIND("effect:",O80)+7</f>
        <v>9</v>
      </c>
      <c r="Q80" s="63">
        <f t="shared" ref="Q80:Q87" si="203">IFERROR(FIND(",",O80),LEN(O80))</f>
        <v>18</v>
      </c>
      <c r="R80" s="63">
        <f t="shared" ref="R80:R87" si="204">FIND("target:",O80)+7</f>
        <v>27</v>
      </c>
      <c r="S80" s="63">
        <f t="shared" ref="S80:S87" si="205">FIND(",",O80,Q80+1)</f>
        <v>33</v>
      </c>
      <c r="T80" s="63" t="str">
        <f>IFERROR(VLOOKUP(MID(O80,R80,S80-R80),[5]skilldef!$C:$D,2,FALSE),"-") &amp; " / " &amp; IFERROR(VLOOKUP(MID(O80,P80,Q80-P80),[5]skilldef!$A:$B,2,FALSE),"-")</f>
        <v>自分自身に / -</v>
      </c>
      <c r="U80" s="48" t="str">
        <f t="shared" ref="U80:U87" si="206">IFERROR(RIGHT(N80,LEN(N80)-FIND("],",N80)-1),"none")</f>
        <v>[effect:force_change_block, new_block:damage, target:jammer, count:0, val:0.05],[effect:tolerance, target:myself, turn:-1, count:-1, tolerance_effect:all, animation:enemy_tolerance]</v>
      </c>
      <c r="V80" s="63">
        <f t="shared" ref="V80:V87" si="207">FIND("effect:",U80)+7</f>
        <v>9</v>
      </c>
      <c r="W80" s="63">
        <f t="shared" ref="W80:W87" si="208">IFERROR(FIND(",",U80),LEN(U80))</f>
        <v>27</v>
      </c>
      <c r="X80" s="63">
        <f t="shared" ref="X80:X87" si="209">FIND("target:",U80)+7</f>
        <v>54</v>
      </c>
      <c r="Y80" s="63">
        <f t="shared" ref="Y80:Y87" si="210">FIND(",",U80,W80+1)</f>
        <v>45</v>
      </c>
      <c r="Z80" s="63" t="str">
        <f>IFERROR(VLOOKUP(MID(U80,X80,Y80-X80),[5]skilldef!$C:$D,2,FALSE),"-") &amp; " / " &amp; IFERROR(VLOOKUP(MID(U80,V80,W80-V80),[5]skilldef!$A:$B,2,FALSE),"-")</f>
        <v>- / -</v>
      </c>
      <c r="AA80" s="50"/>
      <c r="AB80" s="52"/>
      <c r="AC80" s="50"/>
    </row>
    <row r="81" spans="1:29" ht="43" customHeight="1" x14ac:dyDescent="0.15">
      <c r="A81" s="141">
        <v>59003711</v>
      </c>
      <c r="B81" s="134" t="s">
        <v>524</v>
      </c>
      <c r="C81" s="145">
        <v>1</v>
      </c>
      <c r="D81" s="145" t="s">
        <v>346</v>
      </c>
      <c r="E81" s="135" t="s">
        <v>528</v>
      </c>
      <c r="F81" s="135" t="s">
        <v>374</v>
      </c>
      <c r="G81" s="153" t="s">
        <v>282</v>
      </c>
      <c r="H81" s="63" t="str">
        <f t="shared" si="196"/>
        <v>[effect:enemy_message, val1:1.8, val2:3.9]</v>
      </c>
      <c r="I81" s="63">
        <f t="shared" si="197"/>
        <v>9</v>
      </c>
      <c r="J81" s="63">
        <f t="shared" si="198"/>
        <v>22</v>
      </c>
      <c r="K81" s="63" t="e">
        <f t="shared" si="199"/>
        <v>#VALUE!</v>
      </c>
      <c r="L81" s="63">
        <f t="shared" si="200"/>
        <v>32</v>
      </c>
      <c r="M81" s="63" t="str">
        <f>IFERROR(VLOOKUP(MID(H81,K81,L81-K81),[5]skilldef!$C:$D,2,FALSE),"-") &amp; " / " &amp; IFERROR(VLOOKUP(MID(H81,I81,J81-I81),[5]skilldef!$A:$B,2,FALSE),"-")</f>
        <v>- / -</v>
      </c>
      <c r="N81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1" s="48" t="str">
        <f>IFERROR(LEFT(N81,FIND("],",N81)+#REF!),N81)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1" s="63">
        <f t="shared" si="202"/>
        <v>9</v>
      </c>
      <c r="Q81" s="63">
        <f t="shared" si="203"/>
        <v>18</v>
      </c>
      <c r="R81" s="63">
        <f t="shared" si="204"/>
        <v>27</v>
      </c>
      <c r="S81" s="63">
        <f t="shared" si="205"/>
        <v>33</v>
      </c>
      <c r="T81" s="63" t="str">
        <f>IFERROR(VLOOKUP(MID(O81,R81,S81-R81),[5]skilldef!$C:$D,2,FALSE),"-") &amp; " / " &amp; IFERROR(VLOOKUP(MID(O81,P81,Q81-P81),[5]skilldef!$A:$B,2,FALSE),"-")</f>
        <v>自分自身に / -</v>
      </c>
      <c r="U81" s="48" t="str">
        <f t="shared" si="206"/>
        <v>[effect:force_change_block, new_block:damage, target:jammer, count:0, val:0.05],[effect:tolerance, target:myself, turn:-1, count:-1, tolerance_effect:all, animation:enemy_tolerance]</v>
      </c>
      <c r="V81" s="63">
        <f t="shared" si="207"/>
        <v>9</v>
      </c>
      <c r="W81" s="63">
        <f t="shared" si="208"/>
        <v>27</v>
      </c>
      <c r="X81" s="63">
        <f t="shared" si="209"/>
        <v>54</v>
      </c>
      <c r="Y81" s="63">
        <f t="shared" si="210"/>
        <v>45</v>
      </c>
      <c r="Z81" s="63" t="str">
        <f>IFERROR(VLOOKUP(MID(U81,X81,Y81-X81),[5]skilldef!$C:$D,2,FALSE),"-") &amp; " / " &amp; IFERROR(VLOOKUP(MID(U81,V81,W81-V81),[5]skilldef!$A:$B,2,FALSE),"-")</f>
        <v>- / -</v>
      </c>
      <c r="AA81" s="50"/>
      <c r="AB81" s="52"/>
      <c r="AC81" s="50"/>
    </row>
    <row r="82" spans="1:29" ht="43" customHeight="1" x14ac:dyDescent="0.15">
      <c r="A82" s="141">
        <v>59003712</v>
      </c>
      <c r="B82" s="134" t="s">
        <v>525</v>
      </c>
      <c r="C82" s="145">
        <v>1</v>
      </c>
      <c r="D82" s="145" t="s">
        <v>346</v>
      </c>
      <c r="E82" s="135" t="s">
        <v>529</v>
      </c>
      <c r="F82" s="135" t="s">
        <v>374</v>
      </c>
      <c r="G82" s="153" t="s">
        <v>283</v>
      </c>
      <c r="H82" s="63" t="str">
        <f t="shared" si="196"/>
        <v>[effect:enemy_message, val1:1.9, val2:3.9]</v>
      </c>
      <c r="I82" s="63">
        <f t="shared" si="197"/>
        <v>9</v>
      </c>
      <c r="J82" s="63">
        <f t="shared" si="198"/>
        <v>22</v>
      </c>
      <c r="K82" s="63" t="e">
        <f t="shared" si="199"/>
        <v>#VALUE!</v>
      </c>
      <c r="L82" s="63">
        <f t="shared" si="200"/>
        <v>32</v>
      </c>
      <c r="M82" s="63" t="str">
        <f>IFERROR(VLOOKUP(MID(H82,K82,L82-K82),[5]skilldef!$C:$D,2,FALSE),"-") &amp; " / " &amp; IFERROR(VLOOKUP(MID(H82,I82,J82-I82),[5]skilldef!$A:$B,2,FALSE),"-")</f>
        <v>- / -</v>
      </c>
      <c r="N82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2" s="48" t="str">
        <f>IFERROR(LEFT(N82,FIND("],",N82)+#REF!),N82)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2" s="63">
        <f t="shared" si="202"/>
        <v>9</v>
      </c>
      <c r="Q82" s="63">
        <f t="shared" si="203"/>
        <v>18</v>
      </c>
      <c r="R82" s="63">
        <f t="shared" si="204"/>
        <v>27</v>
      </c>
      <c r="S82" s="63">
        <f t="shared" si="205"/>
        <v>33</v>
      </c>
      <c r="T82" s="63" t="str">
        <f>IFERROR(VLOOKUP(MID(O82,R82,S82-R82),[5]skilldef!$C:$D,2,FALSE),"-") &amp; " / " &amp; IFERROR(VLOOKUP(MID(O82,P82,Q82-P82),[5]skilldef!$A:$B,2,FALSE),"-")</f>
        <v>自分自身に / -</v>
      </c>
      <c r="U82" s="48" t="str">
        <f t="shared" si="206"/>
        <v>[effect:force_change_block, new_block:damage, target:jammer, count:0, val:0.05],[effect:tolerance, target:myself, turn:-1, count:-1, tolerance_effect:all, animation:enemy_tolerance]</v>
      </c>
      <c r="V82" s="63">
        <f t="shared" si="207"/>
        <v>9</v>
      </c>
      <c r="W82" s="63">
        <f t="shared" si="208"/>
        <v>27</v>
      </c>
      <c r="X82" s="63">
        <f t="shared" si="209"/>
        <v>54</v>
      </c>
      <c r="Y82" s="63">
        <f t="shared" si="210"/>
        <v>45</v>
      </c>
      <c r="Z82" s="63" t="str">
        <f>IFERROR(VLOOKUP(MID(U82,X82,Y82-X82),[5]skilldef!$C:$D,2,FALSE),"-") &amp; " / " &amp; IFERROR(VLOOKUP(MID(U82,V82,W82-V82),[5]skilldef!$A:$B,2,FALSE),"-")</f>
        <v>- / -</v>
      </c>
      <c r="AA82" s="50"/>
      <c r="AB82" s="52"/>
      <c r="AC82" s="50"/>
    </row>
    <row r="83" spans="1:29" ht="43" customHeight="1" x14ac:dyDescent="0.15">
      <c r="A83" s="141">
        <v>59003713</v>
      </c>
      <c r="B83" s="134" t="s">
        <v>524</v>
      </c>
      <c r="C83" s="145">
        <v>1</v>
      </c>
      <c r="D83" s="145" t="s">
        <v>346</v>
      </c>
      <c r="E83" s="135" t="s">
        <v>477</v>
      </c>
      <c r="F83" s="135" t="s">
        <v>374</v>
      </c>
      <c r="G83" s="153" t="s">
        <v>284</v>
      </c>
      <c r="H83" s="63" t="str">
        <f t="shared" si="196"/>
        <v>[effect:enemy_message, val1:1.8, val2:3.9]</v>
      </c>
      <c r="I83" s="63">
        <f t="shared" si="197"/>
        <v>9</v>
      </c>
      <c r="J83" s="63">
        <f t="shared" si="198"/>
        <v>22</v>
      </c>
      <c r="K83" s="63" t="e">
        <f t="shared" si="199"/>
        <v>#VALUE!</v>
      </c>
      <c r="L83" s="63">
        <f t="shared" si="200"/>
        <v>32</v>
      </c>
      <c r="M83" s="63" t="str">
        <f>IFERROR(VLOOKUP(MID(H83,K83,L83-K83),[5]skilldef!$C:$D,2,FALSE),"-") &amp; " / " &amp; IFERROR(VLOOKUP(MID(H83,I83,J83-I83),[5]skilldef!$A:$B,2,FALSE),"-")</f>
        <v>- / -</v>
      </c>
      <c r="N83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3" s="48" t="str">
        <f>IFERROR(LEFT(N83,FIND("],",N83)+#REF!),N83)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3" s="63">
        <f t="shared" si="202"/>
        <v>9</v>
      </c>
      <c r="Q83" s="63">
        <f t="shared" si="203"/>
        <v>18</v>
      </c>
      <c r="R83" s="63">
        <f t="shared" si="204"/>
        <v>27</v>
      </c>
      <c r="S83" s="63">
        <f t="shared" si="205"/>
        <v>33</v>
      </c>
      <c r="T83" s="63" t="str">
        <f>IFERROR(VLOOKUP(MID(O83,R83,S83-R83),[5]skilldef!$C:$D,2,FALSE),"-") &amp; " / " &amp; IFERROR(VLOOKUP(MID(O83,P83,Q83-P83),[5]skilldef!$A:$B,2,FALSE),"-")</f>
        <v>自分自身に / -</v>
      </c>
      <c r="U83" s="48" t="str">
        <f t="shared" si="206"/>
        <v>[effect:force_change_block, new_block:damage, target:jammer, count:0, val:0.05],[effect:tolerance, target:myself, turn:-1, count:-1, tolerance_effect:all, animation:enemy_tolerance]</v>
      </c>
      <c r="V83" s="63">
        <f t="shared" si="207"/>
        <v>9</v>
      </c>
      <c r="W83" s="63">
        <f t="shared" si="208"/>
        <v>27</v>
      </c>
      <c r="X83" s="63">
        <f t="shared" si="209"/>
        <v>54</v>
      </c>
      <c r="Y83" s="63">
        <f t="shared" si="210"/>
        <v>45</v>
      </c>
      <c r="Z83" s="63" t="str">
        <f>IFERROR(VLOOKUP(MID(U83,X83,Y83-X83),[5]skilldef!$C:$D,2,FALSE),"-") &amp; " / " &amp; IFERROR(VLOOKUP(MID(U83,V83,W83-V83),[5]skilldef!$A:$B,2,FALSE),"-")</f>
        <v>- / -</v>
      </c>
      <c r="AA83" s="50"/>
      <c r="AB83" s="52"/>
      <c r="AC83" s="50"/>
    </row>
    <row r="84" spans="1:29" ht="43" customHeight="1" x14ac:dyDescent="0.15">
      <c r="A84" s="141">
        <v>59003714</v>
      </c>
      <c r="B84" s="134" t="s">
        <v>526</v>
      </c>
      <c r="C84" s="145">
        <v>1</v>
      </c>
      <c r="D84" s="145" t="s">
        <v>346</v>
      </c>
      <c r="E84" s="135" t="s">
        <v>479</v>
      </c>
      <c r="F84" s="135" t="s">
        <v>374</v>
      </c>
      <c r="G84" s="153" t="s">
        <v>285</v>
      </c>
      <c r="H84" s="63" t="str">
        <f t="shared" si="196"/>
        <v>[effect:enemy_message, val1:2.1, val2:3.9]</v>
      </c>
      <c r="I84" s="63">
        <f t="shared" si="197"/>
        <v>9</v>
      </c>
      <c r="J84" s="63">
        <f t="shared" si="198"/>
        <v>22</v>
      </c>
      <c r="K84" s="63" t="e">
        <f t="shared" si="199"/>
        <v>#VALUE!</v>
      </c>
      <c r="L84" s="63">
        <f t="shared" si="200"/>
        <v>32</v>
      </c>
      <c r="M84" s="63" t="str">
        <f>IFERROR(VLOOKUP(MID(H84,K84,L84-K84),[5]skilldef!$C:$D,2,FALSE),"-") &amp; " / " &amp; IFERROR(VLOOKUP(MID(H84,I84,J84-I84),[5]skilldef!$A:$B,2,FALSE),"-")</f>
        <v>- / -</v>
      </c>
      <c r="N84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4" s="48" t="str">
        <f>IFERROR(LEFT(N84,FIND("],",N84)+#REF!),N84)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4" s="63">
        <f t="shared" si="202"/>
        <v>9</v>
      </c>
      <c r="Q84" s="63">
        <f t="shared" si="203"/>
        <v>18</v>
      </c>
      <c r="R84" s="63">
        <f t="shared" si="204"/>
        <v>27</v>
      </c>
      <c r="S84" s="63">
        <f t="shared" si="205"/>
        <v>33</v>
      </c>
      <c r="T84" s="63" t="str">
        <f>IFERROR(VLOOKUP(MID(O84,R84,S84-R84),[5]skilldef!$C:$D,2,FALSE),"-") &amp; " / " &amp; IFERROR(VLOOKUP(MID(O84,P84,Q84-P84),[5]skilldef!$A:$B,2,FALSE),"-")</f>
        <v>自分自身に / -</v>
      </c>
      <c r="U84" s="48" t="str">
        <f t="shared" si="206"/>
        <v>[effect:force_change_block, new_block:damage, target:jammer, count:0, val:0.05],[effect:tolerance, target:myself, turn:-1, count:-1, tolerance_effect:all, animation:enemy_tolerance]</v>
      </c>
      <c r="V84" s="63">
        <f t="shared" si="207"/>
        <v>9</v>
      </c>
      <c r="W84" s="63">
        <f t="shared" si="208"/>
        <v>27</v>
      </c>
      <c r="X84" s="63">
        <f t="shared" si="209"/>
        <v>54</v>
      </c>
      <c r="Y84" s="63">
        <f t="shared" si="210"/>
        <v>45</v>
      </c>
      <c r="Z84" s="63" t="str">
        <f>IFERROR(VLOOKUP(MID(U84,X84,Y84-X84),[5]skilldef!$C:$D,2,FALSE),"-") &amp; " / " &amp; IFERROR(VLOOKUP(MID(U84,V84,W84-V84),[5]skilldef!$A:$B,2,FALSE),"-")</f>
        <v>- / -</v>
      </c>
      <c r="AA84" s="50"/>
      <c r="AB84" s="52"/>
      <c r="AC84" s="50"/>
    </row>
    <row r="85" spans="1:29" ht="43" customHeight="1" x14ac:dyDescent="0.15">
      <c r="A85" s="141">
        <v>59003715</v>
      </c>
      <c r="B85" s="134" t="s">
        <v>525</v>
      </c>
      <c r="C85" s="145">
        <v>1</v>
      </c>
      <c r="D85" s="145" t="s">
        <v>346</v>
      </c>
      <c r="E85" s="135" t="s">
        <v>480</v>
      </c>
      <c r="F85" s="135" t="s">
        <v>374</v>
      </c>
      <c r="G85" s="153" t="s">
        <v>286</v>
      </c>
      <c r="H85" s="63" t="str">
        <f t="shared" si="196"/>
        <v>[effect:enemy_message, val1:1.9, val2:3.9]</v>
      </c>
      <c r="I85" s="63">
        <f t="shared" si="197"/>
        <v>9</v>
      </c>
      <c r="J85" s="63">
        <f t="shared" si="198"/>
        <v>22</v>
      </c>
      <c r="K85" s="63" t="e">
        <f t="shared" si="199"/>
        <v>#VALUE!</v>
      </c>
      <c r="L85" s="63">
        <f t="shared" si="200"/>
        <v>32</v>
      </c>
      <c r="M85" s="63" t="str">
        <f>IFERROR(VLOOKUP(MID(H85,K85,L85-K85),[5]skilldef!$C:$D,2,FALSE),"-") &amp; " / " &amp; IFERROR(VLOOKUP(MID(H85,I85,J85-I85),[5]skilldef!$A:$B,2,FALSE),"-")</f>
        <v>- / -</v>
      </c>
      <c r="N85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5" s="48" t="str">
        <f>IFERROR(LEFT(N85,FIND("],",N85)+#REF!),N85)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5" s="63">
        <f t="shared" si="202"/>
        <v>9</v>
      </c>
      <c r="Q85" s="63">
        <f t="shared" si="203"/>
        <v>18</v>
      </c>
      <c r="R85" s="63">
        <f t="shared" si="204"/>
        <v>27</v>
      </c>
      <c r="S85" s="63">
        <f t="shared" si="205"/>
        <v>33</v>
      </c>
      <c r="T85" s="63" t="str">
        <f>IFERROR(VLOOKUP(MID(O85,R85,S85-R85),[5]skilldef!$C:$D,2,FALSE),"-") &amp; " / " &amp; IFERROR(VLOOKUP(MID(O85,P85,Q85-P85),[5]skilldef!$A:$B,2,FALSE),"-")</f>
        <v>自分自身に / -</v>
      </c>
      <c r="U85" s="48" t="str">
        <f t="shared" si="206"/>
        <v>[effect:force_change_block, new_block:damage, target:jammer, count:0, val:0.05],[effect:tolerance, target:myself, turn:-1, count:-1, tolerance_effect:all, animation:enemy_tolerance]</v>
      </c>
      <c r="V85" s="63">
        <f t="shared" si="207"/>
        <v>9</v>
      </c>
      <c r="W85" s="63">
        <f t="shared" si="208"/>
        <v>27</v>
      </c>
      <c r="X85" s="63">
        <f t="shared" si="209"/>
        <v>54</v>
      </c>
      <c r="Y85" s="63">
        <f t="shared" si="210"/>
        <v>45</v>
      </c>
      <c r="Z85" s="63" t="str">
        <f>IFERROR(VLOOKUP(MID(U85,X85,Y85-X85),[5]skilldef!$C:$D,2,FALSE),"-") &amp; " / " &amp; IFERROR(VLOOKUP(MID(U85,V85,W85-V85),[5]skilldef!$A:$B,2,FALSE),"-")</f>
        <v>- / -</v>
      </c>
      <c r="AA85" s="50"/>
      <c r="AB85" s="52"/>
      <c r="AC85" s="50"/>
    </row>
    <row r="86" spans="1:29" ht="43" customHeight="1" x14ac:dyDescent="0.15">
      <c r="A86" s="141">
        <v>59003716</v>
      </c>
      <c r="B86" s="134" t="s">
        <v>646</v>
      </c>
      <c r="C86" s="145">
        <v>1</v>
      </c>
      <c r="D86" s="145" t="s">
        <v>346</v>
      </c>
      <c r="E86" s="135" t="s">
        <v>653</v>
      </c>
      <c r="F86" s="135" t="s">
        <v>374</v>
      </c>
      <c r="G86" s="153" t="s">
        <v>287</v>
      </c>
      <c r="H86" s="63" t="str">
        <f t="shared" si="196"/>
        <v>[effect:enemy_message, val1:2.6, val2:3.9]</v>
      </c>
      <c r="I86" s="63">
        <f t="shared" si="197"/>
        <v>9</v>
      </c>
      <c r="J86" s="63">
        <f t="shared" si="198"/>
        <v>22</v>
      </c>
      <c r="K86" s="63" t="e">
        <f t="shared" si="199"/>
        <v>#VALUE!</v>
      </c>
      <c r="L86" s="63">
        <f t="shared" si="200"/>
        <v>32</v>
      </c>
      <c r="M86" s="63" t="str">
        <f>IFERROR(VLOOKUP(MID(H86,K86,L86-K86),[5]skilldef!$C:$D,2,FALSE),"-") &amp; " / " &amp; IFERROR(VLOOKUP(MID(H86,I86,J86-I86),[5]skilldef!$A:$B,2,FALSE),"-")</f>
        <v>- / -</v>
      </c>
      <c r="N86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6" s="48" t="str">
        <f>IFERROR(LEFT(N86,FIND("],",N86)+#REF!),N86)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6" s="63">
        <f t="shared" si="202"/>
        <v>9</v>
      </c>
      <c r="Q86" s="63">
        <f t="shared" si="203"/>
        <v>18</v>
      </c>
      <c r="R86" s="63">
        <f t="shared" si="204"/>
        <v>27</v>
      </c>
      <c r="S86" s="63">
        <f t="shared" si="205"/>
        <v>33</v>
      </c>
      <c r="T86" s="63" t="str">
        <f>IFERROR(VLOOKUP(MID(O86,R86,S86-R86),[5]skilldef!$C:$D,2,FALSE),"-") &amp; " / " &amp; IFERROR(VLOOKUP(MID(O86,P86,Q86-P86),[5]skilldef!$A:$B,2,FALSE),"-")</f>
        <v>自分自身に / -</v>
      </c>
      <c r="U86" s="48" t="str">
        <f t="shared" si="206"/>
        <v>[effect:force_change_block, new_block:damage, target:jammer, count:0, val:0.05],[effect:tolerance, target:myself, turn:-1, count:-1, tolerance_effect:all, animation:enemy_tolerance]</v>
      </c>
      <c r="V86" s="63">
        <f t="shared" si="207"/>
        <v>9</v>
      </c>
      <c r="W86" s="63">
        <f t="shared" si="208"/>
        <v>27</v>
      </c>
      <c r="X86" s="63">
        <f t="shared" si="209"/>
        <v>54</v>
      </c>
      <c r="Y86" s="63">
        <f t="shared" si="210"/>
        <v>45</v>
      </c>
      <c r="Z86" s="63" t="str">
        <f>IFERROR(VLOOKUP(MID(U86,X86,Y86-X86),[5]skilldef!$C:$D,2,FALSE),"-") &amp; " / " &amp; IFERROR(VLOOKUP(MID(U86,V86,W86-V86),[5]skilldef!$A:$B,2,FALSE),"-")</f>
        <v>- / -</v>
      </c>
      <c r="AA86" s="50"/>
      <c r="AB86" s="52"/>
      <c r="AC86" s="50"/>
    </row>
    <row r="87" spans="1:29" ht="43" customHeight="1" x14ac:dyDescent="0.15">
      <c r="A87" s="141">
        <v>59003717</v>
      </c>
      <c r="B87" s="134" t="s">
        <v>384</v>
      </c>
      <c r="C87" s="145">
        <v>1</v>
      </c>
      <c r="D87" s="145" t="s">
        <v>346</v>
      </c>
      <c r="E87" s="135" t="s">
        <v>481</v>
      </c>
      <c r="F87" s="135" t="s">
        <v>374</v>
      </c>
      <c r="G87" s="153" t="s">
        <v>288</v>
      </c>
      <c r="H87" s="63" t="str">
        <f t="shared" si="196"/>
        <v>[effect:enemy_message, val1:1.2, val2:3.9]</v>
      </c>
      <c r="I87" s="63">
        <f t="shared" si="197"/>
        <v>9</v>
      </c>
      <c r="J87" s="63">
        <f t="shared" si="198"/>
        <v>22</v>
      </c>
      <c r="K87" s="63" t="e">
        <f t="shared" si="199"/>
        <v>#VALUE!</v>
      </c>
      <c r="L87" s="63">
        <f t="shared" si="200"/>
        <v>32</v>
      </c>
      <c r="M87" s="63" t="str">
        <f>IFERROR(VLOOKUP(MID(H87,K87,L87-K87),[5]skilldef!$C:$D,2,FALSE),"-") &amp; " / " &amp; IFERROR(VLOOKUP(MID(H87,I87,J87-I87),[5]skilldef!$A:$B,2,FALSE),"-")</f>
        <v>- / -</v>
      </c>
      <c r="N87" s="63" t="str">
        <f t="shared" si="201"/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O87" s="48" t="str">
        <f>IFERROR(LEFT(N87,FIND("],",N87)+#REF!),N87)</f>
        <v>[effect:reduction, target:myself, reduction_target:unit_blue, turn:-1, val:0.4, animation:reduction_one03],[effect:force_change_block, new_block:damage, target:jammer, count:0, val:0.05],[effect:tolerance, target:myself, turn:-1, count:-1, tolerance_effect:all, animation:enemy_tolerance]</v>
      </c>
      <c r="P87" s="63">
        <f t="shared" si="202"/>
        <v>9</v>
      </c>
      <c r="Q87" s="63">
        <f t="shared" si="203"/>
        <v>18</v>
      </c>
      <c r="R87" s="63">
        <f t="shared" si="204"/>
        <v>27</v>
      </c>
      <c r="S87" s="63">
        <f t="shared" si="205"/>
        <v>33</v>
      </c>
      <c r="T87" s="63" t="str">
        <f>IFERROR(VLOOKUP(MID(O87,R87,S87-R87),[5]skilldef!$C:$D,2,FALSE),"-") &amp; " / " &amp; IFERROR(VLOOKUP(MID(O87,P87,Q87-P87),[5]skilldef!$A:$B,2,FALSE),"-")</f>
        <v>自分自身に / -</v>
      </c>
      <c r="U87" s="48" t="str">
        <f t="shared" si="206"/>
        <v>[effect:force_change_block, new_block:damage, target:jammer, count:0, val:0.05],[effect:tolerance, target:myself, turn:-1, count:-1, tolerance_effect:all, animation:enemy_tolerance]</v>
      </c>
      <c r="V87" s="63">
        <f t="shared" si="207"/>
        <v>9</v>
      </c>
      <c r="W87" s="63">
        <f t="shared" si="208"/>
        <v>27</v>
      </c>
      <c r="X87" s="63">
        <f t="shared" si="209"/>
        <v>54</v>
      </c>
      <c r="Y87" s="63">
        <f t="shared" si="210"/>
        <v>45</v>
      </c>
      <c r="Z87" s="63" t="str">
        <f>IFERROR(VLOOKUP(MID(U87,X87,Y87-X87),[5]skilldef!$C:$D,2,FALSE),"-") &amp; " / " &amp; IFERROR(VLOOKUP(MID(U87,V87,W87-V87),[5]skilldef!$A:$B,2,FALSE),"-")</f>
        <v>- / -</v>
      </c>
      <c r="AA87" s="50"/>
      <c r="AB87" s="52"/>
      <c r="AC87" s="50"/>
    </row>
    <row r="88" spans="1:29" ht="43" customHeight="1" x14ac:dyDescent="0.15">
      <c r="A88" s="141">
        <v>59003751</v>
      </c>
      <c r="B88" s="118" t="s">
        <v>647</v>
      </c>
      <c r="C88" s="119">
        <v>1</v>
      </c>
      <c r="D88" s="119" t="s">
        <v>126</v>
      </c>
      <c r="E88" s="120" t="s">
        <v>637</v>
      </c>
      <c r="F88" s="120" t="s">
        <v>376</v>
      </c>
      <c r="G88" s="150"/>
      <c r="H88" s="63" t="str">
        <f t="shared" si="75"/>
        <v>[effect:enemy_message, val1:1.5, val2:1.9]</v>
      </c>
      <c r="I88" s="63">
        <f t="shared" si="76"/>
        <v>9</v>
      </c>
      <c r="J88" s="63">
        <f t="shared" si="77"/>
        <v>22</v>
      </c>
      <c r="K88" s="63" t="e">
        <f t="shared" si="78"/>
        <v>#VALUE!</v>
      </c>
      <c r="L88" s="63">
        <f t="shared" si="79"/>
        <v>32</v>
      </c>
      <c r="M88" s="63" t="str">
        <f>IFERROR(VLOOKUP(MID(H88,K88,L88-K88),[5]skilldef!$C:$D,2,FALSE),"-") &amp; " / " &amp; IFERROR(VLOOKUP(MID(H88,I88,J88-I88),[5]skilldef!$A:$B,2,FALSE),"-")</f>
        <v>- / -</v>
      </c>
      <c r="N88" s="63" t="str">
        <f t="shared" si="80"/>
        <v>[effect:fix_speed, target:myself, turn:1],[effect:reduction, target:myself, reduction_target:unit_blue, turn:-1, val:0.4, animation:reduction_one03],[effect:tolerance, target:myself, turn:-1, count:-1, tolerance_effect:all, animation:enemy_tolerance]</v>
      </c>
      <c r="O88" s="48" t="str">
        <f>IFERROR(LEFT(N88,FIND("],",N88)+#REF!),N88)</f>
        <v>[effect:fix_speed, target:myself, turn:1],[effect:reduction, target:myself, reduction_target:unit_blue, turn:-1, val:0.4, animation:reduction_one03],[effect:tolerance, target:myself, turn:-1, count:-1, tolerance_effect:all, animation:enemy_tolerance]</v>
      </c>
      <c r="P88" s="63">
        <f t="shared" si="81"/>
        <v>9</v>
      </c>
      <c r="Q88" s="63">
        <f t="shared" si="82"/>
        <v>18</v>
      </c>
      <c r="R88" s="63">
        <f t="shared" si="83"/>
        <v>27</v>
      </c>
      <c r="S88" s="63">
        <f t="shared" si="84"/>
        <v>33</v>
      </c>
      <c r="T88" s="63" t="str">
        <f>IFERROR(VLOOKUP(MID(O88,R88,S88-R88),[5]skilldef!$C:$D,2,FALSE),"-") &amp; " / " &amp; IFERROR(VLOOKUP(MID(O88,P88,Q88-P88),[5]skilldef!$A:$B,2,FALSE),"-")</f>
        <v>自分自身に / 行動値設定</v>
      </c>
      <c r="U88" s="48" t="str">
        <f t="shared" si="85"/>
        <v>[effect:reduction, target:myself, reduction_target:unit_blue, turn:-1, val:0.4, animation:reduction_one03],[effect:tolerance, target:myself, turn:-1, count:-1, tolerance_effect:all, animation:enemy_tolerance]</v>
      </c>
      <c r="V88" s="63">
        <f t="shared" si="86"/>
        <v>9</v>
      </c>
      <c r="W88" s="63">
        <f t="shared" si="87"/>
        <v>18</v>
      </c>
      <c r="X88" s="63">
        <f t="shared" si="88"/>
        <v>27</v>
      </c>
      <c r="Y88" s="63">
        <f t="shared" si="89"/>
        <v>33</v>
      </c>
      <c r="Z88" s="63" t="str">
        <f>IFERROR(VLOOKUP(MID(U88,X88,Y88-X88),[5]skilldef!$C:$D,2,FALSE),"-") &amp; " / " &amp; IFERROR(VLOOKUP(MID(U88,V88,W88-V88),[5]skilldef!$A:$B,2,FALSE),"-")</f>
        <v>自分自身に / -</v>
      </c>
      <c r="AA88" s="50"/>
      <c r="AB88" s="52"/>
      <c r="AC88" s="50"/>
    </row>
    <row r="89" spans="1:29" ht="43" customHeight="1" x14ac:dyDescent="0.15">
      <c r="A89" s="141">
        <v>59003752</v>
      </c>
      <c r="B89" s="118" t="s">
        <v>345</v>
      </c>
      <c r="C89" s="119">
        <v>1</v>
      </c>
      <c r="D89" s="119" t="s">
        <v>126</v>
      </c>
      <c r="E89" s="120" t="s">
        <v>632</v>
      </c>
      <c r="F89" s="120" t="s">
        <v>336</v>
      </c>
      <c r="G89" s="150" t="s">
        <v>368</v>
      </c>
      <c r="H89" s="63" t="str">
        <f t="shared" ref="H89:H95" si="211">IFERROR(LEFT(B89,FIND("],",B89)),B89)</f>
        <v>[effect:enemy_message, val1:1.2, val2:1.2]</v>
      </c>
      <c r="I89" s="63">
        <f t="shared" ref="I89:I95" si="212">FIND("effect:",H89)+7</f>
        <v>9</v>
      </c>
      <c r="J89" s="63">
        <f t="shared" ref="J89:J95" si="213">IFERROR(FIND(",",H89),LEN(H89))</f>
        <v>22</v>
      </c>
      <c r="K89" s="63" t="e">
        <f t="shared" ref="K89:K95" si="214">FIND("target:",H89)+7</f>
        <v>#VALUE!</v>
      </c>
      <c r="L89" s="63">
        <f t="shared" ref="L89:L95" si="215">FIND(",",H89,J89+1)</f>
        <v>32</v>
      </c>
      <c r="M89" s="63" t="str">
        <f>IFERROR(VLOOKUP(MID(H89,K89,L89-K89),[5]skilldef!$C:$D,2,FALSE),"-") &amp; " / " &amp; IFERROR(VLOOKUP(MID(H89,I89,J89-I89),[5]skilldef!$A:$B,2,FALSE),"-")</f>
        <v>- / -</v>
      </c>
      <c r="N89" s="63" t="str">
        <f t="shared" ref="N89:N95" si="216">IFERROR(RIGHT(B89,LEN(B89)-FIND("],",B89)-1),"none")</f>
        <v>[effect:rush, count:3, val:0.35]</v>
      </c>
      <c r="O89" s="48" t="str">
        <f>IFERROR(LEFT(N89,FIND("],",N89)+#REF!),N89)</f>
        <v>[effect:rush, count:3, val:0.35]</v>
      </c>
      <c r="P89" s="63">
        <f t="shared" ref="P89:P95" si="217">FIND("effect:",O89)+7</f>
        <v>9</v>
      </c>
      <c r="Q89" s="63">
        <f t="shared" ref="Q89:Q95" si="218">IFERROR(FIND(",",O89),LEN(O89))</f>
        <v>13</v>
      </c>
      <c r="R89" s="63" t="e">
        <f t="shared" ref="R89:R95" si="219">FIND("target:",O89)+7</f>
        <v>#VALUE!</v>
      </c>
      <c r="S89" s="63">
        <f t="shared" ref="S89:S95" si="220">FIND(",",O89,Q89+1)</f>
        <v>22</v>
      </c>
      <c r="T89" s="63" t="str">
        <f>IFERROR(VLOOKUP(MID(O89,R89,S89-R89),[5]skilldef!$C:$D,2,FALSE),"-") &amp; " / " &amp; IFERROR(VLOOKUP(MID(O89,P89,Q89-P89),[5]skilldef!$A:$B,2,FALSE),"-")</f>
        <v>- / 連続攻撃</v>
      </c>
      <c r="U89" s="48" t="str">
        <f t="shared" ref="U89:U95" si="221">IFERROR(RIGHT(N89,LEN(N89)-FIND("],",N89)-1),"none")</f>
        <v>none</v>
      </c>
      <c r="V89" s="63" t="e">
        <f t="shared" ref="V89:V95" si="222">FIND("effect:",U89)+7</f>
        <v>#VALUE!</v>
      </c>
      <c r="W89" s="63">
        <f t="shared" ref="W89:W95" si="223">IFERROR(FIND(",",U89),LEN(U89))</f>
        <v>4</v>
      </c>
      <c r="X89" s="63" t="e">
        <f t="shared" ref="X89:X95" si="224">FIND("target:",U89)+7</f>
        <v>#VALUE!</v>
      </c>
      <c r="Y89" s="63" t="e">
        <f t="shared" ref="Y89:Y95" si="225">FIND(",",U89,W89+1)</f>
        <v>#VALUE!</v>
      </c>
      <c r="Z89" s="63" t="str">
        <f>IFERROR(VLOOKUP(MID(U89,X89,Y89-X89),[5]skilldef!$C:$D,2,FALSE),"-") &amp; " / " &amp; IFERROR(VLOOKUP(MID(U89,V89,W89-V89),[5]skilldef!$A:$B,2,FALSE),"-")</f>
        <v>- / -</v>
      </c>
      <c r="AA89" s="50"/>
      <c r="AB89" s="52"/>
      <c r="AC89" s="50"/>
    </row>
    <row r="90" spans="1:29" ht="43" customHeight="1" x14ac:dyDescent="0.15">
      <c r="A90" s="141">
        <v>59003753</v>
      </c>
      <c r="B90" s="118" t="s">
        <v>588</v>
      </c>
      <c r="C90" s="119">
        <v>1</v>
      </c>
      <c r="D90" s="119" t="s">
        <v>126</v>
      </c>
      <c r="E90" s="120" t="s">
        <v>561</v>
      </c>
      <c r="F90" s="120" t="s">
        <v>579</v>
      </c>
      <c r="G90" s="150" t="s">
        <v>369</v>
      </c>
      <c r="H90" s="63" t="str">
        <f t="shared" si="211"/>
        <v>[effect:enemy_message, val1:1.2, val2:2.3]</v>
      </c>
      <c r="I90" s="63">
        <f t="shared" si="212"/>
        <v>9</v>
      </c>
      <c r="J90" s="63">
        <f t="shared" si="213"/>
        <v>22</v>
      </c>
      <c r="K90" s="63" t="e">
        <f t="shared" si="214"/>
        <v>#VALUE!</v>
      </c>
      <c r="L90" s="63">
        <f t="shared" si="215"/>
        <v>32</v>
      </c>
      <c r="M90" s="63" t="str">
        <f>IFERROR(VLOOKUP(MID(H90,K90,L90-K90),[5]skilldef!$C:$D,2,FALSE),"-") &amp; " / " &amp; IFERROR(VLOOKUP(MID(H90,I90,J90-I90),[5]skilldef!$A:$B,2,FALSE),"-")</f>
        <v>- / -</v>
      </c>
      <c r="N90" s="63" t="str">
        <f t="shared" si="216"/>
        <v>[effect:change_range_block, block_change:1, base_type:0, square_count:5, position01:20, value_h01:1, value_w01:5, new_block:damage, target:normal, count:0, val:0.05, animation:change_range_block],[effect:rush, count:1, val:1.0]</v>
      </c>
      <c r="O90" s="48" t="str">
        <f>IFERROR(LEFT(N90,FIND("],",N90)+#REF!),N90)</f>
        <v>[effect:change_range_block, block_change:1, base_type:0, square_count:5, position01:20, value_h01:1, value_w01:5, new_block:damage, target:normal, count:0, val:0.05, animation:change_range_block],[effect:rush, count:1, val:1.0]</v>
      </c>
      <c r="P90" s="63">
        <f t="shared" si="217"/>
        <v>9</v>
      </c>
      <c r="Q90" s="63">
        <f t="shared" si="218"/>
        <v>27</v>
      </c>
      <c r="R90" s="63">
        <f t="shared" si="219"/>
        <v>140</v>
      </c>
      <c r="S90" s="63">
        <f t="shared" si="220"/>
        <v>43</v>
      </c>
      <c r="T90" s="63" t="str">
        <f>IFERROR(VLOOKUP(MID(O90,R90,S90-R90),[5]skilldef!$C:$D,2,FALSE),"-") &amp; " / " &amp; IFERROR(VLOOKUP(MID(O90,P90,Q90-P90),[5]skilldef!$A:$B,2,FALSE),"-")</f>
        <v>- / -</v>
      </c>
      <c r="U90" s="48" t="str">
        <f t="shared" si="221"/>
        <v>[effect:rush, count:1, val:1.0]</v>
      </c>
      <c r="V90" s="63">
        <f t="shared" si="222"/>
        <v>9</v>
      </c>
      <c r="W90" s="63">
        <f t="shared" si="223"/>
        <v>13</v>
      </c>
      <c r="X90" s="63" t="e">
        <f t="shared" si="224"/>
        <v>#VALUE!</v>
      </c>
      <c r="Y90" s="63">
        <f t="shared" si="225"/>
        <v>22</v>
      </c>
      <c r="Z90" s="63" t="str">
        <f>IFERROR(VLOOKUP(MID(U90,X90,Y90-X90),[5]skilldef!$C:$D,2,FALSE),"-") &amp; " / " &amp; IFERROR(VLOOKUP(MID(U90,V90,W90-V90),[5]skilldef!$A:$B,2,FALSE),"-")</f>
        <v>- / 連続攻撃</v>
      </c>
      <c r="AA90" s="50"/>
      <c r="AB90" s="52"/>
      <c r="AC90" s="50"/>
    </row>
    <row r="91" spans="1:29" ht="43" customHeight="1" x14ac:dyDescent="0.15">
      <c r="A91" s="141">
        <v>59003754</v>
      </c>
      <c r="B91" s="118" t="s">
        <v>655</v>
      </c>
      <c r="C91" s="119">
        <v>1</v>
      </c>
      <c r="D91" s="119" t="s">
        <v>126</v>
      </c>
      <c r="E91" s="120" t="s">
        <v>633</v>
      </c>
      <c r="F91" s="120" t="s">
        <v>373</v>
      </c>
      <c r="G91" s="150"/>
      <c r="H91" s="63" t="str">
        <f t="shared" si="211"/>
        <v>[effect:enemy_message, val1:1.2, val2:1.8]</v>
      </c>
      <c r="I91" s="63">
        <f t="shared" si="212"/>
        <v>9</v>
      </c>
      <c r="J91" s="63">
        <f t="shared" si="213"/>
        <v>22</v>
      </c>
      <c r="K91" s="63" t="e">
        <f t="shared" si="214"/>
        <v>#VALUE!</v>
      </c>
      <c r="L91" s="63">
        <f t="shared" si="215"/>
        <v>32</v>
      </c>
      <c r="M91" s="63" t="str">
        <f>IFERROR(VLOOKUP(MID(H91,K91,L91-K91),[5]skilldef!$C:$D,2,FALSE),"-") &amp; " / " &amp; IFERROR(VLOOKUP(MID(H91,I91,J91-I91),[5]skilldef!$A:$B,2,FALSE),"-")</f>
        <v>- / -</v>
      </c>
      <c r="N91" s="63" t="str">
        <f t="shared" si="216"/>
        <v>[effect:damage_anti_abnormal, target:unit_one, target_effect01:counter_new, option:1, val1:2.0, val2:1.0]</v>
      </c>
      <c r="O91" s="48" t="str">
        <f>IFERROR(LEFT(N91,FIND("],",N91)+#REF!),N91)</f>
        <v>[effect:damage_anti_abnormal, target:unit_one, target_effect01:counter_new, option:1, val1:2.0, val2:1.0]</v>
      </c>
      <c r="P91" s="63">
        <f t="shared" si="217"/>
        <v>9</v>
      </c>
      <c r="Q91" s="63">
        <f t="shared" si="218"/>
        <v>29</v>
      </c>
      <c r="R91" s="63">
        <f t="shared" si="219"/>
        <v>38</v>
      </c>
      <c r="S91" s="63">
        <f t="shared" si="220"/>
        <v>46</v>
      </c>
      <c r="T91" s="63" t="str">
        <f>IFERROR(VLOOKUP(MID(O91,R91,S91-R91),[5]skilldef!$C:$D,2,FALSE),"-") &amp; " / " &amp; IFERROR(VLOOKUP(MID(O91,P91,Q91-P91),[5]skilldef!$A:$B,2,FALSE),"-")</f>
        <v>味方単体に / -</v>
      </c>
      <c r="U91" s="48" t="str">
        <f t="shared" si="221"/>
        <v>none</v>
      </c>
      <c r="V91" s="63" t="e">
        <f t="shared" si="222"/>
        <v>#VALUE!</v>
      </c>
      <c r="W91" s="63">
        <f t="shared" si="223"/>
        <v>4</v>
      </c>
      <c r="X91" s="63" t="e">
        <f t="shared" si="224"/>
        <v>#VALUE!</v>
      </c>
      <c r="Y91" s="63" t="e">
        <f t="shared" si="225"/>
        <v>#VALUE!</v>
      </c>
      <c r="Z91" s="63" t="str">
        <f>IFERROR(VLOOKUP(MID(U91,X91,Y91-X91),[5]skilldef!$C:$D,2,FALSE),"-") &amp; " / " &amp; IFERROR(VLOOKUP(MID(U91,V91,W91-V91),[5]skilldef!$A:$B,2,FALSE),"-")</f>
        <v>- / -</v>
      </c>
      <c r="AA91" s="50"/>
      <c r="AB91" s="52"/>
      <c r="AC91" s="50"/>
    </row>
    <row r="92" spans="1:29" ht="43" customHeight="1" x14ac:dyDescent="0.15">
      <c r="A92" s="141">
        <v>59003755</v>
      </c>
      <c r="B92" s="118" t="s">
        <v>449</v>
      </c>
      <c r="C92" s="119">
        <v>1</v>
      </c>
      <c r="D92" s="119" t="s">
        <v>126</v>
      </c>
      <c r="E92" s="120" t="s">
        <v>506</v>
      </c>
      <c r="F92" s="156" t="s">
        <v>451</v>
      </c>
      <c r="G92" s="153"/>
      <c r="H92" s="63" t="str">
        <f t="shared" si="211"/>
        <v>[effect:enemy_message, val1:1.2, val2:2.6]</v>
      </c>
      <c r="I92" s="63">
        <f t="shared" si="212"/>
        <v>9</v>
      </c>
      <c r="J92" s="63">
        <f t="shared" si="213"/>
        <v>22</v>
      </c>
      <c r="K92" s="63" t="e">
        <f t="shared" si="214"/>
        <v>#VALUE!</v>
      </c>
      <c r="L92" s="63">
        <f t="shared" si="215"/>
        <v>32</v>
      </c>
      <c r="M92" s="63" t="str">
        <f>IFERROR(VLOOKUP(MID(H92,K92,L92-K92),[5]skilldef!$C:$D,2,FALSE),"-") &amp; " / " &amp; IFERROR(VLOOKUP(MID(H92,I92,J92-I92),[5]skilldef!$A:$B,2,FALSE),"-")</f>
        <v>- / -</v>
      </c>
      <c r="N92" s="63" t="str">
        <f t="shared" si="216"/>
        <v>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animation:change_range_block],[effect:enhance_enemy, target:myself, turn:-1, status:attack, val:0.3, calc:mul, animation:enemy_enhance_attack]</v>
      </c>
      <c r="O92" s="48" t="str">
        <f>IFERROR(LEFT(N92,FIND("],",N92)+#REF!),N92)</f>
        <v>[effect:force_change_block, new_block:block_red, target:block_all, ignore01:block_positive, count:0, val:0],[effect:change_range_block, block_change:1, base_type:0, square_count:3, position01:1, value_h01:3, value_w01:1, new_block:jammer, target:block_all, ignore01:block_positive, count:0, val:0, animation:change_range_block],[effect:enhance_enemy, target:myself, turn:-1, status:attack, val:0.3, calc:mul, animation:enemy_enhance_attack]</v>
      </c>
      <c r="P92" s="63">
        <f t="shared" si="217"/>
        <v>9</v>
      </c>
      <c r="Q92" s="63">
        <f t="shared" si="218"/>
        <v>27</v>
      </c>
      <c r="R92" s="63">
        <f t="shared" si="219"/>
        <v>57</v>
      </c>
      <c r="S92" s="63">
        <f t="shared" si="220"/>
        <v>48</v>
      </c>
      <c r="T92" s="63" t="str">
        <f>IFERROR(VLOOKUP(MID(O92,R92,S92-R92),[5]skilldef!$C:$D,2,FALSE),"-") &amp; " / " &amp; IFERROR(VLOOKUP(MID(O92,P92,Q92-P92),[5]skilldef!$A:$B,2,FALSE),"-")</f>
        <v>- / -</v>
      </c>
      <c r="U92" s="48" t="str">
        <f t="shared" si="221"/>
        <v>[effect:change_range_block, block_change:1, base_type:0, square_count:3, position01:1, value_h01:3, value_w01:1, new_block:jammer, target:block_all, ignore01:block_positive, count:0, val:0, animation:change_range_block],[effect:enhance_enemy, target:myself, turn:-1, status:attack, val:0.3, calc:mul, animation:enemy_enhance_attack]</v>
      </c>
      <c r="V92" s="63">
        <f t="shared" si="222"/>
        <v>9</v>
      </c>
      <c r="W92" s="63">
        <f t="shared" si="223"/>
        <v>27</v>
      </c>
      <c r="X92" s="63">
        <f t="shared" si="224"/>
        <v>139</v>
      </c>
      <c r="Y92" s="63">
        <f t="shared" si="225"/>
        <v>43</v>
      </c>
      <c r="Z92" s="63" t="str">
        <f>IFERROR(VLOOKUP(MID(U92,X92,Y92-X92),[5]skilldef!$C:$D,2,FALSE),"-") &amp; " / " &amp; IFERROR(VLOOKUP(MID(U92,V92,W92-V92),[5]skilldef!$A:$B,2,FALSE),"-")</f>
        <v>- / -</v>
      </c>
      <c r="AA92" s="50"/>
      <c r="AB92" s="52"/>
      <c r="AC92" s="50"/>
    </row>
    <row r="93" spans="1:29" ht="43" customHeight="1" x14ac:dyDescent="0.15">
      <c r="A93" s="141">
        <v>59003756</v>
      </c>
      <c r="B93" s="118" t="s">
        <v>589</v>
      </c>
      <c r="C93" s="119">
        <v>1</v>
      </c>
      <c r="D93" s="119" t="s">
        <v>126</v>
      </c>
      <c r="E93" s="120" t="s">
        <v>507</v>
      </c>
      <c r="F93" s="120" t="s">
        <v>583</v>
      </c>
      <c r="G93" s="150" t="s">
        <v>337</v>
      </c>
      <c r="H93" s="63" t="str">
        <f t="shared" si="211"/>
        <v>[effect:enemy_message, val1:1.2, val2:3.2]</v>
      </c>
      <c r="I93" s="63">
        <f t="shared" si="212"/>
        <v>9</v>
      </c>
      <c r="J93" s="63">
        <f t="shared" si="213"/>
        <v>22</v>
      </c>
      <c r="K93" s="63" t="e">
        <f t="shared" si="214"/>
        <v>#VALUE!</v>
      </c>
      <c r="L93" s="63">
        <f t="shared" si="215"/>
        <v>32</v>
      </c>
      <c r="M93" s="63" t="str">
        <f>IFERROR(VLOOKUP(MID(H93,K93,L93-K93),[5]skilldef!$C:$D,2,FALSE),"-") &amp; " / " &amp; IFERROR(VLOOKUP(MID(H93,I93,J93-I93),[5]skilldef!$A:$B,2,FALSE),"-")</f>
        <v>- / -</v>
      </c>
      <c r="N93" s="63" t="str">
        <f t="shared" si="216"/>
        <v>[effect:dis_heart, turn:1, animation:enemy_dis_heart]</v>
      </c>
      <c r="O93" s="48" t="str">
        <f>IFERROR(LEFT(N93,FIND("],",N93)+#REF!),N93)</f>
        <v>[effect:dis_heart, turn:1, animation:enemy_dis_heart]</v>
      </c>
      <c r="P93" s="63">
        <f t="shared" si="217"/>
        <v>9</v>
      </c>
      <c r="Q93" s="63">
        <f t="shared" si="218"/>
        <v>18</v>
      </c>
      <c r="R93" s="63" t="e">
        <f t="shared" si="219"/>
        <v>#VALUE!</v>
      </c>
      <c r="S93" s="63">
        <f t="shared" si="220"/>
        <v>26</v>
      </c>
      <c r="T93" s="63" t="str">
        <f>IFERROR(VLOOKUP(MID(O93,R93,S93-R93),[5]skilldef!$C:$D,2,FALSE),"-") &amp; " / " &amp; IFERROR(VLOOKUP(MID(O93,P93,Q93-P93),[5]skilldef!$A:$B,2,FALSE),"-")</f>
        <v>- / ディスハート</v>
      </c>
      <c r="U93" s="48" t="str">
        <f t="shared" si="221"/>
        <v>none</v>
      </c>
      <c r="V93" s="63" t="e">
        <f t="shared" si="222"/>
        <v>#VALUE!</v>
      </c>
      <c r="W93" s="63">
        <f t="shared" si="223"/>
        <v>4</v>
      </c>
      <c r="X93" s="63" t="e">
        <f t="shared" si="224"/>
        <v>#VALUE!</v>
      </c>
      <c r="Y93" s="63" t="e">
        <f t="shared" si="225"/>
        <v>#VALUE!</v>
      </c>
      <c r="Z93" s="63" t="str">
        <f>IFERROR(VLOOKUP(MID(U93,X93,Y93-X93),[5]skilldef!$C:$D,2,FALSE),"-") &amp; " / " &amp; IFERROR(VLOOKUP(MID(U93,V93,W93-V93),[5]skilldef!$A:$B,2,FALSE),"-")</f>
        <v>- / -</v>
      </c>
      <c r="AA93" s="50"/>
      <c r="AB93" s="52"/>
      <c r="AC93" s="50"/>
    </row>
    <row r="94" spans="1:29" ht="43" customHeight="1" x14ac:dyDescent="0.15">
      <c r="A94" s="141">
        <v>59003757</v>
      </c>
      <c r="B94" s="118" t="s">
        <v>358</v>
      </c>
      <c r="C94" s="119">
        <v>1</v>
      </c>
      <c r="D94" s="119" t="s">
        <v>126</v>
      </c>
      <c r="E94" s="120" t="s">
        <v>594</v>
      </c>
      <c r="F94" s="120" t="s">
        <v>356</v>
      </c>
      <c r="G94" s="150"/>
      <c r="H94" s="63" t="str">
        <f t="shared" si="211"/>
        <v>[effect:enemy_message, val1:1.2, val2:1.2]</v>
      </c>
      <c r="I94" s="63">
        <f t="shared" si="212"/>
        <v>9</v>
      </c>
      <c r="J94" s="63">
        <f t="shared" si="213"/>
        <v>22</v>
      </c>
      <c r="K94" s="63" t="e">
        <f t="shared" si="214"/>
        <v>#VALUE!</v>
      </c>
      <c r="L94" s="63">
        <f t="shared" si="215"/>
        <v>32</v>
      </c>
      <c r="M94" s="63" t="str">
        <f>IFERROR(VLOOKUP(MID(H94,K94,L94-K94),[5]skilldef!$C:$D,2,FALSE),"-") &amp; " / " &amp; IFERROR(VLOOKUP(MID(H94,I94,J94-I94),[5]skilldef!$A:$B,2,FALSE),"-")</f>
        <v>- / -</v>
      </c>
      <c r="N94" s="63" t="str">
        <f t="shared" si="216"/>
        <v>[effect:damage_fix_absolute, target:unit_one, val:1111],[effect:damage_fix_absolute, target:unit_one, val:1111],[effect:damage_fix_absolute, target:unit_one, val:1111],[effect:damage_fix_absolute, target:unit_one, val:1111],[effect:damage_fix_absolute, target:unit_one, val:1111],[effect:damage_fix_absolute, target:unit_one, val:11111]</v>
      </c>
      <c r="O94" s="48" t="str">
        <f>IFERROR(LEFT(N94,FIND("],",N94)+#REF!),N94)</f>
        <v>[effect:damage_fix_absolute, target:unit_one, val:1111],[effect:damage_fix_absolute, target:unit_one, val:1111],[effect:damage_fix_absolute, target:unit_one, val:1111],[effect:damage_fix_absolute, target:unit_one, val:1111],[effect:damage_fix_absolute, target:unit_one, val:1111],[effect:damage_fix_absolute, target:unit_one, val:11111]</v>
      </c>
      <c r="P94" s="63">
        <f t="shared" si="217"/>
        <v>9</v>
      </c>
      <c r="Q94" s="63">
        <f t="shared" si="218"/>
        <v>28</v>
      </c>
      <c r="R94" s="63">
        <f t="shared" si="219"/>
        <v>37</v>
      </c>
      <c r="S94" s="63">
        <f t="shared" si="220"/>
        <v>45</v>
      </c>
      <c r="T94" s="63" t="str">
        <f>IFERROR(VLOOKUP(MID(O94,R94,S94-R94),[5]skilldef!$C:$D,2,FALSE),"-") &amp; " / " &amp; IFERROR(VLOOKUP(MID(O94,P94,Q94-P94),[5]skilldef!$A:$B,2,FALSE),"-")</f>
        <v>味方単体に / -</v>
      </c>
      <c r="U94" s="48" t="str">
        <f t="shared" si="221"/>
        <v>[effect:damage_fix_absolute, target:unit_one, val:1111],[effect:damage_fix_absolute, target:unit_one, val:1111],[effect:damage_fix_absolute, target:unit_one, val:1111],[effect:damage_fix_absolute, target:unit_one, val:1111],[effect:damage_fix_absolute, target:unit_one, val:11111]</v>
      </c>
      <c r="V94" s="63">
        <f t="shared" si="222"/>
        <v>9</v>
      </c>
      <c r="W94" s="63">
        <f t="shared" si="223"/>
        <v>28</v>
      </c>
      <c r="X94" s="63">
        <f t="shared" si="224"/>
        <v>37</v>
      </c>
      <c r="Y94" s="63">
        <f t="shared" si="225"/>
        <v>45</v>
      </c>
      <c r="Z94" s="63" t="str">
        <f>IFERROR(VLOOKUP(MID(U94,X94,Y94-X94),[5]skilldef!$C:$D,2,FALSE),"-") &amp; " / " &amp; IFERROR(VLOOKUP(MID(U94,V94,W94-V94),[5]skilldef!$A:$B,2,FALSE),"-")</f>
        <v>味方単体に / -</v>
      </c>
      <c r="AA94" s="50"/>
      <c r="AB94" s="52"/>
      <c r="AC94" s="50"/>
    </row>
    <row r="95" spans="1:29" ht="43" customHeight="1" x14ac:dyDescent="0.15">
      <c r="A95" s="141">
        <v>59003758</v>
      </c>
      <c r="B95" s="118" t="s">
        <v>527</v>
      </c>
      <c r="C95" s="119">
        <v>1</v>
      </c>
      <c r="D95" s="119" t="s">
        <v>126</v>
      </c>
      <c r="E95" s="120" t="s">
        <v>515</v>
      </c>
      <c r="F95" s="120" t="s">
        <v>516</v>
      </c>
      <c r="G95" s="150"/>
      <c r="H95" s="63" t="str">
        <f t="shared" si="211"/>
        <v>[effect:enemy_message, val1:1.2, val2:2.8]</v>
      </c>
      <c r="I95" s="63">
        <f t="shared" si="212"/>
        <v>9</v>
      </c>
      <c r="J95" s="63">
        <f t="shared" si="213"/>
        <v>22</v>
      </c>
      <c r="K95" s="63" t="e">
        <f t="shared" si="214"/>
        <v>#VALUE!</v>
      </c>
      <c r="L95" s="63">
        <f t="shared" si="215"/>
        <v>32</v>
      </c>
      <c r="M95" s="63" t="str">
        <f>IFERROR(VLOOKUP(MID(H95,K95,L95-K95),[5]skilldef!$C:$D,2,FALSE),"-") &amp; " / " &amp; IFERROR(VLOOKUP(MID(H95,I95,J95-I95),[5]skilldef!$A:$B,2,FALSE),"-")</f>
        <v>- / -</v>
      </c>
      <c r="N95" s="63" t="str">
        <f t="shared" si="216"/>
        <v>[effect:drop_block, block_type:crash, color:block_all, val:8, rate:0.1, turn:2, animation:crash_influence04]</v>
      </c>
      <c r="O95" s="48" t="str">
        <f>IFERROR(LEFT(N95,FIND("],",N95)+#REF!),N95)</f>
        <v>[effect:drop_block, block_type:crash, color:block_all, val:8, rate:0.1, turn:2, animation:crash_influence04]</v>
      </c>
      <c r="P95" s="63">
        <f t="shared" si="217"/>
        <v>9</v>
      </c>
      <c r="Q95" s="63">
        <f t="shared" si="218"/>
        <v>19</v>
      </c>
      <c r="R95" s="63" t="e">
        <f t="shared" si="219"/>
        <v>#VALUE!</v>
      </c>
      <c r="S95" s="63">
        <f t="shared" si="220"/>
        <v>37</v>
      </c>
      <c r="T95" s="63" t="str">
        <f>IFERROR(VLOOKUP(MID(O95,R95,S95-R95),[5]skilldef!$C:$D,2,FALSE),"-") &amp; " / " &amp; IFERROR(VLOOKUP(MID(O95,P95,Q95-P95),[5]skilldef!$A:$B,2,FALSE),"-")</f>
        <v>- / 特定ブロックの割合ドロップ</v>
      </c>
      <c r="U95" s="48" t="str">
        <f t="shared" si="221"/>
        <v>none</v>
      </c>
      <c r="V95" s="63" t="e">
        <f t="shared" si="222"/>
        <v>#VALUE!</v>
      </c>
      <c r="W95" s="63">
        <f t="shared" si="223"/>
        <v>4</v>
      </c>
      <c r="X95" s="63" t="e">
        <f t="shared" si="224"/>
        <v>#VALUE!</v>
      </c>
      <c r="Y95" s="63" t="e">
        <f t="shared" si="225"/>
        <v>#VALUE!</v>
      </c>
      <c r="Z95" s="63" t="str">
        <f>IFERROR(VLOOKUP(MID(U95,X95,Y95-X95),[5]skilldef!$C:$D,2,FALSE),"-") &amp; " / " &amp; IFERROR(VLOOKUP(MID(U95,V95,W95-V95),[5]skilldef!$A:$B,2,FALSE),"-")</f>
        <v>- / -</v>
      </c>
      <c r="AA95" s="50"/>
      <c r="AB95" s="52"/>
      <c r="AC95" s="50"/>
    </row>
    <row r="96" spans="1:29" ht="43" customHeight="1" x14ac:dyDescent="0.15">
      <c r="A96" s="141">
        <v>59003801</v>
      </c>
      <c r="B96" s="121" t="s">
        <v>648</v>
      </c>
      <c r="C96" s="122">
        <v>1</v>
      </c>
      <c r="D96" s="122" t="s">
        <v>126</v>
      </c>
      <c r="E96" s="123" t="s">
        <v>597</v>
      </c>
      <c r="F96" s="123" t="s">
        <v>350</v>
      </c>
      <c r="G96" s="150"/>
      <c r="H96" s="63" t="str">
        <f t="shared" si="75"/>
        <v>[effect:enemy_message, val1:1.7, val2:2.8]</v>
      </c>
      <c r="I96" s="63">
        <f t="shared" si="76"/>
        <v>9</v>
      </c>
      <c r="J96" s="63">
        <f t="shared" si="77"/>
        <v>22</v>
      </c>
      <c r="K96" s="63" t="e">
        <f t="shared" si="78"/>
        <v>#VALUE!</v>
      </c>
      <c r="L96" s="63">
        <f t="shared" si="79"/>
        <v>32</v>
      </c>
      <c r="M96" s="63" t="str">
        <f>IFERROR(VLOOKUP(MID(H96,K96,L96-K96),[5]skilldef!$C:$D,2,FALSE),"-") &amp; " / " &amp; IFERROR(VLOOKUP(MID(H96,I96,J96-I96),[5]skilldef!$A:$B,2,FALSE),"-")</f>
        <v>- / -</v>
      </c>
      <c r="N96" s="63" t="str">
        <f t="shared" si="80"/>
        <v>[effect:fix_speed, target:myself, turn:1],[effect:suicide, val:0.05],[effect:change_panel_ratio, turn:-1, block_type:red, val:0.3, animation:block_incidence04],[effect:tolerance, target:myself, turn:-1, count:-1, tolerance_effect:all, animation:enemy_tolerance]</v>
      </c>
      <c r="O96" s="48" t="str">
        <f>IFERROR(LEFT(N96,FIND("],",N96)+#REF!),N96)</f>
        <v>[effect:fix_speed, target:myself, turn:1],[effect:suicide, val:0.05],[effect:change_panel_ratio, turn:-1, block_type:red, val:0.3, animation:block_incidence04],[effect:tolerance, target:myself, turn:-1, count:-1, tolerance_effect:all, animation:enemy_tolerance]</v>
      </c>
      <c r="P96" s="63">
        <f t="shared" si="81"/>
        <v>9</v>
      </c>
      <c r="Q96" s="63">
        <f t="shared" si="82"/>
        <v>18</v>
      </c>
      <c r="R96" s="63">
        <f t="shared" si="83"/>
        <v>27</v>
      </c>
      <c r="S96" s="63">
        <f t="shared" si="84"/>
        <v>33</v>
      </c>
      <c r="T96" s="63" t="str">
        <f>IFERROR(VLOOKUP(MID(O96,R96,S96-R96),[5]skilldef!$C:$D,2,FALSE),"-") &amp; " / " &amp; IFERROR(VLOOKUP(MID(O96,P96,Q96-P96),[5]skilldef!$A:$B,2,FALSE),"-")</f>
        <v>自分自身に / 行動値設定</v>
      </c>
      <c r="U96" s="48" t="str">
        <f t="shared" si="85"/>
        <v>[effect:suicide, val:0.05],[effect:change_panel_ratio, turn:-1, block_type:red, val:0.3, animation:block_incidence04],[effect:tolerance, target:myself, turn:-1, count:-1, tolerance_effect:all, animation:enemy_tolerance]</v>
      </c>
      <c r="V96" s="63">
        <f t="shared" si="86"/>
        <v>9</v>
      </c>
      <c r="W96" s="63">
        <f t="shared" si="87"/>
        <v>16</v>
      </c>
      <c r="X96" s="63">
        <f t="shared" si="88"/>
        <v>145</v>
      </c>
      <c r="Y96" s="63">
        <f t="shared" si="89"/>
        <v>27</v>
      </c>
      <c r="Z96" s="63" t="str">
        <f>IFERROR(VLOOKUP(MID(U96,X96,Y96-X96),[5]skilldef!$C:$D,2,FALSE),"-") &amp; " / " &amp; IFERROR(VLOOKUP(MID(U96,V96,W96-V96),[5]skilldef!$A:$B,2,FALSE),"-")</f>
        <v>- / -</v>
      </c>
      <c r="AA96" s="50"/>
      <c r="AB96" s="52"/>
      <c r="AC96" s="50"/>
    </row>
    <row r="97" spans="1:29" ht="43" customHeight="1" x14ac:dyDescent="0.15">
      <c r="A97" s="141">
        <v>59003802</v>
      </c>
      <c r="B97" s="121" t="s">
        <v>559</v>
      </c>
      <c r="C97" s="122">
        <v>1</v>
      </c>
      <c r="D97" s="122" t="s">
        <v>126</v>
      </c>
      <c r="E97" s="123" t="s">
        <v>634</v>
      </c>
      <c r="F97" s="123" t="s">
        <v>651</v>
      </c>
      <c r="G97" s="150"/>
      <c r="H97" s="63" t="str">
        <f t="shared" ref="H97:H102" si="226">IFERROR(LEFT(B97,FIND("],",B97)),B97)</f>
        <v>[effect:enemy_message, val1:1.2, val2:3.6]</v>
      </c>
      <c r="I97" s="63">
        <f t="shared" ref="I97:I102" si="227">FIND("effect:",H97)+7</f>
        <v>9</v>
      </c>
      <c r="J97" s="63">
        <f t="shared" ref="J97:J102" si="228">IFERROR(FIND(",",H97),LEN(H97))</f>
        <v>22</v>
      </c>
      <c r="K97" s="63" t="e">
        <f t="shared" ref="K97:K102" si="229">FIND("target:",H97)+7</f>
        <v>#VALUE!</v>
      </c>
      <c r="L97" s="63">
        <f t="shared" ref="L97:L102" si="230">FIND(",",H97,J97+1)</f>
        <v>32</v>
      </c>
      <c r="M97" s="63" t="str">
        <f>IFERROR(VLOOKUP(MID(H97,K97,L97-K97),[5]skilldef!$C:$D,2,FALSE),"-") &amp; " / " &amp; IFERROR(VLOOKUP(MID(H97,I97,J97-I97),[5]skilldef!$A:$B,2,FALSE),"-")</f>
        <v>- / -</v>
      </c>
      <c r="N97" s="63" t="str">
        <f t="shared" ref="N97:N102" si="231">IFERROR(RIGHT(B97,LEN(B97)-FIND("],",B97)-1),"none")</f>
        <v>[effect:suicide, val:0.05],[effect:sp_boost, target:unit_red, val:2],[effect:rush, count:1, val:1.0]</v>
      </c>
      <c r="O97" s="48" t="str">
        <f>IFERROR(LEFT(N97,FIND("],",N97)+#REF!),N97)</f>
        <v>[effect:suicide, val:0.05],[effect:sp_boost, target:unit_red, val:2],[effect:rush, count:1, val:1.0]</v>
      </c>
      <c r="P97" s="63">
        <f t="shared" ref="P97:P102" si="232">FIND("effect:",O97)+7</f>
        <v>9</v>
      </c>
      <c r="Q97" s="63">
        <f t="shared" ref="Q97:Q102" si="233">IFERROR(FIND(",",O97),LEN(O97))</f>
        <v>16</v>
      </c>
      <c r="R97" s="63">
        <f t="shared" ref="R97:R102" si="234">FIND("target:",O97)+7</f>
        <v>53</v>
      </c>
      <c r="S97" s="63">
        <f t="shared" ref="S97:S102" si="235">FIND(",",O97,Q97+1)</f>
        <v>27</v>
      </c>
      <c r="T97" s="63" t="str">
        <f>IFERROR(VLOOKUP(MID(O97,R97,S97-R97),[5]skilldef!$C:$D,2,FALSE),"-") &amp; " / " &amp; IFERROR(VLOOKUP(MID(O97,P97,Q97-P97),[5]skilldef!$A:$B,2,FALSE),"-")</f>
        <v>- / -</v>
      </c>
      <c r="U97" s="48" t="str">
        <f t="shared" ref="U97:U102" si="236">IFERROR(RIGHT(N97,LEN(N97)-FIND("],",N97)-1),"none")</f>
        <v>[effect:sp_boost, target:unit_red, val:2],[effect:rush, count:1, val:1.0]</v>
      </c>
      <c r="V97" s="63">
        <f t="shared" ref="V97:V102" si="237">FIND("effect:",U97)+7</f>
        <v>9</v>
      </c>
      <c r="W97" s="63">
        <f t="shared" ref="W97:W102" si="238">IFERROR(FIND(",",U97),LEN(U97))</f>
        <v>17</v>
      </c>
      <c r="X97" s="63">
        <f t="shared" ref="X97:X102" si="239">FIND("target:",U97)+7</f>
        <v>26</v>
      </c>
      <c r="Y97" s="63">
        <f t="shared" ref="Y97:Y102" si="240">FIND(",",U97,W97+1)</f>
        <v>34</v>
      </c>
      <c r="Z97" s="63" t="str">
        <f>IFERROR(VLOOKUP(MID(U97,X97,Y97-X97),[5]skilldef!$C:$D,2,FALSE),"-") &amp; " / " &amp; IFERROR(VLOOKUP(MID(U97,V97,W97-V97),[5]skilldef!$A:$B,2,FALSE),"-")</f>
        <v>赤の味方に / -</v>
      </c>
      <c r="AA97" s="50"/>
      <c r="AB97" s="52"/>
      <c r="AC97" s="50"/>
    </row>
    <row r="98" spans="1:29" ht="43" customHeight="1" x14ac:dyDescent="0.15">
      <c r="A98" s="141">
        <v>59003803</v>
      </c>
      <c r="B98" s="121" t="s">
        <v>371</v>
      </c>
      <c r="C98" s="122">
        <v>1</v>
      </c>
      <c r="D98" s="122" t="s">
        <v>126</v>
      </c>
      <c r="E98" s="123" t="s">
        <v>635</v>
      </c>
      <c r="F98" s="123" t="s">
        <v>351</v>
      </c>
      <c r="G98" s="150" t="s">
        <v>370</v>
      </c>
      <c r="H98" s="63" t="str">
        <f t="shared" si="226"/>
        <v>[effect:enemy_message, val1:1.2, val2:2.2]</v>
      </c>
      <c r="I98" s="63">
        <f t="shared" si="227"/>
        <v>9</v>
      </c>
      <c r="J98" s="63">
        <f t="shared" si="228"/>
        <v>22</v>
      </c>
      <c r="K98" s="63" t="e">
        <f t="shared" si="229"/>
        <v>#VALUE!</v>
      </c>
      <c r="L98" s="63">
        <f t="shared" si="230"/>
        <v>32</v>
      </c>
      <c r="M98" s="63" t="str">
        <f>IFERROR(VLOOKUP(MID(H98,K98,L98-K98),[5]skilldef!$C:$D,2,FALSE),"-") &amp; " / " &amp; IFERROR(VLOOKUP(MID(H98,I98,J98-I98),[5]skilldef!$A:$B,2,FALSE),"-")</f>
        <v>- / -</v>
      </c>
      <c r="N98" s="63" t="str">
        <f t="shared" si="231"/>
        <v>[effect:suicide, val:0.05],[effect:rush, count:3, val:0.35],[effect:enhance_enemy, target:myself, turn:-1, status:attack, val:0.2 calc:mul, animation:enemy_enhance_attack]</v>
      </c>
      <c r="O98" s="48" t="str">
        <f>IFERROR(LEFT(N98,FIND("],",N98)+#REF!),N98)</f>
        <v>[effect:suicide, val:0.05],[effect:rush, count:3, val:0.35],[effect:enhance_enemy, target:myself, turn:-1, status:attack, val:0.2 calc:mul, animation:enemy_enhance_attack]</v>
      </c>
      <c r="P98" s="63">
        <f t="shared" si="232"/>
        <v>9</v>
      </c>
      <c r="Q98" s="63">
        <f t="shared" si="233"/>
        <v>16</v>
      </c>
      <c r="R98" s="63">
        <f t="shared" si="234"/>
        <v>91</v>
      </c>
      <c r="S98" s="63">
        <f t="shared" si="235"/>
        <v>27</v>
      </c>
      <c r="T98" s="63" t="str">
        <f>IFERROR(VLOOKUP(MID(O98,R98,S98-R98),[5]skilldef!$C:$D,2,FALSE),"-") &amp; " / " &amp; IFERROR(VLOOKUP(MID(O98,P98,Q98-P98),[5]skilldef!$A:$B,2,FALSE),"-")</f>
        <v>- / -</v>
      </c>
      <c r="U98" s="48" t="str">
        <f t="shared" si="236"/>
        <v>[effect:rush, count:3, val:0.35],[effect:enhance_enemy, target:myself, turn:-1, status:attack, val:0.2 calc:mul, animation:enemy_enhance_attack]</v>
      </c>
      <c r="V98" s="63">
        <f t="shared" si="237"/>
        <v>9</v>
      </c>
      <c r="W98" s="63">
        <f t="shared" si="238"/>
        <v>13</v>
      </c>
      <c r="X98" s="63">
        <f t="shared" si="239"/>
        <v>64</v>
      </c>
      <c r="Y98" s="63">
        <f t="shared" si="240"/>
        <v>22</v>
      </c>
      <c r="Z98" s="63" t="str">
        <f>IFERROR(VLOOKUP(MID(U98,X98,Y98-X98),[5]skilldef!$C:$D,2,FALSE),"-") &amp; " / " &amp; IFERROR(VLOOKUP(MID(U98,V98,W98-V98),[5]skilldef!$A:$B,2,FALSE),"-")</f>
        <v>- / 連続攻撃</v>
      </c>
      <c r="AA98" s="50"/>
      <c r="AB98" s="52"/>
      <c r="AC98" s="50"/>
    </row>
    <row r="99" spans="1:29" ht="43" customHeight="1" x14ac:dyDescent="0.15">
      <c r="A99" s="141">
        <v>59003804</v>
      </c>
      <c r="B99" s="121" t="s">
        <v>654</v>
      </c>
      <c r="C99" s="122">
        <v>1</v>
      </c>
      <c r="D99" s="122" t="s">
        <v>126</v>
      </c>
      <c r="E99" s="123" t="s">
        <v>367</v>
      </c>
      <c r="F99" s="123" t="s">
        <v>530</v>
      </c>
      <c r="G99" s="150" t="s">
        <v>392</v>
      </c>
      <c r="H99" s="63" t="str">
        <f t="shared" si="226"/>
        <v>[effect:enemy_message, val1:1.2, val2:4.8]</v>
      </c>
      <c r="I99" s="63">
        <f t="shared" si="227"/>
        <v>9</v>
      </c>
      <c r="J99" s="63">
        <f t="shared" si="228"/>
        <v>22</v>
      </c>
      <c r="K99" s="63" t="e">
        <f t="shared" si="229"/>
        <v>#VALUE!</v>
      </c>
      <c r="L99" s="63">
        <f t="shared" si="230"/>
        <v>32</v>
      </c>
      <c r="M99" s="63" t="str">
        <f>IFERROR(VLOOKUP(MID(H99,K99,L99-K99),[5]skilldef!$C:$D,2,FALSE),"-") &amp; " / " &amp; IFERROR(VLOOKUP(MID(H99,I99,J99-I99),[5]skilldef!$A:$B,2,FALSE),"-")</f>
        <v>- / -</v>
      </c>
      <c r="N99" s="63" t="str">
        <f t="shared" si="231"/>
        <v>[effect:suicide, val:0.05],[effect:degrade_fever, val:330, animation:fevergauge_down],[effect:damage_anti_abnormal, target:unit_one, target_effect01:counter_new, option:1, val1:0.6, val2:0.3],[effect:damage_anti_abnormal, target:unit_one, target_effect01:counter_new, option:1, val1:0.6, val2:0.3],[effect:damage_anti_abnormal, target:unit_one, target_effect01:counter_new, option:1, val1:0.8, val2:0.4]</v>
      </c>
      <c r="O99" s="48" t="str">
        <f>IFERROR(LEFT(N99,FIND("],",N99)+#REF!),N99)</f>
        <v>[effect:suicide, val:0.05],[effect:degrade_fever, val:330, animation:fevergauge_down],[effect:damage_anti_abnormal, target:unit_one, target_effect01:counter_new, option:1, val1:0.6, val2:0.3],[effect:damage_anti_abnormal, target:unit_one, target_effect01:counter_new, option:1, val1:0.6, val2:0.3],[effect:damage_anti_abnormal, target:unit_one, target_effect01:counter_new, option:1, val1:0.8, val2:0.4]</v>
      </c>
      <c r="P99" s="63">
        <f t="shared" si="232"/>
        <v>9</v>
      </c>
      <c r="Q99" s="63">
        <f t="shared" si="233"/>
        <v>16</v>
      </c>
      <c r="R99" s="63">
        <f t="shared" si="234"/>
        <v>124</v>
      </c>
      <c r="S99" s="63">
        <f t="shared" si="235"/>
        <v>27</v>
      </c>
      <c r="T99" s="63" t="str">
        <f>IFERROR(VLOOKUP(MID(O99,R99,S99-R99),[5]skilldef!$C:$D,2,FALSE),"-") &amp; " / " &amp; IFERROR(VLOOKUP(MID(O99,P99,Q99-P99),[5]skilldef!$A:$B,2,FALSE),"-")</f>
        <v>- / -</v>
      </c>
      <c r="U99" s="48" t="str">
        <f t="shared" si="236"/>
        <v>[effect:degrade_fever, val:330, animation:fevergauge_down],[effect:damage_anti_abnormal, target:unit_one, target_effect01:counter_new, option:1, val1:0.6, val2:0.3],[effect:damage_anti_abnormal, target:unit_one, target_effect01:counter_new, option:1, val1:0.6, val2:0.3],[effect:damage_anti_abnormal, target:unit_one, target_effect01:counter_new, option:1, val1:0.8, val2:0.4]</v>
      </c>
      <c r="V99" s="63">
        <f t="shared" si="237"/>
        <v>9</v>
      </c>
      <c r="W99" s="63">
        <f t="shared" si="238"/>
        <v>22</v>
      </c>
      <c r="X99" s="63">
        <f t="shared" si="239"/>
        <v>97</v>
      </c>
      <c r="Y99" s="63">
        <f t="shared" si="240"/>
        <v>31</v>
      </c>
      <c r="Z99" s="63" t="str">
        <f>IFERROR(VLOOKUP(MID(U99,X99,Y99-X99),[5]skilldef!$C:$D,2,FALSE),"-") &amp; " / " &amp; IFERROR(VLOOKUP(MID(U99,V99,W99-V99),[5]skilldef!$A:$B,2,FALSE),"-")</f>
        <v>- / フィーバーゲージ減少</v>
      </c>
      <c r="AA99" s="50"/>
      <c r="AB99" s="52"/>
      <c r="AC99" s="50"/>
    </row>
    <row r="100" spans="1:29" ht="43" customHeight="1" x14ac:dyDescent="0.15">
      <c r="A100" s="141">
        <v>59003805</v>
      </c>
      <c r="B100" s="121" t="s">
        <v>590</v>
      </c>
      <c r="C100" s="122">
        <v>1</v>
      </c>
      <c r="D100" s="122" t="s">
        <v>126</v>
      </c>
      <c r="E100" s="123" t="s">
        <v>508</v>
      </c>
      <c r="F100" s="123" t="s">
        <v>581</v>
      </c>
      <c r="G100" s="150"/>
      <c r="H100" s="63" t="str">
        <f t="shared" si="226"/>
        <v>[effect:enemy_message, val1:1.2, val2:4.3]</v>
      </c>
      <c r="I100" s="63">
        <f t="shared" si="227"/>
        <v>9</v>
      </c>
      <c r="J100" s="63">
        <f t="shared" si="228"/>
        <v>22</v>
      </c>
      <c r="K100" s="63" t="e">
        <f t="shared" si="229"/>
        <v>#VALUE!</v>
      </c>
      <c r="L100" s="63">
        <f t="shared" si="230"/>
        <v>32</v>
      </c>
      <c r="M100" s="63" t="str">
        <f>IFERROR(VLOOKUP(MID(H100,K100,L100-K100),[5]skilldef!$C:$D,2,FALSE),"-") &amp; " / " &amp; IFERROR(VLOOKUP(MID(H100,I100,J100-I100),[5]skilldef!$A:$B,2,FALSE),"-")</f>
        <v>- / -</v>
      </c>
      <c r="N100" s="63" t="str">
        <f t="shared" si="231"/>
        <v>[effect:suicide, val:0.05],[effect:change_range_block, block_change:1, base_type:0, square_count:3, position01:1, value_h01:3, value_w01:1, new_block:jammer, target:block_all, ignore01:block_positive, count:0, val:0, animation:change_range_block],[effect:rush, count:1, val:1.0]</v>
      </c>
      <c r="O100" s="48" t="str">
        <f>IFERROR(LEFT(N100,FIND("],",N100)+#REF!),N100)</f>
        <v>[effect:suicide, val:0.05],[effect:change_range_block, block_change:1, base_type:0, square_count:3, position01:1, value_h01:3, value_w01:1, new_block:jammer, target:block_all, ignore01:block_positive, count:0, val:0, animation:change_range_block],[effect:rush, count:1, val:1.0]</v>
      </c>
      <c r="P100" s="63">
        <f t="shared" si="232"/>
        <v>9</v>
      </c>
      <c r="Q100" s="63">
        <f t="shared" si="233"/>
        <v>16</v>
      </c>
      <c r="R100" s="63">
        <f t="shared" si="234"/>
        <v>166</v>
      </c>
      <c r="S100" s="63">
        <f t="shared" si="235"/>
        <v>27</v>
      </c>
      <c r="T100" s="63" t="str">
        <f>IFERROR(VLOOKUP(MID(O100,R100,S100-R100),[5]skilldef!$C:$D,2,FALSE),"-") &amp; " / " &amp; IFERROR(VLOOKUP(MID(O100,P100,Q100-P100),[5]skilldef!$A:$B,2,FALSE),"-")</f>
        <v>- / -</v>
      </c>
      <c r="U100" s="48" t="str">
        <f t="shared" si="236"/>
        <v>[effect:change_range_block, block_change:1, base_type:0, square_count:3, position01:1, value_h01:3, value_w01:1, new_block:jammer, target:block_all, ignore01:block_positive, count:0, val:0, animation:change_range_block],[effect:rush, count:1, val:1.0]</v>
      </c>
      <c r="V100" s="63">
        <f t="shared" si="237"/>
        <v>9</v>
      </c>
      <c r="W100" s="63">
        <f t="shared" si="238"/>
        <v>27</v>
      </c>
      <c r="X100" s="63">
        <f t="shared" si="239"/>
        <v>139</v>
      </c>
      <c r="Y100" s="63">
        <f t="shared" si="240"/>
        <v>43</v>
      </c>
      <c r="Z100" s="63" t="str">
        <f>IFERROR(VLOOKUP(MID(U100,X100,Y100-X100),[5]skilldef!$C:$D,2,FALSE),"-") &amp; " / " &amp; IFERROR(VLOOKUP(MID(U100,V100,W100-V100),[5]skilldef!$A:$B,2,FALSE),"-")</f>
        <v>- / -</v>
      </c>
      <c r="AA100" s="50"/>
      <c r="AB100" s="52"/>
      <c r="AC100" s="50"/>
    </row>
    <row r="101" spans="1:29" ht="43" customHeight="1" x14ac:dyDescent="0.15">
      <c r="A101" s="141">
        <v>59003806</v>
      </c>
      <c r="B101" s="121" t="s">
        <v>591</v>
      </c>
      <c r="C101" s="122">
        <v>1</v>
      </c>
      <c r="D101" s="122" t="s">
        <v>126</v>
      </c>
      <c r="E101" s="123" t="s">
        <v>509</v>
      </c>
      <c r="F101" s="155" t="s">
        <v>582</v>
      </c>
      <c r="G101" s="153"/>
      <c r="H101" s="63" t="str">
        <f t="shared" si="226"/>
        <v>[effect:enemy_message, val1:1.2, val2:2.1]</v>
      </c>
      <c r="I101" s="63">
        <f t="shared" si="227"/>
        <v>9</v>
      </c>
      <c r="J101" s="63">
        <f t="shared" si="228"/>
        <v>22</v>
      </c>
      <c r="K101" s="63" t="e">
        <f t="shared" si="229"/>
        <v>#VALUE!</v>
      </c>
      <c r="L101" s="63">
        <f t="shared" si="230"/>
        <v>32</v>
      </c>
      <c r="M101" s="63" t="str">
        <f>IFERROR(VLOOKUP(MID(H101,K101,L101-K101),[5]skilldef!$C:$D,2,FALSE),"-") &amp; " / " &amp; IFERROR(VLOOKUP(MID(H101,I101,J101-I101),[5]skilldef!$A:$B,2,FALSE),"-")</f>
        <v>- / -</v>
      </c>
      <c r="N101" s="63" t="str">
        <f t="shared" si="231"/>
        <v>[effect:suicide, val:0.05]</v>
      </c>
      <c r="O101" s="48" t="str">
        <f>IFERROR(LEFT(N101,FIND("],",N101)+#REF!),N101)</f>
        <v>[effect:suicide, val:0.05]</v>
      </c>
      <c r="P101" s="63">
        <f t="shared" si="232"/>
        <v>9</v>
      </c>
      <c r="Q101" s="63">
        <f t="shared" si="233"/>
        <v>16</v>
      </c>
      <c r="R101" s="63" t="e">
        <f t="shared" si="234"/>
        <v>#VALUE!</v>
      </c>
      <c r="S101" s="63" t="e">
        <f t="shared" si="235"/>
        <v>#VALUE!</v>
      </c>
      <c r="T101" s="63" t="str">
        <f>IFERROR(VLOOKUP(MID(O101,R101,S101-R101),[5]skilldef!$C:$D,2,FALSE),"-") &amp; " / " &amp; IFERROR(VLOOKUP(MID(O101,P101,Q101-P101),[5]skilldef!$A:$B,2,FALSE),"-")</f>
        <v>- / -</v>
      </c>
      <c r="U101" s="48" t="str">
        <f t="shared" si="236"/>
        <v>none</v>
      </c>
      <c r="V101" s="63" t="e">
        <f t="shared" si="237"/>
        <v>#VALUE!</v>
      </c>
      <c r="W101" s="63">
        <f t="shared" si="238"/>
        <v>4</v>
      </c>
      <c r="X101" s="63" t="e">
        <f t="shared" si="239"/>
        <v>#VALUE!</v>
      </c>
      <c r="Y101" s="63" t="e">
        <f t="shared" si="240"/>
        <v>#VALUE!</v>
      </c>
      <c r="Z101" s="63" t="str">
        <f>IFERROR(VLOOKUP(MID(U101,X101,Y101-X101),[5]skilldef!$C:$D,2,FALSE),"-") &amp; " / " &amp; IFERROR(VLOOKUP(MID(U101,V101,W101-V101),[5]skilldef!$A:$B,2,FALSE),"-")</f>
        <v>- / -</v>
      </c>
      <c r="AA101" s="50"/>
      <c r="AB101" s="52"/>
      <c r="AC101" s="50"/>
    </row>
    <row r="102" spans="1:29" ht="43" customHeight="1" x14ac:dyDescent="0.15">
      <c r="A102" s="141">
        <v>59003807</v>
      </c>
      <c r="B102" s="121" t="s">
        <v>560</v>
      </c>
      <c r="C102" s="122">
        <v>1</v>
      </c>
      <c r="D102" s="122" t="s">
        <v>126</v>
      </c>
      <c r="E102" s="123" t="s">
        <v>584</v>
      </c>
      <c r="F102" s="123" t="s">
        <v>296</v>
      </c>
      <c r="G102" s="150" t="s">
        <v>393</v>
      </c>
      <c r="H102" s="63" t="str">
        <f t="shared" si="226"/>
        <v>[effect:enemy_message, val1:1.2, val2:1.2]</v>
      </c>
      <c r="I102" s="63">
        <f t="shared" si="227"/>
        <v>9</v>
      </c>
      <c r="J102" s="63">
        <f t="shared" si="228"/>
        <v>22</v>
      </c>
      <c r="K102" s="63" t="e">
        <f t="shared" si="229"/>
        <v>#VALUE!</v>
      </c>
      <c r="L102" s="63">
        <f t="shared" si="230"/>
        <v>32</v>
      </c>
      <c r="M102" s="63" t="str">
        <f>IFERROR(VLOOKUP(MID(H102,K102,L102-K102),[5]skilldef!$C:$D,2,FALSE),"-") &amp; " / " &amp; IFERROR(VLOOKUP(MID(H102,I102,J102-I102),[5]skilldef!$A:$B,2,FALSE),"-")</f>
        <v>- / -</v>
      </c>
      <c r="N102" s="63" t="str">
        <f t="shared" si="231"/>
        <v>[effect:rush, count:7, val:0.4],[effect:critical, val:20.0, animation:enemy_critical]</v>
      </c>
      <c r="O102" s="48" t="str">
        <f>IFERROR(LEFT(N102,FIND("],",N102)+#REF!),N102)</f>
        <v>[effect:rush, count:7, val:0.4],[effect:critical, val:20.0, animation:enemy_critical]</v>
      </c>
      <c r="P102" s="63">
        <f t="shared" si="232"/>
        <v>9</v>
      </c>
      <c r="Q102" s="63">
        <f t="shared" si="233"/>
        <v>13</v>
      </c>
      <c r="R102" s="63" t="e">
        <f t="shared" si="234"/>
        <v>#VALUE!</v>
      </c>
      <c r="S102" s="63">
        <f t="shared" si="235"/>
        <v>22</v>
      </c>
      <c r="T102" s="63" t="str">
        <f>IFERROR(VLOOKUP(MID(O102,R102,S102-R102),[5]skilldef!$C:$D,2,FALSE),"-") &amp; " / " &amp; IFERROR(VLOOKUP(MID(O102,P102,Q102-P102),[5]skilldef!$A:$B,2,FALSE),"-")</f>
        <v>- / 連続攻撃</v>
      </c>
      <c r="U102" s="48" t="str">
        <f t="shared" si="236"/>
        <v>[effect:critical, val:20.0, animation:enemy_critical]</v>
      </c>
      <c r="V102" s="63">
        <f t="shared" si="237"/>
        <v>9</v>
      </c>
      <c r="W102" s="63">
        <f t="shared" si="238"/>
        <v>17</v>
      </c>
      <c r="X102" s="63" t="e">
        <f t="shared" si="239"/>
        <v>#VALUE!</v>
      </c>
      <c r="Y102" s="63">
        <f t="shared" si="240"/>
        <v>27</v>
      </c>
      <c r="Z102" s="63" t="str">
        <f>IFERROR(VLOOKUP(MID(U102,X102,Y102-X102),[5]skilldef!$C:$D,2,FALSE),"-") &amp; " / " &amp; IFERROR(VLOOKUP(MID(U102,V102,W102-V102),[5]skilldef!$A:$B,2,FALSE),"-")</f>
        <v>- / 大攻撃</v>
      </c>
      <c r="AA102" s="50"/>
      <c r="AB102" s="52"/>
      <c r="AC102" s="50"/>
    </row>
    <row r="103" spans="1:29" ht="43" customHeight="1" x14ac:dyDescent="0.15">
      <c r="A103" s="141">
        <v>59003808</v>
      </c>
      <c r="B103" s="121" t="s">
        <v>380</v>
      </c>
      <c r="C103" s="122">
        <v>1</v>
      </c>
      <c r="D103" s="122" t="s">
        <v>126</v>
      </c>
      <c r="E103" s="123" t="s">
        <v>510</v>
      </c>
      <c r="F103" s="123" t="s">
        <v>386</v>
      </c>
      <c r="G103" s="150" t="s">
        <v>372</v>
      </c>
      <c r="H103" s="63" t="str">
        <f t="shared" ref="H103" si="241">IFERROR(LEFT(B103,FIND("],",B103)),B103)</f>
        <v>[effect:enemy_message, val1:1.2, val2:1.4]</v>
      </c>
      <c r="I103" s="63">
        <f t="shared" ref="I103" si="242">FIND("effect:",H103)+7</f>
        <v>9</v>
      </c>
      <c r="J103" s="63">
        <f t="shared" ref="J103" si="243">IFERROR(FIND(",",H103),LEN(H103))</f>
        <v>22</v>
      </c>
      <c r="K103" s="63" t="e">
        <f t="shared" ref="K103" si="244">FIND("target:",H103)+7</f>
        <v>#VALUE!</v>
      </c>
      <c r="L103" s="63">
        <f t="shared" ref="L103" si="245">FIND(",",H103,J103+1)</f>
        <v>32</v>
      </c>
      <c r="M103" s="63" t="str">
        <f>IFERROR(VLOOKUP(MID(H103,K103,L103-K103),[5]skilldef!$C:$D,2,FALSE),"-") &amp; " / " &amp; IFERROR(VLOOKUP(MID(H103,I103,J103-I103),[5]skilldef!$A:$B,2,FALSE),"-")</f>
        <v>- / -</v>
      </c>
      <c r="N103" s="63" t="str">
        <f t="shared" ref="N103" si="246">IFERROR(RIGHT(B103,LEN(B103)-FIND("],",B103)-1),"none")</f>
        <v>none</v>
      </c>
      <c r="O103" s="48" t="str">
        <f>IFERROR(LEFT(N103,FIND("],",N103)+#REF!),N103)</f>
        <v>none</v>
      </c>
      <c r="P103" s="63" t="e">
        <f t="shared" ref="P103" si="247">FIND("effect:",O103)+7</f>
        <v>#VALUE!</v>
      </c>
      <c r="Q103" s="63">
        <f t="shared" ref="Q103" si="248">IFERROR(FIND(",",O103),LEN(O103))</f>
        <v>4</v>
      </c>
      <c r="R103" s="63" t="e">
        <f t="shared" ref="R103" si="249">FIND("target:",O103)+7</f>
        <v>#VALUE!</v>
      </c>
      <c r="S103" s="63" t="e">
        <f t="shared" ref="S103" si="250">FIND(",",O103,Q103+1)</f>
        <v>#VALUE!</v>
      </c>
      <c r="T103" s="63" t="str">
        <f>IFERROR(VLOOKUP(MID(O103,R103,S103-R103),[5]skilldef!$C:$D,2,FALSE),"-") &amp; " / " &amp; IFERROR(VLOOKUP(MID(O103,P103,Q103-P103),[5]skilldef!$A:$B,2,FALSE),"-")</f>
        <v>- / -</v>
      </c>
      <c r="U103" s="48" t="str">
        <f t="shared" ref="U103" si="251">IFERROR(RIGHT(N103,LEN(N103)-FIND("],",N103)-1),"none")</f>
        <v>none</v>
      </c>
      <c r="V103" s="63" t="e">
        <f t="shared" ref="V103" si="252">FIND("effect:",U103)+7</f>
        <v>#VALUE!</v>
      </c>
      <c r="W103" s="63">
        <f t="shared" ref="W103" si="253">IFERROR(FIND(",",U103),LEN(U103))</f>
        <v>4</v>
      </c>
      <c r="X103" s="63" t="e">
        <f t="shared" ref="X103" si="254">FIND("target:",U103)+7</f>
        <v>#VALUE!</v>
      </c>
      <c r="Y103" s="63" t="e">
        <f t="shared" ref="Y103" si="255">FIND(",",U103,W103+1)</f>
        <v>#VALUE!</v>
      </c>
      <c r="Z103" s="63" t="str">
        <f>IFERROR(VLOOKUP(MID(U103,X103,Y103-X103),[5]skilldef!$C:$D,2,FALSE),"-") &amp; " / " &amp; IFERROR(VLOOKUP(MID(U103,V103,W103-V103),[5]skilldef!$A:$B,2,FALSE),"-")</f>
        <v>- / -</v>
      </c>
      <c r="AA103" s="50"/>
      <c r="AB103" s="52"/>
      <c r="AC103" s="50"/>
    </row>
    <row r="104" spans="1:29" ht="43" customHeight="1" x14ac:dyDescent="0.15">
      <c r="A104" s="141">
        <v>59003809</v>
      </c>
      <c r="B104" s="142" t="s">
        <v>649</v>
      </c>
      <c r="C104" s="143">
        <v>1</v>
      </c>
      <c r="D104" s="143" t="s">
        <v>126</v>
      </c>
      <c r="E104" s="136" t="s">
        <v>598</v>
      </c>
      <c r="F104" s="144" t="s">
        <v>377</v>
      </c>
      <c r="G104" s="154" t="s">
        <v>289</v>
      </c>
      <c r="H104" s="63" t="str">
        <f t="shared" ref="H104" si="256">IFERROR(LEFT(B104,FIND("],",B104)),B104)</f>
        <v>[effect:enemy_message, val1:1.9, val2:0.0]</v>
      </c>
      <c r="I104" s="63">
        <f t="shared" ref="I104" si="257">FIND("effect:",H104)+7</f>
        <v>9</v>
      </c>
      <c r="J104" s="63">
        <f t="shared" ref="J104" si="258">IFERROR(FIND(",",H104),LEN(H104))</f>
        <v>22</v>
      </c>
      <c r="K104" s="63" t="e">
        <f t="shared" ref="K104" si="259">FIND("target:",H104)+7</f>
        <v>#VALUE!</v>
      </c>
      <c r="L104" s="63">
        <f t="shared" ref="L104" si="260">FIND(",",H104,J104+1)</f>
        <v>32</v>
      </c>
      <c r="M104" s="63" t="str">
        <f>IFERROR(VLOOKUP(MID(H104,K104,L104-K104),[5]skilldef!$C:$D,2,FALSE),"-") &amp; " / " &amp; IFERROR(VLOOKUP(MID(H104,I104,J104-I104),[5]skilldef!$A:$B,2,FALSE),"-")</f>
        <v>- / -</v>
      </c>
      <c r="N104" s="63" t="str">
        <f t="shared" ref="N104" si="261">IFERROR(RIGHT(B104,LEN(B104)-FIND("],",B104)-1),"none")</f>
        <v>none</v>
      </c>
      <c r="O104" s="48" t="str">
        <f>IFERROR(LEFT(N104,FIND("],",N104)+#REF!),N104)</f>
        <v>none</v>
      </c>
      <c r="P104" s="63" t="e">
        <f t="shared" ref="P104" si="262">FIND("effect:",O104)+7</f>
        <v>#VALUE!</v>
      </c>
      <c r="Q104" s="63">
        <f t="shared" ref="Q104" si="263">IFERROR(FIND(",",O104),LEN(O104))</f>
        <v>4</v>
      </c>
      <c r="R104" s="63" t="e">
        <f t="shared" ref="R104" si="264">FIND("target:",O104)+7</f>
        <v>#VALUE!</v>
      </c>
      <c r="S104" s="63" t="e">
        <f t="shared" ref="S104" si="265">FIND(",",O104,Q104+1)</f>
        <v>#VALUE!</v>
      </c>
      <c r="T104" s="63" t="str">
        <f>IFERROR(VLOOKUP(MID(O104,R104,S104-R104),[5]skilldef!$C:$D,2,FALSE),"-") &amp; " / " &amp; IFERROR(VLOOKUP(MID(O104,P104,Q104-P104),[5]skilldef!$A:$B,2,FALSE),"-")</f>
        <v>- / -</v>
      </c>
      <c r="U104" s="48" t="str">
        <f t="shared" ref="U104" si="266">IFERROR(RIGHT(N104,LEN(N104)-FIND("],",N104)-1),"none")</f>
        <v>none</v>
      </c>
      <c r="V104" s="63" t="e">
        <f t="shared" ref="V104" si="267">FIND("effect:",U104)+7</f>
        <v>#VALUE!</v>
      </c>
      <c r="W104" s="63">
        <f t="shared" ref="W104" si="268">IFERROR(FIND(",",U104),LEN(U104))</f>
        <v>4</v>
      </c>
      <c r="X104" s="63" t="e">
        <f t="shared" ref="X104" si="269">FIND("target:",U104)+7</f>
        <v>#VALUE!</v>
      </c>
      <c r="Y104" s="63" t="e">
        <f t="shared" ref="Y104" si="270">FIND(",",U104,W104+1)</f>
        <v>#VALUE!</v>
      </c>
      <c r="Z104" s="63" t="str">
        <f>IFERROR(VLOOKUP(MID(U104,X104,Y104-X104),[5]skilldef!$C:$D,2,FALSE),"-") &amp; " / " &amp; IFERROR(VLOOKUP(MID(U104,V104,W104-V104),[5]skilldef!$A:$B,2,FALSE),"-")</f>
        <v>- / -</v>
      </c>
      <c r="AA104" s="50"/>
      <c r="AB104" s="52"/>
      <c r="AC104" s="50"/>
    </row>
    <row r="105" spans="1:29" ht="43" customHeight="1" x14ac:dyDescent="0.15">
      <c r="A105" s="141">
        <v>59003810</v>
      </c>
      <c r="B105" s="142" t="s">
        <v>381</v>
      </c>
      <c r="C105" s="143">
        <v>1</v>
      </c>
      <c r="D105" s="143" t="s">
        <v>126</v>
      </c>
      <c r="E105" s="136" t="s">
        <v>511</v>
      </c>
      <c r="F105" s="144" t="s">
        <v>377</v>
      </c>
      <c r="G105" s="154" t="s">
        <v>382</v>
      </c>
      <c r="H105" s="63" t="str">
        <f t="shared" ref="H105" si="271">IFERROR(LEFT(B105,FIND("],",B105)),B105)</f>
        <v>[effect:enemy_message, val1:2.1, val2:0.0]</v>
      </c>
      <c r="I105" s="63">
        <f t="shared" ref="I105" si="272">FIND("effect:",H105)+7</f>
        <v>9</v>
      </c>
      <c r="J105" s="63">
        <f t="shared" ref="J105" si="273">IFERROR(FIND(",",H105),LEN(H105))</f>
        <v>22</v>
      </c>
      <c r="K105" s="63" t="e">
        <f t="shared" ref="K105" si="274">FIND("target:",H105)+7</f>
        <v>#VALUE!</v>
      </c>
      <c r="L105" s="63">
        <f t="shared" ref="L105" si="275">FIND(",",H105,J105+1)</f>
        <v>32</v>
      </c>
      <c r="M105" s="63" t="str">
        <f>IFERROR(VLOOKUP(MID(H105,K105,L105-K105),[5]skilldef!$C:$D,2,FALSE),"-") &amp; " / " &amp; IFERROR(VLOOKUP(MID(H105,I105,J105-I105),[5]skilldef!$A:$B,2,FALSE),"-")</f>
        <v>- / -</v>
      </c>
      <c r="N105" s="63" t="str">
        <f t="shared" ref="N105" si="276">IFERROR(RIGHT(B105,LEN(B105)-FIND("],",B105)-1),"none")</f>
        <v>none</v>
      </c>
      <c r="O105" s="48" t="str">
        <f>IFERROR(LEFT(N105,FIND("],",N105)+#REF!),N105)</f>
        <v>none</v>
      </c>
      <c r="P105" s="63" t="e">
        <f t="shared" ref="P105" si="277">FIND("effect:",O105)+7</f>
        <v>#VALUE!</v>
      </c>
      <c r="Q105" s="63">
        <f t="shared" ref="Q105" si="278">IFERROR(FIND(",",O105),LEN(O105))</f>
        <v>4</v>
      </c>
      <c r="R105" s="63" t="e">
        <f t="shared" ref="R105" si="279">FIND("target:",O105)+7</f>
        <v>#VALUE!</v>
      </c>
      <c r="S105" s="63" t="e">
        <f t="shared" ref="S105" si="280">FIND(",",O105,Q105+1)</f>
        <v>#VALUE!</v>
      </c>
      <c r="T105" s="63" t="str">
        <f>IFERROR(VLOOKUP(MID(O105,R105,S105-R105),[5]skilldef!$C:$D,2,FALSE),"-") &amp; " / " &amp; IFERROR(VLOOKUP(MID(O105,P105,Q105-P105),[5]skilldef!$A:$B,2,FALSE),"-")</f>
        <v>- / -</v>
      </c>
      <c r="U105" s="48" t="str">
        <f t="shared" ref="U105" si="281">IFERROR(RIGHT(N105,LEN(N105)-FIND("],",N105)-1),"none")</f>
        <v>none</v>
      </c>
      <c r="V105" s="63" t="e">
        <f t="shared" ref="V105" si="282">FIND("effect:",U105)+7</f>
        <v>#VALUE!</v>
      </c>
      <c r="W105" s="63">
        <f t="shared" ref="W105" si="283">IFERROR(FIND(",",U105),LEN(U105))</f>
        <v>4</v>
      </c>
      <c r="X105" s="63" t="e">
        <f t="shared" ref="X105" si="284">FIND("target:",U105)+7</f>
        <v>#VALUE!</v>
      </c>
      <c r="Y105" s="63" t="e">
        <f t="shared" ref="Y105" si="285">FIND(",",U105,W105+1)</f>
        <v>#VALUE!</v>
      </c>
      <c r="Z105" s="63" t="str">
        <f>IFERROR(VLOOKUP(MID(U105,X105,Y105-X105),[5]skilldef!$C:$D,2,FALSE),"-") &amp; " / " &amp; IFERROR(VLOOKUP(MID(U105,V105,W105-V105),[5]skilldef!$A:$B,2,FALSE),"-")</f>
        <v>- / -</v>
      </c>
      <c r="AA105" s="50"/>
      <c r="AB105" s="52"/>
      <c r="AC105" s="50"/>
    </row>
  </sheetData>
  <autoFilter ref="A1:AC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K109"/>
  <sheetViews>
    <sheetView showGridLines="0" workbookViewId="0">
      <pane ySplit="1" topLeftCell="A87" activePane="bottomLeft" state="frozenSplit"/>
      <selection pane="bottomLeft" activeCell="C104" sqref="C10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</row>
    <row r="2" spans="1:11" ht="21" customHeight="1" x14ac:dyDescent="0.15">
      <c r="A2" s="167">
        <v>59003107</v>
      </c>
      <c r="B2" s="47">
        <v>0</v>
      </c>
      <c r="C2" s="47">
        <v>100</v>
      </c>
      <c r="D2" s="47">
        <v>100</v>
      </c>
      <c r="E2" s="128">
        <v>65</v>
      </c>
      <c r="F2" s="128">
        <v>55</v>
      </c>
      <c r="G2" s="47">
        <v>1</v>
      </c>
      <c r="H2" s="47">
        <v>1</v>
      </c>
      <c r="I2" s="47" t="s">
        <v>88</v>
      </c>
      <c r="J2" s="48">
        <f t="shared" ref="J2:J3" si="0">D2</f>
        <v>100</v>
      </c>
      <c r="K2" s="139">
        <f>(enemy_habitats!U3-129998)/enemy_habitats!U3</f>
        <v>0.64540133003824274</v>
      </c>
    </row>
    <row r="3" spans="1:11" ht="21" customHeight="1" thickBot="1" x14ac:dyDescent="0.2">
      <c r="A3" s="177">
        <v>59003258</v>
      </c>
      <c r="B3" s="171">
        <v>0</v>
      </c>
      <c r="C3" s="171">
        <v>102</v>
      </c>
      <c r="D3" s="171">
        <v>100</v>
      </c>
      <c r="E3" s="178">
        <v>80</v>
      </c>
      <c r="F3" s="178">
        <v>70</v>
      </c>
      <c r="G3" s="171">
        <v>1</v>
      </c>
      <c r="H3" s="171">
        <v>1</v>
      </c>
      <c r="I3" s="171" t="s">
        <v>88</v>
      </c>
      <c r="J3" s="179">
        <f t="shared" si="0"/>
        <v>100</v>
      </c>
      <c r="K3" s="139">
        <f>(enemy_habitat_S!V4-99999)/enemy_habitat_S!V4</f>
        <v>0.7741696246977795</v>
      </c>
    </row>
    <row r="4" spans="1:11" ht="21" customHeight="1" x14ac:dyDescent="0.15">
      <c r="A4" s="124">
        <v>59003502</v>
      </c>
      <c r="B4" s="125">
        <v>0</v>
      </c>
      <c r="C4" s="125">
        <v>11</v>
      </c>
      <c r="D4" s="125">
        <v>100</v>
      </c>
      <c r="E4" s="125" t="s">
        <v>53</v>
      </c>
      <c r="F4" s="125" t="s">
        <v>88</v>
      </c>
      <c r="G4" s="125">
        <v>1</v>
      </c>
      <c r="H4" s="125">
        <v>1</v>
      </c>
      <c r="I4" s="125" t="s">
        <v>88</v>
      </c>
      <c r="J4" s="176">
        <f t="shared" ref="J4:J10" si="1">D4</f>
        <v>100</v>
      </c>
    </row>
    <row r="5" spans="1:11" ht="21" customHeight="1" x14ac:dyDescent="0.15">
      <c r="A5" s="117">
        <v>59003503</v>
      </c>
      <c r="B5" s="47">
        <v>0</v>
      </c>
      <c r="C5" s="47">
        <v>10</v>
      </c>
      <c r="D5" s="47">
        <v>100</v>
      </c>
      <c r="E5" s="47" t="s">
        <v>53</v>
      </c>
      <c r="F5" s="47" t="s">
        <v>88</v>
      </c>
      <c r="G5" s="47" t="s">
        <v>446</v>
      </c>
      <c r="H5" s="47">
        <v>1</v>
      </c>
      <c r="I5" s="47" t="s">
        <v>88</v>
      </c>
      <c r="J5" s="48">
        <f t="shared" ref="J5" si="2">D5</f>
        <v>100</v>
      </c>
    </row>
    <row r="6" spans="1:11" ht="21" customHeight="1" x14ac:dyDescent="0.15">
      <c r="A6" s="117">
        <v>59003504</v>
      </c>
      <c r="B6" s="47">
        <v>0</v>
      </c>
      <c r="C6" s="47">
        <v>20</v>
      </c>
      <c r="D6" s="47">
        <v>100</v>
      </c>
      <c r="E6" s="47" t="s">
        <v>53</v>
      </c>
      <c r="F6" s="47" t="s">
        <v>88</v>
      </c>
      <c r="G6" s="47" t="s">
        <v>53</v>
      </c>
      <c r="H6" s="47">
        <v>2</v>
      </c>
      <c r="I6" s="47" t="s">
        <v>88</v>
      </c>
      <c r="J6" s="48">
        <f t="shared" si="1"/>
        <v>100</v>
      </c>
    </row>
    <row r="7" spans="1:11" ht="21" customHeight="1" x14ac:dyDescent="0.15">
      <c r="A7" s="117">
        <v>59003505</v>
      </c>
      <c r="B7" s="47">
        <v>0</v>
      </c>
      <c r="C7" s="47">
        <v>31</v>
      </c>
      <c r="D7" s="47">
        <v>100</v>
      </c>
      <c r="E7" s="47" t="s">
        <v>53</v>
      </c>
      <c r="F7" s="47" t="s">
        <v>88</v>
      </c>
      <c r="G7" s="47">
        <v>1</v>
      </c>
      <c r="H7" s="47">
        <v>3</v>
      </c>
      <c r="I7" s="47" t="s">
        <v>88</v>
      </c>
      <c r="J7" s="48">
        <f t="shared" si="1"/>
        <v>100</v>
      </c>
    </row>
    <row r="8" spans="1:11" ht="21" customHeight="1" x14ac:dyDescent="0.15">
      <c r="A8" s="117">
        <v>59003506</v>
      </c>
      <c r="B8" s="47">
        <v>0</v>
      </c>
      <c r="C8" s="47">
        <v>40</v>
      </c>
      <c r="D8" s="47">
        <v>100</v>
      </c>
      <c r="E8" s="47" t="s">
        <v>53</v>
      </c>
      <c r="F8" s="47" t="s">
        <v>88</v>
      </c>
      <c r="G8" s="47" t="s">
        <v>53</v>
      </c>
      <c r="H8" s="47">
        <v>4</v>
      </c>
      <c r="I8" s="47" t="s">
        <v>88</v>
      </c>
      <c r="J8" s="48">
        <f t="shared" si="1"/>
        <v>100</v>
      </c>
    </row>
    <row r="9" spans="1:11" ht="21" customHeight="1" x14ac:dyDescent="0.15">
      <c r="A9" s="117">
        <v>59003507</v>
      </c>
      <c r="B9" s="47">
        <v>0</v>
      </c>
      <c r="C9" s="47">
        <v>30</v>
      </c>
      <c r="D9" s="47">
        <v>100</v>
      </c>
      <c r="E9" s="47" t="s">
        <v>53</v>
      </c>
      <c r="F9" s="47" t="s">
        <v>88</v>
      </c>
      <c r="G9" s="47" t="s">
        <v>53</v>
      </c>
      <c r="H9" s="47">
        <v>3</v>
      </c>
      <c r="I9" s="47" t="s">
        <v>88</v>
      </c>
      <c r="J9" s="48">
        <f t="shared" si="1"/>
        <v>100</v>
      </c>
    </row>
    <row r="10" spans="1:11" ht="21" customHeight="1" x14ac:dyDescent="0.15">
      <c r="A10" s="117">
        <v>59003508</v>
      </c>
      <c r="B10" s="47">
        <v>0</v>
      </c>
      <c r="C10" s="47">
        <v>102</v>
      </c>
      <c r="D10" s="47">
        <v>100</v>
      </c>
      <c r="E10" s="47">
        <v>50</v>
      </c>
      <c r="F10" s="47" t="s">
        <v>88</v>
      </c>
      <c r="G10" s="47">
        <v>1</v>
      </c>
      <c r="H10" s="47">
        <v>1</v>
      </c>
      <c r="I10" s="47" t="s">
        <v>88</v>
      </c>
      <c r="J10" s="48">
        <f t="shared" si="1"/>
        <v>100</v>
      </c>
    </row>
    <row r="11" spans="1:11" ht="21" customHeight="1" x14ac:dyDescent="0.15">
      <c r="A11" s="117">
        <v>59003509</v>
      </c>
      <c r="B11" s="47">
        <v>0</v>
      </c>
      <c r="C11" s="47">
        <v>100</v>
      </c>
      <c r="D11" s="47">
        <v>100</v>
      </c>
      <c r="E11" s="47">
        <v>50</v>
      </c>
      <c r="F11" s="47" t="s">
        <v>88</v>
      </c>
      <c r="G11" s="47">
        <v>1</v>
      </c>
      <c r="H11" s="47">
        <v>1</v>
      </c>
      <c r="I11" s="47" t="s">
        <v>88</v>
      </c>
      <c r="J11" s="48">
        <f t="shared" ref="J11:J54" si="3">D11</f>
        <v>100</v>
      </c>
    </row>
    <row r="12" spans="1:11" ht="21" customHeight="1" x14ac:dyDescent="0.15">
      <c r="A12" s="117">
        <v>59003510</v>
      </c>
      <c r="B12" s="47">
        <v>0</v>
      </c>
      <c r="C12" s="47">
        <v>101</v>
      </c>
      <c r="D12" s="47">
        <v>100</v>
      </c>
      <c r="E12" s="47">
        <v>20</v>
      </c>
      <c r="F12" s="47" t="s">
        <v>352</v>
      </c>
      <c r="G12" s="47">
        <v>1</v>
      </c>
      <c r="H12" s="47">
        <v>1</v>
      </c>
      <c r="I12" s="47" t="s">
        <v>88</v>
      </c>
      <c r="J12" s="48">
        <f t="shared" si="3"/>
        <v>100</v>
      </c>
    </row>
    <row r="13" spans="1:11" ht="21" customHeight="1" x14ac:dyDescent="0.15">
      <c r="A13" s="117">
        <v>59003552</v>
      </c>
      <c r="B13" s="118">
        <v>0</v>
      </c>
      <c r="C13" s="118">
        <v>10</v>
      </c>
      <c r="D13" s="118">
        <v>100</v>
      </c>
      <c r="E13" s="118" t="s">
        <v>53</v>
      </c>
      <c r="F13" s="118" t="s">
        <v>88</v>
      </c>
      <c r="G13" s="118" t="s">
        <v>53</v>
      </c>
      <c r="H13" s="118">
        <v>1</v>
      </c>
      <c r="I13" s="118" t="s">
        <v>88</v>
      </c>
      <c r="J13" s="48">
        <f t="shared" si="3"/>
        <v>100</v>
      </c>
    </row>
    <row r="14" spans="1:11" ht="21" customHeight="1" x14ac:dyDescent="0.15">
      <c r="A14" s="117">
        <v>59003553</v>
      </c>
      <c r="B14" s="118">
        <v>0</v>
      </c>
      <c r="C14" s="118">
        <v>20</v>
      </c>
      <c r="D14" s="118">
        <v>100</v>
      </c>
      <c r="E14" s="118" t="s">
        <v>53</v>
      </c>
      <c r="F14" s="118" t="s">
        <v>88</v>
      </c>
      <c r="G14" s="118" t="s">
        <v>257</v>
      </c>
      <c r="H14" s="118">
        <v>2</v>
      </c>
      <c r="I14" s="118" t="s">
        <v>88</v>
      </c>
      <c r="J14" s="48">
        <f t="shared" si="3"/>
        <v>100</v>
      </c>
    </row>
    <row r="15" spans="1:11" ht="21" customHeight="1" x14ac:dyDescent="0.15">
      <c r="A15" s="117">
        <v>59003554</v>
      </c>
      <c r="B15" s="118">
        <v>0</v>
      </c>
      <c r="C15" s="118">
        <v>30</v>
      </c>
      <c r="D15" s="118">
        <v>100</v>
      </c>
      <c r="E15" s="118" t="s">
        <v>53</v>
      </c>
      <c r="F15" s="118" t="s">
        <v>88</v>
      </c>
      <c r="G15" s="118">
        <v>1</v>
      </c>
      <c r="H15" s="118">
        <v>3</v>
      </c>
      <c r="I15" s="118" t="s">
        <v>88</v>
      </c>
      <c r="J15" s="48">
        <f t="shared" si="3"/>
        <v>100</v>
      </c>
    </row>
    <row r="16" spans="1:11" ht="21" customHeight="1" x14ac:dyDescent="0.15">
      <c r="A16" s="117">
        <v>59003555</v>
      </c>
      <c r="B16" s="118">
        <v>0</v>
      </c>
      <c r="C16" s="118">
        <v>40</v>
      </c>
      <c r="D16" s="118">
        <v>100</v>
      </c>
      <c r="E16" s="118" t="s">
        <v>53</v>
      </c>
      <c r="F16" s="118">
        <v>50</v>
      </c>
      <c r="G16" s="118" t="s">
        <v>256</v>
      </c>
      <c r="H16" s="118">
        <v>4</v>
      </c>
      <c r="I16" s="118" t="s">
        <v>88</v>
      </c>
      <c r="J16" s="48">
        <f t="shared" si="3"/>
        <v>100</v>
      </c>
    </row>
    <row r="17" spans="1:11" ht="21" customHeight="1" x14ac:dyDescent="0.15">
      <c r="A17" s="117">
        <v>59003556</v>
      </c>
      <c r="B17" s="118">
        <v>0</v>
      </c>
      <c r="C17" s="118">
        <v>41</v>
      </c>
      <c r="D17" s="118">
        <v>100</v>
      </c>
      <c r="E17" s="118">
        <v>50</v>
      </c>
      <c r="F17" s="118" t="s">
        <v>88</v>
      </c>
      <c r="G17" s="118" t="s">
        <v>256</v>
      </c>
      <c r="H17" s="118">
        <v>4</v>
      </c>
      <c r="I17" s="118" t="s">
        <v>88</v>
      </c>
      <c r="J17" s="48">
        <f t="shared" ref="J17" si="4">D17</f>
        <v>100</v>
      </c>
    </row>
    <row r="18" spans="1:11" ht="21" customHeight="1" x14ac:dyDescent="0.15">
      <c r="A18" s="117">
        <v>59003557</v>
      </c>
      <c r="B18" s="118">
        <v>0</v>
      </c>
      <c r="C18" s="118">
        <v>70</v>
      </c>
      <c r="D18" s="118">
        <v>100</v>
      </c>
      <c r="E18" s="118" t="s">
        <v>53</v>
      </c>
      <c r="F18" s="118" t="s">
        <v>88</v>
      </c>
      <c r="G18" s="118">
        <v>1</v>
      </c>
      <c r="H18" s="118">
        <v>7</v>
      </c>
      <c r="I18" s="118" t="s">
        <v>88</v>
      </c>
      <c r="J18" s="48">
        <f t="shared" si="3"/>
        <v>100</v>
      </c>
    </row>
    <row r="19" spans="1:11" ht="21" customHeight="1" x14ac:dyDescent="0.15">
      <c r="A19" s="140">
        <v>59003602</v>
      </c>
      <c r="B19" s="47">
        <v>0</v>
      </c>
      <c r="C19" s="47">
        <v>10</v>
      </c>
      <c r="D19" s="47">
        <v>100</v>
      </c>
      <c r="E19" s="47" t="s">
        <v>53</v>
      </c>
      <c r="F19" s="47" t="s">
        <v>88</v>
      </c>
      <c r="G19" s="47" t="s">
        <v>53</v>
      </c>
      <c r="H19" s="47">
        <v>1</v>
      </c>
      <c r="I19" s="47" t="s">
        <v>88</v>
      </c>
      <c r="J19" s="48">
        <f t="shared" si="3"/>
        <v>100</v>
      </c>
    </row>
    <row r="20" spans="1:11" ht="21" customHeight="1" x14ac:dyDescent="0.15">
      <c r="A20" s="140">
        <v>59003603</v>
      </c>
      <c r="B20" s="47">
        <v>0</v>
      </c>
      <c r="C20" s="47">
        <v>20</v>
      </c>
      <c r="D20" s="47">
        <v>100</v>
      </c>
      <c r="E20" s="47" t="s">
        <v>53</v>
      </c>
      <c r="F20" s="47" t="s">
        <v>88</v>
      </c>
      <c r="G20" s="47" t="s">
        <v>53</v>
      </c>
      <c r="H20" s="47">
        <v>2</v>
      </c>
      <c r="I20" s="47" t="s">
        <v>88</v>
      </c>
      <c r="J20" s="48">
        <f t="shared" si="3"/>
        <v>100</v>
      </c>
    </row>
    <row r="21" spans="1:11" ht="21" customHeight="1" x14ac:dyDescent="0.15">
      <c r="A21" s="140">
        <v>59003604</v>
      </c>
      <c r="B21" s="47">
        <v>0</v>
      </c>
      <c r="C21" s="47">
        <v>30</v>
      </c>
      <c r="D21" s="47">
        <v>100</v>
      </c>
      <c r="E21" s="47" t="s">
        <v>53</v>
      </c>
      <c r="F21" s="47" t="s">
        <v>88</v>
      </c>
      <c r="G21" s="47" t="s">
        <v>53</v>
      </c>
      <c r="H21" s="47">
        <v>3</v>
      </c>
      <c r="I21" s="47" t="s">
        <v>88</v>
      </c>
      <c r="J21" s="48">
        <f t="shared" si="3"/>
        <v>100</v>
      </c>
    </row>
    <row r="22" spans="1:11" ht="21" customHeight="1" x14ac:dyDescent="0.15">
      <c r="A22" s="140">
        <v>59003605</v>
      </c>
      <c r="B22" s="47">
        <v>0</v>
      </c>
      <c r="C22" s="47">
        <v>41</v>
      </c>
      <c r="D22" s="47">
        <v>50</v>
      </c>
      <c r="E22" s="47" t="s">
        <v>53</v>
      </c>
      <c r="F22" s="47" t="s">
        <v>88</v>
      </c>
      <c r="G22" s="47" t="s">
        <v>53</v>
      </c>
      <c r="H22" s="47">
        <v>4</v>
      </c>
      <c r="I22" s="47" t="s">
        <v>88</v>
      </c>
      <c r="J22" s="48">
        <f t="shared" si="3"/>
        <v>50</v>
      </c>
    </row>
    <row r="23" spans="1:11" ht="21" customHeight="1" x14ac:dyDescent="0.15">
      <c r="A23" s="140">
        <v>59003606</v>
      </c>
      <c r="B23" s="47">
        <v>0</v>
      </c>
      <c r="C23" s="47">
        <v>40</v>
      </c>
      <c r="D23" s="47">
        <v>100</v>
      </c>
      <c r="E23" s="47" t="s">
        <v>53</v>
      </c>
      <c r="F23" s="47" t="s">
        <v>88</v>
      </c>
      <c r="G23" s="47" t="s">
        <v>53</v>
      </c>
      <c r="H23" s="47">
        <v>4</v>
      </c>
      <c r="I23" s="47" t="s">
        <v>88</v>
      </c>
      <c r="J23" s="48">
        <f t="shared" si="3"/>
        <v>100</v>
      </c>
    </row>
    <row r="24" spans="1:11" ht="21" customHeight="1" x14ac:dyDescent="0.15">
      <c r="A24" s="140">
        <v>59003607</v>
      </c>
      <c r="B24" s="47">
        <v>0</v>
      </c>
      <c r="C24" s="47">
        <v>100</v>
      </c>
      <c r="D24" s="47">
        <v>100</v>
      </c>
      <c r="E24" s="128">
        <v>80</v>
      </c>
      <c r="F24" s="128">
        <v>70</v>
      </c>
      <c r="G24" s="47">
        <v>1</v>
      </c>
      <c r="H24" s="47">
        <v>1</v>
      </c>
      <c r="I24" s="47" t="s">
        <v>88</v>
      </c>
      <c r="J24" s="48">
        <f t="shared" si="3"/>
        <v>100</v>
      </c>
      <c r="K24" s="139">
        <f>(enemy_habitats!U6-129998)/enemy_habitats!U6</f>
        <v>0.78724079802294566</v>
      </c>
    </row>
    <row r="25" spans="1:11" ht="21" customHeight="1" x14ac:dyDescent="0.15">
      <c r="A25" s="140">
        <v>59003652</v>
      </c>
      <c r="B25" s="118">
        <v>0</v>
      </c>
      <c r="C25" s="118">
        <v>10</v>
      </c>
      <c r="D25" s="118">
        <v>100</v>
      </c>
      <c r="E25" s="118" t="s">
        <v>53</v>
      </c>
      <c r="F25" s="118" t="s">
        <v>88</v>
      </c>
      <c r="G25" s="118" t="s">
        <v>53</v>
      </c>
      <c r="H25" s="118">
        <v>1</v>
      </c>
      <c r="I25" s="118" t="s">
        <v>88</v>
      </c>
      <c r="J25" s="48">
        <f t="shared" si="3"/>
        <v>100</v>
      </c>
    </row>
    <row r="26" spans="1:11" ht="21" customHeight="1" x14ac:dyDescent="0.15">
      <c r="A26" s="140">
        <v>59003653</v>
      </c>
      <c r="B26" s="118">
        <v>0</v>
      </c>
      <c r="C26" s="118">
        <v>20</v>
      </c>
      <c r="D26" s="118">
        <v>100</v>
      </c>
      <c r="E26" s="118" t="s">
        <v>53</v>
      </c>
      <c r="F26" s="118" t="s">
        <v>88</v>
      </c>
      <c r="G26" s="118" t="s">
        <v>53</v>
      </c>
      <c r="H26" s="118">
        <v>2</v>
      </c>
      <c r="I26" s="118" t="s">
        <v>88</v>
      </c>
      <c r="J26" s="48">
        <f t="shared" si="3"/>
        <v>100</v>
      </c>
    </row>
    <row r="27" spans="1:11" ht="21" customHeight="1" x14ac:dyDescent="0.15">
      <c r="A27" s="140">
        <v>59003654</v>
      </c>
      <c r="B27" s="118">
        <v>0</v>
      </c>
      <c r="C27" s="118">
        <v>30</v>
      </c>
      <c r="D27" s="118">
        <v>100</v>
      </c>
      <c r="E27" s="118" t="s">
        <v>53</v>
      </c>
      <c r="F27" s="118" t="s">
        <v>88</v>
      </c>
      <c r="G27" s="118" t="s">
        <v>53</v>
      </c>
      <c r="H27" s="118">
        <v>3</v>
      </c>
      <c r="I27" s="118" t="s">
        <v>88</v>
      </c>
      <c r="J27" s="48">
        <f t="shared" si="3"/>
        <v>100</v>
      </c>
    </row>
    <row r="28" spans="1:11" ht="21" customHeight="1" x14ac:dyDescent="0.15">
      <c r="A28" s="140">
        <v>59003655</v>
      </c>
      <c r="B28" s="118">
        <v>0</v>
      </c>
      <c r="C28" s="118">
        <v>41</v>
      </c>
      <c r="D28" s="118">
        <v>50</v>
      </c>
      <c r="E28" s="118" t="s">
        <v>258</v>
      </c>
      <c r="F28" s="118" t="s">
        <v>88</v>
      </c>
      <c r="G28" s="118" t="s">
        <v>53</v>
      </c>
      <c r="H28" s="118">
        <v>4</v>
      </c>
      <c r="I28" s="118" t="s">
        <v>88</v>
      </c>
      <c r="J28" s="48">
        <f t="shared" si="3"/>
        <v>50</v>
      </c>
    </row>
    <row r="29" spans="1:11" ht="21" customHeight="1" x14ac:dyDescent="0.15">
      <c r="A29" s="140">
        <v>59003656</v>
      </c>
      <c r="B29" s="118">
        <v>0</v>
      </c>
      <c r="C29" s="118">
        <v>40</v>
      </c>
      <c r="D29" s="118">
        <v>100</v>
      </c>
      <c r="E29" s="118" t="s">
        <v>53</v>
      </c>
      <c r="F29" s="118" t="s">
        <v>88</v>
      </c>
      <c r="G29" s="118" t="s">
        <v>53</v>
      </c>
      <c r="H29" s="118">
        <v>4</v>
      </c>
      <c r="I29" s="118" t="s">
        <v>88</v>
      </c>
      <c r="J29" s="48">
        <f t="shared" si="3"/>
        <v>100</v>
      </c>
    </row>
    <row r="30" spans="1:11" ht="21" customHeight="1" x14ac:dyDescent="0.15">
      <c r="A30" s="140">
        <v>59003657</v>
      </c>
      <c r="B30" s="118">
        <v>0</v>
      </c>
      <c r="C30" s="118">
        <v>80</v>
      </c>
      <c r="D30" s="118">
        <v>100</v>
      </c>
      <c r="E30" s="118">
        <v>20</v>
      </c>
      <c r="F30" s="118" t="s">
        <v>88</v>
      </c>
      <c r="G30" s="118">
        <v>1</v>
      </c>
      <c r="H30" s="118">
        <v>1</v>
      </c>
      <c r="I30" s="118" t="s">
        <v>88</v>
      </c>
      <c r="J30" s="48">
        <f t="shared" si="3"/>
        <v>100</v>
      </c>
    </row>
    <row r="31" spans="1:11" ht="21" customHeight="1" x14ac:dyDescent="0.15">
      <c r="A31" s="141">
        <v>59003702</v>
      </c>
      <c r="B31" s="47">
        <v>0</v>
      </c>
      <c r="C31" s="47">
        <v>10</v>
      </c>
      <c r="D31" s="47">
        <v>100</v>
      </c>
      <c r="E31" s="47" t="s">
        <v>53</v>
      </c>
      <c r="F31" s="47" t="s">
        <v>88</v>
      </c>
      <c r="G31" s="47" t="s">
        <v>53</v>
      </c>
      <c r="H31" s="47">
        <v>1</v>
      </c>
      <c r="I31" s="47" t="s">
        <v>88</v>
      </c>
      <c r="J31" s="48">
        <f t="shared" si="3"/>
        <v>100</v>
      </c>
    </row>
    <row r="32" spans="1:11" ht="21" customHeight="1" x14ac:dyDescent="0.15">
      <c r="A32" s="141">
        <v>59003703</v>
      </c>
      <c r="B32" s="47">
        <v>0</v>
      </c>
      <c r="C32" s="47">
        <v>20</v>
      </c>
      <c r="D32" s="47">
        <v>100</v>
      </c>
      <c r="E32" s="47" t="s">
        <v>53</v>
      </c>
      <c r="F32" s="47" t="s">
        <v>88</v>
      </c>
      <c r="G32" s="47" t="s">
        <v>53</v>
      </c>
      <c r="H32" s="47">
        <v>2</v>
      </c>
      <c r="I32" s="47" t="s">
        <v>88</v>
      </c>
      <c r="J32" s="48">
        <f t="shared" si="3"/>
        <v>100</v>
      </c>
    </row>
    <row r="33" spans="1:11" ht="21" customHeight="1" x14ac:dyDescent="0.15">
      <c r="A33" s="141">
        <v>59003704</v>
      </c>
      <c r="B33" s="47">
        <v>0</v>
      </c>
      <c r="C33" s="47">
        <v>30</v>
      </c>
      <c r="D33" s="47">
        <v>100</v>
      </c>
      <c r="E33" s="47" t="s">
        <v>53</v>
      </c>
      <c r="F33" s="47" t="s">
        <v>88</v>
      </c>
      <c r="G33" s="47" t="s">
        <v>53</v>
      </c>
      <c r="H33" s="47">
        <v>3</v>
      </c>
      <c r="I33" s="47" t="s">
        <v>88</v>
      </c>
      <c r="J33" s="48">
        <f t="shared" si="3"/>
        <v>100</v>
      </c>
    </row>
    <row r="34" spans="1:11" ht="21" customHeight="1" x14ac:dyDescent="0.15">
      <c r="A34" s="141">
        <v>59003705</v>
      </c>
      <c r="B34" s="47">
        <v>0</v>
      </c>
      <c r="C34" s="47">
        <v>40</v>
      </c>
      <c r="D34" s="47">
        <v>100</v>
      </c>
      <c r="E34" s="47" t="s">
        <v>53</v>
      </c>
      <c r="F34" s="47" t="s">
        <v>88</v>
      </c>
      <c r="G34" s="47" t="s">
        <v>53</v>
      </c>
      <c r="H34" s="47">
        <v>4</v>
      </c>
      <c r="I34" s="47" t="s">
        <v>88</v>
      </c>
      <c r="J34" s="48">
        <f t="shared" si="3"/>
        <v>100</v>
      </c>
    </row>
    <row r="35" spans="1:11" ht="21" customHeight="1" x14ac:dyDescent="0.15">
      <c r="A35" s="141">
        <v>59003706</v>
      </c>
      <c r="B35" s="47">
        <v>0</v>
      </c>
      <c r="C35" s="47">
        <v>80</v>
      </c>
      <c r="D35" s="47">
        <v>100</v>
      </c>
      <c r="E35" s="47" t="s">
        <v>53</v>
      </c>
      <c r="F35" s="47" t="s">
        <v>88</v>
      </c>
      <c r="G35" s="47" t="s">
        <v>53</v>
      </c>
      <c r="H35" s="47">
        <v>8</v>
      </c>
      <c r="I35" s="47" t="s">
        <v>88</v>
      </c>
      <c r="J35" s="48">
        <f t="shared" si="3"/>
        <v>100</v>
      </c>
    </row>
    <row r="36" spans="1:11" ht="21" customHeight="1" x14ac:dyDescent="0.15">
      <c r="A36" s="141">
        <v>59003707</v>
      </c>
      <c r="B36" s="47">
        <v>0</v>
      </c>
      <c r="C36" s="47">
        <v>103</v>
      </c>
      <c r="D36" s="47">
        <v>100</v>
      </c>
      <c r="E36" s="47" t="s">
        <v>53</v>
      </c>
      <c r="F36" s="47" t="s">
        <v>88</v>
      </c>
      <c r="G36" s="47">
        <v>1</v>
      </c>
      <c r="H36" s="47">
        <v>9</v>
      </c>
      <c r="I36" s="47" t="s">
        <v>88</v>
      </c>
      <c r="J36" s="48">
        <f t="shared" si="3"/>
        <v>100</v>
      </c>
    </row>
    <row r="37" spans="1:11" ht="21" customHeight="1" x14ac:dyDescent="0.15">
      <c r="A37" s="141">
        <v>59003708</v>
      </c>
      <c r="B37" s="47">
        <v>0</v>
      </c>
      <c r="C37" s="47">
        <v>100</v>
      </c>
      <c r="D37" s="47">
        <v>100</v>
      </c>
      <c r="E37" s="47">
        <v>50</v>
      </c>
      <c r="F37" s="47" t="s">
        <v>88</v>
      </c>
      <c r="G37" s="47">
        <v>1</v>
      </c>
      <c r="H37" s="47">
        <v>1</v>
      </c>
      <c r="I37" s="47" t="s">
        <v>88</v>
      </c>
      <c r="J37" s="48">
        <f t="shared" si="3"/>
        <v>100</v>
      </c>
    </row>
    <row r="38" spans="1:11" ht="21" customHeight="1" x14ac:dyDescent="0.15">
      <c r="A38" s="141">
        <v>59003709</v>
      </c>
      <c r="B38" s="47">
        <v>0</v>
      </c>
      <c r="C38" s="47">
        <v>101</v>
      </c>
      <c r="D38" s="47">
        <v>100</v>
      </c>
      <c r="E38" s="47">
        <v>70</v>
      </c>
      <c r="F38" s="47">
        <v>60</v>
      </c>
      <c r="G38" s="47">
        <v>1</v>
      </c>
      <c r="H38" s="47">
        <v>1</v>
      </c>
      <c r="I38" s="47" t="s">
        <v>88</v>
      </c>
      <c r="J38" s="48">
        <f t="shared" si="3"/>
        <v>100</v>
      </c>
    </row>
    <row r="39" spans="1:11" ht="21" customHeight="1" x14ac:dyDescent="0.15">
      <c r="A39" s="141">
        <v>59003710</v>
      </c>
      <c r="B39" s="47">
        <v>0</v>
      </c>
      <c r="C39" s="47">
        <v>102</v>
      </c>
      <c r="D39" s="47">
        <v>100</v>
      </c>
      <c r="E39" s="47">
        <v>20</v>
      </c>
      <c r="F39" s="47">
        <v>10</v>
      </c>
      <c r="G39" s="47">
        <v>1</v>
      </c>
      <c r="H39" s="47">
        <v>1</v>
      </c>
      <c r="I39" s="47" t="s">
        <v>88</v>
      </c>
      <c r="J39" s="48">
        <f t="shared" ref="J39" si="5">D39</f>
        <v>100</v>
      </c>
    </row>
    <row r="40" spans="1:11" ht="21" customHeight="1" x14ac:dyDescent="0.15">
      <c r="A40" s="141">
        <v>59003752</v>
      </c>
      <c r="B40" s="118">
        <v>0</v>
      </c>
      <c r="C40" s="118">
        <v>10</v>
      </c>
      <c r="D40" s="118">
        <v>100</v>
      </c>
      <c r="E40" s="118" t="s">
        <v>53</v>
      </c>
      <c r="F40" s="118" t="s">
        <v>88</v>
      </c>
      <c r="G40" s="118" t="s">
        <v>53</v>
      </c>
      <c r="H40" s="118">
        <v>1</v>
      </c>
      <c r="I40" s="118" t="s">
        <v>88</v>
      </c>
      <c r="J40" s="48">
        <f t="shared" si="3"/>
        <v>100</v>
      </c>
    </row>
    <row r="41" spans="1:11" ht="21" customHeight="1" x14ac:dyDescent="0.15">
      <c r="A41" s="141">
        <v>59003753</v>
      </c>
      <c r="B41" s="118">
        <v>0</v>
      </c>
      <c r="C41" s="118">
        <v>20</v>
      </c>
      <c r="D41" s="118">
        <v>100</v>
      </c>
      <c r="E41" s="118" t="s">
        <v>53</v>
      </c>
      <c r="F41" s="118" t="s">
        <v>88</v>
      </c>
      <c r="G41" s="118" t="s">
        <v>53</v>
      </c>
      <c r="H41" s="118">
        <v>2</v>
      </c>
      <c r="I41" s="118" t="s">
        <v>88</v>
      </c>
      <c r="J41" s="48">
        <f t="shared" si="3"/>
        <v>100</v>
      </c>
    </row>
    <row r="42" spans="1:11" ht="21" customHeight="1" x14ac:dyDescent="0.15">
      <c r="A42" s="141">
        <v>59003754</v>
      </c>
      <c r="B42" s="118">
        <v>0</v>
      </c>
      <c r="C42" s="118">
        <v>30</v>
      </c>
      <c r="D42" s="118">
        <v>100</v>
      </c>
      <c r="E42" s="118" t="s">
        <v>53</v>
      </c>
      <c r="F42" s="118" t="s">
        <v>88</v>
      </c>
      <c r="G42" s="118" t="s">
        <v>53</v>
      </c>
      <c r="H42" s="118">
        <v>3</v>
      </c>
      <c r="I42" s="118" t="s">
        <v>88</v>
      </c>
      <c r="J42" s="48">
        <f t="shared" si="3"/>
        <v>100</v>
      </c>
    </row>
    <row r="43" spans="1:11" ht="21" customHeight="1" x14ac:dyDescent="0.15">
      <c r="A43" s="141">
        <v>59003755</v>
      </c>
      <c r="B43" s="118">
        <v>0</v>
      </c>
      <c r="C43" s="118">
        <v>80</v>
      </c>
      <c r="D43" s="118">
        <v>100</v>
      </c>
      <c r="E43" s="118" t="s">
        <v>53</v>
      </c>
      <c r="F43" s="118" t="s">
        <v>88</v>
      </c>
      <c r="G43" s="118" t="s">
        <v>53</v>
      </c>
      <c r="H43" s="118">
        <v>8</v>
      </c>
      <c r="I43" s="118" t="s">
        <v>88</v>
      </c>
      <c r="J43" s="48">
        <f t="shared" si="3"/>
        <v>100</v>
      </c>
    </row>
    <row r="44" spans="1:11" ht="21" customHeight="1" x14ac:dyDescent="0.15">
      <c r="A44" s="141">
        <v>59003756</v>
      </c>
      <c r="B44" s="118">
        <v>0</v>
      </c>
      <c r="C44" s="118">
        <v>101</v>
      </c>
      <c r="D44" s="118">
        <v>100</v>
      </c>
      <c r="E44" s="118">
        <v>40</v>
      </c>
      <c r="F44" s="118" t="s">
        <v>88</v>
      </c>
      <c r="G44" s="118">
        <v>1</v>
      </c>
      <c r="H44" s="118">
        <v>1</v>
      </c>
      <c r="I44" s="118" t="s">
        <v>88</v>
      </c>
      <c r="J44" s="48">
        <f t="shared" si="3"/>
        <v>100</v>
      </c>
    </row>
    <row r="45" spans="1:11" ht="21" customHeight="1" x14ac:dyDescent="0.15">
      <c r="A45" s="141">
        <v>59003757</v>
      </c>
      <c r="B45" s="118">
        <v>0</v>
      </c>
      <c r="C45" s="118">
        <v>100</v>
      </c>
      <c r="D45" s="118">
        <v>100</v>
      </c>
      <c r="E45" s="118">
        <v>40</v>
      </c>
      <c r="F45" s="118" t="s">
        <v>88</v>
      </c>
      <c r="G45" s="118">
        <v>1</v>
      </c>
      <c r="H45" s="118">
        <v>1</v>
      </c>
      <c r="I45" s="118" t="s">
        <v>88</v>
      </c>
      <c r="J45" s="48">
        <f t="shared" si="3"/>
        <v>100</v>
      </c>
    </row>
    <row r="46" spans="1:11" ht="21" customHeight="1" x14ac:dyDescent="0.15">
      <c r="A46" s="141">
        <v>59003758</v>
      </c>
      <c r="B46" s="118">
        <v>0</v>
      </c>
      <c r="C46" s="118">
        <v>102</v>
      </c>
      <c r="D46" s="118">
        <v>100</v>
      </c>
      <c r="E46" s="128">
        <v>90</v>
      </c>
      <c r="F46" s="128">
        <v>80</v>
      </c>
      <c r="G46" s="118">
        <v>1</v>
      </c>
      <c r="H46" s="118">
        <v>1</v>
      </c>
      <c r="I46" s="118" t="s">
        <v>88</v>
      </c>
      <c r="J46" s="48">
        <f t="shared" si="3"/>
        <v>100</v>
      </c>
      <c r="K46" s="139">
        <f>(enemy_habitat_S!V8-99999)/enemy_habitat_S!V8</f>
        <v>0.88187334214960778</v>
      </c>
    </row>
    <row r="47" spans="1:11" ht="21" customHeight="1" x14ac:dyDescent="0.15">
      <c r="A47" s="141">
        <v>59003802</v>
      </c>
      <c r="B47" s="121">
        <v>0</v>
      </c>
      <c r="C47" s="121">
        <v>10</v>
      </c>
      <c r="D47" s="121">
        <v>100</v>
      </c>
      <c r="E47" s="121" t="s">
        <v>53</v>
      </c>
      <c r="F47" s="121" t="s">
        <v>88</v>
      </c>
      <c r="G47" s="121" t="s">
        <v>53</v>
      </c>
      <c r="H47" s="121">
        <v>1</v>
      </c>
      <c r="I47" s="121" t="s">
        <v>88</v>
      </c>
      <c r="J47" s="48">
        <f t="shared" si="3"/>
        <v>100</v>
      </c>
    </row>
    <row r="48" spans="1:11" ht="21" customHeight="1" x14ac:dyDescent="0.15">
      <c r="A48" s="141">
        <v>59003803</v>
      </c>
      <c r="B48" s="121">
        <v>0</v>
      </c>
      <c r="C48" s="121">
        <v>20</v>
      </c>
      <c r="D48" s="121">
        <v>100</v>
      </c>
      <c r="E48" s="121" t="s">
        <v>53</v>
      </c>
      <c r="F48" s="121" t="s">
        <v>88</v>
      </c>
      <c r="G48" s="121" t="s">
        <v>53</v>
      </c>
      <c r="H48" s="121">
        <v>2</v>
      </c>
      <c r="I48" s="121" t="s">
        <v>88</v>
      </c>
      <c r="J48" s="48">
        <f t="shared" si="3"/>
        <v>100</v>
      </c>
    </row>
    <row r="49" spans="1:11" ht="21" customHeight="1" x14ac:dyDescent="0.15">
      <c r="A49" s="141">
        <v>59003804</v>
      </c>
      <c r="B49" s="121">
        <v>0</v>
      </c>
      <c r="C49" s="121">
        <v>30</v>
      </c>
      <c r="D49" s="121">
        <v>100</v>
      </c>
      <c r="E49" s="121" t="s">
        <v>53</v>
      </c>
      <c r="F49" s="121" t="s">
        <v>88</v>
      </c>
      <c r="G49" s="121" t="s">
        <v>53</v>
      </c>
      <c r="H49" s="121">
        <v>3</v>
      </c>
      <c r="I49" s="121" t="s">
        <v>88</v>
      </c>
      <c r="J49" s="48">
        <f t="shared" si="3"/>
        <v>100</v>
      </c>
    </row>
    <row r="50" spans="1:11" ht="21" customHeight="1" x14ac:dyDescent="0.15">
      <c r="A50" s="141">
        <v>59003805</v>
      </c>
      <c r="B50" s="121">
        <v>0</v>
      </c>
      <c r="C50" s="121">
        <v>40</v>
      </c>
      <c r="D50" s="121">
        <v>100</v>
      </c>
      <c r="E50" s="121" t="s">
        <v>53</v>
      </c>
      <c r="F50" s="121" t="s">
        <v>88</v>
      </c>
      <c r="G50" s="121">
        <v>1</v>
      </c>
      <c r="H50" s="121">
        <v>4</v>
      </c>
      <c r="I50" s="121" t="s">
        <v>88</v>
      </c>
      <c r="J50" s="48">
        <f t="shared" si="3"/>
        <v>100</v>
      </c>
    </row>
    <row r="51" spans="1:11" ht="21" customHeight="1" x14ac:dyDescent="0.15">
      <c r="A51" s="141">
        <v>59003806</v>
      </c>
      <c r="B51" s="121">
        <v>0</v>
      </c>
      <c r="C51" s="121">
        <v>50</v>
      </c>
      <c r="D51" s="121">
        <v>100</v>
      </c>
      <c r="E51" s="121" t="s">
        <v>53</v>
      </c>
      <c r="F51" s="121" t="s">
        <v>88</v>
      </c>
      <c r="G51" s="121">
        <v>1</v>
      </c>
      <c r="H51" s="121">
        <v>5</v>
      </c>
      <c r="I51" s="121" t="s">
        <v>88</v>
      </c>
      <c r="J51" s="48">
        <f t="shared" si="3"/>
        <v>100</v>
      </c>
    </row>
    <row r="52" spans="1:11" ht="21" customHeight="1" x14ac:dyDescent="0.15">
      <c r="A52" s="141">
        <v>59003807</v>
      </c>
      <c r="B52" s="121">
        <v>0</v>
      </c>
      <c r="C52" s="121">
        <v>60</v>
      </c>
      <c r="D52" s="121">
        <v>100</v>
      </c>
      <c r="E52" s="121" t="s">
        <v>53</v>
      </c>
      <c r="F52" s="121" t="s">
        <v>88</v>
      </c>
      <c r="G52" s="121">
        <v>1</v>
      </c>
      <c r="H52" s="121">
        <v>6</v>
      </c>
      <c r="I52" s="121" t="s">
        <v>88</v>
      </c>
      <c r="J52" s="48">
        <f t="shared" si="3"/>
        <v>100</v>
      </c>
    </row>
    <row r="53" spans="1:11" ht="21" customHeight="1" x14ac:dyDescent="0.15">
      <c r="A53" s="141">
        <v>59003808</v>
      </c>
      <c r="B53" s="121">
        <v>0</v>
      </c>
      <c r="C53" s="121">
        <v>70</v>
      </c>
      <c r="D53" s="121">
        <v>100</v>
      </c>
      <c r="E53" s="121" t="s">
        <v>53</v>
      </c>
      <c r="F53" s="121" t="s">
        <v>88</v>
      </c>
      <c r="G53" s="121">
        <v>1</v>
      </c>
      <c r="H53" s="121">
        <v>7</v>
      </c>
      <c r="I53" s="121" t="s">
        <v>88</v>
      </c>
      <c r="J53" s="48">
        <f t="shared" si="3"/>
        <v>100</v>
      </c>
    </row>
    <row r="54" spans="1:11" ht="21" customHeight="1" x14ac:dyDescent="0.15">
      <c r="A54" s="141">
        <v>59003900</v>
      </c>
      <c r="B54" s="47">
        <v>1</v>
      </c>
      <c r="C54" s="47">
        <v>900</v>
      </c>
      <c r="D54" s="47">
        <v>100</v>
      </c>
      <c r="E54" s="47" t="s">
        <v>53</v>
      </c>
      <c r="F54" s="47" t="s">
        <v>88</v>
      </c>
      <c r="G54" s="47">
        <v>1</v>
      </c>
      <c r="H54" s="47" t="s">
        <v>88</v>
      </c>
      <c r="I54" s="47" t="s">
        <v>88</v>
      </c>
      <c r="J54" s="48">
        <f t="shared" si="3"/>
        <v>100</v>
      </c>
    </row>
    <row r="55" spans="1:11" ht="21" customHeight="1" x14ac:dyDescent="0.15">
      <c r="A55" s="141">
        <v>59003901</v>
      </c>
      <c r="B55" s="47">
        <v>1</v>
      </c>
      <c r="C55" s="47">
        <v>901</v>
      </c>
      <c r="D55" s="47">
        <v>100</v>
      </c>
      <c r="E55" s="47" t="s">
        <v>53</v>
      </c>
      <c r="F55" s="47" t="s">
        <v>88</v>
      </c>
      <c r="G55" s="47">
        <v>1</v>
      </c>
      <c r="H55" s="47" t="s">
        <v>88</v>
      </c>
      <c r="I55" s="47">
        <v>1579</v>
      </c>
      <c r="J55" s="48">
        <f t="shared" ref="J55:J65" si="6">D55</f>
        <v>100</v>
      </c>
      <c r="K55" s="45" t="s">
        <v>266</v>
      </c>
    </row>
    <row r="56" spans="1:11" ht="21" customHeight="1" x14ac:dyDescent="0.15">
      <c r="A56" s="141">
        <v>59003902</v>
      </c>
      <c r="B56" s="47">
        <v>1</v>
      </c>
      <c r="C56" s="47">
        <v>902</v>
      </c>
      <c r="D56" s="47">
        <v>100</v>
      </c>
      <c r="E56" s="47" t="s">
        <v>53</v>
      </c>
      <c r="F56" s="47" t="s">
        <v>88</v>
      </c>
      <c r="G56" s="47">
        <v>1</v>
      </c>
      <c r="H56" s="47" t="s">
        <v>88</v>
      </c>
      <c r="I56" s="47">
        <v>1580</v>
      </c>
      <c r="J56" s="48">
        <f t="shared" si="6"/>
        <v>100</v>
      </c>
      <c r="K56" s="45" t="s">
        <v>267</v>
      </c>
    </row>
    <row r="57" spans="1:11" ht="21" customHeight="1" x14ac:dyDescent="0.15">
      <c r="A57" s="141">
        <v>59003903</v>
      </c>
      <c r="B57" s="47">
        <v>1</v>
      </c>
      <c r="C57" s="47">
        <v>903</v>
      </c>
      <c r="D57" s="47">
        <v>100</v>
      </c>
      <c r="E57" s="47" t="s">
        <v>53</v>
      </c>
      <c r="F57" s="47" t="s">
        <v>88</v>
      </c>
      <c r="G57" s="47">
        <v>1</v>
      </c>
      <c r="H57" s="47" t="s">
        <v>88</v>
      </c>
      <c r="I57" s="47">
        <v>1587</v>
      </c>
      <c r="J57" s="48">
        <f t="shared" si="6"/>
        <v>100</v>
      </c>
      <c r="K57" s="45" t="s">
        <v>268</v>
      </c>
    </row>
    <row r="58" spans="1:11" ht="21" customHeight="1" x14ac:dyDescent="0.15">
      <c r="A58" s="141">
        <v>59003904</v>
      </c>
      <c r="B58" s="47">
        <v>1</v>
      </c>
      <c r="C58" s="47">
        <v>904</v>
      </c>
      <c r="D58" s="47">
        <v>100</v>
      </c>
      <c r="E58" s="47" t="s">
        <v>53</v>
      </c>
      <c r="F58" s="47" t="s">
        <v>88</v>
      </c>
      <c r="G58" s="47">
        <v>1</v>
      </c>
      <c r="H58" s="47" t="s">
        <v>88</v>
      </c>
      <c r="I58" s="47">
        <v>1588</v>
      </c>
      <c r="J58" s="48">
        <f t="shared" si="6"/>
        <v>100</v>
      </c>
      <c r="K58" s="45" t="s">
        <v>269</v>
      </c>
    </row>
    <row r="59" spans="1:11" ht="21" customHeight="1" x14ac:dyDescent="0.15">
      <c r="A59" s="141">
        <v>59003905</v>
      </c>
      <c r="B59" s="47">
        <v>1</v>
      </c>
      <c r="C59" s="47">
        <v>905</v>
      </c>
      <c r="D59" s="47">
        <v>100</v>
      </c>
      <c r="E59" s="47" t="s">
        <v>53</v>
      </c>
      <c r="F59" s="47" t="s">
        <v>88</v>
      </c>
      <c r="G59" s="47">
        <v>1</v>
      </c>
      <c r="H59" s="47" t="s">
        <v>88</v>
      </c>
      <c r="I59" s="47">
        <v>1581</v>
      </c>
      <c r="J59" s="48">
        <f t="shared" si="6"/>
        <v>100</v>
      </c>
      <c r="K59" s="45" t="s">
        <v>270</v>
      </c>
    </row>
    <row r="60" spans="1:11" ht="21" customHeight="1" x14ac:dyDescent="0.15">
      <c r="A60" s="141">
        <v>59003906</v>
      </c>
      <c r="B60" s="47">
        <v>1</v>
      </c>
      <c r="C60" s="47">
        <v>906</v>
      </c>
      <c r="D60" s="47">
        <v>100</v>
      </c>
      <c r="E60" s="47" t="s">
        <v>53</v>
      </c>
      <c r="F60" s="47" t="s">
        <v>88</v>
      </c>
      <c r="G60" s="47">
        <v>1</v>
      </c>
      <c r="H60" s="47" t="s">
        <v>88</v>
      </c>
      <c r="I60" s="47">
        <v>1582</v>
      </c>
      <c r="J60" s="48">
        <f t="shared" si="6"/>
        <v>100</v>
      </c>
      <c r="K60" s="45" t="s">
        <v>271</v>
      </c>
    </row>
    <row r="61" spans="1:11" ht="21" customHeight="1" x14ac:dyDescent="0.15">
      <c r="A61" s="141">
        <v>59003907</v>
      </c>
      <c r="B61" s="47">
        <v>1</v>
      </c>
      <c r="C61" s="47">
        <v>907</v>
      </c>
      <c r="D61" s="47">
        <v>100</v>
      </c>
      <c r="E61" s="47" t="s">
        <v>53</v>
      </c>
      <c r="F61" s="47" t="s">
        <v>88</v>
      </c>
      <c r="G61" s="47">
        <v>1</v>
      </c>
      <c r="H61" s="47" t="s">
        <v>88</v>
      </c>
      <c r="I61" s="47">
        <v>1583</v>
      </c>
      <c r="J61" s="48">
        <f t="shared" ref="J61" si="7">D61</f>
        <v>100</v>
      </c>
      <c r="K61" s="45" t="s">
        <v>290</v>
      </c>
    </row>
    <row r="62" spans="1:11" ht="21" customHeight="1" x14ac:dyDescent="0.15">
      <c r="A62" s="141">
        <v>59003908</v>
      </c>
      <c r="B62" s="47">
        <v>1</v>
      </c>
      <c r="C62" s="47">
        <v>908</v>
      </c>
      <c r="D62" s="47">
        <v>100</v>
      </c>
      <c r="E62" s="47" t="s">
        <v>53</v>
      </c>
      <c r="F62" s="47" t="s">
        <v>88</v>
      </c>
      <c r="G62" s="47">
        <v>1</v>
      </c>
      <c r="H62" s="47" t="s">
        <v>88</v>
      </c>
      <c r="I62" s="47">
        <v>1570</v>
      </c>
      <c r="J62" s="48">
        <f t="shared" si="6"/>
        <v>100</v>
      </c>
      <c r="K62" s="45" t="s">
        <v>272</v>
      </c>
    </row>
    <row r="63" spans="1:11" ht="21" customHeight="1" x14ac:dyDescent="0.15">
      <c r="A63" s="141">
        <v>59003909</v>
      </c>
      <c r="B63" s="47">
        <v>1</v>
      </c>
      <c r="C63" s="47">
        <v>909</v>
      </c>
      <c r="D63" s="47">
        <v>100</v>
      </c>
      <c r="E63" s="47" t="s">
        <v>53</v>
      </c>
      <c r="F63" s="47" t="s">
        <v>88</v>
      </c>
      <c r="G63" s="47">
        <v>1</v>
      </c>
      <c r="H63" s="47" t="s">
        <v>88</v>
      </c>
      <c r="I63" s="47">
        <v>1568</v>
      </c>
      <c r="J63" s="48">
        <f t="shared" si="6"/>
        <v>100</v>
      </c>
      <c r="K63" s="45" t="s">
        <v>273</v>
      </c>
    </row>
    <row r="64" spans="1:11" ht="21" customHeight="1" x14ac:dyDescent="0.15">
      <c r="A64" s="141">
        <v>59003910</v>
      </c>
      <c r="B64" s="47">
        <v>1</v>
      </c>
      <c r="C64" s="47">
        <v>910</v>
      </c>
      <c r="D64" s="47">
        <v>100</v>
      </c>
      <c r="E64" s="47" t="s">
        <v>53</v>
      </c>
      <c r="F64" s="47" t="s">
        <v>88</v>
      </c>
      <c r="G64" s="47">
        <v>1</v>
      </c>
      <c r="H64" s="47" t="s">
        <v>88</v>
      </c>
      <c r="I64" s="47">
        <v>1569</v>
      </c>
      <c r="J64" s="48">
        <f t="shared" si="6"/>
        <v>100</v>
      </c>
      <c r="K64" s="45" t="s">
        <v>274</v>
      </c>
    </row>
    <row r="65" spans="1:11" ht="21" customHeight="1" x14ac:dyDescent="0.15">
      <c r="A65" s="141">
        <v>59003911</v>
      </c>
      <c r="B65" s="47">
        <v>1</v>
      </c>
      <c r="C65" s="47">
        <v>911</v>
      </c>
      <c r="D65" s="47">
        <v>100</v>
      </c>
      <c r="E65" s="47" t="s">
        <v>53</v>
      </c>
      <c r="F65" s="47" t="s">
        <v>88</v>
      </c>
      <c r="G65" s="47">
        <v>1</v>
      </c>
      <c r="H65" s="47" t="s">
        <v>88</v>
      </c>
      <c r="I65" s="47">
        <v>1553</v>
      </c>
      <c r="J65" s="48">
        <f t="shared" si="6"/>
        <v>100</v>
      </c>
      <c r="K65" s="45" t="s">
        <v>279</v>
      </c>
    </row>
    <row r="66" spans="1:11" ht="21" customHeight="1" x14ac:dyDescent="0.15">
      <c r="A66" s="141">
        <v>59003912</v>
      </c>
      <c r="B66" s="47">
        <v>1</v>
      </c>
      <c r="C66" s="47">
        <v>912</v>
      </c>
      <c r="D66" s="47">
        <v>100</v>
      </c>
      <c r="E66" s="47" t="s">
        <v>53</v>
      </c>
      <c r="F66" s="47" t="s">
        <v>88</v>
      </c>
      <c r="G66" s="47">
        <v>1</v>
      </c>
      <c r="H66" s="47" t="s">
        <v>88</v>
      </c>
      <c r="I66" s="47">
        <v>1554</v>
      </c>
      <c r="J66" s="48">
        <f t="shared" ref="J66:J70" si="8">D66</f>
        <v>100</v>
      </c>
      <c r="K66" s="45" t="s">
        <v>280</v>
      </c>
    </row>
    <row r="67" spans="1:11" ht="21" customHeight="1" x14ac:dyDescent="0.15">
      <c r="A67" s="141">
        <v>59003913</v>
      </c>
      <c r="B67" s="47">
        <v>1</v>
      </c>
      <c r="C67" s="47">
        <v>913</v>
      </c>
      <c r="D67" s="47">
        <v>100</v>
      </c>
      <c r="E67" s="47" t="s">
        <v>53</v>
      </c>
      <c r="F67" s="47" t="s">
        <v>88</v>
      </c>
      <c r="G67" s="47">
        <v>1</v>
      </c>
      <c r="H67" s="47" t="s">
        <v>88</v>
      </c>
      <c r="I67" s="47">
        <v>1566</v>
      </c>
      <c r="J67" s="48">
        <f t="shared" si="8"/>
        <v>100</v>
      </c>
      <c r="K67" s="45" t="s">
        <v>277</v>
      </c>
    </row>
    <row r="68" spans="1:11" ht="21" customHeight="1" x14ac:dyDescent="0.15">
      <c r="A68" s="141">
        <v>59003914</v>
      </c>
      <c r="B68" s="47">
        <v>1</v>
      </c>
      <c r="C68" s="47">
        <v>914</v>
      </c>
      <c r="D68" s="47">
        <v>100</v>
      </c>
      <c r="E68" s="47" t="s">
        <v>53</v>
      </c>
      <c r="F68" s="47" t="s">
        <v>88</v>
      </c>
      <c r="G68" s="47">
        <v>1</v>
      </c>
      <c r="H68" s="47" t="s">
        <v>88</v>
      </c>
      <c r="I68" s="47">
        <v>1567</v>
      </c>
      <c r="J68" s="48">
        <f t="shared" si="8"/>
        <v>100</v>
      </c>
      <c r="K68" s="45" t="s">
        <v>278</v>
      </c>
    </row>
    <row r="69" spans="1:11" ht="21" customHeight="1" x14ac:dyDescent="0.15">
      <c r="A69" s="141">
        <v>59003915</v>
      </c>
      <c r="B69" s="47">
        <v>1</v>
      </c>
      <c r="C69" s="47">
        <v>915</v>
      </c>
      <c r="D69" s="47">
        <v>100</v>
      </c>
      <c r="E69" s="47" t="s">
        <v>53</v>
      </c>
      <c r="F69" s="47" t="s">
        <v>88</v>
      </c>
      <c r="G69" s="47">
        <v>1</v>
      </c>
      <c r="H69" s="47" t="s">
        <v>88</v>
      </c>
      <c r="I69" s="47">
        <v>1551</v>
      </c>
      <c r="J69" s="48">
        <f t="shared" si="8"/>
        <v>100</v>
      </c>
      <c r="K69" s="45" t="s">
        <v>275</v>
      </c>
    </row>
    <row r="70" spans="1:11" ht="21" customHeight="1" x14ac:dyDescent="0.15">
      <c r="A70" s="141">
        <v>59003916</v>
      </c>
      <c r="B70" s="47">
        <v>1</v>
      </c>
      <c r="C70" s="47">
        <v>916</v>
      </c>
      <c r="D70" s="47">
        <v>100</v>
      </c>
      <c r="E70" s="47" t="s">
        <v>53</v>
      </c>
      <c r="F70" s="47" t="s">
        <v>88</v>
      </c>
      <c r="G70" s="47">
        <v>1</v>
      </c>
      <c r="H70" s="47" t="s">
        <v>88</v>
      </c>
      <c r="I70" s="47">
        <v>1552</v>
      </c>
      <c r="J70" s="48">
        <f t="shared" si="8"/>
        <v>100</v>
      </c>
      <c r="K70" s="45" t="s">
        <v>276</v>
      </c>
    </row>
    <row r="71" spans="1:11" ht="21" customHeight="1" x14ac:dyDescent="0.15">
      <c r="A71" s="47">
        <v>59003950</v>
      </c>
      <c r="B71" s="47">
        <v>0</v>
      </c>
      <c r="C71" s="47">
        <v>950</v>
      </c>
      <c r="D71" s="47">
        <v>100</v>
      </c>
      <c r="E71" s="47" t="s">
        <v>53</v>
      </c>
      <c r="F71" s="47" t="s">
        <v>88</v>
      </c>
      <c r="G71" s="47">
        <v>0</v>
      </c>
      <c r="H71" s="47">
        <v>1</v>
      </c>
      <c r="I71" s="47">
        <v>0</v>
      </c>
      <c r="J71" s="48">
        <f t="shared" ref="J71" si="9">D71</f>
        <v>100</v>
      </c>
    </row>
    <row r="72" spans="1:11" ht="21" customHeight="1" x14ac:dyDescent="0.15">
      <c r="A72" s="47">
        <v>59003951</v>
      </c>
      <c r="B72" s="47">
        <v>0</v>
      </c>
      <c r="C72" s="47">
        <v>951</v>
      </c>
      <c r="D72" s="47">
        <v>100</v>
      </c>
      <c r="E72" s="47" t="s">
        <v>53</v>
      </c>
      <c r="F72" s="47" t="s">
        <v>88</v>
      </c>
      <c r="G72" s="47">
        <v>0</v>
      </c>
      <c r="H72" s="47">
        <v>1</v>
      </c>
      <c r="I72" s="47">
        <v>1579</v>
      </c>
      <c r="J72" s="48">
        <f t="shared" ref="J72:J87" si="10">D72</f>
        <v>100</v>
      </c>
      <c r="K72" s="45" t="s">
        <v>266</v>
      </c>
    </row>
    <row r="73" spans="1:11" ht="21" customHeight="1" x14ac:dyDescent="0.15">
      <c r="A73" s="47">
        <v>59003952</v>
      </c>
      <c r="B73" s="47">
        <v>0</v>
      </c>
      <c r="C73" s="47">
        <v>952</v>
      </c>
      <c r="D73" s="47">
        <v>100</v>
      </c>
      <c r="E73" s="47" t="s">
        <v>53</v>
      </c>
      <c r="F73" s="47" t="s">
        <v>88</v>
      </c>
      <c r="G73" s="47">
        <v>0</v>
      </c>
      <c r="H73" s="47">
        <v>1</v>
      </c>
      <c r="I73" s="47">
        <v>1580</v>
      </c>
      <c r="J73" s="48">
        <f t="shared" si="10"/>
        <v>100</v>
      </c>
      <c r="K73" s="45" t="s">
        <v>267</v>
      </c>
    </row>
    <row r="74" spans="1:11" ht="21" customHeight="1" x14ac:dyDescent="0.15">
      <c r="A74" s="47">
        <v>59003953</v>
      </c>
      <c r="B74" s="47">
        <v>0</v>
      </c>
      <c r="C74" s="47">
        <v>953</v>
      </c>
      <c r="D74" s="47">
        <v>100</v>
      </c>
      <c r="E74" s="47" t="s">
        <v>53</v>
      </c>
      <c r="F74" s="47" t="s">
        <v>88</v>
      </c>
      <c r="G74" s="47">
        <v>0</v>
      </c>
      <c r="H74" s="47">
        <v>1</v>
      </c>
      <c r="I74" s="47">
        <v>1587</v>
      </c>
      <c r="J74" s="48">
        <f t="shared" si="10"/>
        <v>100</v>
      </c>
      <c r="K74" s="45" t="s">
        <v>268</v>
      </c>
    </row>
    <row r="75" spans="1:11" ht="21" customHeight="1" x14ac:dyDescent="0.15">
      <c r="A75" s="47">
        <v>59003954</v>
      </c>
      <c r="B75" s="47">
        <v>0</v>
      </c>
      <c r="C75" s="47">
        <v>954</v>
      </c>
      <c r="D75" s="47">
        <v>100</v>
      </c>
      <c r="E75" s="47" t="s">
        <v>53</v>
      </c>
      <c r="F75" s="47" t="s">
        <v>88</v>
      </c>
      <c r="G75" s="47">
        <v>0</v>
      </c>
      <c r="H75" s="47">
        <v>1</v>
      </c>
      <c r="I75" s="47">
        <v>1588</v>
      </c>
      <c r="J75" s="48">
        <f t="shared" si="10"/>
        <v>100</v>
      </c>
      <c r="K75" s="45" t="s">
        <v>269</v>
      </c>
    </row>
    <row r="76" spans="1:11" ht="21" customHeight="1" x14ac:dyDescent="0.15">
      <c r="A76" s="47">
        <v>59003955</v>
      </c>
      <c r="B76" s="47">
        <v>0</v>
      </c>
      <c r="C76" s="47">
        <v>955</v>
      </c>
      <c r="D76" s="47">
        <v>100</v>
      </c>
      <c r="E76" s="47" t="s">
        <v>53</v>
      </c>
      <c r="F76" s="47" t="s">
        <v>88</v>
      </c>
      <c r="G76" s="47">
        <v>0</v>
      </c>
      <c r="H76" s="47">
        <v>1</v>
      </c>
      <c r="I76" s="47">
        <v>1581</v>
      </c>
      <c r="J76" s="48">
        <f t="shared" si="10"/>
        <v>100</v>
      </c>
      <c r="K76" s="45" t="s">
        <v>270</v>
      </c>
    </row>
    <row r="77" spans="1:11" ht="21" customHeight="1" x14ac:dyDescent="0.15">
      <c r="A77" s="47">
        <v>59003956</v>
      </c>
      <c r="B77" s="47">
        <v>0</v>
      </c>
      <c r="C77" s="47">
        <v>956</v>
      </c>
      <c r="D77" s="47">
        <v>100</v>
      </c>
      <c r="E77" s="47" t="s">
        <v>53</v>
      </c>
      <c r="F77" s="47" t="s">
        <v>88</v>
      </c>
      <c r="G77" s="47">
        <v>0</v>
      </c>
      <c r="H77" s="47">
        <v>1</v>
      </c>
      <c r="I77" s="47">
        <v>1582</v>
      </c>
      <c r="J77" s="48">
        <f t="shared" si="10"/>
        <v>100</v>
      </c>
      <c r="K77" s="45" t="s">
        <v>271</v>
      </c>
    </row>
    <row r="78" spans="1:11" ht="21" customHeight="1" x14ac:dyDescent="0.15">
      <c r="A78" s="47">
        <v>59003957</v>
      </c>
      <c r="B78" s="47">
        <v>0</v>
      </c>
      <c r="C78" s="47">
        <v>957</v>
      </c>
      <c r="D78" s="47">
        <v>100</v>
      </c>
      <c r="E78" s="47" t="s">
        <v>53</v>
      </c>
      <c r="F78" s="47" t="s">
        <v>88</v>
      </c>
      <c r="G78" s="47">
        <v>0</v>
      </c>
      <c r="H78" s="47">
        <v>1</v>
      </c>
      <c r="I78" s="47">
        <v>1583</v>
      </c>
      <c r="J78" s="48">
        <f t="shared" ref="J78" si="11">D78</f>
        <v>100</v>
      </c>
      <c r="K78" s="45" t="s">
        <v>290</v>
      </c>
    </row>
    <row r="79" spans="1:11" ht="21" customHeight="1" x14ac:dyDescent="0.15">
      <c r="A79" s="47">
        <v>59003958</v>
      </c>
      <c r="B79" s="47">
        <v>0</v>
      </c>
      <c r="C79" s="47">
        <v>958</v>
      </c>
      <c r="D79" s="47">
        <v>100</v>
      </c>
      <c r="E79" s="47" t="s">
        <v>53</v>
      </c>
      <c r="F79" s="47" t="s">
        <v>88</v>
      </c>
      <c r="G79" s="47">
        <v>0</v>
      </c>
      <c r="H79" s="47">
        <v>1</v>
      </c>
      <c r="I79" s="47">
        <v>1570</v>
      </c>
      <c r="J79" s="48">
        <f t="shared" si="10"/>
        <v>100</v>
      </c>
      <c r="K79" s="45" t="s">
        <v>272</v>
      </c>
    </row>
    <row r="80" spans="1:11" ht="21" customHeight="1" x14ac:dyDescent="0.15">
      <c r="A80" s="47">
        <v>59003959</v>
      </c>
      <c r="B80" s="47">
        <v>0</v>
      </c>
      <c r="C80" s="47">
        <v>959</v>
      </c>
      <c r="D80" s="47">
        <v>100</v>
      </c>
      <c r="E80" s="47" t="s">
        <v>53</v>
      </c>
      <c r="F80" s="47" t="s">
        <v>88</v>
      </c>
      <c r="G80" s="47">
        <v>0</v>
      </c>
      <c r="H80" s="47">
        <v>1</v>
      </c>
      <c r="I80" s="47">
        <v>1568</v>
      </c>
      <c r="J80" s="48">
        <f t="shared" si="10"/>
        <v>100</v>
      </c>
      <c r="K80" s="45" t="s">
        <v>273</v>
      </c>
    </row>
    <row r="81" spans="1:11" ht="21" customHeight="1" x14ac:dyDescent="0.15">
      <c r="A81" s="47">
        <v>59003960</v>
      </c>
      <c r="B81" s="47">
        <v>0</v>
      </c>
      <c r="C81" s="47">
        <v>960</v>
      </c>
      <c r="D81" s="47">
        <v>100</v>
      </c>
      <c r="E81" s="47" t="s">
        <v>53</v>
      </c>
      <c r="F81" s="47" t="s">
        <v>88</v>
      </c>
      <c r="G81" s="47">
        <v>0</v>
      </c>
      <c r="H81" s="47">
        <v>1</v>
      </c>
      <c r="I81" s="47">
        <v>1569</v>
      </c>
      <c r="J81" s="48">
        <f t="shared" si="10"/>
        <v>100</v>
      </c>
      <c r="K81" s="45" t="s">
        <v>274</v>
      </c>
    </row>
    <row r="82" spans="1:11" ht="21" customHeight="1" x14ac:dyDescent="0.15">
      <c r="A82" s="47">
        <v>59003961</v>
      </c>
      <c r="B82" s="47">
        <v>0</v>
      </c>
      <c r="C82" s="47">
        <v>961</v>
      </c>
      <c r="D82" s="47">
        <v>100</v>
      </c>
      <c r="E82" s="47" t="s">
        <v>53</v>
      </c>
      <c r="F82" s="47" t="s">
        <v>88</v>
      </c>
      <c r="G82" s="47">
        <v>0</v>
      </c>
      <c r="H82" s="47">
        <v>1</v>
      </c>
      <c r="I82" s="47">
        <v>1553</v>
      </c>
      <c r="J82" s="48">
        <f t="shared" si="10"/>
        <v>100</v>
      </c>
      <c r="K82" s="45" t="s">
        <v>279</v>
      </c>
    </row>
    <row r="83" spans="1:11" ht="21" customHeight="1" x14ac:dyDescent="0.15">
      <c r="A83" s="47">
        <v>59003962</v>
      </c>
      <c r="B83" s="47">
        <v>0</v>
      </c>
      <c r="C83" s="47">
        <v>962</v>
      </c>
      <c r="D83" s="47">
        <v>100</v>
      </c>
      <c r="E83" s="47" t="s">
        <v>53</v>
      </c>
      <c r="F83" s="47" t="s">
        <v>88</v>
      </c>
      <c r="G83" s="47">
        <v>0</v>
      </c>
      <c r="H83" s="47">
        <v>1</v>
      </c>
      <c r="I83" s="47">
        <v>1554</v>
      </c>
      <c r="J83" s="48">
        <f t="shared" si="10"/>
        <v>100</v>
      </c>
      <c r="K83" s="45" t="s">
        <v>280</v>
      </c>
    </row>
    <row r="84" spans="1:11" ht="21" customHeight="1" x14ac:dyDescent="0.15">
      <c r="A84" s="47">
        <v>59003963</v>
      </c>
      <c r="B84" s="47">
        <v>0</v>
      </c>
      <c r="C84" s="47">
        <v>963</v>
      </c>
      <c r="D84" s="47">
        <v>100</v>
      </c>
      <c r="E84" s="47" t="s">
        <v>53</v>
      </c>
      <c r="F84" s="47" t="s">
        <v>88</v>
      </c>
      <c r="G84" s="47">
        <v>0</v>
      </c>
      <c r="H84" s="47">
        <v>1</v>
      </c>
      <c r="I84" s="47">
        <v>1566</v>
      </c>
      <c r="J84" s="48">
        <f t="shared" si="10"/>
        <v>100</v>
      </c>
      <c r="K84" s="45" t="s">
        <v>277</v>
      </c>
    </row>
    <row r="85" spans="1:11" ht="21" customHeight="1" x14ac:dyDescent="0.15">
      <c r="A85" s="47">
        <v>59003964</v>
      </c>
      <c r="B85" s="47">
        <v>0</v>
      </c>
      <c r="C85" s="47">
        <v>964</v>
      </c>
      <c r="D85" s="47">
        <v>100</v>
      </c>
      <c r="E85" s="47" t="s">
        <v>53</v>
      </c>
      <c r="F85" s="47" t="s">
        <v>88</v>
      </c>
      <c r="G85" s="47">
        <v>0</v>
      </c>
      <c r="H85" s="47">
        <v>1</v>
      </c>
      <c r="I85" s="47">
        <v>1567</v>
      </c>
      <c r="J85" s="48">
        <f t="shared" si="10"/>
        <v>100</v>
      </c>
      <c r="K85" s="45" t="s">
        <v>278</v>
      </c>
    </row>
    <row r="86" spans="1:11" ht="21" customHeight="1" x14ac:dyDescent="0.15">
      <c r="A86" s="47">
        <v>59003965</v>
      </c>
      <c r="B86" s="47">
        <v>0</v>
      </c>
      <c r="C86" s="47">
        <v>965</v>
      </c>
      <c r="D86" s="47">
        <v>100</v>
      </c>
      <c r="E86" s="47" t="s">
        <v>53</v>
      </c>
      <c r="F86" s="47" t="s">
        <v>88</v>
      </c>
      <c r="G86" s="47">
        <v>0</v>
      </c>
      <c r="H86" s="47">
        <v>1</v>
      </c>
      <c r="I86" s="47">
        <v>1551</v>
      </c>
      <c r="J86" s="48">
        <f t="shared" si="10"/>
        <v>100</v>
      </c>
      <c r="K86" s="45" t="s">
        <v>275</v>
      </c>
    </row>
    <row r="87" spans="1:11" ht="21" customHeight="1" x14ac:dyDescent="0.15">
      <c r="A87" s="47">
        <v>59003966</v>
      </c>
      <c r="B87" s="47">
        <v>0</v>
      </c>
      <c r="C87" s="47">
        <v>966</v>
      </c>
      <c r="D87" s="47">
        <v>100</v>
      </c>
      <c r="E87" s="47" t="s">
        <v>53</v>
      </c>
      <c r="F87" s="47" t="s">
        <v>88</v>
      </c>
      <c r="G87" s="47">
        <v>0</v>
      </c>
      <c r="H87" s="47">
        <v>1</v>
      </c>
      <c r="I87" s="47">
        <v>1552</v>
      </c>
      <c r="J87" s="48">
        <f t="shared" si="10"/>
        <v>100</v>
      </c>
      <c r="K87" s="45" t="s">
        <v>276</v>
      </c>
    </row>
    <row r="88" spans="1:11" ht="21" customHeight="1" x14ac:dyDescent="0.15">
      <c r="A88" s="180">
        <v>59003967</v>
      </c>
      <c r="B88" s="180">
        <v>0</v>
      </c>
      <c r="C88" s="180">
        <v>967</v>
      </c>
      <c r="D88" s="180">
        <v>100</v>
      </c>
      <c r="E88" s="180" t="s">
        <v>53</v>
      </c>
      <c r="F88" s="180" t="s">
        <v>53</v>
      </c>
      <c r="G88" s="180">
        <v>0</v>
      </c>
      <c r="H88" s="180">
        <v>1</v>
      </c>
      <c r="I88" s="180">
        <v>1555</v>
      </c>
      <c r="J88" s="48">
        <f t="shared" ref="J88:J98" si="12">D88</f>
        <v>100</v>
      </c>
      <c r="K88" s="45" t="s">
        <v>599</v>
      </c>
    </row>
    <row r="89" spans="1:11" ht="21" customHeight="1" x14ac:dyDescent="0.15">
      <c r="A89" s="180">
        <v>59003968</v>
      </c>
      <c r="B89" s="180">
        <v>0</v>
      </c>
      <c r="C89" s="180">
        <v>968</v>
      </c>
      <c r="D89" s="180">
        <v>100</v>
      </c>
      <c r="E89" s="180" t="s">
        <v>53</v>
      </c>
      <c r="F89" s="180" t="s">
        <v>53</v>
      </c>
      <c r="G89" s="180">
        <v>0</v>
      </c>
      <c r="H89" s="180">
        <v>1</v>
      </c>
      <c r="I89" s="180">
        <v>1556</v>
      </c>
      <c r="J89" s="48">
        <f t="shared" si="12"/>
        <v>100</v>
      </c>
      <c r="K89" s="45" t="s">
        <v>600</v>
      </c>
    </row>
    <row r="90" spans="1:11" ht="21" customHeight="1" x14ac:dyDescent="0.15">
      <c r="A90" s="180">
        <v>59003969</v>
      </c>
      <c r="B90" s="180">
        <v>0</v>
      </c>
      <c r="C90" s="180">
        <v>969</v>
      </c>
      <c r="D90" s="180">
        <v>100</v>
      </c>
      <c r="E90" s="180" t="s">
        <v>53</v>
      </c>
      <c r="F90" s="180" t="s">
        <v>53</v>
      </c>
      <c r="G90" s="180">
        <v>0</v>
      </c>
      <c r="H90" s="180">
        <v>1</v>
      </c>
      <c r="I90" s="180">
        <v>1557</v>
      </c>
      <c r="J90" s="48">
        <f t="shared" si="12"/>
        <v>100</v>
      </c>
      <c r="K90" s="45" t="s">
        <v>601</v>
      </c>
    </row>
    <row r="91" spans="1:11" ht="21" customHeight="1" x14ac:dyDescent="0.15">
      <c r="A91" s="180">
        <v>59003970</v>
      </c>
      <c r="B91" s="180">
        <v>0</v>
      </c>
      <c r="C91" s="180">
        <v>970</v>
      </c>
      <c r="D91" s="180">
        <v>100</v>
      </c>
      <c r="E91" s="180" t="s">
        <v>53</v>
      </c>
      <c r="F91" s="180" t="s">
        <v>53</v>
      </c>
      <c r="G91" s="180">
        <v>0</v>
      </c>
      <c r="H91" s="180">
        <v>1</v>
      </c>
      <c r="I91" s="180">
        <v>1558</v>
      </c>
      <c r="J91" s="48">
        <f t="shared" si="12"/>
        <v>100</v>
      </c>
      <c r="K91" s="45" t="s">
        <v>602</v>
      </c>
    </row>
    <row r="92" spans="1:11" ht="21" customHeight="1" x14ac:dyDescent="0.15">
      <c r="A92" s="180">
        <v>59003971</v>
      </c>
      <c r="B92" s="180">
        <v>0</v>
      </c>
      <c r="C92" s="180">
        <v>971</v>
      </c>
      <c r="D92" s="180">
        <v>100</v>
      </c>
      <c r="E92" s="180" t="s">
        <v>53</v>
      </c>
      <c r="F92" s="180" t="s">
        <v>53</v>
      </c>
      <c r="G92" s="180">
        <v>0</v>
      </c>
      <c r="H92" s="180">
        <v>1</v>
      </c>
      <c r="I92" s="180">
        <v>1559</v>
      </c>
      <c r="J92" s="48">
        <f t="shared" si="12"/>
        <v>100</v>
      </c>
      <c r="K92" s="45" t="s">
        <v>603</v>
      </c>
    </row>
    <row r="93" spans="1:11" ht="21" customHeight="1" x14ac:dyDescent="0.15">
      <c r="A93" s="180">
        <v>59003972</v>
      </c>
      <c r="B93" s="180">
        <v>0</v>
      </c>
      <c r="C93" s="180">
        <v>972</v>
      </c>
      <c r="D93" s="180">
        <v>100</v>
      </c>
      <c r="E93" s="180" t="s">
        <v>53</v>
      </c>
      <c r="F93" s="180" t="s">
        <v>53</v>
      </c>
      <c r="G93" s="180">
        <v>0</v>
      </c>
      <c r="H93" s="180">
        <v>1</v>
      </c>
      <c r="I93" s="180">
        <v>1560</v>
      </c>
      <c r="J93" s="48">
        <f t="shared" si="12"/>
        <v>100</v>
      </c>
      <c r="K93" s="45" t="s">
        <v>604</v>
      </c>
    </row>
    <row r="94" spans="1:11" ht="21" customHeight="1" x14ac:dyDescent="0.15">
      <c r="A94" s="180">
        <v>59003973</v>
      </c>
      <c r="B94" s="180">
        <v>0</v>
      </c>
      <c r="C94" s="180">
        <v>973</v>
      </c>
      <c r="D94" s="180">
        <v>100</v>
      </c>
      <c r="E94" s="180" t="s">
        <v>53</v>
      </c>
      <c r="F94" s="180" t="s">
        <v>53</v>
      </c>
      <c r="G94" s="180">
        <v>0</v>
      </c>
      <c r="H94" s="180">
        <v>1</v>
      </c>
      <c r="I94" s="180">
        <v>1561</v>
      </c>
      <c r="J94" s="48">
        <f t="shared" si="12"/>
        <v>100</v>
      </c>
      <c r="K94" s="45" t="s">
        <v>605</v>
      </c>
    </row>
    <row r="95" spans="1:11" ht="21" customHeight="1" x14ac:dyDescent="0.15">
      <c r="A95" s="180">
        <v>59003974</v>
      </c>
      <c r="B95" s="180">
        <v>0</v>
      </c>
      <c r="C95" s="180">
        <v>974</v>
      </c>
      <c r="D95" s="180">
        <v>100</v>
      </c>
      <c r="E95" s="180" t="s">
        <v>53</v>
      </c>
      <c r="F95" s="180" t="s">
        <v>53</v>
      </c>
      <c r="G95" s="180">
        <v>0</v>
      </c>
      <c r="H95" s="180">
        <v>1</v>
      </c>
      <c r="I95" s="180">
        <v>1562</v>
      </c>
      <c r="J95" s="48">
        <f t="shared" si="12"/>
        <v>100</v>
      </c>
      <c r="K95" s="45" t="s">
        <v>606</v>
      </c>
    </row>
    <row r="96" spans="1:11" ht="21" customHeight="1" x14ac:dyDescent="0.15">
      <c r="A96" s="180">
        <v>59003975</v>
      </c>
      <c r="B96" s="180">
        <v>0</v>
      </c>
      <c r="C96" s="180">
        <v>975</v>
      </c>
      <c r="D96" s="180">
        <v>100</v>
      </c>
      <c r="E96" s="180" t="s">
        <v>53</v>
      </c>
      <c r="F96" s="180" t="s">
        <v>53</v>
      </c>
      <c r="G96" s="180">
        <v>0</v>
      </c>
      <c r="H96" s="180">
        <v>1</v>
      </c>
      <c r="I96" s="180">
        <v>1563</v>
      </c>
      <c r="J96" s="48">
        <f t="shared" si="12"/>
        <v>100</v>
      </c>
      <c r="K96" s="45" t="s">
        <v>607</v>
      </c>
    </row>
    <row r="97" spans="1:11" ht="21" customHeight="1" x14ac:dyDescent="0.15">
      <c r="A97" s="180">
        <v>59003976</v>
      </c>
      <c r="B97" s="180">
        <v>0</v>
      </c>
      <c r="C97" s="180">
        <v>976</v>
      </c>
      <c r="D97" s="180">
        <v>100</v>
      </c>
      <c r="E97" s="180" t="s">
        <v>53</v>
      </c>
      <c r="F97" s="180" t="s">
        <v>53</v>
      </c>
      <c r="G97" s="180">
        <v>0</v>
      </c>
      <c r="H97" s="180">
        <v>1</v>
      </c>
      <c r="I97" s="180">
        <v>1564</v>
      </c>
      <c r="J97" s="48">
        <f t="shared" si="12"/>
        <v>100</v>
      </c>
      <c r="K97" s="45" t="s">
        <v>608</v>
      </c>
    </row>
    <row r="98" spans="1:11" ht="21" customHeight="1" x14ac:dyDescent="0.15">
      <c r="A98" s="180">
        <v>59003977</v>
      </c>
      <c r="B98" s="180">
        <v>0</v>
      </c>
      <c r="C98" s="180">
        <v>977</v>
      </c>
      <c r="D98" s="180">
        <v>100</v>
      </c>
      <c r="E98" s="180" t="s">
        <v>53</v>
      </c>
      <c r="F98" s="180" t="s">
        <v>53</v>
      </c>
      <c r="G98" s="180">
        <v>0</v>
      </c>
      <c r="H98" s="180">
        <v>1</v>
      </c>
      <c r="I98" s="180">
        <v>1565</v>
      </c>
      <c r="J98" s="48">
        <f t="shared" si="12"/>
        <v>100</v>
      </c>
      <c r="K98" s="45" t="s">
        <v>609</v>
      </c>
    </row>
    <row r="99" spans="1:11" ht="21" customHeight="1" x14ac:dyDescent="0.15">
      <c r="A99" s="180">
        <v>59003978</v>
      </c>
      <c r="B99" s="180">
        <v>0</v>
      </c>
      <c r="C99" s="180">
        <v>978</v>
      </c>
      <c r="D99" s="180">
        <v>100</v>
      </c>
      <c r="E99" s="180" t="s">
        <v>53</v>
      </c>
      <c r="F99" s="180" t="s">
        <v>53</v>
      </c>
      <c r="G99" s="180">
        <v>0</v>
      </c>
      <c r="H99" s="180">
        <v>1</v>
      </c>
      <c r="I99" s="180">
        <v>1571</v>
      </c>
      <c r="J99" s="48">
        <f t="shared" ref="J99:J109" si="13">D99</f>
        <v>100</v>
      </c>
      <c r="K99" s="45" t="s">
        <v>610</v>
      </c>
    </row>
    <row r="100" spans="1:11" ht="21" customHeight="1" x14ac:dyDescent="0.15">
      <c r="A100" s="180">
        <v>59003979</v>
      </c>
      <c r="B100" s="180">
        <v>0</v>
      </c>
      <c r="C100" s="180">
        <v>979</v>
      </c>
      <c r="D100" s="180">
        <v>100</v>
      </c>
      <c r="E100" s="180" t="s">
        <v>53</v>
      </c>
      <c r="F100" s="180" t="s">
        <v>53</v>
      </c>
      <c r="G100" s="180">
        <v>0</v>
      </c>
      <c r="H100" s="180">
        <v>1</v>
      </c>
      <c r="I100" s="180">
        <v>1572</v>
      </c>
      <c r="J100" s="48">
        <f t="shared" si="13"/>
        <v>100</v>
      </c>
      <c r="K100" s="45" t="s">
        <v>611</v>
      </c>
    </row>
    <row r="101" spans="1:11" ht="21" customHeight="1" x14ac:dyDescent="0.15">
      <c r="A101" s="180">
        <v>59003980</v>
      </c>
      <c r="B101" s="180">
        <v>0</v>
      </c>
      <c r="C101" s="180">
        <v>980</v>
      </c>
      <c r="D101" s="180">
        <v>100</v>
      </c>
      <c r="E101" s="180" t="s">
        <v>53</v>
      </c>
      <c r="F101" s="180" t="s">
        <v>53</v>
      </c>
      <c r="G101" s="180">
        <v>0</v>
      </c>
      <c r="H101" s="180">
        <v>1</v>
      </c>
      <c r="I101" s="180">
        <v>1573</v>
      </c>
      <c r="J101" s="48">
        <f t="shared" si="13"/>
        <v>100</v>
      </c>
      <c r="K101" s="45" t="s">
        <v>612</v>
      </c>
    </row>
    <row r="102" spans="1:11" ht="21" customHeight="1" x14ac:dyDescent="0.15">
      <c r="A102" s="180">
        <v>59003981</v>
      </c>
      <c r="B102" s="180">
        <v>0</v>
      </c>
      <c r="C102" s="180">
        <v>981</v>
      </c>
      <c r="D102" s="180">
        <v>100</v>
      </c>
      <c r="E102" s="180" t="s">
        <v>53</v>
      </c>
      <c r="F102" s="180" t="s">
        <v>53</v>
      </c>
      <c r="G102" s="180">
        <v>0</v>
      </c>
      <c r="H102" s="180">
        <v>1</v>
      </c>
      <c r="I102" s="180">
        <v>1574</v>
      </c>
      <c r="J102" s="48">
        <f t="shared" si="13"/>
        <v>100</v>
      </c>
      <c r="K102" s="45" t="s">
        <v>613</v>
      </c>
    </row>
    <row r="103" spans="1:11" ht="21" customHeight="1" x14ac:dyDescent="0.15">
      <c r="A103" s="180">
        <v>59003982</v>
      </c>
      <c r="B103" s="180">
        <v>0</v>
      </c>
      <c r="C103" s="180">
        <v>982</v>
      </c>
      <c r="D103" s="180">
        <v>100</v>
      </c>
      <c r="E103" s="180" t="s">
        <v>53</v>
      </c>
      <c r="F103" s="180" t="s">
        <v>53</v>
      </c>
      <c r="G103" s="180">
        <v>0</v>
      </c>
      <c r="H103" s="180">
        <v>1</v>
      </c>
      <c r="I103" s="180">
        <v>1575</v>
      </c>
      <c r="J103" s="48">
        <f t="shared" si="13"/>
        <v>100</v>
      </c>
      <c r="K103" s="45" t="s">
        <v>614</v>
      </c>
    </row>
    <row r="104" spans="1:11" ht="21" customHeight="1" x14ac:dyDescent="0.15">
      <c r="A104" s="180">
        <v>59003983</v>
      </c>
      <c r="B104" s="180">
        <v>0</v>
      </c>
      <c r="C104" s="180">
        <v>983</v>
      </c>
      <c r="D104" s="180">
        <v>100</v>
      </c>
      <c r="E104" s="180" t="s">
        <v>53</v>
      </c>
      <c r="F104" s="180" t="s">
        <v>53</v>
      </c>
      <c r="G104" s="180">
        <v>0</v>
      </c>
      <c r="H104" s="180">
        <v>1</v>
      </c>
      <c r="I104" s="180">
        <v>1576</v>
      </c>
      <c r="J104" s="48">
        <f t="shared" si="13"/>
        <v>100</v>
      </c>
      <c r="K104" s="45" t="s">
        <v>615</v>
      </c>
    </row>
    <row r="105" spans="1:11" ht="21" customHeight="1" x14ac:dyDescent="0.15">
      <c r="A105" s="180">
        <v>59003984</v>
      </c>
      <c r="B105" s="180">
        <v>0</v>
      </c>
      <c r="C105" s="180">
        <v>984</v>
      </c>
      <c r="D105" s="180">
        <v>100</v>
      </c>
      <c r="E105" s="180" t="s">
        <v>53</v>
      </c>
      <c r="F105" s="180" t="s">
        <v>53</v>
      </c>
      <c r="G105" s="180">
        <v>0</v>
      </c>
      <c r="H105" s="180">
        <v>1</v>
      </c>
      <c r="I105" s="180">
        <v>1577</v>
      </c>
      <c r="J105" s="48">
        <f t="shared" si="13"/>
        <v>100</v>
      </c>
      <c r="K105" s="45" t="s">
        <v>616</v>
      </c>
    </row>
    <row r="106" spans="1:11" ht="21" customHeight="1" x14ac:dyDescent="0.15">
      <c r="A106" s="180">
        <v>59003985</v>
      </c>
      <c r="B106" s="180">
        <v>0</v>
      </c>
      <c r="C106" s="180">
        <v>985</v>
      </c>
      <c r="D106" s="180">
        <v>100</v>
      </c>
      <c r="E106" s="180" t="s">
        <v>53</v>
      </c>
      <c r="F106" s="180" t="s">
        <v>53</v>
      </c>
      <c r="G106" s="180">
        <v>0</v>
      </c>
      <c r="H106" s="180">
        <v>1</v>
      </c>
      <c r="I106" s="180">
        <v>1578</v>
      </c>
      <c r="J106" s="48">
        <f t="shared" si="13"/>
        <v>100</v>
      </c>
      <c r="K106" s="45" t="s">
        <v>617</v>
      </c>
    </row>
    <row r="107" spans="1:11" ht="21" customHeight="1" x14ac:dyDescent="0.15">
      <c r="A107" s="180">
        <v>59003986</v>
      </c>
      <c r="B107" s="180">
        <v>0</v>
      </c>
      <c r="C107" s="180">
        <v>986</v>
      </c>
      <c r="D107" s="180">
        <v>100</v>
      </c>
      <c r="E107" s="180" t="s">
        <v>53</v>
      </c>
      <c r="F107" s="180" t="s">
        <v>53</v>
      </c>
      <c r="G107" s="180">
        <v>0</v>
      </c>
      <c r="H107" s="180">
        <v>1</v>
      </c>
      <c r="I107" s="180">
        <v>1584</v>
      </c>
      <c r="J107" s="48">
        <f t="shared" si="13"/>
        <v>100</v>
      </c>
      <c r="K107" s="45" t="s">
        <v>618</v>
      </c>
    </row>
    <row r="108" spans="1:11" ht="21" customHeight="1" x14ac:dyDescent="0.15">
      <c r="A108" s="180">
        <v>59003987</v>
      </c>
      <c r="B108" s="180">
        <v>0</v>
      </c>
      <c r="C108" s="180">
        <v>987</v>
      </c>
      <c r="D108" s="180">
        <v>100</v>
      </c>
      <c r="E108" s="180" t="s">
        <v>53</v>
      </c>
      <c r="F108" s="180" t="s">
        <v>53</v>
      </c>
      <c r="G108" s="180">
        <v>0</v>
      </c>
      <c r="H108" s="180">
        <v>1</v>
      </c>
      <c r="I108" s="180">
        <v>1585</v>
      </c>
      <c r="J108" s="48">
        <f t="shared" si="13"/>
        <v>100</v>
      </c>
      <c r="K108" s="45" t="s">
        <v>619</v>
      </c>
    </row>
    <row r="109" spans="1:11" ht="21" customHeight="1" x14ac:dyDescent="0.15">
      <c r="A109" s="180">
        <v>59003988</v>
      </c>
      <c r="B109" s="180">
        <v>0</v>
      </c>
      <c r="C109" s="180">
        <v>988</v>
      </c>
      <c r="D109" s="180">
        <v>100</v>
      </c>
      <c r="E109" s="180" t="s">
        <v>53</v>
      </c>
      <c r="F109" s="180" t="s">
        <v>53</v>
      </c>
      <c r="G109" s="180">
        <v>0</v>
      </c>
      <c r="H109" s="180">
        <v>1</v>
      </c>
      <c r="I109" s="180">
        <v>1586</v>
      </c>
      <c r="J109" s="48">
        <f t="shared" si="13"/>
        <v>100</v>
      </c>
      <c r="K109" s="45" t="s">
        <v>620</v>
      </c>
    </row>
  </sheetData>
  <autoFilter ref="A1:G1"/>
  <phoneticPr fontId="5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R22"/>
  <sheetViews>
    <sheetView workbookViewId="0">
      <selection activeCell="D13" sqref="D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2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186">
        <v>59003</v>
      </c>
      <c r="B2" s="186">
        <v>1</v>
      </c>
      <c r="C2" s="71" t="str">
        <f>A2&amp; "_"&amp;B2</f>
        <v>59003_1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86">
        <v>1</v>
      </c>
      <c r="F2" s="186" t="s">
        <v>167</v>
      </c>
      <c r="G2" s="186">
        <v>65000</v>
      </c>
      <c r="H2" s="186" t="s">
        <v>664</v>
      </c>
      <c r="I2" s="186">
        <v>1</v>
      </c>
      <c r="J2" s="186">
        <v>1</v>
      </c>
      <c r="K2" s="186">
        <v>0</v>
      </c>
      <c r="L2" s="186">
        <v>0</v>
      </c>
      <c r="M2" s="186">
        <v>0</v>
      </c>
      <c r="N2" s="186">
        <v>0</v>
      </c>
      <c r="O2" s="186">
        <v>1</v>
      </c>
      <c r="P2" s="186">
        <v>200</v>
      </c>
      <c r="Q2" s="186" t="s">
        <v>168</v>
      </c>
      <c r="R2" s="56" t="s">
        <v>169</v>
      </c>
    </row>
    <row r="3" spans="1:18" x14ac:dyDescent="0.15">
      <c r="A3" s="186">
        <v>59003</v>
      </c>
      <c r="B3" s="186">
        <v>1</v>
      </c>
      <c r="C3" s="71" t="str">
        <f t="shared" ref="C3:C10" si="0">A3&amp; "_"&amp;B3</f>
        <v>59003_1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86">
        <v>2</v>
      </c>
      <c r="F3" s="186" t="s">
        <v>663</v>
      </c>
      <c r="G3" s="186">
        <v>334</v>
      </c>
      <c r="H3" s="186">
        <v>1</v>
      </c>
      <c r="I3" s="186">
        <v>1</v>
      </c>
      <c r="J3" s="186">
        <v>1</v>
      </c>
      <c r="K3" s="186">
        <v>0</v>
      </c>
      <c r="L3" s="186">
        <v>0</v>
      </c>
      <c r="M3" s="186">
        <v>0</v>
      </c>
      <c r="N3" s="186">
        <v>0</v>
      </c>
      <c r="O3" s="186">
        <v>1</v>
      </c>
      <c r="P3" s="186">
        <v>150</v>
      </c>
      <c r="Q3" s="186" t="s">
        <v>168</v>
      </c>
      <c r="R3" s="56" t="s">
        <v>169</v>
      </c>
    </row>
    <row r="4" spans="1:18" x14ac:dyDescent="0.15">
      <c r="A4" s="186">
        <v>59003</v>
      </c>
      <c r="B4" s="186">
        <v>1</v>
      </c>
      <c r="C4" s="71" t="str">
        <f t="shared" si="0"/>
        <v>59003_1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86">
        <v>3</v>
      </c>
      <c r="F4" s="186" t="s">
        <v>663</v>
      </c>
      <c r="G4" s="186">
        <v>335</v>
      </c>
      <c r="H4" s="186">
        <v>1</v>
      </c>
      <c r="I4" s="186">
        <v>1</v>
      </c>
      <c r="J4" s="186">
        <v>1</v>
      </c>
      <c r="K4" s="186">
        <v>0</v>
      </c>
      <c r="L4" s="186">
        <v>0</v>
      </c>
      <c r="M4" s="186">
        <v>0</v>
      </c>
      <c r="N4" s="186">
        <v>0</v>
      </c>
      <c r="O4" s="186">
        <v>1</v>
      </c>
      <c r="P4" s="186">
        <v>30</v>
      </c>
      <c r="Q4" s="186" t="s">
        <v>168</v>
      </c>
      <c r="R4" s="56" t="s">
        <v>169</v>
      </c>
    </row>
    <row r="5" spans="1:18" x14ac:dyDescent="0.15">
      <c r="A5" s="186">
        <v>59003</v>
      </c>
      <c r="B5" s="186">
        <v>1</v>
      </c>
      <c r="C5" s="71" t="str">
        <f t="shared" si="0"/>
        <v>59003_1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86">
        <v>4</v>
      </c>
      <c r="F5" s="186" t="s">
        <v>663</v>
      </c>
      <c r="G5" s="186">
        <v>348</v>
      </c>
      <c r="H5" s="186">
        <v>1</v>
      </c>
      <c r="I5" s="186">
        <v>1</v>
      </c>
      <c r="J5" s="186">
        <v>1</v>
      </c>
      <c r="K5" s="186">
        <v>0</v>
      </c>
      <c r="L5" s="186">
        <v>0</v>
      </c>
      <c r="M5" s="186">
        <v>0</v>
      </c>
      <c r="N5" s="186">
        <v>0</v>
      </c>
      <c r="O5" s="186">
        <v>1</v>
      </c>
      <c r="P5" s="186">
        <v>100</v>
      </c>
      <c r="Q5" s="186" t="s">
        <v>168</v>
      </c>
      <c r="R5" s="56" t="s">
        <v>169</v>
      </c>
    </row>
    <row r="6" spans="1:18" x14ac:dyDescent="0.15">
      <c r="A6" s="186">
        <v>59003</v>
      </c>
      <c r="B6" s="186">
        <v>1</v>
      </c>
      <c r="C6" s="71" t="str">
        <f t="shared" si="0"/>
        <v>59003_1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86">
        <v>5</v>
      </c>
      <c r="F6" s="186" t="s">
        <v>663</v>
      </c>
      <c r="G6" s="186">
        <v>125</v>
      </c>
      <c r="H6" s="186">
        <v>1</v>
      </c>
      <c r="I6" s="186">
        <v>1</v>
      </c>
      <c r="J6" s="186">
        <v>1</v>
      </c>
      <c r="K6" s="186">
        <v>0</v>
      </c>
      <c r="L6" s="186">
        <v>0</v>
      </c>
      <c r="M6" s="186">
        <v>0</v>
      </c>
      <c r="N6" s="186">
        <v>0</v>
      </c>
      <c r="O6" s="186">
        <v>1</v>
      </c>
      <c r="P6" s="186">
        <v>20</v>
      </c>
      <c r="Q6" s="186" t="s">
        <v>168</v>
      </c>
      <c r="R6" s="56" t="s">
        <v>169</v>
      </c>
    </row>
    <row r="7" spans="1:18" x14ac:dyDescent="0.15">
      <c r="A7" s="186">
        <v>59003</v>
      </c>
      <c r="B7" s="186">
        <v>1</v>
      </c>
      <c r="C7" s="71" t="str">
        <f t="shared" si="0"/>
        <v>59003_1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86">
        <v>6</v>
      </c>
      <c r="F7" s="186" t="s">
        <v>663</v>
      </c>
      <c r="G7" s="186">
        <v>607</v>
      </c>
      <c r="H7" s="186">
        <v>1</v>
      </c>
      <c r="I7" s="186">
        <v>1</v>
      </c>
      <c r="J7" s="186">
        <v>1</v>
      </c>
      <c r="K7" s="186">
        <v>0</v>
      </c>
      <c r="L7" s="186">
        <v>0</v>
      </c>
      <c r="M7" s="186">
        <v>0</v>
      </c>
      <c r="N7" s="186">
        <v>0</v>
      </c>
      <c r="O7" s="186">
        <v>1</v>
      </c>
      <c r="P7" s="186">
        <v>100</v>
      </c>
      <c r="Q7" s="186" t="s">
        <v>168</v>
      </c>
      <c r="R7" s="56" t="s">
        <v>169</v>
      </c>
    </row>
    <row r="8" spans="1:18" x14ac:dyDescent="0.15">
      <c r="A8" s="186">
        <v>59003</v>
      </c>
      <c r="B8" s="186">
        <v>1</v>
      </c>
      <c r="C8" s="71" t="str">
        <f t="shared" si="0"/>
        <v>59003_1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86">
        <v>7</v>
      </c>
      <c r="F8" s="186" t="s">
        <v>663</v>
      </c>
      <c r="G8" s="186">
        <v>608</v>
      </c>
      <c r="H8" s="186">
        <v>1</v>
      </c>
      <c r="I8" s="186">
        <v>1</v>
      </c>
      <c r="J8" s="186">
        <v>1</v>
      </c>
      <c r="K8" s="186">
        <v>0</v>
      </c>
      <c r="L8" s="186">
        <v>0</v>
      </c>
      <c r="M8" s="186">
        <v>0</v>
      </c>
      <c r="N8" s="186">
        <v>0</v>
      </c>
      <c r="O8" s="186">
        <v>1</v>
      </c>
      <c r="P8" s="186">
        <v>100</v>
      </c>
      <c r="Q8" s="186" t="s">
        <v>168</v>
      </c>
      <c r="R8" s="56" t="s">
        <v>169</v>
      </c>
    </row>
    <row r="9" spans="1:18" x14ac:dyDescent="0.15">
      <c r="A9" s="186">
        <v>59003</v>
      </c>
      <c r="B9" s="186">
        <v>1</v>
      </c>
      <c r="C9" s="71" t="str">
        <f t="shared" si="0"/>
        <v>59003_1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86">
        <v>8</v>
      </c>
      <c r="F9" s="186" t="s">
        <v>663</v>
      </c>
      <c r="G9" s="186">
        <v>609</v>
      </c>
      <c r="H9" s="186">
        <v>1</v>
      </c>
      <c r="I9" s="186">
        <v>1</v>
      </c>
      <c r="J9" s="186">
        <v>1</v>
      </c>
      <c r="K9" s="186">
        <v>0</v>
      </c>
      <c r="L9" s="186">
        <v>0</v>
      </c>
      <c r="M9" s="186">
        <v>0</v>
      </c>
      <c r="N9" s="186">
        <v>0</v>
      </c>
      <c r="O9" s="186">
        <v>1</v>
      </c>
      <c r="P9" s="186">
        <v>100</v>
      </c>
      <c r="Q9" s="186" t="s">
        <v>168</v>
      </c>
      <c r="R9" s="56" t="s">
        <v>169</v>
      </c>
    </row>
    <row r="10" spans="1:18" x14ac:dyDescent="0.15">
      <c r="A10" s="186">
        <v>59003</v>
      </c>
      <c r="B10" s="186">
        <v>1</v>
      </c>
      <c r="C10" s="71" t="str">
        <f t="shared" si="0"/>
        <v>59003_1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86">
        <v>9</v>
      </c>
      <c r="F10" s="186" t="s">
        <v>663</v>
      </c>
      <c r="G10" s="186">
        <v>1571</v>
      </c>
      <c r="H10" s="186">
        <v>1</v>
      </c>
      <c r="I10" s="186">
        <v>1</v>
      </c>
      <c r="J10" s="186">
        <v>1</v>
      </c>
      <c r="K10" s="186">
        <v>0</v>
      </c>
      <c r="L10" s="186">
        <v>0</v>
      </c>
      <c r="M10" s="186">
        <v>0</v>
      </c>
      <c r="N10" s="186">
        <v>0</v>
      </c>
      <c r="O10" s="186">
        <v>1</v>
      </c>
      <c r="P10" s="186">
        <v>200</v>
      </c>
      <c r="Q10" s="186" t="s">
        <v>168</v>
      </c>
      <c r="R10" s="56" t="s">
        <v>169</v>
      </c>
    </row>
    <row r="11" spans="1:18" x14ac:dyDescent="0.15">
      <c r="A11" s="62">
        <v>59003</v>
      </c>
      <c r="B11" s="62">
        <v>2</v>
      </c>
      <c r="C11" s="71" t="str">
        <f>A11&amp; "_"&amp;B11</f>
        <v>59003_2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62">
        <v>10</v>
      </c>
      <c r="F11" s="62" t="s">
        <v>167</v>
      </c>
      <c r="G11" s="62">
        <v>65000</v>
      </c>
      <c r="H11" s="62" t="s">
        <v>662</v>
      </c>
      <c r="I11" s="62">
        <v>1</v>
      </c>
      <c r="J11" s="62">
        <v>1</v>
      </c>
      <c r="K11" s="62">
        <v>0</v>
      </c>
      <c r="L11" s="62">
        <v>0</v>
      </c>
      <c r="M11" s="62">
        <v>0</v>
      </c>
      <c r="N11" s="62">
        <v>0</v>
      </c>
      <c r="O11" s="62">
        <v>1</v>
      </c>
      <c r="P11" s="62">
        <v>150</v>
      </c>
      <c r="Q11" s="56" t="s">
        <v>168</v>
      </c>
      <c r="R11" s="56" t="s">
        <v>169</v>
      </c>
    </row>
    <row r="12" spans="1:18" x14ac:dyDescent="0.15">
      <c r="A12" s="62">
        <v>59003</v>
      </c>
      <c r="B12" s="62">
        <v>2</v>
      </c>
      <c r="C12" s="71" t="str">
        <f t="shared" ref="C12:C22" si="1">A12&amp; "_"&amp;B12</f>
        <v>59003_2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62">
        <v>11</v>
      </c>
      <c r="F12" s="62" t="s">
        <v>663</v>
      </c>
      <c r="G12" s="62">
        <v>334</v>
      </c>
      <c r="H12" s="62">
        <v>1</v>
      </c>
      <c r="I12" s="62">
        <v>1</v>
      </c>
      <c r="J12" s="62">
        <v>1</v>
      </c>
      <c r="K12" s="62">
        <v>0</v>
      </c>
      <c r="L12" s="62">
        <v>0</v>
      </c>
      <c r="M12" s="62">
        <v>0</v>
      </c>
      <c r="N12" s="62">
        <v>0</v>
      </c>
      <c r="O12" s="62">
        <v>1</v>
      </c>
      <c r="P12" s="62">
        <v>40</v>
      </c>
      <c r="Q12" s="56" t="s">
        <v>168</v>
      </c>
      <c r="R12" s="56" t="s">
        <v>169</v>
      </c>
    </row>
    <row r="13" spans="1:18" x14ac:dyDescent="0.15">
      <c r="A13" s="62">
        <v>59003</v>
      </c>
      <c r="B13" s="62">
        <v>2</v>
      </c>
      <c r="C13" s="71" t="str">
        <f t="shared" si="1"/>
        <v>59003_2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62">
        <v>12</v>
      </c>
      <c r="F13" s="62" t="s">
        <v>663</v>
      </c>
      <c r="G13" s="62">
        <v>335</v>
      </c>
      <c r="H13" s="62">
        <v>1</v>
      </c>
      <c r="I13" s="62">
        <v>1</v>
      </c>
      <c r="J13" s="62">
        <v>1</v>
      </c>
      <c r="K13" s="62">
        <v>0</v>
      </c>
      <c r="L13" s="62">
        <v>0</v>
      </c>
      <c r="M13" s="62">
        <v>0</v>
      </c>
      <c r="N13" s="62">
        <v>0</v>
      </c>
      <c r="O13" s="62">
        <v>1</v>
      </c>
      <c r="P13" s="62">
        <v>140</v>
      </c>
      <c r="Q13" s="56" t="s">
        <v>168</v>
      </c>
      <c r="R13" s="56" t="s">
        <v>169</v>
      </c>
    </row>
    <row r="14" spans="1:18" x14ac:dyDescent="0.15">
      <c r="A14" s="62">
        <v>59003</v>
      </c>
      <c r="B14" s="62">
        <v>2</v>
      </c>
      <c r="C14" s="71" t="str">
        <f t="shared" si="1"/>
        <v>59003_2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62">
        <v>13</v>
      </c>
      <c r="F14" s="62" t="s">
        <v>663</v>
      </c>
      <c r="G14" s="62">
        <v>349</v>
      </c>
      <c r="H14" s="62">
        <v>1</v>
      </c>
      <c r="I14" s="62">
        <v>1</v>
      </c>
      <c r="J14" s="62">
        <v>1</v>
      </c>
      <c r="K14" s="62">
        <v>0</v>
      </c>
      <c r="L14" s="62">
        <v>0</v>
      </c>
      <c r="M14" s="62">
        <v>0</v>
      </c>
      <c r="N14" s="62">
        <v>0</v>
      </c>
      <c r="O14" s="62">
        <v>1</v>
      </c>
      <c r="P14" s="62">
        <v>10</v>
      </c>
      <c r="Q14" s="56" t="s">
        <v>168</v>
      </c>
      <c r="R14" s="56" t="s">
        <v>169</v>
      </c>
    </row>
    <row r="15" spans="1:18" x14ac:dyDescent="0.15">
      <c r="A15" s="62">
        <v>59003</v>
      </c>
      <c r="B15" s="62">
        <v>2</v>
      </c>
      <c r="C15" s="71" t="str">
        <f t="shared" si="1"/>
        <v>59003_2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2">
        <v>14</v>
      </c>
      <c r="F15" s="62" t="s">
        <v>663</v>
      </c>
      <c r="G15" s="62">
        <v>125</v>
      </c>
      <c r="H15" s="62">
        <v>1</v>
      </c>
      <c r="I15" s="62">
        <v>1</v>
      </c>
      <c r="J15" s="62"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30</v>
      </c>
      <c r="Q15" s="56" t="s">
        <v>168</v>
      </c>
      <c r="R15" s="56" t="s">
        <v>169</v>
      </c>
    </row>
    <row r="16" spans="1:18" x14ac:dyDescent="0.15">
      <c r="A16" s="62">
        <v>59003</v>
      </c>
      <c r="B16" s="62">
        <v>2</v>
      </c>
      <c r="C16" s="71" t="str">
        <f t="shared" si="1"/>
        <v>59003_2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2">
        <v>15</v>
      </c>
      <c r="F16" s="62" t="s">
        <v>663</v>
      </c>
      <c r="G16" s="62">
        <v>607</v>
      </c>
      <c r="H16" s="62">
        <v>1</v>
      </c>
      <c r="I16" s="62">
        <v>1</v>
      </c>
      <c r="J16" s="62">
        <v>1</v>
      </c>
      <c r="K16" s="62">
        <v>0</v>
      </c>
      <c r="L16" s="62">
        <v>0</v>
      </c>
      <c r="M16" s="62">
        <v>0</v>
      </c>
      <c r="N16" s="62">
        <v>0</v>
      </c>
      <c r="O16" s="62">
        <v>1</v>
      </c>
      <c r="P16" s="62">
        <v>80</v>
      </c>
      <c r="Q16" s="56" t="s">
        <v>168</v>
      </c>
      <c r="R16" s="56" t="s">
        <v>169</v>
      </c>
    </row>
    <row r="17" spans="1:18" x14ac:dyDescent="0.15">
      <c r="A17" s="62">
        <v>59003</v>
      </c>
      <c r="B17" s="62">
        <v>2</v>
      </c>
      <c r="C17" s="71" t="str">
        <f t="shared" si="1"/>
        <v>59003_2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2">
        <v>16</v>
      </c>
      <c r="F17" s="62" t="s">
        <v>663</v>
      </c>
      <c r="G17" s="62">
        <v>608</v>
      </c>
      <c r="H17" s="62">
        <v>1</v>
      </c>
      <c r="I17" s="62">
        <v>1</v>
      </c>
      <c r="J17" s="62">
        <v>1</v>
      </c>
      <c r="K17" s="62">
        <v>0</v>
      </c>
      <c r="L17" s="62">
        <v>0</v>
      </c>
      <c r="M17" s="62">
        <v>0</v>
      </c>
      <c r="N17" s="62">
        <v>0</v>
      </c>
      <c r="O17" s="62">
        <v>1</v>
      </c>
      <c r="P17" s="62">
        <v>80</v>
      </c>
      <c r="Q17" s="56" t="s">
        <v>168</v>
      </c>
      <c r="R17" s="56" t="s">
        <v>169</v>
      </c>
    </row>
    <row r="18" spans="1:18" x14ac:dyDescent="0.15">
      <c r="A18" s="62">
        <v>59003</v>
      </c>
      <c r="B18" s="62">
        <v>2</v>
      </c>
      <c r="C18" s="71" t="str">
        <f t="shared" si="1"/>
        <v>59003_2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62">
        <v>17</v>
      </c>
      <c r="F18" s="62" t="s">
        <v>663</v>
      </c>
      <c r="G18" s="62">
        <v>609</v>
      </c>
      <c r="H18" s="62">
        <v>1</v>
      </c>
      <c r="I18" s="62">
        <v>1</v>
      </c>
      <c r="J18" s="62">
        <v>1</v>
      </c>
      <c r="K18" s="62">
        <v>0</v>
      </c>
      <c r="L18" s="62">
        <v>0</v>
      </c>
      <c r="M18" s="62">
        <v>0</v>
      </c>
      <c r="N18" s="62">
        <v>0</v>
      </c>
      <c r="O18" s="62">
        <v>1</v>
      </c>
      <c r="P18" s="62">
        <v>80</v>
      </c>
      <c r="Q18" s="56" t="s">
        <v>168</v>
      </c>
      <c r="R18" s="56" t="s">
        <v>169</v>
      </c>
    </row>
    <row r="19" spans="1:18" x14ac:dyDescent="0.15">
      <c r="A19" s="62">
        <v>59003</v>
      </c>
      <c r="B19" s="62">
        <v>2</v>
      </c>
      <c r="C19" s="71" t="str">
        <f t="shared" si="1"/>
        <v>59003_2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62">
        <v>18</v>
      </c>
      <c r="F19" s="62" t="s">
        <v>663</v>
      </c>
      <c r="G19" s="62">
        <v>611</v>
      </c>
      <c r="H19" s="62">
        <v>1</v>
      </c>
      <c r="I19" s="62">
        <v>1</v>
      </c>
      <c r="J19" s="62">
        <v>1</v>
      </c>
      <c r="K19" s="62">
        <v>0</v>
      </c>
      <c r="L19" s="62">
        <v>0</v>
      </c>
      <c r="M19" s="62">
        <v>0</v>
      </c>
      <c r="N19" s="62">
        <v>0</v>
      </c>
      <c r="O19" s="62">
        <v>1</v>
      </c>
      <c r="P19" s="62">
        <v>20</v>
      </c>
      <c r="Q19" s="56" t="s">
        <v>168</v>
      </c>
      <c r="R19" s="56" t="s">
        <v>169</v>
      </c>
    </row>
    <row r="20" spans="1:18" x14ac:dyDescent="0.15">
      <c r="A20" s="62">
        <v>59003</v>
      </c>
      <c r="B20" s="62">
        <v>2</v>
      </c>
      <c r="C20" s="71" t="str">
        <f t="shared" si="1"/>
        <v>59003_2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62">
        <v>19</v>
      </c>
      <c r="F20" s="62" t="s">
        <v>663</v>
      </c>
      <c r="G20" s="62">
        <v>612</v>
      </c>
      <c r="H20" s="62">
        <v>1</v>
      </c>
      <c r="I20" s="62">
        <v>1</v>
      </c>
      <c r="J20" s="62">
        <v>1</v>
      </c>
      <c r="K20" s="62">
        <v>0</v>
      </c>
      <c r="L20" s="62">
        <v>0</v>
      </c>
      <c r="M20" s="62">
        <v>0</v>
      </c>
      <c r="N20" s="62">
        <v>0</v>
      </c>
      <c r="O20" s="62">
        <v>1</v>
      </c>
      <c r="P20" s="62">
        <v>20</v>
      </c>
      <c r="Q20" s="56" t="s">
        <v>168</v>
      </c>
      <c r="R20" s="56" t="s">
        <v>169</v>
      </c>
    </row>
    <row r="21" spans="1:18" x14ac:dyDescent="0.15">
      <c r="A21" s="62">
        <v>59003</v>
      </c>
      <c r="B21" s="62">
        <v>2</v>
      </c>
      <c r="C21" s="71" t="str">
        <f t="shared" si="1"/>
        <v>59003_2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62">
        <v>20</v>
      </c>
      <c r="F21" s="62" t="s">
        <v>663</v>
      </c>
      <c r="G21" s="62">
        <v>613</v>
      </c>
      <c r="H21" s="62">
        <v>1</v>
      </c>
      <c r="I21" s="62">
        <v>1</v>
      </c>
      <c r="J21" s="62">
        <v>1</v>
      </c>
      <c r="K21" s="62">
        <v>0</v>
      </c>
      <c r="L21" s="62">
        <v>0</v>
      </c>
      <c r="M21" s="62">
        <v>0</v>
      </c>
      <c r="N21" s="62">
        <v>0</v>
      </c>
      <c r="O21" s="62">
        <v>1</v>
      </c>
      <c r="P21" s="62">
        <v>20</v>
      </c>
      <c r="Q21" s="56" t="s">
        <v>168</v>
      </c>
      <c r="R21" s="56" t="s">
        <v>169</v>
      </c>
    </row>
    <row r="22" spans="1:18" x14ac:dyDescent="0.15">
      <c r="A22" s="62">
        <v>59003</v>
      </c>
      <c r="B22" s="62">
        <v>2</v>
      </c>
      <c r="C22" s="71" t="str">
        <f t="shared" si="1"/>
        <v>59003_2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62">
        <v>21</v>
      </c>
      <c r="F22" s="62" t="s">
        <v>663</v>
      </c>
      <c r="G22" s="62">
        <v>1571</v>
      </c>
      <c r="H22" s="62">
        <v>1</v>
      </c>
      <c r="I22" s="62">
        <v>1</v>
      </c>
      <c r="J22" s="62">
        <v>1</v>
      </c>
      <c r="K22" s="62">
        <v>0</v>
      </c>
      <c r="L22" s="62">
        <v>0</v>
      </c>
      <c r="M22" s="62">
        <v>0</v>
      </c>
      <c r="N22" s="62">
        <v>0</v>
      </c>
      <c r="O22" s="62">
        <v>1</v>
      </c>
      <c r="P22" s="62">
        <v>330</v>
      </c>
      <c r="Q22" s="56" t="s">
        <v>168</v>
      </c>
      <c r="R22" s="56" t="s">
        <v>169</v>
      </c>
    </row>
  </sheetData>
  <phoneticPr fontId="5"/>
  <dataValidations count="1">
    <dataValidation type="list" allowBlank="1" showInputMessage="1" showErrorMessage="1" sqref="F2:F2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8" sqref="H8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125</v>
      </c>
      <c r="K1" s="78" t="s">
        <v>185</v>
      </c>
      <c r="L1" s="92" t="s">
        <v>184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P69"/>
  <sheetViews>
    <sheetView showGridLines="0" topLeftCell="J1" workbookViewId="0">
      <pane ySplit="1" topLeftCell="A17" activePane="bottomLeft" state="frozen"/>
      <selection pane="bottomLeft" activeCell="M23" sqref="M2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16" bestFit="1" customWidth="1"/>
  </cols>
  <sheetData>
    <row r="1" spans="1:15" x14ac:dyDescent="0.15">
      <c r="A1" s="76" t="s">
        <v>187</v>
      </c>
      <c r="B1" s="73" t="s">
        <v>149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125</v>
      </c>
      <c r="L1" s="78" t="s">
        <v>185</v>
      </c>
      <c r="M1" s="92" t="s">
        <v>184</v>
      </c>
      <c r="N1" s="80" t="s">
        <v>195</v>
      </c>
      <c r="O1" s="56" t="s">
        <v>660</v>
      </c>
    </row>
    <row r="2" spans="1:15" ht="42" x14ac:dyDescent="0.15">
      <c r="A2" s="81" t="s">
        <v>196</v>
      </c>
      <c r="B2" s="82">
        <v>59003</v>
      </c>
      <c r="C2" s="83" t="str">
        <f ca="1">VLOOKUP($B2,OFFSET([2]quests!$A$1,0,0,COUNTA([2]quests!$A:$A),MATCH(C$1,[2]quests!$1:$1,0)-MATCH($B$1,[2]quests!$1:$1,0)+1),MATCH(C$1,[2]quests!$1:$1,0)-MATCH($B$1,[2]quests!$1:$1,0)+1,FALSE)</f>
        <v>風雷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コラボ超降臨3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【ウィザード級】風雷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コラボ超降臨3</v>
      </c>
      <c r="H2" s="161">
        <v>1</v>
      </c>
      <c r="I2" s="90">
        <f>ROW()-1</f>
        <v>1</v>
      </c>
      <c r="J2" s="86" t="str">
        <f>B2&amp;TEXT(I2,"00")</f>
        <v>5900301</v>
      </c>
      <c r="K2" s="84" t="s">
        <v>197</v>
      </c>
      <c r="L2" s="87" t="s">
        <v>251</v>
      </c>
      <c r="M2" s="158" t="s">
        <v>576</v>
      </c>
      <c r="N2" s="56" t="s">
        <v>198</v>
      </c>
      <c r="O2" s="56" t="s">
        <v>198</v>
      </c>
    </row>
    <row r="3" spans="1:15" ht="56" x14ac:dyDescent="0.15">
      <c r="A3" s="81" t="s">
        <v>196</v>
      </c>
      <c r="B3" s="82">
        <v>59003</v>
      </c>
      <c r="C3" s="83" t="str">
        <f ca="1">VLOOKUP($B3,OFFSET([2]quests!$A$1,0,0,COUNTA([2]quests!$A:$A),MATCH(C$1,[2]quests!$1:$1,0)-MATCH($B$1,[2]quests!$1:$1,0)+1),MATCH(C$1,[2]quests!$1:$1,0)-MATCH($B$1,[2]quests!$1:$1,0)+1,FALSE)</f>
        <v>風雷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コラボ超降臨3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【ウィザード級】風雷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コラボ超降臨3</v>
      </c>
      <c r="H3" s="161">
        <v>1</v>
      </c>
      <c r="I3" s="90">
        <f t="shared" ref="I3:I69" si="0">ROW()-1</f>
        <v>2</v>
      </c>
      <c r="J3" s="86" t="str">
        <f t="shared" ref="J3:J10" si="1">B3&amp;TEXT(I3,"00")</f>
        <v>5900302</v>
      </c>
      <c r="K3" s="84" t="s">
        <v>126</v>
      </c>
      <c r="L3" s="87" t="s">
        <v>251</v>
      </c>
      <c r="M3" s="158" t="s">
        <v>563</v>
      </c>
      <c r="N3" s="56" t="s">
        <v>198</v>
      </c>
      <c r="O3" s="56" t="s">
        <v>198</v>
      </c>
    </row>
    <row r="4" spans="1:15" ht="56" x14ac:dyDescent="0.15">
      <c r="A4" s="81" t="s">
        <v>196</v>
      </c>
      <c r="B4" s="82">
        <v>59003</v>
      </c>
      <c r="C4" s="83" t="str">
        <f ca="1">VLOOKUP($B4,OFFSET([2]quests!$A$1,0,0,COUNTA([2]quests!$A:$A),MATCH(C$1,[2]quests!$1:$1,0)-MATCH($B$1,[2]quests!$1:$1,0)+1),MATCH(C$1,[2]quests!$1:$1,0)-MATCH($B$1,[2]quests!$1:$1,0)+1,FALSE)</f>
        <v>風雷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コラボ超降臨3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【ウィザード級】風雷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コラボ超降臨3</v>
      </c>
      <c r="H4" s="161">
        <v>2</v>
      </c>
      <c r="I4" s="90">
        <f t="shared" si="0"/>
        <v>3</v>
      </c>
      <c r="J4" s="86" t="str">
        <f t="shared" si="1"/>
        <v>5900303</v>
      </c>
      <c r="K4" s="84" t="s">
        <v>126</v>
      </c>
      <c r="L4" s="87" t="s">
        <v>251</v>
      </c>
      <c r="M4" s="158" t="s">
        <v>571</v>
      </c>
      <c r="N4" s="56" t="s">
        <v>198</v>
      </c>
      <c r="O4" s="56" t="s">
        <v>198</v>
      </c>
    </row>
    <row r="5" spans="1:15" ht="56" x14ac:dyDescent="0.15">
      <c r="A5" s="81" t="s">
        <v>196</v>
      </c>
      <c r="B5" s="82">
        <v>59003</v>
      </c>
      <c r="C5" s="83" t="str">
        <f ca="1">VLOOKUP($B5,OFFSET([2]quests!$A$1,0,0,COUNTA([2]quests!$A:$A),MATCH(C$1,[2]quests!$1:$1,0)-MATCH($B$1,[2]quests!$1:$1,0)+1),MATCH(C$1,[2]quests!$1:$1,0)-MATCH($B$1,[2]quests!$1:$1,0)+1,FALSE)</f>
        <v>風雷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コラボ超降臨3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【ウィザード級】風雷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コラボ超降臨3</v>
      </c>
      <c r="H5" s="161">
        <v>2</v>
      </c>
      <c r="I5" s="90">
        <f t="shared" si="0"/>
        <v>4</v>
      </c>
      <c r="J5" s="86" t="str">
        <f t="shared" ref="J5" si="2">B5&amp;TEXT(I5,"00")</f>
        <v>5900304</v>
      </c>
      <c r="K5" s="84" t="s">
        <v>126</v>
      </c>
      <c r="L5" s="87" t="s">
        <v>251</v>
      </c>
      <c r="M5" s="158" t="s">
        <v>575</v>
      </c>
      <c r="N5" s="56" t="s">
        <v>198</v>
      </c>
      <c r="O5" s="56" t="s">
        <v>198</v>
      </c>
    </row>
    <row r="6" spans="1:15" ht="42" x14ac:dyDescent="0.15">
      <c r="A6" s="81" t="s">
        <v>196</v>
      </c>
      <c r="B6" s="82">
        <v>59003</v>
      </c>
      <c r="C6" s="83" t="str">
        <f ca="1">VLOOKUP($B6,OFFSET([2]quests!$A$1,0,0,COUNTA([2]quests!$A:$A),MATCH(C$1,[2]quests!$1:$1,0)-MATCH($B$1,[2]quests!$1:$1,0)+1),MATCH(C$1,[2]quests!$1:$1,0)-MATCH($B$1,[2]quests!$1:$1,0)+1,FALSE)</f>
        <v>風雷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コラボ超降臨3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【ウィザード級】風雷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コラボ超降臨3</v>
      </c>
      <c r="H6" s="161">
        <v>2</v>
      </c>
      <c r="I6" s="90">
        <f t="shared" si="0"/>
        <v>5</v>
      </c>
      <c r="J6" s="86" t="str">
        <f t="shared" si="1"/>
        <v>5900305</v>
      </c>
      <c r="K6" s="84" t="s">
        <v>126</v>
      </c>
      <c r="L6" s="87" t="s">
        <v>251</v>
      </c>
      <c r="M6" s="158" t="s">
        <v>566</v>
      </c>
      <c r="N6" s="56" t="s">
        <v>198</v>
      </c>
      <c r="O6" s="56" t="s">
        <v>198</v>
      </c>
    </row>
    <row r="7" spans="1:15" ht="70" x14ac:dyDescent="0.15">
      <c r="A7" s="81" t="s">
        <v>196</v>
      </c>
      <c r="B7" s="82">
        <v>59003</v>
      </c>
      <c r="C7" s="83" t="str">
        <f ca="1">VLOOKUP($B7,OFFSET([2]quests!$A$1,0,0,COUNTA([2]quests!$A:$A),MATCH(C$1,[2]quests!$1:$1,0)-MATCH($B$1,[2]quests!$1:$1,0)+1),MATCH(C$1,[2]quests!$1:$1,0)-MATCH($B$1,[2]quests!$1:$1,0)+1,FALSE)</f>
        <v>風雷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コラボ超降臨3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【ウィザード級】風雷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コラボ超降臨3</v>
      </c>
      <c r="H7" s="161">
        <v>3</v>
      </c>
      <c r="I7" s="90">
        <f t="shared" si="0"/>
        <v>6</v>
      </c>
      <c r="J7" s="86" t="str">
        <f t="shared" si="1"/>
        <v>5900306</v>
      </c>
      <c r="K7" s="84" t="s">
        <v>126</v>
      </c>
      <c r="L7" s="87" t="s">
        <v>251</v>
      </c>
      <c r="M7" s="158" t="s">
        <v>592</v>
      </c>
      <c r="N7" s="56" t="s">
        <v>198</v>
      </c>
      <c r="O7" s="56" t="s">
        <v>198</v>
      </c>
    </row>
    <row r="8" spans="1:15" ht="56" x14ac:dyDescent="0.15">
      <c r="A8" s="81" t="s">
        <v>196</v>
      </c>
      <c r="B8" s="82">
        <v>59003</v>
      </c>
      <c r="C8" s="83" t="str">
        <f ca="1">VLOOKUP($B8,OFFSET([2]quests!$A$1,0,0,COUNTA([2]quests!$A:$A),MATCH(C$1,[2]quests!$1:$1,0)-MATCH($B$1,[2]quests!$1:$1,0)+1),MATCH(C$1,[2]quests!$1:$1,0)-MATCH($B$1,[2]quests!$1:$1,0)+1,FALSE)</f>
        <v>風雷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コラボ超降臨3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【ウィザード級】風雷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コラボ超降臨3</v>
      </c>
      <c r="H8" s="161">
        <v>3</v>
      </c>
      <c r="I8" s="90">
        <f t="shared" si="0"/>
        <v>7</v>
      </c>
      <c r="J8" s="86" t="str">
        <f t="shared" si="1"/>
        <v>5900307</v>
      </c>
      <c r="K8" s="84" t="s">
        <v>126</v>
      </c>
      <c r="L8" s="87" t="s">
        <v>251</v>
      </c>
      <c r="M8" s="158" t="s">
        <v>574</v>
      </c>
      <c r="N8" s="56" t="s">
        <v>198</v>
      </c>
      <c r="O8" s="56" t="s">
        <v>198</v>
      </c>
    </row>
    <row r="9" spans="1:15" ht="42" x14ac:dyDescent="0.15">
      <c r="A9" s="81" t="s">
        <v>196</v>
      </c>
      <c r="B9" s="82">
        <v>59003</v>
      </c>
      <c r="C9" s="83" t="str">
        <f ca="1">VLOOKUP($B9,OFFSET([2]quests!$A$1,0,0,COUNTA([2]quests!$A:$A),MATCH(C$1,[2]quests!$1:$1,0)-MATCH($B$1,[2]quests!$1:$1,0)+1),MATCH(C$1,[2]quests!$1:$1,0)-MATCH($B$1,[2]quests!$1:$1,0)+1,FALSE)</f>
        <v>風雷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コラボ超降臨3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【ウィザード級】風雷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コラボ超降臨3</v>
      </c>
      <c r="H9" s="161">
        <v>3</v>
      </c>
      <c r="I9" s="90">
        <f t="shared" si="0"/>
        <v>8</v>
      </c>
      <c r="J9" s="86" t="str">
        <f t="shared" si="1"/>
        <v>5900308</v>
      </c>
      <c r="K9" s="84" t="s">
        <v>126</v>
      </c>
      <c r="L9" s="87" t="s">
        <v>251</v>
      </c>
      <c r="M9" s="158" t="s">
        <v>572</v>
      </c>
      <c r="N9" s="56" t="s">
        <v>198</v>
      </c>
      <c r="O9" s="56" t="s">
        <v>198</v>
      </c>
    </row>
    <row r="10" spans="1:15" ht="56" x14ac:dyDescent="0.15">
      <c r="A10" s="81" t="s">
        <v>196</v>
      </c>
      <c r="B10" s="82">
        <v>59003</v>
      </c>
      <c r="C10" s="83" t="str">
        <f ca="1">VLOOKUP($B10,OFFSET([2]quests!$A$1,0,0,COUNTA([2]quests!$A:$A),MATCH(C$1,[2]quests!$1:$1,0)-MATCH($B$1,[2]quests!$1:$1,0)+1),MATCH(C$1,[2]quests!$1:$1,0)-MATCH($B$1,[2]quests!$1:$1,0)+1,FALSE)</f>
        <v>風雷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コラボ超降臨3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【ウィザード級】風雷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コラボ超降臨3</v>
      </c>
      <c r="H10" s="161">
        <v>3</v>
      </c>
      <c r="I10" s="90">
        <f t="shared" si="0"/>
        <v>9</v>
      </c>
      <c r="J10" s="86" t="str">
        <f t="shared" si="1"/>
        <v>5900309</v>
      </c>
      <c r="K10" s="84" t="s">
        <v>126</v>
      </c>
      <c r="L10" s="87" t="s">
        <v>251</v>
      </c>
      <c r="M10" s="158" t="s">
        <v>569</v>
      </c>
      <c r="N10" s="56" t="s">
        <v>198</v>
      </c>
      <c r="O10" s="56" t="s">
        <v>198</v>
      </c>
    </row>
    <row r="11" spans="1:15" ht="42" x14ac:dyDescent="0.15">
      <c r="A11" s="81" t="s">
        <v>196</v>
      </c>
      <c r="B11" s="82">
        <v>59003</v>
      </c>
      <c r="C11" s="83" t="str">
        <f ca="1">VLOOKUP($B11,OFFSET([2]quests!$A$1,0,0,COUNTA([2]quests!$A:$A),MATCH(C$1,[2]quests!$1:$1,0)-MATCH($B$1,[2]quests!$1:$1,0)+1),MATCH(C$1,[2]quests!$1:$1,0)-MATCH($B$1,[2]quests!$1:$1,0)+1,FALSE)</f>
        <v>風雷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コラボ超降臨3</v>
      </c>
      <c r="E11" s="162">
        <v>2</v>
      </c>
      <c r="F11" s="163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【超ウィザード級】風雷</v>
      </c>
      <c r="G11" s="16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コラボ超降臨3</v>
      </c>
      <c r="H11" s="164">
        <v>1</v>
      </c>
      <c r="I11" s="90">
        <f>ROW()-1</f>
        <v>10</v>
      </c>
      <c r="J11" s="86" t="str">
        <f>B11&amp;TEXT(I11,"00")</f>
        <v>5900310</v>
      </c>
      <c r="K11" s="162" t="s">
        <v>126</v>
      </c>
      <c r="L11" s="165" t="s">
        <v>251</v>
      </c>
      <c r="M11" s="166" t="s">
        <v>627</v>
      </c>
      <c r="N11" s="56" t="s">
        <v>198</v>
      </c>
      <c r="O11" s="56" t="s">
        <v>198</v>
      </c>
    </row>
    <row r="12" spans="1:15" ht="56" x14ac:dyDescent="0.15">
      <c r="A12" s="81" t="s">
        <v>196</v>
      </c>
      <c r="B12" s="82">
        <v>59003</v>
      </c>
      <c r="C12" s="83" t="str">
        <f ca="1">VLOOKUP($B12,OFFSET([2]quests!$A$1,0,0,COUNTA([2]quests!$A:$A),MATCH(C$1,[2]quests!$1:$1,0)-MATCH($B$1,[2]quests!$1:$1,0)+1),MATCH(C$1,[2]quests!$1:$1,0)-MATCH($B$1,[2]quests!$1:$1,0)+1,FALSE)</f>
        <v>風雷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コラボ超降臨3</v>
      </c>
      <c r="E12" s="162">
        <v>2</v>
      </c>
      <c r="F12" s="163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【超ウィザード級】風雷</v>
      </c>
      <c r="G12" s="16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コラボ超降臨3</v>
      </c>
      <c r="H12" s="164">
        <v>1</v>
      </c>
      <c r="I12" s="90">
        <f>ROW()-1</f>
        <v>11</v>
      </c>
      <c r="J12" s="86" t="str">
        <f>B12&amp;TEXT(I12,"00")</f>
        <v>5900311</v>
      </c>
      <c r="K12" s="162" t="s">
        <v>126</v>
      </c>
      <c r="L12" s="165" t="s">
        <v>251</v>
      </c>
      <c r="M12" s="166" t="s">
        <v>562</v>
      </c>
      <c r="N12" s="56" t="s">
        <v>198</v>
      </c>
      <c r="O12" s="56" t="s">
        <v>198</v>
      </c>
    </row>
    <row r="13" spans="1:15" ht="56" x14ac:dyDescent="0.15">
      <c r="A13" s="81" t="s">
        <v>196</v>
      </c>
      <c r="B13" s="82">
        <v>59003</v>
      </c>
      <c r="C13" s="83" t="str">
        <f ca="1">VLOOKUP($B13,OFFSET([2]quests!$A$1,0,0,COUNTA([2]quests!$A:$A),MATCH(C$1,[2]quests!$1:$1,0)-MATCH($B$1,[2]quests!$1:$1,0)+1),MATCH(C$1,[2]quests!$1:$1,0)-MATCH($B$1,[2]quests!$1:$1,0)+1,FALSE)</f>
        <v>風雷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コラボ超降臨3</v>
      </c>
      <c r="E13" s="162">
        <v>2</v>
      </c>
      <c r="F13" s="163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【超ウィザード級】風雷</v>
      </c>
      <c r="G13" s="16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コラボ超降臨3</v>
      </c>
      <c r="H13" s="164">
        <v>2</v>
      </c>
      <c r="I13" s="90">
        <f t="shared" si="0"/>
        <v>12</v>
      </c>
      <c r="J13" s="86" t="str">
        <f t="shared" ref="J13:J19" si="3">B13&amp;TEXT(I13,"00")</f>
        <v>5900312</v>
      </c>
      <c r="K13" s="162" t="s">
        <v>126</v>
      </c>
      <c r="L13" s="165" t="s">
        <v>251</v>
      </c>
      <c r="M13" s="166" t="s">
        <v>570</v>
      </c>
      <c r="N13" s="56" t="s">
        <v>198</v>
      </c>
      <c r="O13" s="56" t="s">
        <v>198</v>
      </c>
    </row>
    <row r="14" spans="1:15" ht="56" x14ac:dyDescent="0.15">
      <c r="A14" s="81" t="s">
        <v>196</v>
      </c>
      <c r="B14" s="82">
        <v>59003</v>
      </c>
      <c r="C14" s="83" t="str">
        <f ca="1">VLOOKUP($B14,OFFSET([2]quests!$A$1,0,0,COUNTA([2]quests!$A:$A),MATCH(C$1,[2]quests!$1:$1,0)-MATCH($B$1,[2]quests!$1:$1,0)+1),MATCH(C$1,[2]quests!$1:$1,0)-MATCH($B$1,[2]quests!$1:$1,0)+1,FALSE)</f>
        <v>風雷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コラボ超降臨3</v>
      </c>
      <c r="E14" s="162">
        <v>2</v>
      </c>
      <c r="F14" s="163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【超ウィザード級】風雷</v>
      </c>
      <c r="G14" s="16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コラボ超降臨3</v>
      </c>
      <c r="H14" s="164">
        <v>2</v>
      </c>
      <c r="I14" s="90">
        <f t="shared" si="0"/>
        <v>13</v>
      </c>
      <c r="J14" s="86" t="str">
        <f t="shared" si="3"/>
        <v>5900313</v>
      </c>
      <c r="K14" s="162" t="s">
        <v>126</v>
      </c>
      <c r="L14" s="165" t="s">
        <v>251</v>
      </c>
      <c r="M14" s="166" t="s">
        <v>564</v>
      </c>
      <c r="N14" s="56" t="s">
        <v>198</v>
      </c>
      <c r="O14" s="56" t="s">
        <v>198</v>
      </c>
    </row>
    <row r="15" spans="1:15" ht="42" x14ac:dyDescent="0.15">
      <c r="A15" s="81" t="s">
        <v>196</v>
      </c>
      <c r="B15" s="82">
        <v>59003</v>
      </c>
      <c r="C15" s="83" t="str">
        <f ca="1">VLOOKUP($B15,OFFSET([2]quests!$A$1,0,0,COUNTA([2]quests!$A:$A),MATCH(C$1,[2]quests!$1:$1,0)-MATCH($B$1,[2]quests!$1:$1,0)+1),MATCH(C$1,[2]quests!$1:$1,0)-MATCH($B$1,[2]quests!$1:$1,0)+1,FALSE)</f>
        <v>風雷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コラボ超降臨3</v>
      </c>
      <c r="E15" s="162">
        <v>2</v>
      </c>
      <c r="F15" s="163" t="str">
        <f ca="1">VLOOKUP($B15&amp;"_"&amp;$E15,OFFSET([2]stages!$A$1,0,0,COUNTA([2]stages!$A:$A),MATCH(F$1,[2]stages!$2:$2,0)-MATCH("temp_stage",[2]stages!$2:$2,0)+1),MATCH(F$1,[2]stages!$2:$2,0)-MATCH("temp_stage",[2]stages!$2:$2,0)+1,FALSE)</f>
        <v>【超ウィザード級】風雷</v>
      </c>
      <c r="G15" s="16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コラボ超降臨3</v>
      </c>
      <c r="H15" s="164">
        <v>2</v>
      </c>
      <c r="I15" s="90">
        <f t="shared" si="0"/>
        <v>14</v>
      </c>
      <c r="J15" s="86" t="str">
        <f t="shared" si="3"/>
        <v>5900314</v>
      </c>
      <c r="K15" s="162" t="s">
        <v>126</v>
      </c>
      <c r="L15" s="165" t="s">
        <v>251</v>
      </c>
      <c r="M15" s="166" t="s">
        <v>565</v>
      </c>
      <c r="N15" s="56" t="s">
        <v>198</v>
      </c>
      <c r="O15" s="56" t="s">
        <v>198</v>
      </c>
    </row>
    <row r="16" spans="1:15" ht="70" x14ac:dyDescent="0.15">
      <c r="A16" s="81" t="s">
        <v>196</v>
      </c>
      <c r="B16" s="82">
        <v>59003</v>
      </c>
      <c r="C16" s="83" t="str">
        <f ca="1">VLOOKUP($B16,OFFSET([2]quests!$A$1,0,0,COUNTA([2]quests!$A:$A),MATCH(C$1,[2]quests!$1:$1,0)-MATCH($B$1,[2]quests!$1:$1,0)+1),MATCH(C$1,[2]quests!$1:$1,0)-MATCH($B$1,[2]quests!$1:$1,0)+1,FALSE)</f>
        <v>風雷</v>
      </c>
      <c r="D16" s="83" t="str">
        <f ca="1">VLOOKUP($B16,OFFSET([2]quests!$A$1,0,0,COUNTA([2]quests!$A:$A),MATCH(D$1,[2]quests!$1:$1,0)-MATCH($B$1,[2]quests!$1:$1,0)+1),MATCH(D$1,[2]quests!$1:$1,0)-MATCH($B$1,[2]quests!$1:$1,0)+1,FALSE)</f>
        <v>コラボ超降臨3</v>
      </c>
      <c r="E16" s="162">
        <v>2</v>
      </c>
      <c r="F16" s="163" t="str">
        <f ca="1">VLOOKUP($B16&amp;"_"&amp;$E16,OFFSET([2]stages!$A$1,0,0,COUNTA([2]stages!$A:$A),MATCH(F$1,[2]stages!$2:$2,0)-MATCH("temp_stage",[2]stages!$2:$2,0)+1),MATCH(F$1,[2]stages!$2:$2,0)-MATCH("temp_stage",[2]stages!$2:$2,0)+1,FALSE)</f>
        <v>【超ウィザード級】風雷</v>
      </c>
      <c r="G16" s="16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コラボ超降臨3</v>
      </c>
      <c r="H16" s="164">
        <v>3</v>
      </c>
      <c r="I16" s="90">
        <f t="shared" si="0"/>
        <v>15</v>
      </c>
      <c r="J16" s="86" t="str">
        <f t="shared" si="3"/>
        <v>5900315</v>
      </c>
      <c r="K16" s="162" t="s">
        <v>126</v>
      </c>
      <c r="L16" s="165" t="s">
        <v>251</v>
      </c>
      <c r="M16" s="166" t="s">
        <v>628</v>
      </c>
      <c r="N16" s="56" t="s">
        <v>198</v>
      </c>
      <c r="O16" s="56" t="s">
        <v>198</v>
      </c>
    </row>
    <row r="17" spans="1:16" ht="56" x14ac:dyDescent="0.15">
      <c r="A17" s="81" t="s">
        <v>196</v>
      </c>
      <c r="B17" s="82">
        <v>59003</v>
      </c>
      <c r="C17" s="83" t="str">
        <f ca="1">VLOOKUP($B17,OFFSET([2]quests!$A$1,0,0,COUNTA([2]quests!$A:$A),MATCH(C$1,[2]quests!$1:$1,0)-MATCH($B$1,[2]quests!$1:$1,0)+1),MATCH(C$1,[2]quests!$1:$1,0)-MATCH($B$1,[2]quests!$1:$1,0)+1,FALSE)</f>
        <v>風雷</v>
      </c>
      <c r="D17" s="83" t="str">
        <f ca="1">VLOOKUP($B17,OFFSET([2]quests!$A$1,0,0,COUNTA([2]quests!$A:$A),MATCH(D$1,[2]quests!$1:$1,0)-MATCH($B$1,[2]quests!$1:$1,0)+1),MATCH(D$1,[2]quests!$1:$1,0)-MATCH($B$1,[2]quests!$1:$1,0)+1,FALSE)</f>
        <v>コラボ超降臨3</v>
      </c>
      <c r="E17" s="162">
        <v>2</v>
      </c>
      <c r="F17" s="163" t="str">
        <f ca="1">VLOOKUP($B17&amp;"_"&amp;$E17,OFFSET([2]stages!$A$1,0,0,COUNTA([2]stages!$A:$A),MATCH(F$1,[2]stages!$2:$2,0)-MATCH("temp_stage",[2]stages!$2:$2,0)+1),MATCH(F$1,[2]stages!$2:$2,0)-MATCH("temp_stage",[2]stages!$2:$2,0)+1,FALSE)</f>
        <v>【超ウィザード級】風雷</v>
      </c>
      <c r="G17" s="163" t="str">
        <f ca="1">VLOOKUP($B17&amp;"_"&amp;$E17,OFFSET([2]stages!$A$1,0,0,COUNTA([2]stages!$A:$A),MATCH(G$1,[2]stages!$2:$2,0)-MATCH("temp_stage",[2]stages!$2:$2,0)+1),MATCH(G$1,[2]stages!$2:$2,0)-MATCH("temp_stage",[2]stages!$2:$2,0)+1,FALSE)</f>
        <v>コラボ超降臨3</v>
      </c>
      <c r="H17" s="164">
        <v>3</v>
      </c>
      <c r="I17" s="90">
        <f t="shared" si="0"/>
        <v>16</v>
      </c>
      <c r="J17" s="86" t="str">
        <f t="shared" si="3"/>
        <v>5900316</v>
      </c>
      <c r="K17" s="162" t="s">
        <v>126</v>
      </c>
      <c r="L17" s="165" t="s">
        <v>251</v>
      </c>
      <c r="M17" s="166" t="s">
        <v>573</v>
      </c>
      <c r="N17" s="56" t="s">
        <v>198</v>
      </c>
      <c r="O17" s="56" t="s">
        <v>198</v>
      </c>
    </row>
    <row r="18" spans="1:16" ht="42" x14ac:dyDescent="0.15">
      <c r="A18" s="81" t="s">
        <v>196</v>
      </c>
      <c r="B18" s="82">
        <v>59003</v>
      </c>
      <c r="C18" s="83" t="str">
        <f ca="1">VLOOKUP($B18,OFFSET([2]quests!$A$1,0,0,COUNTA([2]quests!$A:$A),MATCH(C$1,[2]quests!$1:$1,0)-MATCH($B$1,[2]quests!$1:$1,0)+1),MATCH(C$1,[2]quests!$1:$1,0)-MATCH($B$1,[2]quests!$1:$1,0)+1,FALSE)</f>
        <v>風雷</v>
      </c>
      <c r="D18" s="83" t="str">
        <f ca="1">VLOOKUP($B18,OFFSET([2]quests!$A$1,0,0,COUNTA([2]quests!$A:$A),MATCH(D$1,[2]quests!$1:$1,0)-MATCH($B$1,[2]quests!$1:$1,0)+1),MATCH(D$1,[2]quests!$1:$1,0)-MATCH($B$1,[2]quests!$1:$1,0)+1,FALSE)</f>
        <v>コラボ超降臨3</v>
      </c>
      <c r="E18" s="162">
        <v>2</v>
      </c>
      <c r="F18" s="163" t="str">
        <f ca="1">VLOOKUP($B18&amp;"_"&amp;$E18,OFFSET([2]stages!$A$1,0,0,COUNTA([2]stages!$A:$A),MATCH(F$1,[2]stages!$2:$2,0)-MATCH("temp_stage",[2]stages!$2:$2,0)+1),MATCH(F$1,[2]stages!$2:$2,0)-MATCH("temp_stage",[2]stages!$2:$2,0)+1,FALSE)</f>
        <v>【超ウィザード級】風雷</v>
      </c>
      <c r="G18" s="163" t="str">
        <f ca="1">VLOOKUP($B18&amp;"_"&amp;$E18,OFFSET([2]stages!$A$1,0,0,COUNTA([2]stages!$A:$A),MATCH(G$1,[2]stages!$2:$2,0)-MATCH("temp_stage",[2]stages!$2:$2,0)+1),MATCH(G$1,[2]stages!$2:$2,0)-MATCH("temp_stage",[2]stages!$2:$2,0)+1,FALSE)</f>
        <v>コラボ超降臨3</v>
      </c>
      <c r="H18" s="164">
        <v>3</v>
      </c>
      <c r="I18" s="90">
        <f t="shared" si="0"/>
        <v>17</v>
      </c>
      <c r="J18" s="86" t="str">
        <f t="shared" si="3"/>
        <v>5900317</v>
      </c>
      <c r="K18" s="162" t="s">
        <v>126</v>
      </c>
      <c r="L18" s="165" t="s">
        <v>251</v>
      </c>
      <c r="M18" s="166" t="s">
        <v>567</v>
      </c>
      <c r="N18" s="56" t="s">
        <v>198</v>
      </c>
      <c r="O18" s="56" t="s">
        <v>198</v>
      </c>
    </row>
    <row r="19" spans="1:16" ht="56" x14ac:dyDescent="0.15">
      <c r="A19" s="81" t="s">
        <v>196</v>
      </c>
      <c r="B19" s="82">
        <v>59003</v>
      </c>
      <c r="C19" s="83" t="str">
        <f ca="1">VLOOKUP($B19,OFFSET([2]quests!$A$1,0,0,COUNTA([2]quests!$A:$A),MATCH(C$1,[2]quests!$1:$1,0)-MATCH($B$1,[2]quests!$1:$1,0)+1),MATCH(C$1,[2]quests!$1:$1,0)-MATCH($B$1,[2]quests!$1:$1,0)+1,FALSE)</f>
        <v>風雷</v>
      </c>
      <c r="D19" s="83" t="str">
        <f ca="1">VLOOKUP($B19,OFFSET([2]quests!$A$1,0,0,COUNTA([2]quests!$A:$A),MATCH(D$1,[2]quests!$1:$1,0)-MATCH($B$1,[2]quests!$1:$1,0)+1),MATCH(D$1,[2]quests!$1:$1,0)-MATCH($B$1,[2]quests!$1:$1,0)+1,FALSE)</f>
        <v>コラボ超降臨3</v>
      </c>
      <c r="E19" s="162">
        <v>2</v>
      </c>
      <c r="F19" s="163" t="str">
        <f ca="1">VLOOKUP($B19&amp;"_"&amp;$E19,OFFSET([2]stages!$A$1,0,0,COUNTA([2]stages!$A:$A),MATCH(F$1,[2]stages!$2:$2,0)-MATCH("temp_stage",[2]stages!$2:$2,0)+1),MATCH(F$1,[2]stages!$2:$2,0)-MATCH("temp_stage",[2]stages!$2:$2,0)+1,FALSE)</f>
        <v>【超ウィザード級】風雷</v>
      </c>
      <c r="G19" s="163" t="str">
        <f ca="1">VLOOKUP($B19&amp;"_"&amp;$E19,OFFSET([2]stages!$A$1,0,0,COUNTA([2]stages!$A:$A),MATCH(G$1,[2]stages!$2:$2,0)-MATCH("temp_stage",[2]stages!$2:$2,0)+1),MATCH(G$1,[2]stages!$2:$2,0)-MATCH("temp_stage",[2]stages!$2:$2,0)+1,FALSE)</f>
        <v>コラボ超降臨3</v>
      </c>
      <c r="H19" s="164">
        <v>3</v>
      </c>
      <c r="I19" s="90">
        <f t="shared" si="0"/>
        <v>18</v>
      </c>
      <c r="J19" s="86" t="str">
        <f t="shared" si="3"/>
        <v>5900318</v>
      </c>
      <c r="K19" s="162" t="s">
        <v>126</v>
      </c>
      <c r="L19" s="165" t="s">
        <v>251</v>
      </c>
      <c r="M19" s="166" t="s">
        <v>568</v>
      </c>
      <c r="N19" s="56" t="s">
        <v>198</v>
      </c>
      <c r="O19" s="56" t="s">
        <v>198</v>
      </c>
    </row>
    <row r="20" spans="1:16" ht="28" x14ac:dyDescent="0.15">
      <c r="A20" s="159" t="s">
        <v>387</v>
      </c>
      <c r="B20" s="160">
        <v>59003</v>
      </c>
      <c r="C20" s="83" t="str">
        <f ca="1">VLOOKUP($B20,OFFSET([2]quests!$A$1,0,0,COUNTA([2]quests!$A:$A),MATCH(C$1,[2]quests!$1:$1,0)-MATCH($B$1,[2]quests!$1:$1,0)+1),MATCH(C$1,[2]quests!$1:$1,0)-MATCH($B$1,[2]quests!$1:$1,0)+1,FALSE)</f>
        <v>風雷</v>
      </c>
      <c r="D20" s="83" t="str">
        <f ca="1">VLOOKUP($B20,OFFSET([2]quests!$A$1,0,0,COUNTA([2]quests!$A:$A),MATCH(D$1,[2]quests!$1:$1,0)-MATCH($B$1,[2]quests!$1:$1,0)+1),MATCH(D$1,[2]quests!$1:$1,0)-MATCH($B$1,[2]quests!$1:$1,0)+1,FALSE)</f>
        <v>コラボ超降臨3</v>
      </c>
      <c r="E20" s="84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【ウィザード級】風雷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コラボ超降臨3</v>
      </c>
      <c r="H20" s="161">
        <v>0</v>
      </c>
      <c r="I20" s="90">
        <f t="shared" si="0"/>
        <v>19</v>
      </c>
      <c r="J20" s="86" t="str">
        <f t="shared" ref="J20" si="4">B20&amp;TEXT(I20,"00")</f>
        <v>5900319</v>
      </c>
      <c r="K20" s="84" t="s">
        <v>126</v>
      </c>
      <c r="L20" s="87" t="s">
        <v>621</v>
      </c>
      <c r="M20" s="158" t="s">
        <v>624</v>
      </c>
      <c r="N20" s="56" t="s">
        <v>198</v>
      </c>
      <c r="O20" s="56" t="s">
        <v>198</v>
      </c>
    </row>
    <row r="21" spans="1:16" ht="42" x14ac:dyDescent="0.15">
      <c r="A21" s="159" t="s">
        <v>387</v>
      </c>
      <c r="B21" s="160">
        <v>59003</v>
      </c>
      <c r="C21" s="83" t="str">
        <f ca="1">VLOOKUP($B21,OFFSET([2]quests!$A$1,0,0,COUNTA([2]quests!$A:$A),MATCH(C$1,[2]quests!$1:$1,0)-MATCH($B$1,[2]quests!$1:$1,0)+1),MATCH(C$1,[2]quests!$1:$1,0)-MATCH($B$1,[2]quests!$1:$1,0)+1,FALSE)</f>
        <v>風雷</v>
      </c>
      <c r="D21" s="83" t="str">
        <f ca="1">VLOOKUP($B21,OFFSET([2]quests!$A$1,0,0,COUNTA([2]quests!$A:$A),MATCH(D$1,[2]quests!$1:$1,0)-MATCH($B$1,[2]quests!$1:$1,0)+1),MATCH(D$1,[2]quests!$1:$1,0)-MATCH($B$1,[2]quests!$1:$1,0)+1,FALSE)</f>
        <v>コラボ超降臨3</v>
      </c>
      <c r="E21" s="84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【ウィザード級】風雷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コラボ超降臨3</v>
      </c>
      <c r="H21" s="161">
        <v>0</v>
      </c>
      <c r="I21" s="90">
        <f t="shared" si="0"/>
        <v>20</v>
      </c>
      <c r="J21" s="86" t="str">
        <f t="shared" ref="J21:J22" si="5">B21&amp;TEXT(I21,"00")</f>
        <v>5900320</v>
      </c>
      <c r="K21" s="84" t="s">
        <v>126</v>
      </c>
      <c r="L21" s="87" t="s">
        <v>622</v>
      </c>
      <c r="M21" s="158" t="s">
        <v>625</v>
      </c>
      <c r="N21" s="56" t="s">
        <v>198</v>
      </c>
      <c r="O21" s="56" t="s">
        <v>198</v>
      </c>
    </row>
    <row r="22" spans="1:16" ht="42" x14ac:dyDescent="0.15">
      <c r="A22" s="159" t="s">
        <v>387</v>
      </c>
      <c r="B22" s="160">
        <v>59003</v>
      </c>
      <c r="C22" s="83" t="str">
        <f ca="1">VLOOKUP($B22,OFFSET([2]quests!$A$1,0,0,COUNTA([2]quests!$A:$A),MATCH(C$1,[2]quests!$1:$1,0)-MATCH($B$1,[2]quests!$1:$1,0)+1),MATCH(C$1,[2]quests!$1:$1,0)-MATCH($B$1,[2]quests!$1:$1,0)+1,FALSE)</f>
        <v>風雷</v>
      </c>
      <c r="D22" s="83" t="str">
        <f ca="1">VLOOKUP($B22,OFFSET([2]quests!$A$1,0,0,COUNTA([2]quests!$A:$A),MATCH(D$1,[2]quests!$1:$1,0)-MATCH($B$1,[2]quests!$1:$1,0)+1),MATCH(D$1,[2]quests!$1:$1,0)-MATCH($B$1,[2]quests!$1:$1,0)+1,FALSE)</f>
        <v>コラボ超降臨3</v>
      </c>
      <c r="E22" s="84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【ウィザード級】風雷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コラボ超降臨3</v>
      </c>
      <c r="H22" s="161">
        <v>0</v>
      </c>
      <c r="I22" s="90">
        <f t="shared" si="0"/>
        <v>21</v>
      </c>
      <c r="J22" s="86" t="str">
        <f t="shared" si="5"/>
        <v>5900321</v>
      </c>
      <c r="K22" s="84" t="s">
        <v>126</v>
      </c>
      <c r="L22" s="87" t="s">
        <v>623</v>
      </c>
      <c r="M22" s="158" t="s">
        <v>626</v>
      </c>
      <c r="N22" s="56" t="s">
        <v>198</v>
      </c>
      <c r="O22" s="56" t="s">
        <v>198</v>
      </c>
    </row>
    <row r="23" spans="1:16" ht="28" x14ac:dyDescent="0.15">
      <c r="A23" s="159" t="s">
        <v>387</v>
      </c>
      <c r="B23" s="160">
        <v>59003</v>
      </c>
      <c r="C23" s="83" t="str">
        <f ca="1">VLOOKUP($B23,OFFSET([2]quests!$A$1,0,0,COUNTA([2]quests!$A:$A),MATCH(C$1,[2]quests!$1:$1,0)-MATCH($B$1,[2]quests!$1:$1,0)+1),MATCH(C$1,[2]quests!$1:$1,0)-MATCH($B$1,[2]quests!$1:$1,0)+1,FALSE)</f>
        <v>風雷</v>
      </c>
      <c r="D23" s="83" t="str">
        <f ca="1">VLOOKUP($B23,OFFSET([2]quests!$A$1,0,0,COUNTA([2]quests!$A:$A),MATCH(D$1,[2]quests!$1:$1,0)-MATCH($B$1,[2]quests!$1:$1,0)+1),MATCH(D$1,[2]quests!$1:$1,0)-MATCH($B$1,[2]quests!$1:$1,0)+1,FALSE)</f>
        <v>コラボ超降臨3</v>
      </c>
      <c r="E23" s="84">
        <v>1</v>
      </c>
      <c r="F23" s="85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【ウィザード級】風雷</v>
      </c>
      <c r="G23" s="85" t="str">
        <f ca="1">VLOOKUP($B23&amp;"_"&amp;$E23,OFFSET([2]stages!$A$1,0,0,COUNTA([2]stages!$A:$A),MATCH(G$1,[2]stages!$2:$2,0)-MATCH("temp_stage",[2]stages!$2:$2,0)+1),MATCH(G$1,[2]stages!$2:$2,0)-MATCH("temp_stage",[2]stages!$2:$2,0)+1,FALSE)</f>
        <v>コラボ超降臨3</v>
      </c>
      <c r="H23" s="161">
        <v>0</v>
      </c>
      <c r="I23" s="90">
        <f t="shared" si="0"/>
        <v>22</v>
      </c>
      <c r="J23" s="86" t="str">
        <f t="shared" ref="J23:J44" si="6">B23&amp;TEXT(I23,"00")</f>
        <v>5900322</v>
      </c>
      <c r="K23" s="84" t="s">
        <v>126</v>
      </c>
      <c r="L23" s="184" t="s">
        <v>716</v>
      </c>
      <c r="M23" s="185" t="s">
        <v>718</v>
      </c>
      <c r="N23" s="56" t="s">
        <v>198</v>
      </c>
      <c r="O23" s="47">
        <v>1579</v>
      </c>
      <c r="P23" s="45" t="s">
        <v>266</v>
      </c>
    </row>
    <row r="24" spans="1:16" ht="28" x14ac:dyDescent="0.15">
      <c r="A24" s="159" t="s">
        <v>387</v>
      </c>
      <c r="B24" s="160">
        <v>59003</v>
      </c>
      <c r="C24" s="83" t="str">
        <f ca="1">VLOOKUP($B24,OFFSET([2]quests!$A$1,0,0,COUNTA([2]quests!$A:$A),MATCH(C$1,[2]quests!$1:$1,0)-MATCH($B$1,[2]quests!$1:$1,0)+1),MATCH(C$1,[2]quests!$1:$1,0)-MATCH($B$1,[2]quests!$1:$1,0)+1,FALSE)</f>
        <v>風雷</v>
      </c>
      <c r="D24" s="83" t="str">
        <f ca="1">VLOOKUP($B24,OFFSET([2]quests!$A$1,0,0,COUNTA([2]quests!$A:$A),MATCH(D$1,[2]quests!$1:$1,0)-MATCH($B$1,[2]quests!$1:$1,0)+1),MATCH(D$1,[2]quests!$1:$1,0)-MATCH($B$1,[2]quests!$1:$1,0)+1,FALSE)</f>
        <v>コラボ超降臨3</v>
      </c>
      <c r="E24" s="84">
        <v>1</v>
      </c>
      <c r="F24" s="85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【ウィザード級】風雷</v>
      </c>
      <c r="G24" s="85" t="str">
        <f ca="1">VLOOKUP($B24&amp;"_"&amp;$E24,OFFSET([2]stages!$A$1,0,0,COUNTA([2]stages!$A:$A),MATCH(G$1,[2]stages!$2:$2,0)-MATCH("temp_stage",[2]stages!$2:$2,0)+1),MATCH(G$1,[2]stages!$2:$2,0)-MATCH("temp_stage",[2]stages!$2:$2,0)+1,FALSE)</f>
        <v>コラボ超降臨3</v>
      </c>
      <c r="H24" s="161">
        <v>0</v>
      </c>
      <c r="I24" s="90">
        <f t="shared" si="0"/>
        <v>23</v>
      </c>
      <c r="J24" s="86" t="str">
        <f t="shared" si="6"/>
        <v>5900323</v>
      </c>
      <c r="K24" s="84" t="s">
        <v>126</v>
      </c>
      <c r="L24" s="184" t="s">
        <v>726</v>
      </c>
      <c r="M24" s="185" t="s">
        <v>732</v>
      </c>
      <c r="N24" s="56" t="s">
        <v>198</v>
      </c>
      <c r="O24" s="47">
        <v>1587</v>
      </c>
      <c r="P24" s="45" t="s">
        <v>268</v>
      </c>
    </row>
    <row r="25" spans="1:16" x14ac:dyDescent="0.15">
      <c r="A25" s="159" t="s">
        <v>387</v>
      </c>
      <c r="B25" s="160">
        <v>59003</v>
      </c>
      <c r="C25" s="83" t="str">
        <f ca="1">VLOOKUP($B25,OFFSET([2]quests!$A$1,0,0,COUNTA([2]quests!$A:$A),MATCH(C$1,[2]quests!$1:$1,0)-MATCH($B$1,[2]quests!$1:$1,0)+1),MATCH(C$1,[2]quests!$1:$1,0)-MATCH($B$1,[2]quests!$1:$1,0)+1,FALSE)</f>
        <v>風雷</v>
      </c>
      <c r="D25" s="83" t="str">
        <f ca="1">VLOOKUP($B25,OFFSET([2]quests!$A$1,0,0,COUNTA([2]quests!$A:$A),MATCH(D$1,[2]quests!$1:$1,0)-MATCH($B$1,[2]quests!$1:$1,0)+1),MATCH(D$1,[2]quests!$1:$1,0)-MATCH($B$1,[2]quests!$1:$1,0)+1,FALSE)</f>
        <v>コラボ超降臨3</v>
      </c>
      <c r="E25" s="84">
        <v>1</v>
      </c>
      <c r="F25" s="85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【ウィザード級】風雷</v>
      </c>
      <c r="G25" s="85" t="str">
        <f ca="1">VLOOKUP($B25&amp;"_"&amp;$E25,OFFSET([2]stages!$A$1,0,0,COUNTA([2]stages!$A:$A),MATCH(G$1,[2]stages!$2:$2,0)-MATCH("temp_stage",[2]stages!$2:$2,0)+1),MATCH(G$1,[2]stages!$2:$2,0)-MATCH("temp_stage",[2]stages!$2:$2,0)+1,FALSE)</f>
        <v>コラボ超降臨3</v>
      </c>
      <c r="H25" s="161">
        <v>0</v>
      </c>
      <c r="I25" s="90">
        <f t="shared" si="0"/>
        <v>24</v>
      </c>
      <c r="J25" s="86" t="str">
        <f t="shared" si="6"/>
        <v>5900324</v>
      </c>
      <c r="K25" s="84" t="s">
        <v>126</v>
      </c>
      <c r="L25" s="184" t="s">
        <v>720</v>
      </c>
      <c r="M25" s="185" t="s">
        <v>731</v>
      </c>
      <c r="N25" s="56" t="s">
        <v>198</v>
      </c>
      <c r="O25" s="47">
        <v>1581</v>
      </c>
      <c r="P25" s="45" t="s">
        <v>270</v>
      </c>
    </row>
    <row r="26" spans="1:16" ht="42" x14ac:dyDescent="0.15">
      <c r="A26" s="159" t="s">
        <v>387</v>
      </c>
      <c r="B26" s="160">
        <v>59003</v>
      </c>
      <c r="C26" s="83" t="str">
        <f ca="1">VLOOKUP($B26,OFFSET([2]quests!$A$1,0,0,COUNTA([2]quests!$A:$A),MATCH(C$1,[2]quests!$1:$1,0)-MATCH($B$1,[2]quests!$1:$1,0)+1),MATCH(C$1,[2]quests!$1:$1,0)-MATCH($B$1,[2]quests!$1:$1,0)+1,FALSE)</f>
        <v>風雷</v>
      </c>
      <c r="D26" s="83" t="str">
        <f ca="1">VLOOKUP($B26,OFFSET([2]quests!$A$1,0,0,COUNTA([2]quests!$A:$A),MATCH(D$1,[2]quests!$1:$1,0)-MATCH($B$1,[2]quests!$1:$1,0)+1),MATCH(D$1,[2]quests!$1:$1,0)-MATCH($B$1,[2]quests!$1:$1,0)+1,FALSE)</f>
        <v>コラボ超降臨3</v>
      </c>
      <c r="E26" s="84">
        <v>1</v>
      </c>
      <c r="F26" s="85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【ウィザード級】風雷</v>
      </c>
      <c r="G26" s="85" t="str">
        <f ca="1">VLOOKUP($B26&amp;"_"&amp;$E26,OFFSET([2]stages!$A$1,0,0,COUNTA([2]stages!$A:$A),MATCH(G$1,[2]stages!$2:$2,0)-MATCH("temp_stage",[2]stages!$2:$2,0)+1),MATCH(G$1,[2]stages!$2:$2,0)-MATCH("temp_stage",[2]stages!$2:$2,0)+1,FALSE)</f>
        <v>コラボ超降臨3</v>
      </c>
      <c r="H26" s="161">
        <v>0</v>
      </c>
      <c r="I26" s="90">
        <f t="shared" si="0"/>
        <v>25</v>
      </c>
      <c r="J26" s="86" t="str">
        <f t="shared" si="6"/>
        <v>5900325</v>
      </c>
      <c r="K26" s="84" t="s">
        <v>126</v>
      </c>
      <c r="L26" s="184" t="s">
        <v>697</v>
      </c>
      <c r="M26" s="185" t="s">
        <v>699</v>
      </c>
      <c r="N26" s="56" t="s">
        <v>198</v>
      </c>
      <c r="O26" s="47">
        <v>1570</v>
      </c>
      <c r="P26" s="45" t="s">
        <v>272</v>
      </c>
    </row>
    <row r="27" spans="1:16" ht="28" x14ac:dyDescent="0.15">
      <c r="A27" s="159" t="s">
        <v>387</v>
      </c>
      <c r="B27" s="160">
        <v>59003</v>
      </c>
      <c r="C27" s="83" t="str">
        <f ca="1">VLOOKUP($B27,OFFSET([2]quests!$A$1,0,0,COUNTA([2]quests!$A:$A),MATCH(C$1,[2]quests!$1:$1,0)-MATCH($B$1,[2]quests!$1:$1,0)+1),MATCH(C$1,[2]quests!$1:$1,0)-MATCH($B$1,[2]quests!$1:$1,0)+1,FALSE)</f>
        <v>風雷</v>
      </c>
      <c r="D27" s="83" t="str">
        <f ca="1">VLOOKUP($B27,OFFSET([2]quests!$A$1,0,0,COUNTA([2]quests!$A:$A),MATCH(D$1,[2]quests!$1:$1,0)-MATCH($B$1,[2]quests!$1:$1,0)+1),MATCH(D$1,[2]quests!$1:$1,0)-MATCH($B$1,[2]quests!$1:$1,0)+1,FALSE)</f>
        <v>コラボ超降臨3</v>
      </c>
      <c r="E27" s="84">
        <v>1</v>
      </c>
      <c r="F27" s="85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【ウィザード級】風雷</v>
      </c>
      <c r="G27" s="85" t="str">
        <f ca="1">VLOOKUP($B27&amp;"_"&amp;$E27,OFFSET([2]stages!$A$1,0,0,COUNTA([2]stages!$A:$A),MATCH(G$1,[2]stages!$2:$2,0)-MATCH("temp_stage",[2]stages!$2:$2,0)+1),MATCH(G$1,[2]stages!$2:$2,0)-MATCH("temp_stage",[2]stages!$2:$2,0)+1,FALSE)</f>
        <v>コラボ超降臨3</v>
      </c>
      <c r="H27" s="161">
        <v>0</v>
      </c>
      <c r="I27" s="90">
        <f t="shared" si="0"/>
        <v>26</v>
      </c>
      <c r="J27" s="86" t="str">
        <f t="shared" si="6"/>
        <v>5900326</v>
      </c>
      <c r="K27" s="84" t="s">
        <v>126</v>
      </c>
      <c r="L27" s="184" t="s">
        <v>694</v>
      </c>
      <c r="M27" s="185" t="s">
        <v>696</v>
      </c>
      <c r="N27" s="56" t="s">
        <v>198</v>
      </c>
      <c r="O27" s="47">
        <v>1568</v>
      </c>
      <c r="P27" s="45" t="s">
        <v>273</v>
      </c>
    </row>
    <row r="28" spans="1:16" ht="28" x14ac:dyDescent="0.15">
      <c r="A28" s="159" t="s">
        <v>387</v>
      </c>
      <c r="B28" s="160">
        <v>59003</v>
      </c>
      <c r="C28" s="83" t="str">
        <f ca="1">VLOOKUP($B28,OFFSET([2]quests!$A$1,0,0,COUNTA([2]quests!$A:$A),MATCH(C$1,[2]quests!$1:$1,0)-MATCH($B$1,[2]quests!$1:$1,0)+1),MATCH(C$1,[2]quests!$1:$1,0)-MATCH($B$1,[2]quests!$1:$1,0)+1,FALSE)</f>
        <v>風雷</v>
      </c>
      <c r="D28" s="83" t="str">
        <f ca="1">VLOOKUP($B28,OFFSET([2]quests!$A$1,0,0,COUNTA([2]quests!$A:$A),MATCH(D$1,[2]quests!$1:$1,0)-MATCH($B$1,[2]quests!$1:$1,0)+1),MATCH(D$1,[2]quests!$1:$1,0)-MATCH($B$1,[2]quests!$1:$1,0)+1,FALSE)</f>
        <v>コラボ超降臨3</v>
      </c>
      <c r="E28" s="84">
        <v>1</v>
      </c>
      <c r="F28" s="85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【ウィザード級】風雷</v>
      </c>
      <c r="G28" s="85" t="str">
        <f ca="1">VLOOKUP($B28&amp;"_"&amp;$E28,OFFSET([2]stages!$A$1,0,0,COUNTA([2]stages!$A:$A),MATCH(G$1,[2]stages!$2:$2,0)-MATCH("temp_stage",[2]stages!$2:$2,0)+1),MATCH(G$1,[2]stages!$2:$2,0)-MATCH("temp_stage",[2]stages!$2:$2,0)+1,FALSE)</f>
        <v>コラボ超降臨3</v>
      </c>
      <c r="H28" s="161">
        <v>0</v>
      </c>
      <c r="I28" s="90">
        <f t="shared" si="0"/>
        <v>27</v>
      </c>
      <c r="J28" s="86" t="str">
        <f t="shared" si="6"/>
        <v>5900327</v>
      </c>
      <c r="K28" s="84" t="s">
        <v>126</v>
      </c>
      <c r="L28" s="184" t="s">
        <v>669</v>
      </c>
      <c r="M28" s="185" t="s">
        <v>671</v>
      </c>
      <c r="N28" s="56" t="s">
        <v>198</v>
      </c>
      <c r="O28" s="47">
        <v>1553</v>
      </c>
      <c r="P28" s="45" t="s">
        <v>279</v>
      </c>
    </row>
    <row r="29" spans="1:16" ht="28" x14ac:dyDescent="0.15">
      <c r="A29" s="159" t="s">
        <v>387</v>
      </c>
      <c r="B29" s="160">
        <v>59003</v>
      </c>
      <c r="C29" s="83" t="str">
        <f ca="1">VLOOKUP($B29,OFFSET([2]quests!$A$1,0,0,COUNTA([2]quests!$A:$A),MATCH(C$1,[2]quests!$1:$1,0)-MATCH($B$1,[2]quests!$1:$1,0)+1),MATCH(C$1,[2]quests!$1:$1,0)-MATCH($B$1,[2]quests!$1:$1,0)+1,FALSE)</f>
        <v>風雷</v>
      </c>
      <c r="D29" s="83" t="str">
        <f ca="1">VLOOKUP($B29,OFFSET([2]quests!$A$1,0,0,COUNTA([2]quests!$A:$A),MATCH(D$1,[2]quests!$1:$1,0)-MATCH($B$1,[2]quests!$1:$1,0)+1),MATCH(D$1,[2]quests!$1:$1,0)-MATCH($B$1,[2]quests!$1:$1,0)+1,FALSE)</f>
        <v>コラボ超降臨3</v>
      </c>
      <c r="E29" s="84">
        <v>1</v>
      </c>
      <c r="F29" s="85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【ウィザード級】風雷</v>
      </c>
      <c r="G29" s="85" t="str">
        <f ca="1">VLOOKUP($B29&amp;"_"&amp;$E29,OFFSET([2]stages!$A$1,0,0,COUNTA([2]stages!$A:$A),MATCH(G$1,[2]stages!$2:$2,0)-MATCH("temp_stage",[2]stages!$2:$2,0)+1),MATCH(G$1,[2]stages!$2:$2,0)-MATCH("temp_stage",[2]stages!$2:$2,0)+1,FALSE)</f>
        <v>コラボ超降臨3</v>
      </c>
      <c r="H29" s="161">
        <v>0</v>
      </c>
      <c r="I29" s="90">
        <f t="shared" si="0"/>
        <v>28</v>
      </c>
      <c r="J29" s="86" t="str">
        <f t="shared" si="6"/>
        <v>5900328</v>
      </c>
      <c r="K29" s="84" t="s">
        <v>126</v>
      </c>
      <c r="L29" s="184" t="s">
        <v>692</v>
      </c>
      <c r="M29" s="185" t="s">
        <v>728</v>
      </c>
      <c r="N29" s="56" t="s">
        <v>198</v>
      </c>
      <c r="O29" s="47">
        <v>1566</v>
      </c>
      <c r="P29" s="45" t="s">
        <v>277</v>
      </c>
    </row>
    <row r="30" spans="1:16" x14ac:dyDescent="0.15">
      <c r="A30" s="159" t="s">
        <v>387</v>
      </c>
      <c r="B30" s="160">
        <v>59003</v>
      </c>
      <c r="C30" s="83" t="str">
        <f ca="1">VLOOKUP($B30,OFFSET([2]quests!$A$1,0,0,COUNTA([2]quests!$A:$A),MATCH(C$1,[2]quests!$1:$1,0)-MATCH($B$1,[2]quests!$1:$1,0)+1),MATCH(C$1,[2]quests!$1:$1,0)-MATCH($B$1,[2]quests!$1:$1,0)+1,FALSE)</f>
        <v>風雷</v>
      </c>
      <c r="D30" s="83" t="str">
        <f ca="1">VLOOKUP($B30,OFFSET([2]quests!$A$1,0,0,COUNTA([2]quests!$A:$A),MATCH(D$1,[2]quests!$1:$1,0)-MATCH($B$1,[2]quests!$1:$1,0)+1),MATCH(D$1,[2]quests!$1:$1,0)-MATCH($B$1,[2]quests!$1:$1,0)+1,FALSE)</f>
        <v>コラボ超降臨3</v>
      </c>
      <c r="E30" s="84">
        <v>1</v>
      </c>
      <c r="F30" s="85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【ウィザード級】風雷</v>
      </c>
      <c r="G30" s="85" t="str">
        <f ca="1">VLOOKUP($B30&amp;"_"&amp;$E30,OFFSET([2]stages!$A$1,0,0,COUNTA([2]stages!$A:$A),MATCH(G$1,[2]stages!$2:$2,0)-MATCH("temp_stage",[2]stages!$2:$2,0)+1),MATCH(G$1,[2]stages!$2:$2,0)-MATCH("temp_stage",[2]stages!$2:$2,0)+1,FALSE)</f>
        <v>コラボ超降臨3</v>
      </c>
      <c r="H30" s="161">
        <v>0</v>
      </c>
      <c r="I30" s="90">
        <f t="shared" si="0"/>
        <v>29</v>
      </c>
      <c r="J30" s="86" t="str">
        <f t="shared" si="6"/>
        <v>5900329</v>
      </c>
      <c r="K30" s="84" t="s">
        <v>126</v>
      </c>
      <c r="L30" s="184" t="s">
        <v>668</v>
      </c>
      <c r="M30" s="185" t="s">
        <v>666</v>
      </c>
      <c r="N30" s="56" t="s">
        <v>198</v>
      </c>
      <c r="O30" s="47">
        <v>1551</v>
      </c>
      <c r="P30" s="45" t="s">
        <v>275</v>
      </c>
    </row>
    <row r="31" spans="1:16" x14ac:dyDescent="0.15">
      <c r="A31" s="159" t="s">
        <v>387</v>
      </c>
      <c r="B31" s="160">
        <v>59003</v>
      </c>
      <c r="C31" s="83" t="str">
        <f ca="1">VLOOKUP($B31,OFFSET([2]quests!$A$1,0,0,COUNTA([2]quests!$A:$A),MATCH(C$1,[2]quests!$1:$1,0)-MATCH($B$1,[2]quests!$1:$1,0)+1),MATCH(C$1,[2]quests!$1:$1,0)-MATCH($B$1,[2]quests!$1:$1,0)+1,FALSE)</f>
        <v>風雷</v>
      </c>
      <c r="D31" s="83" t="str">
        <f ca="1">VLOOKUP($B31,OFFSET([2]quests!$A$1,0,0,COUNTA([2]quests!$A:$A),MATCH(D$1,[2]quests!$1:$1,0)-MATCH($B$1,[2]quests!$1:$1,0)+1),MATCH(D$1,[2]quests!$1:$1,0)-MATCH($B$1,[2]quests!$1:$1,0)+1,FALSE)</f>
        <v>コラボ超降臨3</v>
      </c>
      <c r="E31" s="84">
        <v>1</v>
      </c>
      <c r="F31" s="85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【ウィザード級】風雷</v>
      </c>
      <c r="G31" s="85" t="str">
        <f ca="1">VLOOKUP($B31&amp;"_"&amp;$E31,OFFSET([2]stages!$A$1,0,0,COUNTA([2]stages!$A:$A),MATCH(G$1,[2]stages!$2:$2,0)-MATCH("temp_stage",[2]stages!$2:$2,0)+1),MATCH(G$1,[2]stages!$2:$2,0)-MATCH("temp_stage",[2]stages!$2:$2,0)+1,FALSE)</f>
        <v>コラボ超降臨3</v>
      </c>
      <c r="H31" s="161">
        <v>0</v>
      </c>
      <c r="I31" s="90">
        <f t="shared" si="0"/>
        <v>30</v>
      </c>
      <c r="J31" s="86" t="str">
        <f t="shared" si="6"/>
        <v>5900330</v>
      </c>
      <c r="K31" s="84" t="s">
        <v>126</v>
      </c>
      <c r="L31" s="184" t="s">
        <v>672</v>
      </c>
      <c r="M31" s="185" t="s">
        <v>673</v>
      </c>
      <c r="N31" s="56" t="s">
        <v>198</v>
      </c>
      <c r="O31" s="180">
        <v>1555</v>
      </c>
      <c r="P31" s="45" t="s">
        <v>599</v>
      </c>
    </row>
    <row r="32" spans="1:16" ht="28" x14ac:dyDescent="0.15">
      <c r="A32" s="159" t="s">
        <v>387</v>
      </c>
      <c r="B32" s="160">
        <v>59003</v>
      </c>
      <c r="C32" s="83" t="str">
        <f ca="1">VLOOKUP($B32,OFFSET([2]quests!$A$1,0,0,COUNTA([2]quests!$A:$A),MATCH(C$1,[2]quests!$1:$1,0)-MATCH($B$1,[2]quests!$1:$1,0)+1),MATCH(C$1,[2]quests!$1:$1,0)-MATCH($B$1,[2]quests!$1:$1,0)+1,FALSE)</f>
        <v>風雷</v>
      </c>
      <c r="D32" s="83" t="str">
        <f ca="1">VLOOKUP($B32,OFFSET([2]quests!$A$1,0,0,COUNTA([2]quests!$A:$A),MATCH(D$1,[2]quests!$1:$1,0)-MATCH($B$1,[2]quests!$1:$1,0)+1),MATCH(D$1,[2]quests!$1:$1,0)-MATCH($B$1,[2]quests!$1:$1,0)+1,FALSE)</f>
        <v>コラボ超降臨3</v>
      </c>
      <c r="E32" s="84">
        <v>1</v>
      </c>
      <c r="F32" s="85" t="str">
        <f ca="1">VLOOKUP($B32&amp;"_"&amp;$E32,OFFSET([2]stages!$A$1,0,0,COUNTA([2]stages!$A:$A),MATCH(F$1,[2]stages!$2:$2,0)-MATCH("temp_stage",[2]stages!$2:$2,0)+1),MATCH(F$1,[2]stages!$2:$2,0)-MATCH("temp_stage",[2]stages!$2:$2,0)+1,FALSE)</f>
        <v>【ウィザード級】風雷</v>
      </c>
      <c r="G32" s="85" t="str">
        <f ca="1">VLOOKUP($B32&amp;"_"&amp;$E32,OFFSET([2]stages!$A$1,0,0,COUNTA([2]stages!$A:$A),MATCH(G$1,[2]stages!$2:$2,0)-MATCH("temp_stage",[2]stages!$2:$2,0)+1),MATCH(G$1,[2]stages!$2:$2,0)-MATCH("temp_stage",[2]stages!$2:$2,0)+1,FALSE)</f>
        <v>コラボ超降臨3</v>
      </c>
      <c r="H32" s="161">
        <v>0</v>
      </c>
      <c r="I32" s="90">
        <f t="shared" si="0"/>
        <v>31</v>
      </c>
      <c r="J32" s="86" t="str">
        <f t="shared" si="6"/>
        <v>5900331</v>
      </c>
      <c r="K32" s="84" t="s">
        <v>126</v>
      </c>
      <c r="L32" s="184" t="s">
        <v>674</v>
      </c>
      <c r="M32" s="185" t="s">
        <v>676</v>
      </c>
      <c r="N32" s="56" t="s">
        <v>198</v>
      </c>
      <c r="O32" s="180">
        <v>1556</v>
      </c>
      <c r="P32" s="45" t="s">
        <v>600</v>
      </c>
    </row>
    <row r="33" spans="1:16" ht="28" x14ac:dyDescent="0.15">
      <c r="A33" s="159" t="s">
        <v>387</v>
      </c>
      <c r="B33" s="160">
        <v>59003</v>
      </c>
      <c r="C33" s="83" t="str">
        <f ca="1">VLOOKUP($B33,OFFSET([2]quests!$A$1,0,0,COUNTA([2]quests!$A:$A),MATCH(C$1,[2]quests!$1:$1,0)-MATCH($B$1,[2]quests!$1:$1,0)+1),MATCH(C$1,[2]quests!$1:$1,0)-MATCH($B$1,[2]quests!$1:$1,0)+1,FALSE)</f>
        <v>風雷</v>
      </c>
      <c r="D33" s="83" t="str">
        <f ca="1">VLOOKUP($B33,OFFSET([2]quests!$A$1,0,0,COUNTA([2]quests!$A:$A),MATCH(D$1,[2]quests!$1:$1,0)-MATCH($B$1,[2]quests!$1:$1,0)+1),MATCH(D$1,[2]quests!$1:$1,0)-MATCH($B$1,[2]quests!$1:$1,0)+1,FALSE)</f>
        <v>コラボ超降臨3</v>
      </c>
      <c r="E33" s="84">
        <v>1</v>
      </c>
      <c r="F33" s="85" t="str">
        <f ca="1">VLOOKUP($B33&amp;"_"&amp;$E33,OFFSET([2]stages!$A$1,0,0,COUNTA([2]stages!$A:$A),MATCH(F$1,[2]stages!$2:$2,0)-MATCH("temp_stage",[2]stages!$2:$2,0)+1),MATCH(F$1,[2]stages!$2:$2,0)-MATCH("temp_stage",[2]stages!$2:$2,0)+1,FALSE)</f>
        <v>【ウィザード級】風雷</v>
      </c>
      <c r="G33" s="85" t="str">
        <f ca="1">VLOOKUP($B33&amp;"_"&amp;$E33,OFFSET([2]stages!$A$1,0,0,COUNTA([2]stages!$A:$A),MATCH(G$1,[2]stages!$2:$2,0)-MATCH("temp_stage",[2]stages!$2:$2,0)+1),MATCH(G$1,[2]stages!$2:$2,0)-MATCH("temp_stage",[2]stages!$2:$2,0)+1,FALSE)</f>
        <v>コラボ超降臨3</v>
      </c>
      <c r="H33" s="161">
        <v>0</v>
      </c>
      <c r="I33" s="90">
        <f t="shared" si="0"/>
        <v>32</v>
      </c>
      <c r="J33" s="86" t="str">
        <f t="shared" si="6"/>
        <v>5900332</v>
      </c>
      <c r="K33" s="84" t="s">
        <v>126</v>
      </c>
      <c r="L33" s="184" t="s">
        <v>677</v>
      </c>
      <c r="M33" s="185" t="s">
        <v>679</v>
      </c>
      <c r="N33" s="56" t="s">
        <v>198</v>
      </c>
      <c r="O33" s="180">
        <v>1558</v>
      </c>
      <c r="P33" s="45" t="s">
        <v>602</v>
      </c>
    </row>
    <row r="34" spans="1:16" ht="28" x14ac:dyDescent="0.15">
      <c r="A34" s="159" t="s">
        <v>387</v>
      </c>
      <c r="B34" s="160">
        <v>59003</v>
      </c>
      <c r="C34" s="83" t="str">
        <f ca="1">VLOOKUP($B34,OFFSET([2]quests!$A$1,0,0,COUNTA([2]quests!$A:$A),MATCH(C$1,[2]quests!$1:$1,0)-MATCH($B$1,[2]quests!$1:$1,0)+1),MATCH(C$1,[2]quests!$1:$1,0)-MATCH($B$1,[2]quests!$1:$1,0)+1,FALSE)</f>
        <v>風雷</v>
      </c>
      <c r="D34" s="83" t="str">
        <f ca="1">VLOOKUP($B34,OFFSET([2]quests!$A$1,0,0,COUNTA([2]quests!$A:$A),MATCH(D$1,[2]quests!$1:$1,0)-MATCH($B$1,[2]quests!$1:$1,0)+1),MATCH(D$1,[2]quests!$1:$1,0)-MATCH($B$1,[2]quests!$1:$1,0)+1,FALSE)</f>
        <v>コラボ超降臨3</v>
      </c>
      <c r="E34" s="84">
        <v>1</v>
      </c>
      <c r="F34" s="85" t="str">
        <f ca="1">VLOOKUP($B34&amp;"_"&amp;$E34,OFFSET([2]stages!$A$1,0,0,COUNTA([2]stages!$A:$A),MATCH(F$1,[2]stages!$2:$2,0)-MATCH("temp_stage",[2]stages!$2:$2,0)+1),MATCH(F$1,[2]stages!$2:$2,0)-MATCH("temp_stage",[2]stages!$2:$2,0)+1,FALSE)</f>
        <v>【ウィザード級】風雷</v>
      </c>
      <c r="G34" s="85" t="str">
        <f ca="1">VLOOKUP($B34&amp;"_"&amp;$E34,OFFSET([2]stages!$A$1,0,0,COUNTA([2]stages!$A:$A),MATCH(G$1,[2]stages!$2:$2,0)-MATCH("temp_stage",[2]stages!$2:$2,0)+1),MATCH(G$1,[2]stages!$2:$2,0)-MATCH("temp_stage",[2]stages!$2:$2,0)+1,FALSE)</f>
        <v>コラボ超降臨3</v>
      </c>
      <c r="H34" s="161">
        <v>0</v>
      </c>
      <c r="I34" s="90">
        <f t="shared" si="0"/>
        <v>33</v>
      </c>
      <c r="J34" s="86" t="str">
        <f t="shared" si="6"/>
        <v>5900333</v>
      </c>
      <c r="K34" s="84" t="s">
        <v>126</v>
      </c>
      <c r="L34" s="184" t="s">
        <v>680</v>
      </c>
      <c r="M34" s="185" t="s">
        <v>682</v>
      </c>
      <c r="N34" s="56" t="s">
        <v>198</v>
      </c>
      <c r="O34" s="180">
        <v>1560</v>
      </c>
      <c r="P34" s="45" t="s">
        <v>604</v>
      </c>
    </row>
    <row r="35" spans="1:16" ht="42" x14ac:dyDescent="0.15">
      <c r="A35" s="159" t="s">
        <v>387</v>
      </c>
      <c r="B35" s="160">
        <v>59003</v>
      </c>
      <c r="C35" s="83" t="str">
        <f ca="1">VLOOKUP($B35,OFFSET([2]quests!$A$1,0,0,COUNTA([2]quests!$A:$A),MATCH(C$1,[2]quests!$1:$1,0)-MATCH($B$1,[2]quests!$1:$1,0)+1),MATCH(C$1,[2]quests!$1:$1,0)-MATCH($B$1,[2]quests!$1:$1,0)+1,FALSE)</f>
        <v>風雷</v>
      </c>
      <c r="D35" s="83" t="str">
        <f ca="1">VLOOKUP($B35,OFFSET([2]quests!$A$1,0,0,COUNTA([2]quests!$A:$A),MATCH(D$1,[2]quests!$1:$1,0)-MATCH($B$1,[2]quests!$1:$1,0)+1),MATCH(D$1,[2]quests!$1:$1,0)-MATCH($B$1,[2]quests!$1:$1,0)+1,FALSE)</f>
        <v>コラボ超降臨3</v>
      </c>
      <c r="E35" s="84">
        <v>1</v>
      </c>
      <c r="F35" s="85" t="str">
        <f ca="1">VLOOKUP($B35&amp;"_"&amp;$E35,OFFSET([2]stages!$A$1,0,0,COUNTA([2]stages!$A:$A),MATCH(F$1,[2]stages!$2:$2,0)-MATCH("temp_stage",[2]stages!$2:$2,0)+1),MATCH(F$1,[2]stages!$2:$2,0)-MATCH("temp_stage",[2]stages!$2:$2,0)+1,FALSE)</f>
        <v>【ウィザード級】風雷</v>
      </c>
      <c r="G35" s="85" t="str">
        <f ca="1">VLOOKUP($B35&amp;"_"&amp;$E35,OFFSET([2]stages!$A$1,0,0,COUNTA([2]stages!$A:$A),MATCH(G$1,[2]stages!$2:$2,0)-MATCH("temp_stage",[2]stages!$2:$2,0)+1),MATCH(G$1,[2]stages!$2:$2,0)-MATCH("temp_stage",[2]stages!$2:$2,0)+1,FALSE)</f>
        <v>コラボ超降臨3</v>
      </c>
      <c r="H35" s="161">
        <v>0</v>
      </c>
      <c r="I35" s="90">
        <f t="shared" si="0"/>
        <v>34</v>
      </c>
      <c r="J35" s="86" t="str">
        <f t="shared" si="6"/>
        <v>5900334</v>
      </c>
      <c r="K35" s="84" t="s">
        <v>126</v>
      </c>
      <c r="L35" s="184" t="s">
        <v>683</v>
      </c>
      <c r="M35" s="185" t="s">
        <v>685</v>
      </c>
      <c r="N35" s="56" t="s">
        <v>198</v>
      </c>
      <c r="O35" s="180">
        <v>1561</v>
      </c>
      <c r="P35" s="45" t="s">
        <v>605</v>
      </c>
    </row>
    <row r="36" spans="1:16" ht="28" x14ac:dyDescent="0.15">
      <c r="A36" s="159" t="s">
        <v>387</v>
      </c>
      <c r="B36" s="160">
        <v>59003</v>
      </c>
      <c r="C36" s="83" t="str">
        <f ca="1">VLOOKUP($B36,OFFSET([2]quests!$A$1,0,0,COUNTA([2]quests!$A:$A),MATCH(C$1,[2]quests!$1:$1,0)-MATCH($B$1,[2]quests!$1:$1,0)+1),MATCH(C$1,[2]quests!$1:$1,0)-MATCH($B$1,[2]quests!$1:$1,0)+1,FALSE)</f>
        <v>風雷</v>
      </c>
      <c r="D36" s="83" t="str">
        <f ca="1">VLOOKUP($B36,OFFSET([2]quests!$A$1,0,0,COUNTA([2]quests!$A:$A),MATCH(D$1,[2]quests!$1:$1,0)-MATCH($B$1,[2]quests!$1:$1,0)+1),MATCH(D$1,[2]quests!$1:$1,0)-MATCH($B$1,[2]quests!$1:$1,0)+1,FALSE)</f>
        <v>コラボ超降臨3</v>
      </c>
      <c r="E36" s="84">
        <v>1</v>
      </c>
      <c r="F36" s="85" t="str">
        <f ca="1">VLOOKUP($B36&amp;"_"&amp;$E36,OFFSET([2]stages!$A$1,0,0,COUNTA([2]stages!$A:$A),MATCH(F$1,[2]stages!$2:$2,0)-MATCH("temp_stage",[2]stages!$2:$2,0)+1),MATCH(F$1,[2]stages!$2:$2,0)-MATCH("temp_stage",[2]stages!$2:$2,0)+1,FALSE)</f>
        <v>【ウィザード級】風雷</v>
      </c>
      <c r="G36" s="85" t="str">
        <f ca="1">VLOOKUP($B36&amp;"_"&amp;$E36,OFFSET([2]stages!$A$1,0,0,COUNTA([2]stages!$A:$A),MATCH(G$1,[2]stages!$2:$2,0)-MATCH("temp_stage",[2]stages!$2:$2,0)+1),MATCH(G$1,[2]stages!$2:$2,0)-MATCH("temp_stage",[2]stages!$2:$2,0)+1,FALSE)</f>
        <v>コラボ超降臨3</v>
      </c>
      <c r="H36" s="161">
        <v>0</v>
      </c>
      <c r="I36" s="90">
        <f t="shared" si="0"/>
        <v>35</v>
      </c>
      <c r="J36" s="86" t="str">
        <f t="shared" si="6"/>
        <v>5900335</v>
      </c>
      <c r="K36" s="84" t="s">
        <v>126</v>
      </c>
      <c r="L36" s="184" t="s">
        <v>686</v>
      </c>
      <c r="M36" s="185" t="s">
        <v>688</v>
      </c>
      <c r="N36" s="56" t="s">
        <v>198</v>
      </c>
      <c r="O36" s="180">
        <v>1563</v>
      </c>
      <c r="P36" s="45" t="s">
        <v>607</v>
      </c>
    </row>
    <row r="37" spans="1:16" ht="28" x14ac:dyDescent="0.15">
      <c r="A37" s="159" t="s">
        <v>387</v>
      </c>
      <c r="B37" s="160">
        <v>59003</v>
      </c>
      <c r="C37" s="83" t="str">
        <f ca="1">VLOOKUP($B37,OFFSET([2]quests!$A$1,0,0,COUNTA([2]quests!$A:$A),MATCH(C$1,[2]quests!$1:$1,0)-MATCH($B$1,[2]quests!$1:$1,0)+1),MATCH(C$1,[2]quests!$1:$1,0)-MATCH($B$1,[2]quests!$1:$1,0)+1,FALSE)</f>
        <v>風雷</v>
      </c>
      <c r="D37" s="83" t="str">
        <f ca="1">VLOOKUP($B37,OFFSET([2]quests!$A$1,0,0,COUNTA([2]quests!$A:$A),MATCH(D$1,[2]quests!$1:$1,0)-MATCH($B$1,[2]quests!$1:$1,0)+1),MATCH(D$1,[2]quests!$1:$1,0)-MATCH($B$1,[2]quests!$1:$1,0)+1,FALSE)</f>
        <v>コラボ超降臨3</v>
      </c>
      <c r="E37" s="84">
        <v>1</v>
      </c>
      <c r="F37" s="85" t="str">
        <f ca="1">VLOOKUP($B37&amp;"_"&amp;$E37,OFFSET([2]stages!$A$1,0,0,COUNTA([2]stages!$A:$A),MATCH(F$1,[2]stages!$2:$2,0)-MATCH("temp_stage",[2]stages!$2:$2,0)+1),MATCH(F$1,[2]stages!$2:$2,0)-MATCH("temp_stage",[2]stages!$2:$2,0)+1,FALSE)</f>
        <v>【ウィザード級】風雷</v>
      </c>
      <c r="G37" s="85" t="str">
        <f ca="1">VLOOKUP($B37&amp;"_"&amp;$E37,OFFSET([2]stages!$A$1,0,0,COUNTA([2]stages!$A:$A),MATCH(G$1,[2]stages!$2:$2,0)-MATCH("temp_stage",[2]stages!$2:$2,0)+1),MATCH(G$1,[2]stages!$2:$2,0)-MATCH("temp_stage",[2]stages!$2:$2,0)+1,FALSE)</f>
        <v>コラボ超降臨3</v>
      </c>
      <c r="H37" s="161">
        <v>0</v>
      </c>
      <c r="I37" s="90">
        <f t="shared" si="0"/>
        <v>36</v>
      </c>
      <c r="J37" s="86" t="str">
        <f t="shared" si="6"/>
        <v>5900336</v>
      </c>
      <c r="K37" s="84" t="s">
        <v>126</v>
      </c>
      <c r="L37" s="184" t="s">
        <v>689</v>
      </c>
      <c r="M37" s="185" t="s">
        <v>691</v>
      </c>
      <c r="N37" s="56" t="s">
        <v>198</v>
      </c>
      <c r="O37" s="180">
        <v>1565</v>
      </c>
      <c r="P37" s="45" t="s">
        <v>609</v>
      </c>
    </row>
    <row r="38" spans="1:16" ht="28" x14ac:dyDescent="0.15">
      <c r="A38" s="159" t="s">
        <v>387</v>
      </c>
      <c r="B38" s="160">
        <v>59003</v>
      </c>
      <c r="C38" s="83" t="str">
        <f ca="1">VLOOKUP($B38,OFFSET([2]quests!$A$1,0,0,COUNTA([2]quests!$A:$A),MATCH(C$1,[2]quests!$1:$1,0)-MATCH($B$1,[2]quests!$1:$1,0)+1),MATCH(C$1,[2]quests!$1:$1,0)-MATCH($B$1,[2]quests!$1:$1,0)+1,FALSE)</f>
        <v>風雷</v>
      </c>
      <c r="D38" s="83" t="str">
        <f ca="1">VLOOKUP($B38,OFFSET([2]quests!$A$1,0,0,COUNTA([2]quests!$A:$A),MATCH(D$1,[2]quests!$1:$1,0)-MATCH($B$1,[2]quests!$1:$1,0)+1),MATCH(D$1,[2]quests!$1:$1,0)-MATCH($B$1,[2]quests!$1:$1,0)+1,FALSE)</f>
        <v>コラボ超降臨3</v>
      </c>
      <c r="E38" s="84">
        <v>1</v>
      </c>
      <c r="F38" s="85" t="str">
        <f ca="1">VLOOKUP($B38&amp;"_"&amp;$E38,OFFSET([2]stages!$A$1,0,0,COUNTA([2]stages!$A:$A),MATCH(F$1,[2]stages!$2:$2,0)-MATCH("temp_stage",[2]stages!$2:$2,0)+1),MATCH(F$1,[2]stages!$2:$2,0)-MATCH("temp_stage",[2]stages!$2:$2,0)+1,FALSE)</f>
        <v>【ウィザード級】風雷</v>
      </c>
      <c r="G38" s="85" t="str">
        <f ca="1">VLOOKUP($B38&amp;"_"&amp;$E38,OFFSET([2]stages!$A$1,0,0,COUNTA([2]stages!$A:$A),MATCH(G$1,[2]stages!$2:$2,0)-MATCH("temp_stage",[2]stages!$2:$2,0)+1),MATCH(G$1,[2]stages!$2:$2,0)-MATCH("temp_stage",[2]stages!$2:$2,0)+1,FALSE)</f>
        <v>コラボ超降臨3</v>
      </c>
      <c r="H38" s="161">
        <v>0</v>
      </c>
      <c r="I38" s="90">
        <f t="shared" si="0"/>
        <v>37</v>
      </c>
      <c r="J38" s="86" t="str">
        <f t="shared" si="6"/>
        <v>5900337</v>
      </c>
      <c r="K38" s="84" t="s">
        <v>126</v>
      </c>
      <c r="L38" s="184" t="s">
        <v>700</v>
      </c>
      <c r="M38" s="185" t="s">
        <v>729</v>
      </c>
      <c r="N38" s="56" t="s">
        <v>198</v>
      </c>
      <c r="O38" s="180">
        <v>1571</v>
      </c>
      <c r="P38" s="45" t="s">
        <v>610</v>
      </c>
    </row>
    <row r="39" spans="1:16" ht="28" x14ac:dyDescent="0.15">
      <c r="A39" s="159" t="s">
        <v>387</v>
      </c>
      <c r="B39" s="160">
        <v>59003</v>
      </c>
      <c r="C39" s="83" t="str">
        <f ca="1">VLOOKUP($B39,OFFSET([2]quests!$A$1,0,0,COUNTA([2]quests!$A:$A),MATCH(C$1,[2]quests!$1:$1,0)-MATCH($B$1,[2]quests!$1:$1,0)+1),MATCH(C$1,[2]quests!$1:$1,0)-MATCH($B$1,[2]quests!$1:$1,0)+1,FALSE)</f>
        <v>風雷</v>
      </c>
      <c r="D39" s="83" t="str">
        <f ca="1">VLOOKUP($B39,OFFSET([2]quests!$A$1,0,0,COUNTA([2]quests!$A:$A),MATCH(D$1,[2]quests!$1:$1,0)-MATCH($B$1,[2]quests!$1:$1,0)+1),MATCH(D$1,[2]quests!$1:$1,0)-MATCH($B$1,[2]quests!$1:$1,0)+1,FALSE)</f>
        <v>コラボ超降臨3</v>
      </c>
      <c r="E39" s="84">
        <v>1</v>
      </c>
      <c r="F39" s="85" t="str">
        <f ca="1">VLOOKUP($B39&amp;"_"&amp;$E39,OFFSET([2]stages!$A$1,0,0,COUNTA([2]stages!$A:$A),MATCH(F$1,[2]stages!$2:$2,0)-MATCH("temp_stage",[2]stages!$2:$2,0)+1),MATCH(F$1,[2]stages!$2:$2,0)-MATCH("temp_stage",[2]stages!$2:$2,0)+1,FALSE)</f>
        <v>【ウィザード級】風雷</v>
      </c>
      <c r="G39" s="85" t="str">
        <f ca="1">VLOOKUP($B39&amp;"_"&amp;$E39,OFFSET([2]stages!$A$1,0,0,COUNTA([2]stages!$A:$A),MATCH(G$1,[2]stages!$2:$2,0)-MATCH("temp_stage",[2]stages!$2:$2,0)+1),MATCH(G$1,[2]stages!$2:$2,0)-MATCH("temp_stage",[2]stages!$2:$2,0)+1,FALSE)</f>
        <v>コラボ超降臨3</v>
      </c>
      <c r="H39" s="161">
        <v>0</v>
      </c>
      <c r="I39" s="90">
        <f t="shared" si="0"/>
        <v>38</v>
      </c>
      <c r="J39" s="86" t="str">
        <f t="shared" si="6"/>
        <v>5900338</v>
      </c>
      <c r="K39" s="84" t="s">
        <v>126</v>
      </c>
      <c r="L39" s="184" t="s">
        <v>702</v>
      </c>
      <c r="M39" s="185" t="s">
        <v>730</v>
      </c>
      <c r="N39" s="56" t="s">
        <v>198</v>
      </c>
      <c r="O39" s="180">
        <v>1573</v>
      </c>
      <c r="P39" s="45" t="s">
        <v>612</v>
      </c>
    </row>
    <row r="40" spans="1:16" x14ac:dyDescent="0.15">
      <c r="A40" s="159" t="s">
        <v>387</v>
      </c>
      <c r="B40" s="160">
        <v>59003</v>
      </c>
      <c r="C40" s="83" t="str">
        <f ca="1">VLOOKUP($B40,OFFSET([2]quests!$A$1,0,0,COUNTA([2]quests!$A:$A),MATCH(C$1,[2]quests!$1:$1,0)-MATCH($B$1,[2]quests!$1:$1,0)+1),MATCH(C$1,[2]quests!$1:$1,0)-MATCH($B$1,[2]quests!$1:$1,0)+1,FALSE)</f>
        <v>風雷</v>
      </c>
      <c r="D40" s="83" t="str">
        <f ca="1">VLOOKUP($B40,OFFSET([2]quests!$A$1,0,0,COUNTA([2]quests!$A:$A),MATCH(D$1,[2]quests!$1:$1,0)-MATCH($B$1,[2]quests!$1:$1,0)+1),MATCH(D$1,[2]quests!$1:$1,0)-MATCH($B$1,[2]quests!$1:$1,0)+1,FALSE)</f>
        <v>コラボ超降臨3</v>
      </c>
      <c r="E40" s="84">
        <v>1</v>
      </c>
      <c r="F40" s="85" t="str">
        <f ca="1">VLOOKUP($B40&amp;"_"&amp;$E40,OFFSET([2]stages!$A$1,0,0,COUNTA([2]stages!$A:$A),MATCH(F$1,[2]stages!$2:$2,0)-MATCH("temp_stage",[2]stages!$2:$2,0)+1),MATCH(F$1,[2]stages!$2:$2,0)-MATCH("temp_stage",[2]stages!$2:$2,0)+1,FALSE)</f>
        <v>【ウィザード級】風雷</v>
      </c>
      <c r="G40" s="85" t="str">
        <f ca="1">VLOOKUP($B40&amp;"_"&amp;$E40,OFFSET([2]stages!$A$1,0,0,COUNTA([2]stages!$A:$A),MATCH(G$1,[2]stages!$2:$2,0)-MATCH("temp_stage",[2]stages!$2:$2,0)+1),MATCH(G$1,[2]stages!$2:$2,0)-MATCH("temp_stage",[2]stages!$2:$2,0)+1,FALSE)</f>
        <v>コラボ超降臨3</v>
      </c>
      <c r="H40" s="161">
        <v>0</v>
      </c>
      <c r="I40" s="90">
        <f t="shared" si="0"/>
        <v>39</v>
      </c>
      <c r="J40" s="86" t="str">
        <f t="shared" si="6"/>
        <v>5900339</v>
      </c>
      <c r="K40" s="84" t="s">
        <v>126</v>
      </c>
      <c r="L40" s="184" t="s">
        <v>703</v>
      </c>
      <c r="M40" s="185" t="s">
        <v>709</v>
      </c>
      <c r="N40" s="56" t="s">
        <v>198</v>
      </c>
      <c r="O40" s="180">
        <v>1574</v>
      </c>
      <c r="P40" s="45" t="s">
        <v>613</v>
      </c>
    </row>
    <row r="41" spans="1:16" ht="42" x14ac:dyDescent="0.15">
      <c r="A41" s="159" t="s">
        <v>387</v>
      </c>
      <c r="B41" s="160">
        <v>59003</v>
      </c>
      <c r="C41" s="83" t="str">
        <f ca="1">VLOOKUP($B41,OFFSET([2]quests!$A$1,0,0,COUNTA([2]quests!$A:$A),MATCH(C$1,[2]quests!$1:$1,0)-MATCH($B$1,[2]quests!$1:$1,0)+1),MATCH(C$1,[2]quests!$1:$1,0)-MATCH($B$1,[2]quests!$1:$1,0)+1,FALSE)</f>
        <v>風雷</v>
      </c>
      <c r="D41" s="83" t="str">
        <f ca="1">VLOOKUP($B41,OFFSET([2]quests!$A$1,0,0,COUNTA([2]quests!$A:$A),MATCH(D$1,[2]quests!$1:$1,0)-MATCH($B$1,[2]quests!$1:$1,0)+1),MATCH(D$1,[2]quests!$1:$1,0)-MATCH($B$1,[2]quests!$1:$1,0)+1,FALSE)</f>
        <v>コラボ超降臨3</v>
      </c>
      <c r="E41" s="84">
        <v>1</v>
      </c>
      <c r="F41" s="85" t="str">
        <f ca="1">VLOOKUP($B41&amp;"_"&amp;$E41,OFFSET([2]stages!$A$1,0,0,COUNTA([2]stages!$A:$A),MATCH(F$1,[2]stages!$2:$2,0)-MATCH("temp_stage",[2]stages!$2:$2,0)+1),MATCH(F$1,[2]stages!$2:$2,0)-MATCH("temp_stage",[2]stages!$2:$2,0)+1,FALSE)</f>
        <v>【ウィザード級】風雷</v>
      </c>
      <c r="G41" s="85" t="str">
        <f ca="1">VLOOKUP($B41&amp;"_"&amp;$E41,OFFSET([2]stages!$A$1,0,0,COUNTA([2]stages!$A:$A),MATCH(G$1,[2]stages!$2:$2,0)-MATCH("temp_stage",[2]stages!$2:$2,0)+1),MATCH(G$1,[2]stages!$2:$2,0)-MATCH("temp_stage",[2]stages!$2:$2,0)+1,FALSE)</f>
        <v>コラボ超降臨3</v>
      </c>
      <c r="H41" s="161">
        <v>0</v>
      </c>
      <c r="I41" s="90">
        <f t="shared" si="0"/>
        <v>40</v>
      </c>
      <c r="J41" s="86" t="str">
        <f t="shared" si="6"/>
        <v>5900340</v>
      </c>
      <c r="K41" s="84" t="s">
        <v>126</v>
      </c>
      <c r="L41" s="184" t="s">
        <v>704</v>
      </c>
      <c r="M41" s="185" t="s">
        <v>711</v>
      </c>
      <c r="N41" s="56" t="s">
        <v>198</v>
      </c>
      <c r="O41" s="180">
        <v>1575</v>
      </c>
      <c r="P41" s="45" t="s">
        <v>614</v>
      </c>
    </row>
    <row r="42" spans="1:16" ht="28" x14ac:dyDescent="0.15">
      <c r="A42" s="159" t="s">
        <v>387</v>
      </c>
      <c r="B42" s="160">
        <v>59003</v>
      </c>
      <c r="C42" s="83" t="str">
        <f ca="1">VLOOKUP($B42,OFFSET([2]quests!$A$1,0,0,COUNTA([2]quests!$A:$A),MATCH(C$1,[2]quests!$1:$1,0)-MATCH($B$1,[2]quests!$1:$1,0)+1),MATCH(C$1,[2]quests!$1:$1,0)-MATCH($B$1,[2]quests!$1:$1,0)+1,FALSE)</f>
        <v>風雷</v>
      </c>
      <c r="D42" s="83" t="str">
        <f ca="1">VLOOKUP($B42,OFFSET([2]quests!$A$1,0,0,COUNTA([2]quests!$A:$A),MATCH(D$1,[2]quests!$1:$1,0)-MATCH($B$1,[2]quests!$1:$1,0)+1),MATCH(D$1,[2]quests!$1:$1,0)-MATCH($B$1,[2]quests!$1:$1,0)+1,FALSE)</f>
        <v>コラボ超降臨3</v>
      </c>
      <c r="E42" s="84">
        <v>1</v>
      </c>
      <c r="F42" s="85" t="str">
        <f ca="1">VLOOKUP($B42&amp;"_"&amp;$E42,OFFSET([2]stages!$A$1,0,0,COUNTA([2]stages!$A:$A),MATCH(F$1,[2]stages!$2:$2,0)-MATCH("temp_stage",[2]stages!$2:$2,0)+1),MATCH(F$1,[2]stages!$2:$2,0)-MATCH("temp_stage",[2]stages!$2:$2,0)+1,FALSE)</f>
        <v>【ウィザード級】風雷</v>
      </c>
      <c r="G42" s="85" t="str">
        <f ca="1">VLOOKUP($B42&amp;"_"&amp;$E42,OFFSET([2]stages!$A$1,0,0,COUNTA([2]stages!$A:$A),MATCH(G$1,[2]stages!$2:$2,0)-MATCH("temp_stage",[2]stages!$2:$2,0)+1),MATCH(G$1,[2]stages!$2:$2,0)-MATCH("temp_stage",[2]stages!$2:$2,0)+1,FALSE)</f>
        <v>コラボ超降臨3</v>
      </c>
      <c r="H42" s="161">
        <v>0</v>
      </c>
      <c r="I42" s="90">
        <f t="shared" si="0"/>
        <v>41</v>
      </c>
      <c r="J42" s="86" t="str">
        <f t="shared" si="6"/>
        <v>5900341</v>
      </c>
      <c r="K42" s="84" t="s">
        <v>126</v>
      </c>
      <c r="L42" s="184" t="s">
        <v>705</v>
      </c>
      <c r="M42" s="185" t="s">
        <v>713</v>
      </c>
      <c r="N42" s="56" t="s">
        <v>198</v>
      </c>
      <c r="O42" s="180">
        <v>1577</v>
      </c>
      <c r="P42" s="45" t="s">
        <v>616</v>
      </c>
    </row>
    <row r="43" spans="1:16" ht="42" x14ac:dyDescent="0.15">
      <c r="A43" s="159" t="s">
        <v>387</v>
      </c>
      <c r="B43" s="160">
        <v>59003</v>
      </c>
      <c r="E43" s="84">
        <v>1</v>
      </c>
      <c r="F43" s="85" t="str">
        <f ca="1">VLOOKUP($B43&amp;"_"&amp;$E43,OFFSET([2]stages!$A$1,0,0,COUNTA([2]stages!$A:$A),MATCH(F$1,[2]stages!$2:$2,0)-MATCH("temp_stage",[2]stages!$2:$2,0)+1),MATCH(F$1,[2]stages!$2:$2,0)-MATCH("temp_stage",[2]stages!$2:$2,0)+1,FALSE)</f>
        <v>【ウィザード級】風雷</v>
      </c>
      <c r="G43" s="85" t="str">
        <f ca="1">VLOOKUP($B43&amp;"_"&amp;$E43,OFFSET([2]stages!$A$1,0,0,COUNTA([2]stages!$A:$A),MATCH(G$1,[2]stages!$2:$2,0)-MATCH("temp_stage",[2]stages!$2:$2,0)+1),MATCH(G$1,[2]stages!$2:$2,0)-MATCH("temp_stage",[2]stages!$2:$2,0)+1,FALSE)</f>
        <v>コラボ超降臨3</v>
      </c>
      <c r="H43" s="161">
        <v>0</v>
      </c>
      <c r="I43" s="90">
        <f t="shared" si="0"/>
        <v>42</v>
      </c>
      <c r="J43" s="86" t="str">
        <f t="shared" si="6"/>
        <v>5900342</v>
      </c>
      <c r="K43" s="84" t="s">
        <v>126</v>
      </c>
      <c r="L43" s="184" t="s">
        <v>706</v>
      </c>
      <c r="M43" s="185" t="s">
        <v>715</v>
      </c>
      <c r="N43" s="56" t="s">
        <v>198</v>
      </c>
      <c r="O43" s="180">
        <v>1578</v>
      </c>
      <c r="P43" s="45" t="s">
        <v>617</v>
      </c>
    </row>
    <row r="44" spans="1:16" ht="28" x14ac:dyDescent="0.15">
      <c r="A44" s="159" t="s">
        <v>387</v>
      </c>
      <c r="B44" s="160">
        <v>59003</v>
      </c>
      <c r="E44" s="84">
        <v>1</v>
      </c>
      <c r="F44" s="85" t="str">
        <f ca="1">VLOOKUP($B44&amp;"_"&amp;$E44,OFFSET([2]stages!$A$1,0,0,COUNTA([2]stages!$A:$A),MATCH(F$1,[2]stages!$2:$2,0)-MATCH("temp_stage",[2]stages!$2:$2,0)+1),MATCH(F$1,[2]stages!$2:$2,0)-MATCH("temp_stage",[2]stages!$2:$2,0)+1,FALSE)</f>
        <v>【ウィザード級】風雷</v>
      </c>
      <c r="G44" s="85" t="str">
        <f ca="1">VLOOKUP($B44&amp;"_"&amp;$E44,OFFSET([2]stages!$A$1,0,0,COUNTA([2]stages!$A:$A),MATCH(G$1,[2]stages!$2:$2,0)-MATCH("temp_stage",[2]stages!$2:$2,0)+1),MATCH(G$1,[2]stages!$2:$2,0)-MATCH("temp_stage",[2]stages!$2:$2,0)+1,FALSE)</f>
        <v>コラボ超降臨3</v>
      </c>
      <c r="H44" s="161">
        <v>0</v>
      </c>
      <c r="I44" s="90">
        <f t="shared" si="0"/>
        <v>43</v>
      </c>
      <c r="J44" s="86" t="str">
        <f t="shared" si="6"/>
        <v>5900343</v>
      </c>
      <c r="K44" s="84" t="s">
        <v>126</v>
      </c>
      <c r="L44" s="184" t="s">
        <v>723</v>
      </c>
      <c r="M44" s="185" t="s">
        <v>725</v>
      </c>
      <c r="N44" s="56" t="s">
        <v>198</v>
      </c>
      <c r="O44" s="180">
        <v>1584</v>
      </c>
      <c r="P44" s="45" t="s">
        <v>618</v>
      </c>
    </row>
    <row r="45" spans="1:16" ht="28" x14ac:dyDescent="0.15">
      <c r="A45" s="159" t="s">
        <v>387</v>
      </c>
      <c r="B45" s="160">
        <v>59003</v>
      </c>
      <c r="C45" s="83" t="str">
        <f ca="1">VLOOKUP($B45,OFFSET([2]quests!$A$1,0,0,COUNTA([2]quests!$A:$A),MATCH(C$1,[2]quests!$1:$1,0)-MATCH($B$1,[2]quests!$1:$1,0)+1),MATCH(C$1,[2]quests!$1:$1,0)-MATCH($B$1,[2]quests!$1:$1,0)+1,FALSE)</f>
        <v>風雷</v>
      </c>
      <c r="D45" s="83" t="str">
        <f ca="1">VLOOKUP($B45,OFFSET([2]quests!$A$1,0,0,COUNTA([2]quests!$A:$A),MATCH(D$1,[2]quests!$1:$1,0)-MATCH($B$1,[2]quests!$1:$1,0)+1),MATCH(D$1,[2]quests!$1:$1,0)-MATCH($B$1,[2]quests!$1:$1,0)+1,FALSE)</f>
        <v>コラボ超降臨3</v>
      </c>
      <c r="E45" s="162">
        <v>2</v>
      </c>
      <c r="F45" s="163" t="str">
        <f ca="1">VLOOKUP($B45&amp;"_"&amp;$E45,OFFSET([2]stages!$A$1,0,0,COUNTA([2]stages!$A:$A),MATCH(F$1,[2]stages!$2:$2,0)-MATCH("temp_stage",[2]stages!$2:$2,0)+1),MATCH(F$1,[2]stages!$2:$2,0)-MATCH("temp_stage",[2]stages!$2:$2,0)+1,FALSE)</f>
        <v>【超ウィザード級】風雷</v>
      </c>
      <c r="G45" s="163" t="str">
        <f ca="1">VLOOKUP($B45&amp;"_"&amp;$E45,OFFSET([2]stages!$A$1,0,0,COUNTA([2]stages!$A:$A),MATCH(G$1,[2]stages!$2:$2,0)-MATCH("temp_stage",[2]stages!$2:$2,0)+1),MATCH(G$1,[2]stages!$2:$2,0)-MATCH("temp_stage",[2]stages!$2:$2,0)+1,FALSE)</f>
        <v>コラボ超降臨3</v>
      </c>
      <c r="H45" s="164">
        <v>0</v>
      </c>
      <c r="I45" s="90">
        <f t="shared" si="0"/>
        <v>44</v>
      </c>
      <c r="J45" s="86" t="str">
        <f t="shared" ref="J45" si="7">B45&amp;TEXT(I45,"00")</f>
        <v>5900344</v>
      </c>
      <c r="K45" s="162" t="s">
        <v>126</v>
      </c>
      <c r="L45" s="165" t="s">
        <v>621</v>
      </c>
      <c r="M45" s="166" t="s">
        <v>624</v>
      </c>
      <c r="N45" s="56" t="s">
        <v>198</v>
      </c>
      <c r="O45" s="56" t="s">
        <v>198</v>
      </c>
    </row>
    <row r="46" spans="1:16" ht="42" x14ac:dyDescent="0.15">
      <c r="A46" s="159" t="s">
        <v>387</v>
      </c>
      <c r="B46" s="160">
        <v>59003</v>
      </c>
      <c r="C46" s="83" t="str">
        <f ca="1">VLOOKUP($B46,OFFSET([2]quests!$A$1,0,0,COUNTA([2]quests!$A:$A),MATCH(C$1,[2]quests!$1:$1,0)-MATCH($B$1,[2]quests!$1:$1,0)+1),MATCH(C$1,[2]quests!$1:$1,0)-MATCH($B$1,[2]quests!$1:$1,0)+1,FALSE)</f>
        <v>風雷</v>
      </c>
      <c r="D46" s="83" t="str">
        <f ca="1">VLOOKUP($B46,OFFSET([2]quests!$A$1,0,0,COUNTA([2]quests!$A:$A),MATCH(D$1,[2]quests!$1:$1,0)-MATCH($B$1,[2]quests!$1:$1,0)+1),MATCH(D$1,[2]quests!$1:$1,0)-MATCH($B$1,[2]quests!$1:$1,0)+1,FALSE)</f>
        <v>コラボ超降臨3</v>
      </c>
      <c r="E46" s="162">
        <v>2</v>
      </c>
      <c r="F46" s="163" t="str">
        <f ca="1">VLOOKUP($B46&amp;"_"&amp;$E46,OFFSET([2]stages!$A$1,0,0,COUNTA([2]stages!$A:$A),MATCH(F$1,[2]stages!$2:$2,0)-MATCH("temp_stage",[2]stages!$2:$2,0)+1),MATCH(F$1,[2]stages!$2:$2,0)-MATCH("temp_stage",[2]stages!$2:$2,0)+1,FALSE)</f>
        <v>【超ウィザード級】風雷</v>
      </c>
      <c r="G46" s="163" t="str">
        <f ca="1">VLOOKUP($B46&amp;"_"&amp;$E46,OFFSET([2]stages!$A$1,0,0,COUNTA([2]stages!$A:$A),MATCH(G$1,[2]stages!$2:$2,0)-MATCH("temp_stage",[2]stages!$2:$2,0)+1),MATCH(G$1,[2]stages!$2:$2,0)-MATCH("temp_stage",[2]stages!$2:$2,0)+1,FALSE)</f>
        <v>コラボ超降臨3</v>
      </c>
      <c r="H46" s="164">
        <v>0</v>
      </c>
      <c r="I46" s="90">
        <f t="shared" si="0"/>
        <v>45</v>
      </c>
      <c r="J46" s="86" t="str">
        <f t="shared" ref="J46:J47" si="8">B46&amp;TEXT(I46,"00")</f>
        <v>5900345</v>
      </c>
      <c r="K46" s="162" t="s">
        <v>126</v>
      </c>
      <c r="L46" s="165" t="s">
        <v>622</v>
      </c>
      <c r="M46" s="166" t="s">
        <v>625</v>
      </c>
      <c r="N46" s="56" t="s">
        <v>198</v>
      </c>
      <c r="O46" s="56" t="s">
        <v>198</v>
      </c>
    </row>
    <row r="47" spans="1:16" ht="42" x14ac:dyDescent="0.15">
      <c r="A47" s="159" t="s">
        <v>387</v>
      </c>
      <c r="B47" s="160">
        <v>59003</v>
      </c>
      <c r="C47" s="83" t="str">
        <f ca="1">VLOOKUP($B47,OFFSET([2]quests!$A$1,0,0,COUNTA([2]quests!$A:$A),MATCH(C$1,[2]quests!$1:$1,0)-MATCH($B$1,[2]quests!$1:$1,0)+1),MATCH(C$1,[2]quests!$1:$1,0)-MATCH($B$1,[2]quests!$1:$1,0)+1,FALSE)</f>
        <v>風雷</v>
      </c>
      <c r="D47" s="83" t="str">
        <f ca="1">VLOOKUP($B47,OFFSET([2]quests!$A$1,0,0,COUNTA([2]quests!$A:$A),MATCH(D$1,[2]quests!$1:$1,0)-MATCH($B$1,[2]quests!$1:$1,0)+1),MATCH(D$1,[2]quests!$1:$1,0)-MATCH($B$1,[2]quests!$1:$1,0)+1,FALSE)</f>
        <v>コラボ超降臨3</v>
      </c>
      <c r="E47" s="162">
        <v>2</v>
      </c>
      <c r="F47" s="163" t="str">
        <f ca="1">VLOOKUP($B47&amp;"_"&amp;$E47,OFFSET([2]stages!$A$1,0,0,COUNTA([2]stages!$A:$A),MATCH(F$1,[2]stages!$2:$2,0)-MATCH("temp_stage",[2]stages!$2:$2,0)+1),MATCH(F$1,[2]stages!$2:$2,0)-MATCH("temp_stage",[2]stages!$2:$2,0)+1,FALSE)</f>
        <v>【超ウィザード級】風雷</v>
      </c>
      <c r="G47" s="163" t="str">
        <f ca="1">VLOOKUP($B47&amp;"_"&amp;$E47,OFFSET([2]stages!$A$1,0,0,COUNTA([2]stages!$A:$A),MATCH(G$1,[2]stages!$2:$2,0)-MATCH("temp_stage",[2]stages!$2:$2,0)+1),MATCH(G$1,[2]stages!$2:$2,0)-MATCH("temp_stage",[2]stages!$2:$2,0)+1,FALSE)</f>
        <v>コラボ超降臨3</v>
      </c>
      <c r="H47" s="164">
        <v>0</v>
      </c>
      <c r="I47" s="90">
        <f t="shared" si="0"/>
        <v>46</v>
      </c>
      <c r="J47" s="86" t="str">
        <f t="shared" si="8"/>
        <v>5900346</v>
      </c>
      <c r="K47" s="162" t="s">
        <v>126</v>
      </c>
      <c r="L47" s="165" t="s">
        <v>623</v>
      </c>
      <c r="M47" s="166" t="s">
        <v>626</v>
      </c>
      <c r="N47" s="56" t="s">
        <v>198</v>
      </c>
      <c r="O47" s="56" t="s">
        <v>198</v>
      </c>
    </row>
    <row r="48" spans="1:16" ht="28" x14ac:dyDescent="0.15">
      <c r="A48" s="159" t="s">
        <v>387</v>
      </c>
      <c r="B48" s="160">
        <v>59003</v>
      </c>
      <c r="C48" s="83" t="str">
        <f ca="1">VLOOKUP($B48,OFFSET([2]quests!$A$1,0,0,COUNTA([2]quests!$A:$A),MATCH(C$1,[2]quests!$1:$1,0)-MATCH($B$1,[2]quests!$1:$1,0)+1),MATCH(C$1,[2]quests!$1:$1,0)-MATCH($B$1,[2]quests!$1:$1,0)+1,FALSE)</f>
        <v>風雷</v>
      </c>
      <c r="D48" s="83" t="str">
        <f ca="1">VLOOKUP($B48,OFFSET([2]quests!$A$1,0,0,COUNTA([2]quests!$A:$A),MATCH(D$1,[2]quests!$1:$1,0)-MATCH($B$1,[2]quests!$1:$1,0)+1),MATCH(D$1,[2]quests!$1:$1,0)-MATCH($B$1,[2]quests!$1:$1,0)+1,FALSE)</f>
        <v>コラボ超降臨3</v>
      </c>
      <c r="E48" s="162">
        <v>2</v>
      </c>
      <c r="F48" s="163" t="str">
        <f ca="1">VLOOKUP($B48&amp;"_"&amp;$E48,OFFSET([2]stages!$A$1,0,0,COUNTA([2]stages!$A:$A),MATCH(F$1,[2]stages!$2:$2,0)-MATCH("temp_stage",[2]stages!$2:$2,0)+1),MATCH(F$1,[2]stages!$2:$2,0)-MATCH("temp_stage",[2]stages!$2:$2,0)+1,FALSE)</f>
        <v>【超ウィザード級】風雷</v>
      </c>
      <c r="G48" s="163" t="str">
        <f ca="1">VLOOKUP($B48&amp;"_"&amp;$E48,OFFSET([2]stages!$A$1,0,0,COUNTA([2]stages!$A:$A),MATCH(G$1,[2]stages!$2:$2,0)-MATCH("temp_stage",[2]stages!$2:$2,0)+1),MATCH(G$1,[2]stages!$2:$2,0)-MATCH("temp_stage",[2]stages!$2:$2,0)+1,FALSE)</f>
        <v>コラボ超降臨3</v>
      </c>
      <c r="H48" s="164">
        <v>0</v>
      </c>
      <c r="I48" s="90">
        <f t="shared" si="0"/>
        <v>47</v>
      </c>
      <c r="J48" s="86" t="str">
        <f t="shared" ref="J48" si="9">B48&amp;TEXT(I48,"00")</f>
        <v>5900347</v>
      </c>
      <c r="K48" s="162" t="s">
        <v>126</v>
      </c>
      <c r="L48" s="182" t="s">
        <v>716</v>
      </c>
      <c r="M48" s="183" t="s">
        <v>717</v>
      </c>
      <c r="N48" s="56" t="s">
        <v>198</v>
      </c>
      <c r="O48" s="47">
        <v>1579</v>
      </c>
      <c r="P48" s="45" t="s">
        <v>266</v>
      </c>
    </row>
    <row r="49" spans="1:16" ht="28" x14ac:dyDescent="0.15">
      <c r="A49" s="159" t="s">
        <v>387</v>
      </c>
      <c r="B49" s="160">
        <v>59003</v>
      </c>
      <c r="C49" s="83" t="str">
        <f ca="1">VLOOKUP($B49,OFFSET([2]quests!$A$1,0,0,COUNTA([2]quests!$A:$A),MATCH(C$1,[2]quests!$1:$1,0)-MATCH($B$1,[2]quests!$1:$1,0)+1),MATCH(C$1,[2]quests!$1:$1,0)-MATCH($B$1,[2]quests!$1:$1,0)+1,FALSE)</f>
        <v>風雷</v>
      </c>
      <c r="D49" s="83" t="str">
        <f ca="1">VLOOKUP($B49,OFFSET([2]quests!$A$1,0,0,COUNTA([2]quests!$A:$A),MATCH(D$1,[2]quests!$1:$1,0)-MATCH($B$1,[2]quests!$1:$1,0)+1),MATCH(D$1,[2]quests!$1:$1,0)-MATCH($B$1,[2]quests!$1:$1,0)+1,FALSE)</f>
        <v>コラボ超降臨3</v>
      </c>
      <c r="E49" s="162">
        <v>2</v>
      </c>
      <c r="F49" s="163" t="str">
        <f ca="1">VLOOKUP($B49&amp;"_"&amp;$E49,OFFSET([2]stages!$A$1,0,0,COUNTA([2]stages!$A:$A),MATCH(F$1,[2]stages!$2:$2,0)-MATCH("temp_stage",[2]stages!$2:$2,0)+1),MATCH(F$1,[2]stages!$2:$2,0)-MATCH("temp_stage",[2]stages!$2:$2,0)+1,FALSE)</f>
        <v>【超ウィザード級】風雷</v>
      </c>
      <c r="G49" s="163" t="str">
        <f ca="1">VLOOKUP($B49&amp;"_"&amp;$E49,OFFSET([2]stages!$A$1,0,0,COUNTA([2]stages!$A:$A),MATCH(G$1,[2]stages!$2:$2,0)-MATCH("temp_stage",[2]stages!$2:$2,0)+1),MATCH(G$1,[2]stages!$2:$2,0)-MATCH("temp_stage",[2]stages!$2:$2,0)+1,FALSE)</f>
        <v>コラボ超降臨3</v>
      </c>
      <c r="H49" s="164">
        <v>0</v>
      </c>
      <c r="I49" s="90">
        <f t="shared" si="0"/>
        <v>48</v>
      </c>
      <c r="J49" s="86" t="str">
        <f t="shared" ref="J49" si="10">B49&amp;TEXT(I49,"00")</f>
        <v>5900348</v>
      </c>
      <c r="K49" s="162" t="s">
        <v>126</v>
      </c>
      <c r="L49" s="182" t="s">
        <v>726</v>
      </c>
      <c r="M49" s="183" t="s">
        <v>727</v>
      </c>
      <c r="N49" s="56" t="s">
        <v>198</v>
      </c>
      <c r="O49" s="47">
        <v>1587</v>
      </c>
      <c r="P49" s="45" t="s">
        <v>268</v>
      </c>
    </row>
    <row r="50" spans="1:16" x14ac:dyDescent="0.15">
      <c r="A50" s="159" t="s">
        <v>387</v>
      </c>
      <c r="B50" s="160">
        <v>59003</v>
      </c>
      <c r="C50" s="83" t="str">
        <f ca="1">VLOOKUP($B50,OFFSET([2]quests!$A$1,0,0,COUNTA([2]quests!$A:$A),MATCH(C$1,[2]quests!$1:$1,0)-MATCH($B$1,[2]quests!$1:$1,0)+1),MATCH(C$1,[2]quests!$1:$1,0)-MATCH($B$1,[2]quests!$1:$1,0)+1,FALSE)</f>
        <v>風雷</v>
      </c>
      <c r="D50" s="83" t="str">
        <f ca="1">VLOOKUP($B50,OFFSET([2]quests!$A$1,0,0,COUNTA([2]quests!$A:$A),MATCH(D$1,[2]quests!$1:$1,0)-MATCH($B$1,[2]quests!$1:$1,0)+1),MATCH(D$1,[2]quests!$1:$1,0)-MATCH($B$1,[2]quests!$1:$1,0)+1,FALSE)</f>
        <v>コラボ超降臨3</v>
      </c>
      <c r="E50" s="162">
        <v>2</v>
      </c>
      <c r="F50" s="163" t="str">
        <f ca="1">VLOOKUP($B50&amp;"_"&amp;$E50,OFFSET([2]stages!$A$1,0,0,COUNTA([2]stages!$A:$A),MATCH(F$1,[2]stages!$2:$2,0)-MATCH("temp_stage",[2]stages!$2:$2,0)+1),MATCH(F$1,[2]stages!$2:$2,0)-MATCH("temp_stage",[2]stages!$2:$2,0)+1,FALSE)</f>
        <v>【超ウィザード級】風雷</v>
      </c>
      <c r="G50" s="163" t="str">
        <f ca="1">VLOOKUP($B50&amp;"_"&amp;$E50,OFFSET([2]stages!$A$1,0,0,COUNTA([2]stages!$A:$A),MATCH(G$1,[2]stages!$2:$2,0)-MATCH("temp_stage",[2]stages!$2:$2,0)+1),MATCH(G$1,[2]stages!$2:$2,0)-MATCH("temp_stage",[2]stages!$2:$2,0)+1,FALSE)</f>
        <v>コラボ超降臨3</v>
      </c>
      <c r="H50" s="164">
        <v>0</v>
      </c>
      <c r="I50" s="90">
        <f t="shared" si="0"/>
        <v>49</v>
      </c>
      <c r="J50" s="86" t="str">
        <f t="shared" ref="J50:J67" si="11">B50&amp;TEXT(I50,"00")</f>
        <v>5900349</v>
      </c>
      <c r="K50" s="162" t="s">
        <v>126</v>
      </c>
      <c r="L50" s="182" t="s">
        <v>719</v>
      </c>
      <c r="M50" s="183" t="s">
        <v>721</v>
      </c>
      <c r="N50" s="56" t="s">
        <v>198</v>
      </c>
      <c r="O50" s="47">
        <v>1581</v>
      </c>
      <c r="P50" s="45" t="s">
        <v>270</v>
      </c>
    </row>
    <row r="51" spans="1:16" ht="42" x14ac:dyDescent="0.15">
      <c r="A51" s="159" t="s">
        <v>387</v>
      </c>
      <c r="B51" s="160">
        <v>59003</v>
      </c>
      <c r="C51" s="83" t="str">
        <f ca="1">VLOOKUP($B51,OFFSET([2]quests!$A$1,0,0,COUNTA([2]quests!$A:$A),MATCH(C$1,[2]quests!$1:$1,0)-MATCH($B$1,[2]quests!$1:$1,0)+1),MATCH(C$1,[2]quests!$1:$1,0)-MATCH($B$1,[2]quests!$1:$1,0)+1,FALSE)</f>
        <v>風雷</v>
      </c>
      <c r="D51" s="83" t="str">
        <f ca="1">VLOOKUP($B51,OFFSET([2]quests!$A$1,0,0,COUNTA([2]quests!$A:$A),MATCH(D$1,[2]quests!$1:$1,0)-MATCH($B$1,[2]quests!$1:$1,0)+1),MATCH(D$1,[2]quests!$1:$1,0)-MATCH($B$1,[2]quests!$1:$1,0)+1,FALSE)</f>
        <v>コラボ超降臨3</v>
      </c>
      <c r="E51" s="162">
        <v>2</v>
      </c>
      <c r="F51" s="163" t="str">
        <f ca="1">VLOOKUP($B51&amp;"_"&amp;$E51,OFFSET([2]stages!$A$1,0,0,COUNTA([2]stages!$A:$A),MATCH(F$1,[2]stages!$2:$2,0)-MATCH("temp_stage",[2]stages!$2:$2,0)+1),MATCH(F$1,[2]stages!$2:$2,0)-MATCH("temp_stage",[2]stages!$2:$2,0)+1,FALSE)</f>
        <v>【超ウィザード級】風雷</v>
      </c>
      <c r="G51" s="163" t="str">
        <f ca="1">VLOOKUP($B51&amp;"_"&amp;$E51,OFFSET([2]stages!$A$1,0,0,COUNTA([2]stages!$A:$A),MATCH(G$1,[2]stages!$2:$2,0)-MATCH("temp_stage",[2]stages!$2:$2,0)+1),MATCH(G$1,[2]stages!$2:$2,0)-MATCH("temp_stage",[2]stages!$2:$2,0)+1,FALSE)</f>
        <v>コラボ超降臨3</v>
      </c>
      <c r="H51" s="164">
        <v>0</v>
      </c>
      <c r="I51" s="90">
        <f t="shared" si="0"/>
        <v>50</v>
      </c>
      <c r="J51" s="86" t="str">
        <f t="shared" si="11"/>
        <v>5900350</v>
      </c>
      <c r="K51" s="162" t="s">
        <v>126</v>
      </c>
      <c r="L51" s="182" t="s">
        <v>697</v>
      </c>
      <c r="M51" s="183" t="s">
        <v>698</v>
      </c>
      <c r="N51" s="56" t="s">
        <v>198</v>
      </c>
      <c r="O51" s="47">
        <v>1570</v>
      </c>
      <c r="P51" s="45" t="s">
        <v>272</v>
      </c>
    </row>
    <row r="52" spans="1:16" ht="28" x14ac:dyDescent="0.15">
      <c r="A52" s="159" t="s">
        <v>387</v>
      </c>
      <c r="B52" s="160">
        <v>59003</v>
      </c>
      <c r="C52" s="83" t="str">
        <f ca="1">VLOOKUP($B52,OFFSET([2]quests!$A$1,0,0,COUNTA([2]quests!$A:$A),MATCH(C$1,[2]quests!$1:$1,0)-MATCH($B$1,[2]quests!$1:$1,0)+1),MATCH(C$1,[2]quests!$1:$1,0)-MATCH($B$1,[2]quests!$1:$1,0)+1,FALSE)</f>
        <v>風雷</v>
      </c>
      <c r="D52" s="83" t="str">
        <f ca="1">VLOOKUP($B52,OFFSET([2]quests!$A$1,0,0,COUNTA([2]quests!$A:$A),MATCH(D$1,[2]quests!$1:$1,0)-MATCH($B$1,[2]quests!$1:$1,0)+1),MATCH(D$1,[2]quests!$1:$1,0)-MATCH($B$1,[2]quests!$1:$1,0)+1,FALSE)</f>
        <v>コラボ超降臨3</v>
      </c>
      <c r="E52" s="162">
        <v>2</v>
      </c>
      <c r="F52" s="163" t="str">
        <f ca="1">VLOOKUP($B52&amp;"_"&amp;$E52,OFFSET([2]stages!$A$1,0,0,COUNTA([2]stages!$A:$A),MATCH(F$1,[2]stages!$2:$2,0)-MATCH("temp_stage",[2]stages!$2:$2,0)+1),MATCH(F$1,[2]stages!$2:$2,0)-MATCH("temp_stage",[2]stages!$2:$2,0)+1,FALSE)</f>
        <v>【超ウィザード級】風雷</v>
      </c>
      <c r="G52" s="163" t="str">
        <f ca="1">VLOOKUP($B52&amp;"_"&amp;$E52,OFFSET([2]stages!$A$1,0,0,COUNTA([2]stages!$A:$A),MATCH(G$1,[2]stages!$2:$2,0)-MATCH("temp_stage",[2]stages!$2:$2,0)+1),MATCH(G$1,[2]stages!$2:$2,0)-MATCH("temp_stage",[2]stages!$2:$2,0)+1,FALSE)</f>
        <v>コラボ超降臨3</v>
      </c>
      <c r="H52" s="164">
        <v>0</v>
      </c>
      <c r="I52" s="90">
        <f t="shared" si="0"/>
        <v>51</v>
      </c>
      <c r="J52" s="86" t="str">
        <f t="shared" si="11"/>
        <v>5900351</v>
      </c>
      <c r="K52" s="162" t="s">
        <v>126</v>
      </c>
      <c r="L52" s="182" t="s">
        <v>694</v>
      </c>
      <c r="M52" s="183" t="s">
        <v>695</v>
      </c>
      <c r="N52" s="56" t="s">
        <v>198</v>
      </c>
      <c r="O52" s="47">
        <v>1568</v>
      </c>
      <c r="P52" s="45" t="s">
        <v>273</v>
      </c>
    </row>
    <row r="53" spans="1:16" ht="28" x14ac:dyDescent="0.15">
      <c r="A53" s="159" t="s">
        <v>387</v>
      </c>
      <c r="B53" s="160">
        <v>59003</v>
      </c>
      <c r="C53" s="83" t="str">
        <f ca="1">VLOOKUP($B53,OFFSET([2]quests!$A$1,0,0,COUNTA([2]quests!$A:$A),MATCH(C$1,[2]quests!$1:$1,0)-MATCH($B$1,[2]quests!$1:$1,0)+1),MATCH(C$1,[2]quests!$1:$1,0)-MATCH($B$1,[2]quests!$1:$1,0)+1,FALSE)</f>
        <v>風雷</v>
      </c>
      <c r="D53" s="83" t="str">
        <f ca="1">VLOOKUP($B53,OFFSET([2]quests!$A$1,0,0,COUNTA([2]quests!$A:$A),MATCH(D$1,[2]quests!$1:$1,0)-MATCH($B$1,[2]quests!$1:$1,0)+1),MATCH(D$1,[2]quests!$1:$1,0)-MATCH($B$1,[2]quests!$1:$1,0)+1,FALSE)</f>
        <v>コラボ超降臨3</v>
      </c>
      <c r="E53" s="162">
        <v>2</v>
      </c>
      <c r="F53" s="163" t="str">
        <f ca="1">VLOOKUP($B53&amp;"_"&amp;$E53,OFFSET([2]stages!$A$1,0,0,COUNTA([2]stages!$A:$A),MATCH(F$1,[2]stages!$2:$2,0)-MATCH("temp_stage",[2]stages!$2:$2,0)+1),MATCH(F$1,[2]stages!$2:$2,0)-MATCH("temp_stage",[2]stages!$2:$2,0)+1,FALSE)</f>
        <v>【超ウィザード級】風雷</v>
      </c>
      <c r="G53" s="163" t="str">
        <f ca="1">VLOOKUP($B53&amp;"_"&amp;$E53,OFFSET([2]stages!$A$1,0,0,COUNTA([2]stages!$A:$A),MATCH(G$1,[2]stages!$2:$2,0)-MATCH("temp_stage",[2]stages!$2:$2,0)+1),MATCH(G$1,[2]stages!$2:$2,0)-MATCH("temp_stage",[2]stages!$2:$2,0)+1,FALSE)</f>
        <v>コラボ超降臨3</v>
      </c>
      <c r="H53" s="164">
        <v>0</v>
      </c>
      <c r="I53" s="90">
        <f t="shared" si="0"/>
        <v>52</v>
      </c>
      <c r="J53" s="86" t="str">
        <f t="shared" si="11"/>
        <v>5900352</v>
      </c>
      <c r="K53" s="162" t="s">
        <v>126</v>
      </c>
      <c r="L53" s="182" t="s">
        <v>669</v>
      </c>
      <c r="M53" s="183" t="s">
        <v>670</v>
      </c>
      <c r="N53" s="56" t="s">
        <v>198</v>
      </c>
      <c r="O53" s="47">
        <v>1553</v>
      </c>
      <c r="P53" s="45" t="s">
        <v>279</v>
      </c>
    </row>
    <row r="54" spans="1:16" ht="28" x14ac:dyDescent="0.15">
      <c r="A54" s="159" t="s">
        <v>387</v>
      </c>
      <c r="B54" s="160">
        <v>59003</v>
      </c>
      <c r="C54" s="83" t="str">
        <f ca="1">VLOOKUP($B54,OFFSET([2]quests!$A$1,0,0,COUNTA([2]quests!$A:$A),MATCH(C$1,[2]quests!$1:$1,0)-MATCH($B$1,[2]quests!$1:$1,0)+1),MATCH(C$1,[2]quests!$1:$1,0)-MATCH($B$1,[2]quests!$1:$1,0)+1,FALSE)</f>
        <v>風雷</v>
      </c>
      <c r="D54" s="83" t="str">
        <f ca="1">VLOOKUP($B54,OFFSET([2]quests!$A$1,0,0,COUNTA([2]quests!$A:$A),MATCH(D$1,[2]quests!$1:$1,0)-MATCH($B$1,[2]quests!$1:$1,0)+1),MATCH(D$1,[2]quests!$1:$1,0)-MATCH($B$1,[2]quests!$1:$1,0)+1,FALSE)</f>
        <v>コラボ超降臨3</v>
      </c>
      <c r="E54" s="162">
        <v>2</v>
      </c>
      <c r="F54" s="163" t="str">
        <f ca="1">VLOOKUP($B54&amp;"_"&amp;$E54,OFFSET([2]stages!$A$1,0,0,COUNTA([2]stages!$A:$A),MATCH(F$1,[2]stages!$2:$2,0)-MATCH("temp_stage",[2]stages!$2:$2,0)+1),MATCH(F$1,[2]stages!$2:$2,0)-MATCH("temp_stage",[2]stages!$2:$2,0)+1,FALSE)</f>
        <v>【超ウィザード級】風雷</v>
      </c>
      <c r="G54" s="163" t="str">
        <f ca="1">VLOOKUP($B54&amp;"_"&amp;$E54,OFFSET([2]stages!$A$1,0,0,COUNTA([2]stages!$A:$A),MATCH(G$1,[2]stages!$2:$2,0)-MATCH("temp_stage",[2]stages!$2:$2,0)+1),MATCH(G$1,[2]stages!$2:$2,0)-MATCH("temp_stage",[2]stages!$2:$2,0)+1,FALSE)</f>
        <v>コラボ超降臨3</v>
      </c>
      <c r="H54" s="164">
        <v>0</v>
      </c>
      <c r="I54" s="90">
        <f t="shared" si="0"/>
        <v>53</v>
      </c>
      <c r="J54" s="86" t="str">
        <f t="shared" si="11"/>
        <v>5900353</v>
      </c>
      <c r="K54" s="162" t="s">
        <v>126</v>
      </c>
      <c r="L54" s="182" t="s">
        <v>692</v>
      </c>
      <c r="M54" s="183" t="s">
        <v>693</v>
      </c>
      <c r="N54" s="56" t="s">
        <v>198</v>
      </c>
      <c r="O54" s="47">
        <v>1566</v>
      </c>
      <c r="P54" s="45" t="s">
        <v>277</v>
      </c>
    </row>
    <row r="55" spans="1:16" x14ac:dyDescent="0.15">
      <c r="A55" s="159" t="s">
        <v>387</v>
      </c>
      <c r="B55" s="160">
        <v>59003</v>
      </c>
      <c r="C55" s="83" t="str">
        <f ca="1">VLOOKUP($B55,OFFSET([2]quests!$A$1,0,0,COUNTA([2]quests!$A:$A),MATCH(C$1,[2]quests!$1:$1,0)-MATCH($B$1,[2]quests!$1:$1,0)+1),MATCH(C$1,[2]quests!$1:$1,0)-MATCH($B$1,[2]quests!$1:$1,0)+1,FALSE)</f>
        <v>風雷</v>
      </c>
      <c r="D55" s="83" t="str">
        <f ca="1">VLOOKUP($B55,OFFSET([2]quests!$A$1,0,0,COUNTA([2]quests!$A:$A),MATCH(D$1,[2]quests!$1:$1,0)-MATCH($B$1,[2]quests!$1:$1,0)+1),MATCH(D$1,[2]quests!$1:$1,0)-MATCH($B$1,[2]quests!$1:$1,0)+1,FALSE)</f>
        <v>コラボ超降臨3</v>
      </c>
      <c r="E55" s="162">
        <v>2</v>
      </c>
      <c r="F55" s="163" t="str">
        <f ca="1">VLOOKUP($B55&amp;"_"&amp;$E55,OFFSET([2]stages!$A$1,0,0,COUNTA([2]stages!$A:$A),MATCH(F$1,[2]stages!$2:$2,0)-MATCH("temp_stage",[2]stages!$2:$2,0)+1),MATCH(F$1,[2]stages!$2:$2,0)-MATCH("temp_stage",[2]stages!$2:$2,0)+1,FALSE)</f>
        <v>【超ウィザード級】風雷</v>
      </c>
      <c r="G55" s="163" t="str">
        <f ca="1">VLOOKUP($B55&amp;"_"&amp;$E55,OFFSET([2]stages!$A$1,0,0,COUNTA([2]stages!$A:$A),MATCH(G$1,[2]stages!$2:$2,0)-MATCH("temp_stage",[2]stages!$2:$2,0)+1),MATCH(G$1,[2]stages!$2:$2,0)-MATCH("temp_stage",[2]stages!$2:$2,0)+1,FALSE)</f>
        <v>コラボ超降臨3</v>
      </c>
      <c r="H55" s="164">
        <v>0</v>
      </c>
      <c r="I55" s="90">
        <f t="shared" si="0"/>
        <v>54</v>
      </c>
      <c r="J55" s="86" t="str">
        <f t="shared" si="11"/>
        <v>5900354</v>
      </c>
      <c r="K55" s="162" t="s">
        <v>126</v>
      </c>
      <c r="L55" s="182" t="s">
        <v>667</v>
      </c>
      <c r="M55" s="183" t="s">
        <v>665</v>
      </c>
      <c r="N55" s="56" t="s">
        <v>198</v>
      </c>
      <c r="O55" s="47">
        <v>1551</v>
      </c>
      <c r="P55" s="45" t="s">
        <v>275</v>
      </c>
    </row>
    <row r="56" spans="1:16" x14ac:dyDescent="0.15">
      <c r="A56" s="159" t="s">
        <v>387</v>
      </c>
      <c r="B56" s="160">
        <v>59003</v>
      </c>
      <c r="C56" s="83" t="str">
        <f ca="1">VLOOKUP($B56,OFFSET([2]quests!$A$1,0,0,COUNTA([2]quests!$A:$A),MATCH(C$1,[2]quests!$1:$1,0)-MATCH($B$1,[2]quests!$1:$1,0)+1),MATCH(C$1,[2]quests!$1:$1,0)-MATCH($B$1,[2]quests!$1:$1,0)+1,FALSE)</f>
        <v>風雷</v>
      </c>
      <c r="D56" s="83" t="str">
        <f ca="1">VLOOKUP($B56,OFFSET([2]quests!$A$1,0,0,COUNTA([2]quests!$A:$A),MATCH(D$1,[2]quests!$1:$1,0)-MATCH($B$1,[2]quests!$1:$1,0)+1),MATCH(D$1,[2]quests!$1:$1,0)-MATCH($B$1,[2]quests!$1:$1,0)+1,FALSE)</f>
        <v>コラボ超降臨3</v>
      </c>
      <c r="E56" s="162">
        <v>2</v>
      </c>
      <c r="F56" s="163" t="str">
        <f ca="1">VLOOKUP($B56&amp;"_"&amp;$E56,OFFSET([2]stages!$A$1,0,0,COUNTA([2]stages!$A:$A),MATCH(F$1,[2]stages!$2:$2,0)-MATCH("temp_stage",[2]stages!$2:$2,0)+1),MATCH(F$1,[2]stages!$2:$2,0)-MATCH("temp_stage",[2]stages!$2:$2,0)+1,FALSE)</f>
        <v>【超ウィザード級】風雷</v>
      </c>
      <c r="G56" s="163" t="str">
        <f ca="1">VLOOKUP($B56&amp;"_"&amp;$E56,OFFSET([2]stages!$A$1,0,0,COUNTA([2]stages!$A:$A),MATCH(G$1,[2]stages!$2:$2,0)-MATCH("temp_stage",[2]stages!$2:$2,0)+1),MATCH(G$1,[2]stages!$2:$2,0)-MATCH("temp_stage",[2]stages!$2:$2,0)+1,FALSE)</f>
        <v>コラボ超降臨3</v>
      </c>
      <c r="H56" s="164">
        <v>0</v>
      </c>
      <c r="I56" s="90">
        <f t="shared" si="0"/>
        <v>55</v>
      </c>
      <c r="J56" s="86" t="str">
        <f t="shared" si="11"/>
        <v>5900355</v>
      </c>
      <c r="K56" s="162" t="s">
        <v>126</v>
      </c>
      <c r="L56" s="182" t="s">
        <v>672</v>
      </c>
      <c r="M56" s="183" t="s">
        <v>673</v>
      </c>
      <c r="N56" s="56" t="s">
        <v>198</v>
      </c>
      <c r="O56" s="180">
        <v>1555</v>
      </c>
      <c r="P56" s="45" t="s">
        <v>599</v>
      </c>
    </row>
    <row r="57" spans="1:16" ht="28" x14ac:dyDescent="0.15">
      <c r="A57" s="159" t="s">
        <v>387</v>
      </c>
      <c r="B57" s="160">
        <v>59003</v>
      </c>
      <c r="C57" s="83" t="str">
        <f ca="1">VLOOKUP($B57,OFFSET([2]quests!$A$1,0,0,COUNTA([2]quests!$A:$A),MATCH(C$1,[2]quests!$1:$1,0)-MATCH($B$1,[2]quests!$1:$1,0)+1),MATCH(C$1,[2]quests!$1:$1,0)-MATCH($B$1,[2]quests!$1:$1,0)+1,FALSE)</f>
        <v>風雷</v>
      </c>
      <c r="D57" s="83" t="str">
        <f ca="1">VLOOKUP($B57,OFFSET([2]quests!$A$1,0,0,COUNTA([2]quests!$A:$A),MATCH(D$1,[2]quests!$1:$1,0)-MATCH($B$1,[2]quests!$1:$1,0)+1),MATCH(D$1,[2]quests!$1:$1,0)-MATCH($B$1,[2]quests!$1:$1,0)+1,FALSE)</f>
        <v>コラボ超降臨3</v>
      </c>
      <c r="E57" s="162">
        <v>2</v>
      </c>
      <c r="F57" s="163" t="str">
        <f ca="1">VLOOKUP($B57&amp;"_"&amp;$E57,OFFSET([2]stages!$A$1,0,0,COUNTA([2]stages!$A:$A),MATCH(F$1,[2]stages!$2:$2,0)-MATCH("temp_stage",[2]stages!$2:$2,0)+1),MATCH(F$1,[2]stages!$2:$2,0)-MATCH("temp_stage",[2]stages!$2:$2,0)+1,FALSE)</f>
        <v>【超ウィザード級】風雷</v>
      </c>
      <c r="G57" s="163" t="str">
        <f ca="1">VLOOKUP($B57&amp;"_"&amp;$E57,OFFSET([2]stages!$A$1,0,0,COUNTA([2]stages!$A:$A),MATCH(G$1,[2]stages!$2:$2,0)-MATCH("temp_stage",[2]stages!$2:$2,0)+1),MATCH(G$1,[2]stages!$2:$2,0)-MATCH("temp_stage",[2]stages!$2:$2,0)+1,FALSE)</f>
        <v>コラボ超降臨3</v>
      </c>
      <c r="H57" s="164">
        <v>0</v>
      </c>
      <c r="I57" s="90">
        <f t="shared" si="0"/>
        <v>56</v>
      </c>
      <c r="J57" s="86" t="str">
        <f t="shared" si="11"/>
        <v>5900356</v>
      </c>
      <c r="K57" s="162" t="s">
        <v>126</v>
      </c>
      <c r="L57" s="182" t="s">
        <v>674</v>
      </c>
      <c r="M57" s="183" t="s">
        <v>675</v>
      </c>
      <c r="N57" s="56" t="s">
        <v>198</v>
      </c>
      <c r="O57" s="180">
        <v>1556</v>
      </c>
      <c r="P57" s="45" t="s">
        <v>600</v>
      </c>
    </row>
    <row r="58" spans="1:16" ht="28" x14ac:dyDescent="0.15">
      <c r="A58" s="159" t="s">
        <v>387</v>
      </c>
      <c r="B58" s="160">
        <v>59003</v>
      </c>
      <c r="C58" s="83" t="str">
        <f ca="1">VLOOKUP($B58,OFFSET([2]quests!$A$1,0,0,COUNTA([2]quests!$A:$A),MATCH(C$1,[2]quests!$1:$1,0)-MATCH($B$1,[2]quests!$1:$1,0)+1),MATCH(C$1,[2]quests!$1:$1,0)-MATCH($B$1,[2]quests!$1:$1,0)+1,FALSE)</f>
        <v>風雷</v>
      </c>
      <c r="D58" s="83" t="str">
        <f ca="1">VLOOKUP($B58,OFFSET([2]quests!$A$1,0,0,COUNTA([2]quests!$A:$A),MATCH(D$1,[2]quests!$1:$1,0)-MATCH($B$1,[2]quests!$1:$1,0)+1),MATCH(D$1,[2]quests!$1:$1,0)-MATCH($B$1,[2]quests!$1:$1,0)+1,FALSE)</f>
        <v>コラボ超降臨3</v>
      </c>
      <c r="E58" s="162">
        <v>2</v>
      </c>
      <c r="F58" s="163" t="str">
        <f ca="1">VLOOKUP($B58&amp;"_"&amp;$E58,OFFSET([2]stages!$A$1,0,0,COUNTA([2]stages!$A:$A),MATCH(F$1,[2]stages!$2:$2,0)-MATCH("temp_stage",[2]stages!$2:$2,0)+1),MATCH(F$1,[2]stages!$2:$2,0)-MATCH("temp_stage",[2]stages!$2:$2,0)+1,FALSE)</f>
        <v>【超ウィザード級】風雷</v>
      </c>
      <c r="G58" s="163" t="str">
        <f ca="1">VLOOKUP($B58&amp;"_"&amp;$E58,OFFSET([2]stages!$A$1,0,0,COUNTA([2]stages!$A:$A),MATCH(G$1,[2]stages!$2:$2,0)-MATCH("temp_stage",[2]stages!$2:$2,0)+1),MATCH(G$1,[2]stages!$2:$2,0)-MATCH("temp_stage",[2]stages!$2:$2,0)+1,FALSE)</f>
        <v>コラボ超降臨3</v>
      </c>
      <c r="H58" s="164">
        <v>0</v>
      </c>
      <c r="I58" s="90">
        <f t="shared" si="0"/>
        <v>57</v>
      </c>
      <c r="J58" s="86" t="str">
        <f t="shared" si="11"/>
        <v>5900357</v>
      </c>
      <c r="K58" s="162" t="s">
        <v>126</v>
      </c>
      <c r="L58" s="182" t="s">
        <v>677</v>
      </c>
      <c r="M58" s="183" t="s">
        <v>678</v>
      </c>
      <c r="N58" s="56" t="s">
        <v>198</v>
      </c>
      <c r="O58" s="180">
        <v>1558</v>
      </c>
      <c r="P58" s="45" t="s">
        <v>602</v>
      </c>
    </row>
    <row r="59" spans="1:16" ht="28" x14ac:dyDescent="0.15">
      <c r="A59" s="159" t="s">
        <v>387</v>
      </c>
      <c r="B59" s="160">
        <v>59003</v>
      </c>
      <c r="C59" s="83" t="str">
        <f ca="1">VLOOKUP($B59,OFFSET([2]quests!$A$1,0,0,COUNTA([2]quests!$A:$A),MATCH(C$1,[2]quests!$1:$1,0)-MATCH($B$1,[2]quests!$1:$1,0)+1),MATCH(C$1,[2]quests!$1:$1,0)-MATCH($B$1,[2]quests!$1:$1,0)+1,FALSE)</f>
        <v>風雷</v>
      </c>
      <c r="D59" s="83" t="str">
        <f ca="1">VLOOKUP($B59,OFFSET([2]quests!$A$1,0,0,COUNTA([2]quests!$A:$A),MATCH(D$1,[2]quests!$1:$1,0)-MATCH($B$1,[2]quests!$1:$1,0)+1),MATCH(D$1,[2]quests!$1:$1,0)-MATCH($B$1,[2]quests!$1:$1,0)+1,FALSE)</f>
        <v>コラボ超降臨3</v>
      </c>
      <c r="E59" s="162">
        <v>2</v>
      </c>
      <c r="F59" s="163" t="str">
        <f ca="1">VLOOKUP($B59&amp;"_"&amp;$E59,OFFSET([2]stages!$A$1,0,0,COUNTA([2]stages!$A:$A),MATCH(F$1,[2]stages!$2:$2,0)-MATCH("temp_stage",[2]stages!$2:$2,0)+1),MATCH(F$1,[2]stages!$2:$2,0)-MATCH("temp_stage",[2]stages!$2:$2,0)+1,FALSE)</f>
        <v>【超ウィザード級】風雷</v>
      </c>
      <c r="G59" s="163" t="str">
        <f ca="1">VLOOKUP($B59&amp;"_"&amp;$E59,OFFSET([2]stages!$A$1,0,0,COUNTA([2]stages!$A:$A),MATCH(G$1,[2]stages!$2:$2,0)-MATCH("temp_stage",[2]stages!$2:$2,0)+1),MATCH(G$1,[2]stages!$2:$2,0)-MATCH("temp_stage",[2]stages!$2:$2,0)+1,FALSE)</f>
        <v>コラボ超降臨3</v>
      </c>
      <c r="H59" s="164">
        <v>0</v>
      </c>
      <c r="I59" s="90">
        <f t="shared" si="0"/>
        <v>58</v>
      </c>
      <c r="J59" s="86" t="str">
        <f t="shared" si="11"/>
        <v>5900358</v>
      </c>
      <c r="K59" s="162" t="s">
        <v>126</v>
      </c>
      <c r="L59" s="182" t="s">
        <v>680</v>
      </c>
      <c r="M59" s="183" t="s">
        <v>681</v>
      </c>
      <c r="N59" s="56" t="s">
        <v>198</v>
      </c>
      <c r="O59" s="180">
        <v>1560</v>
      </c>
      <c r="P59" s="45" t="s">
        <v>604</v>
      </c>
    </row>
    <row r="60" spans="1:16" ht="42" x14ac:dyDescent="0.15">
      <c r="A60" s="159" t="s">
        <v>387</v>
      </c>
      <c r="B60" s="160">
        <v>59003</v>
      </c>
      <c r="C60" s="83" t="str">
        <f ca="1">VLOOKUP($B60,OFFSET([2]quests!$A$1,0,0,COUNTA([2]quests!$A:$A),MATCH(C$1,[2]quests!$1:$1,0)-MATCH($B$1,[2]quests!$1:$1,0)+1),MATCH(C$1,[2]quests!$1:$1,0)-MATCH($B$1,[2]quests!$1:$1,0)+1,FALSE)</f>
        <v>風雷</v>
      </c>
      <c r="D60" s="83" t="str">
        <f ca="1">VLOOKUP($B60,OFFSET([2]quests!$A$1,0,0,COUNTA([2]quests!$A:$A),MATCH(D$1,[2]quests!$1:$1,0)-MATCH($B$1,[2]quests!$1:$1,0)+1),MATCH(D$1,[2]quests!$1:$1,0)-MATCH($B$1,[2]quests!$1:$1,0)+1,FALSE)</f>
        <v>コラボ超降臨3</v>
      </c>
      <c r="E60" s="162">
        <v>2</v>
      </c>
      <c r="F60" s="163" t="str">
        <f ca="1">VLOOKUP($B60&amp;"_"&amp;$E60,OFFSET([2]stages!$A$1,0,0,COUNTA([2]stages!$A:$A),MATCH(F$1,[2]stages!$2:$2,0)-MATCH("temp_stage",[2]stages!$2:$2,0)+1),MATCH(F$1,[2]stages!$2:$2,0)-MATCH("temp_stage",[2]stages!$2:$2,0)+1,FALSE)</f>
        <v>【超ウィザード級】風雷</v>
      </c>
      <c r="G60" s="163" t="str">
        <f ca="1">VLOOKUP($B60&amp;"_"&amp;$E60,OFFSET([2]stages!$A$1,0,0,COUNTA([2]stages!$A:$A),MATCH(G$1,[2]stages!$2:$2,0)-MATCH("temp_stage",[2]stages!$2:$2,0)+1),MATCH(G$1,[2]stages!$2:$2,0)-MATCH("temp_stage",[2]stages!$2:$2,0)+1,FALSE)</f>
        <v>コラボ超降臨3</v>
      </c>
      <c r="H60" s="164">
        <v>0</v>
      </c>
      <c r="I60" s="90">
        <f t="shared" si="0"/>
        <v>59</v>
      </c>
      <c r="J60" s="86" t="str">
        <f t="shared" si="11"/>
        <v>5900359</v>
      </c>
      <c r="K60" s="162" t="s">
        <v>126</v>
      </c>
      <c r="L60" s="182" t="s">
        <v>683</v>
      </c>
      <c r="M60" s="183" t="s">
        <v>684</v>
      </c>
      <c r="N60" s="56" t="s">
        <v>198</v>
      </c>
      <c r="O60" s="180">
        <v>1561</v>
      </c>
      <c r="P60" s="45" t="s">
        <v>605</v>
      </c>
    </row>
    <row r="61" spans="1:16" ht="28" x14ac:dyDescent="0.15">
      <c r="A61" s="159" t="s">
        <v>387</v>
      </c>
      <c r="B61" s="160">
        <v>59003</v>
      </c>
      <c r="C61" s="83" t="str">
        <f ca="1">VLOOKUP($B61,OFFSET([2]quests!$A$1,0,0,COUNTA([2]quests!$A:$A),MATCH(C$1,[2]quests!$1:$1,0)-MATCH($B$1,[2]quests!$1:$1,0)+1),MATCH(C$1,[2]quests!$1:$1,0)-MATCH($B$1,[2]quests!$1:$1,0)+1,FALSE)</f>
        <v>風雷</v>
      </c>
      <c r="D61" s="83" t="str">
        <f ca="1">VLOOKUP($B61,OFFSET([2]quests!$A$1,0,0,COUNTA([2]quests!$A:$A),MATCH(D$1,[2]quests!$1:$1,0)-MATCH($B$1,[2]quests!$1:$1,0)+1),MATCH(D$1,[2]quests!$1:$1,0)-MATCH($B$1,[2]quests!$1:$1,0)+1,FALSE)</f>
        <v>コラボ超降臨3</v>
      </c>
      <c r="E61" s="162">
        <v>2</v>
      </c>
      <c r="F61" s="163" t="str">
        <f ca="1">VLOOKUP($B61&amp;"_"&amp;$E61,OFFSET([2]stages!$A$1,0,0,COUNTA([2]stages!$A:$A),MATCH(F$1,[2]stages!$2:$2,0)-MATCH("temp_stage",[2]stages!$2:$2,0)+1),MATCH(F$1,[2]stages!$2:$2,0)-MATCH("temp_stage",[2]stages!$2:$2,0)+1,FALSE)</f>
        <v>【超ウィザード級】風雷</v>
      </c>
      <c r="G61" s="163" t="str">
        <f ca="1">VLOOKUP($B61&amp;"_"&amp;$E61,OFFSET([2]stages!$A$1,0,0,COUNTA([2]stages!$A:$A),MATCH(G$1,[2]stages!$2:$2,0)-MATCH("temp_stage",[2]stages!$2:$2,0)+1),MATCH(G$1,[2]stages!$2:$2,0)-MATCH("temp_stage",[2]stages!$2:$2,0)+1,FALSE)</f>
        <v>コラボ超降臨3</v>
      </c>
      <c r="H61" s="164">
        <v>0</v>
      </c>
      <c r="I61" s="90">
        <f t="shared" si="0"/>
        <v>60</v>
      </c>
      <c r="J61" s="86" t="str">
        <f t="shared" si="11"/>
        <v>5900360</v>
      </c>
      <c r="K61" s="162" t="s">
        <v>126</v>
      </c>
      <c r="L61" s="182" t="s">
        <v>686</v>
      </c>
      <c r="M61" s="183" t="s">
        <v>687</v>
      </c>
      <c r="N61" s="56" t="s">
        <v>198</v>
      </c>
      <c r="O61" s="180">
        <v>1563</v>
      </c>
      <c r="P61" s="45" t="s">
        <v>607</v>
      </c>
    </row>
    <row r="62" spans="1:16" ht="28" x14ac:dyDescent="0.15">
      <c r="A62" s="159" t="s">
        <v>387</v>
      </c>
      <c r="B62" s="160">
        <v>59003</v>
      </c>
      <c r="C62" s="83" t="str">
        <f ca="1">VLOOKUP($B62,OFFSET([2]quests!$A$1,0,0,COUNTA([2]quests!$A:$A),MATCH(C$1,[2]quests!$1:$1,0)-MATCH($B$1,[2]quests!$1:$1,0)+1),MATCH(C$1,[2]quests!$1:$1,0)-MATCH($B$1,[2]quests!$1:$1,0)+1,FALSE)</f>
        <v>風雷</v>
      </c>
      <c r="D62" s="83" t="str">
        <f ca="1">VLOOKUP($B62,OFFSET([2]quests!$A$1,0,0,COUNTA([2]quests!$A:$A),MATCH(D$1,[2]quests!$1:$1,0)-MATCH($B$1,[2]quests!$1:$1,0)+1),MATCH(D$1,[2]quests!$1:$1,0)-MATCH($B$1,[2]quests!$1:$1,0)+1,FALSE)</f>
        <v>コラボ超降臨3</v>
      </c>
      <c r="E62" s="162">
        <v>2</v>
      </c>
      <c r="F62" s="163" t="str">
        <f ca="1">VLOOKUP($B62&amp;"_"&amp;$E62,OFFSET([2]stages!$A$1,0,0,COUNTA([2]stages!$A:$A),MATCH(F$1,[2]stages!$2:$2,0)-MATCH("temp_stage",[2]stages!$2:$2,0)+1),MATCH(F$1,[2]stages!$2:$2,0)-MATCH("temp_stage",[2]stages!$2:$2,0)+1,FALSE)</f>
        <v>【超ウィザード級】風雷</v>
      </c>
      <c r="G62" s="163" t="str">
        <f ca="1">VLOOKUP($B62&amp;"_"&amp;$E62,OFFSET([2]stages!$A$1,0,0,COUNTA([2]stages!$A:$A),MATCH(G$1,[2]stages!$2:$2,0)-MATCH("temp_stage",[2]stages!$2:$2,0)+1),MATCH(G$1,[2]stages!$2:$2,0)-MATCH("temp_stage",[2]stages!$2:$2,0)+1,FALSE)</f>
        <v>コラボ超降臨3</v>
      </c>
      <c r="H62" s="164">
        <v>0</v>
      </c>
      <c r="I62" s="90">
        <f t="shared" si="0"/>
        <v>61</v>
      </c>
      <c r="J62" s="86" t="str">
        <f t="shared" si="11"/>
        <v>5900361</v>
      </c>
      <c r="K62" s="162" t="s">
        <v>126</v>
      </c>
      <c r="L62" s="182" t="s">
        <v>689</v>
      </c>
      <c r="M62" s="183" t="s">
        <v>690</v>
      </c>
      <c r="N62" s="56" t="s">
        <v>198</v>
      </c>
      <c r="O62" s="180">
        <v>1565</v>
      </c>
      <c r="P62" s="45" t="s">
        <v>609</v>
      </c>
    </row>
    <row r="63" spans="1:16" ht="28" x14ac:dyDescent="0.15">
      <c r="A63" s="159" t="s">
        <v>387</v>
      </c>
      <c r="B63" s="160">
        <v>59003</v>
      </c>
      <c r="C63" s="83" t="str">
        <f ca="1">VLOOKUP($B63,OFFSET([2]quests!$A$1,0,0,COUNTA([2]quests!$A:$A),MATCH(C$1,[2]quests!$1:$1,0)-MATCH($B$1,[2]quests!$1:$1,0)+1),MATCH(C$1,[2]quests!$1:$1,0)-MATCH($B$1,[2]quests!$1:$1,0)+1,FALSE)</f>
        <v>風雷</v>
      </c>
      <c r="D63" s="83" t="str">
        <f ca="1">VLOOKUP($B63,OFFSET([2]quests!$A$1,0,0,COUNTA([2]quests!$A:$A),MATCH(D$1,[2]quests!$1:$1,0)-MATCH($B$1,[2]quests!$1:$1,0)+1),MATCH(D$1,[2]quests!$1:$1,0)-MATCH($B$1,[2]quests!$1:$1,0)+1,FALSE)</f>
        <v>コラボ超降臨3</v>
      </c>
      <c r="E63" s="162">
        <v>2</v>
      </c>
      <c r="F63" s="163" t="str">
        <f ca="1">VLOOKUP($B63&amp;"_"&amp;$E63,OFFSET([2]stages!$A$1,0,0,COUNTA([2]stages!$A:$A),MATCH(F$1,[2]stages!$2:$2,0)-MATCH("temp_stage",[2]stages!$2:$2,0)+1),MATCH(F$1,[2]stages!$2:$2,0)-MATCH("temp_stage",[2]stages!$2:$2,0)+1,FALSE)</f>
        <v>【超ウィザード級】風雷</v>
      </c>
      <c r="G63" s="163" t="str">
        <f ca="1">VLOOKUP($B63&amp;"_"&amp;$E63,OFFSET([2]stages!$A$1,0,0,COUNTA([2]stages!$A:$A),MATCH(G$1,[2]stages!$2:$2,0)-MATCH("temp_stage",[2]stages!$2:$2,0)+1),MATCH(G$1,[2]stages!$2:$2,0)-MATCH("temp_stage",[2]stages!$2:$2,0)+1,FALSE)</f>
        <v>コラボ超降臨3</v>
      </c>
      <c r="H63" s="164">
        <v>0</v>
      </c>
      <c r="I63" s="90">
        <f t="shared" si="0"/>
        <v>62</v>
      </c>
      <c r="J63" s="86" t="str">
        <f t="shared" si="11"/>
        <v>5900362</v>
      </c>
      <c r="K63" s="162" t="s">
        <v>126</v>
      </c>
      <c r="L63" s="182" t="s">
        <v>700</v>
      </c>
      <c r="M63" s="183" t="s">
        <v>701</v>
      </c>
      <c r="N63" s="56" t="s">
        <v>198</v>
      </c>
      <c r="O63" s="180">
        <v>1571</v>
      </c>
      <c r="P63" s="45" t="s">
        <v>610</v>
      </c>
    </row>
    <row r="64" spans="1:16" ht="28" x14ac:dyDescent="0.15">
      <c r="A64" s="159" t="s">
        <v>387</v>
      </c>
      <c r="B64" s="160">
        <v>59003</v>
      </c>
      <c r="C64" s="83" t="str">
        <f ca="1">VLOOKUP($B64,OFFSET([2]quests!$A$1,0,0,COUNTA([2]quests!$A:$A),MATCH(C$1,[2]quests!$1:$1,0)-MATCH($B$1,[2]quests!$1:$1,0)+1),MATCH(C$1,[2]quests!$1:$1,0)-MATCH($B$1,[2]quests!$1:$1,0)+1,FALSE)</f>
        <v>風雷</v>
      </c>
      <c r="D64" s="83" t="str">
        <f ca="1">VLOOKUP($B64,OFFSET([2]quests!$A$1,0,0,COUNTA([2]quests!$A:$A),MATCH(D$1,[2]quests!$1:$1,0)-MATCH($B$1,[2]quests!$1:$1,0)+1),MATCH(D$1,[2]quests!$1:$1,0)-MATCH($B$1,[2]quests!$1:$1,0)+1,FALSE)</f>
        <v>コラボ超降臨3</v>
      </c>
      <c r="E64" s="162">
        <v>2</v>
      </c>
      <c r="F64" s="163" t="str">
        <f ca="1">VLOOKUP($B64&amp;"_"&amp;$E64,OFFSET([2]stages!$A$1,0,0,COUNTA([2]stages!$A:$A),MATCH(F$1,[2]stages!$2:$2,0)-MATCH("temp_stage",[2]stages!$2:$2,0)+1),MATCH(F$1,[2]stages!$2:$2,0)-MATCH("temp_stage",[2]stages!$2:$2,0)+1,FALSE)</f>
        <v>【超ウィザード級】風雷</v>
      </c>
      <c r="G64" s="163" t="str">
        <f ca="1">VLOOKUP($B64&amp;"_"&amp;$E64,OFFSET([2]stages!$A$1,0,0,COUNTA([2]stages!$A:$A),MATCH(G$1,[2]stages!$2:$2,0)-MATCH("temp_stage",[2]stages!$2:$2,0)+1),MATCH(G$1,[2]stages!$2:$2,0)-MATCH("temp_stage",[2]stages!$2:$2,0)+1,FALSE)</f>
        <v>コラボ超降臨3</v>
      </c>
      <c r="H64" s="164">
        <v>0</v>
      </c>
      <c r="I64" s="90">
        <f t="shared" si="0"/>
        <v>63</v>
      </c>
      <c r="J64" s="86" t="str">
        <f t="shared" si="11"/>
        <v>5900363</v>
      </c>
      <c r="K64" s="162" t="s">
        <v>126</v>
      </c>
      <c r="L64" s="182" t="s">
        <v>702</v>
      </c>
      <c r="M64" s="183" t="s">
        <v>707</v>
      </c>
      <c r="N64" s="56" t="s">
        <v>198</v>
      </c>
      <c r="O64" s="180">
        <v>1573</v>
      </c>
      <c r="P64" s="45" t="s">
        <v>612</v>
      </c>
    </row>
    <row r="65" spans="1:16" x14ac:dyDescent="0.15">
      <c r="A65" s="159" t="s">
        <v>387</v>
      </c>
      <c r="B65" s="160">
        <v>59003</v>
      </c>
      <c r="C65" s="83" t="str">
        <f ca="1">VLOOKUP($B65,OFFSET([2]quests!$A$1,0,0,COUNTA([2]quests!$A:$A),MATCH(C$1,[2]quests!$1:$1,0)-MATCH($B$1,[2]quests!$1:$1,0)+1),MATCH(C$1,[2]quests!$1:$1,0)-MATCH($B$1,[2]quests!$1:$1,0)+1,FALSE)</f>
        <v>風雷</v>
      </c>
      <c r="D65" s="83" t="str">
        <f ca="1">VLOOKUP($B65,OFFSET([2]quests!$A$1,0,0,COUNTA([2]quests!$A:$A),MATCH(D$1,[2]quests!$1:$1,0)-MATCH($B$1,[2]quests!$1:$1,0)+1),MATCH(D$1,[2]quests!$1:$1,0)-MATCH($B$1,[2]quests!$1:$1,0)+1,FALSE)</f>
        <v>コラボ超降臨3</v>
      </c>
      <c r="E65" s="162">
        <v>2</v>
      </c>
      <c r="F65" s="163" t="str">
        <f ca="1">VLOOKUP($B65&amp;"_"&amp;$E65,OFFSET([2]stages!$A$1,0,0,COUNTA([2]stages!$A:$A),MATCH(F$1,[2]stages!$2:$2,0)-MATCH("temp_stage",[2]stages!$2:$2,0)+1),MATCH(F$1,[2]stages!$2:$2,0)-MATCH("temp_stage",[2]stages!$2:$2,0)+1,FALSE)</f>
        <v>【超ウィザード級】風雷</v>
      </c>
      <c r="G65" s="163" t="str">
        <f ca="1">VLOOKUP($B65&amp;"_"&amp;$E65,OFFSET([2]stages!$A$1,0,0,COUNTA([2]stages!$A:$A),MATCH(G$1,[2]stages!$2:$2,0)-MATCH("temp_stage",[2]stages!$2:$2,0)+1),MATCH(G$1,[2]stages!$2:$2,0)-MATCH("temp_stage",[2]stages!$2:$2,0)+1,FALSE)</f>
        <v>コラボ超降臨3</v>
      </c>
      <c r="H65" s="164">
        <v>0</v>
      </c>
      <c r="I65" s="90">
        <f t="shared" si="0"/>
        <v>64</v>
      </c>
      <c r="J65" s="86" t="str">
        <f t="shared" si="11"/>
        <v>5900364</v>
      </c>
      <c r="K65" s="162" t="s">
        <v>126</v>
      </c>
      <c r="L65" s="182" t="s">
        <v>703</v>
      </c>
      <c r="M65" s="183" t="s">
        <v>708</v>
      </c>
      <c r="N65" s="56" t="s">
        <v>198</v>
      </c>
      <c r="O65" s="180">
        <v>1574</v>
      </c>
      <c r="P65" s="45" t="s">
        <v>613</v>
      </c>
    </row>
    <row r="66" spans="1:16" ht="42" x14ac:dyDescent="0.15">
      <c r="A66" s="159" t="s">
        <v>387</v>
      </c>
      <c r="B66" s="160">
        <v>59003</v>
      </c>
      <c r="C66" s="83" t="str">
        <f ca="1">VLOOKUP($B66,OFFSET([2]quests!$A$1,0,0,COUNTA([2]quests!$A:$A),MATCH(C$1,[2]quests!$1:$1,0)-MATCH($B$1,[2]quests!$1:$1,0)+1),MATCH(C$1,[2]quests!$1:$1,0)-MATCH($B$1,[2]quests!$1:$1,0)+1,FALSE)</f>
        <v>風雷</v>
      </c>
      <c r="D66" s="83" t="str">
        <f ca="1">VLOOKUP($B66,OFFSET([2]quests!$A$1,0,0,COUNTA([2]quests!$A:$A),MATCH(D$1,[2]quests!$1:$1,0)-MATCH($B$1,[2]quests!$1:$1,0)+1),MATCH(D$1,[2]quests!$1:$1,0)-MATCH($B$1,[2]quests!$1:$1,0)+1,FALSE)</f>
        <v>コラボ超降臨3</v>
      </c>
      <c r="E66" s="162">
        <v>2</v>
      </c>
      <c r="F66" s="163" t="str">
        <f ca="1">VLOOKUP($B66&amp;"_"&amp;$E66,OFFSET([2]stages!$A$1,0,0,COUNTA([2]stages!$A:$A),MATCH(F$1,[2]stages!$2:$2,0)-MATCH("temp_stage",[2]stages!$2:$2,0)+1),MATCH(F$1,[2]stages!$2:$2,0)-MATCH("temp_stage",[2]stages!$2:$2,0)+1,FALSE)</f>
        <v>【超ウィザード級】風雷</v>
      </c>
      <c r="G66" s="163" t="str">
        <f ca="1">VLOOKUP($B66&amp;"_"&amp;$E66,OFFSET([2]stages!$A$1,0,0,COUNTA([2]stages!$A:$A),MATCH(G$1,[2]stages!$2:$2,0)-MATCH("temp_stage",[2]stages!$2:$2,0)+1),MATCH(G$1,[2]stages!$2:$2,0)-MATCH("temp_stage",[2]stages!$2:$2,0)+1,FALSE)</f>
        <v>コラボ超降臨3</v>
      </c>
      <c r="H66" s="164">
        <v>0</v>
      </c>
      <c r="I66" s="90">
        <f t="shared" si="0"/>
        <v>65</v>
      </c>
      <c r="J66" s="86" t="str">
        <f t="shared" si="11"/>
        <v>5900365</v>
      </c>
      <c r="K66" s="162" t="s">
        <v>126</v>
      </c>
      <c r="L66" s="182" t="s">
        <v>704</v>
      </c>
      <c r="M66" s="183" t="s">
        <v>710</v>
      </c>
      <c r="N66" s="56" t="s">
        <v>198</v>
      </c>
      <c r="O66" s="180">
        <v>1575</v>
      </c>
      <c r="P66" s="45" t="s">
        <v>614</v>
      </c>
    </row>
    <row r="67" spans="1:16" ht="28" x14ac:dyDescent="0.15">
      <c r="A67" s="159" t="s">
        <v>387</v>
      </c>
      <c r="B67" s="160">
        <v>59003</v>
      </c>
      <c r="C67" s="83" t="str">
        <f ca="1">VLOOKUP($B67,OFFSET([2]quests!$A$1,0,0,COUNTA([2]quests!$A:$A),MATCH(C$1,[2]quests!$1:$1,0)-MATCH($B$1,[2]quests!$1:$1,0)+1),MATCH(C$1,[2]quests!$1:$1,0)-MATCH($B$1,[2]quests!$1:$1,0)+1,FALSE)</f>
        <v>風雷</v>
      </c>
      <c r="D67" s="83" t="str">
        <f ca="1">VLOOKUP($B67,OFFSET([2]quests!$A$1,0,0,COUNTA([2]quests!$A:$A),MATCH(D$1,[2]quests!$1:$1,0)-MATCH($B$1,[2]quests!$1:$1,0)+1),MATCH(D$1,[2]quests!$1:$1,0)-MATCH($B$1,[2]quests!$1:$1,0)+1,FALSE)</f>
        <v>コラボ超降臨3</v>
      </c>
      <c r="E67" s="162">
        <v>2</v>
      </c>
      <c r="F67" s="163" t="str">
        <f ca="1">VLOOKUP($B67&amp;"_"&amp;$E67,OFFSET([2]stages!$A$1,0,0,COUNTA([2]stages!$A:$A),MATCH(F$1,[2]stages!$2:$2,0)-MATCH("temp_stage",[2]stages!$2:$2,0)+1),MATCH(F$1,[2]stages!$2:$2,0)-MATCH("temp_stage",[2]stages!$2:$2,0)+1,FALSE)</f>
        <v>【超ウィザード級】風雷</v>
      </c>
      <c r="G67" s="163" t="str">
        <f ca="1">VLOOKUP($B67&amp;"_"&amp;$E67,OFFSET([2]stages!$A$1,0,0,COUNTA([2]stages!$A:$A),MATCH(G$1,[2]stages!$2:$2,0)-MATCH("temp_stage",[2]stages!$2:$2,0)+1),MATCH(G$1,[2]stages!$2:$2,0)-MATCH("temp_stage",[2]stages!$2:$2,0)+1,FALSE)</f>
        <v>コラボ超降臨3</v>
      </c>
      <c r="H67" s="164">
        <v>0</v>
      </c>
      <c r="I67" s="90">
        <f t="shared" si="0"/>
        <v>66</v>
      </c>
      <c r="J67" s="86" t="str">
        <f t="shared" si="11"/>
        <v>5900366</v>
      </c>
      <c r="K67" s="162" t="s">
        <v>126</v>
      </c>
      <c r="L67" s="182" t="s">
        <v>705</v>
      </c>
      <c r="M67" s="183" t="s">
        <v>712</v>
      </c>
      <c r="N67" s="56" t="s">
        <v>198</v>
      </c>
      <c r="O67" s="180">
        <v>1577</v>
      </c>
      <c r="P67" s="45" t="s">
        <v>616</v>
      </c>
    </row>
    <row r="68" spans="1:16" ht="42" x14ac:dyDescent="0.15">
      <c r="A68" s="159" t="s">
        <v>387</v>
      </c>
      <c r="B68" s="160">
        <v>59003</v>
      </c>
      <c r="E68" s="162">
        <v>2</v>
      </c>
      <c r="F68" s="163" t="str">
        <f ca="1">VLOOKUP($B68&amp;"_"&amp;$E68,OFFSET([2]stages!$A$1,0,0,COUNTA([2]stages!$A:$A),MATCH(F$1,[2]stages!$2:$2,0)-MATCH("temp_stage",[2]stages!$2:$2,0)+1),MATCH(F$1,[2]stages!$2:$2,0)-MATCH("temp_stage",[2]stages!$2:$2,0)+1,FALSE)</f>
        <v>【超ウィザード級】風雷</v>
      </c>
      <c r="G68" s="163" t="str">
        <f ca="1">VLOOKUP($B68&amp;"_"&amp;$E68,OFFSET([2]stages!$A$1,0,0,COUNTA([2]stages!$A:$A),MATCH(G$1,[2]stages!$2:$2,0)-MATCH("temp_stage",[2]stages!$2:$2,0)+1),MATCH(G$1,[2]stages!$2:$2,0)-MATCH("temp_stage",[2]stages!$2:$2,0)+1,FALSE)</f>
        <v>コラボ超降臨3</v>
      </c>
      <c r="H68" s="164">
        <v>0</v>
      </c>
      <c r="I68" s="90">
        <f t="shared" si="0"/>
        <v>67</v>
      </c>
      <c r="J68" s="86" t="str">
        <f t="shared" ref="J68:J69" si="12">B68&amp;TEXT(I68,"00")</f>
        <v>5900367</v>
      </c>
      <c r="K68" s="162" t="s">
        <v>126</v>
      </c>
      <c r="L68" s="182" t="s">
        <v>706</v>
      </c>
      <c r="M68" s="183" t="s">
        <v>714</v>
      </c>
      <c r="N68" s="56" t="s">
        <v>198</v>
      </c>
      <c r="O68" s="180">
        <v>1578</v>
      </c>
      <c r="P68" s="45" t="s">
        <v>617</v>
      </c>
    </row>
    <row r="69" spans="1:16" ht="28" x14ac:dyDescent="0.15">
      <c r="A69" s="159" t="s">
        <v>387</v>
      </c>
      <c r="B69" s="160">
        <v>59003</v>
      </c>
      <c r="E69" s="162">
        <v>2</v>
      </c>
      <c r="F69" s="163" t="str">
        <f ca="1">VLOOKUP($B69&amp;"_"&amp;$E69,OFFSET([2]stages!$A$1,0,0,COUNTA([2]stages!$A:$A),MATCH(F$1,[2]stages!$2:$2,0)-MATCH("temp_stage",[2]stages!$2:$2,0)+1),MATCH(F$1,[2]stages!$2:$2,0)-MATCH("temp_stage",[2]stages!$2:$2,0)+1,FALSE)</f>
        <v>【超ウィザード級】風雷</v>
      </c>
      <c r="G69" s="163" t="str">
        <f ca="1">VLOOKUP($B69&amp;"_"&amp;$E69,OFFSET([2]stages!$A$1,0,0,COUNTA([2]stages!$A:$A),MATCH(G$1,[2]stages!$2:$2,0)-MATCH("temp_stage",[2]stages!$2:$2,0)+1),MATCH(G$1,[2]stages!$2:$2,0)-MATCH("temp_stage",[2]stages!$2:$2,0)+1,FALSE)</f>
        <v>コラボ超降臨3</v>
      </c>
      <c r="H69" s="164">
        <v>0</v>
      </c>
      <c r="I69" s="90">
        <f t="shared" si="0"/>
        <v>68</v>
      </c>
      <c r="J69" s="86" t="str">
        <f t="shared" si="12"/>
        <v>5900368</v>
      </c>
      <c r="K69" s="162" t="s">
        <v>126</v>
      </c>
      <c r="L69" s="182" t="s">
        <v>722</v>
      </c>
      <c r="M69" s="183" t="s">
        <v>724</v>
      </c>
      <c r="N69" s="56" t="s">
        <v>198</v>
      </c>
      <c r="O69" s="180">
        <v>1584</v>
      </c>
      <c r="P69" s="45" t="s">
        <v>618</v>
      </c>
    </row>
  </sheetData>
  <phoneticPr fontId="5"/>
  <dataValidations count="1">
    <dataValidation type="list" allowBlank="1" showInputMessage="1" showErrorMessage="1" sqref="A2:A6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X2"/>
  <sheetViews>
    <sheetView showGridLines="0" topLeftCell="E1" workbookViewId="0">
      <pane ySplit="1" topLeftCell="A2" activePane="bottomLeft" state="frozen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210</v>
      </c>
      <c r="B1" s="95" t="s">
        <v>211</v>
      </c>
      <c r="C1" s="77" t="s">
        <v>212</v>
      </c>
      <c r="D1" s="77" t="s">
        <v>33</v>
      </c>
      <c r="E1" s="95" t="s">
        <v>213</v>
      </c>
      <c r="F1" s="77" t="s">
        <v>214</v>
      </c>
      <c r="G1" s="77" t="s">
        <v>33</v>
      </c>
      <c r="H1" s="95" t="s">
        <v>215</v>
      </c>
      <c r="I1" s="95" t="s">
        <v>216</v>
      </c>
      <c r="J1" s="95" t="s">
        <v>217</v>
      </c>
      <c r="K1" s="73" t="s">
        <v>218</v>
      </c>
      <c r="L1" s="73" t="s">
        <v>219</v>
      </c>
      <c r="M1" s="73" t="s">
        <v>155</v>
      </c>
      <c r="N1" s="77" t="s">
        <v>16</v>
      </c>
      <c r="O1" s="73" t="s">
        <v>220</v>
      </c>
      <c r="P1" s="73" t="s">
        <v>57</v>
      </c>
      <c r="Q1" s="73" t="s">
        <v>221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222</v>
      </c>
      <c r="X1" s="73" t="s">
        <v>223</v>
      </c>
    </row>
    <row r="2" spans="1:24" x14ac:dyDescent="0.15">
      <c r="A2" s="96" t="str">
        <f>B2&amp;"_"&amp;E2&amp;"_"&amp;H2&amp;"_"&amp;I2&amp;"_"&amp;J2</f>
        <v>59003_2_everyone_full_member_1</v>
      </c>
      <c r="B2" s="82">
        <v>59003</v>
      </c>
      <c r="C2" s="83" t="str">
        <f ca="1">VLOOKUP($B2,OFFSET([2]quests!$A$1,0,0,COUNTA([2]quests!$A:$A),MATCH(C$1,[2]quests!$1:$1,0)-MATCH($B$1,[2]quests!$1:$1,0)+1),MATCH(C$1,[2]quests!$1:$1,0)-MATCH($B$1,[2]quests!$1:$1,0)+1,FALSE)</f>
        <v>風雷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コラボ超降臨3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【超ウィザード級】風雷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コラボ超降臨3</v>
      </c>
      <c r="H2" s="85" t="s">
        <v>224</v>
      </c>
      <c r="I2" s="84" t="s">
        <v>661</v>
      </c>
      <c r="J2" s="84">
        <v>1</v>
      </c>
      <c r="K2" s="84">
        <v>1000</v>
      </c>
      <c r="L2" s="84" t="s">
        <v>225</v>
      </c>
      <c r="M2" s="84">
        <v>1571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Lupus01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226</v>
      </c>
      <c r="X2" s="99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2017-06-01T06:13:36Z</dcterms:modified>
</cp:coreProperties>
</file>