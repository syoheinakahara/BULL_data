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26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4320" yWindow="2100" windowWidth="29020" windowHeight="18880" activeTab="3"/>
  </bookViews>
  <sheets>
    <sheet name="floors_DL0" sheetId="2" r:id="rId1"/>
    <sheet name="enemy_habitats_DL0" sheetId="1" r:id="rId2"/>
    <sheet name="floors_DL0.tmp" sheetId="5" r:id="rId3"/>
    <sheet name="enemy_habitats_DL0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enemy_habitats_DL0!$B$1:$AE$34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" l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N34" i="1"/>
  <c r="M34" i="1"/>
  <c r="K34" i="1"/>
  <c r="J34" i="1"/>
  <c r="N33" i="1"/>
  <c r="M33" i="1"/>
  <c r="K33" i="1"/>
  <c r="J33" i="1"/>
  <c r="N32" i="1"/>
  <c r="M32" i="1"/>
  <c r="K32" i="1"/>
  <c r="J32" i="1"/>
  <c r="N31" i="1"/>
  <c r="M31" i="1"/>
  <c r="K31" i="1"/>
  <c r="J31" i="1"/>
  <c r="N30" i="1"/>
  <c r="M30" i="1"/>
  <c r="K30" i="1"/>
  <c r="J30" i="1"/>
  <c r="N29" i="1"/>
  <c r="M29" i="1"/>
  <c r="K29" i="1"/>
  <c r="J29" i="1"/>
  <c r="N28" i="1"/>
  <c r="M28" i="1"/>
  <c r="K28" i="1"/>
  <c r="J28" i="1"/>
  <c r="N27" i="1"/>
  <c r="M27" i="1"/>
  <c r="K27" i="1"/>
  <c r="J27" i="1"/>
  <c r="N26" i="1"/>
  <c r="M26" i="1"/>
  <c r="K26" i="1"/>
  <c r="J26" i="1"/>
  <c r="N25" i="1"/>
  <c r="M25" i="1"/>
  <c r="K25" i="1"/>
  <c r="J25" i="1"/>
  <c r="N24" i="1"/>
  <c r="M24" i="1"/>
  <c r="K24" i="1"/>
  <c r="J24" i="1"/>
  <c r="N23" i="1"/>
  <c r="M23" i="1"/>
  <c r="K23" i="1"/>
  <c r="J23" i="1"/>
  <c r="N22" i="1"/>
  <c r="M22" i="1"/>
  <c r="K22" i="1"/>
  <c r="J22" i="1"/>
  <c r="N21" i="1"/>
  <c r="M21" i="1"/>
  <c r="K21" i="1"/>
  <c r="J21" i="1"/>
  <c r="N20" i="1"/>
  <c r="M20" i="1"/>
  <c r="K20" i="1"/>
  <c r="J20" i="1"/>
  <c r="N19" i="1"/>
  <c r="M19" i="1"/>
  <c r="K19" i="1"/>
  <c r="J19" i="1"/>
  <c r="N18" i="1"/>
  <c r="M18" i="1"/>
  <c r="K18" i="1"/>
  <c r="J18" i="1"/>
  <c r="N17" i="1"/>
  <c r="M17" i="1"/>
  <c r="K17" i="1"/>
  <c r="J17" i="1"/>
  <c r="N16" i="1"/>
  <c r="M16" i="1"/>
  <c r="K16" i="1"/>
  <c r="J16" i="1"/>
  <c r="N15" i="1"/>
  <c r="M15" i="1"/>
  <c r="K15" i="1"/>
  <c r="J15" i="1"/>
  <c r="N14" i="1"/>
  <c r="M14" i="1"/>
  <c r="K14" i="1"/>
  <c r="J14" i="1"/>
  <c r="N13" i="1"/>
  <c r="M13" i="1"/>
  <c r="K13" i="1"/>
  <c r="J13" i="1"/>
  <c r="N12" i="1"/>
  <c r="M12" i="1"/>
  <c r="K12" i="1"/>
  <c r="J12" i="1"/>
  <c r="N11" i="1"/>
  <c r="M11" i="1"/>
  <c r="K11" i="1"/>
  <c r="J11" i="1"/>
  <c r="N10" i="1"/>
  <c r="M10" i="1"/>
  <c r="K10" i="1"/>
  <c r="J10" i="1"/>
  <c r="N9" i="1"/>
  <c r="M9" i="1"/>
  <c r="K9" i="1"/>
  <c r="J9" i="1"/>
  <c r="N8" i="1"/>
  <c r="M8" i="1"/>
  <c r="K8" i="1"/>
  <c r="J8" i="1"/>
  <c r="N7" i="1"/>
  <c r="M7" i="1"/>
  <c r="K7" i="1"/>
  <c r="J7" i="1"/>
  <c r="N6" i="1"/>
  <c r="M6" i="1"/>
  <c r="K6" i="1"/>
  <c r="J6" i="1"/>
  <c r="N5" i="1"/>
  <c r="M5" i="1"/>
  <c r="K5" i="1"/>
  <c r="J5" i="1"/>
  <c r="N4" i="1"/>
  <c r="M4" i="1"/>
  <c r="K4" i="1"/>
  <c r="J4" i="1"/>
  <c r="N3" i="1"/>
  <c r="M3" i="1"/>
  <c r="K3" i="1"/>
  <c r="J3" i="1"/>
  <c r="N2" i="1"/>
  <c r="M2" i="1"/>
  <c r="K2" i="1"/>
  <c r="J2" i="1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C1" i="6"/>
  <c r="A1" i="6"/>
  <c r="A34" i="1"/>
  <c r="A35" i="6"/>
  <c r="B1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I35" i="6"/>
  <c r="H35" i="6"/>
  <c r="G35" i="6"/>
  <c r="A34" i="6"/>
  <c r="I34" i="6"/>
  <c r="H34" i="6"/>
  <c r="G34" i="6"/>
  <c r="A33" i="6"/>
  <c r="I33" i="6"/>
  <c r="H33" i="6"/>
  <c r="G33" i="6"/>
  <c r="A32" i="6"/>
  <c r="I32" i="6"/>
  <c r="H32" i="6"/>
  <c r="G32" i="6"/>
  <c r="A31" i="6"/>
  <c r="I31" i="6"/>
  <c r="H31" i="6"/>
  <c r="G31" i="6"/>
  <c r="A30" i="6"/>
  <c r="I30" i="6"/>
  <c r="H30" i="6"/>
  <c r="G30" i="6"/>
  <c r="A29" i="6"/>
  <c r="I29" i="6"/>
  <c r="H29" i="6"/>
  <c r="G29" i="6"/>
  <c r="A28" i="6"/>
  <c r="I28" i="6"/>
  <c r="H28" i="6"/>
  <c r="G28" i="6"/>
  <c r="A27" i="6"/>
  <c r="I27" i="6"/>
  <c r="H27" i="6"/>
  <c r="G27" i="6"/>
  <c r="A26" i="6"/>
  <c r="I26" i="6"/>
  <c r="H26" i="6"/>
  <c r="G26" i="6"/>
  <c r="A25" i="6"/>
  <c r="I25" i="6"/>
  <c r="H25" i="6"/>
  <c r="G25" i="6"/>
  <c r="A24" i="6"/>
  <c r="I24" i="6"/>
  <c r="H24" i="6"/>
  <c r="G24" i="6"/>
  <c r="A23" i="6"/>
  <c r="I23" i="6"/>
  <c r="H23" i="6"/>
  <c r="G23" i="6"/>
  <c r="A22" i="6"/>
  <c r="I22" i="6"/>
  <c r="H22" i="6"/>
  <c r="G22" i="6"/>
  <c r="A21" i="6"/>
  <c r="I21" i="6"/>
  <c r="H21" i="6"/>
  <c r="G21" i="6"/>
  <c r="A20" i="6"/>
  <c r="I20" i="6"/>
  <c r="H20" i="6"/>
  <c r="G20" i="6"/>
  <c r="A19" i="6"/>
  <c r="I19" i="6"/>
  <c r="H19" i="6"/>
  <c r="G19" i="6"/>
  <c r="A18" i="6"/>
  <c r="I18" i="6"/>
  <c r="H18" i="6"/>
  <c r="G18" i="6"/>
  <c r="A17" i="6"/>
  <c r="I17" i="6"/>
  <c r="H17" i="6"/>
  <c r="G17" i="6"/>
  <c r="A16" i="6"/>
  <c r="I16" i="6"/>
  <c r="H16" i="6"/>
  <c r="G16" i="6"/>
  <c r="A15" i="6"/>
  <c r="I15" i="6"/>
  <c r="H15" i="6"/>
  <c r="G15" i="6"/>
  <c r="A14" i="6"/>
  <c r="I14" i="6"/>
  <c r="H14" i="6"/>
  <c r="G14" i="6"/>
  <c r="A13" i="6"/>
  <c r="I13" i="6"/>
  <c r="H13" i="6"/>
  <c r="G13" i="6"/>
  <c r="A12" i="6"/>
  <c r="I12" i="6"/>
  <c r="H12" i="6"/>
  <c r="G12" i="6"/>
  <c r="A11" i="6"/>
  <c r="I11" i="6"/>
  <c r="H11" i="6"/>
  <c r="G11" i="6"/>
  <c r="A10" i="6"/>
  <c r="I10" i="6"/>
  <c r="H10" i="6"/>
  <c r="G10" i="6"/>
  <c r="A9" i="6"/>
  <c r="I9" i="6"/>
  <c r="H9" i="6"/>
  <c r="G9" i="6"/>
  <c r="A8" i="6"/>
  <c r="I8" i="6"/>
  <c r="H8" i="6"/>
  <c r="G8" i="6"/>
  <c r="A7" i="6"/>
  <c r="I7" i="6"/>
  <c r="H7" i="6"/>
  <c r="G7" i="6"/>
  <c r="A6" i="6"/>
  <c r="I6" i="6"/>
  <c r="H6" i="6"/>
  <c r="G6" i="6"/>
  <c r="A5" i="6"/>
  <c r="I5" i="6"/>
  <c r="H5" i="6"/>
  <c r="G5" i="6"/>
  <c r="A4" i="6"/>
  <c r="I4" i="6"/>
  <c r="H4" i="6"/>
  <c r="G4" i="6"/>
  <c r="A3" i="6"/>
  <c r="I3" i="6"/>
  <c r="H3" i="6"/>
  <c r="G3" i="6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4" i="1"/>
  <c r="S3" i="1"/>
  <c r="S2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AA13" i="1"/>
  <c r="AB13" i="1"/>
  <c r="Z13" i="1"/>
  <c r="H13" i="1"/>
  <c r="E13" i="1"/>
  <c r="AA7" i="1"/>
  <c r="AB7" i="1"/>
  <c r="Z7" i="1"/>
  <c r="H7" i="1"/>
  <c r="E7" i="1"/>
  <c r="W35" i="6"/>
  <c r="V35" i="6"/>
  <c r="U35" i="6"/>
  <c r="T35" i="6"/>
  <c r="S35" i="6"/>
  <c r="R35" i="6"/>
  <c r="W34" i="6"/>
  <c r="V34" i="6"/>
  <c r="U34" i="6"/>
  <c r="T34" i="6"/>
  <c r="S34" i="6"/>
  <c r="R34" i="6"/>
  <c r="W33" i="6"/>
  <c r="V33" i="6"/>
  <c r="U33" i="6"/>
  <c r="T33" i="6"/>
  <c r="S33" i="6"/>
  <c r="R33" i="6"/>
  <c r="W32" i="6"/>
  <c r="V32" i="6"/>
  <c r="U32" i="6"/>
  <c r="T32" i="6"/>
  <c r="S32" i="6"/>
  <c r="R32" i="6"/>
  <c r="W31" i="6"/>
  <c r="V31" i="6"/>
  <c r="U31" i="6"/>
  <c r="T31" i="6"/>
  <c r="S31" i="6"/>
  <c r="R31" i="6"/>
  <c r="W30" i="6"/>
  <c r="V30" i="6"/>
  <c r="U30" i="6"/>
  <c r="T30" i="6"/>
  <c r="S30" i="6"/>
  <c r="R30" i="6"/>
  <c r="W29" i="6"/>
  <c r="V29" i="6"/>
  <c r="U29" i="6"/>
  <c r="T29" i="6"/>
  <c r="S29" i="6"/>
  <c r="R29" i="6"/>
  <c r="W28" i="6"/>
  <c r="V28" i="6"/>
  <c r="U28" i="6"/>
  <c r="T28" i="6"/>
  <c r="S28" i="6"/>
  <c r="R28" i="6"/>
  <c r="W27" i="6"/>
  <c r="V27" i="6"/>
  <c r="U27" i="6"/>
  <c r="T27" i="6"/>
  <c r="S27" i="6"/>
  <c r="R27" i="6"/>
  <c r="W26" i="6"/>
  <c r="V26" i="6"/>
  <c r="U26" i="6"/>
  <c r="T26" i="6"/>
  <c r="S26" i="6"/>
  <c r="R26" i="6"/>
  <c r="W25" i="6"/>
  <c r="V25" i="6"/>
  <c r="U25" i="6"/>
  <c r="T25" i="6"/>
  <c r="S25" i="6"/>
  <c r="R25" i="6"/>
  <c r="W24" i="6"/>
  <c r="V24" i="6"/>
  <c r="U24" i="6"/>
  <c r="T24" i="6"/>
  <c r="S24" i="6"/>
  <c r="R24" i="6"/>
  <c r="W23" i="6"/>
  <c r="V23" i="6"/>
  <c r="U23" i="6"/>
  <c r="T23" i="6"/>
  <c r="S23" i="6"/>
  <c r="R23" i="6"/>
  <c r="W22" i="6"/>
  <c r="V22" i="6"/>
  <c r="U22" i="6"/>
  <c r="T22" i="6"/>
  <c r="S22" i="6"/>
  <c r="R22" i="6"/>
  <c r="W21" i="6"/>
  <c r="V21" i="6"/>
  <c r="U21" i="6"/>
  <c r="T21" i="6"/>
  <c r="S21" i="6"/>
  <c r="R21" i="6"/>
  <c r="W20" i="6"/>
  <c r="V20" i="6"/>
  <c r="U20" i="6"/>
  <c r="T20" i="6"/>
  <c r="S20" i="6"/>
  <c r="R20" i="6"/>
  <c r="W19" i="6"/>
  <c r="V19" i="6"/>
  <c r="U19" i="6"/>
  <c r="T19" i="6"/>
  <c r="S19" i="6"/>
  <c r="R19" i="6"/>
  <c r="W18" i="6"/>
  <c r="V18" i="6"/>
  <c r="U18" i="6"/>
  <c r="T18" i="6"/>
  <c r="S18" i="6"/>
  <c r="R18" i="6"/>
  <c r="W17" i="6"/>
  <c r="V17" i="6"/>
  <c r="U17" i="6"/>
  <c r="T17" i="6"/>
  <c r="S17" i="6"/>
  <c r="R17" i="6"/>
  <c r="W16" i="6"/>
  <c r="V16" i="6"/>
  <c r="U16" i="6"/>
  <c r="T16" i="6"/>
  <c r="S16" i="6"/>
  <c r="R16" i="6"/>
  <c r="W15" i="6"/>
  <c r="V15" i="6"/>
  <c r="U15" i="6"/>
  <c r="T15" i="6"/>
  <c r="S15" i="6"/>
  <c r="R15" i="6"/>
  <c r="W14" i="6"/>
  <c r="V14" i="6"/>
  <c r="U14" i="6"/>
  <c r="T14" i="6"/>
  <c r="S14" i="6"/>
  <c r="R14" i="6"/>
  <c r="W13" i="6"/>
  <c r="V13" i="6"/>
  <c r="U13" i="6"/>
  <c r="T13" i="6"/>
  <c r="S13" i="6"/>
  <c r="R13" i="6"/>
  <c r="W12" i="6"/>
  <c r="V12" i="6"/>
  <c r="U12" i="6"/>
  <c r="T12" i="6"/>
  <c r="S12" i="6"/>
  <c r="R12" i="6"/>
  <c r="W11" i="6"/>
  <c r="V11" i="6"/>
  <c r="U11" i="6"/>
  <c r="T11" i="6"/>
  <c r="S11" i="6"/>
  <c r="R11" i="6"/>
  <c r="W10" i="6"/>
  <c r="V10" i="6"/>
  <c r="U10" i="6"/>
  <c r="T10" i="6"/>
  <c r="S10" i="6"/>
  <c r="R10" i="6"/>
  <c r="W9" i="6"/>
  <c r="V9" i="6"/>
  <c r="U9" i="6"/>
  <c r="T9" i="6"/>
  <c r="S9" i="6"/>
  <c r="R9" i="6"/>
  <c r="W8" i="6"/>
  <c r="V8" i="6"/>
  <c r="U8" i="6"/>
  <c r="T8" i="6"/>
  <c r="S8" i="6"/>
  <c r="R8" i="6"/>
  <c r="W7" i="6"/>
  <c r="V7" i="6"/>
  <c r="U7" i="6"/>
  <c r="T7" i="6"/>
  <c r="S7" i="6"/>
  <c r="R7" i="6"/>
  <c r="W6" i="6"/>
  <c r="V6" i="6"/>
  <c r="U6" i="6"/>
  <c r="T6" i="6"/>
  <c r="S6" i="6"/>
  <c r="R6" i="6"/>
  <c r="W5" i="6"/>
  <c r="V5" i="6"/>
  <c r="U5" i="6"/>
  <c r="T5" i="6"/>
  <c r="S5" i="6"/>
  <c r="R5" i="6"/>
  <c r="W4" i="6"/>
  <c r="V4" i="6"/>
  <c r="U4" i="6"/>
  <c r="T4" i="6"/>
  <c r="S4" i="6"/>
  <c r="R4" i="6"/>
  <c r="W3" i="6"/>
  <c r="V3" i="6"/>
  <c r="U3" i="6"/>
  <c r="T3" i="6"/>
  <c r="S3" i="6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2" i="1"/>
  <c r="AA11" i="1"/>
  <c r="AA10" i="1"/>
  <c r="AA9" i="1"/>
  <c r="AA8" i="1"/>
  <c r="AA6" i="1"/>
  <c r="AA5" i="1"/>
  <c r="AA4" i="1"/>
  <c r="AA3" i="1"/>
  <c r="AA2" i="1"/>
  <c r="P35" i="6"/>
  <c r="O35" i="6"/>
  <c r="M35" i="6"/>
  <c r="L35" i="6"/>
  <c r="K35" i="6"/>
  <c r="F35" i="6"/>
  <c r="E35" i="6"/>
  <c r="D35" i="6"/>
  <c r="C35" i="6"/>
  <c r="B35" i="6"/>
  <c r="P34" i="6"/>
  <c r="O34" i="6"/>
  <c r="M34" i="6"/>
  <c r="L34" i="6"/>
  <c r="K34" i="6"/>
  <c r="F34" i="6"/>
  <c r="E34" i="6"/>
  <c r="D34" i="6"/>
  <c r="C34" i="6"/>
  <c r="B34" i="6"/>
  <c r="P33" i="6"/>
  <c r="O33" i="6"/>
  <c r="M33" i="6"/>
  <c r="L33" i="6"/>
  <c r="K33" i="6"/>
  <c r="F33" i="6"/>
  <c r="E33" i="6"/>
  <c r="D33" i="6"/>
  <c r="C33" i="6"/>
  <c r="B33" i="6"/>
  <c r="P32" i="6"/>
  <c r="O32" i="6"/>
  <c r="M32" i="6"/>
  <c r="L32" i="6"/>
  <c r="K32" i="6"/>
  <c r="F32" i="6"/>
  <c r="E32" i="6"/>
  <c r="D32" i="6"/>
  <c r="C32" i="6"/>
  <c r="B32" i="6"/>
  <c r="P31" i="6"/>
  <c r="O31" i="6"/>
  <c r="M31" i="6"/>
  <c r="L31" i="6"/>
  <c r="K31" i="6"/>
  <c r="F31" i="6"/>
  <c r="E31" i="6"/>
  <c r="D31" i="6"/>
  <c r="C31" i="6"/>
  <c r="B31" i="6"/>
  <c r="P30" i="6"/>
  <c r="O30" i="6"/>
  <c r="M30" i="6"/>
  <c r="L30" i="6"/>
  <c r="K30" i="6"/>
  <c r="F30" i="6"/>
  <c r="E30" i="6"/>
  <c r="D30" i="6"/>
  <c r="C30" i="6"/>
  <c r="B30" i="6"/>
  <c r="P29" i="6"/>
  <c r="O29" i="6"/>
  <c r="M29" i="6"/>
  <c r="L29" i="6"/>
  <c r="K29" i="6"/>
  <c r="F29" i="6"/>
  <c r="E29" i="6"/>
  <c r="D29" i="6"/>
  <c r="C29" i="6"/>
  <c r="B29" i="6"/>
  <c r="P28" i="6"/>
  <c r="O28" i="6"/>
  <c r="M28" i="6"/>
  <c r="L28" i="6"/>
  <c r="K28" i="6"/>
  <c r="F28" i="6"/>
  <c r="E28" i="6"/>
  <c r="D28" i="6"/>
  <c r="C28" i="6"/>
  <c r="B28" i="6"/>
  <c r="P27" i="6"/>
  <c r="O27" i="6"/>
  <c r="M27" i="6"/>
  <c r="L27" i="6"/>
  <c r="K27" i="6"/>
  <c r="F27" i="6"/>
  <c r="E27" i="6"/>
  <c r="D27" i="6"/>
  <c r="C27" i="6"/>
  <c r="B27" i="6"/>
  <c r="P26" i="6"/>
  <c r="O26" i="6"/>
  <c r="M26" i="6"/>
  <c r="L26" i="6"/>
  <c r="K26" i="6"/>
  <c r="F26" i="6"/>
  <c r="E26" i="6"/>
  <c r="D26" i="6"/>
  <c r="C26" i="6"/>
  <c r="B26" i="6"/>
  <c r="P25" i="6"/>
  <c r="O25" i="6"/>
  <c r="M25" i="6"/>
  <c r="L25" i="6"/>
  <c r="K25" i="6"/>
  <c r="F25" i="6"/>
  <c r="E25" i="6"/>
  <c r="D25" i="6"/>
  <c r="C25" i="6"/>
  <c r="B25" i="6"/>
  <c r="P24" i="6"/>
  <c r="O24" i="6"/>
  <c r="F24" i="6"/>
  <c r="E24" i="6"/>
  <c r="D24" i="6"/>
  <c r="C24" i="6"/>
  <c r="B24" i="6"/>
  <c r="P23" i="6"/>
  <c r="O23" i="6"/>
  <c r="M23" i="6"/>
  <c r="L23" i="6"/>
  <c r="K23" i="6"/>
  <c r="F23" i="6"/>
  <c r="E23" i="6"/>
  <c r="D23" i="6"/>
  <c r="C23" i="6"/>
  <c r="B23" i="6"/>
  <c r="P22" i="6"/>
  <c r="O22" i="6"/>
  <c r="M22" i="6"/>
  <c r="L22" i="6"/>
  <c r="K22" i="6"/>
  <c r="F22" i="6"/>
  <c r="E22" i="6"/>
  <c r="D22" i="6"/>
  <c r="C22" i="6"/>
  <c r="B22" i="6"/>
  <c r="P21" i="6"/>
  <c r="O21" i="6"/>
  <c r="M21" i="6"/>
  <c r="L21" i="6"/>
  <c r="K21" i="6"/>
  <c r="F21" i="6"/>
  <c r="E21" i="6"/>
  <c r="D21" i="6"/>
  <c r="C21" i="6"/>
  <c r="B21" i="6"/>
  <c r="P20" i="6"/>
  <c r="O20" i="6"/>
  <c r="M20" i="6"/>
  <c r="L20" i="6"/>
  <c r="K20" i="6"/>
  <c r="F20" i="6"/>
  <c r="E20" i="6"/>
  <c r="D20" i="6"/>
  <c r="C20" i="6"/>
  <c r="B20" i="6"/>
  <c r="P19" i="6"/>
  <c r="O19" i="6"/>
  <c r="M19" i="6"/>
  <c r="L19" i="6"/>
  <c r="K19" i="6"/>
  <c r="F19" i="6"/>
  <c r="E19" i="6"/>
  <c r="D19" i="6"/>
  <c r="C19" i="6"/>
  <c r="B19" i="6"/>
  <c r="P18" i="6"/>
  <c r="O18" i="6"/>
  <c r="M18" i="6"/>
  <c r="L18" i="6"/>
  <c r="K18" i="6"/>
  <c r="F18" i="6"/>
  <c r="E18" i="6"/>
  <c r="D18" i="6"/>
  <c r="C18" i="6"/>
  <c r="B18" i="6"/>
  <c r="P17" i="6"/>
  <c r="O17" i="6"/>
  <c r="M17" i="6"/>
  <c r="L17" i="6"/>
  <c r="K17" i="6"/>
  <c r="F17" i="6"/>
  <c r="E17" i="6"/>
  <c r="D17" i="6"/>
  <c r="C17" i="6"/>
  <c r="B17" i="6"/>
  <c r="P16" i="6"/>
  <c r="O16" i="6"/>
  <c r="M16" i="6"/>
  <c r="L16" i="6"/>
  <c r="K16" i="6"/>
  <c r="F16" i="6"/>
  <c r="E16" i="6"/>
  <c r="D16" i="6"/>
  <c r="C16" i="6"/>
  <c r="B16" i="6"/>
  <c r="P15" i="6"/>
  <c r="O15" i="6"/>
  <c r="F15" i="6"/>
  <c r="E15" i="6"/>
  <c r="D15" i="6"/>
  <c r="C15" i="6"/>
  <c r="B15" i="6"/>
  <c r="P14" i="6"/>
  <c r="O14" i="6"/>
  <c r="M14" i="6"/>
  <c r="L14" i="6"/>
  <c r="K14" i="6"/>
  <c r="F14" i="6"/>
  <c r="E14" i="6"/>
  <c r="D14" i="6"/>
  <c r="C14" i="6"/>
  <c r="B14" i="6"/>
  <c r="P13" i="6"/>
  <c r="O13" i="6"/>
  <c r="M13" i="6"/>
  <c r="L13" i="6"/>
  <c r="K13" i="6"/>
  <c r="F13" i="6"/>
  <c r="E13" i="6"/>
  <c r="D13" i="6"/>
  <c r="C13" i="6"/>
  <c r="B13" i="6"/>
  <c r="P12" i="6"/>
  <c r="O12" i="6"/>
  <c r="M12" i="6"/>
  <c r="L12" i="6"/>
  <c r="K12" i="6"/>
  <c r="F12" i="6"/>
  <c r="E12" i="6"/>
  <c r="D12" i="6"/>
  <c r="C12" i="6"/>
  <c r="B12" i="6"/>
  <c r="P11" i="6"/>
  <c r="O11" i="6"/>
  <c r="M11" i="6"/>
  <c r="L11" i="6"/>
  <c r="K11" i="6"/>
  <c r="F11" i="6"/>
  <c r="E11" i="6"/>
  <c r="D11" i="6"/>
  <c r="C11" i="6"/>
  <c r="B11" i="6"/>
  <c r="P10" i="6"/>
  <c r="O10" i="6"/>
  <c r="M10" i="6"/>
  <c r="L10" i="6"/>
  <c r="K10" i="6"/>
  <c r="F10" i="6"/>
  <c r="E10" i="6"/>
  <c r="D10" i="6"/>
  <c r="C10" i="6"/>
  <c r="B10" i="6"/>
  <c r="P9" i="6"/>
  <c r="O9" i="6"/>
  <c r="L9" i="6"/>
  <c r="K9" i="6"/>
  <c r="F9" i="6"/>
  <c r="E9" i="6"/>
  <c r="D9" i="6"/>
  <c r="C9" i="6"/>
  <c r="B9" i="6"/>
  <c r="P8" i="6"/>
  <c r="O8" i="6"/>
  <c r="M8" i="6"/>
  <c r="L8" i="6"/>
  <c r="K8" i="6"/>
  <c r="F8" i="6"/>
  <c r="E8" i="6"/>
  <c r="D8" i="6"/>
  <c r="C8" i="6"/>
  <c r="B8" i="6"/>
  <c r="P7" i="6"/>
  <c r="O7" i="6"/>
  <c r="M7" i="6"/>
  <c r="L7" i="6"/>
  <c r="K7" i="6"/>
  <c r="F7" i="6"/>
  <c r="E7" i="6"/>
  <c r="D7" i="6"/>
  <c r="C7" i="6"/>
  <c r="B7" i="6"/>
  <c r="P6" i="6"/>
  <c r="O6" i="6"/>
  <c r="M6" i="6"/>
  <c r="L6" i="6"/>
  <c r="K6" i="6"/>
  <c r="F6" i="6"/>
  <c r="E6" i="6"/>
  <c r="D6" i="6"/>
  <c r="C6" i="6"/>
  <c r="B6" i="6"/>
  <c r="P5" i="6"/>
  <c r="O5" i="6"/>
  <c r="M5" i="6"/>
  <c r="L5" i="6"/>
  <c r="K5" i="6"/>
  <c r="F5" i="6"/>
  <c r="E5" i="6"/>
  <c r="D5" i="6"/>
  <c r="C5" i="6"/>
  <c r="B5" i="6"/>
  <c r="P4" i="6"/>
  <c r="O4" i="6"/>
  <c r="M4" i="6"/>
  <c r="L4" i="6"/>
  <c r="K4" i="6"/>
  <c r="F4" i="6"/>
  <c r="E4" i="6"/>
  <c r="D4" i="6"/>
  <c r="C4" i="6"/>
  <c r="B4" i="6"/>
  <c r="R3" i="6"/>
  <c r="P3" i="6"/>
  <c r="O3" i="6"/>
  <c r="L3" i="6"/>
  <c r="K3" i="6"/>
  <c r="F3" i="6"/>
  <c r="E3" i="6"/>
  <c r="D3" i="6"/>
  <c r="C3" i="6"/>
  <c r="B3" i="6"/>
  <c r="C1" i="5"/>
  <c r="A13" i="2"/>
  <c r="H2" i="1"/>
  <c r="H3" i="1"/>
  <c r="H4" i="1"/>
  <c r="H5" i="1"/>
  <c r="H6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B13" i="2"/>
  <c r="A12" i="2"/>
  <c r="B12" i="2"/>
  <c r="A11" i="2"/>
  <c r="B11" i="2"/>
  <c r="A10" i="2"/>
  <c r="B10" i="2"/>
  <c r="A9" i="2"/>
  <c r="B9" i="2"/>
  <c r="A8" i="2"/>
  <c r="B8" i="2"/>
  <c r="A7" i="2"/>
  <c r="B7" i="2"/>
  <c r="A6" i="2"/>
  <c r="B6" i="2"/>
  <c r="A5" i="2"/>
  <c r="B5" i="2"/>
  <c r="A4" i="2"/>
  <c r="B4" i="2"/>
  <c r="A3" i="2"/>
  <c r="B3" i="2"/>
  <c r="A2" i="2"/>
  <c r="B2" i="2"/>
  <c r="AB34" i="1"/>
  <c r="Z34" i="1"/>
  <c r="AB33" i="1"/>
  <c r="Z33" i="1"/>
  <c r="AB32" i="1"/>
  <c r="Z32" i="1"/>
  <c r="AB31" i="1"/>
  <c r="Z31" i="1"/>
  <c r="AB30" i="1"/>
  <c r="Z30" i="1"/>
  <c r="AB29" i="1"/>
  <c r="Z29" i="1"/>
  <c r="AB28" i="1"/>
  <c r="Z28" i="1"/>
  <c r="AB27" i="1"/>
  <c r="Z27" i="1"/>
  <c r="AB26" i="1"/>
  <c r="Z26" i="1"/>
  <c r="AB25" i="1"/>
  <c r="Z25" i="1"/>
  <c r="AB24" i="1"/>
  <c r="Z24" i="1"/>
  <c r="AB23" i="1"/>
  <c r="Z23" i="1"/>
  <c r="AB22" i="1"/>
  <c r="Z22" i="1"/>
  <c r="AB21" i="1"/>
  <c r="Z21" i="1"/>
  <c r="AB20" i="1"/>
  <c r="Z20" i="1"/>
  <c r="AB19" i="1"/>
  <c r="Z19" i="1"/>
  <c r="AB18" i="1"/>
  <c r="Z18" i="1"/>
  <c r="AB17" i="1"/>
  <c r="Z17" i="1"/>
  <c r="AB16" i="1"/>
  <c r="Z16" i="1"/>
  <c r="AB15" i="1"/>
  <c r="Z15" i="1"/>
  <c r="AB14" i="1"/>
  <c r="Z14" i="1"/>
  <c r="AB12" i="1"/>
  <c r="Z12" i="1"/>
  <c r="AB11" i="1"/>
  <c r="Z11" i="1"/>
  <c r="AB10" i="1"/>
  <c r="Z10" i="1"/>
  <c r="AB9" i="1"/>
  <c r="Z9" i="1"/>
  <c r="AB8" i="1"/>
  <c r="Z8" i="1"/>
  <c r="AB6" i="1"/>
  <c r="Z6" i="1"/>
  <c r="AB5" i="1"/>
  <c r="Z5" i="1"/>
  <c r="AB4" i="1"/>
  <c r="Z4" i="1"/>
  <c r="AB3" i="1"/>
  <c r="Z3" i="1"/>
  <c r="AB2" i="1"/>
  <c r="Z2" i="1"/>
  <c r="E3" i="2"/>
  <c r="E4" i="2"/>
  <c r="E5" i="2"/>
  <c r="E6" i="2"/>
  <c r="E7" i="2"/>
  <c r="E8" i="2"/>
  <c r="E9" i="2"/>
  <c r="E10" i="2"/>
  <c r="E11" i="2"/>
  <c r="E12" i="2"/>
  <c r="E13" i="2"/>
  <c r="E2" i="2"/>
  <c r="D13" i="2"/>
  <c r="D12" i="2"/>
  <c r="D11" i="2"/>
  <c r="D10" i="2"/>
  <c r="D9" i="2"/>
  <c r="D8" i="2"/>
  <c r="D7" i="2"/>
  <c r="D6" i="2"/>
  <c r="D5" i="2"/>
  <c r="D4" i="2"/>
  <c r="D3" i="2"/>
  <c r="D2" i="2"/>
  <c r="E2" i="1"/>
  <c r="E3" i="1"/>
  <c r="E16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5" i="1"/>
  <c r="E14" i="1"/>
  <c r="E12" i="1"/>
  <c r="E11" i="1"/>
  <c r="E10" i="1"/>
  <c r="E9" i="1"/>
  <c r="E8" i="1"/>
  <c r="E6" i="1"/>
  <c r="E5" i="1"/>
  <c r="E4" i="1"/>
  <c r="A1" i="5"/>
  <c r="B1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A3" i="5"/>
  <c r="F3" i="5"/>
  <c r="E3" i="5"/>
  <c r="D3" i="5"/>
  <c r="C3" i="5"/>
  <c r="B3" i="5"/>
</calcChain>
</file>

<file path=xl/sharedStrings.xml><?xml version="1.0" encoding="utf-8"?>
<sst xmlns="http://schemas.openxmlformats.org/spreadsheetml/2006/main" count="76" uniqueCount="56">
  <si>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</si>
  <si>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</si>
  <si>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</si>
  <si>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</si>
  <si>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</si>
  <si>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</si>
  <si>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</si>
  <si>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</si>
  <si>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</si>
  <si>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</si>
  <si>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</si>
  <si>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</si>
  <si>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</si>
  <si>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</si>
  <si>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</si>
  <si>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</si>
  <si>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</si>
  <si>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</si>
  <si>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</si>
  <si>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</si>
  <si>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</si>
  <si>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</si>
  <si>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</si>
  <si>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</si>
  <si>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</si>
  <si>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</si>
  <si>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</si>
  <si>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</si>
  <si>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</si>
  <si>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</si>
  <si>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</si>
  <si>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</si>
  <si>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</si>
  <si>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</si>
  <si>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</si>
  <si>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</si>
  <si>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</si>
  <si>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</si>
  <si>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</si>
  <si>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quest_id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</si>
  <si>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</si>
  <si>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</si>
  <si>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</si>
  <si>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</si>
  <si>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</si>
  <si>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hp_plus</t>
  </si>
  <si>
    <t>attack_plus</t>
  </si>
  <si>
    <t>defense_plus</t>
  </si>
  <si>
    <t>heal_plus</t>
  </si>
  <si>
    <t>bug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</si>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</sst>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26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</cellXfs>
  <cellStyles count="32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.15"/>
  <cols>
    <col min="1" max="1" width="8.83203125" style="30" bestFit="1" customWidth="1"/>
    <col min="2" max="2" width="5" style="30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30" customWidth="1" outlineLevel="1"/>
    <col min="8" max="8" width="17.5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22" t="s">
        <v>31</v>
      </c>
      <c r="B1" s="22" t="s">
        <v>38</v>
      </c>
      <c r="C1" s="1" t="s">
        <v>0</v>
      </c>
      <c r="D1" s="2" t="s">
        <v>18</v>
      </c>
      <c r="E1" s="21" t="s">
        <v>35</v>
      </c>
      <c r="F1" s="1" t="s">
        <v>1</v>
      </c>
      <c r="G1" s="35" t="s">
        <v>34</v>
      </c>
      <c r="H1" s="21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2" t="str">
        <f t="shared" ref="A2:A13" si="0">G2&amp;"-"&amp;I2</f>
        <v>1_1-1</v>
      </c>
      <c r="B2" s="22" t="str">
        <f>IF(COUNTIF(enemy_habitats_DL0!$H:$H,A2),"OK","NG")</f>
        <v>OK</v>
      </c>
      <c r="C2" s="8">
        <v>1</v>
      </c>
      <c r="D2" s="13" t="str">
        <f ca="1">VLOOKUP($C2,OFFSET([1]quests!$A$1,0,0,COUNTA([1]quests!$A:$A),MATCH(D$1,[1]quests!$1:$1,0)-MATCH($C$1,[1]quests!$1:$1,0)+1),MATCH(D$1,[1]quests!$1:$1,0)-MATCH($C$1,[1]quests!$1:$1,0)+1,FALSE)</f>
        <v>1．ALICEの入り口</v>
      </c>
      <c r="E2" s="29" t="str">
        <f ca="1">VLOOKUP($C2,OFFSET([1]quests!$A$1,0,0,COUNTA([1]quests!$A:$A),MATCH(E$1,[1]quests!$1:$1,0)-MATCH($C$1,[1]quests!$1:$1,0)+1),MATCH(E$1,[1]quests!$1:$1,0)-MATCH($C$1,[1]quests!$1:$1,0)+1,FALSE)</f>
        <v>混色DL0</v>
      </c>
      <c r="F2" s="32">
        <v>1</v>
      </c>
      <c r="G2" s="35" t="str">
        <f t="shared" ref="G2:G13" si="1">C2&amp;"_"&amp;F2</f>
        <v>1_1</v>
      </c>
      <c r="H2" s="21" t="str">
        <f ca="1">VLOOKUP($G2,OFFSET([1]stages!$A$1,0,0,COUNTA([1]stages!$A:$A),MATCH(H$1,[1]stages!$2:$2,0)-MATCH($G$1,[1]stages!$2:$2,0)+1),MATCH(H$1,[1]stages!$2:$2,0)-MATCH($G$1,[1]stages!$2:$2,0)+1,FALSE)</f>
        <v>1-1. はじまりの外壁</v>
      </c>
      <c r="I2" s="32">
        <v>1</v>
      </c>
      <c r="J2" s="14">
        <v>15</v>
      </c>
      <c r="K2" s="14">
        <v>15</v>
      </c>
    </row>
    <row r="3" spans="1:11" ht="21" customHeight="1" x14ac:dyDescent="0.15">
      <c r="A3" s="22" t="str">
        <f t="shared" si="0"/>
        <v>1_1-2</v>
      </c>
      <c r="B3" s="22" t="str">
        <f>IF(COUNTIF(enemy_habitats_DL0!$H:$H,A3),"OK","NG")</f>
        <v>OK</v>
      </c>
      <c r="C3" s="8">
        <v>1</v>
      </c>
      <c r="D3" s="13" t="str">
        <f ca="1">VLOOKUP($C3,OFFSET([1]quests!$A$1,0,0,COUNTA([1]quests!$A:$A),MATCH(D$1,[1]quests!$1:$1,0)-MATCH($C$1,[1]quests!$1:$1,0)+1),MATCH(D$1,[1]quests!$1:$1,0)-MATCH($C$1,[1]quests!$1:$1,0)+1,FALSE)</f>
        <v>1．ALICEの入り口</v>
      </c>
      <c r="E3" s="29" t="str">
        <f ca="1">VLOOKUP($C3,OFFSET([1]quests!$A$1,0,0,COUNTA([1]quests!$A:$A),MATCH(E$1,[1]quests!$1:$1,0)-MATCH($C$1,[1]quests!$1:$1,0)+1),MATCH(E$1,[1]quests!$1:$1,0)-MATCH($C$1,[1]quests!$1:$1,0)+1,FALSE)</f>
        <v>混色DL0</v>
      </c>
      <c r="F3" s="32">
        <v>1</v>
      </c>
      <c r="G3" s="35" t="str">
        <f t="shared" si="1"/>
        <v>1_1</v>
      </c>
      <c r="H3" s="21" t="str">
        <f ca="1">VLOOKUP($G3,OFFSET([1]stages!$A$1,0,0,COUNTA([1]stages!$A:$A),MATCH(H$1,[1]stages!$2:$2,0)-MATCH($G$1,[1]stages!$2:$2,0)+1),MATCH(H$1,[1]stages!$2:$2,0)-MATCH($G$1,[1]stages!$2:$2,0)+1,FALSE)</f>
        <v>1-1. はじまりの外壁</v>
      </c>
      <c r="I3" s="32">
        <v>2</v>
      </c>
      <c r="J3" s="14">
        <v>45</v>
      </c>
      <c r="K3" s="14">
        <v>45</v>
      </c>
    </row>
    <row r="4" spans="1:11" ht="21" customHeight="1" x14ac:dyDescent="0.15">
      <c r="A4" s="22" t="str">
        <f t="shared" si="0"/>
        <v>1_1-3</v>
      </c>
      <c r="B4" s="22" t="str">
        <f>IF(COUNTIF(enemy_habitats_DL0!$H:$H,A4),"OK","NG")</f>
        <v>OK</v>
      </c>
      <c r="C4" s="8">
        <v>1</v>
      </c>
      <c r="D4" s="13" t="str">
        <f ca="1">VLOOKUP($C4,OFFSET([1]quests!$A$1,0,0,COUNTA([1]quests!$A:$A),MATCH(D$1,[1]quests!$1:$1,0)-MATCH($C$1,[1]quests!$1:$1,0)+1),MATCH(D$1,[1]quests!$1:$1,0)-MATCH($C$1,[1]quests!$1:$1,0)+1,FALSE)</f>
        <v>1．ALICEの入り口</v>
      </c>
      <c r="E4" s="29" t="str">
        <f ca="1">VLOOKUP($C4,OFFSET([1]quests!$A$1,0,0,COUNTA([1]quests!$A:$A),MATCH(E$1,[1]quests!$1:$1,0)-MATCH($C$1,[1]quests!$1:$1,0)+1),MATCH(E$1,[1]quests!$1:$1,0)-MATCH($C$1,[1]quests!$1:$1,0)+1,FALSE)</f>
        <v>混色DL0</v>
      </c>
      <c r="F4" s="32">
        <v>1</v>
      </c>
      <c r="G4" s="35" t="str">
        <f t="shared" si="1"/>
        <v>1_1</v>
      </c>
      <c r="H4" s="21" t="str">
        <f ca="1">VLOOKUP($G4,OFFSET([1]stages!$A$1,0,0,COUNTA([1]stages!$A:$A),MATCH(H$1,[1]stages!$2:$2,0)-MATCH($G$1,[1]stages!$2:$2,0)+1),MATCH(H$1,[1]stages!$2:$2,0)-MATCH($G$1,[1]stages!$2:$2,0)+1,FALSE)</f>
        <v>1-1. はじまりの外壁</v>
      </c>
      <c r="I4" s="32">
        <v>3</v>
      </c>
      <c r="J4" s="14">
        <v>15</v>
      </c>
      <c r="K4" s="14">
        <v>15</v>
      </c>
    </row>
    <row r="5" spans="1:11" ht="21" customHeight="1" x14ac:dyDescent="0.15">
      <c r="A5" s="22" t="str">
        <f t="shared" si="0"/>
        <v>1_2-1</v>
      </c>
      <c r="B5" s="22" t="str">
        <f>IF(COUNTIF(enemy_habitats_DL0!$H:$H,A5),"OK","NG")</f>
        <v>OK</v>
      </c>
      <c r="C5" s="8">
        <v>1</v>
      </c>
      <c r="D5" s="13" t="str">
        <f ca="1">VLOOKUP($C5,OFFSET([1]quests!$A$1,0,0,COUNTA([1]quests!$A:$A),MATCH(D$1,[1]quests!$1:$1,0)-MATCH($C$1,[1]quests!$1:$1,0)+1),MATCH(D$1,[1]quests!$1:$1,0)-MATCH($C$1,[1]quests!$1:$1,0)+1,FALSE)</f>
        <v>1．ALICEの入り口</v>
      </c>
      <c r="E5" s="29" t="str">
        <f ca="1">VLOOKUP($C5,OFFSET([1]quests!$A$1,0,0,COUNTA([1]quests!$A:$A),MATCH(E$1,[1]quests!$1:$1,0)-MATCH($C$1,[1]quests!$1:$1,0)+1),MATCH(E$1,[1]quests!$1:$1,0)-MATCH($C$1,[1]quests!$1:$1,0)+1,FALSE)</f>
        <v>混色DL0</v>
      </c>
      <c r="F5" s="33">
        <v>2</v>
      </c>
      <c r="G5" s="35" t="str">
        <f t="shared" si="1"/>
        <v>1_2</v>
      </c>
      <c r="H5" s="21" t="str">
        <f ca="1">VLOOKUP($G5,OFFSET([1]stages!$A$1,0,0,COUNTA([1]stages!$A:$A),MATCH(H$1,[1]stages!$2:$2,0)-MATCH($G$1,[1]stages!$2:$2,0)+1),MATCH(H$1,[1]stages!$2:$2,0)-MATCH($G$1,[1]stages!$2:$2,0)+1,FALSE)</f>
        <v>1-2. 手荒い出迎え</v>
      </c>
      <c r="I5" s="32">
        <v>1</v>
      </c>
      <c r="J5" s="14">
        <v>15</v>
      </c>
      <c r="K5" s="14">
        <v>15</v>
      </c>
    </row>
    <row r="6" spans="1:11" ht="21" customHeight="1" x14ac:dyDescent="0.15">
      <c r="A6" s="22" t="str">
        <f t="shared" si="0"/>
        <v>1_2-2</v>
      </c>
      <c r="B6" s="22" t="str">
        <f>IF(COUNTIF(enemy_habitats_DL0!$H:$H,A6),"OK","NG")</f>
        <v>OK</v>
      </c>
      <c r="C6" s="8">
        <v>1</v>
      </c>
      <c r="D6" s="13" t="str">
        <f ca="1">VLOOKUP($C6,OFFSET([1]quests!$A$1,0,0,COUNTA([1]quests!$A:$A),MATCH(D$1,[1]quests!$1:$1,0)-MATCH($C$1,[1]quests!$1:$1,0)+1),MATCH(D$1,[1]quests!$1:$1,0)-MATCH($C$1,[1]quests!$1:$1,0)+1,FALSE)</f>
        <v>1．ALICEの入り口</v>
      </c>
      <c r="E6" s="29" t="str">
        <f ca="1">VLOOKUP($C6,OFFSET([1]quests!$A$1,0,0,COUNTA([1]quests!$A:$A),MATCH(E$1,[1]quests!$1:$1,0)-MATCH($C$1,[1]quests!$1:$1,0)+1),MATCH(E$1,[1]quests!$1:$1,0)-MATCH($C$1,[1]quests!$1:$1,0)+1,FALSE)</f>
        <v>混色DL0</v>
      </c>
      <c r="F6" s="32">
        <v>2</v>
      </c>
      <c r="G6" s="35" t="str">
        <f t="shared" si="1"/>
        <v>1_2</v>
      </c>
      <c r="H6" s="21" t="str">
        <f ca="1">VLOOKUP($G6,OFFSET([1]stages!$A$1,0,0,COUNTA([1]stages!$A:$A),MATCH(H$1,[1]stages!$2:$2,0)-MATCH($G$1,[1]stages!$2:$2,0)+1),MATCH(H$1,[1]stages!$2:$2,0)-MATCH($G$1,[1]stages!$2:$2,0)+1,FALSE)</f>
        <v>1-2. 手荒い出迎え</v>
      </c>
      <c r="I6" s="32">
        <v>2</v>
      </c>
      <c r="J6" s="14">
        <v>45</v>
      </c>
      <c r="K6" s="14">
        <v>45</v>
      </c>
    </row>
    <row r="7" spans="1:11" ht="21" customHeight="1" x14ac:dyDescent="0.15">
      <c r="A7" s="22" t="str">
        <f t="shared" si="0"/>
        <v>1_2-3</v>
      </c>
      <c r="B7" s="22" t="str">
        <f>IF(COUNTIF(enemy_habitats_DL0!$H:$H,A7),"OK","NG")</f>
        <v>OK</v>
      </c>
      <c r="C7" s="8">
        <v>1</v>
      </c>
      <c r="D7" s="13" t="str">
        <f ca="1">VLOOKUP($C7,OFFSET([1]quests!$A$1,0,0,COUNTA([1]quests!$A:$A),MATCH(D$1,[1]quests!$1:$1,0)-MATCH($C$1,[1]quests!$1:$1,0)+1),MATCH(D$1,[1]quests!$1:$1,0)-MATCH($C$1,[1]quests!$1:$1,0)+1,FALSE)</f>
        <v>1．ALICEの入り口</v>
      </c>
      <c r="E7" s="29" t="str">
        <f ca="1">VLOOKUP($C7,OFFSET([1]quests!$A$1,0,0,COUNTA([1]quests!$A:$A),MATCH(E$1,[1]quests!$1:$1,0)-MATCH($C$1,[1]quests!$1:$1,0)+1),MATCH(E$1,[1]quests!$1:$1,0)-MATCH($C$1,[1]quests!$1:$1,0)+1,FALSE)</f>
        <v>混色DL0</v>
      </c>
      <c r="F7" s="32">
        <v>2</v>
      </c>
      <c r="G7" s="35" t="str">
        <f t="shared" si="1"/>
        <v>1_2</v>
      </c>
      <c r="H7" s="21" t="str">
        <f ca="1">VLOOKUP($G7,OFFSET([1]stages!$A$1,0,0,COUNTA([1]stages!$A:$A),MATCH(H$1,[1]stages!$2:$2,0)-MATCH($G$1,[1]stages!$2:$2,0)+1),MATCH(H$1,[1]stages!$2:$2,0)-MATCH($G$1,[1]stages!$2:$2,0)+1,FALSE)</f>
        <v>1-2. 手荒い出迎え</v>
      </c>
      <c r="I7" s="32">
        <v>3</v>
      </c>
      <c r="J7" s="14">
        <v>30</v>
      </c>
      <c r="K7" s="14">
        <v>30</v>
      </c>
    </row>
    <row r="8" spans="1:11" ht="21" customHeight="1" x14ac:dyDescent="0.15">
      <c r="A8" s="22" t="str">
        <f t="shared" si="0"/>
        <v>1_3-1</v>
      </c>
      <c r="B8" s="22" t="str">
        <f>IF(COUNTIF(enemy_habitats_DL0!$H:$H,A8),"OK","NG")</f>
        <v>OK</v>
      </c>
      <c r="C8" s="8">
        <v>1</v>
      </c>
      <c r="D8" s="13" t="str">
        <f ca="1">VLOOKUP($C8,OFFSET([1]quests!$A$1,0,0,COUNTA([1]quests!$A:$A),MATCH(D$1,[1]quests!$1:$1,0)-MATCH($C$1,[1]quests!$1:$1,0)+1),MATCH(D$1,[1]quests!$1:$1,0)-MATCH($C$1,[1]quests!$1:$1,0)+1,FALSE)</f>
        <v>1．ALICEの入り口</v>
      </c>
      <c r="E8" s="29" t="str">
        <f ca="1">VLOOKUP($C8,OFFSET([1]quests!$A$1,0,0,COUNTA([1]quests!$A:$A),MATCH(E$1,[1]quests!$1:$1,0)-MATCH($C$1,[1]quests!$1:$1,0)+1),MATCH(E$1,[1]quests!$1:$1,0)-MATCH($C$1,[1]quests!$1:$1,0)+1,FALSE)</f>
        <v>混色DL0</v>
      </c>
      <c r="F8" s="32">
        <v>3</v>
      </c>
      <c r="G8" s="35" t="str">
        <f t="shared" si="1"/>
        <v>1_3</v>
      </c>
      <c r="H8" s="21" t="str">
        <f ca="1">VLOOKUP($G8,OFFSET([1]stages!$A$1,0,0,COUNTA([1]stages!$A:$A),MATCH(H$1,[1]stages!$2:$2,0)-MATCH($G$1,[1]stages!$2:$2,0)+1),MATCH(H$1,[1]stages!$2:$2,0)-MATCH($G$1,[1]stages!$2:$2,0)+1,FALSE)</f>
        <v>1-3. ゲートの番犬</v>
      </c>
      <c r="I8" s="32">
        <v>1</v>
      </c>
      <c r="J8" s="14">
        <v>45</v>
      </c>
      <c r="K8" s="14">
        <v>45</v>
      </c>
    </row>
    <row r="9" spans="1:11" ht="21" customHeight="1" x14ac:dyDescent="0.15">
      <c r="A9" s="22" t="str">
        <f t="shared" si="0"/>
        <v>1_3-2</v>
      </c>
      <c r="B9" s="22" t="str">
        <f>IF(COUNTIF(enemy_habitats_DL0!$H:$H,A9),"OK","NG")</f>
        <v>OK</v>
      </c>
      <c r="C9" s="8">
        <v>1</v>
      </c>
      <c r="D9" s="13" t="str">
        <f ca="1">VLOOKUP($C9,OFFSET([1]quests!$A$1,0,0,COUNTA([1]quests!$A:$A),MATCH(D$1,[1]quests!$1:$1,0)-MATCH($C$1,[1]quests!$1:$1,0)+1),MATCH(D$1,[1]quests!$1:$1,0)-MATCH($C$1,[1]quests!$1:$1,0)+1,FALSE)</f>
        <v>1．ALICEの入り口</v>
      </c>
      <c r="E9" s="29" t="str">
        <f ca="1">VLOOKUP($C9,OFFSET([1]quests!$A$1,0,0,COUNTA([1]quests!$A:$A),MATCH(E$1,[1]quests!$1:$1,0)-MATCH($C$1,[1]quests!$1:$1,0)+1),MATCH(E$1,[1]quests!$1:$1,0)-MATCH($C$1,[1]quests!$1:$1,0)+1,FALSE)</f>
        <v>混色DL0</v>
      </c>
      <c r="F9" s="32">
        <v>3</v>
      </c>
      <c r="G9" s="35" t="str">
        <f t="shared" si="1"/>
        <v>1_3</v>
      </c>
      <c r="H9" s="21" t="str">
        <f ca="1">VLOOKUP($G9,OFFSET([1]stages!$A$1,0,0,COUNTA([1]stages!$A:$A),MATCH(H$1,[1]stages!$2:$2,0)-MATCH($G$1,[1]stages!$2:$2,0)+1),MATCH(H$1,[1]stages!$2:$2,0)-MATCH($G$1,[1]stages!$2:$2,0)+1,FALSE)</f>
        <v>1-3. ゲートの番犬</v>
      </c>
      <c r="I9" s="32">
        <v>2</v>
      </c>
      <c r="J9" s="14">
        <v>45</v>
      </c>
      <c r="K9" s="14">
        <v>45</v>
      </c>
    </row>
    <row r="10" spans="1:11" ht="21" customHeight="1" x14ac:dyDescent="0.15">
      <c r="A10" s="22" t="str">
        <f t="shared" si="0"/>
        <v>1_3-3</v>
      </c>
      <c r="B10" s="22" t="str">
        <f>IF(COUNTIF(enemy_habitats_DL0!$H:$H,A10),"OK","NG")</f>
        <v>OK</v>
      </c>
      <c r="C10" s="8">
        <v>1</v>
      </c>
      <c r="D10" s="13" t="str">
        <f ca="1">VLOOKUP($C10,OFFSET([1]quests!$A$1,0,0,COUNTA([1]quests!$A:$A),MATCH(D$1,[1]quests!$1:$1,0)-MATCH($C$1,[1]quests!$1:$1,0)+1),MATCH(D$1,[1]quests!$1:$1,0)-MATCH($C$1,[1]quests!$1:$1,0)+1,FALSE)</f>
        <v>1．ALICEの入り口</v>
      </c>
      <c r="E10" s="29" t="str">
        <f ca="1">VLOOKUP($C10,OFFSET([1]quests!$A$1,0,0,COUNTA([1]quests!$A:$A),MATCH(E$1,[1]quests!$1:$1,0)-MATCH($C$1,[1]quests!$1:$1,0)+1),MATCH(E$1,[1]quests!$1:$1,0)-MATCH($C$1,[1]quests!$1:$1,0)+1,FALSE)</f>
        <v>混色DL0</v>
      </c>
      <c r="F10" s="32">
        <v>3</v>
      </c>
      <c r="G10" s="35" t="str">
        <f t="shared" si="1"/>
        <v>1_3</v>
      </c>
      <c r="H10" s="21" t="str">
        <f ca="1">VLOOKUP($G10,OFFSET([1]stages!$A$1,0,0,COUNTA([1]stages!$A:$A),MATCH(H$1,[1]stages!$2:$2,0)-MATCH($G$1,[1]stages!$2:$2,0)+1),MATCH(H$1,[1]stages!$2:$2,0)-MATCH($G$1,[1]stages!$2:$2,0)+1,FALSE)</f>
        <v>1-3. ゲートの番犬</v>
      </c>
      <c r="I10" s="32">
        <v>3</v>
      </c>
      <c r="J10" s="14">
        <v>30</v>
      </c>
      <c r="K10" s="14">
        <v>30</v>
      </c>
    </row>
    <row r="11" spans="1:11" ht="21" customHeight="1" x14ac:dyDescent="0.15">
      <c r="A11" s="22" t="str">
        <f t="shared" si="0"/>
        <v>1_4-1</v>
      </c>
      <c r="B11" s="22" t="str">
        <f>IF(COUNTIF(enemy_habitats_DL0!$H:$H,A11),"OK","NG")</f>
        <v>OK</v>
      </c>
      <c r="C11" s="8">
        <v>1</v>
      </c>
      <c r="D11" s="13" t="str">
        <f ca="1">VLOOKUP($C11,OFFSET([1]quests!$A$1,0,0,COUNTA([1]quests!$A:$A),MATCH(D$1,[1]quests!$1:$1,0)-MATCH($C$1,[1]quests!$1:$1,0)+1),MATCH(D$1,[1]quests!$1:$1,0)-MATCH($C$1,[1]quests!$1:$1,0)+1,FALSE)</f>
        <v>1．ALICEの入り口</v>
      </c>
      <c r="E11" s="29" t="str">
        <f ca="1">VLOOKUP($C11,OFFSET([1]quests!$A$1,0,0,COUNTA([1]quests!$A:$A),MATCH(E$1,[1]quests!$1:$1,0)-MATCH($C$1,[1]quests!$1:$1,0)+1),MATCH(E$1,[1]quests!$1:$1,0)-MATCH($C$1,[1]quests!$1:$1,0)+1,FALSE)</f>
        <v>混色DL0</v>
      </c>
      <c r="F11" s="32">
        <v>4</v>
      </c>
      <c r="G11" s="35" t="str">
        <f t="shared" si="1"/>
        <v>1_4</v>
      </c>
      <c r="H11" s="21" t="str">
        <f ca="1">VLOOKUP($G11,OFFSET([1]stages!$A$1,0,0,COUNTA([1]stages!$A:$A),MATCH(H$1,[1]stages!$2:$2,0)-MATCH($G$1,[1]stages!$2:$2,0)+1),MATCH(H$1,[1]stages!$2:$2,0)-MATCH($G$1,[1]stages!$2:$2,0)+1,FALSE)</f>
        <v>1-4. 【1回のみ】ボーナスステージ</v>
      </c>
      <c r="I11" s="32">
        <v>1</v>
      </c>
      <c r="J11" s="14">
        <v>45</v>
      </c>
      <c r="K11" s="14">
        <v>45</v>
      </c>
    </row>
    <row r="12" spans="1:11" ht="21" customHeight="1" x14ac:dyDescent="0.15">
      <c r="A12" s="22" t="str">
        <f t="shared" si="0"/>
        <v>1_4-2</v>
      </c>
      <c r="B12" s="22" t="str">
        <f>IF(COUNTIF(enemy_habitats_DL0!$H:$H,A12),"OK","NG")</f>
        <v>OK</v>
      </c>
      <c r="C12" s="8">
        <v>1</v>
      </c>
      <c r="D12" s="13" t="str">
        <f ca="1">VLOOKUP($C12,OFFSET([1]quests!$A$1,0,0,COUNTA([1]quests!$A:$A),MATCH(D$1,[1]quests!$1:$1,0)-MATCH($C$1,[1]quests!$1:$1,0)+1),MATCH(D$1,[1]quests!$1:$1,0)-MATCH($C$1,[1]quests!$1:$1,0)+1,FALSE)</f>
        <v>1．ALICEの入り口</v>
      </c>
      <c r="E12" s="29" t="str">
        <f ca="1">VLOOKUP($C12,OFFSET([1]quests!$A$1,0,0,COUNTA([1]quests!$A:$A),MATCH(E$1,[1]quests!$1:$1,0)-MATCH($C$1,[1]quests!$1:$1,0)+1),MATCH(E$1,[1]quests!$1:$1,0)-MATCH($C$1,[1]quests!$1:$1,0)+1,FALSE)</f>
        <v>混色DL0</v>
      </c>
      <c r="F12" s="32">
        <v>4</v>
      </c>
      <c r="G12" s="35" t="str">
        <f t="shared" si="1"/>
        <v>1_4</v>
      </c>
      <c r="H12" s="21" t="str">
        <f ca="1">VLOOKUP($G12,OFFSET([1]stages!$A$1,0,0,COUNTA([1]stages!$A:$A),MATCH(H$1,[1]stages!$2:$2,0)-MATCH($G$1,[1]stages!$2:$2,0)+1),MATCH(H$1,[1]stages!$2:$2,0)-MATCH($G$1,[1]stages!$2:$2,0)+1,FALSE)</f>
        <v>1-4. 【1回のみ】ボーナスステージ</v>
      </c>
      <c r="I12" s="32">
        <v>2</v>
      </c>
      <c r="J12" s="14">
        <v>45</v>
      </c>
      <c r="K12" s="14">
        <v>45</v>
      </c>
    </row>
    <row r="13" spans="1:11" ht="21" customHeight="1" x14ac:dyDescent="0.15">
      <c r="A13" s="22" t="str">
        <f t="shared" si="0"/>
        <v>1_4-3</v>
      </c>
      <c r="B13" s="22" t="str">
        <f>IF(COUNTIF(enemy_habitats_DL0!$H:$H,A13),"OK","NG")</f>
        <v>OK</v>
      </c>
      <c r="C13" s="8">
        <v>1</v>
      </c>
      <c r="D13" s="13" t="str">
        <f ca="1">VLOOKUP($C13,OFFSET([1]quests!$A$1,0,0,COUNTA([1]quests!$A:$A),MATCH(D$1,[1]quests!$1:$1,0)-MATCH($C$1,[1]quests!$1:$1,0)+1),MATCH(D$1,[1]quests!$1:$1,0)-MATCH($C$1,[1]quests!$1:$1,0)+1,FALSE)</f>
        <v>1．ALICEの入り口</v>
      </c>
      <c r="E13" s="29" t="str">
        <f ca="1">VLOOKUP($C13,OFFSET([1]quests!$A$1,0,0,COUNTA([1]quests!$A:$A),MATCH(E$1,[1]quests!$1:$1,0)-MATCH($C$1,[1]quests!$1:$1,0)+1),MATCH(E$1,[1]quests!$1:$1,0)-MATCH($C$1,[1]quests!$1:$1,0)+1,FALSE)</f>
        <v>混色DL0</v>
      </c>
      <c r="F13" s="32">
        <v>4</v>
      </c>
      <c r="G13" s="35" t="str">
        <f t="shared" si="1"/>
        <v>1_4</v>
      </c>
      <c r="H13" s="21" t="str">
        <f ca="1">VLOOKUP($G13,OFFSET([1]stages!$A$1,0,0,COUNTA([1]stages!$A:$A),MATCH(H$1,[1]stages!$2:$2,0)-MATCH($G$1,[1]stages!$2:$2,0)+1),MATCH(H$1,[1]stages!$2:$2,0)-MATCH($G$1,[1]stages!$2:$2,0)+1,FALSE)</f>
        <v>1-4. 【1回のみ】ボーナスステージ</v>
      </c>
      <c r="I13" s="32">
        <v>3</v>
      </c>
      <c r="J13" s="14">
        <v>60</v>
      </c>
      <c r="K13" s="14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34"/>
  <sheetViews>
    <sheetView showGridLines="0" zoomScale="75" zoomScaleNormal="75" zoomScalePageLayoutView="75" workbookViewId="0">
      <pane xSplit="14" ySplit="1" topLeftCell="Q2" activePane="bottomRight" state="frozen"/>
      <selection pane="topRight" activeCell="N1" sqref="N1"/>
      <selection pane="bottomLeft" activeCell="A2" sqref="A2"/>
      <selection pane="bottomRight" activeCell="T23" sqref="T23:W23"/>
    </sheetView>
  </sheetViews>
  <sheetFormatPr baseColWidth="12" defaultColWidth="13" defaultRowHeight="21" customHeight="1" outlineLevelCol="1" x14ac:dyDescent="0.15"/>
  <cols>
    <col min="1" max="1" width="14.1640625" style="30" bestFit="1" customWidth="1"/>
    <col min="2" max="2" width="12.5" style="4" bestFit="1" customWidth="1"/>
    <col min="3" max="3" width="12.33203125" style="4" bestFit="1" customWidth="1"/>
    <col min="4" max="4" width="14.6640625" style="16" customWidth="1" outlineLevel="1"/>
    <col min="5" max="5" width="15.6640625" style="4" customWidth="1" outlineLevel="1"/>
    <col min="6" max="6" width="17.5" style="4" bestFit="1" customWidth="1" outlineLevel="1"/>
    <col min="7" max="7" width="11.83203125" style="4" bestFit="1" customWidth="1"/>
    <col min="8" max="8" width="11.83203125" style="4" customWidth="1" outlineLevel="1"/>
    <col min="9" max="9" width="15.33203125" style="11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5" customWidth="1" outlineLevel="1"/>
    <col min="27" max="28" width="13.6640625" style="16" customWidth="1" outlineLevel="1"/>
    <col min="29" max="29" width="16.83203125" style="12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22" t="s">
        <v>29</v>
      </c>
      <c r="B1" s="1" t="s">
        <v>0</v>
      </c>
      <c r="C1" s="1" t="s">
        <v>1</v>
      </c>
      <c r="D1" s="21" t="s">
        <v>28</v>
      </c>
      <c r="E1" s="2" t="s">
        <v>20</v>
      </c>
      <c r="F1" s="2" t="s">
        <v>20</v>
      </c>
      <c r="G1" s="1" t="s">
        <v>19</v>
      </c>
      <c r="H1" s="21" t="s">
        <v>37</v>
      </c>
      <c r="I1" s="1" t="s">
        <v>2</v>
      </c>
      <c r="J1" s="26" t="s">
        <v>21</v>
      </c>
      <c r="K1" s="21" t="s">
        <v>24</v>
      </c>
      <c r="L1" s="21" t="s">
        <v>23</v>
      </c>
      <c r="M1" s="28" t="s">
        <v>26</v>
      </c>
      <c r="N1" s="2" t="s">
        <v>25</v>
      </c>
      <c r="O1" s="1" t="s">
        <v>3</v>
      </c>
      <c r="P1" s="37" t="s">
        <v>50</v>
      </c>
      <c r="Q1" s="37" t="s">
        <v>51</v>
      </c>
      <c r="R1" s="37" t="s">
        <v>52</v>
      </c>
      <c r="S1" s="21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3" t="s">
        <v>16</v>
      </c>
      <c r="AA1" s="23" t="s">
        <v>17</v>
      </c>
      <c r="AB1" s="23" t="s">
        <v>27</v>
      </c>
      <c r="AC1" s="3" t="s">
        <v>10</v>
      </c>
      <c r="AD1" s="1" t="s">
        <v>11</v>
      </c>
      <c r="AE1" s="1" t="s">
        <v>12</v>
      </c>
      <c r="AF1" s="36" t="s">
        <v>40</v>
      </c>
      <c r="AG1" s="36" t="s">
        <v>41</v>
      </c>
      <c r="AH1" s="36" t="s">
        <v>42</v>
      </c>
      <c r="AI1" s="36" t="s">
        <v>43</v>
      </c>
      <c r="AJ1" s="36" t="s">
        <v>44</v>
      </c>
    </row>
    <row r="2" spans="1:36" ht="21" customHeight="1" x14ac:dyDescent="0.15">
      <c r="A2" s="22" t="str">
        <f>B2&amp;"_"&amp;C2&amp;"-"&amp;G2&amp;"/"&amp;I2&amp;"&lt;lv"&amp;O2&amp;"&gt;"</f>
        <v>1_1-1/3&lt;lv1&gt;</v>
      </c>
      <c r="B2" s="34">
        <v>1</v>
      </c>
      <c r="C2" s="32">
        <v>1</v>
      </c>
      <c r="D2" s="2" t="str">
        <f t="shared" ref="D2:D34" si="0">B2&amp;"_"&amp;C2</f>
        <v>1_1</v>
      </c>
      <c r="E2" s="5" t="str">
        <f ca="1">VLOOKUP($B2,OFFSET([1]quests!$A$1,0,0,COUNTA([1]quests!$A:$A),MATCH(E$1,[1]quests!$1:$1,0)-MATCH($B$1,[1]quests!$1:$1,0)+1),MATCH(E$1,[1]quests!$1:$1,0)-MATCH($B$1,[1]quests!$1:$1,0)+1,FALSE)</f>
        <v>1．ALICEの入り口</v>
      </c>
      <c r="F2" s="5" t="str">
        <f ca="1">VLOOKUP($D2,OFFSET([1]stages!$A$1,0,0,COUNTA([1]stages!$A:$A),MATCH(F$1,[1]stages!$2:$2,0)-MATCH($D$1,[1]stages!$2:$2,0)+1),MATCH(F$1,[1]stages!$2:$2,0)-MATCH($D$1,[1]stages!$2:$2,0)+1,FALSE)</f>
        <v>1-1. はじまりの外壁</v>
      </c>
      <c r="G2" s="32">
        <v>1</v>
      </c>
      <c r="H2" s="21" t="str">
        <f>B2&amp;"_"&amp;C2&amp;"-"&amp;G2</f>
        <v>1_1-1</v>
      </c>
      <c r="I2" s="31">
        <v>3</v>
      </c>
      <c r="J2" s="27" t="str">
        <f ca="1">VLOOKUP($I2,OFFSET([2]enemies!$A$1,0,0,COUNTA([2]enemies!$A:$A),MATCH(J$1,[2]enemies!$1:$1,0)-MATCH($I$1,[2]enemies!$1:$1,0)+1),MATCH(J$1,[2]enemies!$1:$1,0)-MATCH($I$1,[2]enemies!$1:$1,0)+1,FALSE)</f>
        <v>エージェント ジョー</v>
      </c>
      <c r="K2" s="27" t="str">
        <f ca="1">VLOOKUP($I2,OFFSET([2]enemies!$A$1,0,0,COUNTA([2]enemies!$A:$A),MATCH(K$1,[2]enemies!$1:$1,0)-MATCH($I$1,[2]enemies!$1:$1,0)+1),MATCH(K$1,[2]enemies!$1:$1,0)-MATCH($I$1,[2]enemies!$1:$1,0)+1,FALSE)</f>
        <v>green</v>
      </c>
      <c r="L2" s="27" t="str">
        <f ca="1">VLOOKUP($I2,OFFSET([3]characters!$A$1,0,0,COUNTA([3]characters!$A:$A),MATCH(L$1,[3]characters!$1:$1,0)-MATCH($I$1,[3]characters!$1:$1,0)+1),MATCH(L$1,[3]characters!$1:$1,0)-MATCH($I$1,[3]characters!$1:$1,0)+1,FALSE)</f>
        <v>Drop1T</v>
      </c>
      <c r="M2" s="27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7">
        <f ca="1">VLOOKUP($I2,OFFSET([2]enemies!$A$1,0,0,COUNTA([2]enemies!$A:$A),MATCH(N$1,[2]enemies!$1:$1,0)-MATCH($I$1,[2]enemies!$1:$1,0)+1),MATCH(N$1,[2]enemies!$1:$1,0)-MATCH($I$1,[2]enemies!$1:$1,0)+1,FALSE)</f>
        <v>15</v>
      </c>
      <c r="O2" s="6">
        <v>1</v>
      </c>
      <c r="P2" s="38">
        <v>1</v>
      </c>
      <c r="Q2" s="38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2" s="5">
        <v>560001</v>
      </c>
      <c r="U2" s="7">
        <v>1</v>
      </c>
      <c r="V2" s="7">
        <v>100</v>
      </c>
      <c r="W2" s="7">
        <v>0</v>
      </c>
      <c r="X2" s="27">
        <v>2</v>
      </c>
      <c r="Y2" s="31">
        <v>3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/>
      </c>
      <c r="AA2" s="5" t="str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/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/>
      </c>
      <c r="AC2" s="8">
        <v>1</v>
      </c>
      <c r="AD2" s="8">
        <v>1</v>
      </c>
      <c r="AE2" s="9">
        <v>80</v>
      </c>
      <c r="AF2" s="10">
        <v>0</v>
      </c>
      <c r="AG2" s="10">
        <v>0</v>
      </c>
      <c r="AH2" s="10">
        <v>0</v>
      </c>
      <c r="AI2" s="10">
        <v>0</v>
      </c>
      <c r="AJ2" s="10">
        <v>1</v>
      </c>
    </row>
    <row r="3" spans="1:36" ht="21" customHeight="1" x14ac:dyDescent="0.15">
      <c r="A3" s="22" t="str">
        <f t="shared" ref="A3:A34" si="1">B3&amp;"_"&amp;C3&amp;"-"&amp;G3&amp;"/"&amp;I3&amp;"&lt;lv"&amp;O3&amp;"&gt;"</f>
        <v>1_1-2/1&lt;lv1&gt;</v>
      </c>
      <c r="B3" s="34">
        <v>1</v>
      </c>
      <c r="C3" s="32">
        <v>1</v>
      </c>
      <c r="D3" s="2" t="str">
        <f t="shared" si="0"/>
        <v>1_1</v>
      </c>
      <c r="E3" s="5" t="str">
        <f ca="1">VLOOKUP($B3,OFFSET([1]quests!$A$1,0,0,COUNTA([1]quests!$A:$A),MATCH(E$1,[1]quests!$1:$1,0)-MATCH($B$1,[1]quests!$1:$1,0)+1),MATCH(E$1,[1]quests!$1:$1,0)-MATCH($B$1,[1]quests!$1:$1,0)+1,FALSE)</f>
        <v>1．ALICEの入り口</v>
      </c>
      <c r="F3" s="5" t="str">
        <f ca="1">VLOOKUP($D3,OFFSET([1]stages!$A$1,0,0,COUNTA([1]stages!$A:$A),MATCH(F$1,[1]stages!$2:$2,0)-MATCH($D$1,[1]stages!$2:$2,0)+1),MATCH(F$1,[1]stages!$2:$2,0)-MATCH($D$1,[1]stages!$2:$2,0)+1,FALSE)</f>
        <v>1-1. はじまりの外壁</v>
      </c>
      <c r="G3" s="32">
        <v>2</v>
      </c>
      <c r="H3" s="21" t="str">
        <f t="shared" ref="H3:H34" si="2">B3&amp;"_"&amp;C3&amp;"-"&amp;G3</f>
        <v>1_1-2</v>
      </c>
      <c r="I3" s="31">
        <v>1</v>
      </c>
      <c r="J3" s="27" t="str">
        <f ca="1">VLOOKUP($I3,OFFSET([2]enemies!$A$1,0,0,COUNTA([2]enemies!$A:$A),MATCH(J$1,[2]enemies!$1:$1,0)-MATCH($I$1,[2]enemies!$1:$1,0)+1),MATCH(J$1,[2]enemies!$1:$1,0)-MATCH($I$1,[2]enemies!$1:$1,0)+1,FALSE)</f>
        <v>ジェリー</v>
      </c>
      <c r="K3" s="27" t="str">
        <f ca="1">VLOOKUP($I3,OFFSET([2]enemies!$A$1,0,0,COUNTA([2]enemies!$A:$A),MATCH(K$1,[2]enemies!$1:$1,0)-MATCH($I$1,[2]enemies!$1:$1,0)+1),MATCH(K$1,[2]enemies!$1:$1,0)-MATCH($I$1,[2]enemies!$1:$1,0)+1,FALSE)</f>
        <v>red</v>
      </c>
      <c r="L3" s="27" t="str">
        <f ca="1">VLOOKUP($I3,OFFSET([3]characters!$A$1,0,0,COUNTA([3]characters!$A:$A),MATCH(L$1,[3]characters!$1:$1,0)-MATCH($I$1,[3]characters!$1:$1,0)+1),MATCH(L$1,[3]characters!$1:$1,0)-MATCH($I$1,[3]characters!$1:$1,0)+1,FALSE)</f>
        <v>Drop1T</v>
      </c>
      <c r="M3" s="27" t="str">
        <f ca="1">VLOOKUP($I3,OFFSET([2]enemies!$A$1,0,0,COUNTA([2]enemies!$A:$A),MATCH(M$1,[2]enemies!$1:$1,0)-MATCH($I$1,[2]enemies!$1:$1,0)+1),MATCH(M$1,[2]enemies!$1:$1,0)-MATCH($I$1,[2]enemies!$1:$1,0)+1,FALSE)</f>
        <v>unknown</v>
      </c>
      <c r="N3" s="27">
        <f ca="1">VLOOKUP($I3,OFFSET([2]enemies!$A$1,0,0,COUNTA([2]enemies!$A:$A),MATCH(N$1,[2]enemies!$1:$1,0)-MATCH($I$1,[2]enemies!$1:$1,0)+1),MATCH(N$1,[2]enemies!$1:$1,0)-MATCH($I$1,[2]enemies!$1:$1,0)+1,FALSE)</f>
        <v>15</v>
      </c>
      <c r="O3" s="6">
        <v>1</v>
      </c>
      <c r="P3" s="38">
        <v>1</v>
      </c>
      <c r="Q3" s="38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v>0</v>
      </c>
      <c r="U3" s="7">
        <v>1</v>
      </c>
      <c r="V3" s="7">
        <v>100</v>
      </c>
      <c r="W3" s="7">
        <v>0</v>
      </c>
      <c r="X3" s="27">
        <v>2</v>
      </c>
      <c r="Y3" s="31">
        <v>1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/>
      </c>
      <c r="AA3" s="5" t="str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/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/>
      </c>
      <c r="AC3" s="8">
        <v>1</v>
      </c>
      <c r="AD3" s="8">
        <v>1</v>
      </c>
      <c r="AE3" s="9">
        <v>30</v>
      </c>
      <c r="AF3" s="10">
        <v>0</v>
      </c>
      <c r="AG3" s="10">
        <v>0</v>
      </c>
      <c r="AH3" s="10">
        <v>0</v>
      </c>
      <c r="AI3" s="10">
        <v>0</v>
      </c>
      <c r="AJ3" s="10">
        <v>1</v>
      </c>
    </row>
    <row r="4" spans="1:36" ht="21" customHeight="1" x14ac:dyDescent="0.15">
      <c r="A4" s="22" t="str">
        <f t="shared" si="1"/>
        <v>1_1-2/5&lt;lv1&gt;</v>
      </c>
      <c r="B4" s="34">
        <v>1</v>
      </c>
      <c r="C4" s="32">
        <v>1</v>
      </c>
      <c r="D4" s="2" t="str">
        <f t="shared" si="0"/>
        <v>1_1</v>
      </c>
      <c r="E4" s="5" t="str">
        <f ca="1">VLOOKUP($B4,OFFSET([1]quests!$A$1,0,0,COUNTA([1]quests!$A:$A),MATCH(E$1,[1]quests!$1:$1,0)-MATCH($B$1,[1]quests!$1:$1,0)+1),MATCH(E$1,[1]quests!$1:$1,0)-MATCH($B$1,[1]quests!$1:$1,0)+1,FALSE)</f>
        <v>1．ALICEの入り口</v>
      </c>
      <c r="F4" s="5" t="str">
        <f ca="1">VLOOKUP($D4,OFFSET([1]stages!$A$1,0,0,COUNTA([1]stages!$A:$A),MATCH(F$1,[1]stages!$2:$2,0)-MATCH($D$1,[1]stages!$2:$2,0)+1),MATCH(F$1,[1]stages!$2:$2,0)-MATCH($D$1,[1]stages!$2:$2,0)+1,FALSE)</f>
        <v>1-1. はじまりの外壁</v>
      </c>
      <c r="G4" s="32">
        <v>2</v>
      </c>
      <c r="H4" s="21" t="str">
        <f t="shared" si="2"/>
        <v>1_1-2</v>
      </c>
      <c r="I4" s="31">
        <v>5</v>
      </c>
      <c r="J4" s="27" t="str">
        <f ca="1">VLOOKUP($I4,OFFSET([2]enemies!$A$1,0,0,COUNTA([2]enemies!$A:$A),MATCH(J$1,[2]enemies!$1:$1,0)-MATCH($I$1,[2]enemies!$1:$1,0)+1),MATCH(J$1,[2]enemies!$1:$1,0)-MATCH($I$1,[2]enemies!$1:$1,0)+1,FALSE)</f>
        <v>パトドッグ ポチ</v>
      </c>
      <c r="K4" s="27" t="str">
        <f ca="1">VLOOKUP($I4,OFFSET([2]enemies!$A$1,0,0,COUNTA([2]enemies!$A:$A),MATCH(K$1,[2]enemies!$1:$1,0)-MATCH($I$1,[2]enemies!$1:$1,0)+1),MATCH(K$1,[2]enemies!$1:$1,0)-MATCH($I$1,[2]enemies!$1:$1,0)+1,FALSE)</f>
        <v>blue</v>
      </c>
      <c r="L4" s="27" t="str">
        <f ca="1">VLOOKUP($I4,OFFSET([3]characters!$A$1,0,0,COUNTA([3]characters!$A:$A),MATCH(L$1,[3]characters!$1:$1,0)-MATCH($I$1,[3]characters!$1:$1,0)+1),MATCH(L$1,[3]characters!$1:$1,0)-MATCH($I$1,[3]characters!$1:$1,0)+1,FALSE)</f>
        <v>Drop1T</v>
      </c>
      <c r="M4" s="27" t="str">
        <f ca="1">VLOOKUP($I4,OFFSET([2]enemies!$A$1,0,0,COUNTA([2]enemies!$A:$A),MATCH(M$1,[2]enemies!$1:$1,0)-MATCH($I$1,[2]enemies!$1:$1,0)+1),MATCH(M$1,[2]enemies!$1:$1,0)-MATCH($I$1,[2]enemies!$1:$1,0)+1,FALSE)</f>
        <v>unknown</v>
      </c>
      <c r="N4" s="27">
        <f ca="1">VLOOKUP($I4,OFFSET([2]enemies!$A$1,0,0,COUNTA([2]enemies!$A:$A),MATCH(N$1,[2]enemies!$1:$1,0)-MATCH($I$1,[2]enemies!$1:$1,0)+1),MATCH(N$1,[2]enemies!$1:$1,0)-MATCH($I$1,[2]enemies!$1:$1,0)+1,FALSE)</f>
        <v>15</v>
      </c>
      <c r="O4" s="6">
        <v>1</v>
      </c>
      <c r="P4" s="38">
        <v>1</v>
      </c>
      <c r="Q4" s="38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v>0</v>
      </c>
      <c r="U4" s="7">
        <v>1</v>
      </c>
      <c r="V4" s="7">
        <v>100</v>
      </c>
      <c r="W4" s="7">
        <v>0</v>
      </c>
      <c r="X4" s="27">
        <v>3</v>
      </c>
      <c r="Y4" s="31">
        <v>5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/>
      </c>
      <c r="AA4" s="5" t="str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/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/>
      </c>
      <c r="AC4" s="8">
        <v>1</v>
      </c>
      <c r="AD4" s="8">
        <v>1</v>
      </c>
      <c r="AE4" s="9">
        <v>30</v>
      </c>
      <c r="AF4" s="10">
        <v>0</v>
      </c>
      <c r="AG4" s="10">
        <v>0</v>
      </c>
      <c r="AH4" s="10">
        <v>0</v>
      </c>
      <c r="AI4" s="10">
        <v>0</v>
      </c>
      <c r="AJ4" s="10">
        <v>1</v>
      </c>
    </row>
    <row r="5" spans="1:36" ht="21" customHeight="1" x14ac:dyDescent="0.15">
      <c r="A5" s="22" t="str">
        <f t="shared" si="1"/>
        <v>1_1-2/7&lt;lv1&gt;</v>
      </c>
      <c r="B5" s="34">
        <v>1</v>
      </c>
      <c r="C5" s="32">
        <v>1</v>
      </c>
      <c r="D5" s="2" t="str">
        <f t="shared" si="0"/>
        <v>1_1</v>
      </c>
      <c r="E5" s="5" t="str">
        <f ca="1">VLOOKUP($B5,OFFSET([1]quests!$A$1,0,0,COUNTA([1]quests!$A:$A),MATCH(E$1,[1]quests!$1:$1,0)-MATCH($B$1,[1]quests!$1:$1,0)+1),MATCH(E$1,[1]quests!$1:$1,0)-MATCH($B$1,[1]quests!$1:$1,0)+1,FALSE)</f>
        <v>1．ALICEの入り口</v>
      </c>
      <c r="F5" s="5" t="str">
        <f ca="1">VLOOKUP($D5,OFFSET([1]stages!$A$1,0,0,COUNTA([1]stages!$A:$A),MATCH(F$1,[1]stages!$2:$2,0)-MATCH($D$1,[1]stages!$2:$2,0)+1),MATCH(F$1,[1]stages!$2:$2,0)-MATCH($D$1,[1]stages!$2:$2,0)+1,FALSE)</f>
        <v>1-1. はじまりの外壁</v>
      </c>
      <c r="G5" s="32">
        <v>2</v>
      </c>
      <c r="H5" s="21" t="str">
        <f t="shared" si="2"/>
        <v>1_1-2</v>
      </c>
      <c r="I5" s="31">
        <v>7</v>
      </c>
      <c r="J5" s="27" t="str">
        <f ca="1">VLOOKUP($I5,OFFSET([2]enemies!$A$1,0,0,COUNTA([2]enemies!$A:$A),MATCH(J$1,[2]enemies!$1:$1,0)-MATCH($I$1,[2]enemies!$1:$1,0)+1),MATCH(J$1,[2]enemies!$1:$1,0)-MATCH($I$1,[2]enemies!$1:$1,0)+1,FALSE)</f>
        <v>エレキポット</v>
      </c>
      <c r="K5" s="27" t="str">
        <f ca="1">VLOOKUP($I5,OFFSET([2]enemies!$A$1,0,0,COUNTA([2]enemies!$A:$A),MATCH(K$1,[2]enemies!$1:$1,0)-MATCH($I$1,[2]enemies!$1:$1,0)+1),MATCH(K$1,[2]enemies!$1:$1,0)-MATCH($I$1,[2]enemies!$1:$1,0)+1,FALSE)</f>
        <v>yellow</v>
      </c>
      <c r="L5" s="27" t="str">
        <f ca="1">VLOOKUP($I5,OFFSET([3]characters!$A$1,0,0,COUNTA([3]characters!$A:$A),MATCH(L$1,[3]characters!$1:$1,0)-MATCH($I$1,[3]characters!$1:$1,0)+1),MATCH(L$1,[3]characters!$1:$1,0)-MATCH($I$1,[3]characters!$1:$1,0)+1,FALSE)</f>
        <v>Drop1T</v>
      </c>
      <c r="M5" s="27" t="str">
        <f ca="1">VLOOKUP($I5,OFFSET([2]enemies!$A$1,0,0,COUNTA([2]enemies!$A:$A),MATCH(M$1,[2]enemies!$1:$1,0)-MATCH($I$1,[2]enemies!$1:$1,0)+1),MATCH(M$1,[2]enemies!$1:$1,0)-MATCH($I$1,[2]enemies!$1:$1,0)+1,FALSE)</f>
        <v>unknown</v>
      </c>
      <c r="N5" s="27">
        <f ca="1">VLOOKUP($I5,OFFSET([2]enemies!$A$1,0,0,COUNTA([2]enemies!$A:$A),MATCH(N$1,[2]enemies!$1:$1,0)-MATCH($I$1,[2]enemies!$1:$1,0)+1),MATCH(N$1,[2]enemies!$1:$1,0)-MATCH($I$1,[2]enemies!$1:$1,0)+1,FALSE)</f>
        <v>15</v>
      </c>
      <c r="O5" s="6">
        <v>1</v>
      </c>
      <c r="P5" s="38">
        <v>1</v>
      </c>
      <c r="Q5" s="38">
        <v>1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v>0</v>
      </c>
      <c r="U5" s="7">
        <v>1</v>
      </c>
      <c r="V5" s="7">
        <v>100</v>
      </c>
      <c r="W5" s="7">
        <v>0</v>
      </c>
      <c r="X5" s="27">
        <v>2</v>
      </c>
      <c r="Y5" s="31">
        <v>7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/>
      </c>
      <c r="AA5" s="5" t="str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/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/>
      </c>
      <c r="AC5" s="8">
        <v>1</v>
      </c>
      <c r="AD5" s="8">
        <v>1</v>
      </c>
      <c r="AE5" s="9">
        <v>30</v>
      </c>
      <c r="AF5" s="10">
        <v>0</v>
      </c>
      <c r="AG5" s="10">
        <v>0</v>
      </c>
      <c r="AH5" s="10">
        <v>0</v>
      </c>
      <c r="AI5" s="10">
        <v>0</v>
      </c>
      <c r="AJ5" s="10">
        <v>1</v>
      </c>
    </row>
    <row r="6" spans="1:36" ht="21" customHeight="1" x14ac:dyDescent="0.15">
      <c r="A6" s="22" t="str">
        <f t="shared" si="1"/>
        <v>1_1-3/2&lt;lv3&gt;</v>
      </c>
      <c r="B6" s="34">
        <v>1</v>
      </c>
      <c r="C6" s="32">
        <v>1</v>
      </c>
      <c r="D6" s="2" t="str">
        <f t="shared" si="0"/>
        <v>1_1</v>
      </c>
      <c r="E6" s="5" t="str">
        <f ca="1">VLOOKUP($B6,OFFSET([1]quests!$A$1,0,0,COUNTA([1]quests!$A:$A),MATCH(E$1,[1]quests!$1:$1,0)-MATCH($B$1,[1]quests!$1:$1,0)+1),MATCH(E$1,[1]quests!$1:$1,0)-MATCH($B$1,[1]quests!$1:$1,0)+1,FALSE)</f>
        <v>1．ALICEの入り口</v>
      </c>
      <c r="F6" s="5" t="str">
        <f ca="1">VLOOKUP($D6,OFFSET([1]stages!$A$1,0,0,COUNTA([1]stages!$A:$A),MATCH(F$1,[1]stages!$2:$2,0)-MATCH($D$1,[1]stages!$2:$2,0)+1),MATCH(F$1,[1]stages!$2:$2,0)-MATCH($D$1,[1]stages!$2:$2,0)+1,FALSE)</f>
        <v>1-1. はじまりの外壁</v>
      </c>
      <c r="G6" s="32">
        <v>3</v>
      </c>
      <c r="H6" s="21" t="str">
        <f t="shared" si="2"/>
        <v>1_1-3</v>
      </c>
      <c r="I6" s="31">
        <v>2</v>
      </c>
      <c r="J6" s="27" t="str">
        <f ca="1">VLOOKUP($I6,OFFSET([2]enemies!$A$1,0,0,COUNTA([2]enemies!$A:$A),MATCH(J$1,[2]enemies!$1:$1,0)-MATCH($I$1,[2]enemies!$1:$1,0)+1),MATCH(J$1,[2]enemies!$1:$1,0)-MATCH($I$1,[2]enemies!$1:$1,0)+1,FALSE)</f>
        <v>イレギュラー・ジェリー</v>
      </c>
      <c r="K6" s="27" t="str">
        <f ca="1">VLOOKUP($I6,OFFSET([2]enemies!$A$1,0,0,COUNTA([2]enemies!$A:$A),MATCH(K$1,[2]enemies!$1:$1,0)-MATCH($I$1,[2]enemies!$1:$1,0)+1),MATCH(K$1,[2]enemies!$1:$1,0)-MATCH($I$1,[2]enemies!$1:$1,0)+1,FALSE)</f>
        <v>red</v>
      </c>
      <c r="L6" s="27" t="str">
        <f ca="1">VLOOKUP($I6,OFFSET([3]characters!$A$1,0,0,COUNTA([3]characters!$A:$A),MATCH(L$1,[3]characters!$1:$1,0)-MATCH($I$1,[3]characters!$1:$1,0)+1),MATCH(L$1,[3]characters!$1:$1,0)-MATCH($I$1,[3]characters!$1:$1,0)+1,FALSE)</f>
        <v>Drop1T</v>
      </c>
      <c r="M6" s="27" t="str">
        <f ca="1">VLOOKUP($I6,OFFSET([2]enemies!$A$1,0,0,COUNTA([2]enemies!$A:$A),MATCH(M$1,[2]enemies!$1:$1,0)-MATCH($I$1,[2]enemies!$1:$1,0)+1),MATCH(M$1,[2]enemies!$1:$1,0)-MATCH($I$1,[2]enemies!$1:$1,0)+1,FALSE)</f>
        <v>unknown</v>
      </c>
      <c r="N6" s="27">
        <f ca="1">VLOOKUP($I6,OFFSET([2]enemies!$A$1,0,0,COUNTA([2]enemies!$A:$A),MATCH(N$1,[2]enemies!$1:$1,0)-MATCH($I$1,[2]enemies!$1:$1,0)+1),MATCH(N$1,[2]enemies!$1:$1,0)-MATCH($I$1,[2]enemies!$1:$1,0)+1,FALSE)</f>
        <v>15</v>
      </c>
      <c r="O6" s="6">
        <v>3</v>
      </c>
      <c r="P6" s="38">
        <v>1</v>
      </c>
      <c r="Q6" s="38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v>0</v>
      </c>
      <c r="U6" s="7">
        <v>1</v>
      </c>
      <c r="V6" s="7">
        <v>100</v>
      </c>
      <c r="W6" s="7">
        <v>1</v>
      </c>
      <c r="X6" s="27">
        <v>2</v>
      </c>
      <c r="Y6" s="31">
        <v>1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/>
      </c>
      <c r="AA6" s="5" t="str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/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/>
      </c>
      <c r="AC6" s="8">
        <v>1</v>
      </c>
      <c r="AD6" s="8">
        <v>1</v>
      </c>
      <c r="AE6" s="9">
        <v>0</v>
      </c>
      <c r="AF6" s="10">
        <v>0</v>
      </c>
      <c r="AG6" s="10">
        <v>0</v>
      </c>
      <c r="AH6" s="10">
        <v>0</v>
      </c>
      <c r="AI6" s="10">
        <v>0</v>
      </c>
      <c r="AJ6" s="10">
        <v>1</v>
      </c>
    </row>
    <row r="7" spans="1:36" ht="21" customHeight="1" x14ac:dyDescent="0.15">
      <c r="A7" s="22" t="str">
        <f t="shared" ref="A7" si="3">B7&amp;"_"&amp;C7&amp;"-"&amp;G7&amp;"/"&amp;I7&amp;"&lt;lv"&amp;O7&amp;"&gt;"</f>
        <v>1_1-3/4&lt;lv3&gt;</v>
      </c>
      <c r="B7" s="34">
        <v>1</v>
      </c>
      <c r="C7" s="32">
        <v>1</v>
      </c>
      <c r="D7" s="2" t="str">
        <f t="shared" ref="D7" si="4">B7&amp;"_"&amp;C7</f>
        <v>1_1</v>
      </c>
      <c r="E7" s="5" t="str">
        <f ca="1">VLOOKUP($B7,OFFSET([1]quests!$A$1,0,0,COUNTA([1]quests!$A:$A),MATCH(E$1,[1]quests!$1:$1,0)-MATCH($B$1,[1]quests!$1:$1,0)+1),MATCH(E$1,[1]quests!$1:$1,0)-MATCH($B$1,[1]quests!$1:$1,0)+1,FALSE)</f>
        <v>1．ALICEの入り口</v>
      </c>
      <c r="F7" s="5" t="str">
        <f ca="1">VLOOKUP($D7,OFFSET([1]stages!$A$1,0,0,COUNTA([1]stages!$A:$A),MATCH(F$1,[1]stages!$2:$2,0)-MATCH($D$1,[1]stages!$2:$2,0)+1),MATCH(F$1,[1]stages!$2:$2,0)-MATCH($D$1,[1]stages!$2:$2,0)+1,FALSE)</f>
        <v>1-1. はじまりの外壁</v>
      </c>
      <c r="G7" s="32">
        <v>3</v>
      </c>
      <c r="H7" s="21" t="str">
        <f t="shared" ref="H7" si="5">B7&amp;"_"&amp;C7&amp;"-"&amp;G7</f>
        <v>1_1-3</v>
      </c>
      <c r="I7" s="31">
        <v>4</v>
      </c>
      <c r="J7" s="27" t="str">
        <f ca="1">VLOOKUP($I7,OFFSET([2]enemies!$A$1,0,0,COUNTA([2]enemies!$A:$A),MATCH(J$1,[2]enemies!$1:$1,0)-MATCH($I$1,[2]enemies!$1:$1,0)+1),MATCH(J$1,[2]enemies!$1:$1,0)-MATCH($I$1,[2]enemies!$1:$1,0)+1,FALSE)</f>
        <v>エースエージェント ジョー</v>
      </c>
      <c r="K7" s="27" t="str">
        <f ca="1">VLOOKUP($I7,OFFSET([2]enemies!$A$1,0,0,COUNTA([2]enemies!$A:$A),MATCH(K$1,[2]enemies!$1:$1,0)-MATCH($I$1,[2]enemies!$1:$1,0)+1),MATCH(K$1,[2]enemies!$1:$1,0)-MATCH($I$1,[2]enemies!$1:$1,0)+1,FALSE)</f>
        <v>green</v>
      </c>
      <c r="L7" s="27" t="str">
        <f ca="1">VLOOKUP($I7,OFFSET([3]characters!$A$1,0,0,COUNTA([3]characters!$A:$A),MATCH(L$1,[3]characters!$1:$1,0)-MATCH($I$1,[3]characters!$1:$1,0)+1),MATCH(L$1,[3]characters!$1:$1,0)-MATCH($I$1,[3]characters!$1:$1,0)+1,FALSE)</f>
        <v>Drop1T</v>
      </c>
      <c r="M7" s="27" t="str">
        <f ca="1">VLOOKUP($I7,OFFSET([2]enemies!$A$1,0,0,COUNTA([2]enemies!$A:$A),MATCH(M$1,[2]enemies!$1:$1,0)-MATCH($I$1,[2]enemies!$1:$1,0)+1),MATCH(M$1,[2]enemies!$1:$1,0)-MATCH($I$1,[2]enemies!$1:$1,0)+1,FALSE)</f>
        <v>unknown</v>
      </c>
      <c r="N7" s="27">
        <f ca="1">VLOOKUP($I7,OFFSET([2]enemies!$A$1,0,0,COUNTA([2]enemies!$A:$A),MATCH(N$1,[2]enemies!$1:$1,0)-MATCH($I$1,[2]enemies!$1:$1,0)+1),MATCH(N$1,[2]enemies!$1:$1,0)-MATCH($I$1,[2]enemies!$1:$1,0)+1,FALSE)</f>
        <v>15</v>
      </c>
      <c r="O7" s="6">
        <v>3</v>
      </c>
      <c r="P7" s="38">
        <v>1</v>
      </c>
      <c r="Q7" s="38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5">
        <v>0</v>
      </c>
      <c r="U7" s="7">
        <v>1</v>
      </c>
      <c r="V7" s="7">
        <v>100</v>
      </c>
      <c r="W7" s="7">
        <v>1</v>
      </c>
      <c r="X7" s="27">
        <v>2</v>
      </c>
      <c r="Y7" s="31">
        <v>3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/>
      </c>
      <c r="AA7" s="5" t="str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/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/>
      </c>
      <c r="AC7" s="8">
        <v>1</v>
      </c>
      <c r="AD7" s="8">
        <v>1</v>
      </c>
      <c r="AE7" s="9">
        <v>0</v>
      </c>
      <c r="AF7" s="10">
        <v>0</v>
      </c>
      <c r="AG7" s="10">
        <v>0</v>
      </c>
      <c r="AH7" s="10">
        <v>0</v>
      </c>
      <c r="AI7" s="10">
        <v>0</v>
      </c>
      <c r="AJ7" s="10">
        <v>1</v>
      </c>
    </row>
    <row r="8" spans="1:36" ht="21" customHeight="1" x14ac:dyDescent="0.15">
      <c r="A8" s="22" t="str">
        <f t="shared" si="1"/>
        <v>1_2-1/3&lt;lv1&gt;</v>
      </c>
      <c r="B8" s="34">
        <v>1</v>
      </c>
      <c r="C8" s="32">
        <v>2</v>
      </c>
      <c r="D8" s="2" t="str">
        <f t="shared" si="0"/>
        <v>1_2</v>
      </c>
      <c r="E8" s="5" t="str">
        <f ca="1">VLOOKUP($B8,OFFSET([1]quests!$A$1,0,0,COUNTA([1]quests!$A:$A),MATCH(E$1,[1]quests!$1:$1,0)-MATCH($B$1,[1]quests!$1:$1,0)+1),MATCH(E$1,[1]quests!$1:$1,0)-MATCH($B$1,[1]quests!$1:$1,0)+1,FALSE)</f>
        <v>1．ALICEの入り口</v>
      </c>
      <c r="F8" s="5" t="str">
        <f ca="1">VLOOKUP($D8,OFFSET([1]stages!$A$1,0,0,COUNTA([1]stages!$A:$A),MATCH(F$1,[1]stages!$2:$2,0)-MATCH($D$1,[1]stages!$2:$2,0)+1),MATCH(F$1,[1]stages!$2:$2,0)-MATCH($D$1,[1]stages!$2:$2,0)+1,FALSE)</f>
        <v>1-2. 手荒い出迎え</v>
      </c>
      <c r="G8" s="32">
        <v>1</v>
      </c>
      <c r="H8" s="21" t="str">
        <f t="shared" si="2"/>
        <v>1_2-1</v>
      </c>
      <c r="I8" s="31">
        <v>3</v>
      </c>
      <c r="J8" s="27" t="str">
        <f ca="1">VLOOKUP($I8,OFFSET([2]enemies!$A$1,0,0,COUNTA([2]enemies!$A:$A),MATCH(J$1,[2]enemies!$1:$1,0)-MATCH($I$1,[2]enemies!$1:$1,0)+1),MATCH(J$1,[2]enemies!$1:$1,0)-MATCH($I$1,[2]enemies!$1:$1,0)+1,FALSE)</f>
        <v>エージェント ジョー</v>
      </c>
      <c r="K8" s="27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7" t="str">
        <f ca="1">VLOOKUP($I8,OFFSET([3]characters!$A$1,0,0,COUNTA([3]characters!$A:$A),MATCH(L$1,[3]characters!$1:$1,0)-MATCH($I$1,[3]characters!$1:$1,0)+1),MATCH(L$1,[3]characters!$1:$1,0)-MATCH($I$1,[3]characters!$1:$1,0)+1,FALSE)</f>
        <v>Drop1T</v>
      </c>
      <c r="M8" s="27" t="str">
        <f ca="1">VLOOKUP($I8,OFFSET([2]enemies!$A$1,0,0,COUNTA([2]enemies!$A:$A),MATCH(M$1,[2]enemies!$1:$1,0)-MATCH($I$1,[2]enemies!$1:$1,0)+1),MATCH(M$1,[2]enemies!$1:$1,0)-MATCH($I$1,[2]enemies!$1:$1,0)+1,FALSE)</f>
        <v>unknown</v>
      </c>
      <c r="N8" s="27">
        <f ca="1">VLOOKUP($I8,OFFSET([2]enemies!$A$1,0,0,COUNTA([2]enemies!$A:$A),MATCH(N$1,[2]enemies!$1:$1,0)-MATCH($I$1,[2]enemies!$1:$1,0)+1),MATCH(N$1,[2]enemies!$1:$1,0)-MATCH($I$1,[2]enemies!$1:$1,0)+1,FALSE)</f>
        <v>15</v>
      </c>
      <c r="O8" s="6">
        <v>1</v>
      </c>
      <c r="P8" s="38">
        <v>1</v>
      </c>
      <c r="Q8" s="38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8" s="5">
        <v>560001</v>
      </c>
      <c r="U8" s="7">
        <v>1</v>
      </c>
      <c r="V8" s="7">
        <v>100</v>
      </c>
      <c r="W8" s="7">
        <v>0</v>
      </c>
      <c r="X8" s="27">
        <v>2</v>
      </c>
      <c r="Y8" s="31">
        <v>3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/>
      </c>
      <c r="AA8" s="5" t="str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/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/>
      </c>
      <c r="AC8" s="8">
        <v>1</v>
      </c>
      <c r="AD8" s="8">
        <v>1</v>
      </c>
      <c r="AE8" s="9">
        <v>80</v>
      </c>
      <c r="AF8" s="10">
        <v>0</v>
      </c>
      <c r="AG8" s="10">
        <v>0</v>
      </c>
      <c r="AH8" s="10">
        <v>0</v>
      </c>
      <c r="AI8" s="10">
        <v>0</v>
      </c>
      <c r="AJ8" s="10">
        <v>1</v>
      </c>
    </row>
    <row r="9" spans="1:36" ht="21" customHeight="1" x14ac:dyDescent="0.15">
      <c r="A9" s="22" t="str">
        <f t="shared" si="1"/>
        <v>1_2-2/1&lt;lv1&gt;</v>
      </c>
      <c r="B9" s="34">
        <v>1</v>
      </c>
      <c r="C9" s="32">
        <v>2</v>
      </c>
      <c r="D9" s="2" t="str">
        <f t="shared" si="0"/>
        <v>1_2</v>
      </c>
      <c r="E9" s="5" t="str">
        <f ca="1">VLOOKUP($B9,OFFSET([1]quests!$A$1,0,0,COUNTA([1]quests!$A:$A),MATCH(E$1,[1]quests!$1:$1,0)-MATCH($B$1,[1]quests!$1:$1,0)+1),MATCH(E$1,[1]quests!$1:$1,0)-MATCH($B$1,[1]quests!$1:$1,0)+1,FALSE)</f>
        <v>1．ALICEの入り口</v>
      </c>
      <c r="F9" s="5" t="str">
        <f ca="1">VLOOKUP($D9,OFFSET([1]stages!$A$1,0,0,COUNTA([1]stages!$A:$A),MATCH(F$1,[1]stages!$2:$2,0)-MATCH($D$1,[1]stages!$2:$2,0)+1),MATCH(F$1,[1]stages!$2:$2,0)-MATCH($D$1,[1]stages!$2:$2,0)+1,FALSE)</f>
        <v>1-2. 手荒い出迎え</v>
      </c>
      <c r="G9" s="32">
        <v>2</v>
      </c>
      <c r="H9" s="21" t="str">
        <f t="shared" si="2"/>
        <v>1_2-2</v>
      </c>
      <c r="I9" s="31">
        <v>1</v>
      </c>
      <c r="J9" s="27" t="str">
        <f ca="1">VLOOKUP($I9,OFFSET([2]enemies!$A$1,0,0,COUNTA([2]enemies!$A:$A),MATCH(J$1,[2]enemies!$1:$1,0)-MATCH($I$1,[2]enemies!$1:$1,0)+1),MATCH(J$1,[2]enemies!$1:$1,0)-MATCH($I$1,[2]enemies!$1:$1,0)+1,FALSE)</f>
        <v>ジェリー</v>
      </c>
      <c r="K9" s="27" t="str">
        <f ca="1">VLOOKUP($I9,OFFSET([2]enemies!$A$1,0,0,COUNTA([2]enemies!$A:$A),MATCH(K$1,[2]enemies!$1:$1,0)-MATCH($I$1,[2]enemies!$1:$1,0)+1),MATCH(K$1,[2]enemies!$1:$1,0)-MATCH($I$1,[2]enemies!$1:$1,0)+1,FALSE)</f>
        <v>red</v>
      </c>
      <c r="L9" s="27" t="str">
        <f ca="1">VLOOKUP($I9,OFFSET([3]characters!$A$1,0,0,COUNTA([3]characters!$A:$A),MATCH(L$1,[3]characters!$1:$1,0)-MATCH($I$1,[3]characters!$1:$1,0)+1),MATCH(L$1,[3]characters!$1:$1,0)-MATCH($I$1,[3]characters!$1:$1,0)+1,FALSE)</f>
        <v>Drop1T</v>
      </c>
      <c r="M9" s="27" t="str">
        <f ca="1">VLOOKUP($I9,OFFSET([2]enemies!$A$1,0,0,COUNTA([2]enemies!$A:$A),MATCH(M$1,[2]enemies!$1:$1,0)-MATCH($I$1,[2]enemies!$1:$1,0)+1),MATCH(M$1,[2]enemies!$1:$1,0)-MATCH($I$1,[2]enemies!$1:$1,0)+1,FALSE)</f>
        <v>unknown</v>
      </c>
      <c r="N9" s="27">
        <f ca="1">VLOOKUP($I9,OFFSET([2]enemies!$A$1,0,0,COUNTA([2]enemies!$A:$A),MATCH(N$1,[2]enemies!$1:$1,0)-MATCH($I$1,[2]enemies!$1:$1,0)+1),MATCH(N$1,[2]enemies!$1:$1,0)-MATCH($I$1,[2]enemies!$1:$1,0)+1,FALSE)</f>
        <v>15</v>
      </c>
      <c r="O9" s="6">
        <v>1</v>
      </c>
      <c r="P9" s="38">
        <v>1</v>
      </c>
      <c r="Q9" s="38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v>0</v>
      </c>
      <c r="U9" s="7">
        <v>1</v>
      </c>
      <c r="V9" s="7">
        <v>100</v>
      </c>
      <c r="W9" s="7">
        <v>0</v>
      </c>
      <c r="X9" s="27">
        <v>2</v>
      </c>
      <c r="Y9" s="31">
        <v>1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/>
      </c>
      <c r="AA9" s="5" t="str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/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/>
      </c>
      <c r="AC9" s="8">
        <v>1</v>
      </c>
      <c r="AD9" s="8">
        <v>1</v>
      </c>
      <c r="AE9" s="9">
        <v>30</v>
      </c>
      <c r="AF9" s="10">
        <v>0</v>
      </c>
      <c r="AG9" s="10">
        <v>0</v>
      </c>
      <c r="AH9" s="10">
        <v>0</v>
      </c>
      <c r="AI9" s="10">
        <v>0</v>
      </c>
      <c r="AJ9" s="10">
        <v>1</v>
      </c>
    </row>
    <row r="10" spans="1:36" ht="21" customHeight="1" x14ac:dyDescent="0.15">
      <c r="A10" s="22" t="str">
        <f t="shared" si="1"/>
        <v>1_2-2/5&lt;lv1&gt;</v>
      </c>
      <c r="B10" s="34">
        <v>1</v>
      </c>
      <c r="C10" s="32">
        <v>2</v>
      </c>
      <c r="D10" s="2" t="str">
        <f t="shared" si="0"/>
        <v>1_2</v>
      </c>
      <c r="E10" s="5" t="str">
        <f ca="1">VLOOKUP($B10,OFFSET([1]quests!$A$1,0,0,COUNTA([1]quests!$A:$A),MATCH(E$1,[1]quests!$1:$1,0)-MATCH($B$1,[1]quests!$1:$1,0)+1),MATCH(E$1,[1]quests!$1:$1,0)-MATCH($B$1,[1]quests!$1:$1,0)+1,FALSE)</f>
        <v>1．ALICEの入り口</v>
      </c>
      <c r="F10" s="5" t="str">
        <f ca="1">VLOOKUP($D10,OFFSET([1]stages!$A$1,0,0,COUNTA([1]stages!$A:$A),MATCH(F$1,[1]stages!$2:$2,0)-MATCH($D$1,[1]stages!$2:$2,0)+1),MATCH(F$1,[1]stages!$2:$2,0)-MATCH($D$1,[1]stages!$2:$2,0)+1,FALSE)</f>
        <v>1-2. 手荒い出迎え</v>
      </c>
      <c r="G10" s="32">
        <v>2</v>
      </c>
      <c r="H10" s="21" t="str">
        <f t="shared" si="2"/>
        <v>1_2-2</v>
      </c>
      <c r="I10" s="31">
        <v>5</v>
      </c>
      <c r="J10" s="27" t="str">
        <f ca="1">VLOOKUP($I10,OFFSET([2]enemies!$A$1,0,0,COUNTA([2]enemies!$A:$A),MATCH(J$1,[2]enemies!$1:$1,0)-MATCH($I$1,[2]enemies!$1:$1,0)+1),MATCH(J$1,[2]enemies!$1:$1,0)-MATCH($I$1,[2]enemies!$1:$1,0)+1,FALSE)</f>
        <v>パトドッグ ポチ</v>
      </c>
      <c r="K10" s="27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7" t="str">
        <f ca="1">VLOOKUP($I10,OFFSET([3]characters!$A$1,0,0,COUNTA([3]characters!$A:$A),MATCH(L$1,[3]characters!$1:$1,0)-MATCH($I$1,[3]characters!$1:$1,0)+1),MATCH(L$1,[3]characters!$1:$1,0)-MATCH($I$1,[3]characters!$1:$1,0)+1,FALSE)</f>
        <v>Drop1T</v>
      </c>
      <c r="M10" s="27" t="str">
        <f ca="1">VLOOKUP($I10,OFFSET([2]enemies!$A$1,0,0,COUNTA([2]enemies!$A:$A),MATCH(M$1,[2]enemies!$1:$1,0)-MATCH($I$1,[2]enemies!$1:$1,0)+1),MATCH(M$1,[2]enemies!$1:$1,0)-MATCH($I$1,[2]enemies!$1:$1,0)+1,FALSE)</f>
        <v>unknown</v>
      </c>
      <c r="N10" s="27">
        <f ca="1">VLOOKUP($I10,OFFSET([2]enemies!$A$1,0,0,COUNTA([2]enemies!$A:$A),MATCH(N$1,[2]enemies!$1:$1,0)-MATCH($I$1,[2]enemies!$1:$1,0)+1),MATCH(N$1,[2]enemies!$1:$1,0)-MATCH($I$1,[2]enemies!$1:$1,0)+1,FALSE)</f>
        <v>15</v>
      </c>
      <c r="O10" s="6">
        <v>1</v>
      </c>
      <c r="P10" s="38">
        <v>1</v>
      </c>
      <c r="Q10" s="38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v>0</v>
      </c>
      <c r="U10" s="7">
        <v>1</v>
      </c>
      <c r="V10" s="7">
        <v>100</v>
      </c>
      <c r="W10" s="7">
        <v>0</v>
      </c>
      <c r="X10" s="27">
        <v>3</v>
      </c>
      <c r="Y10" s="31">
        <v>5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/>
      </c>
      <c r="AA10" s="5" t="str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/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/>
      </c>
      <c r="AC10" s="8">
        <v>1</v>
      </c>
      <c r="AD10" s="8">
        <v>1</v>
      </c>
      <c r="AE10" s="9">
        <v>30</v>
      </c>
      <c r="AF10" s="10">
        <v>0</v>
      </c>
      <c r="AG10" s="10">
        <v>0</v>
      </c>
      <c r="AH10" s="10">
        <v>0</v>
      </c>
      <c r="AI10" s="10">
        <v>0</v>
      </c>
      <c r="AJ10" s="10">
        <v>1</v>
      </c>
    </row>
    <row r="11" spans="1:36" ht="21" customHeight="1" x14ac:dyDescent="0.15">
      <c r="A11" s="22" t="str">
        <f t="shared" si="1"/>
        <v>1_2-2/7&lt;lv1&gt;</v>
      </c>
      <c r="B11" s="34">
        <v>1</v>
      </c>
      <c r="C11" s="32">
        <v>2</v>
      </c>
      <c r="D11" s="2" t="str">
        <f t="shared" si="0"/>
        <v>1_2</v>
      </c>
      <c r="E11" s="5" t="str">
        <f ca="1">VLOOKUP($B11,OFFSET([1]quests!$A$1,0,0,COUNTA([1]quests!$A:$A),MATCH(E$1,[1]quests!$1:$1,0)-MATCH($B$1,[1]quests!$1:$1,0)+1),MATCH(E$1,[1]quests!$1:$1,0)-MATCH($B$1,[1]quests!$1:$1,0)+1,FALSE)</f>
        <v>1．ALICEの入り口</v>
      </c>
      <c r="F11" s="5" t="str">
        <f ca="1">VLOOKUP($D11,OFFSET([1]stages!$A$1,0,0,COUNTA([1]stages!$A:$A),MATCH(F$1,[1]stages!$2:$2,0)-MATCH($D$1,[1]stages!$2:$2,0)+1),MATCH(F$1,[1]stages!$2:$2,0)-MATCH($D$1,[1]stages!$2:$2,0)+1,FALSE)</f>
        <v>1-2. 手荒い出迎え</v>
      </c>
      <c r="G11" s="32">
        <v>2</v>
      </c>
      <c r="H11" s="21" t="str">
        <f t="shared" si="2"/>
        <v>1_2-2</v>
      </c>
      <c r="I11" s="31">
        <v>7</v>
      </c>
      <c r="J11" s="27" t="str">
        <f ca="1">VLOOKUP($I11,OFFSET([2]enemies!$A$1,0,0,COUNTA([2]enemies!$A:$A),MATCH(J$1,[2]enemies!$1:$1,0)-MATCH($I$1,[2]enemies!$1:$1,0)+1),MATCH(J$1,[2]enemies!$1:$1,0)-MATCH($I$1,[2]enemies!$1:$1,0)+1,FALSE)</f>
        <v>エレキポット</v>
      </c>
      <c r="K11" s="27" t="str">
        <f ca="1">VLOOKUP($I11,OFFSET([2]enemies!$A$1,0,0,COUNTA([2]enemies!$A:$A),MATCH(K$1,[2]enemies!$1:$1,0)-MATCH($I$1,[2]enemies!$1:$1,0)+1),MATCH(K$1,[2]enemies!$1:$1,0)-MATCH($I$1,[2]enemies!$1:$1,0)+1,FALSE)</f>
        <v>yellow</v>
      </c>
      <c r="L11" s="27" t="str">
        <f ca="1">VLOOKUP($I11,OFFSET([3]characters!$A$1,0,0,COUNTA([3]characters!$A:$A),MATCH(L$1,[3]characters!$1:$1,0)-MATCH($I$1,[3]characters!$1:$1,0)+1),MATCH(L$1,[3]characters!$1:$1,0)-MATCH($I$1,[3]characters!$1:$1,0)+1,FALSE)</f>
        <v>Drop1T</v>
      </c>
      <c r="M11" s="27" t="str">
        <f ca="1">VLOOKUP($I11,OFFSET([2]enemies!$A$1,0,0,COUNTA([2]enemies!$A:$A),MATCH(M$1,[2]enemies!$1:$1,0)-MATCH($I$1,[2]enemies!$1:$1,0)+1),MATCH(M$1,[2]enemies!$1:$1,0)-MATCH($I$1,[2]enemies!$1:$1,0)+1,FALSE)</f>
        <v>unknown</v>
      </c>
      <c r="N11" s="27">
        <f ca="1">VLOOKUP($I11,OFFSET([2]enemies!$A$1,0,0,COUNTA([2]enemies!$A:$A),MATCH(N$1,[2]enemies!$1:$1,0)-MATCH($I$1,[2]enemies!$1:$1,0)+1),MATCH(N$1,[2]enemies!$1:$1,0)-MATCH($I$1,[2]enemies!$1:$1,0)+1,FALSE)</f>
        <v>15</v>
      </c>
      <c r="O11" s="6">
        <v>1</v>
      </c>
      <c r="P11" s="38">
        <v>1</v>
      </c>
      <c r="Q11" s="38">
        <v>1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v>0</v>
      </c>
      <c r="U11" s="7">
        <v>1</v>
      </c>
      <c r="V11" s="7">
        <v>100</v>
      </c>
      <c r="W11" s="7">
        <v>0</v>
      </c>
      <c r="X11" s="27">
        <v>2</v>
      </c>
      <c r="Y11" s="31">
        <v>7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/>
      </c>
      <c r="AA11" s="5" t="str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/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/>
      </c>
      <c r="AC11" s="8">
        <v>1</v>
      </c>
      <c r="AD11" s="8">
        <v>1</v>
      </c>
      <c r="AE11" s="9">
        <v>30</v>
      </c>
      <c r="AF11" s="10">
        <v>0</v>
      </c>
      <c r="AG11" s="10">
        <v>0</v>
      </c>
      <c r="AH11" s="10">
        <v>0</v>
      </c>
      <c r="AI11" s="10">
        <v>0</v>
      </c>
      <c r="AJ11" s="10">
        <v>1</v>
      </c>
    </row>
    <row r="12" spans="1:36" ht="21" customHeight="1" x14ac:dyDescent="0.15">
      <c r="A12" s="22" t="str">
        <f t="shared" si="1"/>
        <v>1_2-3/6&lt;lv3&gt;</v>
      </c>
      <c r="B12" s="34">
        <v>1</v>
      </c>
      <c r="C12" s="32">
        <v>2</v>
      </c>
      <c r="D12" s="2" t="str">
        <f t="shared" si="0"/>
        <v>1_2</v>
      </c>
      <c r="E12" s="5" t="str">
        <f ca="1">VLOOKUP($B12,OFFSET([1]quests!$A$1,0,0,COUNTA([1]quests!$A:$A),MATCH(E$1,[1]quests!$1:$1,0)-MATCH($B$1,[1]quests!$1:$1,0)+1),MATCH(E$1,[1]quests!$1:$1,0)-MATCH($B$1,[1]quests!$1:$1,0)+1,FALSE)</f>
        <v>1．ALICEの入り口</v>
      </c>
      <c r="F12" s="5" t="str">
        <f ca="1">VLOOKUP($D12,OFFSET([1]stages!$A$1,0,0,COUNTA([1]stages!$A:$A),MATCH(F$1,[1]stages!$2:$2,0)-MATCH($D$1,[1]stages!$2:$2,0)+1),MATCH(F$1,[1]stages!$2:$2,0)-MATCH($D$1,[1]stages!$2:$2,0)+1,FALSE)</f>
        <v>1-2. 手荒い出迎え</v>
      </c>
      <c r="G12" s="32">
        <v>3</v>
      </c>
      <c r="H12" s="21" t="str">
        <f t="shared" si="2"/>
        <v>1_2-3</v>
      </c>
      <c r="I12" s="31">
        <v>6</v>
      </c>
      <c r="J12" s="27" t="str">
        <f ca="1">VLOOKUP($I12,OFFSET([2]enemies!$A$1,0,0,COUNTA([2]enemies!$A:$A),MATCH(J$1,[2]enemies!$1:$1,0)-MATCH($I$1,[2]enemies!$1:$1,0)+1),MATCH(J$1,[2]enemies!$1:$1,0)-MATCH($I$1,[2]enemies!$1:$1,0)+1,FALSE)</f>
        <v>パトドッグリーダー ポチ</v>
      </c>
      <c r="K12" s="27" t="str">
        <f ca="1">VLOOKUP($I12,OFFSET([2]enemies!$A$1,0,0,COUNTA([2]enemies!$A:$A),MATCH(K$1,[2]enemies!$1:$1,0)-MATCH($I$1,[2]enemies!$1:$1,0)+1),MATCH(K$1,[2]enemies!$1:$1,0)-MATCH($I$1,[2]enemies!$1:$1,0)+1,FALSE)</f>
        <v>blue</v>
      </c>
      <c r="L12" s="27" t="str">
        <f ca="1">VLOOKUP($I12,OFFSET([3]characters!$A$1,0,0,COUNTA([3]characters!$A:$A),MATCH(L$1,[3]characters!$1:$1,0)-MATCH($I$1,[3]characters!$1:$1,0)+1),MATCH(L$1,[3]characters!$1:$1,0)-MATCH($I$1,[3]characters!$1:$1,0)+1,FALSE)</f>
        <v>Drop1T</v>
      </c>
      <c r="M12" s="27" t="str">
        <f ca="1">VLOOKUP($I12,OFFSET([2]enemies!$A$1,0,0,COUNTA([2]enemies!$A:$A),MATCH(M$1,[2]enemies!$1:$1,0)-MATCH($I$1,[2]enemies!$1:$1,0)+1),MATCH(M$1,[2]enemies!$1:$1,0)-MATCH($I$1,[2]enemies!$1:$1,0)+1,FALSE)</f>
        <v>unknown</v>
      </c>
      <c r="N12" s="27">
        <f ca="1">VLOOKUP($I12,OFFSET([2]enemies!$A$1,0,0,COUNTA([2]enemies!$A:$A),MATCH(N$1,[2]enemies!$1:$1,0)-MATCH($I$1,[2]enemies!$1:$1,0)+1),MATCH(N$1,[2]enemies!$1:$1,0)-MATCH($I$1,[2]enemies!$1:$1,0)+1,FALSE)</f>
        <v>15</v>
      </c>
      <c r="O12" s="6">
        <v>3</v>
      </c>
      <c r="P12" s="38">
        <v>1</v>
      </c>
      <c r="Q12" s="38">
        <v>1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5">
        <v>0</v>
      </c>
      <c r="U12" s="7">
        <v>1</v>
      </c>
      <c r="V12" s="7">
        <v>100</v>
      </c>
      <c r="W12" s="7">
        <v>1</v>
      </c>
      <c r="X12" s="27">
        <v>3</v>
      </c>
      <c r="Y12" s="31">
        <v>5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/>
      </c>
      <c r="AA12" s="5" t="str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/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/>
      </c>
      <c r="AC12" s="8">
        <v>1</v>
      </c>
      <c r="AD12" s="8">
        <v>1</v>
      </c>
      <c r="AE12" s="9">
        <v>0</v>
      </c>
      <c r="AF12" s="10">
        <v>0</v>
      </c>
      <c r="AG12" s="10">
        <v>0</v>
      </c>
      <c r="AH12" s="10">
        <v>0</v>
      </c>
      <c r="AI12" s="10">
        <v>0</v>
      </c>
      <c r="AJ12" s="10">
        <v>1</v>
      </c>
    </row>
    <row r="13" spans="1:36" ht="21" customHeight="1" x14ac:dyDescent="0.15">
      <c r="A13" s="22" t="str">
        <f t="shared" ref="A13" si="6">B13&amp;"_"&amp;C13&amp;"-"&amp;G13&amp;"/"&amp;I13&amp;"&lt;lv"&amp;O13&amp;"&gt;"</f>
        <v>1_2-3/8&lt;lv3&gt;</v>
      </c>
      <c r="B13" s="34">
        <v>1</v>
      </c>
      <c r="C13" s="32">
        <v>2</v>
      </c>
      <c r="D13" s="2" t="str">
        <f t="shared" ref="D13" si="7">B13&amp;"_"&amp;C13</f>
        <v>1_2</v>
      </c>
      <c r="E13" s="5" t="str">
        <f ca="1">VLOOKUP($B13,OFFSET([1]quests!$A$1,0,0,COUNTA([1]quests!$A:$A),MATCH(E$1,[1]quests!$1:$1,0)-MATCH($B$1,[1]quests!$1:$1,0)+1),MATCH(E$1,[1]quests!$1:$1,0)-MATCH($B$1,[1]quests!$1:$1,0)+1,FALSE)</f>
        <v>1．ALICEの入り口</v>
      </c>
      <c r="F13" s="5" t="str">
        <f ca="1">VLOOKUP($D13,OFFSET([1]stages!$A$1,0,0,COUNTA([1]stages!$A:$A),MATCH(F$1,[1]stages!$2:$2,0)-MATCH($D$1,[1]stages!$2:$2,0)+1),MATCH(F$1,[1]stages!$2:$2,0)-MATCH($D$1,[1]stages!$2:$2,0)+1,FALSE)</f>
        <v>1-2. 手荒い出迎え</v>
      </c>
      <c r="G13" s="32">
        <v>3</v>
      </c>
      <c r="H13" s="21" t="str">
        <f t="shared" ref="H13" si="8">B13&amp;"_"&amp;C13&amp;"-"&amp;G13</f>
        <v>1_2-3</v>
      </c>
      <c r="I13" s="31">
        <v>8</v>
      </c>
      <c r="J13" s="27" t="str">
        <f ca="1">VLOOKUP($I13,OFFSET([2]enemies!$A$1,0,0,COUNTA([2]enemies!$A:$A),MATCH(J$1,[2]enemies!$1:$1,0)-MATCH($I$1,[2]enemies!$1:$1,0)+1),MATCH(J$1,[2]enemies!$1:$1,0)-MATCH($I$1,[2]enemies!$1:$1,0)+1,FALSE)</f>
        <v>ハイボルテージ エレキポット</v>
      </c>
      <c r="K13" s="27" t="str">
        <f ca="1">VLOOKUP($I13,OFFSET([2]enemies!$A$1,0,0,COUNTA([2]enemies!$A:$A),MATCH(K$1,[2]enemies!$1:$1,0)-MATCH($I$1,[2]enemies!$1:$1,0)+1),MATCH(K$1,[2]enemies!$1:$1,0)-MATCH($I$1,[2]enemies!$1:$1,0)+1,FALSE)</f>
        <v>yellow</v>
      </c>
      <c r="L13" s="27" t="str">
        <f ca="1">VLOOKUP($I13,OFFSET([3]characters!$A$1,0,0,COUNTA([3]characters!$A:$A),MATCH(L$1,[3]characters!$1:$1,0)-MATCH($I$1,[3]characters!$1:$1,0)+1),MATCH(L$1,[3]characters!$1:$1,0)-MATCH($I$1,[3]characters!$1:$1,0)+1,FALSE)</f>
        <v>Drop1T</v>
      </c>
      <c r="M13" s="27" t="str">
        <f ca="1">VLOOKUP($I13,OFFSET([2]enemies!$A$1,0,0,COUNTA([2]enemies!$A:$A),MATCH(M$1,[2]enemies!$1:$1,0)-MATCH($I$1,[2]enemies!$1:$1,0)+1),MATCH(M$1,[2]enemies!$1:$1,0)-MATCH($I$1,[2]enemies!$1:$1,0)+1,FALSE)</f>
        <v>unknown</v>
      </c>
      <c r="N13" s="27">
        <f ca="1">VLOOKUP($I13,OFFSET([2]enemies!$A$1,0,0,COUNTA([2]enemies!$A:$A),MATCH(N$1,[2]enemies!$1:$1,0)-MATCH($I$1,[2]enemies!$1:$1,0)+1),MATCH(N$1,[2]enemies!$1:$1,0)-MATCH($I$1,[2]enemies!$1:$1,0)+1,FALSE)</f>
        <v>15</v>
      </c>
      <c r="O13" s="6">
        <v>3</v>
      </c>
      <c r="P13" s="38">
        <v>1</v>
      </c>
      <c r="Q13" s="38">
        <v>1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5">
        <v>0</v>
      </c>
      <c r="U13" s="7">
        <v>1</v>
      </c>
      <c r="V13" s="7">
        <v>100</v>
      </c>
      <c r="W13" s="7">
        <v>1</v>
      </c>
      <c r="X13" s="27">
        <v>2</v>
      </c>
      <c r="Y13" s="31">
        <v>7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/>
      </c>
      <c r="AA13" s="5" t="str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/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/>
      </c>
      <c r="AC13" s="8">
        <v>1</v>
      </c>
      <c r="AD13" s="8">
        <v>1</v>
      </c>
      <c r="AE13" s="9">
        <v>0</v>
      </c>
      <c r="AF13" s="10">
        <v>0</v>
      </c>
      <c r="AG13" s="10">
        <v>0</v>
      </c>
      <c r="AH13" s="10">
        <v>0</v>
      </c>
      <c r="AI13" s="10">
        <v>0</v>
      </c>
      <c r="AJ13" s="10">
        <v>1</v>
      </c>
    </row>
    <row r="14" spans="1:36" ht="21" customHeight="1" x14ac:dyDescent="0.15">
      <c r="A14" s="22" t="str">
        <f t="shared" si="1"/>
        <v>1_3-1/1&lt;lv3&gt;</v>
      </c>
      <c r="B14" s="34">
        <v>1</v>
      </c>
      <c r="C14" s="32">
        <v>3</v>
      </c>
      <c r="D14" s="2" t="str">
        <f t="shared" si="0"/>
        <v>1_3</v>
      </c>
      <c r="E14" s="5" t="str">
        <f ca="1">VLOOKUP($B14,OFFSET([1]quests!$A$1,0,0,COUNTA([1]quests!$A:$A),MATCH(E$1,[1]quests!$1:$1,0)-MATCH($B$1,[1]quests!$1:$1,0)+1),MATCH(E$1,[1]quests!$1:$1,0)-MATCH($B$1,[1]quests!$1:$1,0)+1,FALSE)</f>
        <v>1．ALICEの入り口</v>
      </c>
      <c r="F14" s="5" t="str">
        <f ca="1">VLOOKUP($D14,OFFSET([1]stages!$A$1,0,0,COUNTA([1]stages!$A:$A),MATCH(F$1,[1]stages!$2:$2,0)-MATCH($D$1,[1]stages!$2:$2,0)+1),MATCH(F$1,[1]stages!$2:$2,0)-MATCH($D$1,[1]stages!$2:$2,0)+1,FALSE)</f>
        <v>1-3. ゲートの番犬</v>
      </c>
      <c r="G14" s="32">
        <v>1</v>
      </c>
      <c r="H14" s="21" t="str">
        <f t="shared" si="2"/>
        <v>1_3-1</v>
      </c>
      <c r="I14" s="31">
        <v>1</v>
      </c>
      <c r="J14" s="27" t="str">
        <f ca="1">VLOOKUP($I14,OFFSET([2]enemies!$A$1,0,0,COUNTA([2]enemies!$A:$A),MATCH(J$1,[2]enemies!$1:$1,0)-MATCH($I$1,[2]enemies!$1:$1,0)+1),MATCH(J$1,[2]enemies!$1:$1,0)-MATCH($I$1,[2]enemies!$1:$1,0)+1,FALSE)</f>
        <v>ジェリー</v>
      </c>
      <c r="K14" s="27" t="str">
        <f ca="1">VLOOKUP($I14,OFFSET([2]enemies!$A$1,0,0,COUNTA([2]enemies!$A:$A),MATCH(K$1,[2]enemies!$1:$1,0)-MATCH($I$1,[2]enemies!$1:$1,0)+1),MATCH(K$1,[2]enemies!$1:$1,0)-MATCH($I$1,[2]enemies!$1:$1,0)+1,FALSE)</f>
        <v>red</v>
      </c>
      <c r="L14" s="27" t="str">
        <f ca="1">VLOOKUP($I14,OFFSET([3]characters!$A$1,0,0,COUNTA([3]characters!$A:$A),MATCH(L$1,[3]characters!$1:$1,0)-MATCH($I$1,[3]characters!$1:$1,0)+1),MATCH(L$1,[3]characters!$1:$1,0)-MATCH($I$1,[3]characters!$1:$1,0)+1,FALSE)</f>
        <v>Drop1T</v>
      </c>
      <c r="M14" s="27" t="str">
        <f ca="1">VLOOKUP($I14,OFFSET([2]enemies!$A$1,0,0,COUNTA([2]enemies!$A:$A),MATCH(M$1,[2]enemies!$1:$1,0)-MATCH($I$1,[2]enemies!$1:$1,0)+1),MATCH(M$1,[2]enemies!$1:$1,0)-MATCH($I$1,[2]enemies!$1:$1,0)+1,FALSE)</f>
        <v>unknown</v>
      </c>
      <c r="N14" s="27">
        <f ca="1">VLOOKUP($I14,OFFSET([2]enemies!$A$1,0,0,COUNTA([2]enemies!$A:$A),MATCH(N$1,[2]enemies!$1:$1,0)-MATCH($I$1,[2]enemies!$1:$1,0)+1),MATCH(N$1,[2]enemies!$1:$1,0)-MATCH($I$1,[2]enemies!$1:$1,0)+1,FALSE)</f>
        <v>15</v>
      </c>
      <c r="O14" s="6">
        <v>3</v>
      </c>
      <c r="P14" s="38">
        <v>1</v>
      </c>
      <c r="Q14" s="38">
        <v>1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14" s="5">
        <v>560001</v>
      </c>
      <c r="U14" s="7">
        <v>1</v>
      </c>
      <c r="V14" s="7">
        <v>100</v>
      </c>
      <c r="W14" s="7">
        <v>1</v>
      </c>
      <c r="X14" s="27">
        <v>2</v>
      </c>
      <c r="Y14" s="31">
        <v>1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/>
      </c>
      <c r="AA14" s="5" t="str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/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/>
      </c>
      <c r="AC14" s="8">
        <v>1</v>
      </c>
      <c r="AD14" s="8">
        <v>1</v>
      </c>
      <c r="AE14" s="9">
        <v>40</v>
      </c>
      <c r="AF14" s="10">
        <v>0</v>
      </c>
      <c r="AG14" s="10">
        <v>0</v>
      </c>
      <c r="AH14" s="10">
        <v>0</v>
      </c>
      <c r="AI14" s="10">
        <v>0</v>
      </c>
      <c r="AJ14" s="10">
        <v>1</v>
      </c>
    </row>
    <row r="15" spans="1:36" ht="21" customHeight="1" x14ac:dyDescent="0.15">
      <c r="A15" s="22" t="str">
        <f t="shared" si="1"/>
        <v>1_3-1/3&lt;lv3&gt;</v>
      </c>
      <c r="B15" s="34">
        <v>1</v>
      </c>
      <c r="C15" s="32">
        <v>3</v>
      </c>
      <c r="D15" s="2" t="str">
        <f t="shared" si="0"/>
        <v>1_3</v>
      </c>
      <c r="E15" s="5" t="str">
        <f ca="1">VLOOKUP($B15,OFFSET([1]quests!$A$1,0,0,COUNTA([1]quests!$A:$A),MATCH(E$1,[1]quests!$1:$1,0)-MATCH($B$1,[1]quests!$1:$1,0)+1),MATCH(E$1,[1]quests!$1:$1,0)-MATCH($B$1,[1]quests!$1:$1,0)+1,FALSE)</f>
        <v>1．ALICEの入り口</v>
      </c>
      <c r="F15" s="5" t="str">
        <f ca="1">VLOOKUP($D15,OFFSET([1]stages!$A$1,0,0,COUNTA([1]stages!$A:$A),MATCH(F$1,[1]stages!$2:$2,0)-MATCH($D$1,[1]stages!$2:$2,0)+1),MATCH(F$1,[1]stages!$2:$2,0)-MATCH($D$1,[1]stages!$2:$2,0)+1,FALSE)</f>
        <v>1-3. ゲートの番犬</v>
      </c>
      <c r="G15" s="32">
        <v>1</v>
      </c>
      <c r="H15" s="21" t="str">
        <f t="shared" si="2"/>
        <v>1_3-1</v>
      </c>
      <c r="I15" s="31">
        <v>3</v>
      </c>
      <c r="J15" s="27" t="str">
        <f ca="1">VLOOKUP($I15,OFFSET([2]enemies!$A$1,0,0,COUNTA([2]enemies!$A:$A),MATCH(J$1,[2]enemies!$1:$1,0)-MATCH($I$1,[2]enemies!$1:$1,0)+1),MATCH(J$1,[2]enemies!$1:$1,0)-MATCH($I$1,[2]enemies!$1:$1,0)+1,FALSE)</f>
        <v>エージェント ジョー</v>
      </c>
      <c r="K15" s="27" t="str">
        <f ca="1">VLOOKUP($I15,OFFSET([2]enemies!$A$1,0,0,COUNTA([2]enemies!$A:$A),MATCH(K$1,[2]enemies!$1:$1,0)-MATCH($I$1,[2]enemies!$1:$1,0)+1),MATCH(K$1,[2]enemies!$1:$1,0)-MATCH($I$1,[2]enemies!$1:$1,0)+1,FALSE)</f>
        <v>green</v>
      </c>
      <c r="L15" s="27" t="str">
        <f ca="1">VLOOKUP($I15,OFFSET([3]characters!$A$1,0,0,COUNTA([3]characters!$A:$A),MATCH(L$1,[3]characters!$1:$1,0)-MATCH($I$1,[3]characters!$1:$1,0)+1),MATCH(L$1,[3]characters!$1:$1,0)-MATCH($I$1,[3]characters!$1:$1,0)+1,FALSE)</f>
        <v>Drop1T</v>
      </c>
      <c r="M15" s="27" t="str">
        <f ca="1">VLOOKUP($I15,OFFSET([2]enemies!$A$1,0,0,COUNTA([2]enemies!$A:$A),MATCH(M$1,[2]enemies!$1:$1,0)-MATCH($I$1,[2]enemies!$1:$1,0)+1),MATCH(M$1,[2]enemies!$1:$1,0)-MATCH($I$1,[2]enemies!$1:$1,0)+1,FALSE)</f>
        <v>unknown</v>
      </c>
      <c r="N15" s="27">
        <f ca="1">VLOOKUP($I15,OFFSET([2]enemies!$A$1,0,0,COUNTA([2]enemies!$A:$A),MATCH(N$1,[2]enemies!$1:$1,0)-MATCH($I$1,[2]enemies!$1:$1,0)+1),MATCH(N$1,[2]enemies!$1:$1,0)-MATCH($I$1,[2]enemies!$1:$1,0)+1,FALSE)</f>
        <v>15</v>
      </c>
      <c r="O15" s="6">
        <v>3</v>
      </c>
      <c r="P15" s="38">
        <v>1</v>
      </c>
      <c r="Q15" s="38">
        <v>1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v>0</v>
      </c>
      <c r="U15" s="7">
        <v>0</v>
      </c>
      <c r="V15" s="7">
        <v>100</v>
      </c>
      <c r="W15" s="7">
        <v>0</v>
      </c>
      <c r="X15" s="27">
        <v>2</v>
      </c>
      <c r="Y15" s="31">
        <v>3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/>
      </c>
      <c r="AA15" s="5" t="str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/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/>
      </c>
      <c r="AC15" s="8">
        <v>1</v>
      </c>
      <c r="AD15" s="8">
        <v>1</v>
      </c>
      <c r="AE15" s="9">
        <v>40</v>
      </c>
      <c r="AF15" s="10">
        <v>0</v>
      </c>
      <c r="AG15" s="10">
        <v>0</v>
      </c>
      <c r="AH15" s="10">
        <v>0</v>
      </c>
      <c r="AI15" s="10">
        <v>0</v>
      </c>
      <c r="AJ15" s="10">
        <v>1</v>
      </c>
    </row>
    <row r="16" spans="1:36" ht="21" customHeight="1" x14ac:dyDescent="0.15">
      <c r="A16" s="22" t="str">
        <f t="shared" si="1"/>
        <v>1_3-1/5&lt;lv3&gt;</v>
      </c>
      <c r="B16" s="34">
        <v>1</v>
      </c>
      <c r="C16" s="32">
        <v>3</v>
      </c>
      <c r="D16" s="2" t="str">
        <f t="shared" si="0"/>
        <v>1_3</v>
      </c>
      <c r="E16" s="5" t="str">
        <f ca="1">VLOOKUP($B16,OFFSET([1]quests!$A$1,0,0,COUNTA([1]quests!$A:$A),MATCH(E$1,[1]quests!$1:$1,0)-MATCH($B$1,[1]quests!$1:$1,0)+1),MATCH(E$1,[1]quests!$1:$1,0)-MATCH($B$1,[1]quests!$1:$1,0)+1,FALSE)</f>
        <v>1．ALICEの入り口</v>
      </c>
      <c r="F16" s="5" t="str">
        <f ca="1">VLOOKUP($D16,OFFSET([1]stages!$A$1,0,0,COUNTA([1]stages!$A:$A),MATCH(F$1,[1]stages!$2:$2,0)-MATCH($D$1,[1]stages!$2:$2,0)+1),MATCH(F$1,[1]stages!$2:$2,0)-MATCH($D$1,[1]stages!$2:$2,0)+1,FALSE)</f>
        <v>1-3. ゲートの番犬</v>
      </c>
      <c r="G16" s="32">
        <v>1</v>
      </c>
      <c r="H16" s="21" t="str">
        <f t="shared" si="2"/>
        <v>1_3-1</v>
      </c>
      <c r="I16" s="31">
        <v>5</v>
      </c>
      <c r="J16" s="27" t="str">
        <f ca="1">VLOOKUP($I16,OFFSET([2]enemies!$A$1,0,0,COUNTA([2]enemies!$A:$A),MATCH(J$1,[2]enemies!$1:$1,0)-MATCH($I$1,[2]enemies!$1:$1,0)+1),MATCH(J$1,[2]enemies!$1:$1,0)-MATCH($I$1,[2]enemies!$1:$1,0)+1,FALSE)</f>
        <v>パトドッグ ポチ</v>
      </c>
      <c r="K16" s="27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7" t="str">
        <f ca="1">VLOOKUP($I16,OFFSET([3]characters!$A$1,0,0,COUNTA([3]characters!$A:$A),MATCH(L$1,[3]characters!$1:$1,0)-MATCH($I$1,[3]characters!$1:$1,0)+1),MATCH(L$1,[3]characters!$1:$1,0)-MATCH($I$1,[3]characters!$1:$1,0)+1,FALSE)</f>
        <v>Drop1T</v>
      </c>
      <c r="M16" s="27" t="str">
        <f ca="1">VLOOKUP($I16,OFFSET([2]enemies!$A$1,0,0,COUNTA([2]enemies!$A:$A),MATCH(M$1,[2]enemies!$1:$1,0)-MATCH($I$1,[2]enemies!$1:$1,0)+1),MATCH(M$1,[2]enemies!$1:$1,0)-MATCH($I$1,[2]enemies!$1:$1,0)+1,FALSE)</f>
        <v>unknown</v>
      </c>
      <c r="N16" s="27">
        <f ca="1">VLOOKUP($I16,OFFSET([2]enemies!$A$1,0,0,COUNTA([2]enemies!$A:$A),MATCH(N$1,[2]enemies!$1:$1,0)-MATCH($I$1,[2]enemies!$1:$1,0)+1),MATCH(N$1,[2]enemies!$1:$1,0)-MATCH($I$1,[2]enemies!$1:$1,0)+1,FALSE)</f>
        <v>15</v>
      </c>
      <c r="O16" s="6">
        <v>3</v>
      </c>
      <c r="P16" s="38">
        <v>1</v>
      </c>
      <c r="Q16" s="38">
        <v>1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v>0</v>
      </c>
      <c r="U16" s="7">
        <v>0</v>
      </c>
      <c r="V16" s="7">
        <v>100</v>
      </c>
      <c r="W16" s="7">
        <v>0</v>
      </c>
      <c r="X16" s="27">
        <v>3</v>
      </c>
      <c r="Y16" s="31">
        <v>5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/>
      </c>
      <c r="AA16" s="5" t="str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/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/>
      </c>
      <c r="AC16" s="8">
        <v>1</v>
      </c>
      <c r="AD16" s="8">
        <v>1</v>
      </c>
      <c r="AE16" s="9">
        <v>40</v>
      </c>
      <c r="AF16" s="10">
        <v>0</v>
      </c>
      <c r="AG16" s="10">
        <v>0</v>
      </c>
      <c r="AH16" s="10">
        <v>0</v>
      </c>
      <c r="AI16" s="10">
        <v>0</v>
      </c>
      <c r="AJ16" s="10">
        <v>1</v>
      </c>
    </row>
    <row r="17" spans="1:36" ht="21" customHeight="1" x14ac:dyDescent="0.15">
      <c r="A17" s="22" t="str">
        <f t="shared" si="1"/>
        <v>1_3-1/7&lt;lv3&gt;</v>
      </c>
      <c r="B17" s="34">
        <v>1</v>
      </c>
      <c r="C17" s="32">
        <v>3</v>
      </c>
      <c r="D17" s="2" t="str">
        <f t="shared" si="0"/>
        <v>1_3</v>
      </c>
      <c r="E17" s="5" t="str">
        <f ca="1">VLOOKUP($B17,OFFSET([1]quests!$A$1,0,0,COUNTA([1]quests!$A:$A),MATCH(E$1,[1]quests!$1:$1,0)-MATCH($B$1,[1]quests!$1:$1,0)+1),MATCH(E$1,[1]quests!$1:$1,0)-MATCH($B$1,[1]quests!$1:$1,0)+1,FALSE)</f>
        <v>1．ALICEの入り口</v>
      </c>
      <c r="F17" s="5" t="str">
        <f ca="1">VLOOKUP($D17,OFFSET([1]stages!$A$1,0,0,COUNTA([1]stages!$A:$A),MATCH(F$1,[1]stages!$2:$2,0)-MATCH($D$1,[1]stages!$2:$2,0)+1),MATCH(F$1,[1]stages!$2:$2,0)-MATCH($D$1,[1]stages!$2:$2,0)+1,FALSE)</f>
        <v>1-3. ゲートの番犬</v>
      </c>
      <c r="G17" s="32">
        <v>1</v>
      </c>
      <c r="H17" s="21" t="str">
        <f t="shared" si="2"/>
        <v>1_3-1</v>
      </c>
      <c r="I17" s="31">
        <v>7</v>
      </c>
      <c r="J17" s="27" t="str">
        <f ca="1">VLOOKUP($I17,OFFSET([2]enemies!$A$1,0,0,COUNTA([2]enemies!$A:$A),MATCH(J$1,[2]enemies!$1:$1,0)-MATCH($I$1,[2]enemies!$1:$1,0)+1),MATCH(J$1,[2]enemies!$1:$1,0)-MATCH($I$1,[2]enemies!$1:$1,0)+1,FALSE)</f>
        <v>エレキポット</v>
      </c>
      <c r="K17" s="27" t="str">
        <f ca="1">VLOOKUP($I17,OFFSET([2]enemies!$A$1,0,0,COUNTA([2]enemies!$A:$A),MATCH(K$1,[2]enemies!$1:$1,0)-MATCH($I$1,[2]enemies!$1:$1,0)+1),MATCH(K$1,[2]enemies!$1:$1,0)-MATCH($I$1,[2]enemies!$1:$1,0)+1,FALSE)</f>
        <v>yellow</v>
      </c>
      <c r="L17" s="27" t="str">
        <f ca="1">VLOOKUP($I17,OFFSET([3]characters!$A$1,0,0,COUNTA([3]characters!$A:$A),MATCH(L$1,[3]characters!$1:$1,0)-MATCH($I$1,[3]characters!$1:$1,0)+1),MATCH(L$1,[3]characters!$1:$1,0)-MATCH($I$1,[3]characters!$1:$1,0)+1,FALSE)</f>
        <v>Drop1T</v>
      </c>
      <c r="M17" s="27" t="str">
        <f ca="1">VLOOKUP($I17,OFFSET([2]enemies!$A$1,0,0,COUNTA([2]enemies!$A:$A),MATCH(M$1,[2]enemies!$1:$1,0)-MATCH($I$1,[2]enemies!$1:$1,0)+1),MATCH(M$1,[2]enemies!$1:$1,0)-MATCH($I$1,[2]enemies!$1:$1,0)+1,FALSE)</f>
        <v>unknown</v>
      </c>
      <c r="N17" s="27">
        <f ca="1">VLOOKUP($I17,OFFSET([2]enemies!$A$1,0,0,COUNTA([2]enemies!$A:$A),MATCH(N$1,[2]enemies!$1:$1,0)-MATCH($I$1,[2]enemies!$1:$1,0)+1),MATCH(N$1,[2]enemies!$1:$1,0)-MATCH($I$1,[2]enemies!$1:$1,0)+1,FALSE)</f>
        <v>15</v>
      </c>
      <c r="O17" s="6">
        <v>3</v>
      </c>
      <c r="P17" s="38">
        <v>1</v>
      </c>
      <c r="Q17" s="38">
        <v>1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5">
        <v>0</v>
      </c>
      <c r="U17" s="7">
        <v>0</v>
      </c>
      <c r="V17" s="7">
        <v>100</v>
      </c>
      <c r="W17" s="7">
        <v>0</v>
      </c>
      <c r="X17" s="27">
        <v>2</v>
      </c>
      <c r="Y17" s="31">
        <v>7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/>
      </c>
      <c r="AA17" s="5" t="str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/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/>
      </c>
      <c r="AC17" s="8">
        <v>1</v>
      </c>
      <c r="AD17" s="8">
        <v>1</v>
      </c>
      <c r="AE17" s="9">
        <v>40</v>
      </c>
      <c r="AF17" s="10">
        <v>0</v>
      </c>
      <c r="AG17" s="10">
        <v>0</v>
      </c>
      <c r="AH17" s="10">
        <v>0</v>
      </c>
      <c r="AI17" s="10">
        <v>0</v>
      </c>
      <c r="AJ17" s="10">
        <v>1</v>
      </c>
    </row>
    <row r="18" spans="1:36" ht="21" customHeight="1" x14ac:dyDescent="0.15">
      <c r="A18" s="22" t="str">
        <f t="shared" si="1"/>
        <v>1_3-2/1&lt;lv3&gt;</v>
      </c>
      <c r="B18" s="34">
        <v>1</v>
      </c>
      <c r="C18" s="32">
        <v>3</v>
      </c>
      <c r="D18" s="2" t="str">
        <f t="shared" si="0"/>
        <v>1_3</v>
      </c>
      <c r="E18" s="5" t="str">
        <f ca="1">VLOOKUP($B18,OFFSET([1]quests!$A$1,0,0,COUNTA([1]quests!$A:$A),MATCH(E$1,[1]quests!$1:$1,0)-MATCH($B$1,[1]quests!$1:$1,0)+1),MATCH(E$1,[1]quests!$1:$1,0)-MATCH($B$1,[1]quests!$1:$1,0)+1,FALSE)</f>
        <v>1．ALICEの入り口</v>
      </c>
      <c r="F18" s="5" t="str">
        <f ca="1">VLOOKUP($D18,OFFSET([1]stages!$A$1,0,0,COUNTA([1]stages!$A:$A),MATCH(F$1,[1]stages!$2:$2,0)-MATCH($D$1,[1]stages!$2:$2,0)+1),MATCH(F$1,[1]stages!$2:$2,0)-MATCH($D$1,[1]stages!$2:$2,0)+1,FALSE)</f>
        <v>1-3. ゲートの番犬</v>
      </c>
      <c r="G18" s="32">
        <v>2</v>
      </c>
      <c r="H18" s="21" t="str">
        <f t="shared" si="2"/>
        <v>1_3-2</v>
      </c>
      <c r="I18" s="31">
        <v>1</v>
      </c>
      <c r="J18" s="27" t="str">
        <f ca="1">VLOOKUP($I18,OFFSET([2]enemies!$A$1,0,0,COUNTA([2]enemies!$A:$A),MATCH(J$1,[2]enemies!$1:$1,0)-MATCH($I$1,[2]enemies!$1:$1,0)+1),MATCH(J$1,[2]enemies!$1:$1,0)-MATCH($I$1,[2]enemies!$1:$1,0)+1,FALSE)</f>
        <v>ジェリー</v>
      </c>
      <c r="K18" s="27" t="str">
        <f ca="1">VLOOKUP($I18,OFFSET([2]enemies!$A$1,0,0,COUNTA([2]enemies!$A:$A),MATCH(K$1,[2]enemies!$1:$1,0)-MATCH($I$1,[2]enemies!$1:$1,0)+1),MATCH(K$1,[2]enemies!$1:$1,0)-MATCH($I$1,[2]enemies!$1:$1,0)+1,FALSE)</f>
        <v>red</v>
      </c>
      <c r="L18" s="27" t="str">
        <f ca="1">VLOOKUP($I18,OFFSET([3]characters!$A$1,0,0,COUNTA([3]characters!$A:$A),MATCH(L$1,[3]characters!$1:$1,0)-MATCH($I$1,[3]characters!$1:$1,0)+1),MATCH(L$1,[3]characters!$1:$1,0)-MATCH($I$1,[3]characters!$1:$1,0)+1,FALSE)</f>
        <v>Drop1T</v>
      </c>
      <c r="M18" s="27" t="str">
        <f ca="1">VLOOKUP($I18,OFFSET([2]enemies!$A$1,0,0,COUNTA([2]enemies!$A:$A),MATCH(M$1,[2]enemies!$1:$1,0)-MATCH($I$1,[2]enemies!$1:$1,0)+1),MATCH(M$1,[2]enemies!$1:$1,0)-MATCH($I$1,[2]enemies!$1:$1,0)+1,FALSE)</f>
        <v>unknown</v>
      </c>
      <c r="N18" s="27">
        <f ca="1">VLOOKUP($I18,OFFSET([2]enemies!$A$1,0,0,COUNTA([2]enemies!$A:$A),MATCH(N$1,[2]enemies!$1:$1,0)-MATCH($I$1,[2]enemies!$1:$1,0)+1),MATCH(N$1,[2]enemies!$1:$1,0)-MATCH($I$1,[2]enemies!$1:$1,0)+1,FALSE)</f>
        <v>15</v>
      </c>
      <c r="O18" s="6">
        <v>3</v>
      </c>
      <c r="P18" s="38">
        <v>1</v>
      </c>
      <c r="Q18" s="38">
        <v>1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5">
        <v>0</v>
      </c>
      <c r="U18" s="7">
        <v>0</v>
      </c>
      <c r="V18" s="7">
        <v>100</v>
      </c>
      <c r="W18" s="7">
        <v>0</v>
      </c>
      <c r="X18" s="27">
        <v>2</v>
      </c>
      <c r="Y18" s="31">
        <v>1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/>
      </c>
      <c r="AA18" s="5" t="str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/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/>
      </c>
      <c r="AC18" s="8">
        <v>1</v>
      </c>
      <c r="AD18" s="8">
        <v>1</v>
      </c>
      <c r="AE18" s="9">
        <v>30</v>
      </c>
      <c r="AF18" s="10">
        <v>0</v>
      </c>
      <c r="AG18" s="10">
        <v>0</v>
      </c>
      <c r="AH18" s="10">
        <v>0</v>
      </c>
      <c r="AI18" s="10">
        <v>0</v>
      </c>
      <c r="AJ18" s="10">
        <v>1</v>
      </c>
    </row>
    <row r="19" spans="1:36" ht="21" customHeight="1" x14ac:dyDescent="0.15">
      <c r="A19" s="22" t="str">
        <f t="shared" si="1"/>
        <v>1_3-2/3&lt;lv3&gt;</v>
      </c>
      <c r="B19" s="34">
        <v>1</v>
      </c>
      <c r="C19" s="32">
        <v>3</v>
      </c>
      <c r="D19" s="2" t="str">
        <f t="shared" si="0"/>
        <v>1_3</v>
      </c>
      <c r="E19" s="5" t="str">
        <f ca="1">VLOOKUP($B19,OFFSET([1]quests!$A$1,0,0,COUNTA([1]quests!$A:$A),MATCH(E$1,[1]quests!$1:$1,0)-MATCH($B$1,[1]quests!$1:$1,0)+1),MATCH(E$1,[1]quests!$1:$1,0)-MATCH($B$1,[1]quests!$1:$1,0)+1,FALSE)</f>
        <v>1．ALICEの入り口</v>
      </c>
      <c r="F19" s="5" t="str">
        <f ca="1">VLOOKUP($D19,OFFSET([1]stages!$A$1,0,0,COUNTA([1]stages!$A:$A),MATCH(F$1,[1]stages!$2:$2,0)-MATCH($D$1,[1]stages!$2:$2,0)+1),MATCH(F$1,[1]stages!$2:$2,0)-MATCH($D$1,[1]stages!$2:$2,0)+1,FALSE)</f>
        <v>1-3. ゲートの番犬</v>
      </c>
      <c r="G19" s="32">
        <v>2</v>
      </c>
      <c r="H19" s="21" t="str">
        <f t="shared" si="2"/>
        <v>1_3-2</v>
      </c>
      <c r="I19" s="31">
        <v>3</v>
      </c>
      <c r="J19" s="27" t="str">
        <f ca="1">VLOOKUP($I19,OFFSET([2]enemies!$A$1,0,0,COUNTA([2]enemies!$A:$A),MATCH(J$1,[2]enemies!$1:$1,0)-MATCH($I$1,[2]enemies!$1:$1,0)+1),MATCH(J$1,[2]enemies!$1:$1,0)-MATCH($I$1,[2]enemies!$1:$1,0)+1,FALSE)</f>
        <v>エージェント ジョー</v>
      </c>
      <c r="K19" s="27" t="str">
        <f ca="1">VLOOKUP($I19,OFFSET([2]enemies!$A$1,0,0,COUNTA([2]enemies!$A:$A),MATCH(K$1,[2]enemies!$1:$1,0)-MATCH($I$1,[2]enemies!$1:$1,0)+1),MATCH(K$1,[2]enemies!$1:$1,0)-MATCH($I$1,[2]enemies!$1:$1,0)+1,FALSE)</f>
        <v>green</v>
      </c>
      <c r="L19" s="27" t="str">
        <f ca="1">VLOOKUP($I19,OFFSET([3]characters!$A$1,0,0,COUNTA([3]characters!$A:$A),MATCH(L$1,[3]characters!$1:$1,0)-MATCH($I$1,[3]characters!$1:$1,0)+1),MATCH(L$1,[3]characters!$1:$1,0)-MATCH($I$1,[3]characters!$1:$1,0)+1,FALSE)</f>
        <v>Drop1T</v>
      </c>
      <c r="M19" s="27" t="str">
        <f ca="1">VLOOKUP($I19,OFFSET([2]enemies!$A$1,0,0,COUNTA([2]enemies!$A:$A),MATCH(M$1,[2]enemies!$1:$1,0)-MATCH($I$1,[2]enemies!$1:$1,0)+1),MATCH(M$1,[2]enemies!$1:$1,0)-MATCH($I$1,[2]enemies!$1:$1,0)+1,FALSE)</f>
        <v>unknown</v>
      </c>
      <c r="N19" s="27">
        <f ca="1">VLOOKUP($I19,OFFSET([2]enemies!$A$1,0,0,COUNTA([2]enemies!$A:$A),MATCH(N$1,[2]enemies!$1:$1,0)-MATCH($I$1,[2]enemies!$1:$1,0)+1),MATCH(N$1,[2]enemies!$1:$1,0)-MATCH($I$1,[2]enemies!$1:$1,0)+1,FALSE)</f>
        <v>15</v>
      </c>
      <c r="O19" s="6">
        <v>3</v>
      </c>
      <c r="P19" s="38">
        <v>1</v>
      </c>
      <c r="Q19" s="38">
        <v>1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5">
        <v>0</v>
      </c>
      <c r="U19" s="7">
        <v>0</v>
      </c>
      <c r="V19" s="7">
        <v>100</v>
      </c>
      <c r="W19" s="7">
        <v>0</v>
      </c>
      <c r="X19" s="27">
        <v>2</v>
      </c>
      <c r="Y19" s="31">
        <v>3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/>
      </c>
      <c r="AA19" s="5" t="str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/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/>
      </c>
      <c r="AC19" s="8">
        <v>1</v>
      </c>
      <c r="AD19" s="8">
        <v>1</v>
      </c>
      <c r="AE19" s="9">
        <v>30</v>
      </c>
      <c r="AF19" s="10">
        <v>0</v>
      </c>
      <c r="AG19" s="10">
        <v>0</v>
      </c>
      <c r="AH19" s="10">
        <v>0</v>
      </c>
      <c r="AI19" s="10">
        <v>0</v>
      </c>
      <c r="AJ19" s="10">
        <v>1</v>
      </c>
    </row>
    <row r="20" spans="1:36" ht="21" customHeight="1" x14ac:dyDescent="0.15">
      <c r="A20" s="22" t="str">
        <f t="shared" si="1"/>
        <v>1_3-2/5&lt;lv3&gt;</v>
      </c>
      <c r="B20" s="34">
        <v>1</v>
      </c>
      <c r="C20" s="32">
        <v>3</v>
      </c>
      <c r="D20" s="2" t="str">
        <f t="shared" si="0"/>
        <v>1_3</v>
      </c>
      <c r="E20" s="5" t="str">
        <f ca="1">VLOOKUP($B20,OFFSET([1]quests!$A$1,0,0,COUNTA([1]quests!$A:$A),MATCH(E$1,[1]quests!$1:$1,0)-MATCH($B$1,[1]quests!$1:$1,0)+1),MATCH(E$1,[1]quests!$1:$1,0)-MATCH($B$1,[1]quests!$1:$1,0)+1,FALSE)</f>
        <v>1．ALICEの入り口</v>
      </c>
      <c r="F20" s="5" t="str">
        <f ca="1">VLOOKUP($D20,OFFSET([1]stages!$A$1,0,0,COUNTA([1]stages!$A:$A),MATCH(F$1,[1]stages!$2:$2,0)-MATCH($D$1,[1]stages!$2:$2,0)+1),MATCH(F$1,[1]stages!$2:$2,0)-MATCH($D$1,[1]stages!$2:$2,0)+1,FALSE)</f>
        <v>1-3. ゲートの番犬</v>
      </c>
      <c r="G20" s="32">
        <v>2</v>
      </c>
      <c r="H20" s="21" t="str">
        <f t="shared" si="2"/>
        <v>1_3-2</v>
      </c>
      <c r="I20" s="31">
        <v>5</v>
      </c>
      <c r="J20" s="27" t="str">
        <f ca="1">VLOOKUP($I20,OFFSET([2]enemies!$A$1,0,0,COUNTA([2]enemies!$A:$A),MATCH(J$1,[2]enemies!$1:$1,0)-MATCH($I$1,[2]enemies!$1:$1,0)+1),MATCH(J$1,[2]enemies!$1:$1,0)-MATCH($I$1,[2]enemies!$1:$1,0)+1,FALSE)</f>
        <v>パトドッグ ポチ</v>
      </c>
      <c r="K20" s="27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7" t="str">
        <f ca="1">VLOOKUP($I20,OFFSET([3]characters!$A$1,0,0,COUNTA([3]characters!$A:$A),MATCH(L$1,[3]characters!$1:$1,0)-MATCH($I$1,[3]characters!$1:$1,0)+1),MATCH(L$1,[3]characters!$1:$1,0)-MATCH($I$1,[3]characters!$1:$1,0)+1,FALSE)</f>
        <v>Drop1T</v>
      </c>
      <c r="M20" s="27" t="str">
        <f ca="1">VLOOKUP($I20,OFFSET([2]enemies!$A$1,0,0,COUNTA([2]enemies!$A:$A),MATCH(M$1,[2]enemies!$1:$1,0)-MATCH($I$1,[2]enemies!$1:$1,0)+1),MATCH(M$1,[2]enemies!$1:$1,0)-MATCH($I$1,[2]enemies!$1:$1,0)+1,FALSE)</f>
        <v>unknown</v>
      </c>
      <c r="N20" s="27">
        <f ca="1">VLOOKUP($I20,OFFSET([2]enemies!$A$1,0,0,COUNTA([2]enemies!$A:$A),MATCH(N$1,[2]enemies!$1:$1,0)-MATCH($I$1,[2]enemies!$1:$1,0)+1),MATCH(N$1,[2]enemies!$1:$1,0)-MATCH($I$1,[2]enemies!$1:$1,0)+1,FALSE)</f>
        <v>15</v>
      </c>
      <c r="O20" s="6">
        <v>3</v>
      </c>
      <c r="P20" s="38">
        <v>1</v>
      </c>
      <c r="Q20" s="38">
        <v>1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5">
        <v>0</v>
      </c>
      <c r="U20" s="7">
        <v>0</v>
      </c>
      <c r="V20" s="7">
        <v>100</v>
      </c>
      <c r="W20" s="7">
        <v>0</v>
      </c>
      <c r="X20" s="27">
        <v>3</v>
      </c>
      <c r="Y20" s="31">
        <v>5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/>
      </c>
      <c r="AA20" s="5" t="str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/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/>
      </c>
      <c r="AC20" s="8">
        <v>1</v>
      </c>
      <c r="AD20" s="8">
        <v>1</v>
      </c>
      <c r="AE20" s="9">
        <v>30</v>
      </c>
      <c r="AF20" s="10">
        <v>0</v>
      </c>
      <c r="AG20" s="10">
        <v>0</v>
      </c>
      <c r="AH20" s="10">
        <v>0</v>
      </c>
      <c r="AI20" s="10">
        <v>0</v>
      </c>
      <c r="AJ20" s="10">
        <v>1</v>
      </c>
    </row>
    <row r="21" spans="1:36" ht="21" customHeight="1" x14ac:dyDescent="0.15">
      <c r="A21" s="22" t="str">
        <f t="shared" si="1"/>
        <v>1_3-2/7&lt;lv3&gt;</v>
      </c>
      <c r="B21" s="34">
        <v>1</v>
      </c>
      <c r="C21" s="32">
        <v>3</v>
      </c>
      <c r="D21" s="2" t="str">
        <f t="shared" si="0"/>
        <v>1_3</v>
      </c>
      <c r="E21" s="5" t="str">
        <f ca="1">VLOOKUP($B21,OFFSET([1]quests!$A$1,0,0,COUNTA([1]quests!$A:$A),MATCH(E$1,[1]quests!$1:$1,0)-MATCH($B$1,[1]quests!$1:$1,0)+1),MATCH(E$1,[1]quests!$1:$1,0)-MATCH($B$1,[1]quests!$1:$1,0)+1,FALSE)</f>
        <v>1．ALICEの入り口</v>
      </c>
      <c r="F21" s="5" t="str">
        <f ca="1">VLOOKUP($D21,OFFSET([1]stages!$A$1,0,0,COUNTA([1]stages!$A:$A),MATCH(F$1,[1]stages!$2:$2,0)-MATCH($D$1,[1]stages!$2:$2,0)+1),MATCH(F$1,[1]stages!$2:$2,0)-MATCH($D$1,[1]stages!$2:$2,0)+1,FALSE)</f>
        <v>1-3. ゲートの番犬</v>
      </c>
      <c r="G21" s="32">
        <v>2</v>
      </c>
      <c r="H21" s="21" t="str">
        <f t="shared" si="2"/>
        <v>1_3-2</v>
      </c>
      <c r="I21" s="31">
        <v>7</v>
      </c>
      <c r="J21" s="27" t="str">
        <f ca="1">VLOOKUP($I21,OFFSET([2]enemies!$A$1,0,0,COUNTA([2]enemies!$A:$A),MATCH(J$1,[2]enemies!$1:$1,0)-MATCH($I$1,[2]enemies!$1:$1,0)+1),MATCH(J$1,[2]enemies!$1:$1,0)-MATCH($I$1,[2]enemies!$1:$1,0)+1,FALSE)</f>
        <v>エレキポット</v>
      </c>
      <c r="K21" s="27" t="str">
        <f ca="1">VLOOKUP($I21,OFFSET([2]enemies!$A$1,0,0,COUNTA([2]enemies!$A:$A),MATCH(K$1,[2]enemies!$1:$1,0)-MATCH($I$1,[2]enemies!$1:$1,0)+1),MATCH(K$1,[2]enemies!$1:$1,0)-MATCH($I$1,[2]enemies!$1:$1,0)+1,FALSE)</f>
        <v>yellow</v>
      </c>
      <c r="L21" s="27" t="str">
        <f ca="1">VLOOKUP($I21,OFFSET([3]characters!$A$1,0,0,COUNTA([3]characters!$A:$A),MATCH(L$1,[3]characters!$1:$1,0)-MATCH($I$1,[3]characters!$1:$1,0)+1),MATCH(L$1,[3]characters!$1:$1,0)-MATCH($I$1,[3]characters!$1:$1,0)+1,FALSE)</f>
        <v>Drop1T</v>
      </c>
      <c r="M21" s="27" t="str">
        <f ca="1">VLOOKUP($I21,OFFSET([2]enemies!$A$1,0,0,COUNTA([2]enemies!$A:$A),MATCH(M$1,[2]enemies!$1:$1,0)-MATCH($I$1,[2]enemies!$1:$1,0)+1),MATCH(M$1,[2]enemies!$1:$1,0)-MATCH($I$1,[2]enemies!$1:$1,0)+1,FALSE)</f>
        <v>unknown</v>
      </c>
      <c r="N21" s="27">
        <f ca="1">VLOOKUP($I21,OFFSET([2]enemies!$A$1,0,0,COUNTA([2]enemies!$A:$A),MATCH(N$1,[2]enemies!$1:$1,0)-MATCH($I$1,[2]enemies!$1:$1,0)+1),MATCH(N$1,[2]enemies!$1:$1,0)-MATCH($I$1,[2]enemies!$1:$1,0)+1,FALSE)</f>
        <v>15</v>
      </c>
      <c r="O21" s="6">
        <v>3</v>
      </c>
      <c r="P21" s="38">
        <v>1</v>
      </c>
      <c r="Q21" s="38">
        <v>1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5">
        <v>0</v>
      </c>
      <c r="U21" s="7">
        <v>0</v>
      </c>
      <c r="V21" s="7">
        <v>100</v>
      </c>
      <c r="W21" s="7">
        <v>0</v>
      </c>
      <c r="X21" s="27">
        <v>2</v>
      </c>
      <c r="Y21" s="31">
        <v>7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/>
      </c>
      <c r="AA21" s="5" t="str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/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/>
      </c>
      <c r="AC21" s="8">
        <v>1</v>
      </c>
      <c r="AD21" s="8">
        <v>1</v>
      </c>
      <c r="AE21" s="9">
        <v>30</v>
      </c>
      <c r="AF21" s="10">
        <v>0</v>
      </c>
      <c r="AG21" s="10">
        <v>0</v>
      </c>
      <c r="AH21" s="10">
        <v>0</v>
      </c>
      <c r="AI21" s="10">
        <v>0</v>
      </c>
      <c r="AJ21" s="10">
        <v>1</v>
      </c>
    </row>
    <row r="22" spans="1:36" ht="21" customHeight="1" x14ac:dyDescent="0.15">
      <c r="A22" s="22" t="str">
        <f t="shared" si="1"/>
        <v>1_3-3/25&lt;lv3&gt;</v>
      </c>
      <c r="B22" s="34">
        <v>1</v>
      </c>
      <c r="C22" s="32">
        <v>3</v>
      </c>
      <c r="D22" s="2" t="str">
        <f t="shared" si="0"/>
        <v>1_3</v>
      </c>
      <c r="E22" s="5" t="str">
        <f ca="1">VLOOKUP($B22,OFFSET([1]quests!$A$1,0,0,COUNTA([1]quests!$A:$A),MATCH(E$1,[1]quests!$1:$1,0)-MATCH($B$1,[1]quests!$1:$1,0)+1),MATCH(E$1,[1]quests!$1:$1,0)-MATCH($B$1,[1]quests!$1:$1,0)+1,FALSE)</f>
        <v>1．ALICEの入り口</v>
      </c>
      <c r="F22" s="5" t="str">
        <f ca="1">VLOOKUP($D22,OFFSET([1]stages!$A$1,0,0,COUNTA([1]stages!$A:$A),MATCH(F$1,[1]stages!$2:$2,0)-MATCH($D$1,[1]stages!$2:$2,0)+1),MATCH(F$1,[1]stages!$2:$2,0)-MATCH($D$1,[1]stages!$2:$2,0)+1,FALSE)</f>
        <v>1-3. ゲートの番犬</v>
      </c>
      <c r="G22" s="32">
        <v>3</v>
      </c>
      <c r="H22" s="21" t="str">
        <f t="shared" si="2"/>
        <v>1_3-3</v>
      </c>
      <c r="I22" s="31">
        <v>25</v>
      </c>
      <c r="J22" s="27" t="str">
        <f ca="1">VLOOKUP($I22,OFFSET([2]enemies!$A$1,0,0,COUNTA([2]enemies!$A:$A),MATCH(J$1,[2]enemies!$1:$1,0)-MATCH($I$1,[2]enemies!$1:$1,0)+1),MATCH(J$1,[2]enemies!$1:$1,0)-MATCH($I$1,[2]enemies!$1:$1,0)+1,FALSE)</f>
        <v>ハチ</v>
      </c>
      <c r="K22" s="27" t="str">
        <f ca="1">VLOOKUP($I22,OFFSET([2]enemies!$A$1,0,0,COUNTA([2]enemies!$A:$A),MATCH(K$1,[2]enemies!$1:$1,0)-MATCH($I$1,[2]enemies!$1:$1,0)+1),MATCH(K$1,[2]enemies!$1:$1,0)-MATCH($I$1,[2]enemies!$1:$1,0)+1,FALSE)</f>
        <v>blue</v>
      </c>
      <c r="L22" s="27" t="str">
        <f ca="1">VLOOKUP($I22,OFFSET([3]characters!$A$1,0,0,COUNTA([3]characters!$A:$A),MATCH(L$1,[3]characters!$1:$1,0)-MATCH($I$1,[3]characters!$1:$1,0)+1),MATCH(L$1,[3]characters!$1:$1,0)-MATCH($I$1,[3]characters!$1:$1,0)+1,FALSE)</f>
        <v>Drop1N</v>
      </c>
      <c r="M22" s="27" t="str">
        <f ca="1">VLOOKUP($I22,OFFSET([2]enemies!$A$1,0,0,COUNTA([2]enemies!$A:$A),MATCH(M$1,[2]enemies!$1:$1,0)-MATCH($I$1,[2]enemies!$1:$1,0)+1),MATCH(M$1,[2]enemies!$1:$1,0)-MATCH($I$1,[2]enemies!$1:$1,0)+1,FALSE)</f>
        <v>animal</v>
      </c>
      <c r="N22" s="27">
        <f ca="1">VLOOKUP($I22,OFFSET([2]enemies!$A$1,0,0,COUNTA([2]enemies!$A:$A),MATCH(N$1,[2]enemies!$1:$1,0)-MATCH($I$1,[2]enemies!$1:$1,0)+1),MATCH(N$1,[2]enemies!$1:$1,0)-MATCH($I$1,[2]enemies!$1:$1,0)+1,FALSE)</f>
        <v>15</v>
      </c>
      <c r="O22" s="6">
        <v>3</v>
      </c>
      <c r="P22" s="38">
        <v>1</v>
      </c>
      <c r="Q22" s="38">
        <v>1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v>0</v>
      </c>
      <c r="U22" s="7">
        <v>3</v>
      </c>
      <c r="V22" s="7">
        <v>100</v>
      </c>
      <c r="W22" s="7">
        <v>1</v>
      </c>
      <c r="X22" s="27">
        <v>3</v>
      </c>
      <c r="Y22" s="31">
        <v>25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/>
      </c>
      <c r="AA22" s="5" t="str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/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/>
      </c>
      <c r="AC22" s="8">
        <v>1</v>
      </c>
      <c r="AD22" s="8">
        <v>1</v>
      </c>
      <c r="AE22" s="9">
        <v>0</v>
      </c>
      <c r="AF22" s="10">
        <v>0</v>
      </c>
      <c r="AG22" s="10">
        <v>0</v>
      </c>
      <c r="AH22" s="10">
        <v>0</v>
      </c>
      <c r="AI22" s="10">
        <v>0</v>
      </c>
      <c r="AJ22" s="10">
        <v>1</v>
      </c>
    </row>
    <row r="23" spans="1:36" ht="21" customHeight="1" x14ac:dyDescent="0.15">
      <c r="A23" s="22" t="str">
        <f t="shared" si="1"/>
        <v>1_4-1/332&lt;lv1&gt;</v>
      </c>
      <c r="B23" s="34">
        <v>1</v>
      </c>
      <c r="C23" s="32">
        <v>4</v>
      </c>
      <c r="D23" s="2" t="str">
        <f t="shared" si="0"/>
        <v>1_4</v>
      </c>
      <c r="E23" s="5" t="str">
        <f ca="1">VLOOKUP($B23,OFFSET([1]quests!$A$1,0,0,COUNTA([1]quests!$A:$A),MATCH(E$1,[1]quests!$1:$1,0)-MATCH($B$1,[1]quests!$1:$1,0)+1),MATCH(E$1,[1]quests!$1:$1,0)-MATCH($B$1,[1]quests!$1:$1,0)+1,FALSE)</f>
        <v>1．ALICEの入り口</v>
      </c>
      <c r="F23" s="5" t="str">
        <f ca="1">VLOOKUP($D23,OFFSET([1]stages!$A$1,0,0,COUNTA([1]stages!$A:$A),MATCH(F$1,[1]stages!$2:$2,0)-MATCH($D$1,[1]stages!$2:$2,0)+1),MATCH(F$1,[1]stages!$2:$2,0)-MATCH($D$1,[1]stages!$2:$2,0)+1,FALSE)</f>
        <v>1-4. 【1回のみ】ボーナスステージ</v>
      </c>
      <c r="G23" s="32">
        <v>1</v>
      </c>
      <c r="H23" s="21" t="str">
        <f t="shared" si="2"/>
        <v>1_4-1</v>
      </c>
      <c r="I23" s="31">
        <v>332</v>
      </c>
      <c r="J23" s="27" t="str">
        <f ca="1">VLOOKUP($I23,OFFSET([2]enemies!$A$1,0,0,COUNTA([2]enemies!$A:$A),MATCH(J$1,[2]enemies!$1:$1,0)-MATCH($I$1,[2]enemies!$1:$1,0)+1),MATCH(J$1,[2]enemies!$1:$1,0)-MATCH($I$1,[2]enemies!$1:$1,0)+1,FALSE)</f>
        <v>炎のメタルピヨピヨ</v>
      </c>
      <c r="K23" s="27" t="str">
        <f ca="1">VLOOKUP($I23,OFFSET([2]enemies!$A$1,0,0,COUNTA([2]enemies!$A:$A),MATCH(K$1,[2]enemies!$1:$1,0)-MATCH($I$1,[2]enemies!$1:$1,0)+1),MATCH(K$1,[2]enemies!$1:$1,0)-MATCH($I$1,[2]enemies!$1:$1,0)+1,FALSE)</f>
        <v>red</v>
      </c>
      <c r="L23" s="27" t="str">
        <f ca="1">VLOOKUP($I23,OFFSET([3]characters!$A$1,0,0,COUNTA([3]characters!$A:$A),MATCH(L$1,[3]characters!$1:$1,0)-MATCH($I$1,[3]characters!$1:$1,0)+1),MATCH(L$1,[3]characters!$1:$1,0)-MATCH($I$1,[3]characters!$1:$1,0)+1,FALSE)</f>
        <v>Material</v>
      </c>
      <c r="M23" s="27" t="str">
        <f ca="1">VLOOKUP($I23,OFFSET([2]enemies!$A$1,0,0,COUNTA([2]enemies!$A:$A),MATCH(M$1,[2]enemies!$1:$1,0)-MATCH($I$1,[2]enemies!$1:$1,0)+1),MATCH(M$1,[2]enemies!$1:$1,0)-MATCH($I$1,[2]enemies!$1:$1,0)+1,FALSE)</f>
        <v>unknown</v>
      </c>
      <c r="N23" s="27">
        <f ca="1">VLOOKUP($I23,OFFSET([2]enemies!$A$1,0,0,COUNTA([2]enemies!$A:$A),MATCH(N$1,[2]enemies!$1:$1,0)-MATCH($I$1,[2]enemies!$1:$1,0)+1),MATCH(N$1,[2]enemies!$1:$1,0)-MATCH($I$1,[2]enemies!$1:$1,0)+1,FALSE)</f>
        <v>15</v>
      </c>
      <c r="O23" s="6">
        <v>1</v>
      </c>
      <c r="P23" s="38">
        <v>1</v>
      </c>
      <c r="Q23" s="38">
        <v>1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全ユニットのスキルゲージMAX！</v>
      </c>
      <c r="T23" s="5">
        <v>560001</v>
      </c>
      <c r="U23" s="7">
        <v>1</v>
      </c>
      <c r="V23" s="7">
        <v>100</v>
      </c>
      <c r="W23" s="7">
        <v>1</v>
      </c>
      <c r="X23" s="27">
        <v>1</v>
      </c>
      <c r="Y23" s="31">
        <v>332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/>
      </c>
      <c r="AA23" s="5" t="str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/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/>
      </c>
      <c r="AC23" s="8">
        <v>1</v>
      </c>
      <c r="AD23" s="8">
        <v>3</v>
      </c>
      <c r="AE23" s="9">
        <v>100</v>
      </c>
      <c r="AF23" s="10">
        <v>0</v>
      </c>
      <c r="AG23" s="10">
        <v>0</v>
      </c>
      <c r="AH23" s="10">
        <v>0</v>
      </c>
      <c r="AI23" s="10">
        <v>0</v>
      </c>
      <c r="AJ23" s="10">
        <v>1</v>
      </c>
    </row>
    <row r="24" spans="1:36" ht="21" customHeight="1" x14ac:dyDescent="0.15">
      <c r="A24" s="22" t="str">
        <f t="shared" si="1"/>
        <v>1_4-1/336&lt;lv1&gt;</v>
      </c>
      <c r="B24" s="34">
        <v>1</v>
      </c>
      <c r="C24" s="32">
        <v>4</v>
      </c>
      <c r="D24" s="2" t="str">
        <f t="shared" si="0"/>
        <v>1_4</v>
      </c>
      <c r="E24" s="5" t="str">
        <f ca="1">VLOOKUP($B24,OFFSET([1]quests!$A$1,0,0,COUNTA([1]quests!$A:$A),MATCH(E$1,[1]quests!$1:$1,0)-MATCH($B$1,[1]quests!$1:$1,0)+1),MATCH(E$1,[1]quests!$1:$1,0)-MATCH($B$1,[1]quests!$1:$1,0)+1,FALSE)</f>
        <v>1．ALICEの入り口</v>
      </c>
      <c r="F24" s="5" t="str">
        <f ca="1">VLOOKUP($D24,OFFSET([1]stages!$A$1,0,0,COUNTA([1]stages!$A:$A),MATCH(F$1,[1]stages!$2:$2,0)-MATCH($D$1,[1]stages!$2:$2,0)+1),MATCH(F$1,[1]stages!$2:$2,0)-MATCH($D$1,[1]stages!$2:$2,0)+1,FALSE)</f>
        <v>1-4. 【1回のみ】ボーナスステージ</v>
      </c>
      <c r="G24" s="32">
        <v>1</v>
      </c>
      <c r="H24" s="21" t="str">
        <f t="shared" si="2"/>
        <v>1_4-1</v>
      </c>
      <c r="I24" s="31">
        <v>336</v>
      </c>
      <c r="J24" s="27" t="str">
        <f ca="1">VLOOKUP($I24,OFFSET([2]enemies!$A$1,0,0,COUNTA([2]enemies!$A:$A),MATCH(J$1,[2]enemies!$1:$1,0)-MATCH($I$1,[2]enemies!$1:$1,0)+1),MATCH(J$1,[2]enemies!$1:$1,0)-MATCH($I$1,[2]enemies!$1:$1,0)+1,FALSE)</f>
        <v>森のメタルピヨピヨ</v>
      </c>
      <c r="K24" s="27" t="str">
        <f ca="1">VLOOKUP($I24,OFFSET([2]enemies!$A$1,0,0,COUNTA([2]enemies!$A:$A),MATCH(K$1,[2]enemies!$1:$1,0)-MATCH($I$1,[2]enemies!$1:$1,0)+1),MATCH(K$1,[2]enemies!$1:$1,0)-MATCH($I$1,[2]enemies!$1:$1,0)+1,FALSE)</f>
        <v>green</v>
      </c>
      <c r="L24" s="27" t="str">
        <f ca="1">VLOOKUP($I24,OFFSET([3]characters!$A$1,0,0,COUNTA([3]characters!$A:$A),MATCH(L$1,[3]characters!$1:$1,0)-MATCH($I$1,[3]characters!$1:$1,0)+1),MATCH(L$1,[3]characters!$1:$1,0)-MATCH($I$1,[3]characters!$1:$1,0)+1,FALSE)</f>
        <v>Material</v>
      </c>
      <c r="M24" s="27" t="str">
        <f ca="1">VLOOKUP($I24,OFFSET([2]enemies!$A$1,0,0,COUNTA([2]enemies!$A:$A),MATCH(M$1,[2]enemies!$1:$1,0)-MATCH($I$1,[2]enemies!$1:$1,0)+1),MATCH(M$1,[2]enemies!$1:$1,0)-MATCH($I$1,[2]enemies!$1:$1,0)+1,FALSE)</f>
        <v>unknown</v>
      </c>
      <c r="N24" s="27">
        <f ca="1">VLOOKUP($I24,OFFSET([2]enemies!$A$1,0,0,COUNTA([2]enemies!$A:$A),MATCH(N$1,[2]enemies!$1:$1,0)-MATCH($I$1,[2]enemies!$1:$1,0)+1),MATCH(N$1,[2]enemies!$1:$1,0)-MATCH($I$1,[2]enemies!$1:$1,0)+1,FALSE)</f>
        <v>15</v>
      </c>
      <c r="O24" s="6">
        <v>1</v>
      </c>
      <c r="P24" s="38">
        <v>1</v>
      </c>
      <c r="Q24" s="38">
        <v>1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5">
        <v>0</v>
      </c>
      <c r="U24" s="7">
        <v>0</v>
      </c>
      <c r="V24" s="7">
        <v>100</v>
      </c>
      <c r="W24" s="7">
        <v>0</v>
      </c>
      <c r="X24" s="27">
        <v>1</v>
      </c>
      <c r="Y24" s="31">
        <v>336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/>
      </c>
      <c r="AA24" s="5" t="str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/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/>
      </c>
      <c r="AC24" s="8">
        <v>1</v>
      </c>
      <c r="AD24" s="8">
        <v>3</v>
      </c>
      <c r="AE24" s="9">
        <v>100</v>
      </c>
      <c r="AF24" s="10">
        <v>0</v>
      </c>
      <c r="AG24" s="10">
        <v>0</v>
      </c>
      <c r="AH24" s="10">
        <v>0</v>
      </c>
      <c r="AI24" s="10">
        <v>0</v>
      </c>
      <c r="AJ24" s="10">
        <v>1</v>
      </c>
    </row>
    <row r="25" spans="1:36" ht="21" customHeight="1" x14ac:dyDescent="0.15">
      <c r="A25" s="22" t="str">
        <f t="shared" si="1"/>
        <v>1_4-1/344&lt;lv1&gt;</v>
      </c>
      <c r="B25" s="34">
        <v>1</v>
      </c>
      <c r="C25" s="32">
        <v>4</v>
      </c>
      <c r="D25" s="2" t="str">
        <f t="shared" si="0"/>
        <v>1_4</v>
      </c>
      <c r="E25" s="5" t="str">
        <f ca="1">VLOOKUP($B25,OFFSET([1]quests!$A$1,0,0,COUNTA([1]quests!$A:$A),MATCH(E$1,[1]quests!$1:$1,0)-MATCH($B$1,[1]quests!$1:$1,0)+1),MATCH(E$1,[1]quests!$1:$1,0)-MATCH($B$1,[1]quests!$1:$1,0)+1,FALSE)</f>
        <v>1．ALICEの入り口</v>
      </c>
      <c r="F25" s="5" t="str">
        <f ca="1">VLOOKUP($D25,OFFSET([1]stages!$A$1,0,0,COUNTA([1]stages!$A:$A),MATCH(F$1,[1]stages!$2:$2,0)-MATCH($D$1,[1]stages!$2:$2,0)+1),MATCH(F$1,[1]stages!$2:$2,0)-MATCH($D$1,[1]stages!$2:$2,0)+1,FALSE)</f>
        <v>1-4. 【1回のみ】ボーナスステージ</v>
      </c>
      <c r="G25" s="32">
        <v>1</v>
      </c>
      <c r="H25" s="21" t="str">
        <f t="shared" si="2"/>
        <v>1_4-1</v>
      </c>
      <c r="I25" s="31">
        <v>344</v>
      </c>
      <c r="J25" s="27" t="str">
        <f ca="1">VLOOKUP($I25,OFFSET([2]enemies!$A$1,0,0,COUNTA([2]enemies!$A:$A),MATCH(J$1,[2]enemies!$1:$1,0)-MATCH($I$1,[2]enemies!$1:$1,0)+1),MATCH(J$1,[2]enemies!$1:$1,0)-MATCH($I$1,[2]enemies!$1:$1,0)+1,FALSE)</f>
        <v>雷のメタルピヨピヨ</v>
      </c>
      <c r="K25" s="27" t="str">
        <f ca="1">VLOOKUP($I25,OFFSET([2]enemies!$A$1,0,0,COUNTA([2]enemies!$A:$A),MATCH(K$1,[2]enemies!$1:$1,0)-MATCH($I$1,[2]enemies!$1:$1,0)+1),MATCH(K$1,[2]enemies!$1:$1,0)-MATCH($I$1,[2]enemies!$1:$1,0)+1,FALSE)</f>
        <v>yellow</v>
      </c>
      <c r="L25" s="27" t="str">
        <f ca="1">VLOOKUP($I25,OFFSET([3]characters!$A$1,0,0,COUNTA([3]characters!$A:$A),MATCH(L$1,[3]characters!$1:$1,0)-MATCH($I$1,[3]characters!$1:$1,0)+1),MATCH(L$1,[3]characters!$1:$1,0)-MATCH($I$1,[3]characters!$1:$1,0)+1,FALSE)</f>
        <v>Material</v>
      </c>
      <c r="M25" s="27" t="str">
        <f ca="1">VLOOKUP($I25,OFFSET([2]enemies!$A$1,0,0,COUNTA([2]enemies!$A:$A),MATCH(M$1,[2]enemies!$1:$1,0)-MATCH($I$1,[2]enemies!$1:$1,0)+1),MATCH(M$1,[2]enemies!$1:$1,0)-MATCH($I$1,[2]enemies!$1:$1,0)+1,FALSE)</f>
        <v>unknown</v>
      </c>
      <c r="N25" s="27">
        <f ca="1">VLOOKUP($I25,OFFSET([2]enemies!$A$1,0,0,COUNTA([2]enemies!$A:$A),MATCH(N$1,[2]enemies!$1:$1,0)-MATCH($I$1,[2]enemies!$1:$1,0)+1),MATCH(N$1,[2]enemies!$1:$1,0)-MATCH($I$1,[2]enemies!$1:$1,0)+1,FALSE)</f>
        <v>15</v>
      </c>
      <c r="O25" s="6">
        <v>1</v>
      </c>
      <c r="P25" s="38">
        <v>1</v>
      </c>
      <c r="Q25" s="38">
        <v>1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5">
        <v>0</v>
      </c>
      <c r="U25" s="7">
        <v>0</v>
      </c>
      <c r="V25" s="7">
        <v>100</v>
      </c>
      <c r="W25" s="7">
        <v>0</v>
      </c>
      <c r="X25" s="27">
        <v>1</v>
      </c>
      <c r="Y25" s="31">
        <v>344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/>
      </c>
      <c r="AA25" s="5" t="str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/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/>
      </c>
      <c r="AC25" s="8">
        <v>1</v>
      </c>
      <c r="AD25" s="8">
        <v>3</v>
      </c>
      <c r="AE25" s="9">
        <v>0</v>
      </c>
      <c r="AF25" s="10">
        <v>0</v>
      </c>
      <c r="AG25" s="10">
        <v>0</v>
      </c>
      <c r="AH25" s="10">
        <v>0</v>
      </c>
      <c r="AI25" s="10">
        <v>0</v>
      </c>
      <c r="AJ25" s="10">
        <v>1</v>
      </c>
    </row>
    <row r="26" spans="1:36" ht="21" customHeight="1" x14ac:dyDescent="0.15">
      <c r="A26" s="22" t="str">
        <f t="shared" si="1"/>
        <v>1_4-1/340&lt;lv1&gt;</v>
      </c>
      <c r="B26" s="34">
        <v>1</v>
      </c>
      <c r="C26" s="32">
        <v>4</v>
      </c>
      <c r="D26" s="2" t="str">
        <f t="shared" si="0"/>
        <v>1_4</v>
      </c>
      <c r="E26" s="5" t="str">
        <f ca="1">VLOOKUP($B26,OFFSET([1]quests!$A$1,0,0,COUNTA([1]quests!$A:$A),MATCH(E$1,[1]quests!$1:$1,0)-MATCH($B$1,[1]quests!$1:$1,0)+1),MATCH(E$1,[1]quests!$1:$1,0)-MATCH($B$1,[1]quests!$1:$1,0)+1,FALSE)</f>
        <v>1．ALICEの入り口</v>
      </c>
      <c r="F26" s="5" t="str">
        <f ca="1">VLOOKUP($D26,OFFSET([1]stages!$A$1,0,0,COUNTA([1]stages!$A:$A),MATCH(F$1,[1]stages!$2:$2,0)-MATCH($D$1,[1]stages!$2:$2,0)+1),MATCH(F$1,[1]stages!$2:$2,0)-MATCH($D$1,[1]stages!$2:$2,0)+1,FALSE)</f>
        <v>1-4. 【1回のみ】ボーナスステージ</v>
      </c>
      <c r="G26" s="32">
        <v>1</v>
      </c>
      <c r="H26" s="21" t="str">
        <f t="shared" si="2"/>
        <v>1_4-1</v>
      </c>
      <c r="I26" s="31">
        <v>340</v>
      </c>
      <c r="J26" s="27" t="str">
        <f ca="1">VLOOKUP($I26,OFFSET([2]enemies!$A$1,0,0,COUNTA([2]enemies!$A:$A),MATCH(J$1,[2]enemies!$1:$1,0)-MATCH($I$1,[2]enemies!$1:$1,0)+1),MATCH(J$1,[2]enemies!$1:$1,0)-MATCH($I$1,[2]enemies!$1:$1,0)+1,FALSE)</f>
        <v>水のメタルピヨピヨ</v>
      </c>
      <c r="K26" s="27" t="str">
        <f ca="1">VLOOKUP($I26,OFFSET([2]enemies!$A$1,0,0,COUNTA([2]enemies!$A:$A),MATCH(K$1,[2]enemies!$1:$1,0)-MATCH($I$1,[2]enemies!$1:$1,0)+1),MATCH(K$1,[2]enemies!$1:$1,0)-MATCH($I$1,[2]enemies!$1:$1,0)+1,FALSE)</f>
        <v>blue</v>
      </c>
      <c r="L26" s="27" t="str">
        <f ca="1">VLOOKUP($I26,OFFSET([3]characters!$A$1,0,0,COUNTA([3]characters!$A:$A),MATCH(L$1,[3]characters!$1:$1,0)-MATCH($I$1,[3]characters!$1:$1,0)+1),MATCH(L$1,[3]characters!$1:$1,0)-MATCH($I$1,[3]characters!$1:$1,0)+1,FALSE)</f>
        <v>Material</v>
      </c>
      <c r="M26" s="27" t="str">
        <f ca="1">VLOOKUP($I26,OFFSET([2]enemies!$A$1,0,0,COUNTA([2]enemies!$A:$A),MATCH(M$1,[2]enemies!$1:$1,0)-MATCH($I$1,[2]enemies!$1:$1,0)+1),MATCH(M$1,[2]enemies!$1:$1,0)-MATCH($I$1,[2]enemies!$1:$1,0)+1,FALSE)</f>
        <v>unknown</v>
      </c>
      <c r="N26" s="27">
        <f ca="1">VLOOKUP($I26,OFFSET([2]enemies!$A$1,0,0,COUNTA([2]enemies!$A:$A),MATCH(N$1,[2]enemies!$1:$1,0)-MATCH($I$1,[2]enemies!$1:$1,0)+1),MATCH(N$1,[2]enemies!$1:$1,0)-MATCH($I$1,[2]enemies!$1:$1,0)+1,FALSE)</f>
        <v>15</v>
      </c>
      <c r="O26" s="6">
        <v>1</v>
      </c>
      <c r="P26" s="38">
        <v>1</v>
      </c>
      <c r="Q26" s="38">
        <v>1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5">
        <v>0</v>
      </c>
      <c r="U26" s="7">
        <v>0</v>
      </c>
      <c r="V26" s="7">
        <v>100</v>
      </c>
      <c r="W26" s="7">
        <v>0</v>
      </c>
      <c r="X26" s="27">
        <v>1</v>
      </c>
      <c r="Y26" s="31">
        <v>340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/>
      </c>
      <c r="AA26" s="5" t="str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/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/>
      </c>
      <c r="AC26" s="8">
        <v>1</v>
      </c>
      <c r="AD26" s="8">
        <v>3</v>
      </c>
      <c r="AE26" s="9">
        <v>0</v>
      </c>
      <c r="AF26" s="10">
        <v>0</v>
      </c>
      <c r="AG26" s="10">
        <v>0</v>
      </c>
      <c r="AH26" s="10">
        <v>0</v>
      </c>
      <c r="AI26" s="10">
        <v>0</v>
      </c>
      <c r="AJ26" s="10">
        <v>1</v>
      </c>
    </row>
    <row r="27" spans="1:36" ht="21" customHeight="1" x14ac:dyDescent="0.15">
      <c r="A27" s="22" t="str">
        <f t="shared" si="1"/>
        <v>1_4-2/332&lt;lv1&gt;</v>
      </c>
      <c r="B27" s="34">
        <v>1</v>
      </c>
      <c r="C27" s="32">
        <v>4</v>
      </c>
      <c r="D27" s="2" t="str">
        <f t="shared" si="0"/>
        <v>1_4</v>
      </c>
      <c r="E27" s="5" t="str">
        <f ca="1">VLOOKUP($B27,OFFSET([1]quests!$A$1,0,0,COUNTA([1]quests!$A:$A),MATCH(E$1,[1]quests!$1:$1,0)-MATCH($B$1,[1]quests!$1:$1,0)+1),MATCH(E$1,[1]quests!$1:$1,0)-MATCH($B$1,[1]quests!$1:$1,0)+1,FALSE)</f>
        <v>1．ALICEの入り口</v>
      </c>
      <c r="F27" s="5" t="str">
        <f ca="1">VLOOKUP($D27,OFFSET([1]stages!$A$1,0,0,COUNTA([1]stages!$A:$A),MATCH(F$1,[1]stages!$2:$2,0)-MATCH($D$1,[1]stages!$2:$2,0)+1),MATCH(F$1,[1]stages!$2:$2,0)-MATCH($D$1,[1]stages!$2:$2,0)+1,FALSE)</f>
        <v>1-4. 【1回のみ】ボーナスステージ</v>
      </c>
      <c r="G27" s="32">
        <v>2</v>
      </c>
      <c r="H27" s="21" t="str">
        <f t="shared" si="2"/>
        <v>1_4-2</v>
      </c>
      <c r="I27" s="31">
        <v>332</v>
      </c>
      <c r="J27" s="27" t="str">
        <f ca="1">VLOOKUP($I27,OFFSET([2]enemies!$A$1,0,0,COUNTA([2]enemies!$A:$A),MATCH(J$1,[2]enemies!$1:$1,0)-MATCH($I$1,[2]enemies!$1:$1,0)+1),MATCH(J$1,[2]enemies!$1:$1,0)-MATCH($I$1,[2]enemies!$1:$1,0)+1,FALSE)</f>
        <v>炎のメタルピヨピヨ</v>
      </c>
      <c r="K27" s="27" t="str">
        <f ca="1">VLOOKUP($I27,OFFSET([2]enemies!$A$1,0,0,COUNTA([2]enemies!$A:$A),MATCH(K$1,[2]enemies!$1:$1,0)-MATCH($I$1,[2]enemies!$1:$1,0)+1),MATCH(K$1,[2]enemies!$1:$1,0)-MATCH($I$1,[2]enemies!$1:$1,0)+1,FALSE)</f>
        <v>red</v>
      </c>
      <c r="L27" s="27" t="str">
        <f ca="1">VLOOKUP($I27,OFFSET([3]characters!$A$1,0,0,COUNTA([3]characters!$A:$A),MATCH(L$1,[3]characters!$1:$1,0)-MATCH($I$1,[3]characters!$1:$1,0)+1),MATCH(L$1,[3]characters!$1:$1,0)-MATCH($I$1,[3]characters!$1:$1,0)+1,FALSE)</f>
        <v>Material</v>
      </c>
      <c r="M27" s="27" t="str">
        <f ca="1">VLOOKUP($I27,OFFSET([2]enemies!$A$1,0,0,COUNTA([2]enemies!$A:$A),MATCH(M$1,[2]enemies!$1:$1,0)-MATCH($I$1,[2]enemies!$1:$1,0)+1),MATCH(M$1,[2]enemies!$1:$1,0)-MATCH($I$1,[2]enemies!$1:$1,0)+1,FALSE)</f>
        <v>unknown</v>
      </c>
      <c r="N27" s="27">
        <f ca="1">VLOOKUP($I27,OFFSET([2]enemies!$A$1,0,0,COUNTA([2]enemies!$A:$A),MATCH(N$1,[2]enemies!$1:$1,0)-MATCH($I$1,[2]enemies!$1:$1,0)+1),MATCH(N$1,[2]enemies!$1:$1,0)-MATCH($I$1,[2]enemies!$1:$1,0)+1,FALSE)</f>
        <v>15</v>
      </c>
      <c r="O27" s="6">
        <v>1</v>
      </c>
      <c r="P27" s="38">
        <v>1</v>
      </c>
      <c r="Q27" s="38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v>0</v>
      </c>
      <c r="U27" s="7">
        <v>0</v>
      </c>
      <c r="V27" s="7">
        <v>100</v>
      </c>
      <c r="W27" s="7">
        <v>0</v>
      </c>
      <c r="X27" s="27">
        <v>1</v>
      </c>
      <c r="Y27" s="31">
        <v>332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/>
      </c>
      <c r="AA27" s="5" t="str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/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/>
      </c>
      <c r="AC27" s="8">
        <v>1</v>
      </c>
      <c r="AD27" s="8">
        <v>3</v>
      </c>
      <c r="AE27" s="9">
        <v>0</v>
      </c>
      <c r="AF27" s="10">
        <v>0</v>
      </c>
      <c r="AG27" s="10">
        <v>0</v>
      </c>
      <c r="AH27" s="10">
        <v>0</v>
      </c>
      <c r="AI27" s="10">
        <v>0</v>
      </c>
      <c r="AJ27" s="10">
        <v>1</v>
      </c>
    </row>
    <row r="28" spans="1:36" ht="21" customHeight="1" x14ac:dyDescent="0.15">
      <c r="A28" s="22" t="str">
        <f t="shared" si="1"/>
        <v>1_4-2/336&lt;lv1&gt;</v>
      </c>
      <c r="B28" s="34">
        <v>1</v>
      </c>
      <c r="C28" s="32">
        <v>4</v>
      </c>
      <c r="D28" s="2" t="str">
        <f t="shared" si="0"/>
        <v>1_4</v>
      </c>
      <c r="E28" s="5" t="str">
        <f ca="1">VLOOKUP($B28,OFFSET([1]quests!$A$1,0,0,COUNTA([1]quests!$A:$A),MATCH(E$1,[1]quests!$1:$1,0)-MATCH($B$1,[1]quests!$1:$1,0)+1),MATCH(E$1,[1]quests!$1:$1,0)-MATCH($B$1,[1]quests!$1:$1,0)+1,FALSE)</f>
        <v>1．ALICEの入り口</v>
      </c>
      <c r="F28" s="5" t="str">
        <f ca="1">VLOOKUP($D28,OFFSET([1]stages!$A$1,0,0,COUNTA([1]stages!$A:$A),MATCH(F$1,[1]stages!$2:$2,0)-MATCH($D$1,[1]stages!$2:$2,0)+1),MATCH(F$1,[1]stages!$2:$2,0)-MATCH($D$1,[1]stages!$2:$2,0)+1,FALSE)</f>
        <v>1-4. 【1回のみ】ボーナスステージ</v>
      </c>
      <c r="G28" s="32">
        <v>2</v>
      </c>
      <c r="H28" s="21" t="str">
        <f t="shared" si="2"/>
        <v>1_4-2</v>
      </c>
      <c r="I28" s="31">
        <v>336</v>
      </c>
      <c r="J28" s="27" t="str">
        <f ca="1">VLOOKUP($I28,OFFSET([2]enemies!$A$1,0,0,COUNTA([2]enemies!$A:$A),MATCH(J$1,[2]enemies!$1:$1,0)-MATCH($I$1,[2]enemies!$1:$1,0)+1),MATCH(J$1,[2]enemies!$1:$1,0)-MATCH($I$1,[2]enemies!$1:$1,0)+1,FALSE)</f>
        <v>森のメタルピヨピヨ</v>
      </c>
      <c r="K28" s="27" t="str">
        <f ca="1">VLOOKUP($I28,OFFSET([2]enemies!$A$1,0,0,COUNTA([2]enemies!$A:$A),MATCH(K$1,[2]enemies!$1:$1,0)-MATCH($I$1,[2]enemies!$1:$1,0)+1),MATCH(K$1,[2]enemies!$1:$1,0)-MATCH($I$1,[2]enemies!$1:$1,0)+1,FALSE)</f>
        <v>green</v>
      </c>
      <c r="L28" s="27" t="str">
        <f ca="1">VLOOKUP($I28,OFFSET([3]characters!$A$1,0,0,COUNTA([3]characters!$A:$A),MATCH(L$1,[3]characters!$1:$1,0)-MATCH($I$1,[3]characters!$1:$1,0)+1),MATCH(L$1,[3]characters!$1:$1,0)-MATCH($I$1,[3]characters!$1:$1,0)+1,FALSE)</f>
        <v>Material</v>
      </c>
      <c r="M28" s="27" t="str">
        <f ca="1">VLOOKUP($I28,OFFSET([2]enemies!$A$1,0,0,COUNTA([2]enemies!$A:$A),MATCH(M$1,[2]enemies!$1:$1,0)-MATCH($I$1,[2]enemies!$1:$1,0)+1),MATCH(M$1,[2]enemies!$1:$1,0)-MATCH($I$1,[2]enemies!$1:$1,0)+1,FALSE)</f>
        <v>unknown</v>
      </c>
      <c r="N28" s="27">
        <f ca="1">VLOOKUP($I28,OFFSET([2]enemies!$A$1,0,0,COUNTA([2]enemies!$A:$A),MATCH(N$1,[2]enemies!$1:$1,0)-MATCH($I$1,[2]enemies!$1:$1,0)+1),MATCH(N$1,[2]enemies!$1:$1,0)-MATCH($I$1,[2]enemies!$1:$1,0)+1,FALSE)</f>
        <v>15</v>
      </c>
      <c r="O28" s="6">
        <v>1</v>
      </c>
      <c r="P28" s="38">
        <v>1</v>
      </c>
      <c r="Q28" s="38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v>0</v>
      </c>
      <c r="U28" s="7">
        <v>0</v>
      </c>
      <c r="V28" s="7">
        <v>100</v>
      </c>
      <c r="W28" s="7">
        <v>0</v>
      </c>
      <c r="X28" s="27">
        <v>1</v>
      </c>
      <c r="Y28" s="31">
        <v>336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/>
      </c>
      <c r="AA28" s="5" t="str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/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/>
      </c>
      <c r="AC28" s="10">
        <v>1</v>
      </c>
      <c r="AD28" s="8">
        <v>3</v>
      </c>
      <c r="AE28" s="9">
        <v>0</v>
      </c>
      <c r="AF28" s="10">
        <v>0</v>
      </c>
      <c r="AG28" s="10">
        <v>0</v>
      </c>
      <c r="AH28" s="10">
        <v>0</v>
      </c>
      <c r="AI28" s="10">
        <v>0</v>
      </c>
      <c r="AJ28" s="10">
        <v>1</v>
      </c>
    </row>
    <row r="29" spans="1:36" ht="21" customHeight="1" x14ac:dyDescent="0.15">
      <c r="A29" s="22" t="str">
        <f t="shared" si="1"/>
        <v>1_4-2/344&lt;lv1&gt;</v>
      </c>
      <c r="B29" s="34">
        <v>1</v>
      </c>
      <c r="C29" s="32">
        <v>4</v>
      </c>
      <c r="D29" s="2" t="str">
        <f t="shared" si="0"/>
        <v>1_4</v>
      </c>
      <c r="E29" s="5" t="str">
        <f ca="1">VLOOKUP($B29,OFFSET([1]quests!$A$1,0,0,COUNTA([1]quests!$A:$A),MATCH(E$1,[1]quests!$1:$1,0)-MATCH($B$1,[1]quests!$1:$1,0)+1),MATCH(E$1,[1]quests!$1:$1,0)-MATCH($B$1,[1]quests!$1:$1,0)+1,FALSE)</f>
        <v>1．ALICEの入り口</v>
      </c>
      <c r="F29" s="5" t="str">
        <f ca="1">VLOOKUP($D29,OFFSET([1]stages!$A$1,0,0,COUNTA([1]stages!$A:$A),MATCH(F$1,[1]stages!$2:$2,0)-MATCH($D$1,[1]stages!$2:$2,0)+1),MATCH(F$1,[1]stages!$2:$2,0)-MATCH($D$1,[1]stages!$2:$2,0)+1,FALSE)</f>
        <v>1-4. 【1回のみ】ボーナスステージ</v>
      </c>
      <c r="G29" s="32">
        <v>2</v>
      </c>
      <c r="H29" s="21" t="str">
        <f t="shared" si="2"/>
        <v>1_4-2</v>
      </c>
      <c r="I29" s="31">
        <v>344</v>
      </c>
      <c r="J29" s="27" t="str">
        <f ca="1">VLOOKUP($I29,OFFSET([2]enemies!$A$1,0,0,COUNTA([2]enemies!$A:$A),MATCH(J$1,[2]enemies!$1:$1,0)-MATCH($I$1,[2]enemies!$1:$1,0)+1),MATCH(J$1,[2]enemies!$1:$1,0)-MATCH($I$1,[2]enemies!$1:$1,0)+1,FALSE)</f>
        <v>雷のメタルピヨピヨ</v>
      </c>
      <c r="K29" s="27" t="str">
        <f ca="1">VLOOKUP($I29,OFFSET([2]enemies!$A$1,0,0,COUNTA([2]enemies!$A:$A),MATCH(K$1,[2]enemies!$1:$1,0)-MATCH($I$1,[2]enemies!$1:$1,0)+1),MATCH(K$1,[2]enemies!$1:$1,0)-MATCH($I$1,[2]enemies!$1:$1,0)+1,FALSE)</f>
        <v>yellow</v>
      </c>
      <c r="L29" s="27" t="str">
        <f ca="1">VLOOKUP($I29,OFFSET([3]characters!$A$1,0,0,COUNTA([3]characters!$A:$A),MATCH(L$1,[3]characters!$1:$1,0)-MATCH($I$1,[3]characters!$1:$1,0)+1),MATCH(L$1,[3]characters!$1:$1,0)-MATCH($I$1,[3]characters!$1:$1,0)+1,FALSE)</f>
        <v>Material</v>
      </c>
      <c r="M29" s="27" t="str">
        <f ca="1">VLOOKUP($I29,OFFSET([2]enemies!$A$1,0,0,COUNTA([2]enemies!$A:$A),MATCH(M$1,[2]enemies!$1:$1,0)-MATCH($I$1,[2]enemies!$1:$1,0)+1),MATCH(M$1,[2]enemies!$1:$1,0)-MATCH($I$1,[2]enemies!$1:$1,0)+1,FALSE)</f>
        <v>unknown</v>
      </c>
      <c r="N29" s="27">
        <f ca="1">VLOOKUP($I29,OFFSET([2]enemies!$A$1,0,0,COUNTA([2]enemies!$A:$A),MATCH(N$1,[2]enemies!$1:$1,0)-MATCH($I$1,[2]enemies!$1:$1,0)+1),MATCH(N$1,[2]enemies!$1:$1,0)-MATCH($I$1,[2]enemies!$1:$1,0)+1,FALSE)</f>
        <v>15</v>
      </c>
      <c r="O29" s="6">
        <v>1</v>
      </c>
      <c r="P29" s="38">
        <v>1</v>
      </c>
      <c r="Q29" s="38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5">
        <v>0</v>
      </c>
      <c r="U29" s="7">
        <v>0</v>
      </c>
      <c r="V29" s="7">
        <v>100</v>
      </c>
      <c r="W29" s="7">
        <v>0</v>
      </c>
      <c r="X29" s="27">
        <v>1</v>
      </c>
      <c r="Y29" s="31">
        <v>344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/>
      </c>
      <c r="AA29" s="5" t="str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/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/>
      </c>
      <c r="AC29" s="10">
        <v>1</v>
      </c>
      <c r="AD29" s="8">
        <v>3</v>
      </c>
      <c r="AE29" s="9">
        <v>100</v>
      </c>
      <c r="AF29" s="10">
        <v>0</v>
      </c>
      <c r="AG29" s="10">
        <v>0</v>
      </c>
      <c r="AH29" s="10">
        <v>0</v>
      </c>
      <c r="AI29" s="10">
        <v>0</v>
      </c>
      <c r="AJ29" s="10">
        <v>1</v>
      </c>
    </row>
    <row r="30" spans="1:36" ht="21" customHeight="1" x14ac:dyDescent="0.15">
      <c r="A30" s="22" t="str">
        <f t="shared" si="1"/>
        <v>1_4-2/340&lt;lv1&gt;</v>
      </c>
      <c r="B30" s="34">
        <v>1</v>
      </c>
      <c r="C30" s="32">
        <v>4</v>
      </c>
      <c r="D30" s="2" t="str">
        <f t="shared" si="0"/>
        <v>1_4</v>
      </c>
      <c r="E30" s="5" t="str">
        <f ca="1">VLOOKUP($B30,OFFSET([1]quests!$A$1,0,0,COUNTA([1]quests!$A:$A),MATCH(E$1,[1]quests!$1:$1,0)-MATCH($B$1,[1]quests!$1:$1,0)+1),MATCH(E$1,[1]quests!$1:$1,0)-MATCH($B$1,[1]quests!$1:$1,0)+1,FALSE)</f>
        <v>1．ALICEの入り口</v>
      </c>
      <c r="F30" s="5" t="str">
        <f ca="1">VLOOKUP($D30,OFFSET([1]stages!$A$1,0,0,COUNTA([1]stages!$A:$A),MATCH(F$1,[1]stages!$2:$2,0)-MATCH($D$1,[1]stages!$2:$2,0)+1),MATCH(F$1,[1]stages!$2:$2,0)-MATCH($D$1,[1]stages!$2:$2,0)+1,FALSE)</f>
        <v>1-4. 【1回のみ】ボーナスステージ</v>
      </c>
      <c r="G30" s="32">
        <v>2</v>
      </c>
      <c r="H30" s="21" t="str">
        <f t="shared" si="2"/>
        <v>1_4-2</v>
      </c>
      <c r="I30" s="31">
        <v>340</v>
      </c>
      <c r="J30" s="27" t="str">
        <f ca="1">VLOOKUP($I30,OFFSET([2]enemies!$A$1,0,0,COUNTA([2]enemies!$A:$A),MATCH(J$1,[2]enemies!$1:$1,0)-MATCH($I$1,[2]enemies!$1:$1,0)+1),MATCH(J$1,[2]enemies!$1:$1,0)-MATCH($I$1,[2]enemies!$1:$1,0)+1,FALSE)</f>
        <v>水のメタルピヨピヨ</v>
      </c>
      <c r="K30" s="27" t="str">
        <f ca="1">VLOOKUP($I30,OFFSET([2]enemies!$A$1,0,0,COUNTA([2]enemies!$A:$A),MATCH(K$1,[2]enemies!$1:$1,0)-MATCH($I$1,[2]enemies!$1:$1,0)+1),MATCH(K$1,[2]enemies!$1:$1,0)-MATCH($I$1,[2]enemies!$1:$1,0)+1,FALSE)</f>
        <v>blue</v>
      </c>
      <c r="L30" s="27" t="str">
        <f ca="1">VLOOKUP($I30,OFFSET([3]characters!$A$1,0,0,COUNTA([3]characters!$A:$A),MATCH(L$1,[3]characters!$1:$1,0)-MATCH($I$1,[3]characters!$1:$1,0)+1),MATCH(L$1,[3]characters!$1:$1,0)-MATCH($I$1,[3]characters!$1:$1,0)+1,FALSE)</f>
        <v>Material</v>
      </c>
      <c r="M30" s="27" t="str">
        <f ca="1">VLOOKUP($I30,OFFSET([2]enemies!$A$1,0,0,COUNTA([2]enemies!$A:$A),MATCH(M$1,[2]enemies!$1:$1,0)-MATCH($I$1,[2]enemies!$1:$1,0)+1),MATCH(M$1,[2]enemies!$1:$1,0)-MATCH($I$1,[2]enemies!$1:$1,0)+1,FALSE)</f>
        <v>unknown</v>
      </c>
      <c r="N30" s="27">
        <f ca="1">VLOOKUP($I30,OFFSET([2]enemies!$A$1,0,0,COUNTA([2]enemies!$A:$A),MATCH(N$1,[2]enemies!$1:$1,0)-MATCH($I$1,[2]enemies!$1:$1,0)+1),MATCH(N$1,[2]enemies!$1:$1,0)-MATCH($I$1,[2]enemies!$1:$1,0)+1,FALSE)</f>
        <v>15</v>
      </c>
      <c r="O30" s="6">
        <v>1</v>
      </c>
      <c r="P30" s="38">
        <v>1</v>
      </c>
      <c r="Q30" s="38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5">
        <v>0</v>
      </c>
      <c r="U30" s="7">
        <v>0</v>
      </c>
      <c r="V30" s="7">
        <v>100</v>
      </c>
      <c r="W30" s="7">
        <v>0</v>
      </c>
      <c r="X30" s="27">
        <v>1</v>
      </c>
      <c r="Y30" s="31">
        <v>340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/>
      </c>
      <c r="AA30" s="5" t="str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/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/>
      </c>
      <c r="AC30" s="10">
        <v>1</v>
      </c>
      <c r="AD30" s="8">
        <v>3</v>
      </c>
      <c r="AE30" s="9">
        <v>100</v>
      </c>
      <c r="AF30" s="10">
        <v>0</v>
      </c>
      <c r="AG30" s="10">
        <v>0</v>
      </c>
      <c r="AH30" s="10">
        <v>0</v>
      </c>
      <c r="AI30" s="10">
        <v>0</v>
      </c>
      <c r="AJ30" s="10">
        <v>1</v>
      </c>
    </row>
    <row r="31" spans="1:36" ht="21" customHeight="1" x14ac:dyDescent="0.15">
      <c r="A31" s="22" t="str">
        <f t="shared" si="1"/>
        <v>1_4-3/333&lt;lv1&gt;</v>
      </c>
      <c r="B31" s="34">
        <v>1</v>
      </c>
      <c r="C31" s="32">
        <v>4</v>
      </c>
      <c r="D31" s="2" t="str">
        <f t="shared" si="0"/>
        <v>1_4</v>
      </c>
      <c r="E31" s="5" t="str">
        <f ca="1">VLOOKUP($B31,OFFSET([1]quests!$A$1,0,0,COUNTA([1]quests!$A:$A),MATCH(E$1,[1]quests!$1:$1,0)-MATCH($B$1,[1]quests!$1:$1,0)+1),MATCH(E$1,[1]quests!$1:$1,0)-MATCH($B$1,[1]quests!$1:$1,0)+1,FALSE)</f>
        <v>1．ALICEの入り口</v>
      </c>
      <c r="F31" s="5" t="str">
        <f ca="1">VLOOKUP($D31,OFFSET([1]stages!$A$1,0,0,COUNTA([1]stages!$A:$A),MATCH(F$1,[1]stages!$2:$2,0)-MATCH($D$1,[1]stages!$2:$2,0)+1),MATCH(F$1,[1]stages!$2:$2,0)-MATCH($D$1,[1]stages!$2:$2,0)+1,FALSE)</f>
        <v>1-4. 【1回のみ】ボーナスステージ</v>
      </c>
      <c r="G31" s="32">
        <v>3</v>
      </c>
      <c r="H31" s="21" t="str">
        <f t="shared" si="2"/>
        <v>1_4-3</v>
      </c>
      <c r="I31" s="31">
        <v>333</v>
      </c>
      <c r="J31" s="27" t="str">
        <f ca="1">VLOOKUP($I31,OFFSET([2]enemies!$A$1,0,0,COUNTA([2]enemies!$A:$A),MATCH(J$1,[2]enemies!$1:$1,0)-MATCH($I$1,[2]enemies!$1:$1,0)+1),MATCH(J$1,[2]enemies!$1:$1,0)-MATCH($I$1,[2]enemies!$1:$1,0)+1,FALSE)</f>
        <v>炎のメタルチック</v>
      </c>
      <c r="K31" s="27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7" t="str">
        <f ca="1">VLOOKUP($I31,OFFSET([3]characters!$A$1,0,0,COUNTA([3]characters!$A:$A),MATCH(L$1,[3]characters!$1:$1,0)-MATCH($I$1,[3]characters!$1:$1,0)+1),MATCH(L$1,[3]characters!$1:$1,0)-MATCH($I$1,[3]characters!$1:$1,0)+1,FALSE)</f>
        <v>Material</v>
      </c>
      <c r="M31" s="27" t="str">
        <f ca="1">VLOOKUP($I31,OFFSET([2]enemies!$A$1,0,0,COUNTA([2]enemies!$A:$A),MATCH(M$1,[2]enemies!$1:$1,0)-MATCH($I$1,[2]enemies!$1:$1,0)+1),MATCH(M$1,[2]enemies!$1:$1,0)-MATCH($I$1,[2]enemies!$1:$1,0)+1,FALSE)</f>
        <v>unknown</v>
      </c>
      <c r="N31" s="27">
        <f ca="1">VLOOKUP($I31,OFFSET([2]enemies!$A$1,0,0,COUNTA([2]enemies!$A:$A),MATCH(N$1,[2]enemies!$1:$1,0)-MATCH($I$1,[2]enemies!$1:$1,0)+1),MATCH(N$1,[2]enemies!$1:$1,0)-MATCH($I$1,[2]enemies!$1:$1,0)+1,FALSE)</f>
        <v>15</v>
      </c>
      <c r="O31" s="6">
        <v>1</v>
      </c>
      <c r="P31" s="38">
        <v>1</v>
      </c>
      <c r="Q31" s="38">
        <v>1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5">
        <v>0</v>
      </c>
      <c r="U31" s="7">
        <v>1</v>
      </c>
      <c r="V31" s="7">
        <v>100</v>
      </c>
      <c r="W31" s="7">
        <v>0</v>
      </c>
      <c r="X31" s="27">
        <v>2</v>
      </c>
      <c r="Y31" s="31">
        <v>333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/>
      </c>
      <c r="AA31" s="5" t="str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/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/>
      </c>
      <c r="AC31" s="10">
        <v>1</v>
      </c>
      <c r="AD31" s="8">
        <v>4</v>
      </c>
      <c r="AE31" s="9">
        <v>100</v>
      </c>
      <c r="AF31" s="10">
        <v>0</v>
      </c>
      <c r="AG31" s="10">
        <v>0</v>
      </c>
      <c r="AH31" s="10">
        <v>0</v>
      </c>
      <c r="AI31" s="10">
        <v>0</v>
      </c>
      <c r="AJ31" s="10">
        <v>1</v>
      </c>
    </row>
    <row r="32" spans="1:36" ht="21" customHeight="1" x14ac:dyDescent="0.15">
      <c r="A32" s="22" t="str">
        <f t="shared" si="1"/>
        <v>1_4-3/337&lt;lv1&gt;</v>
      </c>
      <c r="B32" s="34">
        <v>1</v>
      </c>
      <c r="C32" s="32">
        <v>4</v>
      </c>
      <c r="D32" s="2" t="str">
        <f t="shared" si="0"/>
        <v>1_4</v>
      </c>
      <c r="E32" s="5" t="str">
        <f ca="1">VLOOKUP($B32,OFFSET([1]quests!$A$1,0,0,COUNTA([1]quests!$A:$A),MATCH(E$1,[1]quests!$1:$1,0)-MATCH($B$1,[1]quests!$1:$1,0)+1),MATCH(E$1,[1]quests!$1:$1,0)-MATCH($B$1,[1]quests!$1:$1,0)+1,FALSE)</f>
        <v>1．ALICEの入り口</v>
      </c>
      <c r="F32" s="5" t="str">
        <f ca="1">VLOOKUP($D32,OFFSET([1]stages!$A$1,0,0,COUNTA([1]stages!$A:$A),MATCH(F$1,[1]stages!$2:$2,0)-MATCH($D$1,[1]stages!$2:$2,0)+1),MATCH(F$1,[1]stages!$2:$2,0)-MATCH($D$1,[1]stages!$2:$2,0)+1,FALSE)</f>
        <v>1-4. 【1回のみ】ボーナスステージ</v>
      </c>
      <c r="G32" s="32">
        <v>3</v>
      </c>
      <c r="H32" s="21" t="str">
        <f t="shared" si="2"/>
        <v>1_4-3</v>
      </c>
      <c r="I32" s="31">
        <v>337</v>
      </c>
      <c r="J32" s="27" t="str">
        <f ca="1">VLOOKUP($I32,OFFSET([2]enemies!$A$1,0,0,COUNTA([2]enemies!$A:$A),MATCH(J$1,[2]enemies!$1:$1,0)-MATCH($I$1,[2]enemies!$1:$1,0)+1),MATCH(J$1,[2]enemies!$1:$1,0)-MATCH($I$1,[2]enemies!$1:$1,0)+1,FALSE)</f>
        <v>森のメタルチック</v>
      </c>
      <c r="K32" s="27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7" t="str">
        <f ca="1">VLOOKUP($I32,OFFSET([3]characters!$A$1,0,0,COUNTA([3]characters!$A:$A),MATCH(L$1,[3]characters!$1:$1,0)-MATCH($I$1,[3]characters!$1:$1,0)+1),MATCH(L$1,[3]characters!$1:$1,0)-MATCH($I$1,[3]characters!$1:$1,0)+1,FALSE)</f>
        <v>Material</v>
      </c>
      <c r="M32" s="27" t="str">
        <f ca="1">VLOOKUP($I32,OFFSET([2]enemies!$A$1,0,0,COUNTA([2]enemies!$A:$A),MATCH(M$1,[2]enemies!$1:$1,0)-MATCH($I$1,[2]enemies!$1:$1,0)+1),MATCH(M$1,[2]enemies!$1:$1,0)-MATCH($I$1,[2]enemies!$1:$1,0)+1,FALSE)</f>
        <v>unknown</v>
      </c>
      <c r="N32" s="27">
        <f ca="1">VLOOKUP($I32,OFFSET([2]enemies!$A$1,0,0,COUNTA([2]enemies!$A:$A),MATCH(N$1,[2]enemies!$1:$1,0)-MATCH($I$1,[2]enemies!$1:$1,0)+1),MATCH(N$1,[2]enemies!$1:$1,0)-MATCH($I$1,[2]enemies!$1:$1,0)+1,FALSE)</f>
        <v>15</v>
      </c>
      <c r="O32" s="6">
        <v>1</v>
      </c>
      <c r="P32" s="38">
        <v>1</v>
      </c>
      <c r="Q32" s="38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5">
        <v>0</v>
      </c>
      <c r="U32" s="7">
        <v>1</v>
      </c>
      <c r="V32" s="7">
        <v>100</v>
      </c>
      <c r="W32" s="7">
        <v>0</v>
      </c>
      <c r="X32" s="27">
        <v>2</v>
      </c>
      <c r="Y32" s="31">
        <v>337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/>
      </c>
      <c r="AA32" s="5" t="str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/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/>
      </c>
      <c r="AC32" s="10">
        <v>1</v>
      </c>
      <c r="AD32" s="8">
        <v>4</v>
      </c>
      <c r="AE32" s="9">
        <v>100</v>
      </c>
      <c r="AF32" s="10">
        <v>0</v>
      </c>
      <c r="AG32" s="10">
        <v>0</v>
      </c>
      <c r="AH32" s="10">
        <v>0</v>
      </c>
      <c r="AI32" s="10">
        <v>0</v>
      </c>
      <c r="AJ32" s="10">
        <v>1</v>
      </c>
    </row>
    <row r="33" spans="1:36" ht="21" customHeight="1" x14ac:dyDescent="0.15">
      <c r="A33" s="22" t="str">
        <f t="shared" si="1"/>
        <v>1_4-3/345&lt;lv1&gt;</v>
      </c>
      <c r="B33" s="34">
        <v>1</v>
      </c>
      <c r="C33" s="32">
        <v>4</v>
      </c>
      <c r="D33" s="2" t="str">
        <f t="shared" si="0"/>
        <v>1_4</v>
      </c>
      <c r="E33" s="5" t="str">
        <f ca="1">VLOOKUP($B33,OFFSET([1]quests!$A$1,0,0,COUNTA([1]quests!$A:$A),MATCH(E$1,[1]quests!$1:$1,0)-MATCH($B$1,[1]quests!$1:$1,0)+1),MATCH(E$1,[1]quests!$1:$1,0)-MATCH($B$1,[1]quests!$1:$1,0)+1,FALSE)</f>
        <v>1．ALICEの入り口</v>
      </c>
      <c r="F33" s="5" t="str">
        <f ca="1">VLOOKUP($D33,OFFSET([1]stages!$A$1,0,0,COUNTA([1]stages!$A:$A),MATCH(F$1,[1]stages!$2:$2,0)-MATCH($D$1,[1]stages!$2:$2,0)+1),MATCH(F$1,[1]stages!$2:$2,0)-MATCH($D$1,[1]stages!$2:$2,0)+1,FALSE)</f>
        <v>1-4. 【1回のみ】ボーナスステージ</v>
      </c>
      <c r="G33" s="32">
        <v>3</v>
      </c>
      <c r="H33" s="21" t="str">
        <f t="shared" si="2"/>
        <v>1_4-3</v>
      </c>
      <c r="I33" s="31">
        <v>345</v>
      </c>
      <c r="J33" s="27" t="str">
        <f ca="1">VLOOKUP($I33,OFFSET([2]enemies!$A$1,0,0,COUNTA([2]enemies!$A:$A),MATCH(J$1,[2]enemies!$1:$1,0)-MATCH($I$1,[2]enemies!$1:$1,0)+1),MATCH(J$1,[2]enemies!$1:$1,0)-MATCH($I$1,[2]enemies!$1:$1,0)+1,FALSE)</f>
        <v>雷のメタルチック</v>
      </c>
      <c r="K33" s="27" t="str">
        <f ca="1">VLOOKUP($I33,OFFSET([2]enemies!$A$1,0,0,COUNTA([2]enemies!$A:$A),MATCH(K$1,[2]enemies!$1:$1,0)-MATCH($I$1,[2]enemies!$1:$1,0)+1),MATCH(K$1,[2]enemies!$1:$1,0)-MATCH($I$1,[2]enemies!$1:$1,0)+1,FALSE)</f>
        <v>yellow</v>
      </c>
      <c r="L33" s="27" t="str">
        <f ca="1">VLOOKUP($I33,OFFSET([3]characters!$A$1,0,0,COUNTA([3]characters!$A:$A),MATCH(L$1,[3]characters!$1:$1,0)-MATCH($I$1,[3]characters!$1:$1,0)+1),MATCH(L$1,[3]characters!$1:$1,0)-MATCH($I$1,[3]characters!$1:$1,0)+1,FALSE)</f>
        <v>Material</v>
      </c>
      <c r="M33" s="27" t="str">
        <f ca="1">VLOOKUP($I33,OFFSET([2]enemies!$A$1,0,0,COUNTA([2]enemies!$A:$A),MATCH(M$1,[2]enemies!$1:$1,0)-MATCH($I$1,[2]enemies!$1:$1,0)+1),MATCH(M$1,[2]enemies!$1:$1,0)-MATCH($I$1,[2]enemies!$1:$1,0)+1,FALSE)</f>
        <v>unknown</v>
      </c>
      <c r="N33" s="27">
        <f ca="1">VLOOKUP($I33,OFFSET([2]enemies!$A$1,0,0,COUNTA([2]enemies!$A:$A),MATCH(N$1,[2]enemies!$1:$1,0)-MATCH($I$1,[2]enemies!$1:$1,0)+1),MATCH(N$1,[2]enemies!$1:$1,0)-MATCH($I$1,[2]enemies!$1:$1,0)+1,FALSE)</f>
        <v>15</v>
      </c>
      <c r="O33" s="6">
        <v>1</v>
      </c>
      <c r="P33" s="38">
        <v>1</v>
      </c>
      <c r="Q33" s="38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v>0</v>
      </c>
      <c r="U33" s="7">
        <v>1</v>
      </c>
      <c r="V33" s="7">
        <v>100</v>
      </c>
      <c r="W33" s="7">
        <v>0</v>
      </c>
      <c r="X33" s="27">
        <v>2</v>
      </c>
      <c r="Y33" s="31">
        <v>345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/>
      </c>
      <c r="AA33" s="5" t="str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/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/>
      </c>
      <c r="AC33" s="10">
        <v>1</v>
      </c>
      <c r="AD33" s="8">
        <v>4</v>
      </c>
      <c r="AE33" s="9">
        <v>100</v>
      </c>
      <c r="AF33" s="10">
        <v>0</v>
      </c>
      <c r="AG33" s="10">
        <v>0</v>
      </c>
      <c r="AH33" s="10">
        <v>0</v>
      </c>
      <c r="AI33" s="10">
        <v>0</v>
      </c>
      <c r="AJ33" s="10">
        <v>1</v>
      </c>
    </row>
    <row r="34" spans="1:36" ht="21" customHeight="1" x14ac:dyDescent="0.15">
      <c r="A34" s="22" t="str">
        <f t="shared" si="1"/>
        <v>1_4-3/341&lt;lv1&gt;</v>
      </c>
      <c r="B34" s="34">
        <v>1</v>
      </c>
      <c r="C34" s="32">
        <v>4</v>
      </c>
      <c r="D34" s="2" t="str">
        <f t="shared" si="0"/>
        <v>1_4</v>
      </c>
      <c r="E34" s="5" t="str">
        <f ca="1">VLOOKUP($B34,OFFSET([1]quests!$A$1,0,0,COUNTA([1]quests!$A:$A),MATCH(E$1,[1]quests!$1:$1,0)-MATCH($B$1,[1]quests!$1:$1,0)+1),MATCH(E$1,[1]quests!$1:$1,0)-MATCH($B$1,[1]quests!$1:$1,0)+1,FALSE)</f>
        <v>1．ALICEの入り口</v>
      </c>
      <c r="F34" s="5" t="str">
        <f ca="1">VLOOKUP($D34,OFFSET([1]stages!$A$1,0,0,COUNTA([1]stages!$A:$A),MATCH(F$1,[1]stages!$2:$2,0)-MATCH($D$1,[1]stages!$2:$2,0)+1),MATCH(F$1,[1]stages!$2:$2,0)-MATCH($D$1,[1]stages!$2:$2,0)+1,FALSE)</f>
        <v>1-4. 【1回のみ】ボーナスステージ</v>
      </c>
      <c r="G34" s="32">
        <v>3</v>
      </c>
      <c r="H34" s="21" t="str">
        <f t="shared" si="2"/>
        <v>1_4-3</v>
      </c>
      <c r="I34" s="31">
        <v>341</v>
      </c>
      <c r="J34" s="27" t="str">
        <f ca="1">VLOOKUP($I34,OFFSET([2]enemies!$A$1,0,0,COUNTA([2]enemies!$A:$A),MATCH(J$1,[2]enemies!$1:$1,0)-MATCH($I$1,[2]enemies!$1:$1,0)+1),MATCH(J$1,[2]enemies!$1:$1,0)-MATCH($I$1,[2]enemies!$1:$1,0)+1,FALSE)</f>
        <v>水のメタルチック</v>
      </c>
      <c r="K34" s="27" t="str">
        <f ca="1">VLOOKUP($I34,OFFSET([2]enemies!$A$1,0,0,COUNTA([2]enemies!$A:$A),MATCH(K$1,[2]enemies!$1:$1,0)-MATCH($I$1,[2]enemies!$1:$1,0)+1),MATCH(K$1,[2]enemies!$1:$1,0)-MATCH($I$1,[2]enemies!$1:$1,0)+1,FALSE)</f>
        <v>blue</v>
      </c>
      <c r="L34" s="27" t="str">
        <f ca="1">VLOOKUP($I34,OFFSET([3]characters!$A$1,0,0,COUNTA([3]characters!$A:$A),MATCH(L$1,[3]characters!$1:$1,0)-MATCH($I$1,[3]characters!$1:$1,0)+1),MATCH(L$1,[3]characters!$1:$1,0)-MATCH($I$1,[3]characters!$1:$1,0)+1,FALSE)</f>
        <v>Material</v>
      </c>
      <c r="M34" s="27" t="str">
        <f ca="1">VLOOKUP($I34,OFFSET([2]enemies!$A$1,0,0,COUNTA([2]enemies!$A:$A),MATCH(M$1,[2]enemies!$1:$1,0)-MATCH($I$1,[2]enemies!$1:$1,0)+1),MATCH(M$1,[2]enemies!$1:$1,0)-MATCH($I$1,[2]enemies!$1:$1,0)+1,FALSE)</f>
        <v>unknown</v>
      </c>
      <c r="N34" s="27">
        <f ca="1">VLOOKUP($I34,OFFSET([2]enemies!$A$1,0,0,COUNTA([2]enemies!$A:$A),MATCH(N$1,[2]enemies!$1:$1,0)-MATCH($I$1,[2]enemies!$1:$1,0)+1),MATCH(N$1,[2]enemies!$1:$1,0)-MATCH($I$1,[2]enemies!$1:$1,0)+1,FALSE)</f>
        <v>15</v>
      </c>
      <c r="O34" s="6">
        <v>1</v>
      </c>
      <c r="P34" s="38">
        <v>1</v>
      </c>
      <c r="Q34" s="38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5">
        <v>0</v>
      </c>
      <c r="U34" s="7">
        <v>1</v>
      </c>
      <c r="V34" s="7">
        <v>100</v>
      </c>
      <c r="W34" s="7">
        <v>0</v>
      </c>
      <c r="X34" s="27">
        <v>2</v>
      </c>
      <c r="Y34" s="31">
        <v>341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/>
      </c>
      <c r="AA34" s="5" t="str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/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/>
      </c>
      <c r="AC34" s="10">
        <v>1</v>
      </c>
      <c r="AD34" s="8">
        <v>4</v>
      </c>
      <c r="AE34" s="9">
        <v>100</v>
      </c>
      <c r="AF34" s="10">
        <v>0</v>
      </c>
      <c r="AG34" s="10">
        <v>0</v>
      </c>
      <c r="AH34" s="10">
        <v>0</v>
      </c>
      <c r="AI34" s="10">
        <v>0</v>
      </c>
      <c r="AJ34" s="10">
        <v>1</v>
      </c>
    </row>
  </sheetData>
  <sheetProtection selectLockedCells="1" selectUnlockedCells="1"/>
  <autoFilter ref="B1:AE34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baseColWidth="12" defaultColWidth="13" defaultRowHeight="15" x14ac:dyDescent="0.15"/>
  <cols>
    <col min="1" max="1" width="10.1640625" style="24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7" customFormat="1" x14ac:dyDescent="0.15">
      <c r="A1" s="17">
        <f ca="1">MATCH(A2,INDIRECT(C1&amp;"!A:A"),0)-2</f>
        <v>-1</v>
      </c>
      <c r="B1" s="18" t="str">
        <f ca="1">"$"&amp;2+$A$1&amp;":$"&amp;2+$A$1</f>
        <v>$1:$1</v>
      </c>
      <c r="C1" s="17" t="str">
        <f ca="1">SUBSTITUTE(RIGHT(CELL("filename",$C$1),LEN(CELL("filename",$C$1))-FIND("]",CELL("filename",$C$1))),".tmp","")</f>
        <v>floors_DL0</v>
      </c>
    </row>
    <row r="2" spans="1:6" s="19" customFormat="1" x14ac:dyDescent="0.15">
      <c r="A2" s="24" t="s">
        <v>32</v>
      </c>
      <c r="B2" s="19" t="s">
        <v>0</v>
      </c>
      <c r="C2" s="19" t="s">
        <v>1</v>
      </c>
      <c r="D2" s="19" t="s">
        <v>13</v>
      </c>
      <c r="E2" s="19" t="s">
        <v>14</v>
      </c>
      <c r="F2" s="19" t="s">
        <v>15</v>
      </c>
    </row>
    <row r="3" spans="1:6" x14ac:dyDescent="0.15">
      <c r="A3" s="25" t="str">
        <f t="shared" ref="A3:A14" ca="1" si="0">INDIRECT(ADDRESS(ROW()+$A$1,COLUMN(),1,TRUE,$C$1))</f>
        <v>1_1-1</v>
      </c>
      <c r="B3" s="20">
        <f t="shared" ref="B3:F14" ca="1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20">
        <f t="shared" ca="1" si="1"/>
        <v>1</v>
      </c>
      <c r="D3" s="20">
        <f t="shared" ca="1" si="1"/>
        <v>1</v>
      </c>
      <c r="E3" s="20">
        <f t="shared" ca="1" si="1"/>
        <v>15</v>
      </c>
      <c r="F3" s="20">
        <f t="shared" ca="1" si="1"/>
        <v>15</v>
      </c>
    </row>
    <row r="4" spans="1:6" x14ac:dyDescent="0.15">
      <c r="A4" s="25" t="str">
        <f t="shared" ca="1" si="0"/>
        <v>1_1-2</v>
      </c>
      <c r="B4" s="20">
        <f t="shared" ca="1" si="1"/>
        <v>1</v>
      </c>
      <c r="C4" s="20">
        <f t="shared" ca="1" si="1"/>
        <v>1</v>
      </c>
      <c r="D4" s="20">
        <f t="shared" ca="1" si="1"/>
        <v>2</v>
      </c>
      <c r="E4" s="20">
        <f t="shared" ca="1" si="1"/>
        <v>45</v>
      </c>
      <c r="F4" s="20">
        <f t="shared" ca="1" si="1"/>
        <v>45</v>
      </c>
    </row>
    <row r="5" spans="1:6" x14ac:dyDescent="0.15">
      <c r="A5" s="25" t="str">
        <f t="shared" ca="1" si="0"/>
        <v>1_1-3</v>
      </c>
      <c r="B5" s="20">
        <f t="shared" ca="1" si="1"/>
        <v>1</v>
      </c>
      <c r="C5" s="20">
        <f t="shared" ca="1" si="1"/>
        <v>1</v>
      </c>
      <c r="D5" s="20">
        <f t="shared" ca="1" si="1"/>
        <v>3</v>
      </c>
      <c r="E5" s="20">
        <f t="shared" ca="1" si="1"/>
        <v>15</v>
      </c>
      <c r="F5" s="20">
        <f t="shared" ca="1" si="1"/>
        <v>15</v>
      </c>
    </row>
    <row r="6" spans="1:6" x14ac:dyDescent="0.15">
      <c r="A6" s="25" t="str">
        <f t="shared" ca="1" si="0"/>
        <v>1_2-1</v>
      </c>
      <c r="B6" s="20">
        <f t="shared" ca="1" si="1"/>
        <v>1</v>
      </c>
      <c r="C6" s="20">
        <f t="shared" ca="1" si="1"/>
        <v>2</v>
      </c>
      <c r="D6" s="20">
        <f t="shared" ca="1" si="1"/>
        <v>1</v>
      </c>
      <c r="E6" s="20">
        <f t="shared" ca="1" si="1"/>
        <v>15</v>
      </c>
      <c r="F6" s="20">
        <f t="shared" ca="1" si="1"/>
        <v>15</v>
      </c>
    </row>
    <row r="7" spans="1:6" x14ac:dyDescent="0.15">
      <c r="A7" s="25" t="str">
        <f t="shared" ca="1" si="0"/>
        <v>1_2-2</v>
      </c>
      <c r="B7" s="20">
        <f t="shared" ca="1" si="1"/>
        <v>1</v>
      </c>
      <c r="C7" s="20">
        <f t="shared" ca="1" si="1"/>
        <v>2</v>
      </c>
      <c r="D7" s="20">
        <f t="shared" ca="1" si="1"/>
        <v>2</v>
      </c>
      <c r="E7" s="20">
        <f t="shared" ca="1" si="1"/>
        <v>45</v>
      </c>
      <c r="F7" s="20">
        <f t="shared" ca="1" si="1"/>
        <v>45</v>
      </c>
    </row>
    <row r="8" spans="1:6" x14ac:dyDescent="0.15">
      <c r="A8" s="25" t="str">
        <f t="shared" ca="1" si="0"/>
        <v>1_2-3</v>
      </c>
      <c r="B8" s="20">
        <f t="shared" ca="1" si="1"/>
        <v>1</v>
      </c>
      <c r="C8" s="20">
        <f t="shared" ca="1" si="1"/>
        <v>2</v>
      </c>
      <c r="D8" s="20">
        <f t="shared" ca="1" si="1"/>
        <v>3</v>
      </c>
      <c r="E8" s="20">
        <f t="shared" ca="1" si="1"/>
        <v>30</v>
      </c>
      <c r="F8" s="20">
        <f t="shared" ca="1" si="1"/>
        <v>30</v>
      </c>
    </row>
    <row r="9" spans="1:6" x14ac:dyDescent="0.15">
      <c r="A9" s="25" t="str">
        <f t="shared" ca="1" si="0"/>
        <v>1_3-1</v>
      </c>
      <c r="B9" s="20">
        <f t="shared" ca="1" si="1"/>
        <v>1</v>
      </c>
      <c r="C9" s="20">
        <f t="shared" ca="1" si="1"/>
        <v>3</v>
      </c>
      <c r="D9" s="20">
        <f t="shared" ca="1" si="1"/>
        <v>1</v>
      </c>
      <c r="E9" s="20">
        <f t="shared" ca="1" si="1"/>
        <v>45</v>
      </c>
      <c r="F9" s="20">
        <f t="shared" ca="1" si="1"/>
        <v>45</v>
      </c>
    </row>
    <row r="10" spans="1:6" x14ac:dyDescent="0.15">
      <c r="A10" s="25" t="str">
        <f t="shared" ca="1" si="0"/>
        <v>1_3-2</v>
      </c>
      <c r="B10" s="20">
        <f t="shared" ca="1" si="1"/>
        <v>1</v>
      </c>
      <c r="C10" s="20">
        <f t="shared" ca="1" si="1"/>
        <v>3</v>
      </c>
      <c r="D10" s="20">
        <f t="shared" ca="1" si="1"/>
        <v>2</v>
      </c>
      <c r="E10" s="20">
        <f t="shared" ca="1" si="1"/>
        <v>45</v>
      </c>
      <c r="F10" s="20">
        <f t="shared" ca="1" si="1"/>
        <v>45</v>
      </c>
    </row>
    <row r="11" spans="1:6" x14ac:dyDescent="0.15">
      <c r="A11" s="25" t="str">
        <f t="shared" ca="1" si="0"/>
        <v>1_3-3</v>
      </c>
      <c r="B11" s="20">
        <f t="shared" ca="1" si="1"/>
        <v>1</v>
      </c>
      <c r="C11" s="20">
        <f t="shared" ca="1" si="1"/>
        <v>3</v>
      </c>
      <c r="D11" s="20">
        <f t="shared" ca="1" si="1"/>
        <v>3</v>
      </c>
      <c r="E11" s="20">
        <f t="shared" ca="1" si="1"/>
        <v>30</v>
      </c>
      <c r="F11" s="20">
        <f t="shared" ca="1" si="1"/>
        <v>30</v>
      </c>
    </row>
    <row r="12" spans="1:6" x14ac:dyDescent="0.15">
      <c r="A12" s="25" t="str">
        <f t="shared" ca="1" si="0"/>
        <v>1_4-1</v>
      </c>
      <c r="B12" s="20">
        <f t="shared" ca="1" si="1"/>
        <v>1</v>
      </c>
      <c r="C12" s="20">
        <f t="shared" ca="1" si="1"/>
        <v>4</v>
      </c>
      <c r="D12" s="20">
        <f t="shared" ca="1" si="1"/>
        <v>1</v>
      </c>
      <c r="E12" s="20">
        <f t="shared" ca="1" si="1"/>
        <v>45</v>
      </c>
      <c r="F12" s="20">
        <f t="shared" ca="1" si="1"/>
        <v>45</v>
      </c>
    </row>
    <row r="13" spans="1:6" x14ac:dyDescent="0.15">
      <c r="A13" s="25" t="str">
        <f t="shared" ca="1" si="0"/>
        <v>1_4-2</v>
      </c>
      <c r="B13" s="20">
        <f t="shared" ca="1" si="1"/>
        <v>1</v>
      </c>
      <c r="C13" s="20">
        <f t="shared" ca="1" si="1"/>
        <v>4</v>
      </c>
      <c r="D13" s="20">
        <f t="shared" ca="1" si="1"/>
        <v>2</v>
      </c>
      <c r="E13" s="20">
        <f t="shared" ca="1" si="1"/>
        <v>45</v>
      </c>
      <c r="F13" s="20">
        <f t="shared" ca="1" si="1"/>
        <v>45</v>
      </c>
    </row>
    <row r="14" spans="1:6" x14ac:dyDescent="0.15">
      <c r="A14" s="25" t="str">
        <f t="shared" ca="1" si="0"/>
        <v>1_4-3</v>
      </c>
      <c r="B14" s="20">
        <f t="shared" ca="1" si="1"/>
        <v>1</v>
      </c>
      <c r="C14" s="20">
        <f t="shared" ca="1" si="1"/>
        <v>4</v>
      </c>
      <c r="D14" s="20">
        <f t="shared" ca="1" si="1"/>
        <v>3</v>
      </c>
      <c r="E14" s="20">
        <f t="shared" ca="1" si="1"/>
        <v>60</v>
      </c>
      <c r="F14" s="20">
        <f t="shared" ca="1" si="1"/>
        <v>60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35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4" sqref="I14"/>
    </sheetView>
  </sheetViews>
  <sheetFormatPr baseColWidth="12" defaultColWidth="13" defaultRowHeight="15" x14ac:dyDescent="0.15"/>
  <cols>
    <col min="1" max="1" width="14.1640625" style="24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4" width="8" bestFit="1" customWidth="1"/>
    <col min="15" max="15" width="11" bestFit="1" customWidth="1"/>
    <col min="16" max="16" width="13.5" bestFit="1" customWidth="1"/>
    <col min="17" max="19" width="13" bestFit="1" customWidth="1"/>
  </cols>
  <sheetData>
    <row r="1" spans="1:23" s="17" customFormat="1" x14ac:dyDescent="0.15">
      <c r="A1" s="17">
        <f ca="1">MATCH(A2,INDIRECT(C1&amp;"!A:A"),0)-2</f>
        <v>-1</v>
      </c>
      <c r="B1" s="18" t="str">
        <f ca="1">"$"&amp;2+$A$1&amp;":$"&amp;2+$A$1</f>
        <v>$1:$1</v>
      </c>
      <c r="C1" s="17" t="str">
        <f ca="1">SUBSTITUTE(RIGHT(CELL("filename",$C$1),LEN(CELL("filename",$C$1))-FIND("]",CELL("filename",$C$1))),".tmp","")</f>
        <v>enemy_habitats_DL0</v>
      </c>
      <c r="G1" s="39"/>
      <c r="H1" s="39"/>
      <c r="I1" s="39"/>
    </row>
    <row r="2" spans="1:23" s="19" customFormat="1" x14ac:dyDescent="0.15">
      <c r="A2" s="24" t="s">
        <v>30</v>
      </c>
      <c r="B2" s="19" t="s">
        <v>39</v>
      </c>
      <c r="C2" s="19" t="s">
        <v>1</v>
      </c>
      <c r="D2" s="19" t="s">
        <v>13</v>
      </c>
      <c r="E2" s="19" t="s">
        <v>2</v>
      </c>
      <c r="F2" s="19" t="s">
        <v>3</v>
      </c>
      <c r="G2" s="19" t="s">
        <v>53</v>
      </c>
      <c r="H2" s="19" t="s">
        <v>54</v>
      </c>
      <c r="I2" s="19" t="s">
        <v>55</v>
      </c>
      <c r="J2" s="19" t="s">
        <v>22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  <c r="P2" s="19" t="s">
        <v>10</v>
      </c>
      <c r="Q2" s="19" t="s">
        <v>11</v>
      </c>
      <c r="R2" s="19" t="s">
        <v>12</v>
      </c>
      <c r="S2" s="19" t="s">
        <v>45</v>
      </c>
      <c r="T2" s="19" t="s">
        <v>46</v>
      </c>
      <c r="U2" s="19" t="s">
        <v>47</v>
      </c>
      <c r="V2" s="19" t="s">
        <v>48</v>
      </c>
      <c r="W2" s="19" t="s">
        <v>49</v>
      </c>
    </row>
    <row r="3" spans="1:23" x14ac:dyDescent="0.15">
      <c r="A3" s="25" t="str">
        <f ca="1">INDIRECT(ADDRESS(ROW()+$A$1,COLUMN(),1,TRUE,$C$1))</f>
        <v>1_1-1/3&lt;lv1&gt;</v>
      </c>
      <c r="B3" s="20">
        <f t="shared" ref="B3:P18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" s="20">
        <f t="shared" ref="C3:W18" ca="1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20">
        <f t="shared" ca="1" si="1"/>
        <v>1</v>
      </c>
      <c r="E3" s="20">
        <f t="shared" ca="1" si="1"/>
        <v>3</v>
      </c>
      <c r="F3" s="20">
        <f t="shared" ca="1" si="1"/>
        <v>1</v>
      </c>
      <c r="G3" s="20">
        <f t="shared" ca="1" si="1"/>
        <v>1</v>
      </c>
      <c r="H3" s="20">
        <f t="shared" ca="1" si="1"/>
        <v>1</v>
      </c>
      <c r="I3" s="20">
        <f t="shared" ca="1" si="1"/>
        <v>0</v>
      </c>
      <c r="J3" s="20">
        <v>560001</v>
      </c>
      <c r="K3" s="20">
        <f t="shared" ca="1" si="1"/>
        <v>1</v>
      </c>
      <c r="L3" s="20">
        <f t="shared" ca="1" si="1"/>
        <v>100</v>
      </c>
      <c r="M3" s="20">
        <v>1</v>
      </c>
      <c r="N3" s="20">
        <v>2</v>
      </c>
      <c r="O3" s="20">
        <f t="shared" ca="1" si="1"/>
        <v>3</v>
      </c>
      <c r="P3" s="20">
        <f t="shared" ca="1" si="1"/>
        <v>1</v>
      </c>
      <c r="Q3" s="20">
        <v>1</v>
      </c>
      <c r="R3" s="20">
        <f t="shared" ca="1" si="1"/>
        <v>80</v>
      </c>
      <c r="S3" s="20">
        <f t="shared" ca="1" si="1"/>
        <v>0</v>
      </c>
      <c r="T3" s="20">
        <f t="shared" ca="1" si="1"/>
        <v>0</v>
      </c>
      <c r="U3" s="20">
        <f t="shared" ca="1" si="1"/>
        <v>0</v>
      </c>
      <c r="V3" s="20">
        <f t="shared" ca="1" si="1"/>
        <v>0</v>
      </c>
      <c r="W3" s="20">
        <f t="shared" ca="1" si="1"/>
        <v>1</v>
      </c>
    </row>
    <row r="4" spans="1:23" x14ac:dyDescent="0.15">
      <c r="A4" s="25" t="str">
        <f ca="1">INDIRECT(ADDRESS(ROW()+$A$1,COLUMN(),1,TRUE,$C$1))</f>
        <v>1_1-2/1&lt;lv1&gt;</v>
      </c>
      <c r="B4" s="20">
        <f t="shared" ca="1" si="0"/>
        <v>1</v>
      </c>
      <c r="C4" s="20">
        <f t="shared" ref="C4:P4" ca="1" si="2">VLOOKUP($A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4" s="20">
        <f t="shared" ca="1" si="2"/>
        <v>2</v>
      </c>
      <c r="E4" s="20">
        <f t="shared" ca="1" si="2"/>
        <v>1</v>
      </c>
      <c r="F4" s="20">
        <f t="shared" ca="1" si="2"/>
        <v>1</v>
      </c>
      <c r="G4" s="20">
        <f t="shared" ca="1" si="1"/>
        <v>1</v>
      </c>
      <c r="H4" s="20">
        <f t="shared" ca="1" si="1"/>
        <v>1</v>
      </c>
      <c r="I4" s="20">
        <f t="shared" ca="1" si="1"/>
        <v>0</v>
      </c>
      <c r="J4" s="20">
        <v>0</v>
      </c>
      <c r="K4" s="20">
        <f t="shared" ca="1" si="2"/>
        <v>1</v>
      </c>
      <c r="L4" s="20">
        <f t="shared" ca="1" si="2"/>
        <v>100</v>
      </c>
      <c r="M4" s="20">
        <f t="shared" ca="1" si="2"/>
        <v>0</v>
      </c>
      <c r="N4" s="20">
        <v>2</v>
      </c>
      <c r="O4" s="20">
        <f t="shared" ca="1" si="2"/>
        <v>1</v>
      </c>
      <c r="P4" s="20">
        <f t="shared" ca="1" si="2"/>
        <v>1</v>
      </c>
      <c r="Q4" s="20">
        <v>1</v>
      </c>
      <c r="R4" s="20">
        <f t="shared" ca="1" si="1"/>
        <v>30</v>
      </c>
      <c r="S4" s="20">
        <f t="shared" ca="1" si="1"/>
        <v>0</v>
      </c>
      <c r="T4" s="20">
        <f t="shared" ca="1" si="1"/>
        <v>0</v>
      </c>
      <c r="U4" s="20">
        <f t="shared" ca="1" si="1"/>
        <v>0</v>
      </c>
      <c r="V4" s="20">
        <f t="shared" ca="1" si="1"/>
        <v>0</v>
      </c>
      <c r="W4" s="20">
        <f t="shared" ca="1" si="1"/>
        <v>1</v>
      </c>
    </row>
    <row r="5" spans="1:23" x14ac:dyDescent="0.15">
      <c r="A5" s="25" t="str">
        <f t="shared" ref="A5:A35" ca="1" si="3">INDIRECT(ADDRESS(ROW()+$A$1,COLUMN(),1,TRUE,$C$1))</f>
        <v>1_1-2/5&lt;lv1&gt;</v>
      </c>
      <c r="B5" s="20">
        <f t="shared" ca="1" si="0"/>
        <v>1</v>
      </c>
      <c r="C5" s="20">
        <f t="shared" ref="C5:P5" ca="1" si="4">VLOOKUP($A5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5" s="20">
        <f t="shared" ca="1" si="4"/>
        <v>2</v>
      </c>
      <c r="E5" s="20">
        <f t="shared" ca="1" si="4"/>
        <v>5</v>
      </c>
      <c r="F5" s="20">
        <f t="shared" ca="1" si="4"/>
        <v>1</v>
      </c>
      <c r="G5" s="20">
        <f t="shared" ca="1" si="1"/>
        <v>1</v>
      </c>
      <c r="H5" s="20">
        <f t="shared" ca="1" si="1"/>
        <v>1</v>
      </c>
      <c r="I5" s="20">
        <f t="shared" ca="1" si="1"/>
        <v>0</v>
      </c>
      <c r="J5" s="20">
        <v>0</v>
      </c>
      <c r="K5" s="20">
        <f t="shared" ca="1" si="4"/>
        <v>1</v>
      </c>
      <c r="L5" s="20">
        <f t="shared" ca="1" si="4"/>
        <v>100</v>
      </c>
      <c r="M5" s="20">
        <f t="shared" ca="1" si="4"/>
        <v>0</v>
      </c>
      <c r="N5" s="20">
        <v>3</v>
      </c>
      <c r="O5" s="20">
        <f t="shared" ca="1" si="4"/>
        <v>5</v>
      </c>
      <c r="P5" s="20">
        <f t="shared" ca="1" si="4"/>
        <v>1</v>
      </c>
      <c r="Q5" s="20">
        <v>1</v>
      </c>
      <c r="R5" s="20">
        <f t="shared" ca="1" si="1"/>
        <v>30</v>
      </c>
      <c r="S5" s="20">
        <f t="shared" ca="1" si="1"/>
        <v>0</v>
      </c>
      <c r="T5" s="20">
        <f t="shared" ca="1" si="1"/>
        <v>0</v>
      </c>
      <c r="U5" s="20">
        <f t="shared" ca="1" si="1"/>
        <v>0</v>
      </c>
      <c r="V5" s="20">
        <f t="shared" ca="1" si="1"/>
        <v>0</v>
      </c>
      <c r="W5" s="20">
        <f t="shared" ca="1" si="1"/>
        <v>1</v>
      </c>
    </row>
    <row r="6" spans="1:23" x14ac:dyDescent="0.15">
      <c r="A6" s="25" t="str">
        <f t="shared" ca="1" si="3"/>
        <v>1_1-2/7&lt;lv1&gt;</v>
      </c>
      <c r="B6" s="20">
        <f t="shared" ca="1" si="0"/>
        <v>1</v>
      </c>
      <c r="C6" s="20">
        <f t="shared" ref="C6:P6" ca="1" si="5">VLOOKUP($A6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6" s="20">
        <f t="shared" ca="1" si="5"/>
        <v>2</v>
      </c>
      <c r="E6" s="20">
        <f t="shared" ca="1" si="5"/>
        <v>7</v>
      </c>
      <c r="F6" s="20">
        <f t="shared" ca="1" si="5"/>
        <v>1</v>
      </c>
      <c r="G6" s="20">
        <f t="shared" ca="1" si="1"/>
        <v>1</v>
      </c>
      <c r="H6" s="20">
        <f t="shared" ca="1" si="1"/>
        <v>1</v>
      </c>
      <c r="I6" s="20">
        <f t="shared" ca="1" si="1"/>
        <v>0</v>
      </c>
      <c r="J6" s="20">
        <v>0</v>
      </c>
      <c r="K6" s="20">
        <f t="shared" ca="1" si="5"/>
        <v>1</v>
      </c>
      <c r="L6" s="20">
        <f t="shared" ca="1" si="5"/>
        <v>100</v>
      </c>
      <c r="M6" s="20">
        <f t="shared" ca="1" si="5"/>
        <v>0</v>
      </c>
      <c r="N6" s="20">
        <v>2</v>
      </c>
      <c r="O6" s="20">
        <f t="shared" ca="1" si="5"/>
        <v>7</v>
      </c>
      <c r="P6" s="20">
        <f t="shared" ca="1" si="5"/>
        <v>1</v>
      </c>
      <c r="Q6" s="20">
        <v>1</v>
      </c>
      <c r="R6" s="20">
        <f t="shared" ca="1" si="1"/>
        <v>30</v>
      </c>
      <c r="S6" s="20">
        <f t="shared" ca="1" si="1"/>
        <v>0</v>
      </c>
      <c r="T6" s="20">
        <f t="shared" ca="1" si="1"/>
        <v>0</v>
      </c>
      <c r="U6" s="20">
        <f t="shared" ca="1" si="1"/>
        <v>0</v>
      </c>
      <c r="V6" s="20">
        <f t="shared" ca="1" si="1"/>
        <v>0</v>
      </c>
      <c r="W6" s="20">
        <f t="shared" ca="1" si="1"/>
        <v>1</v>
      </c>
    </row>
    <row r="7" spans="1:23" x14ac:dyDescent="0.15">
      <c r="A7" s="25" t="str">
        <f t="shared" ca="1" si="3"/>
        <v>1_1-3/2&lt;lv3&gt;</v>
      </c>
      <c r="B7" s="20">
        <f t="shared" ca="1" si="0"/>
        <v>1</v>
      </c>
      <c r="C7" s="20">
        <f t="shared" ref="C7:P7" ca="1" si="6">VLOOKUP($A7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7" s="20">
        <f t="shared" ca="1" si="6"/>
        <v>3</v>
      </c>
      <c r="E7" s="20">
        <f t="shared" ca="1" si="6"/>
        <v>2</v>
      </c>
      <c r="F7" s="20">
        <f t="shared" ca="1" si="6"/>
        <v>3</v>
      </c>
      <c r="G7" s="20">
        <f t="shared" ca="1" si="1"/>
        <v>1</v>
      </c>
      <c r="H7" s="20">
        <f t="shared" ca="1" si="1"/>
        <v>1</v>
      </c>
      <c r="I7" s="20">
        <f t="shared" ca="1" si="1"/>
        <v>0</v>
      </c>
      <c r="J7" s="20">
        <v>0</v>
      </c>
      <c r="K7" s="20">
        <f t="shared" ca="1" si="6"/>
        <v>1</v>
      </c>
      <c r="L7" s="20">
        <f t="shared" ca="1" si="6"/>
        <v>100</v>
      </c>
      <c r="M7" s="20">
        <f t="shared" ca="1" si="6"/>
        <v>1</v>
      </c>
      <c r="N7" s="20">
        <v>2</v>
      </c>
      <c r="O7" s="20">
        <f t="shared" ca="1" si="6"/>
        <v>1</v>
      </c>
      <c r="P7" s="20">
        <f t="shared" ca="1" si="6"/>
        <v>1</v>
      </c>
      <c r="Q7" s="20">
        <v>1</v>
      </c>
      <c r="R7" s="20">
        <f t="shared" ca="1" si="1"/>
        <v>0</v>
      </c>
      <c r="S7" s="20">
        <f t="shared" ca="1" si="1"/>
        <v>0</v>
      </c>
      <c r="T7" s="20">
        <f t="shared" ca="1" si="1"/>
        <v>0</v>
      </c>
      <c r="U7" s="20">
        <f t="shared" ca="1" si="1"/>
        <v>0</v>
      </c>
      <c r="V7" s="20">
        <f t="shared" ca="1" si="1"/>
        <v>0</v>
      </c>
      <c r="W7" s="20">
        <f t="shared" ca="1" si="1"/>
        <v>1</v>
      </c>
    </row>
    <row r="8" spans="1:23" x14ac:dyDescent="0.15">
      <c r="A8" s="25" t="str">
        <f t="shared" ca="1" si="3"/>
        <v>1_1-3/4&lt;lv3&gt;</v>
      </c>
      <c r="B8" s="20">
        <f t="shared" ca="1" si="0"/>
        <v>1</v>
      </c>
      <c r="C8" s="20">
        <f t="shared" ref="C8:P8" ca="1" si="7">VLOOKUP($A8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8" s="20">
        <f t="shared" ca="1" si="7"/>
        <v>3</v>
      </c>
      <c r="E8" s="20">
        <f t="shared" ca="1" si="7"/>
        <v>4</v>
      </c>
      <c r="F8" s="20">
        <f t="shared" ca="1" si="7"/>
        <v>3</v>
      </c>
      <c r="G8" s="20">
        <f t="shared" ca="1" si="1"/>
        <v>1</v>
      </c>
      <c r="H8" s="20">
        <f t="shared" ca="1" si="1"/>
        <v>1</v>
      </c>
      <c r="I8" s="20">
        <f t="shared" ca="1" si="1"/>
        <v>0</v>
      </c>
      <c r="J8" s="20">
        <v>0</v>
      </c>
      <c r="K8" s="20">
        <f t="shared" ca="1" si="7"/>
        <v>1</v>
      </c>
      <c r="L8" s="20">
        <f t="shared" ca="1" si="7"/>
        <v>100</v>
      </c>
      <c r="M8" s="20">
        <f t="shared" ca="1" si="7"/>
        <v>1</v>
      </c>
      <c r="N8" s="20">
        <v>2</v>
      </c>
      <c r="O8" s="20">
        <f t="shared" ca="1" si="7"/>
        <v>3</v>
      </c>
      <c r="P8" s="20">
        <f t="shared" ca="1" si="7"/>
        <v>1</v>
      </c>
      <c r="Q8" s="20">
        <v>1</v>
      </c>
      <c r="R8" s="20">
        <f t="shared" ca="1" si="1"/>
        <v>0</v>
      </c>
      <c r="S8" s="20">
        <f t="shared" ca="1" si="1"/>
        <v>0</v>
      </c>
      <c r="T8" s="20">
        <f t="shared" ca="1" si="1"/>
        <v>0</v>
      </c>
      <c r="U8" s="20">
        <f t="shared" ca="1" si="1"/>
        <v>0</v>
      </c>
      <c r="V8" s="20">
        <f t="shared" ca="1" si="1"/>
        <v>0</v>
      </c>
      <c r="W8" s="20">
        <f t="shared" ca="1" si="1"/>
        <v>1</v>
      </c>
    </row>
    <row r="9" spans="1:23" x14ac:dyDescent="0.15">
      <c r="A9" s="25" t="str">
        <f t="shared" ca="1" si="3"/>
        <v>1_2-1/3&lt;lv1&gt;</v>
      </c>
      <c r="B9" s="20">
        <f t="shared" ca="1" si="0"/>
        <v>1</v>
      </c>
      <c r="C9" s="20">
        <f t="shared" ref="C9:P9" ca="1" si="8">VLOOKUP($A9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9" s="20">
        <f t="shared" ca="1" si="8"/>
        <v>1</v>
      </c>
      <c r="E9" s="20">
        <f t="shared" ca="1" si="8"/>
        <v>3</v>
      </c>
      <c r="F9" s="20">
        <f t="shared" ca="1" si="8"/>
        <v>1</v>
      </c>
      <c r="G9" s="20">
        <f t="shared" ca="1" si="1"/>
        <v>1</v>
      </c>
      <c r="H9" s="20">
        <f t="shared" ca="1" si="1"/>
        <v>1</v>
      </c>
      <c r="I9" s="20">
        <f t="shared" ca="1" si="1"/>
        <v>0</v>
      </c>
      <c r="J9" s="20">
        <v>560001</v>
      </c>
      <c r="K9" s="20">
        <f t="shared" ca="1" si="8"/>
        <v>1</v>
      </c>
      <c r="L9" s="20">
        <f t="shared" ca="1" si="8"/>
        <v>100</v>
      </c>
      <c r="M9" s="20">
        <v>1</v>
      </c>
      <c r="N9" s="20">
        <v>2</v>
      </c>
      <c r="O9" s="20">
        <f t="shared" ca="1" si="8"/>
        <v>3</v>
      </c>
      <c r="P9" s="20">
        <f t="shared" ca="1" si="8"/>
        <v>1</v>
      </c>
      <c r="Q9" s="20">
        <v>1</v>
      </c>
      <c r="R9" s="20">
        <f t="shared" ca="1" si="1"/>
        <v>80</v>
      </c>
      <c r="S9" s="20">
        <f t="shared" ca="1" si="1"/>
        <v>0</v>
      </c>
      <c r="T9" s="20">
        <f t="shared" ca="1" si="1"/>
        <v>0</v>
      </c>
      <c r="U9" s="20">
        <f t="shared" ca="1" si="1"/>
        <v>0</v>
      </c>
      <c r="V9" s="20">
        <f t="shared" ca="1" si="1"/>
        <v>0</v>
      </c>
      <c r="W9" s="20">
        <f t="shared" ca="1" si="1"/>
        <v>1</v>
      </c>
    </row>
    <row r="10" spans="1:23" x14ac:dyDescent="0.15">
      <c r="A10" s="25" t="str">
        <f t="shared" ca="1" si="3"/>
        <v>1_2-2/1&lt;lv1&gt;</v>
      </c>
      <c r="B10" s="20">
        <f t="shared" ca="1" si="0"/>
        <v>1</v>
      </c>
      <c r="C10" s="20">
        <f t="shared" ref="C10:P10" ca="1" si="9">VLOOKUP($A10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10" s="20">
        <f t="shared" ca="1" si="9"/>
        <v>2</v>
      </c>
      <c r="E10" s="20">
        <f t="shared" ca="1" si="9"/>
        <v>1</v>
      </c>
      <c r="F10" s="20">
        <f t="shared" ca="1" si="9"/>
        <v>1</v>
      </c>
      <c r="G10" s="20">
        <f t="shared" ca="1" si="1"/>
        <v>1</v>
      </c>
      <c r="H10" s="20">
        <f t="shared" ca="1" si="1"/>
        <v>1</v>
      </c>
      <c r="I10" s="20">
        <f t="shared" ca="1" si="1"/>
        <v>0</v>
      </c>
      <c r="J10" s="20">
        <v>0</v>
      </c>
      <c r="K10" s="20">
        <f t="shared" ca="1" si="9"/>
        <v>1</v>
      </c>
      <c r="L10" s="20">
        <f t="shared" ca="1" si="9"/>
        <v>100</v>
      </c>
      <c r="M10" s="20">
        <f t="shared" ca="1" si="9"/>
        <v>0</v>
      </c>
      <c r="N10" s="20">
        <v>2</v>
      </c>
      <c r="O10" s="20">
        <f t="shared" ca="1" si="9"/>
        <v>1</v>
      </c>
      <c r="P10" s="20">
        <f t="shared" ca="1" si="9"/>
        <v>1</v>
      </c>
      <c r="Q10" s="20">
        <v>1</v>
      </c>
      <c r="R10" s="20">
        <f t="shared" ca="1" si="1"/>
        <v>30</v>
      </c>
      <c r="S10" s="20">
        <f t="shared" ca="1" si="1"/>
        <v>0</v>
      </c>
      <c r="T10" s="20">
        <f t="shared" ca="1" si="1"/>
        <v>0</v>
      </c>
      <c r="U10" s="20">
        <f t="shared" ca="1" si="1"/>
        <v>0</v>
      </c>
      <c r="V10" s="20">
        <f t="shared" ca="1" si="1"/>
        <v>0</v>
      </c>
      <c r="W10" s="20">
        <f t="shared" ca="1" si="1"/>
        <v>1</v>
      </c>
    </row>
    <row r="11" spans="1:23" x14ac:dyDescent="0.15">
      <c r="A11" s="25" t="str">
        <f t="shared" ca="1" si="3"/>
        <v>1_2-2/5&lt;lv1&gt;</v>
      </c>
      <c r="B11" s="20">
        <f t="shared" ca="1" si="0"/>
        <v>1</v>
      </c>
      <c r="C11" s="20">
        <f t="shared" ref="C11:P11" ca="1" si="10">VLOOKUP($A11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11" s="20">
        <f t="shared" ca="1" si="10"/>
        <v>2</v>
      </c>
      <c r="E11" s="20">
        <f t="shared" ca="1" si="10"/>
        <v>5</v>
      </c>
      <c r="F11" s="20">
        <f t="shared" ca="1" si="10"/>
        <v>1</v>
      </c>
      <c r="G11" s="20">
        <f t="shared" ca="1" si="1"/>
        <v>1</v>
      </c>
      <c r="H11" s="20">
        <f t="shared" ca="1" si="1"/>
        <v>1</v>
      </c>
      <c r="I11" s="20">
        <f t="shared" ca="1" si="1"/>
        <v>0</v>
      </c>
      <c r="J11" s="20">
        <v>0</v>
      </c>
      <c r="K11" s="20">
        <f t="shared" ca="1" si="10"/>
        <v>1</v>
      </c>
      <c r="L11" s="20">
        <f t="shared" ca="1" si="10"/>
        <v>100</v>
      </c>
      <c r="M11" s="20">
        <f t="shared" ca="1" si="10"/>
        <v>0</v>
      </c>
      <c r="N11" s="20">
        <v>3</v>
      </c>
      <c r="O11" s="20">
        <f t="shared" ca="1" si="10"/>
        <v>5</v>
      </c>
      <c r="P11" s="20">
        <f t="shared" ca="1" si="10"/>
        <v>1</v>
      </c>
      <c r="Q11" s="20">
        <v>1</v>
      </c>
      <c r="R11" s="20">
        <f t="shared" ca="1" si="1"/>
        <v>30</v>
      </c>
      <c r="S11" s="20">
        <f t="shared" ca="1" si="1"/>
        <v>0</v>
      </c>
      <c r="T11" s="20">
        <f t="shared" ca="1" si="1"/>
        <v>0</v>
      </c>
      <c r="U11" s="20">
        <f t="shared" ca="1" si="1"/>
        <v>0</v>
      </c>
      <c r="V11" s="20">
        <f t="shared" ca="1" si="1"/>
        <v>0</v>
      </c>
      <c r="W11" s="20">
        <f t="shared" ca="1" si="1"/>
        <v>1</v>
      </c>
    </row>
    <row r="12" spans="1:23" x14ac:dyDescent="0.15">
      <c r="A12" s="25" t="str">
        <f t="shared" ca="1" si="3"/>
        <v>1_2-2/7&lt;lv1&gt;</v>
      </c>
      <c r="B12" s="20">
        <f t="shared" ca="1" si="0"/>
        <v>1</v>
      </c>
      <c r="C12" s="20">
        <f t="shared" ref="C12:P12" ca="1" si="11">VLOOKUP($A12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12" s="20">
        <f t="shared" ca="1" si="11"/>
        <v>2</v>
      </c>
      <c r="E12" s="20">
        <f t="shared" ca="1" si="11"/>
        <v>7</v>
      </c>
      <c r="F12" s="20">
        <f t="shared" ca="1" si="11"/>
        <v>1</v>
      </c>
      <c r="G12" s="20">
        <f t="shared" ca="1" si="1"/>
        <v>1</v>
      </c>
      <c r="H12" s="20">
        <f t="shared" ca="1" si="1"/>
        <v>1</v>
      </c>
      <c r="I12" s="20">
        <f t="shared" ca="1" si="1"/>
        <v>0</v>
      </c>
      <c r="J12" s="20">
        <v>0</v>
      </c>
      <c r="K12" s="20">
        <f t="shared" ca="1" si="11"/>
        <v>1</v>
      </c>
      <c r="L12" s="20">
        <f t="shared" ca="1" si="11"/>
        <v>100</v>
      </c>
      <c r="M12" s="20">
        <f t="shared" ca="1" si="11"/>
        <v>0</v>
      </c>
      <c r="N12" s="20">
        <v>2</v>
      </c>
      <c r="O12" s="20">
        <f t="shared" ca="1" si="11"/>
        <v>7</v>
      </c>
      <c r="P12" s="20">
        <f t="shared" ca="1" si="11"/>
        <v>1</v>
      </c>
      <c r="Q12" s="20">
        <v>1</v>
      </c>
      <c r="R12" s="20">
        <f t="shared" ca="1" si="1"/>
        <v>30</v>
      </c>
      <c r="S12" s="20">
        <f t="shared" ca="1" si="1"/>
        <v>0</v>
      </c>
      <c r="T12" s="20">
        <f t="shared" ca="1" si="1"/>
        <v>0</v>
      </c>
      <c r="U12" s="20">
        <f t="shared" ca="1" si="1"/>
        <v>0</v>
      </c>
      <c r="V12" s="20">
        <f t="shared" ca="1" si="1"/>
        <v>0</v>
      </c>
      <c r="W12" s="20">
        <f t="shared" ca="1" si="1"/>
        <v>1</v>
      </c>
    </row>
    <row r="13" spans="1:23" x14ac:dyDescent="0.15">
      <c r="A13" s="25" t="str">
        <f t="shared" ca="1" si="3"/>
        <v>1_2-3/6&lt;lv3&gt;</v>
      </c>
      <c r="B13" s="20">
        <f t="shared" ca="1" si="0"/>
        <v>1</v>
      </c>
      <c r="C13" s="20">
        <f t="shared" ref="C13:P13" ca="1" si="12">VLOOKUP($A13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13" s="20">
        <f t="shared" ca="1" si="12"/>
        <v>3</v>
      </c>
      <c r="E13" s="20">
        <f t="shared" ca="1" si="12"/>
        <v>6</v>
      </c>
      <c r="F13" s="20">
        <f t="shared" ca="1" si="12"/>
        <v>3</v>
      </c>
      <c r="G13" s="20">
        <f t="shared" ca="1" si="1"/>
        <v>1</v>
      </c>
      <c r="H13" s="20">
        <f t="shared" ca="1" si="1"/>
        <v>1</v>
      </c>
      <c r="I13" s="20">
        <f t="shared" ca="1" si="1"/>
        <v>0</v>
      </c>
      <c r="J13" s="20">
        <v>0</v>
      </c>
      <c r="K13" s="20">
        <f t="shared" ca="1" si="12"/>
        <v>1</v>
      </c>
      <c r="L13" s="20">
        <f t="shared" ca="1" si="12"/>
        <v>100</v>
      </c>
      <c r="M13" s="20">
        <f t="shared" ca="1" si="12"/>
        <v>1</v>
      </c>
      <c r="N13" s="20">
        <v>3</v>
      </c>
      <c r="O13" s="20">
        <f t="shared" ca="1" si="12"/>
        <v>5</v>
      </c>
      <c r="P13" s="20">
        <f t="shared" ca="1" si="12"/>
        <v>1</v>
      </c>
      <c r="Q13" s="20">
        <v>1</v>
      </c>
      <c r="R13" s="20">
        <f t="shared" ca="1" si="1"/>
        <v>0</v>
      </c>
      <c r="S13" s="20">
        <f t="shared" ca="1" si="1"/>
        <v>0</v>
      </c>
      <c r="T13" s="20">
        <f t="shared" ca="1" si="1"/>
        <v>0</v>
      </c>
      <c r="U13" s="20">
        <f t="shared" ca="1" si="1"/>
        <v>0</v>
      </c>
      <c r="V13" s="20">
        <f t="shared" ca="1" si="1"/>
        <v>0</v>
      </c>
      <c r="W13" s="20">
        <f t="shared" ca="1" si="1"/>
        <v>1</v>
      </c>
    </row>
    <row r="14" spans="1:23" x14ac:dyDescent="0.15">
      <c r="A14" s="25" t="str">
        <f t="shared" ca="1" si="3"/>
        <v>1_2-3/8&lt;lv3&gt;</v>
      </c>
      <c r="B14" s="20">
        <f t="shared" ca="1" si="0"/>
        <v>1</v>
      </c>
      <c r="C14" s="20">
        <f t="shared" ref="C14:P14" ca="1" si="13">VLOOKUP($A14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2</v>
      </c>
      <c r="D14" s="20">
        <f t="shared" ca="1" si="13"/>
        <v>3</v>
      </c>
      <c r="E14" s="20">
        <f t="shared" ca="1" si="13"/>
        <v>8</v>
      </c>
      <c r="F14" s="20">
        <f t="shared" ca="1" si="13"/>
        <v>3</v>
      </c>
      <c r="G14" s="20">
        <f t="shared" ca="1" si="1"/>
        <v>1</v>
      </c>
      <c r="H14" s="20">
        <f t="shared" ca="1" si="1"/>
        <v>1</v>
      </c>
      <c r="I14" s="20">
        <f t="shared" ca="1" si="1"/>
        <v>0</v>
      </c>
      <c r="J14" s="20">
        <v>0</v>
      </c>
      <c r="K14" s="20">
        <f t="shared" ca="1" si="13"/>
        <v>1</v>
      </c>
      <c r="L14" s="20">
        <f t="shared" ca="1" si="13"/>
        <v>100</v>
      </c>
      <c r="M14" s="20">
        <f t="shared" ca="1" si="13"/>
        <v>1</v>
      </c>
      <c r="N14" s="20">
        <v>2</v>
      </c>
      <c r="O14" s="20">
        <f t="shared" ca="1" si="13"/>
        <v>7</v>
      </c>
      <c r="P14" s="20">
        <f t="shared" ca="1" si="13"/>
        <v>1</v>
      </c>
      <c r="Q14" s="20">
        <v>1</v>
      </c>
      <c r="R14" s="20">
        <f t="shared" ca="1" si="1"/>
        <v>0</v>
      </c>
      <c r="S14" s="20">
        <f t="shared" ca="1" si="1"/>
        <v>0</v>
      </c>
      <c r="T14" s="20">
        <f t="shared" ca="1" si="1"/>
        <v>0</v>
      </c>
      <c r="U14" s="20">
        <f t="shared" ca="1" si="1"/>
        <v>0</v>
      </c>
      <c r="V14" s="20">
        <f t="shared" ca="1" si="1"/>
        <v>0</v>
      </c>
      <c r="W14" s="20">
        <f t="shared" ca="1" si="1"/>
        <v>1</v>
      </c>
    </row>
    <row r="15" spans="1:23" x14ac:dyDescent="0.15">
      <c r="A15" s="25" t="str">
        <f t="shared" ca="1" si="3"/>
        <v>1_3-1/1&lt;lv3&gt;</v>
      </c>
      <c r="B15" s="20">
        <f t="shared" ca="1" si="0"/>
        <v>1</v>
      </c>
      <c r="C15" s="20">
        <f t="shared" ref="C15:P15" ca="1" si="14">VLOOKUP($A15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</v>
      </c>
      <c r="D15" s="20">
        <f t="shared" ca="1" si="14"/>
        <v>1</v>
      </c>
      <c r="E15" s="20">
        <f t="shared" ca="1" si="14"/>
        <v>1</v>
      </c>
      <c r="F15" s="20">
        <f t="shared" ca="1" si="14"/>
        <v>3</v>
      </c>
      <c r="G15" s="20">
        <f t="shared" ca="1" si="1"/>
        <v>1</v>
      </c>
      <c r="H15" s="20">
        <f t="shared" ca="1" si="1"/>
        <v>1</v>
      </c>
      <c r="I15" s="20">
        <f t="shared" ca="1" si="1"/>
        <v>0</v>
      </c>
      <c r="J15" s="20">
        <v>560001</v>
      </c>
      <c r="K15" s="20">
        <v>1</v>
      </c>
      <c r="L15" s="20">
        <v>100</v>
      </c>
      <c r="M15" s="20">
        <v>1</v>
      </c>
      <c r="N15" s="20">
        <v>2</v>
      </c>
      <c r="O15" s="20">
        <f t="shared" ca="1" si="14"/>
        <v>1</v>
      </c>
      <c r="P15" s="20">
        <f t="shared" ca="1" si="14"/>
        <v>1</v>
      </c>
      <c r="Q15" s="20">
        <v>1</v>
      </c>
      <c r="R15" s="20">
        <f t="shared" ca="1" si="1"/>
        <v>40</v>
      </c>
      <c r="S15" s="20">
        <f t="shared" ca="1" si="1"/>
        <v>0</v>
      </c>
      <c r="T15" s="20">
        <f t="shared" ca="1" si="1"/>
        <v>0</v>
      </c>
      <c r="U15" s="20">
        <f t="shared" ca="1" si="1"/>
        <v>0</v>
      </c>
      <c r="V15" s="20">
        <f t="shared" ca="1" si="1"/>
        <v>0</v>
      </c>
      <c r="W15" s="20">
        <f t="shared" ca="1" si="1"/>
        <v>1</v>
      </c>
    </row>
    <row r="16" spans="1:23" x14ac:dyDescent="0.15">
      <c r="A16" s="25" t="str">
        <f t="shared" ca="1" si="3"/>
        <v>1_3-1/3&lt;lv3&gt;</v>
      </c>
      <c r="B16" s="20">
        <f t="shared" ca="1" si="0"/>
        <v>1</v>
      </c>
      <c r="C16" s="20">
        <f t="shared" ref="C16:M16" ca="1" si="15">VLOOKUP($A16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</v>
      </c>
      <c r="D16" s="20">
        <f t="shared" ca="1" si="15"/>
        <v>1</v>
      </c>
      <c r="E16" s="20">
        <f t="shared" ca="1" si="15"/>
        <v>3</v>
      </c>
      <c r="F16" s="20">
        <f t="shared" ca="1" si="15"/>
        <v>3</v>
      </c>
      <c r="G16" s="20">
        <f t="shared" ca="1" si="1"/>
        <v>1</v>
      </c>
      <c r="H16" s="20">
        <f t="shared" ca="1" si="1"/>
        <v>1</v>
      </c>
      <c r="I16" s="20">
        <f t="shared" ca="1" si="1"/>
        <v>0</v>
      </c>
      <c r="J16" s="20">
        <v>0</v>
      </c>
      <c r="K16" s="20">
        <f t="shared" ca="1" si="15"/>
        <v>0</v>
      </c>
      <c r="L16" s="20">
        <f t="shared" ca="1" si="15"/>
        <v>100</v>
      </c>
      <c r="M16" s="20">
        <f t="shared" ca="1" si="15"/>
        <v>0</v>
      </c>
      <c r="N16" s="20">
        <v>2</v>
      </c>
      <c r="O16" s="20">
        <f t="shared" ca="1" si="0"/>
        <v>3</v>
      </c>
      <c r="P16" s="20">
        <f t="shared" ca="1" si="0"/>
        <v>1</v>
      </c>
      <c r="Q16" s="20">
        <v>1</v>
      </c>
      <c r="R16" s="20">
        <f t="shared" ca="1" si="1"/>
        <v>40</v>
      </c>
      <c r="S16" s="20">
        <f t="shared" ca="1" si="1"/>
        <v>0</v>
      </c>
      <c r="T16" s="20">
        <f t="shared" ca="1" si="1"/>
        <v>0</v>
      </c>
      <c r="U16" s="20">
        <f t="shared" ca="1" si="1"/>
        <v>0</v>
      </c>
      <c r="V16" s="20">
        <f t="shared" ca="1" si="1"/>
        <v>0</v>
      </c>
      <c r="W16" s="20">
        <f t="shared" ca="1" si="1"/>
        <v>1</v>
      </c>
    </row>
    <row r="17" spans="1:23" x14ac:dyDescent="0.15">
      <c r="A17" s="25" t="str">
        <f t="shared" ca="1" si="3"/>
        <v>1_3-1/5&lt;lv3&gt;</v>
      </c>
      <c r="B17" s="20">
        <f t="shared" ca="1" si="0"/>
        <v>1</v>
      </c>
      <c r="C17" s="20">
        <f t="shared" ca="1" si="0"/>
        <v>3</v>
      </c>
      <c r="D17" s="20">
        <f t="shared" ca="1" si="0"/>
        <v>1</v>
      </c>
      <c r="E17" s="20">
        <f t="shared" ca="1" si="0"/>
        <v>5</v>
      </c>
      <c r="F17" s="20">
        <f t="shared" ca="1" si="0"/>
        <v>3</v>
      </c>
      <c r="G17" s="20">
        <f t="shared" ca="1" si="1"/>
        <v>1</v>
      </c>
      <c r="H17" s="20">
        <f t="shared" ca="1" si="1"/>
        <v>1</v>
      </c>
      <c r="I17" s="20">
        <f t="shared" ca="1" si="1"/>
        <v>0</v>
      </c>
      <c r="J17" s="20">
        <v>0</v>
      </c>
      <c r="K17" s="20">
        <f t="shared" ca="1" si="0"/>
        <v>0</v>
      </c>
      <c r="L17" s="20">
        <f t="shared" ca="1" si="0"/>
        <v>100</v>
      </c>
      <c r="M17" s="20">
        <f t="shared" ca="1" si="0"/>
        <v>0</v>
      </c>
      <c r="N17" s="20">
        <v>3</v>
      </c>
      <c r="O17" s="20">
        <f t="shared" ca="1" si="0"/>
        <v>5</v>
      </c>
      <c r="P17" s="20">
        <f t="shared" ca="1" si="0"/>
        <v>1</v>
      </c>
      <c r="Q17" s="20">
        <v>1</v>
      </c>
      <c r="R17" s="20">
        <f t="shared" ca="1" si="1"/>
        <v>40</v>
      </c>
      <c r="S17" s="20">
        <f t="shared" ca="1" si="1"/>
        <v>0</v>
      </c>
      <c r="T17" s="20">
        <f t="shared" ca="1" si="1"/>
        <v>0</v>
      </c>
      <c r="U17" s="20">
        <f t="shared" ca="1" si="1"/>
        <v>0</v>
      </c>
      <c r="V17" s="20">
        <f t="shared" ca="1" si="1"/>
        <v>0</v>
      </c>
      <c r="W17" s="20">
        <f t="shared" ca="1" si="1"/>
        <v>1</v>
      </c>
    </row>
    <row r="18" spans="1:23" x14ac:dyDescent="0.15">
      <c r="A18" s="25" t="str">
        <f t="shared" ca="1" si="3"/>
        <v>1_3-1/7&lt;lv3&gt;</v>
      </c>
      <c r="B18" s="20">
        <f t="shared" ca="1" si="0"/>
        <v>1</v>
      </c>
      <c r="C18" s="20">
        <f t="shared" ca="1" si="0"/>
        <v>3</v>
      </c>
      <c r="D18" s="20">
        <f t="shared" ca="1" si="0"/>
        <v>1</v>
      </c>
      <c r="E18" s="20">
        <f t="shared" ca="1" si="0"/>
        <v>7</v>
      </c>
      <c r="F18" s="20">
        <f t="shared" ca="1" si="0"/>
        <v>3</v>
      </c>
      <c r="G18" s="20">
        <f t="shared" ca="1" si="1"/>
        <v>1</v>
      </c>
      <c r="H18" s="20">
        <f t="shared" ca="1" si="1"/>
        <v>1</v>
      </c>
      <c r="I18" s="20">
        <f t="shared" ca="1" si="1"/>
        <v>0</v>
      </c>
      <c r="J18" s="20">
        <v>0</v>
      </c>
      <c r="K18" s="20">
        <f t="shared" ca="1" si="0"/>
        <v>0</v>
      </c>
      <c r="L18" s="20">
        <f t="shared" ca="1" si="0"/>
        <v>100</v>
      </c>
      <c r="M18" s="20">
        <f t="shared" ca="1" si="0"/>
        <v>0</v>
      </c>
      <c r="N18" s="20">
        <v>2</v>
      </c>
      <c r="O18" s="20">
        <f t="shared" ca="1" si="0"/>
        <v>7</v>
      </c>
      <c r="P18" s="20">
        <f t="shared" ca="1" si="0"/>
        <v>1</v>
      </c>
      <c r="Q18" s="20">
        <v>1</v>
      </c>
      <c r="R18" s="20">
        <f t="shared" ca="1" si="1"/>
        <v>40</v>
      </c>
      <c r="S18" s="20">
        <f t="shared" ca="1" si="1"/>
        <v>0</v>
      </c>
      <c r="T18" s="20">
        <f t="shared" ca="1" si="1"/>
        <v>0</v>
      </c>
      <c r="U18" s="20">
        <f t="shared" ca="1" si="1"/>
        <v>0</v>
      </c>
      <c r="V18" s="20">
        <f t="shared" ca="1" si="1"/>
        <v>0</v>
      </c>
      <c r="W18" s="20">
        <f t="shared" ca="1" si="1"/>
        <v>1</v>
      </c>
    </row>
    <row r="19" spans="1:23" x14ac:dyDescent="0.15">
      <c r="A19" s="25" t="str">
        <f t="shared" ca="1" si="3"/>
        <v>1_3-2/1&lt;lv3&gt;</v>
      </c>
      <c r="B19" s="20">
        <f t="shared" ref="B19:P34" ca="1" si="16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19" s="20">
        <f t="shared" ref="C19:W34" ca="1" si="17">VLOOKUP($A19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</v>
      </c>
      <c r="D19" s="20">
        <f t="shared" ca="1" si="17"/>
        <v>2</v>
      </c>
      <c r="E19" s="20">
        <f t="shared" ca="1" si="17"/>
        <v>1</v>
      </c>
      <c r="F19" s="20">
        <f t="shared" ca="1" si="17"/>
        <v>3</v>
      </c>
      <c r="G19" s="20">
        <f t="shared" ca="1" si="17"/>
        <v>1</v>
      </c>
      <c r="H19" s="20">
        <f t="shared" ca="1" si="17"/>
        <v>1</v>
      </c>
      <c r="I19" s="20">
        <f t="shared" ca="1" si="17"/>
        <v>0</v>
      </c>
      <c r="J19" s="20">
        <v>0</v>
      </c>
      <c r="K19" s="20">
        <f t="shared" ca="1" si="17"/>
        <v>0</v>
      </c>
      <c r="L19" s="20">
        <f t="shared" ca="1" si="17"/>
        <v>100</v>
      </c>
      <c r="M19" s="20">
        <f t="shared" ca="1" si="17"/>
        <v>0</v>
      </c>
      <c r="N19" s="20">
        <v>2</v>
      </c>
      <c r="O19" s="20">
        <f t="shared" ca="1" si="17"/>
        <v>1</v>
      </c>
      <c r="P19" s="20">
        <f t="shared" ca="1" si="17"/>
        <v>1</v>
      </c>
      <c r="Q19" s="20">
        <v>1</v>
      </c>
      <c r="R19" s="20">
        <f t="shared" ca="1" si="17"/>
        <v>30</v>
      </c>
      <c r="S19" s="20">
        <f t="shared" ca="1" si="17"/>
        <v>0</v>
      </c>
      <c r="T19" s="20">
        <f t="shared" ca="1" si="17"/>
        <v>0</v>
      </c>
      <c r="U19" s="20">
        <f t="shared" ca="1" si="17"/>
        <v>0</v>
      </c>
      <c r="V19" s="20">
        <f t="shared" ca="1" si="17"/>
        <v>0</v>
      </c>
      <c r="W19" s="20">
        <f t="shared" ca="1" si="17"/>
        <v>1</v>
      </c>
    </row>
    <row r="20" spans="1:23" x14ac:dyDescent="0.15">
      <c r="A20" s="25" t="str">
        <f t="shared" ca="1" si="3"/>
        <v>1_3-2/3&lt;lv3&gt;</v>
      </c>
      <c r="B20" s="20">
        <f t="shared" ca="1" si="16"/>
        <v>1</v>
      </c>
      <c r="C20" s="20">
        <f t="shared" ref="C20:P26" ca="1" si="18">VLOOKUP($A20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3</v>
      </c>
      <c r="D20" s="20">
        <f t="shared" ca="1" si="18"/>
        <v>2</v>
      </c>
      <c r="E20" s="20">
        <f t="shared" ca="1" si="18"/>
        <v>3</v>
      </c>
      <c r="F20" s="20">
        <f t="shared" ca="1" si="18"/>
        <v>3</v>
      </c>
      <c r="G20" s="20">
        <f t="shared" ca="1" si="17"/>
        <v>1</v>
      </c>
      <c r="H20" s="20">
        <f t="shared" ca="1" si="17"/>
        <v>1</v>
      </c>
      <c r="I20" s="20">
        <f t="shared" ca="1" si="17"/>
        <v>0</v>
      </c>
      <c r="J20" s="20">
        <v>0</v>
      </c>
      <c r="K20" s="20">
        <f t="shared" ca="1" si="18"/>
        <v>0</v>
      </c>
      <c r="L20" s="20">
        <f t="shared" ca="1" si="18"/>
        <v>100</v>
      </c>
      <c r="M20" s="20">
        <f t="shared" ca="1" si="18"/>
        <v>0</v>
      </c>
      <c r="N20" s="20">
        <v>2</v>
      </c>
      <c r="O20" s="20">
        <f t="shared" ca="1" si="18"/>
        <v>3</v>
      </c>
      <c r="P20" s="20">
        <f t="shared" ca="1" si="18"/>
        <v>1</v>
      </c>
      <c r="Q20" s="20">
        <v>1</v>
      </c>
      <c r="R20" s="20">
        <f t="shared" ca="1" si="17"/>
        <v>30</v>
      </c>
      <c r="S20" s="20">
        <f t="shared" ca="1" si="17"/>
        <v>0</v>
      </c>
      <c r="T20" s="20">
        <f t="shared" ca="1" si="17"/>
        <v>0</v>
      </c>
      <c r="U20" s="20">
        <f t="shared" ca="1" si="17"/>
        <v>0</v>
      </c>
      <c r="V20" s="20">
        <f t="shared" ca="1" si="17"/>
        <v>0</v>
      </c>
      <c r="W20" s="20">
        <f t="shared" ca="1" si="17"/>
        <v>1</v>
      </c>
    </row>
    <row r="21" spans="1:23" x14ac:dyDescent="0.15">
      <c r="A21" s="25" t="str">
        <f t="shared" ca="1" si="3"/>
        <v>1_3-2/5&lt;lv3&gt;</v>
      </c>
      <c r="B21" s="20">
        <f t="shared" ca="1" si="16"/>
        <v>1</v>
      </c>
      <c r="C21" s="20">
        <f t="shared" ca="1" si="18"/>
        <v>3</v>
      </c>
      <c r="D21" s="20">
        <f t="shared" ca="1" si="18"/>
        <v>2</v>
      </c>
      <c r="E21" s="20">
        <f t="shared" ca="1" si="18"/>
        <v>5</v>
      </c>
      <c r="F21" s="20">
        <f t="shared" ca="1" si="18"/>
        <v>3</v>
      </c>
      <c r="G21" s="20">
        <f t="shared" ca="1" si="17"/>
        <v>1</v>
      </c>
      <c r="H21" s="20">
        <f t="shared" ca="1" si="17"/>
        <v>1</v>
      </c>
      <c r="I21" s="20">
        <f t="shared" ca="1" si="17"/>
        <v>0</v>
      </c>
      <c r="J21" s="20">
        <v>0</v>
      </c>
      <c r="K21" s="20">
        <f t="shared" ca="1" si="18"/>
        <v>0</v>
      </c>
      <c r="L21" s="20">
        <f t="shared" ca="1" si="18"/>
        <v>100</v>
      </c>
      <c r="M21" s="20">
        <f t="shared" ca="1" si="18"/>
        <v>0</v>
      </c>
      <c r="N21" s="20">
        <v>3</v>
      </c>
      <c r="O21" s="20">
        <f t="shared" ca="1" si="18"/>
        <v>5</v>
      </c>
      <c r="P21" s="20">
        <f t="shared" ca="1" si="18"/>
        <v>1</v>
      </c>
      <c r="Q21" s="20">
        <v>1</v>
      </c>
      <c r="R21" s="20">
        <f t="shared" ca="1" si="17"/>
        <v>30</v>
      </c>
      <c r="S21" s="20">
        <f t="shared" ca="1" si="17"/>
        <v>0</v>
      </c>
      <c r="T21" s="20">
        <f t="shared" ca="1" si="17"/>
        <v>0</v>
      </c>
      <c r="U21" s="20">
        <f t="shared" ca="1" si="17"/>
        <v>0</v>
      </c>
      <c r="V21" s="20">
        <f t="shared" ca="1" si="17"/>
        <v>0</v>
      </c>
      <c r="W21" s="20">
        <f t="shared" ca="1" si="17"/>
        <v>1</v>
      </c>
    </row>
    <row r="22" spans="1:23" x14ac:dyDescent="0.15">
      <c r="A22" s="25" t="str">
        <f t="shared" ca="1" si="3"/>
        <v>1_3-2/7&lt;lv3&gt;</v>
      </c>
      <c r="B22" s="20">
        <f t="shared" ca="1" si="16"/>
        <v>1</v>
      </c>
      <c r="C22" s="20">
        <f t="shared" ca="1" si="18"/>
        <v>3</v>
      </c>
      <c r="D22" s="20">
        <f t="shared" ca="1" si="18"/>
        <v>2</v>
      </c>
      <c r="E22" s="20">
        <f t="shared" ca="1" si="18"/>
        <v>7</v>
      </c>
      <c r="F22" s="20">
        <f t="shared" ca="1" si="18"/>
        <v>3</v>
      </c>
      <c r="G22" s="20">
        <f t="shared" ca="1" si="17"/>
        <v>1</v>
      </c>
      <c r="H22" s="20">
        <f t="shared" ca="1" si="17"/>
        <v>1</v>
      </c>
      <c r="I22" s="20">
        <f t="shared" ca="1" si="17"/>
        <v>0</v>
      </c>
      <c r="J22" s="20">
        <v>0</v>
      </c>
      <c r="K22" s="20">
        <f t="shared" ca="1" si="18"/>
        <v>0</v>
      </c>
      <c r="L22" s="20">
        <f t="shared" ca="1" si="18"/>
        <v>100</v>
      </c>
      <c r="M22" s="20">
        <f t="shared" ca="1" si="18"/>
        <v>0</v>
      </c>
      <c r="N22" s="20">
        <v>2</v>
      </c>
      <c r="O22" s="20">
        <f t="shared" ca="1" si="18"/>
        <v>7</v>
      </c>
      <c r="P22" s="20">
        <f t="shared" ca="1" si="18"/>
        <v>1</v>
      </c>
      <c r="Q22" s="20">
        <v>1</v>
      </c>
      <c r="R22" s="20">
        <f t="shared" ca="1" si="17"/>
        <v>30</v>
      </c>
      <c r="S22" s="20">
        <f t="shared" ca="1" si="17"/>
        <v>0</v>
      </c>
      <c r="T22" s="20">
        <f t="shared" ca="1" si="17"/>
        <v>0</v>
      </c>
      <c r="U22" s="20">
        <f t="shared" ca="1" si="17"/>
        <v>0</v>
      </c>
      <c r="V22" s="20">
        <f t="shared" ca="1" si="17"/>
        <v>0</v>
      </c>
      <c r="W22" s="20">
        <f t="shared" ca="1" si="17"/>
        <v>1</v>
      </c>
    </row>
    <row r="23" spans="1:23" x14ac:dyDescent="0.15">
      <c r="A23" s="25" t="str">
        <f t="shared" ca="1" si="3"/>
        <v>1_3-3/25&lt;lv3&gt;</v>
      </c>
      <c r="B23" s="20">
        <f t="shared" ca="1" si="16"/>
        <v>1</v>
      </c>
      <c r="C23" s="20">
        <f t="shared" ca="1" si="18"/>
        <v>3</v>
      </c>
      <c r="D23" s="20">
        <f t="shared" ca="1" si="18"/>
        <v>3</v>
      </c>
      <c r="E23" s="20">
        <f t="shared" ca="1" si="18"/>
        <v>25</v>
      </c>
      <c r="F23" s="20">
        <f t="shared" ca="1" si="18"/>
        <v>3</v>
      </c>
      <c r="G23" s="20">
        <f t="shared" ca="1" si="17"/>
        <v>1</v>
      </c>
      <c r="H23" s="20">
        <f t="shared" ca="1" si="17"/>
        <v>1</v>
      </c>
      <c r="I23" s="20">
        <f t="shared" ca="1" si="17"/>
        <v>0</v>
      </c>
      <c r="J23" s="20">
        <v>0</v>
      </c>
      <c r="K23" s="20">
        <f t="shared" ca="1" si="18"/>
        <v>3</v>
      </c>
      <c r="L23" s="20">
        <f t="shared" ca="1" si="18"/>
        <v>100</v>
      </c>
      <c r="M23" s="20">
        <f t="shared" ca="1" si="18"/>
        <v>1</v>
      </c>
      <c r="N23" s="20">
        <v>3</v>
      </c>
      <c r="O23" s="20">
        <f t="shared" ca="1" si="18"/>
        <v>25</v>
      </c>
      <c r="P23" s="20">
        <f t="shared" ca="1" si="18"/>
        <v>1</v>
      </c>
      <c r="Q23" s="20">
        <v>1</v>
      </c>
      <c r="R23" s="20">
        <f t="shared" ca="1" si="17"/>
        <v>0</v>
      </c>
      <c r="S23" s="20">
        <f t="shared" ca="1" si="17"/>
        <v>0</v>
      </c>
      <c r="T23" s="20">
        <f t="shared" ca="1" si="17"/>
        <v>0</v>
      </c>
      <c r="U23" s="20">
        <f t="shared" ca="1" si="17"/>
        <v>0</v>
      </c>
      <c r="V23" s="20">
        <f t="shared" ca="1" si="17"/>
        <v>0</v>
      </c>
      <c r="W23" s="20">
        <f t="shared" ca="1" si="17"/>
        <v>1</v>
      </c>
    </row>
    <row r="24" spans="1:23" x14ac:dyDescent="0.15">
      <c r="A24" s="25" t="str">
        <f t="shared" ca="1" si="3"/>
        <v>1_4-1/332&lt;lv1&gt;</v>
      </c>
      <c r="B24" s="20">
        <f t="shared" ca="1" si="16"/>
        <v>1</v>
      </c>
      <c r="C24" s="20">
        <f t="shared" ca="1" si="18"/>
        <v>4</v>
      </c>
      <c r="D24" s="20">
        <f t="shared" ca="1" si="18"/>
        <v>1</v>
      </c>
      <c r="E24" s="20">
        <f t="shared" ca="1" si="18"/>
        <v>332</v>
      </c>
      <c r="F24" s="20">
        <f t="shared" ca="1" si="18"/>
        <v>1</v>
      </c>
      <c r="G24" s="20">
        <f t="shared" ca="1" si="17"/>
        <v>1</v>
      </c>
      <c r="H24" s="20">
        <f t="shared" ca="1" si="17"/>
        <v>1</v>
      </c>
      <c r="I24" s="20">
        <f t="shared" ca="1" si="17"/>
        <v>0</v>
      </c>
      <c r="J24" s="20">
        <v>560001</v>
      </c>
      <c r="K24" s="20">
        <v>1</v>
      </c>
      <c r="L24" s="20">
        <v>100</v>
      </c>
      <c r="M24" s="20">
        <v>1</v>
      </c>
      <c r="N24" s="20">
        <v>1</v>
      </c>
      <c r="O24" s="20">
        <f t="shared" ca="1" si="18"/>
        <v>332</v>
      </c>
      <c r="P24" s="20">
        <f t="shared" ca="1" si="18"/>
        <v>1</v>
      </c>
      <c r="Q24" s="20">
        <v>3</v>
      </c>
      <c r="R24" s="20">
        <f t="shared" ca="1" si="17"/>
        <v>100</v>
      </c>
      <c r="S24" s="20">
        <f t="shared" ca="1" si="17"/>
        <v>0</v>
      </c>
      <c r="T24" s="20">
        <f t="shared" ca="1" si="17"/>
        <v>0</v>
      </c>
      <c r="U24" s="20">
        <f t="shared" ca="1" si="17"/>
        <v>0</v>
      </c>
      <c r="V24" s="20">
        <f t="shared" ca="1" si="17"/>
        <v>0</v>
      </c>
      <c r="W24" s="20">
        <f t="shared" ca="1" si="17"/>
        <v>1</v>
      </c>
    </row>
    <row r="25" spans="1:23" x14ac:dyDescent="0.15">
      <c r="A25" s="25" t="str">
        <f t="shared" ca="1" si="3"/>
        <v>1_4-1/336&lt;lv1&gt;</v>
      </c>
      <c r="B25" s="20">
        <f t="shared" ca="1" si="16"/>
        <v>1</v>
      </c>
      <c r="C25" s="20">
        <f t="shared" ca="1" si="18"/>
        <v>4</v>
      </c>
      <c r="D25" s="20">
        <f t="shared" ca="1" si="18"/>
        <v>1</v>
      </c>
      <c r="E25" s="20">
        <f t="shared" ca="1" si="18"/>
        <v>336</v>
      </c>
      <c r="F25" s="20">
        <f t="shared" ca="1" si="18"/>
        <v>1</v>
      </c>
      <c r="G25" s="20">
        <f t="shared" ca="1" si="17"/>
        <v>1</v>
      </c>
      <c r="H25" s="20">
        <f t="shared" ca="1" si="17"/>
        <v>1</v>
      </c>
      <c r="I25" s="20">
        <f t="shared" ca="1" si="17"/>
        <v>0</v>
      </c>
      <c r="J25" s="20">
        <v>0</v>
      </c>
      <c r="K25" s="20">
        <f t="shared" ca="1" si="18"/>
        <v>0</v>
      </c>
      <c r="L25" s="20">
        <f t="shared" ca="1" si="18"/>
        <v>100</v>
      </c>
      <c r="M25" s="20">
        <f t="shared" ca="1" si="18"/>
        <v>0</v>
      </c>
      <c r="N25" s="20">
        <v>1</v>
      </c>
      <c r="O25" s="20">
        <f t="shared" ca="1" si="18"/>
        <v>336</v>
      </c>
      <c r="P25" s="20">
        <f t="shared" ca="1" si="18"/>
        <v>1</v>
      </c>
      <c r="Q25" s="20">
        <v>3</v>
      </c>
      <c r="R25" s="20">
        <f t="shared" ca="1" si="17"/>
        <v>100</v>
      </c>
      <c r="S25" s="20">
        <f t="shared" ca="1" si="17"/>
        <v>0</v>
      </c>
      <c r="T25" s="20">
        <f t="shared" ca="1" si="17"/>
        <v>0</v>
      </c>
      <c r="U25" s="20">
        <f t="shared" ca="1" si="17"/>
        <v>0</v>
      </c>
      <c r="V25" s="20">
        <f t="shared" ca="1" si="17"/>
        <v>0</v>
      </c>
      <c r="W25" s="20">
        <f t="shared" ca="1" si="17"/>
        <v>1</v>
      </c>
    </row>
    <row r="26" spans="1:23" x14ac:dyDescent="0.15">
      <c r="A26" s="25" t="str">
        <f t="shared" ca="1" si="3"/>
        <v>1_4-1/344&lt;lv1&gt;</v>
      </c>
      <c r="B26" s="20">
        <f t="shared" ca="1" si="16"/>
        <v>1</v>
      </c>
      <c r="C26" s="20">
        <f t="shared" ca="1" si="18"/>
        <v>4</v>
      </c>
      <c r="D26" s="20">
        <f t="shared" ca="1" si="18"/>
        <v>1</v>
      </c>
      <c r="E26" s="20">
        <f t="shared" ca="1" si="18"/>
        <v>344</v>
      </c>
      <c r="F26" s="20">
        <f t="shared" ca="1" si="18"/>
        <v>1</v>
      </c>
      <c r="G26" s="20">
        <f t="shared" ca="1" si="17"/>
        <v>1</v>
      </c>
      <c r="H26" s="20">
        <f t="shared" ca="1" si="17"/>
        <v>1</v>
      </c>
      <c r="I26" s="20">
        <f t="shared" ca="1" si="17"/>
        <v>0</v>
      </c>
      <c r="J26" s="20">
        <v>0</v>
      </c>
      <c r="K26" s="20">
        <f t="shared" ca="1" si="18"/>
        <v>0</v>
      </c>
      <c r="L26" s="20">
        <f t="shared" ca="1" si="18"/>
        <v>100</v>
      </c>
      <c r="M26" s="20">
        <f t="shared" ca="1" si="18"/>
        <v>0</v>
      </c>
      <c r="N26" s="20">
        <v>1</v>
      </c>
      <c r="O26" s="20">
        <f t="shared" ca="1" si="18"/>
        <v>344</v>
      </c>
      <c r="P26" s="20">
        <f t="shared" ca="1" si="18"/>
        <v>1</v>
      </c>
      <c r="Q26" s="20">
        <v>3</v>
      </c>
      <c r="R26" s="20">
        <f t="shared" ca="1" si="17"/>
        <v>0</v>
      </c>
      <c r="S26" s="20">
        <f t="shared" ca="1" si="17"/>
        <v>0</v>
      </c>
      <c r="T26" s="20">
        <f t="shared" ca="1" si="17"/>
        <v>0</v>
      </c>
      <c r="U26" s="20">
        <f t="shared" ca="1" si="17"/>
        <v>0</v>
      </c>
      <c r="V26" s="20">
        <f t="shared" ca="1" si="17"/>
        <v>0</v>
      </c>
      <c r="W26" s="20">
        <f t="shared" ca="1" si="17"/>
        <v>1</v>
      </c>
    </row>
    <row r="27" spans="1:23" x14ac:dyDescent="0.15">
      <c r="A27" s="25" t="str">
        <f t="shared" ca="1" si="3"/>
        <v>1_4-1/340&lt;lv1&gt;</v>
      </c>
      <c r="B27" s="20">
        <f t="shared" ca="1" si="16"/>
        <v>1</v>
      </c>
      <c r="C27" s="20">
        <f t="shared" ca="1" si="16"/>
        <v>4</v>
      </c>
      <c r="D27" s="20">
        <f t="shared" ca="1" si="16"/>
        <v>1</v>
      </c>
      <c r="E27" s="20">
        <f t="shared" ca="1" si="16"/>
        <v>340</v>
      </c>
      <c r="F27" s="20">
        <f t="shared" ca="1" si="16"/>
        <v>1</v>
      </c>
      <c r="G27" s="20">
        <f t="shared" ca="1" si="17"/>
        <v>1</v>
      </c>
      <c r="H27" s="20">
        <f t="shared" ca="1" si="17"/>
        <v>1</v>
      </c>
      <c r="I27" s="20">
        <f t="shared" ca="1" si="17"/>
        <v>0</v>
      </c>
      <c r="J27" s="20">
        <v>0</v>
      </c>
      <c r="K27" s="20">
        <f t="shared" ca="1" si="16"/>
        <v>0</v>
      </c>
      <c r="L27" s="20">
        <f t="shared" ca="1" si="16"/>
        <v>100</v>
      </c>
      <c r="M27" s="20">
        <f t="shared" ca="1" si="16"/>
        <v>0</v>
      </c>
      <c r="N27" s="20">
        <v>1</v>
      </c>
      <c r="O27" s="20">
        <f t="shared" ca="1" si="16"/>
        <v>340</v>
      </c>
      <c r="P27" s="20">
        <f t="shared" ca="1" si="16"/>
        <v>1</v>
      </c>
      <c r="Q27" s="20">
        <v>3</v>
      </c>
      <c r="R27" s="20">
        <f t="shared" ca="1" si="17"/>
        <v>0</v>
      </c>
      <c r="S27" s="20">
        <f t="shared" ca="1" si="17"/>
        <v>0</v>
      </c>
      <c r="T27" s="20">
        <f t="shared" ca="1" si="17"/>
        <v>0</v>
      </c>
      <c r="U27" s="20">
        <f t="shared" ca="1" si="17"/>
        <v>0</v>
      </c>
      <c r="V27" s="20">
        <f t="shared" ca="1" si="17"/>
        <v>0</v>
      </c>
      <c r="W27" s="20">
        <f t="shared" ca="1" si="17"/>
        <v>1</v>
      </c>
    </row>
    <row r="28" spans="1:23" x14ac:dyDescent="0.15">
      <c r="A28" s="25" t="str">
        <f t="shared" ca="1" si="3"/>
        <v>1_4-2/332&lt;lv1&gt;</v>
      </c>
      <c r="B28" s="20">
        <f t="shared" ca="1" si="16"/>
        <v>1</v>
      </c>
      <c r="C28" s="20">
        <f t="shared" ca="1" si="16"/>
        <v>4</v>
      </c>
      <c r="D28" s="20">
        <f t="shared" ca="1" si="16"/>
        <v>2</v>
      </c>
      <c r="E28" s="20">
        <f t="shared" ca="1" si="16"/>
        <v>332</v>
      </c>
      <c r="F28" s="20">
        <f t="shared" ca="1" si="16"/>
        <v>1</v>
      </c>
      <c r="G28" s="20">
        <f t="shared" ca="1" si="17"/>
        <v>1</v>
      </c>
      <c r="H28" s="20">
        <f t="shared" ca="1" si="17"/>
        <v>1</v>
      </c>
      <c r="I28" s="20">
        <f t="shared" ca="1" si="17"/>
        <v>0</v>
      </c>
      <c r="J28" s="20">
        <v>0</v>
      </c>
      <c r="K28" s="20">
        <f t="shared" ca="1" si="16"/>
        <v>0</v>
      </c>
      <c r="L28" s="20">
        <f t="shared" ca="1" si="16"/>
        <v>100</v>
      </c>
      <c r="M28" s="20">
        <f t="shared" ca="1" si="16"/>
        <v>0</v>
      </c>
      <c r="N28" s="20">
        <v>1</v>
      </c>
      <c r="O28" s="20">
        <f t="shared" ca="1" si="16"/>
        <v>332</v>
      </c>
      <c r="P28" s="20">
        <f t="shared" ca="1" si="16"/>
        <v>1</v>
      </c>
      <c r="Q28" s="20">
        <v>3</v>
      </c>
      <c r="R28" s="20">
        <f t="shared" ca="1" si="17"/>
        <v>0</v>
      </c>
      <c r="S28" s="20">
        <f t="shared" ca="1" si="17"/>
        <v>0</v>
      </c>
      <c r="T28" s="20">
        <f t="shared" ca="1" si="17"/>
        <v>0</v>
      </c>
      <c r="U28" s="20">
        <f t="shared" ca="1" si="17"/>
        <v>0</v>
      </c>
      <c r="V28" s="20">
        <f t="shared" ca="1" si="17"/>
        <v>0</v>
      </c>
      <c r="W28" s="20">
        <f t="shared" ca="1" si="17"/>
        <v>1</v>
      </c>
    </row>
    <row r="29" spans="1:23" x14ac:dyDescent="0.15">
      <c r="A29" s="25" t="str">
        <f t="shared" ca="1" si="3"/>
        <v>1_4-2/336&lt;lv1&gt;</v>
      </c>
      <c r="B29" s="20">
        <f t="shared" ca="1" si="16"/>
        <v>1</v>
      </c>
      <c r="C29" s="20">
        <f t="shared" ca="1" si="16"/>
        <v>4</v>
      </c>
      <c r="D29" s="20">
        <f t="shared" ca="1" si="16"/>
        <v>2</v>
      </c>
      <c r="E29" s="20">
        <f t="shared" ca="1" si="16"/>
        <v>336</v>
      </c>
      <c r="F29" s="20">
        <f t="shared" ca="1" si="16"/>
        <v>1</v>
      </c>
      <c r="G29" s="20">
        <f t="shared" ca="1" si="17"/>
        <v>1</v>
      </c>
      <c r="H29" s="20">
        <f t="shared" ca="1" si="17"/>
        <v>1</v>
      </c>
      <c r="I29" s="20">
        <f t="shared" ca="1" si="17"/>
        <v>0</v>
      </c>
      <c r="J29" s="20">
        <v>0</v>
      </c>
      <c r="K29" s="20">
        <f t="shared" ca="1" si="16"/>
        <v>0</v>
      </c>
      <c r="L29" s="20">
        <f t="shared" ca="1" si="16"/>
        <v>100</v>
      </c>
      <c r="M29" s="20">
        <f t="shared" ca="1" si="16"/>
        <v>0</v>
      </c>
      <c r="N29" s="20">
        <v>1</v>
      </c>
      <c r="O29" s="20">
        <f t="shared" ca="1" si="16"/>
        <v>336</v>
      </c>
      <c r="P29" s="20">
        <f t="shared" ca="1" si="16"/>
        <v>1</v>
      </c>
      <c r="Q29" s="20">
        <v>3</v>
      </c>
      <c r="R29" s="20">
        <f t="shared" ca="1" si="17"/>
        <v>0</v>
      </c>
      <c r="S29" s="20">
        <f t="shared" ca="1" si="17"/>
        <v>0</v>
      </c>
      <c r="T29" s="20">
        <f t="shared" ca="1" si="17"/>
        <v>0</v>
      </c>
      <c r="U29" s="20">
        <f t="shared" ca="1" si="17"/>
        <v>0</v>
      </c>
      <c r="V29" s="20">
        <f t="shared" ca="1" si="17"/>
        <v>0</v>
      </c>
      <c r="W29" s="20">
        <f t="shared" ca="1" si="17"/>
        <v>1</v>
      </c>
    </row>
    <row r="30" spans="1:23" x14ac:dyDescent="0.15">
      <c r="A30" s="25" t="str">
        <f t="shared" ca="1" si="3"/>
        <v>1_4-2/344&lt;lv1&gt;</v>
      </c>
      <c r="B30" s="20">
        <f t="shared" ca="1" si="16"/>
        <v>1</v>
      </c>
      <c r="C30" s="20">
        <f t="shared" ca="1" si="16"/>
        <v>4</v>
      </c>
      <c r="D30" s="20">
        <f t="shared" ca="1" si="16"/>
        <v>2</v>
      </c>
      <c r="E30" s="20">
        <f t="shared" ca="1" si="16"/>
        <v>344</v>
      </c>
      <c r="F30" s="20">
        <f t="shared" ca="1" si="16"/>
        <v>1</v>
      </c>
      <c r="G30" s="20">
        <f t="shared" ca="1" si="17"/>
        <v>1</v>
      </c>
      <c r="H30" s="20">
        <f t="shared" ca="1" si="17"/>
        <v>1</v>
      </c>
      <c r="I30" s="20">
        <f t="shared" ca="1" si="17"/>
        <v>0</v>
      </c>
      <c r="J30" s="20">
        <v>0</v>
      </c>
      <c r="K30" s="20">
        <f t="shared" ca="1" si="16"/>
        <v>0</v>
      </c>
      <c r="L30" s="20">
        <f t="shared" ca="1" si="16"/>
        <v>100</v>
      </c>
      <c r="M30" s="20">
        <f t="shared" ca="1" si="16"/>
        <v>0</v>
      </c>
      <c r="N30" s="20">
        <v>1</v>
      </c>
      <c r="O30" s="20">
        <f t="shared" ca="1" si="16"/>
        <v>344</v>
      </c>
      <c r="P30" s="20">
        <f t="shared" ca="1" si="16"/>
        <v>1</v>
      </c>
      <c r="Q30" s="20">
        <v>3</v>
      </c>
      <c r="R30" s="20">
        <f t="shared" ca="1" si="17"/>
        <v>100</v>
      </c>
      <c r="S30" s="20">
        <f t="shared" ca="1" si="17"/>
        <v>0</v>
      </c>
      <c r="T30" s="20">
        <f t="shared" ca="1" si="17"/>
        <v>0</v>
      </c>
      <c r="U30" s="20">
        <f t="shared" ca="1" si="17"/>
        <v>0</v>
      </c>
      <c r="V30" s="20">
        <f t="shared" ca="1" si="17"/>
        <v>0</v>
      </c>
      <c r="W30" s="20">
        <f t="shared" ca="1" si="17"/>
        <v>1</v>
      </c>
    </row>
    <row r="31" spans="1:23" x14ac:dyDescent="0.15">
      <c r="A31" s="25" t="str">
        <f t="shared" ca="1" si="3"/>
        <v>1_4-2/340&lt;lv1&gt;</v>
      </c>
      <c r="B31" s="20">
        <f t="shared" ca="1" si="16"/>
        <v>1</v>
      </c>
      <c r="C31" s="20">
        <f t="shared" ca="1" si="16"/>
        <v>4</v>
      </c>
      <c r="D31" s="20">
        <f t="shared" ca="1" si="16"/>
        <v>2</v>
      </c>
      <c r="E31" s="20">
        <f t="shared" ca="1" si="16"/>
        <v>340</v>
      </c>
      <c r="F31" s="20">
        <f t="shared" ca="1" si="16"/>
        <v>1</v>
      </c>
      <c r="G31" s="20">
        <f t="shared" ca="1" si="17"/>
        <v>1</v>
      </c>
      <c r="H31" s="20">
        <f t="shared" ca="1" si="17"/>
        <v>1</v>
      </c>
      <c r="I31" s="20">
        <f t="shared" ca="1" si="17"/>
        <v>0</v>
      </c>
      <c r="J31" s="20">
        <v>0</v>
      </c>
      <c r="K31" s="20">
        <f t="shared" ca="1" si="16"/>
        <v>0</v>
      </c>
      <c r="L31" s="20">
        <f t="shared" ca="1" si="16"/>
        <v>100</v>
      </c>
      <c r="M31" s="20">
        <f t="shared" ca="1" si="16"/>
        <v>0</v>
      </c>
      <c r="N31" s="20">
        <v>1</v>
      </c>
      <c r="O31" s="20">
        <f t="shared" ca="1" si="16"/>
        <v>340</v>
      </c>
      <c r="P31" s="20">
        <f t="shared" ca="1" si="16"/>
        <v>1</v>
      </c>
      <c r="Q31" s="20">
        <v>3</v>
      </c>
      <c r="R31" s="20">
        <f t="shared" ca="1" si="17"/>
        <v>100</v>
      </c>
      <c r="S31" s="20">
        <f t="shared" ca="1" si="17"/>
        <v>0</v>
      </c>
      <c r="T31" s="20">
        <f t="shared" ca="1" si="17"/>
        <v>0</v>
      </c>
      <c r="U31" s="20">
        <f t="shared" ca="1" si="17"/>
        <v>0</v>
      </c>
      <c r="V31" s="20">
        <f t="shared" ca="1" si="17"/>
        <v>0</v>
      </c>
      <c r="W31" s="20">
        <f t="shared" ca="1" si="17"/>
        <v>1</v>
      </c>
    </row>
    <row r="32" spans="1:23" x14ac:dyDescent="0.15">
      <c r="A32" s="25" t="str">
        <f t="shared" ca="1" si="3"/>
        <v>1_4-3/333&lt;lv1&gt;</v>
      </c>
      <c r="B32" s="20">
        <f t="shared" ca="1" si="16"/>
        <v>1</v>
      </c>
      <c r="C32" s="20">
        <f t="shared" ca="1" si="16"/>
        <v>4</v>
      </c>
      <c r="D32" s="20">
        <f t="shared" ca="1" si="16"/>
        <v>3</v>
      </c>
      <c r="E32" s="20">
        <f t="shared" ca="1" si="16"/>
        <v>333</v>
      </c>
      <c r="F32" s="20">
        <f t="shared" ca="1" si="16"/>
        <v>1</v>
      </c>
      <c r="G32" s="20">
        <f t="shared" ca="1" si="17"/>
        <v>1</v>
      </c>
      <c r="H32" s="20">
        <f t="shared" ca="1" si="17"/>
        <v>1</v>
      </c>
      <c r="I32" s="20">
        <f t="shared" ca="1" si="17"/>
        <v>0</v>
      </c>
      <c r="J32" s="20">
        <v>0</v>
      </c>
      <c r="K32" s="20">
        <f t="shared" ca="1" si="16"/>
        <v>1</v>
      </c>
      <c r="L32" s="20">
        <f t="shared" ca="1" si="16"/>
        <v>100</v>
      </c>
      <c r="M32" s="20">
        <f t="shared" ca="1" si="16"/>
        <v>0</v>
      </c>
      <c r="N32" s="20">
        <v>2</v>
      </c>
      <c r="O32" s="20">
        <f t="shared" ca="1" si="16"/>
        <v>333</v>
      </c>
      <c r="P32" s="20">
        <f t="shared" ca="1" si="16"/>
        <v>1</v>
      </c>
      <c r="Q32" s="20">
        <v>4</v>
      </c>
      <c r="R32" s="20">
        <f t="shared" ca="1" si="17"/>
        <v>100</v>
      </c>
      <c r="S32" s="20">
        <f t="shared" ca="1" si="17"/>
        <v>0</v>
      </c>
      <c r="T32" s="20">
        <f t="shared" ca="1" si="17"/>
        <v>0</v>
      </c>
      <c r="U32" s="20">
        <f t="shared" ca="1" si="17"/>
        <v>0</v>
      </c>
      <c r="V32" s="20">
        <f t="shared" ca="1" si="17"/>
        <v>0</v>
      </c>
      <c r="W32" s="20">
        <f t="shared" ca="1" si="17"/>
        <v>1</v>
      </c>
    </row>
    <row r="33" spans="1:23" x14ac:dyDescent="0.15">
      <c r="A33" s="25" t="str">
        <f t="shared" ca="1" si="3"/>
        <v>1_4-3/337&lt;lv1&gt;</v>
      </c>
      <c r="B33" s="20">
        <f t="shared" ca="1" si="16"/>
        <v>1</v>
      </c>
      <c r="C33" s="20">
        <f t="shared" ca="1" si="16"/>
        <v>4</v>
      </c>
      <c r="D33" s="20">
        <f t="shared" ca="1" si="16"/>
        <v>3</v>
      </c>
      <c r="E33" s="20">
        <f t="shared" ca="1" si="16"/>
        <v>337</v>
      </c>
      <c r="F33" s="20">
        <f t="shared" ca="1" si="16"/>
        <v>1</v>
      </c>
      <c r="G33" s="20">
        <f t="shared" ca="1" si="17"/>
        <v>1</v>
      </c>
      <c r="H33" s="20">
        <f t="shared" ca="1" si="17"/>
        <v>1</v>
      </c>
      <c r="I33" s="20">
        <f t="shared" ca="1" si="17"/>
        <v>0</v>
      </c>
      <c r="J33" s="20">
        <v>0</v>
      </c>
      <c r="K33" s="20">
        <f t="shared" ca="1" si="16"/>
        <v>1</v>
      </c>
      <c r="L33" s="20">
        <f t="shared" ca="1" si="16"/>
        <v>100</v>
      </c>
      <c r="M33" s="20">
        <f t="shared" ca="1" si="16"/>
        <v>0</v>
      </c>
      <c r="N33" s="20">
        <v>2</v>
      </c>
      <c r="O33" s="20">
        <f t="shared" ca="1" si="16"/>
        <v>337</v>
      </c>
      <c r="P33" s="20">
        <f t="shared" ca="1" si="16"/>
        <v>1</v>
      </c>
      <c r="Q33" s="20">
        <v>4</v>
      </c>
      <c r="R33" s="20">
        <f t="shared" ca="1" si="17"/>
        <v>100</v>
      </c>
      <c r="S33" s="20">
        <f t="shared" ca="1" si="17"/>
        <v>0</v>
      </c>
      <c r="T33" s="20">
        <f t="shared" ca="1" si="17"/>
        <v>0</v>
      </c>
      <c r="U33" s="20">
        <f t="shared" ca="1" si="17"/>
        <v>0</v>
      </c>
      <c r="V33" s="20">
        <f t="shared" ca="1" si="17"/>
        <v>0</v>
      </c>
      <c r="W33" s="20">
        <f t="shared" ca="1" si="17"/>
        <v>1</v>
      </c>
    </row>
    <row r="34" spans="1:23" x14ac:dyDescent="0.15">
      <c r="A34" s="25" t="str">
        <f t="shared" ca="1" si="3"/>
        <v>1_4-3/345&lt;lv1&gt;</v>
      </c>
      <c r="B34" s="20">
        <f t="shared" ca="1" si="16"/>
        <v>1</v>
      </c>
      <c r="C34" s="20">
        <f t="shared" ca="1" si="16"/>
        <v>4</v>
      </c>
      <c r="D34" s="20">
        <f t="shared" ca="1" si="16"/>
        <v>3</v>
      </c>
      <c r="E34" s="20">
        <f t="shared" ca="1" si="16"/>
        <v>345</v>
      </c>
      <c r="F34" s="20">
        <f t="shared" ca="1" si="16"/>
        <v>1</v>
      </c>
      <c r="G34" s="20">
        <f t="shared" ca="1" si="17"/>
        <v>1</v>
      </c>
      <c r="H34" s="20">
        <f t="shared" ca="1" si="17"/>
        <v>1</v>
      </c>
      <c r="I34" s="20">
        <f t="shared" ca="1" si="17"/>
        <v>0</v>
      </c>
      <c r="J34" s="20">
        <v>0</v>
      </c>
      <c r="K34" s="20">
        <f t="shared" ca="1" si="16"/>
        <v>1</v>
      </c>
      <c r="L34" s="20">
        <f t="shared" ca="1" si="16"/>
        <v>100</v>
      </c>
      <c r="M34" s="20">
        <f t="shared" ca="1" si="16"/>
        <v>0</v>
      </c>
      <c r="N34" s="20">
        <v>2</v>
      </c>
      <c r="O34" s="20">
        <f t="shared" ca="1" si="16"/>
        <v>345</v>
      </c>
      <c r="P34" s="20">
        <f t="shared" ca="1" si="16"/>
        <v>1</v>
      </c>
      <c r="Q34" s="20">
        <v>4</v>
      </c>
      <c r="R34" s="20">
        <f t="shared" ca="1" si="17"/>
        <v>100</v>
      </c>
      <c r="S34" s="20">
        <f t="shared" ca="1" si="17"/>
        <v>0</v>
      </c>
      <c r="T34" s="20">
        <f t="shared" ca="1" si="17"/>
        <v>0</v>
      </c>
      <c r="U34" s="20">
        <f t="shared" ca="1" si="17"/>
        <v>0</v>
      </c>
      <c r="V34" s="20">
        <f t="shared" ca="1" si="17"/>
        <v>0</v>
      </c>
      <c r="W34" s="20">
        <f t="shared" ca="1" si="17"/>
        <v>1</v>
      </c>
    </row>
    <row r="35" spans="1:23" x14ac:dyDescent="0.15">
      <c r="A35" s="25" t="str">
        <f t="shared" ca="1" si="3"/>
        <v>1_4-3/341&lt;lv1&gt;</v>
      </c>
      <c r="B35" s="20">
        <f t="shared" ref="B35:W35" ca="1" si="19">VLOOKUP($A35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</v>
      </c>
      <c r="C35" s="20">
        <f t="shared" ca="1" si="19"/>
        <v>4</v>
      </c>
      <c r="D35" s="20">
        <f t="shared" ca="1" si="19"/>
        <v>3</v>
      </c>
      <c r="E35" s="20">
        <f t="shared" ca="1" si="19"/>
        <v>341</v>
      </c>
      <c r="F35" s="20">
        <f t="shared" ca="1" si="19"/>
        <v>1</v>
      </c>
      <c r="G35" s="20">
        <f t="shared" ca="1" si="19"/>
        <v>1</v>
      </c>
      <c r="H35" s="20">
        <f t="shared" ca="1" si="19"/>
        <v>1</v>
      </c>
      <c r="I35" s="20">
        <f t="shared" ca="1" si="19"/>
        <v>0</v>
      </c>
      <c r="J35" s="20">
        <v>0</v>
      </c>
      <c r="K35" s="20">
        <f t="shared" ca="1" si="19"/>
        <v>1</v>
      </c>
      <c r="L35" s="20">
        <f t="shared" ca="1" si="19"/>
        <v>100</v>
      </c>
      <c r="M35" s="20">
        <f t="shared" ca="1" si="19"/>
        <v>0</v>
      </c>
      <c r="N35" s="20">
        <v>2</v>
      </c>
      <c r="O35" s="20">
        <f t="shared" ca="1" si="19"/>
        <v>341</v>
      </c>
      <c r="P35" s="20">
        <f t="shared" ca="1" si="19"/>
        <v>1</v>
      </c>
      <c r="Q35" s="20">
        <v>4</v>
      </c>
      <c r="R35" s="20">
        <f t="shared" ca="1" si="19"/>
        <v>100</v>
      </c>
      <c r="S35" s="20">
        <f t="shared" ca="1" si="19"/>
        <v>0</v>
      </c>
      <c r="T35" s="20">
        <f t="shared" ca="1" si="19"/>
        <v>0</v>
      </c>
      <c r="U35" s="20">
        <f t="shared" ca="1" si="19"/>
        <v>0</v>
      </c>
      <c r="V35" s="20">
        <f t="shared" ca="1" si="19"/>
        <v>0</v>
      </c>
      <c r="W35" s="20">
        <f t="shared" ca="1" si="19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floors_DL0</vt:lpstr>
      <vt:lpstr>enemy_habitats_DL0</vt:lpstr>
      <vt:lpstr>floors_DL0.tmp</vt:lpstr>
      <vt:lpstr>enemy_habitats_DL0.tmp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2017-03-09T12:13:36Z</dcterms:modified>
</cp:coreProperties>
</file>