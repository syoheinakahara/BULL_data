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460" yWindow="460" windowWidth="25140" windowHeight="14640" tabRatio="943" activeTab="2"/>
  </bookViews>
  <sheets>
    <sheet name="確率の考え方" sheetId="110" r:id="rId1"/>
    <sheet name="Sheet1" sheetId="107" r:id="rId2"/>
    <sheet name="output" sheetId="103" r:id="rId3"/>
    <sheet name="tables_210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tables_210!$A$1:$V$17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8" i="117" l="1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20" i="117"/>
  <c r="D20" i="117"/>
  <c r="J20" i="117"/>
  <c r="E20" i="117"/>
  <c r="F20" i="117"/>
  <c r="C20" i="117"/>
  <c r="H20" i="117"/>
  <c r="K20" i="117"/>
  <c r="L20" i="117"/>
  <c r="M20" i="117"/>
  <c r="N20" i="117"/>
  <c r="P20" i="117"/>
  <c r="I21" i="117"/>
  <c r="D21" i="117"/>
  <c r="J21" i="117"/>
  <c r="E21" i="117"/>
  <c r="F21" i="117"/>
  <c r="C21" i="117"/>
  <c r="H21" i="117"/>
  <c r="K21" i="117"/>
  <c r="L21" i="117"/>
  <c r="M21" i="117"/>
  <c r="N21" i="117"/>
  <c r="P21" i="117"/>
  <c r="I22" i="117"/>
  <c r="D22" i="117"/>
  <c r="J22" i="117"/>
  <c r="E22" i="117"/>
  <c r="F22" i="117"/>
  <c r="C22" i="117"/>
  <c r="H22" i="117"/>
  <c r="K22" i="117"/>
  <c r="L22" i="117"/>
  <c r="M22" i="117"/>
  <c r="N22" i="117"/>
  <c r="P22" i="117"/>
  <c r="I23" i="117"/>
  <c r="D23" i="117"/>
  <c r="J23" i="117"/>
  <c r="E23" i="117"/>
  <c r="F23" i="117"/>
  <c r="C23" i="117"/>
  <c r="H23" i="117"/>
  <c r="K23" i="117"/>
  <c r="L23" i="117"/>
  <c r="M23" i="117"/>
  <c r="N23" i="117"/>
  <c r="P23" i="117"/>
  <c r="I24" i="117"/>
  <c r="D24" i="117"/>
  <c r="J24" i="117"/>
  <c r="E24" i="117"/>
  <c r="F24" i="117"/>
  <c r="C24" i="117"/>
  <c r="H24" i="117"/>
  <c r="K24" i="117"/>
  <c r="L24" i="117"/>
  <c r="M24" i="117"/>
  <c r="N24" i="117"/>
  <c r="P24" i="117"/>
  <c r="I25" i="117"/>
  <c r="D25" i="117"/>
  <c r="J25" i="117"/>
  <c r="E25" i="117"/>
  <c r="F25" i="117"/>
  <c r="C25" i="117"/>
  <c r="H25" i="117"/>
  <c r="K25" i="117"/>
  <c r="L25" i="117"/>
  <c r="M25" i="117"/>
  <c r="N25" i="117"/>
  <c r="P25" i="117"/>
  <c r="I26" i="117"/>
  <c r="D26" i="117"/>
  <c r="J26" i="117"/>
  <c r="E26" i="117"/>
  <c r="F26" i="117"/>
  <c r="C26" i="117"/>
  <c r="H26" i="117"/>
  <c r="K26" i="117"/>
  <c r="L26" i="117"/>
  <c r="M26" i="117"/>
  <c r="N26" i="117"/>
  <c r="P26" i="117"/>
  <c r="I27" i="117"/>
  <c r="D27" i="117"/>
  <c r="J27" i="117"/>
  <c r="E27" i="117"/>
  <c r="F27" i="117"/>
  <c r="C27" i="117"/>
  <c r="H27" i="117"/>
  <c r="K27" i="117"/>
  <c r="L27" i="117"/>
  <c r="M27" i="117"/>
  <c r="N27" i="117"/>
  <c r="P27" i="117"/>
  <c r="I28" i="117"/>
  <c r="D28" i="117"/>
  <c r="J28" i="117"/>
  <c r="E28" i="117"/>
  <c r="F28" i="117"/>
  <c r="C28" i="117"/>
  <c r="H28" i="117"/>
  <c r="K28" i="117"/>
  <c r="L28" i="117"/>
  <c r="M28" i="117"/>
  <c r="N28" i="117"/>
  <c r="P28" i="117"/>
  <c r="I29" i="117"/>
  <c r="D29" i="117"/>
  <c r="J29" i="117"/>
  <c r="E29" i="117"/>
  <c r="F29" i="117"/>
  <c r="C29" i="117"/>
  <c r="H29" i="117"/>
  <c r="K29" i="117"/>
  <c r="L29" i="117"/>
  <c r="M29" i="117"/>
  <c r="N29" i="117"/>
  <c r="P29" i="117"/>
  <c r="I30" i="117"/>
  <c r="D30" i="117"/>
  <c r="J30" i="117"/>
  <c r="E30" i="117"/>
  <c r="F30" i="117"/>
  <c r="C30" i="117"/>
  <c r="H30" i="117"/>
  <c r="K30" i="117"/>
  <c r="L30" i="117"/>
  <c r="M30" i="117"/>
  <c r="N30" i="117"/>
  <c r="P30" i="117"/>
  <c r="I31" i="117"/>
  <c r="D31" i="117"/>
  <c r="J31" i="117"/>
  <c r="E31" i="117"/>
  <c r="F31" i="117"/>
  <c r="C31" i="117"/>
  <c r="H31" i="117"/>
  <c r="K31" i="117"/>
  <c r="L31" i="117"/>
  <c r="M31" i="117"/>
  <c r="N31" i="117"/>
  <c r="P31" i="117"/>
  <c r="I32" i="117"/>
  <c r="D32" i="117"/>
  <c r="J32" i="117"/>
  <c r="E32" i="117"/>
  <c r="F32" i="117"/>
  <c r="C32" i="117"/>
  <c r="H32" i="117"/>
  <c r="K32" i="117"/>
  <c r="L32" i="117"/>
  <c r="M32" i="117"/>
  <c r="N32" i="117"/>
  <c r="P32" i="117"/>
  <c r="I33" i="117"/>
  <c r="D33" i="117"/>
  <c r="J33" i="117"/>
  <c r="E33" i="117"/>
  <c r="F33" i="117"/>
  <c r="C33" i="117"/>
  <c r="H33" i="117"/>
  <c r="K33" i="117"/>
  <c r="L33" i="117"/>
  <c r="M33" i="117"/>
  <c r="N33" i="117"/>
  <c r="P33" i="117"/>
  <c r="I34" i="117"/>
  <c r="D34" i="117"/>
  <c r="J34" i="117"/>
  <c r="E34" i="117"/>
  <c r="F34" i="117"/>
  <c r="C34" i="117"/>
  <c r="H34" i="117"/>
  <c r="K34" i="117"/>
  <c r="L34" i="117"/>
  <c r="M34" i="117"/>
  <c r="N34" i="117"/>
  <c r="P34" i="117"/>
  <c r="I35" i="117"/>
  <c r="D35" i="117"/>
  <c r="J35" i="117"/>
  <c r="E35" i="117"/>
  <c r="F35" i="117"/>
  <c r="C35" i="117"/>
  <c r="H35" i="117"/>
  <c r="K35" i="117"/>
  <c r="L35" i="117"/>
  <c r="M35" i="117"/>
  <c r="N35" i="117"/>
  <c r="P35" i="117"/>
  <c r="I36" i="117"/>
  <c r="D36" i="117"/>
  <c r="J36" i="117"/>
  <c r="E36" i="117"/>
  <c r="F36" i="117"/>
  <c r="C36" i="117"/>
  <c r="H36" i="117"/>
  <c r="K36" i="117"/>
  <c r="L36" i="117"/>
  <c r="M36" i="117"/>
  <c r="N36" i="117"/>
  <c r="P36" i="117"/>
  <c r="I37" i="117"/>
  <c r="D37" i="117"/>
  <c r="J37" i="117"/>
  <c r="E37" i="117"/>
  <c r="F37" i="117"/>
  <c r="C37" i="117"/>
  <c r="H37" i="117"/>
  <c r="K37" i="117"/>
  <c r="L37" i="117"/>
  <c r="M37" i="117"/>
  <c r="N37" i="117"/>
  <c r="P37" i="117"/>
  <c r="I38" i="117"/>
  <c r="D38" i="117"/>
  <c r="J38" i="117"/>
  <c r="E38" i="117"/>
  <c r="F38" i="117"/>
  <c r="C38" i="117"/>
  <c r="H38" i="117"/>
  <c r="K38" i="117"/>
  <c r="L38" i="117"/>
  <c r="M38" i="117"/>
  <c r="N38" i="117"/>
  <c r="P38" i="117"/>
  <c r="I39" i="117"/>
  <c r="D39" i="117"/>
  <c r="J39" i="117"/>
  <c r="E39" i="117"/>
  <c r="F39" i="117"/>
  <c r="C39" i="117"/>
  <c r="H39" i="117"/>
  <c r="K39" i="117"/>
  <c r="L39" i="117"/>
  <c r="M39" i="117"/>
  <c r="N39" i="117"/>
  <c r="P39" i="117"/>
  <c r="I40" i="117"/>
  <c r="D40" i="117"/>
  <c r="J40" i="117"/>
  <c r="E40" i="117"/>
  <c r="F40" i="117"/>
  <c r="C40" i="117"/>
  <c r="H40" i="117"/>
  <c r="K40" i="117"/>
  <c r="L40" i="117"/>
  <c r="M40" i="117"/>
  <c r="N40" i="117"/>
  <c r="P40" i="117"/>
  <c r="I41" i="117"/>
  <c r="D41" i="117"/>
  <c r="J41" i="117"/>
  <c r="E41" i="117"/>
  <c r="F41" i="117"/>
  <c r="C41" i="117"/>
  <c r="H41" i="117"/>
  <c r="K41" i="117"/>
  <c r="L41" i="117"/>
  <c r="M41" i="117"/>
  <c r="N41" i="117"/>
  <c r="P41" i="117"/>
  <c r="I42" i="117"/>
  <c r="D42" i="117"/>
  <c r="J42" i="117"/>
  <c r="E42" i="117"/>
  <c r="F42" i="117"/>
  <c r="C42" i="117"/>
  <c r="H42" i="117"/>
  <c r="K42" i="117"/>
  <c r="L42" i="117"/>
  <c r="M42" i="117"/>
  <c r="N42" i="117"/>
  <c r="P42" i="117"/>
  <c r="I43" i="117"/>
  <c r="D43" i="117"/>
  <c r="J43" i="117"/>
  <c r="E43" i="117"/>
  <c r="F43" i="117"/>
  <c r="C43" i="117"/>
  <c r="H43" i="117"/>
  <c r="K43" i="117"/>
  <c r="L43" i="117"/>
  <c r="M43" i="117"/>
  <c r="N43" i="117"/>
  <c r="P43" i="117"/>
  <c r="I44" i="117"/>
  <c r="D44" i="117"/>
  <c r="J44" i="117"/>
  <c r="E44" i="117"/>
  <c r="F44" i="117"/>
  <c r="C44" i="117"/>
  <c r="H44" i="117"/>
  <c r="K44" i="117"/>
  <c r="L44" i="117"/>
  <c r="M44" i="117"/>
  <c r="N44" i="117"/>
  <c r="P44" i="117"/>
  <c r="I45" i="117"/>
  <c r="D45" i="117"/>
  <c r="J45" i="117"/>
  <c r="E45" i="117"/>
  <c r="F45" i="117"/>
  <c r="C45" i="117"/>
  <c r="H45" i="117"/>
  <c r="K45" i="117"/>
  <c r="L45" i="117"/>
  <c r="M45" i="117"/>
  <c r="N45" i="117"/>
  <c r="P45" i="117"/>
  <c r="I46" i="117"/>
  <c r="D46" i="117"/>
  <c r="J46" i="117"/>
  <c r="E46" i="117"/>
  <c r="F46" i="117"/>
  <c r="C46" i="117"/>
  <c r="H46" i="117"/>
  <c r="K46" i="117"/>
  <c r="L46" i="117"/>
  <c r="M46" i="117"/>
  <c r="N46" i="117"/>
  <c r="P46" i="117"/>
  <c r="I47" i="117"/>
  <c r="D47" i="117"/>
  <c r="J47" i="117"/>
  <c r="E47" i="117"/>
  <c r="F47" i="117"/>
  <c r="C47" i="117"/>
  <c r="H47" i="117"/>
  <c r="K47" i="117"/>
  <c r="L47" i="117"/>
  <c r="M47" i="117"/>
  <c r="N47" i="117"/>
  <c r="P47" i="117"/>
  <c r="I48" i="117"/>
  <c r="D48" i="117"/>
  <c r="J48" i="117"/>
  <c r="E48" i="117"/>
  <c r="F48" i="117"/>
  <c r="C48" i="117"/>
  <c r="H48" i="117"/>
  <c r="K48" i="117"/>
  <c r="L48" i="117"/>
  <c r="M48" i="117"/>
  <c r="N48" i="117"/>
  <c r="P48" i="117"/>
  <c r="I49" i="117"/>
  <c r="D49" i="117"/>
  <c r="J49" i="117"/>
  <c r="E49" i="117"/>
  <c r="F49" i="117"/>
  <c r="C49" i="117"/>
  <c r="H49" i="117"/>
  <c r="K49" i="117"/>
  <c r="L49" i="117"/>
  <c r="M49" i="117"/>
  <c r="N49" i="117"/>
  <c r="P49" i="117"/>
  <c r="I50" i="117"/>
  <c r="D50" i="117"/>
  <c r="J50" i="117"/>
  <c r="E50" i="117"/>
  <c r="F50" i="117"/>
  <c r="C50" i="117"/>
  <c r="H50" i="117"/>
  <c r="K50" i="117"/>
  <c r="L50" i="117"/>
  <c r="M50" i="117"/>
  <c r="N50" i="117"/>
  <c r="P50" i="117"/>
  <c r="I51" i="117"/>
  <c r="D51" i="117"/>
  <c r="J51" i="117"/>
  <c r="E51" i="117"/>
  <c r="F51" i="117"/>
  <c r="C51" i="117"/>
  <c r="H51" i="117"/>
  <c r="K51" i="117"/>
  <c r="L51" i="117"/>
  <c r="M51" i="117"/>
  <c r="N51" i="117"/>
  <c r="P51" i="117"/>
  <c r="I52" i="117"/>
  <c r="D52" i="117"/>
  <c r="J52" i="117"/>
  <c r="E52" i="117"/>
  <c r="F52" i="117"/>
  <c r="C52" i="117"/>
  <c r="H52" i="117"/>
  <c r="K52" i="117"/>
  <c r="L52" i="117"/>
  <c r="M52" i="117"/>
  <c r="N52" i="117"/>
  <c r="P52" i="117"/>
  <c r="I53" i="117"/>
  <c r="D53" i="117"/>
  <c r="J53" i="117"/>
  <c r="E53" i="117"/>
  <c r="F53" i="117"/>
  <c r="C53" i="117"/>
  <c r="H53" i="117"/>
  <c r="K53" i="117"/>
  <c r="L53" i="117"/>
  <c r="M53" i="117"/>
  <c r="N53" i="117"/>
  <c r="P53" i="117"/>
  <c r="I54" i="117"/>
  <c r="D54" i="117"/>
  <c r="J54" i="117"/>
  <c r="E54" i="117"/>
  <c r="F54" i="117"/>
  <c r="C54" i="117"/>
  <c r="H54" i="117"/>
  <c r="K54" i="117"/>
  <c r="L54" i="117"/>
  <c r="M54" i="117"/>
  <c r="N54" i="117"/>
  <c r="P54" i="117"/>
  <c r="I55" i="117"/>
  <c r="D55" i="117"/>
  <c r="J55" i="117"/>
  <c r="E55" i="117"/>
  <c r="F55" i="117"/>
  <c r="C55" i="117"/>
  <c r="H55" i="117"/>
  <c r="K55" i="117"/>
  <c r="L55" i="117"/>
  <c r="M55" i="117"/>
  <c r="N55" i="117"/>
  <c r="P55" i="117"/>
  <c r="I56" i="117"/>
  <c r="D56" i="117"/>
  <c r="J56" i="117"/>
  <c r="E56" i="117"/>
  <c r="F56" i="117"/>
  <c r="C56" i="117"/>
  <c r="H56" i="117"/>
  <c r="K56" i="117"/>
  <c r="L56" i="117"/>
  <c r="M56" i="117"/>
  <c r="N56" i="117"/>
  <c r="P56" i="117"/>
  <c r="I57" i="117"/>
  <c r="D57" i="117"/>
  <c r="J57" i="117"/>
  <c r="E57" i="117"/>
  <c r="F57" i="117"/>
  <c r="C57" i="117"/>
  <c r="H57" i="117"/>
  <c r="K57" i="117"/>
  <c r="L57" i="117"/>
  <c r="M57" i="117"/>
  <c r="N57" i="117"/>
  <c r="P57" i="117"/>
  <c r="I58" i="117"/>
  <c r="D58" i="117"/>
  <c r="J58" i="117"/>
  <c r="E58" i="117"/>
  <c r="F58" i="117"/>
  <c r="C58" i="117"/>
  <c r="H58" i="117"/>
  <c r="K58" i="117"/>
  <c r="L58" i="117"/>
  <c r="M58" i="117"/>
  <c r="N58" i="117"/>
  <c r="P58" i="117"/>
  <c r="I59" i="117"/>
  <c r="D59" i="117"/>
  <c r="J59" i="117"/>
  <c r="E59" i="117"/>
  <c r="F59" i="117"/>
  <c r="C59" i="117"/>
  <c r="H59" i="117"/>
  <c r="K59" i="117"/>
  <c r="L59" i="117"/>
  <c r="M59" i="117"/>
  <c r="N59" i="117"/>
  <c r="P59" i="117"/>
  <c r="I60" i="117"/>
  <c r="D60" i="117"/>
  <c r="J60" i="117"/>
  <c r="E60" i="117"/>
  <c r="F60" i="117"/>
  <c r="C60" i="117"/>
  <c r="H60" i="117"/>
  <c r="K60" i="117"/>
  <c r="L60" i="117"/>
  <c r="M60" i="117"/>
  <c r="N60" i="117"/>
  <c r="P60" i="117"/>
  <c r="I61" i="117"/>
  <c r="D61" i="117"/>
  <c r="J61" i="117"/>
  <c r="E61" i="117"/>
  <c r="F61" i="117"/>
  <c r="C61" i="117"/>
  <c r="H61" i="117"/>
  <c r="K61" i="117"/>
  <c r="L61" i="117"/>
  <c r="M61" i="117"/>
  <c r="N61" i="117"/>
  <c r="P61" i="117"/>
  <c r="I62" i="117"/>
  <c r="D62" i="117"/>
  <c r="J62" i="117"/>
  <c r="E62" i="117"/>
  <c r="F62" i="117"/>
  <c r="C62" i="117"/>
  <c r="H62" i="117"/>
  <c r="K62" i="117"/>
  <c r="L62" i="117"/>
  <c r="M62" i="117"/>
  <c r="N62" i="117"/>
  <c r="P62" i="117"/>
  <c r="I63" i="117"/>
  <c r="D63" i="117"/>
  <c r="J63" i="117"/>
  <c r="E63" i="117"/>
  <c r="F63" i="117"/>
  <c r="C63" i="117"/>
  <c r="H63" i="117"/>
  <c r="K63" i="117"/>
  <c r="L63" i="117"/>
  <c r="M63" i="117"/>
  <c r="N63" i="117"/>
  <c r="P63" i="117"/>
  <c r="I64" i="117"/>
  <c r="D64" i="117"/>
  <c r="J64" i="117"/>
  <c r="E64" i="117"/>
  <c r="F64" i="117"/>
  <c r="C64" i="117"/>
  <c r="H64" i="117"/>
  <c r="K64" i="117"/>
  <c r="L64" i="117"/>
  <c r="M64" i="117"/>
  <c r="N64" i="117"/>
  <c r="P64" i="117"/>
  <c r="I65" i="117"/>
  <c r="D65" i="117"/>
  <c r="J65" i="117"/>
  <c r="E65" i="117"/>
  <c r="F65" i="117"/>
  <c r="C65" i="117"/>
  <c r="H65" i="117"/>
  <c r="K65" i="117"/>
  <c r="L65" i="117"/>
  <c r="M65" i="117"/>
  <c r="N65" i="117"/>
  <c r="P65" i="117"/>
  <c r="I66" i="117"/>
  <c r="D66" i="117"/>
  <c r="J66" i="117"/>
  <c r="E66" i="117"/>
  <c r="F66" i="117"/>
  <c r="C66" i="117"/>
  <c r="H66" i="117"/>
  <c r="K66" i="117"/>
  <c r="L66" i="117"/>
  <c r="M66" i="117"/>
  <c r="N66" i="117"/>
  <c r="P66" i="117"/>
  <c r="I67" i="117"/>
  <c r="D67" i="117"/>
  <c r="J67" i="117"/>
  <c r="E67" i="117"/>
  <c r="F67" i="117"/>
  <c r="C67" i="117"/>
  <c r="H67" i="117"/>
  <c r="K67" i="117"/>
  <c r="L67" i="117"/>
  <c r="M67" i="117"/>
  <c r="N67" i="117"/>
  <c r="P67" i="117"/>
  <c r="I68" i="117"/>
  <c r="D68" i="117"/>
  <c r="J68" i="117"/>
  <c r="E68" i="117"/>
  <c r="F68" i="117"/>
  <c r="C68" i="117"/>
  <c r="H68" i="117"/>
  <c r="K68" i="117"/>
  <c r="L68" i="117"/>
  <c r="M68" i="117"/>
  <c r="N68" i="117"/>
  <c r="P68" i="117"/>
  <c r="I69" i="117"/>
  <c r="D69" i="117"/>
  <c r="J69" i="117"/>
  <c r="E69" i="117"/>
  <c r="F69" i="117"/>
  <c r="C69" i="117"/>
  <c r="H69" i="117"/>
  <c r="K69" i="117"/>
  <c r="L69" i="117"/>
  <c r="M69" i="117"/>
  <c r="N69" i="117"/>
  <c r="P69" i="117"/>
  <c r="I70" i="117"/>
  <c r="D70" i="117"/>
  <c r="J70" i="117"/>
  <c r="E70" i="117"/>
  <c r="F70" i="117"/>
  <c r="C70" i="117"/>
  <c r="H70" i="117"/>
  <c r="K70" i="117"/>
  <c r="L70" i="117"/>
  <c r="M70" i="117"/>
  <c r="N70" i="117"/>
  <c r="P70" i="117"/>
  <c r="I71" i="117"/>
  <c r="D71" i="117"/>
  <c r="J71" i="117"/>
  <c r="E71" i="117"/>
  <c r="F71" i="117"/>
  <c r="C71" i="117"/>
  <c r="H71" i="117"/>
  <c r="K71" i="117"/>
  <c r="L71" i="117"/>
  <c r="M71" i="117"/>
  <c r="N71" i="117"/>
  <c r="P71" i="117"/>
  <c r="I72" i="117"/>
  <c r="D72" i="117"/>
  <c r="J72" i="117"/>
  <c r="E72" i="117"/>
  <c r="F72" i="117"/>
  <c r="C72" i="117"/>
  <c r="H72" i="117"/>
  <c r="K72" i="117"/>
  <c r="L72" i="117"/>
  <c r="M72" i="117"/>
  <c r="N72" i="117"/>
  <c r="P72" i="117"/>
  <c r="I73" i="117"/>
  <c r="D73" i="117"/>
  <c r="J73" i="117"/>
  <c r="E73" i="117"/>
  <c r="F73" i="117"/>
  <c r="C73" i="117"/>
  <c r="H73" i="117"/>
  <c r="K73" i="117"/>
  <c r="L73" i="117"/>
  <c r="M73" i="117"/>
  <c r="N73" i="117"/>
  <c r="P73" i="117"/>
  <c r="I74" i="117"/>
  <c r="D74" i="117"/>
  <c r="J74" i="117"/>
  <c r="E74" i="117"/>
  <c r="F74" i="117"/>
  <c r="C74" i="117"/>
  <c r="H74" i="117"/>
  <c r="K74" i="117"/>
  <c r="L74" i="117"/>
  <c r="M74" i="117"/>
  <c r="N74" i="117"/>
  <c r="P74" i="117"/>
  <c r="I75" i="117"/>
  <c r="D75" i="117"/>
  <c r="J75" i="117"/>
  <c r="E75" i="117"/>
  <c r="F75" i="117"/>
  <c r="C75" i="117"/>
  <c r="H75" i="117"/>
  <c r="K75" i="117"/>
  <c r="L75" i="117"/>
  <c r="M75" i="117"/>
  <c r="N75" i="117"/>
  <c r="P75" i="117"/>
  <c r="I76" i="117"/>
  <c r="D76" i="117"/>
  <c r="J76" i="117"/>
  <c r="E76" i="117"/>
  <c r="F76" i="117"/>
  <c r="C76" i="117"/>
  <c r="H76" i="117"/>
  <c r="K76" i="117"/>
  <c r="L76" i="117"/>
  <c r="M76" i="117"/>
  <c r="N76" i="117"/>
  <c r="P76" i="117"/>
  <c r="I77" i="117"/>
  <c r="D77" i="117"/>
  <c r="J77" i="117"/>
  <c r="E77" i="117"/>
  <c r="F77" i="117"/>
  <c r="C77" i="117"/>
  <c r="H77" i="117"/>
  <c r="K77" i="117"/>
  <c r="L77" i="117"/>
  <c r="M77" i="117"/>
  <c r="N77" i="117"/>
  <c r="P77" i="117"/>
  <c r="I78" i="117"/>
  <c r="D78" i="117"/>
  <c r="J78" i="117"/>
  <c r="E78" i="117"/>
  <c r="F78" i="117"/>
  <c r="C78" i="117"/>
  <c r="H78" i="117"/>
  <c r="K78" i="117"/>
  <c r="L78" i="117"/>
  <c r="M78" i="117"/>
  <c r="N78" i="117"/>
  <c r="P78" i="117"/>
  <c r="I79" i="117"/>
  <c r="D79" i="117"/>
  <c r="J79" i="117"/>
  <c r="E79" i="117"/>
  <c r="F79" i="117"/>
  <c r="C79" i="117"/>
  <c r="H79" i="117"/>
  <c r="K79" i="117"/>
  <c r="L79" i="117"/>
  <c r="M79" i="117"/>
  <c r="N79" i="117"/>
  <c r="P79" i="117"/>
  <c r="I80" i="117"/>
  <c r="D80" i="117"/>
  <c r="J80" i="117"/>
  <c r="E80" i="117"/>
  <c r="F80" i="117"/>
  <c r="C80" i="117"/>
  <c r="H80" i="117"/>
  <c r="K80" i="117"/>
  <c r="L80" i="117"/>
  <c r="M80" i="117"/>
  <c r="N80" i="117"/>
  <c r="P80" i="117"/>
  <c r="I81" i="117"/>
  <c r="D81" i="117"/>
  <c r="J81" i="117"/>
  <c r="E81" i="117"/>
  <c r="F81" i="117"/>
  <c r="C81" i="117"/>
  <c r="H81" i="117"/>
  <c r="K81" i="117"/>
  <c r="L81" i="117"/>
  <c r="M81" i="117"/>
  <c r="N81" i="117"/>
  <c r="P81" i="117"/>
  <c r="D11" i="118"/>
  <c r="D12" i="118"/>
  <c r="D13" i="118"/>
  <c r="D14" i="118"/>
  <c r="D15" i="118"/>
  <c r="D7" i="118"/>
  <c r="D4" i="118"/>
  <c r="D5" i="118"/>
  <c r="D6" i="118"/>
  <c r="D3" i="118"/>
  <c r="P2" i="117"/>
  <c r="P3" i="117"/>
  <c r="P4" i="117"/>
  <c r="P5" i="117"/>
  <c r="P6" i="117"/>
  <c r="P7" i="117"/>
  <c r="P8" i="117"/>
  <c r="P9" i="117"/>
  <c r="P10" i="117"/>
  <c r="P11" i="117"/>
  <c r="P12" i="117"/>
  <c r="P13" i="117"/>
  <c r="P14" i="117"/>
  <c r="C2" i="103"/>
  <c r="I2" i="117"/>
  <c r="D2" i="117"/>
  <c r="J2" i="117"/>
  <c r="E2" i="117"/>
  <c r="F2" i="117"/>
  <c r="C2" i="117"/>
  <c r="I3" i="117"/>
  <c r="D3" i="117"/>
  <c r="J3" i="117"/>
  <c r="E3" i="117"/>
  <c r="F3" i="117"/>
  <c r="C3" i="117"/>
  <c r="I4" i="117"/>
  <c r="D4" i="117"/>
  <c r="J4" i="117"/>
  <c r="E4" i="117"/>
  <c r="F4" i="117"/>
  <c r="C4" i="117"/>
  <c r="I5" i="117"/>
  <c r="D5" i="117"/>
  <c r="J5" i="117"/>
  <c r="E5" i="117"/>
  <c r="F5" i="117"/>
  <c r="C5" i="117"/>
  <c r="I6" i="117"/>
  <c r="D6" i="117"/>
  <c r="J6" i="117"/>
  <c r="E6" i="117"/>
  <c r="F6" i="117"/>
  <c r="C6" i="117"/>
  <c r="I7" i="117"/>
  <c r="D7" i="117"/>
  <c r="J7" i="117"/>
  <c r="E7" i="117"/>
  <c r="F7" i="117"/>
  <c r="C7" i="117"/>
  <c r="I8" i="117"/>
  <c r="D8" i="117"/>
  <c r="J8" i="117"/>
  <c r="E8" i="117"/>
  <c r="F8" i="117"/>
  <c r="C8" i="117"/>
  <c r="I9" i="117"/>
  <c r="D9" i="117"/>
  <c r="J9" i="117"/>
  <c r="E9" i="117"/>
  <c r="F9" i="117"/>
  <c r="C9" i="117"/>
  <c r="I10" i="117"/>
  <c r="D10" i="117"/>
  <c r="J10" i="117"/>
  <c r="E10" i="117"/>
  <c r="F10" i="117"/>
  <c r="C10" i="117"/>
  <c r="I11" i="117"/>
  <c r="D11" i="117"/>
  <c r="J11" i="117"/>
  <c r="E11" i="117"/>
  <c r="F11" i="117"/>
  <c r="C11" i="117"/>
  <c r="I12" i="117"/>
  <c r="D12" i="117"/>
  <c r="J12" i="117"/>
  <c r="E12" i="117"/>
  <c r="F12" i="117"/>
  <c r="C12" i="117"/>
  <c r="I13" i="117"/>
  <c r="D13" i="117"/>
  <c r="J13" i="117"/>
  <c r="E13" i="117"/>
  <c r="F13" i="117"/>
  <c r="C13" i="117"/>
  <c r="I14" i="117"/>
  <c r="D14" i="117"/>
  <c r="J14" i="117"/>
  <c r="E14" i="117"/>
  <c r="F14" i="117"/>
  <c r="C14" i="117"/>
  <c r="I15" i="117"/>
  <c r="D15" i="117"/>
  <c r="J15" i="117"/>
  <c r="E15" i="117"/>
  <c r="F15" i="117"/>
  <c r="C15" i="117"/>
  <c r="I16" i="117"/>
  <c r="D16" i="117"/>
  <c r="J16" i="117"/>
  <c r="E16" i="117"/>
  <c r="F16" i="117"/>
  <c r="C16" i="117"/>
  <c r="I17" i="117"/>
  <c r="D17" i="117"/>
  <c r="J17" i="117"/>
  <c r="E17" i="117"/>
  <c r="F17" i="117"/>
  <c r="C17" i="117"/>
  <c r="P17" i="117"/>
  <c r="N17" i="117"/>
  <c r="M17" i="117"/>
  <c r="L17" i="117"/>
  <c r="K17" i="117"/>
  <c r="H17" i="117"/>
  <c r="P16" i="117"/>
  <c r="N16" i="117"/>
  <c r="M16" i="117"/>
  <c r="L16" i="117"/>
  <c r="K16" i="117"/>
  <c r="H16" i="117"/>
  <c r="P15" i="117"/>
  <c r="N15" i="117"/>
  <c r="M15" i="117"/>
  <c r="L15" i="117"/>
  <c r="K15" i="117"/>
  <c r="H15" i="117"/>
  <c r="N14" i="117"/>
  <c r="M14" i="117"/>
  <c r="L14" i="117"/>
  <c r="K14" i="117"/>
  <c r="H14" i="117"/>
  <c r="N13" i="117"/>
  <c r="M13" i="117"/>
  <c r="L13" i="117"/>
  <c r="K13" i="117"/>
  <c r="H13" i="117"/>
  <c r="N12" i="117"/>
  <c r="M12" i="117"/>
  <c r="L12" i="117"/>
  <c r="K12" i="117"/>
  <c r="H12" i="117"/>
  <c r="N11" i="117"/>
  <c r="M11" i="117"/>
  <c r="L11" i="117"/>
  <c r="K11" i="117"/>
  <c r="H11" i="117"/>
  <c r="N10" i="117"/>
  <c r="M10" i="117"/>
  <c r="L10" i="117"/>
  <c r="K10" i="117"/>
  <c r="H10" i="117"/>
  <c r="N9" i="117"/>
  <c r="M9" i="117"/>
  <c r="L9" i="117"/>
  <c r="K9" i="117"/>
  <c r="H9" i="117"/>
  <c r="N8" i="117"/>
  <c r="M8" i="117"/>
  <c r="L8" i="117"/>
  <c r="K8" i="117"/>
  <c r="H8" i="117"/>
  <c r="N7" i="117"/>
  <c r="M7" i="117"/>
  <c r="L7" i="117"/>
  <c r="K7" i="117"/>
  <c r="H7" i="117"/>
  <c r="N6" i="117"/>
  <c r="M6" i="117"/>
  <c r="L6" i="117"/>
  <c r="K6" i="117"/>
  <c r="H6" i="117"/>
  <c r="N5" i="117"/>
  <c r="M5" i="117"/>
  <c r="L5" i="117"/>
  <c r="K5" i="117"/>
  <c r="H5" i="117"/>
  <c r="N4" i="117"/>
  <c r="M4" i="117"/>
  <c r="L4" i="117"/>
  <c r="K4" i="117"/>
  <c r="H4" i="117"/>
  <c r="N3" i="117"/>
  <c r="M3" i="117"/>
  <c r="L3" i="117"/>
  <c r="K3" i="117"/>
  <c r="H3" i="117"/>
  <c r="N2" i="117"/>
  <c r="M2" i="117"/>
  <c r="L2" i="117"/>
  <c r="K2" i="117"/>
  <c r="H2" i="117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<sst xmlns="http://schemas.openxmlformats.org/spreadsheetml/2006/main" count="249" uniqueCount="171">
  <si>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</si>
  <si>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</si>
  <si>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</si>
  <si>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</si>
  <si>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</si>
  <si>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</si>
  <si>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</si>
  <si>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</si>
  <si>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</si>
  <si>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</si>
  <si>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</si>
  <si>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</si>
  <si>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</si>
  <si>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</si>
  <si>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</si>
  <si>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</si>
  <si>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</si>
  <si>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</si>
  <si>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</si>
  <si>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</si>
  <si>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</si>
  <si>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</si>
  <si>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</si>
  <si>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</si>
  <si>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</si>
  <si>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</si>
  <si>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</si>
  <si>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</si>
  <si>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</si>
  <si>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</si>
  <si>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</si>
  <si>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</si>
  <si>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</si>
  <si>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</si>
  <si>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</si>
  <si>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</si>
  <si>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</si>
  <si>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</si>
  <si>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</si>
  <si>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</si>
  <si>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</si>
  <si>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</si>
  <si>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</si>
  <si>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</si>
  <si>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</si>
  <si>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</si>
  <si>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</si>
  <si>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</si>
  <si>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</si>
  <si>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</si>
  <si>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</si>
  <si>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</si>
  <si>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</si>
  <si>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</si>
  <si>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</si>
  <si>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</si>
  <si>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</si>
  <si>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</si>
  <si>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</si>
  <si>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</si>
  <si>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</si>
  <si>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</si>
  <si>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</si>
  <si>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</si>
  <si>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</si>
  <si>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</si>
  <si>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</si>
  <si>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</si>
  <si>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</si>
  <si>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</si>
  <si>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</si>
  <si>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</si>
  <si>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</si>
  <si>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</si>
  <si>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</si>
  <si>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</si>
  <si>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</si>
  <si>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</si>
  <si>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</si>
  <si>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</si>
  <si>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</si>
  <si>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</si>
  <si>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</si>
  <si>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</si>
  <si>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</si>
  <si>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</si>
  <si>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</si>
  <si>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</si>
  <si>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</si>
  <si>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</si>
  <si>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</si>
  <si>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</si>
  <si>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</si>
  <si>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</si>
  <si>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</si>
  <si>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</si>
  <si>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</si>
  <si>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</si>
  <si>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</si>
  <si>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</si>
  <si>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</si>
  <si>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</si>
  <si>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</si>
  <si>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</si>
  <si>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</si>
  <si>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</si>
  <si>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</si>
  <si>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</si>
  <si>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</si>
  <si>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</si>
  <si>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</si>
  <si>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</si>
  <si>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</si>
  <si>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</si>
  <si>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</si>
  <si>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</si>
  <si>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</si>
  <si>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</si>
  <si>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</si>
  <si>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</si>
  <si>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</si>
  <si>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</si>
  <si>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</si>
  <si>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</si>
  <si>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</si>
  <si>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</si>
  <si>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</si>
  <si>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</si>
  <si>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</si>
  <si>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</si>
  <si>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</si>
  <si>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</si>
  <si>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</si>
  <si>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</si>
  <si>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</si>
  <si>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</si>
  <si>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</si>
  <si>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</si>
  <si>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</si>
  <si>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</si>
  <si>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</si>
  <si>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</si>
  <si>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</si>
  <si>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</si>
  <si>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</si>
  <si>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</si>
  <si>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</si>
  <si>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</si>
  <si>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</si>
  <si>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</si>
  <si>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</si>
  <si>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</si>
  <si>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</si>
  <si>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</si>
  <si>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</si>
  <si>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</si>
  <si>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</si>
  <si>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tables_339100</t>
    <phoneticPr fontId="19"/>
  </si>
  <si>
    <t>skip</t>
    <phoneticPr fontId="19"/>
  </si>
  <si>
    <t>ピヨピヨ</t>
    <phoneticPr fontId="19"/>
  </si>
  <si>
    <t>チック</t>
    <phoneticPr fontId="19"/>
  </si>
  <si>
    <t>ダック</t>
    <phoneticPr fontId="19"/>
  </si>
  <si>
    <t>ジェントル</t>
    <phoneticPr fontId="19"/>
  </si>
  <si>
    <t>ユニット</t>
    <phoneticPr fontId="19"/>
  </si>
  <si>
    <t>獲得exp</t>
    <phoneticPr fontId="19"/>
  </si>
  <si>
    <t>出現確率</t>
    <phoneticPr fontId="19"/>
  </si>
  <si>
    <t>期待値</t>
    <phoneticPr fontId="19"/>
  </si>
  <si>
    <t>前回</t>
    <phoneticPr fontId="19"/>
  </si>
  <si>
    <t>今回</t>
    <phoneticPr fontId="19"/>
  </si>
  <si>
    <t>tables_210</t>
    <phoneticPr fontId="19"/>
  </si>
  <si>
    <t>old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</si>
</sst>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4" borderId="1" xfId="2978" applyFont="1" applyFill="1" applyBorder="1"/>
    <xf numFmtId="0" fontId="3" fillId="0" borderId="1" xfId="3036" applyFont="1" applyBorder="1"/>
    <xf numFmtId="0" fontId="55" fillId="0" borderId="0" xfId="0" applyFont="1"/>
    <xf numFmtId="0" fontId="56" fillId="0" borderId="0" xfId="0" applyFont="1"/>
    <xf numFmtId="9" fontId="55" fillId="0" borderId="0" xfId="0" applyNumberFormat="1" applyFont="1"/>
    <xf numFmtId="0" fontId="2" fillId="4" borderId="1" xfId="2978" applyFont="1" applyFill="1" applyBorder="1"/>
    <xf numFmtId="0" fontId="1" fillId="0" borderId="1" xfId="3036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7350256"/>
        <c:axId val="1803960256"/>
      </c:barChart>
      <c:catAx>
        <c:axId val="180735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3960256"/>
        <c:crosses val="autoZero"/>
        <c:auto val="1"/>
        <c:lblAlgn val="ctr"/>
        <c:lblOffset val="100"/>
        <c:noMultiLvlLbl val="0"/>
      </c:catAx>
      <c:valAx>
        <c:axId val="180396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735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2591664"/>
        <c:axId val="1805488336"/>
      </c:barChart>
      <c:catAx>
        <c:axId val="182259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5488336"/>
        <c:crosses val="autoZero"/>
        <c:auto val="1"/>
        <c:lblAlgn val="ctr"/>
        <c:lblOffset val="100"/>
        <c:noMultiLvlLbl val="0"/>
      </c:catAx>
      <c:valAx>
        <c:axId val="18054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259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balance</v>
          </cell>
          <cell r="L875" t="str">
            <v>バランスタイプ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balance</v>
          </cell>
          <cell r="L876" t="str">
            <v>バランスタイプ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yellow</v>
          </cell>
          <cell r="I1090">
            <v>4</v>
          </cell>
          <cell r="J1090" t="str">
            <v>PremiumSS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5</v>
          </cell>
          <cell r="J1091" t="str">
            <v>PremiumSS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27" sqref="F27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4" t="s">
        <v>170</v>
      </c>
      <c r="B2" s="41" t="s">
        <v>77</v>
      </c>
      <c r="C2" s="36" t="str">
        <f>RIGHT(F2,3)</f>
        <v>210</v>
      </c>
      <c r="D2" s="17" t="s">
        <v>45</v>
      </c>
      <c r="E2" s="15" t="str">
        <f t="shared" ref="E2:E6" si="0">B2&amp;C2&amp;D2</f>
        <v>gacha_select_tables_210.tmp</v>
      </c>
      <c r="F2" s="53" t="s">
        <v>169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81"/>
  <sheetViews>
    <sheetView showGridLines="0" topLeftCell="D1" zoomScale="75" zoomScaleNormal="75" zoomScalePageLayoutView="75" workbookViewId="0">
      <pane ySplit="1" topLeftCell="A60" activePane="bottomLeft" state="frozen"/>
      <selection activeCell="M28" sqref="M28"/>
      <selection pane="bottomLeft" activeCell="P81" sqref="P8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210</v>
      </c>
      <c r="B2" s="6">
        <v>1</v>
      </c>
      <c r="C2" s="7" t="str">
        <f t="shared" ref="C2:C17" si="0">D2&amp;J2&amp;E2&amp;F2&amp;G2</f>
        <v>Premium1R3less</v>
      </c>
      <c r="D2" s="7" t="str">
        <f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ジェリー</v>
      </c>
      <c r="I2" s="7" t="str">
        <f>VLOOKUP(B2,[1]characters!$A:$J,10,FALSE)</f>
        <v>Drop1T</v>
      </c>
      <c r="J2" s="7">
        <f>VLOOKUP(B2,[1]characters!$A:$I,9,FALSE)</f>
        <v>1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245</v>
      </c>
      <c r="P2" s="34">
        <f t="shared" ref="P2:P14" si="1">O2/SUM(O:O)</f>
        <v>3.0683298266706745E-3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210</v>
      </c>
      <c r="B3" s="6">
        <v>3</v>
      </c>
      <c r="C3" s="7" t="str">
        <f t="shared" si="0"/>
        <v>Premium1R3less</v>
      </c>
      <c r="D3" s="7" t="str">
        <f t="shared" ref="D3:D17" si="2">IF(I3="PremiumSS",I3,IF(I3="PremiumSSS",I3,IF(I3="PremiumW",I3,"Premium")))</f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エージェント ジョー</v>
      </c>
      <c r="I3" s="7" t="str">
        <f>VLOOKUP(B3,[1]characters!$A:$J,10,FALSE)</f>
        <v>Drop1T</v>
      </c>
      <c r="J3" s="7">
        <f>VLOOKUP(B3,[1]characters!$A:$I,9,FALSE)</f>
        <v>1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245</v>
      </c>
      <c r="P3" s="34">
        <f t="shared" si="1"/>
        <v>3.0683298266706745E-3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210</v>
      </c>
      <c r="B4" s="6">
        <v>5</v>
      </c>
      <c r="C4" s="7" t="str">
        <f t="shared" si="0"/>
        <v>Premium1R3less</v>
      </c>
      <c r="D4" s="7" t="str">
        <f t="shared" si="2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パトドッグ ポチ</v>
      </c>
      <c r="I4" s="7" t="str">
        <f>VLOOKUP(B4,[1]characters!$A:$J,10,FALSE)</f>
        <v>Drop1T</v>
      </c>
      <c r="J4" s="7">
        <f>VLOOKUP(B4,[1]characters!$A:$I,9,FALSE)</f>
        <v>1</v>
      </c>
      <c r="K4" s="7" t="str">
        <f>VLOOKUP(B4,[1]characters!$A:$H,8,FALSE)</f>
        <v>blue</v>
      </c>
      <c r="L4" s="7" t="str">
        <f>VLOOKUP(B4,[1]characters!$A:$K,11,FALSE)</f>
        <v>heal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245</v>
      </c>
      <c r="P4" s="34">
        <f t="shared" si="1"/>
        <v>3.0683298266706745E-3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210</v>
      </c>
      <c r="B5" s="6">
        <v>7</v>
      </c>
      <c r="C5" s="7" t="str">
        <f t="shared" si="0"/>
        <v>Premium1R3less</v>
      </c>
      <c r="D5" s="7" t="str">
        <f t="shared" si="2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エレキポット</v>
      </c>
      <c r="I5" s="7" t="str">
        <f>VLOOKUP(B5,[1]characters!$A:$J,10,FALSE)</f>
        <v>Drop1T</v>
      </c>
      <c r="J5" s="7">
        <f>VLOOKUP(B5,[1]characters!$A:$I,9,FALSE)</f>
        <v>1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245</v>
      </c>
      <c r="P5" s="34">
        <f t="shared" si="1"/>
        <v>3.0683298266706745E-3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210</v>
      </c>
      <c r="B6" s="6">
        <v>9</v>
      </c>
      <c r="C6" s="7" t="str">
        <f t="shared" si="0"/>
        <v>Premium1R3less</v>
      </c>
      <c r="D6" s="7" t="str">
        <f t="shared" si="2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ブレット</v>
      </c>
      <c r="I6" s="7" t="str">
        <f>VLOOKUP(B6,[1]characters!$A:$J,10,FALSE)</f>
        <v>Drop1W</v>
      </c>
      <c r="J6" s="7">
        <f>VLOOKUP(B6,[1]characters!$A:$I,9,FALSE)</f>
        <v>1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5">
        <v>245</v>
      </c>
      <c r="P6" s="34">
        <f t="shared" si="1"/>
        <v>3.0683298266706745E-3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210</v>
      </c>
      <c r="B7" s="6">
        <v>11</v>
      </c>
      <c r="C7" s="7" t="str">
        <f t="shared" si="0"/>
        <v>Premium1R3less</v>
      </c>
      <c r="D7" s="7" t="str">
        <f t="shared" si="2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マグリット</v>
      </c>
      <c r="I7" s="7" t="str">
        <f>VLOOKUP(B7,[1]characters!$A:$J,10,FALSE)</f>
        <v>Drop1W</v>
      </c>
      <c r="J7" s="7">
        <f>VLOOKUP(B7,[1]characters!$A:$I,9,FALSE)</f>
        <v>1</v>
      </c>
      <c r="K7" s="7" t="str">
        <f>VLOOKUP(B7,[1]characters!$A:$H,8,FALSE)</f>
        <v>green</v>
      </c>
      <c r="L7" s="7" t="str">
        <f>VLOOKUP(B7,[1]characters!$A:$K,11,FALSE)</f>
        <v>heal</v>
      </c>
      <c r="M7" s="7" t="str">
        <f>VLOOKUP(B7,[1]characters!$A:$M,13,FALSE)</f>
        <v>animal</v>
      </c>
      <c r="N7" s="7" t="str">
        <f>VLOOKUP(B7,[1]characters!$A:$G,7,FALSE)</f>
        <v>不明</v>
      </c>
      <c r="O7" s="5">
        <v>245</v>
      </c>
      <c r="P7" s="34">
        <f t="shared" si="1"/>
        <v>3.0683298266706745E-3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210</v>
      </c>
      <c r="B8" s="6">
        <v>13</v>
      </c>
      <c r="C8" s="7" t="str">
        <f t="shared" si="0"/>
        <v>Premium1R3less</v>
      </c>
      <c r="D8" s="7" t="str">
        <f t="shared" si="2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ミミ</v>
      </c>
      <c r="I8" s="7" t="str">
        <f>VLOOKUP(B8,[1]characters!$A:$J,10,FALSE)</f>
        <v>Drop1W</v>
      </c>
      <c r="J8" s="7">
        <f>VLOOKUP(B8,[1]characters!$A:$I,9,FALSE)</f>
        <v>1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animal</v>
      </c>
      <c r="N8" s="7" t="str">
        <f>VLOOKUP(B8,[1]characters!$A:$G,7,FALSE)</f>
        <v>不明</v>
      </c>
      <c r="O8" s="5">
        <v>245</v>
      </c>
      <c r="P8" s="34">
        <f t="shared" si="1"/>
        <v>3.0683298266706745E-3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210</v>
      </c>
      <c r="B9" s="6">
        <v>15</v>
      </c>
      <c r="C9" s="7" t="str">
        <f t="shared" si="0"/>
        <v>Premium1R3less</v>
      </c>
      <c r="D9" s="7" t="str">
        <f t="shared" si="2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アカネ</v>
      </c>
      <c r="I9" s="7" t="str">
        <f>VLOOKUP(B9,[1]characters!$A:$J,10,FALSE)</f>
        <v>Drop1W</v>
      </c>
      <c r="J9" s="7">
        <f>VLOOKUP(B9,[1]characters!$A:$I,9,FALSE)</f>
        <v>1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5">
        <v>245</v>
      </c>
      <c r="P9" s="34">
        <f t="shared" si="1"/>
        <v>3.0683298266706745E-3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210</v>
      </c>
      <c r="B10" s="6">
        <v>17</v>
      </c>
      <c r="C10" s="7" t="str">
        <f t="shared" si="0"/>
        <v>Premium1R3less</v>
      </c>
      <c r="D10" s="7" t="str">
        <f t="shared" si="2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リム</v>
      </c>
      <c r="I10" s="7" t="str">
        <f>VLOOKUP(B10,[1]characters!$A:$J,10,FALSE)</f>
        <v>Drop1W</v>
      </c>
      <c r="J10" s="7">
        <f>VLOOKUP(B10,[1]characters!$A:$I,9,FALSE)</f>
        <v>1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5">
        <v>245</v>
      </c>
      <c r="P10" s="34">
        <f t="shared" si="1"/>
        <v>3.0683298266706745E-3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210</v>
      </c>
      <c r="B11" s="6">
        <v>19</v>
      </c>
      <c r="C11" s="7" t="str">
        <f t="shared" si="0"/>
        <v>Premium1R3less</v>
      </c>
      <c r="D11" s="7" t="str">
        <f t="shared" si="2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ティンク</v>
      </c>
      <c r="I11" s="7" t="str">
        <f>VLOOKUP(B11,[1]characters!$A:$J,10,FALSE)</f>
        <v>Drop1W</v>
      </c>
      <c r="J11" s="7">
        <f>VLOOKUP(B11,[1]characters!$A:$I,9,FALSE)</f>
        <v>1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5">
        <v>245</v>
      </c>
      <c r="P11" s="34">
        <f t="shared" si="1"/>
        <v>3.0683298266706745E-3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210</v>
      </c>
      <c r="B12" s="6">
        <v>21</v>
      </c>
      <c r="C12" s="7" t="str">
        <f t="shared" si="0"/>
        <v>Premium1R3less</v>
      </c>
      <c r="D12" s="7" t="str">
        <f t="shared" si="2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ヴェロキー</v>
      </c>
      <c r="I12" s="7" t="str">
        <f>VLOOKUP(B12,[1]characters!$A:$J,10,FALSE)</f>
        <v>Drop1N</v>
      </c>
      <c r="J12" s="7">
        <f>VLOOKUP(B12,[1]characters!$A:$I,9,FALSE)</f>
        <v>1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dragon</v>
      </c>
      <c r="N12" s="7" t="str">
        <f>VLOOKUP(B12,[1]characters!$A:$G,7,FALSE)</f>
        <v>不明</v>
      </c>
      <c r="O12" s="5">
        <v>245</v>
      </c>
      <c r="P12" s="34">
        <f t="shared" si="1"/>
        <v>3.0683298266706745E-3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210</v>
      </c>
      <c r="B13" s="6">
        <v>23</v>
      </c>
      <c r="C13" s="7" t="str">
        <f t="shared" si="0"/>
        <v>Premium1R3less</v>
      </c>
      <c r="D13" s="7" t="str">
        <f t="shared" si="2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ミール</v>
      </c>
      <c r="I13" s="7" t="str">
        <f>VLOOKUP(B13,[1]characters!$A:$J,10,FALSE)</f>
        <v>Drop1N</v>
      </c>
      <c r="J13" s="7">
        <f>VLOOKUP(B13,[1]characters!$A:$I,9,FALSE)</f>
        <v>1</v>
      </c>
      <c r="K13" s="7" t="str">
        <f>VLOOKUP(B13,[1]characters!$A:$H,8,FALSE)</f>
        <v>green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5">
        <v>245</v>
      </c>
      <c r="P13" s="34">
        <f t="shared" si="1"/>
        <v>3.0683298266706745E-3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210</v>
      </c>
      <c r="B14" s="6">
        <v>25</v>
      </c>
      <c r="C14" s="7" t="str">
        <f t="shared" si="0"/>
        <v>Premium1R3less</v>
      </c>
      <c r="D14" s="7" t="str">
        <f t="shared" si="2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ハチ</v>
      </c>
      <c r="I14" s="7" t="str">
        <f>VLOOKUP(B14,[1]characters!$A:$J,10,FALSE)</f>
        <v>Drop1N</v>
      </c>
      <c r="J14" s="7">
        <f>VLOOKUP(B14,[1]characters!$A:$I,9,FALSE)</f>
        <v>1</v>
      </c>
      <c r="K14" s="7" t="str">
        <f>VLOOKUP(B14,[1]characters!$A:$H,8,FALSE)</f>
        <v>blue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5">
        <v>245</v>
      </c>
      <c r="P14" s="34">
        <f t="shared" si="1"/>
        <v>3.0683298266706745E-3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210</v>
      </c>
      <c r="B15" s="6">
        <v>27</v>
      </c>
      <c r="C15" s="7" t="str">
        <f t="shared" si="0"/>
        <v>Premium1R3less</v>
      </c>
      <c r="D15" s="7" t="str">
        <f t="shared" si="2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パトライン</v>
      </c>
      <c r="I15" s="7" t="str">
        <f>VLOOKUP(B15,[1]characters!$A:$J,10,FALSE)</f>
        <v>Drop1N</v>
      </c>
      <c r="J15" s="7">
        <f>VLOOKUP(B15,[1]characters!$A:$I,9,FALSE)</f>
        <v>1</v>
      </c>
      <c r="K15" s="7" t="str">
        <f>VLOOKUP(B15,[1]characters!$A:$H,8,FALSE)</f>
        <v>green</v>
      </c>
      <c r="L15" s="7" t="str">
        <f>VLOOKUP(B15,[1]characters!$A:$K,11,FALSE)</f>
        <v>heal</v>
      </c>
      <c r="M15" s="7" t="str">
        <f>VLOOKUP(B15,[1]characters!$A:$M,13,FALSE)</f>
        <v>machine</v>
      </c>
      <c r="N15" s="7" t="str">
        <f>VLOOKUP(B15,[1]characters!$A:$G,7,FALSE)</f>
        <v>不明</v>
      </c>
      <c r="O15" s="5">
        <v>245</v>
      </c>
      <c r="P15" s="34">
        <f>O15/SUM(O:O)</f>
        <v>3.0683298266706745E-3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210</v>
      </c>
      <c r="B16" s="6">
        <v>29</v>
      </c>
      <c r="C16" s="7" t="str">
        <f t="shared" si="0"/>
        <v>Premium1R3less</v>
      </c>
      <c r="D16" s="7" t="str">
        <f t="shared" si="2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スケアクロウ</v>
      </c>
      <c r="I16" s="7" t="str">
        <f>VLOOKUP(B16,[1]characters!$A:$J,10,FALSE)</f>
        <v>Drop1N</v>
      </c>
      <c r="J16" s="7">
        <f>VLOOKUP(B16,[1]characters!$A:$I,9,FALSE)</f>
        <v>1</v>
      </c>
      <c r="K16" s="7" t="str">
        <f>VLOOKUP(B16,[1]characters!$A:$H,8,FALSE)</f>
        <v>blue</v>
      </c>
      <c r="L16" s="7" t="str">
        <f>VLOOKUP(B16,[1]characters!$A:$K,11,FALSE)</f>
        <v>heal</v>
      </c>
      <c r="M16" s="7" t="str">
        <f>VLOOKUP(B16,[1]characters!$A:$M,13,FALSE)</f>
        <v>machine</v>
      </c>
      <c r="N16" s="7" t="str">
        <f>VLOOKUP(B16,[1]characters!$A:$G,7,FALSE)</f>
        <v>不明</v>
      </c>
      <c r="O16" s="5">
        <v>245</v>
      </c>
      <c r="P16" s="34">
        <f>O16/SUM(O:O)</f>
        <v>3.0683298266706745E-3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210</v>
      </c>
      <c r="B17" s="6">
        <v>31</v>
      </c>
      <c r="C17" s="7" t="str">
        <f t="shared" si="0"/>
        <v>Premium1R3less</v>
      </c>
      <c r="D17" s="7" t="str">
        <f t="shared" si="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マービー</v>
      </c>
      <c r="I17" s="7" t="str">
        <f>VLOOKUP(B17,[1]characters!$A:$J,10,FALSE)</f>
        <v>Drop1N</v>
      </c>
      <c r="J17" s="7">
        <f>VLOOKUP(B17,[1]characters!$A:$I,9,FALSE)</f>
        <v>1</v>
      </c>
      <c r="K17" s="7" t="str">
        <f>VLOOKUP(B17,[1]characters!$A:$H,8,FALSE)</f>
        <v>yellow</v>
      </c>
      <c r="L17" s="7" t="str">
        <f>VLOOKUP(B17,[1]characters!$A:$K,11,FALSE)</f>
        <v>technical</v>
      </c>
      <c r="M17" s="7" t="str">
        <f>VLOOKUP(B17,[1]characters!$A:$M,13,FALSE)</f>
        <v>machine</v>
      </c>
      <c r="N17" s="7" t="str">
        <f>VLOOKUP(B17,[1]characters!$A:$G,7,FALSE)</f>
        <v>不明</v>
      </c>
      <c r="O17" s="5">
        <v>245</v>
      </c>
      <c r="P17" s="34">
        <f>O17/SUM(O:O)</f>
        <v>3.0683298266706745E-3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210</v>
      </c>
      <c r="B18" s="6">
        <v>33</v>
      </c>
      <c r="C18" s="7" t="str">
        <f t="shared" ref="C18:C81" si="3">D18&amp;J18&amp;E18&amp;F18&amp;G18</f>
        <v>Premium2R3less</v>
      </c>
      <c r="D18" s="7" t="str">
        <f t="shared" ref="D18:D81" si="4">IF(I18="PremiumSS",I18,IF(I18="PremiumSSS",I18,IF(I18="PremiumW",I18,"Premium")))</f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ゴクウ</v>
      </c>
      <c r="I18" s="7" t="str">
        <f>VLOOKUP(B18,[1]characters!$A:$J,10,FALSE)</f>
        <v>Drop1S</v>
      </c>
      <c r="J18" s="7">
        <f>VLOOKUP(B18,[1]characters!$A:$I,9,FALSE)</f>
        <v>2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男性</v>
      </c>
      <c r="O18" s="5">
        <v>160</v>
      </c>
      <c r="P18" s="34">
        <f t="shared" ref="P18:P81" si="5">O18/SUM(O:O)</f>
        <v>2.0038072337441137E-3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210</v>
      </c>
      <c r="B19" s="6">
        <v>35</v>
      </c>
      <c r="C19" s="7" t="str">
        <f t="shared" si="3"/>
        <v>Premium2R3less</v>
      </c>
      <c r="D19" s="7" t="str">
        <f t="shared" si="4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F2</v>
      </c>
      <c r="I19" s="7" t="str">
        <f>VLOOKUP(B19,[1]characters!$A:$J,10,FALSE)</f>
        <v>Drop1S</v>
      </c>
      <c r="J19" s="7">
        <f>VLOOKUP(B19,[1]characters!$A:$I,9,FALSE)</f>
        <v>2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5">
        <v>160</v>
      </c>
      <c r="P19" s="34">
        <f t="shared" si="5"/>
        <v>2.0038072337441137E-3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210</v>
      </c>
      <c r="B20" s="6">
        <v>37</v>
      </c>
      <c r="C20" s="7" t="str">
        <f t="shared" si="3"/>
        <v>Premium2R3less</v>
      </c>
      <c r="D20" s="7" t="str">
        <f t="shared" si="4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ガイル</v>
      </c>
      <c r="I20" s="7" t="str">
        <f>VLOOKUP(B20,[1]characters!$A:$J,10,FALSE)</f>
        <v>Drop1S</v>
      </c>
      <c r="J20" s="7">
        <f>VLOOKUP(B20,[1]characters!$A:$I,9,FALSE)</f>
        <v>2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animal</v>
      </c>
      <c r="N20" s="7" t="str">
        <f>VLOOKUP(B20,[1]characters!$A:$G,7,FALSE)</f>
        <v>男性</v>
      </c>
      <c r="O20" s="5">
        <v>160</v>
      </c>
      <c r="P20" s="34">
        <f t="shared" si="5"/>
        <v>2.0038072337441137E-3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210</v>
      </c>
      <c r="B21" s="6">
        <v>39</v>
      </c>
      <c r="C21" s="7" t="str">
        <f t="shared" si="3"/>
        <v>Premium2R3less</v>
      </c>
      <c r="D21" s="7" t="str">
        <f t="shared" si="4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マーロン</v>
      </c>
      <c r="I21" s="7" t="str">
        <f>VLOOKUP(B21,[1]characters!$A:$J,10,FALSE)</f>
        <v>Drop1S</v>
      </c>
      <c r="J21" s="7">
        <f>VLOOKUP(B21,[1]characters!$A:$I,9,FALSE)</f>
        <v>2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5">
        <v>160</v>
      </c>
      <c r="P21" s="34">
        <f t="shared" si="5"/>
        <v>2.0038072337441137E-3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210</v>
      </c>
      <c r="B22" s="6">
        <v>41</v>
      </c>
      <c r="C22" s="7" t="str">
        <f t="shared" si="3"/>
        <v>Premium2R3less</v>
      </c>
      <c r="D22" s="7" t="str">
        <f t="shared" si="4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ヒュウガ</v>
      </c>
      <c r="I22" s="7" t="str">
        <f>VLOOKUP(B22,[1]characters!$A:$J,10,FALSE)</f>
        <v>Drop1N</v>
      </c>
      <c r="J22" s="7">
        <f>VLOOKUP(B22,[1]characters!$A:$I,9,FALSE)</f>
        <v>2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5">
        <v>160</v>
      </c>
      <c r="P22" s="34">
        <f t="shared" si="5"/>
        <v>2.0038072337441137E-3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210</v>
      </c>
      <c r="B23" s="6">
        <v>43</v>
      </c>
      <c r="C23" s="7" t="str">
        <f t="shared" si="3"/>
        <v>Premium2R3less</v>
      </c>
      <c r="D23" s="7" t="str">
        <f t="shared" si="4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ムゥ</v>
      </c>
      <c r="I23" s="7" t="str">
        <f>VLOOKUP(B23,[1]characters!$A:$J,10,FALSE)</f>
        <v>Drop1N</v>
      </c>
      <c r="J23" s="7">
        <f>VLOOKUP(B23,[1]characters!$A:$I,9,FALSE)</f>
        <v>2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5">
        <v>160</v>
      </c>
      <c r="P23" s="34">
        <f t="shared" si="5"/>
        <v>2.0038072337441137E-3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210</v>
      </c>
      <c r="B24" s="6">
        <v>45</v>
      </c>
      <c r="C24" s="7" t="str">
        <f t="shared" si="3"/>
        <v>Premium2R3less</v>
      </c>
      <c r="D24" s="7" t="str">
        <f t="shared" si="4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ショウイン</v>
      </c>
      <c r="I24" s="7" t="str">
        <f>VLOOKUP(B24,[1]characters!$A:$J,10,FALSE)</f>
        <v>Drop1N</v>
      </c>
      <c r="J24" s="7">
        <f>VLOOKUP(B24,[1]characters!$A:$I,9,FALSE)</f>
        <v>2</v>
      </c>
      <c r="K24" s="7" t="str">
        <f>VLOOKUP(B24,[1]characters!$A:$H,8,FALSE)</f>
        <v>blue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5">
        <v>160</v>
      </c>
      <c r="P24" s="34">
        <f t="shared" si="5"/>
        <v>2.0038072337441137E-3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>
        <v>210</v>
      </c>
      <c r="B25" s="6">
        <v>47</v>
      </c>
      <c r="C25" s="7" t="str">
        <f t="shared" si="3"/>
        <v>Premium2R3less</v>
      </c>
      <c r="D25" s="7" t="str">
        <f t="shared" si="4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ヒロ</v>
      </c>
      <c r="I25" s="7" t="str">
        <f>VLOOKUP(B25,[1]characters!$A:$J,10,FALSE)</f>
        <v>Drop1N</v>
      </c>
      <c r="J25" s="7">
        <f>VLOOKUP(B25,[1]characters!$A:$I,9,FALSE)</f>
        <v>2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animal</v>
      </c>
      <c r="N25" s="7" t="str">
        <f>VLOOKUP(B25,[1]characters!$A:$G,7,FALSE)</f>
        <v>不明</v>
      </c>
      <c r="O25" s="5">
        <v>160</v>
      </c>
      <c r="P25" s="34">
        <f t="shared" si="5"/>
        <v>2.0038072337441137E-3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>
        <v>210</v>
      </c>
      <c r="B26" s="6">
        <v>49</v>
      </c>
      <c r="C26" s="7" t="str">
        <f t="shared" si="3"/>
        <v>Premium2R3less</v>
      </c>
      <c r="D26" s="7" t="str">
        <f t="shared" si="4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ヨシタカ</v>
      </c>
      <c r="I26" s="7" t="str">
        <f>VLOOKUP(B26,[1]characters!$A:$J,10,FALSE)</f>
        <v>Drop1N</v>
      </c>
      <c r="J26" s="7">
        <f>VLOOKUP(B26,[1]characters!$A:$I,9,FALSE)</f>
        <v>2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human</v>
      </c>
      <c r="N26" s="7" t="str">
        <f>VLOOKUP(B26,[1]characters!$A:$G,7,FALSE)</f>
        <v>男性</v>
      </c>
      <c r="O26" s="5">
        <v>160</v>
      </c>
      <c r="P26" s="34">
        <f t="shared" si="5"/>
        <v>2.0038072337441137E-3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>
        <v>210</v>
      </c>
      <c r="B27" s="6">
        <v>51</v>
      </c>
      <c r="C27" s="7" t="str">
        <f t="shared" si="3"/>
        <v>Premium2R3less</v>
      </c>
      <c r="D27" s="7" t="str">
        <f t="shared" si="4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マイ</v>
      </c>
      <c r="I27" s="7" t="str">
        <f>VLOOKUP(B27,[1]characters!$A:$J,10,FALSE)</f>
        <v>Drop1N</v>
      </c>
      <c r="J27" s="7">
        <f>VLOOKUP(B27,[1]characters!$A:$I,9,FALSE)</f>
        <v>2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human</v>
      </c>
      <c r="N27" s="7" t="str">
        <f>VLOOKUP(B27,[1]characters!$A:$G,7,FALSE)</f>
        <v>女性</v>
      </c>
      <c r="O27" s="5">
        <v>160</v>
      </c>
      <c r="P27" s="34">
        <f t="shared" si="5"/>
        <v>2.0038072337441137E-3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>
        <v>210</v>
      </c>
      <c r="B28" s="6">
        <v>53</v>
      </c>
      <c r="C28" s="7" t="str">
        <f t="shared" si="3"/>
        <v>Premium2R3less</v>
      </c>
      <c r="D28" s="7" t="str">
        <f t="shared" si="4"/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ケンジ</v>
      </c>
      <c r="I28" s="7" t="str">
        <f>VLOOKUP(B28,[1]characters!$A:$J,10,FALSE)</f>
        <v>Drop1N</v>
      </c>
      <c r="J28" s="7">
        <f>VLOOKUP(B28,[1]characters!$A:$I,9,FALSE)</f>
        <v>2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5">
        <v>160</v>
      </c>
      <c r="P28" s="34">
        <f t="shared" si="5"/>
        <v>2.0038072337441137E-3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>
        <v>210</v>
      </c>
      <c r="B29" s="6">
        <v>55</v>
      </c>
      <c r="C29" s="7" t="str">
        <f t="shared" si="3"/>
        <v>Premium2R3less</v>
      </c>
      <c r="D29" s="7" t="str">
        <f t="shared" si="4"/>
        <v>Premium</v>
      </c>
      <c r="E29" s="7" t="str">
        <f>IF(COUNTIF('R6追加前'!A:A,B29)=0,IF(I29="PremiumSS","R5only","R3less"),"")</f>
        <v>R3less</v>
      </c>
      <c r="F29" s="7" t="str">
        <f>IF(COUNTIF('R6開放'!A:A,B29)&gt;0,"R6release","")</f>
        <v/>
      </c>
      <c r="G29" s="7"/>
      <c r="H29" s="7" t="str">
        <f>VLOOKUP(B29,[1]characters!$A:$C,3,FALSE)</f>
        <v>マミコ</v>
      </c>
      <c r="I29" s="7" t="str">
        <f>VLOOKUP(B29,[1]characters!$A:$J,10,FALSE)</f>
        <v>Drop1N</v>
      </c>
      <c r="J29" s="7">
        <f>VLOOKUP(B29,[1]characters!$A:$I,9,FALSE)</f>
        <v>2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5">
        <v>160</v>
      </c>
      <c r="P29" s="34">
        <f t="shared" si="5"/>
        <v>2.0038072337441137E-3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>
        <v>210</v>
      </c>
      <c r="B30" s="6">
        <v>57</v>
      </c>
      <c r="C30" s="7" t="str">
        <f t="shared" si="3"/>
        <v>Premium2R3less</v>
      </c>
      <c r="D30" s="7" t="str">
        <f t="shared" si="4"/>
        <v>Premium</v>
      </c>
      <c r="E30" s="7" t="str">
        <f>IF(COUNTIF('R6追加前'!A:A,B30)=0,IF(I30="PremiumSS","R5only","R3less"),"")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チェン・リー</v>
      </c>
      <c r="I30" s="7" t="str">
        <f>VLOOKUP(B30,[1]characters!$A:$J,10,FALSE)</f>
        <v>Drop1N</v>
      </c>
      <c r="J30" s="7">
        <f>VLOOKUP(B30,[1]characters!$A:$I,9,FALSE)</f>
        <v>2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animal</v>
      </c>
      <c r="N30" s="7" t="str">
        <f>VLOOKUP(B30,[1]characters!$A:$G,7,FALSE)</f>
        <v>男性</v>
      </c>
      <c r="O30" s="5">
        <v>160</v>
      </c>
      <c r="P30" s="34">
        <f t="shared" si="5"/>
        <v>2.0038072337441137E-3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>
        <v>210</v>
      </c>
      <c r="B31" s="6">
        <v>59</v>
      </c>
      <c r="C31" s="7" t="str">
        <f t="shared" si="3"/>
        <v>Premium2R3less</v>
      </c>
      <c r="D31" s="7" t="str">
        <f t="shared" si="4"/>
        <v>Premium</v>
      </c>
      <c r="E31" s="7" t="str">
        <f>IF(COUNTIF('R6追加前'!A:A,B31)=0,IF(I31="PremiumSS","R5only","R3less"),"")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マーチ</v>
      </c>
      <c r="I31" s="7" t="str">
        <f>VLOOKUP(B31,[1]characters!$A:$J,10,FALSE)</f>
        <v>Drop1N</v>
      </c>
      <c r="J31" s="7">
        <f>VLOOKUP(B31,[1]characters!$A:$I,9,FALSE)</f>
        <v>2</v>
      </c>
      <c r="K31" s="7" t="str">
        <f>VLOOKUP(B31,[1]characters!$A:$H,8,FALSE)</f>
        <v>green</v>
      </c>
      <c r="L31" s="7" t="str">
        <f>VLOOKUP(B31,[1]characters!$A:$K,11,FALSE)</f>
        <v>heal</v>
      </c>
      <c r="M31" s="7" t="str">
        <f>VLOOKUP(B31,[1]characters!$A:$M,13,FALSE)</f>
        <v>animal</v>
      </c>
      <c r="N31" s="7" t="str">
        <f>VLOOKUP(B31,[1]characters!$A:$G,7,FALSE)</f>
        <v>男性</v>
      </c>
      <c r="O31" s="5">
        <v>160</v>
      </c>
      <c r="P31" s="34">
        <f t="shared" si="5"/>
        <v>2.0038072337441137E-3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>
        <v>210</v>
      </c>
      <c r="B32" s="6">
        <v>61</v>
      </c>
      <c r="C32" s="7" t="str">
        <f t="shared" si="3"/>
        <v>Premium2R3less</v>
      </c>
      <c r="D32" s="7" t="str">
        <f t="shared" si="4"/>
        <v>Premium</v>
      </c>
      <c r="E32" s="7" t="str">
        <f>IF(COUNTIF('R6追加前'!A:A,B32)=0,IF(I32="PremiumSS","R5only","R3less"),"")</f>
        <v>R3less</v>
      </c>
      <c r="F32" s="7" t="str">
        <f>IF(COUNTIF('R6開放'!A:A,B32)&gt;0,"R6release","")</f>
        <v/>
      </c>
      <c r="G32" s="7"/>
      <c r="H32" s="7" t="str">
        <f>VLOOKUP(B32,[1]characters!$A:$C,3,FALSE)</f>
        <v>クロウ</v>
      </c>
      <c r="I32" s="7" t="str">
        <f>VLOOKUP(B32,[1]characters!$A:$J,10,FALSE)</f>
        <v>Drop1N</v>
      </c>
      <c r="J32" s="7">
        <f>VLOOKUP(B32,[1]characters!$A:$I,9,FALSE)</f>
        <v>2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男性</v>
      </c>
      <c r="O32" s="5">
        <v>160</v>
      </c>
      <c r="P32" s="34">
        <f t="shared" si="5"/>
        <v>2.0038072337441137E-3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>
        <v>210</v>
      </c>
      <c r="B33" s="6">
        <v>63</v>
      </c>
      <c r="C33" s="7" t="str">
        <f t="shared" si="3"/>
        <v>Premium2R3less</v>
      </c>
      <c r="D33" s="7" t="str">
        <f t="shared" si="4"/>
        <v>Premium</v>
      </c>
      <c r="E33" s="7" t="str">
        <f>IF(COUNTIF('R6追加前'!A:A,B33)=0,IF(I33="PremiumSS","R5only","R3less"),"")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トニー</v>
      </c>
      <c r="I33" s="7" t="str">
        <f>VLOOKUP(B33,[1]characters!$A:$J,10,FALSE)</f>
        <v>Drop1N</v>
      </c>
      <c r="J33" s="7">
        <f>VLOOKUP(B33,[1]characters!$A:$I,9,FALSE)</f>
        <v>2</v>
      </c>
      <c r="K33" s="7" t="str">
        <f>VLOOKUP(B33,[1]characters!$A:$H,8,FALSE)</f>
        <v>yellow</v>
      </c>
      <c r="L33" s="7" t="str">
        <f>VLOOKUP(B33,[1]characters!$A:$K,11,FALSE)</f>
        <v>technical</v>
      </c>
      <c r="M33" s="7" t="str">
        <f>VLOOKUP(B33,[1]characters!$A:$M,13,FALSE)</f>
        <v>animal</v>
      </c>
      <c r="N33" s="7" t="str">
        <f>VLOOKUP(B33,[1]characters!$A:$G,7,FALSE)</f>
        <v>男性</v>
      </c>
      <c r="O33" s="5">
        <v>160</v>
      </c>
      <c r="P33" s="34">
        <f t="shared" si="5"/>
        <v>2.0038072337441137E-3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>
        <v>210</v>
      </c>
      <c r="B34" s="6">
        <v>65</v>
      </c>
      <c r="C34" s="7" t="str">
        <f t="shared" si="3"/>
        <v>Premium2R3less</v>
      </c>
      <c r="D34" s="7" t="str">
        <f t="shared" si="4"/>
        <v>Premium</v>
      </c>
      <c r="E34" s="7" t="str">
        <f>IF(COUNTIF('R6追加前'!A:A,B34)=0,IF(I34="PremiumSS","R5only","R3less"),"")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ファイアフォックス</v>
      </c>
      <c r="I34" s="7" t="str">
        <f>VLOOKUP(B34,[1]characters!$A:$J,10,FALSE)</f>
        <v>Drop1S</v>
      </c>
      <c r="J34" s="7">
        <f>VLOOKUP(B34,[1]characters!$A:$I,9,FALSE)</f>
        <v>2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男性</v>
      </c>
      <c r="O34" s="5">
        <v>160</v>
      </c>
      <c r="P34" s="34">
        <f t="shared" si="5"/>
        <v>2.0038072337441137E-3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>
        <v>210</v>
      </c>
      <c r="B35" s="6">
        <v>68</v>
      </c>
      <c r="C35" s="7" t="str">
        <f t="shared" si="3"/>
        <v>Premium2R3less</v>
      </c>
      <c r="D35" s="7" t="str">
        <f t="shared" si="4"/>
        <v>Premium</v>
      </c>
      <c r="E35" s="7" t="str">
        <f>IF(COUNTIF('R6追加前'!A:A,B35)=0,IF(I35="PremiumSS","R5only","R3less"),"")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ストール</v>
      </c>
      <c r="I35" s="7" t="str">
        <f>VLOOKUP(B35,[1]characters!$A:$J,10,FALSE)</f>
        <v>Drop1S</v>
      </c>
      <c r="J35" s="7">
        <f>VLOOKUP(B35,[1]characters!$A:$I,9,FALSE)</f>
        <v>2</v>
      </c>
      <c r="K35" s="7" t="str">
        <f>VLOOKUP(B35,[1]characters!$A:$H,8,FALSE)</f>
        <v>green</v>
      </c>
      <c r="L35" s="7" t="str">
        <f>VLOOKUP(B35,[1]characters!$A:$K,11,FALSE)</f>
        <v>hp</v>
      </c>
      <c r="M35" s="7" t="str">
        <f>VLOOKUP(B35,[1]characters!$A:$M,13,FALSE)</f>
        <v>animal</v>
      </c>
      <c r="N35" s="7" t="str">
        <f>VLOOKUP(B35,[1]characters!$A:$G,7,FALSE)</f>
        <v>男性</v>
      </c>
      <c r="O35" s="5">
        <v>160</v>
      </c>
      <c r="P35" s="34">
        <f t="shared" si="5"/>
        <v>2.0038072337441137E-3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>
        <v>210</v>
      </c>
      <c r="B36" s="6">
        <v>71</v>
      </c>
      <c r="C36" s="7" t="str">
        <f t="shared" si="3"/>
        <v>Premium2R3less</v>
      </c>
      <c r="D36" s="7" t="str">
        <f t="shared" si="4"/>
        <v>Premium</v>
      </c>
      <c r="E36" s="7" t="str">
        <f>IF(COUNTIF('R6追加前'!A:A,B36)=0,IF(I36="PremiumSS","R5only","R3less"),"")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ダックス</v>
      </c>
      <c r="I36" s="7" t="str">
        <f>VLOOKUP(B36,[1]characters!$A:$J,10,FALSE)</f>
        <v>Drop1S</v>
      </c>
      <c r="J36" s="7">
        <f>VLOOKUP(B36,[1]characters!$A:$I,9,FALSE)</f>
        <v>2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5">
        <v>160</v>
      </c>
      <c r="P36" s="34">
        <f t="shared" si="5"/>
        <v>2.0038072337441137E-3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>
        <v>210</v>
      </c>
      <c r="B37" s="6">
        <v>74</v>
      </c>
      <c r="C37" s="7" t="str">
        <f t="shared" si="3"/>
        <v>Premium2R3less</v>
      </c>
      <c r="D37" s="7" t="str">
        <f t="shared" si="4"/>
        <v>Premium</v>
      </c>
      <c r="E37" s="7" t="str">
        <f>IF(COUNTIF('R6追加前'!A:A,B37)=0,IF(I37="PremiumSS","R5only","R3less"),"")</f>
        <v>R3less</v>
      </c>
      <c r="F37" s="7" t="str">
        <f>IF(COUNTIF('R6開放'!A:A,B37)&gt;0,"R6release","")</f>
        <v/>
      </c>
      <c r="G37" s="7"/>
      <c r="H37" s="7" t="str">
        <f>VLOOKUP(B37,[1]characters!$A:$C,3,FALSE)</f>
        <v>サンダーバード</v>
      </c>
      <c r="I37" s="7" t="str">
        <f>VLOOKUP(B37,[1]characters!$A:$J,10,FALSE)</f>
        <v>Drop1S</v>
      </c>
      <c r="J37" s="7">
        <f>VLOOKUP(B37,[1]characters!$A:$I,9,FALSE)</f>
        <v>2</v>
      </c>
      <c r="K37" s="7" t="str">
        <f>VLOOKUP(B37,[1]characters!$A:$H,8,FALSE)</f>
        <v>yellow</v>
      </c>
      <c r="L37" s="7" t="str">
        <f>VLOOKUP(B37,[1]characters!$A:$K,11,FALSE)</f>
        <v>attack</v>
      </c>
      <c r="M37" s="7" t="str">
        <f>VLOOKUP(B37,[1]characters!$A:$M,13,FALSE)</f>
        <v>animal</v>
      </c>
      <c r="N37" s="7" t="str">
        <f>VLOOKUP(B37,[1]characters!$A:$G,7,FALSE)</f>
        <v>男性</v>
      </c>
      <c r="O37" s="5">
        <v>0</v>
      </c>
      <c r="P37" s="34">
        <f t="shared" si="5"/>
        <v>0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>
        <v>210</v>
      </c>
      <c r="B38" s="6">
        <v>2</v>
      </c>
      <c r="C38" s="7" t="str">
        <f t="shared" si="3"/>
        <v>Premium2R3less</v>
      </c>
      <c r="D38" s="7" t="str">
        <f t="shared" si="4"/>
        <v>Premium</v>
      </c>
      <c r="E38" s="7" t="str">
        <f>IF(COUNTIF('R6追加前'!A:A,B38)=0,IF(I38="PremiumSS","R5only","R3less"),"")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イレギュラー・ジェリー</v>
      </c>
      <c r="I38" s="7" t="str">
        <f>VLOOKUP(B38,[1]characters!$A:$J,10,FALSE)</f>
        <v>Drop1T</v>
      </c>
      <c r="J38" s="7">
        <f>VLOOKUP(B38,[1]characters!$A:$I,9,FALSE)</f>
        <v>2</v>
      </c>
      <c r="K38" s="7" t="str">
        <f>VLOOKUP(B38,[1]characters!$A:$H,8,FALSE)</f>
        <v>red</v>
      </c>
      <c r="L38" s="7" t="str">
        <f>VLOOKUP(B38,[1]characters!$A:$K,11,FALSE)</f>
        <v>attack</v>
      </c>
      <c r="M38" s="7" t="str">
        <f>VLOOKUP(B38,[1]characters!$A:$M,13,FALSE)</f>
        <v>unknown</v>
      </c>
      <c r="N38" s="7" t="str">
        <f>VLOOKUP(B38,[1]characters!$A:$G,7,FALSE)</f>
        <v>不明</v>
      </c>
      <c r="O38" s="5">
        <v>0</v>
      </c>
      <c r="P38" s="34">
        <f t="shared" si="5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>
        <v>210</v>
      </c>
      <c r="B39" s="6">
        <v>4</v>
      </c>
      <c r="C39" s="7" t="str">
        <f t="shared" si="3"/>
        <v>Premium2R3less</v>
      </c>
      <c r="D39" s="7" t="str">
        <f t="shared" si="4"/>
        <v>Premium</v>
      </c>
      <c r="E39" s="7" t="str">
        <f>IF(COUNTIF('R6追加前'!A:A,B39)=0,IF(I39="PremiumSS","R5only","R3less"),"")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エースエージェント ジョー</v>
      </c>
      <c r="I39" s="7" t="str">
        <f>VLOOKUP(B39,[1]characters!$A:$J,10,FALSE)</f>
        <v>Drop1T</v>
      </c>
      <c r="J39" s="7">
        <f>VLOOKUP(B39,[1]characters!$A:$I,9,FALSE)</f>
        <v>2</v>
      </c>
      <c r="K39" s="7" t="str">
        <f>VLOOKUP(B39,[1]characters!$A:$H,8,FALSE)</f>
        <v>green</v>
      </c>
      <c r="L39" s="7" t="str">
        <f>VLOOKUP(B39,[1]characters!$A:$K,11,FALSE)</f>
        <v>balance</v>
      </c>
      <c r="M39" s="7" t="str">
        <f>VLOOKUP(B39,[1]characters!$A:$M,13,FALSE)</f>
        <v>unknown</v>
      </c>
      <c r="N39" s="7" t="str">
        <f>VLOOKUP(B39,[1]characters!$A:$G,7,FALSE)</f>
        <v>不明</v>
      </c>
      <c r="O39" s="5">
        <v>0</v>
      </c>
      <c r="P39" s="34">
        <f t="shared" si="5"/>
        <v>0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>
        <v>210</v>
      </c>
      <c r="B40" s="6">
        <v>6</v>
      </c>
      <c r="C40" s="7" t="str">
        <f t="shared" si="3"/>
        <v>Premium2R3less</v>
      </c>
      <c r="D40" s="7" t="str">
        <f t="shared" si="4"/>
        <v>Premium</v>
      </c>
      <c r="E40" s="7" t="str">
        <f>IF(COUNTIF('R6追加前'!A:A,B40)=0,IF(I40="PremiumSS","R5only","R3less"),"")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パトドッグリーダー ポチ</v>
      </c>
      <c r="I40" s="7" t="str">
        <f>VLOOKUP(B40,[1]characters!$A:$J,10,FALSE)</f>
        <v>Drop1T</v>
      </c>
      <c r="J40" s="7">
        <f>VLOOKUP(B40,[1]characters!$A:$I,9,FALSE)</f>
        <v>2</v>
      </c>
      <c r="K40" s="7" t="str">
        <f>VLOOKUP(B40,[1]characters!$A:$H,8,FALSE)</f>
        <v>blue</v>
      </c>
      <c r="L40" s="7" t="str">
        <f>VLOOKUP(B40,[1]characters!$A:$K,11,FALSE)</f>
        <v>heal</v>
      </c>
      <c r="M40" s="7" t="str">
        <f>VLOOKUP(B40,[1]characters!$A:$M,13,FALSE)</f>
        <v>unknown</v>
      </c>
      <c r="N40" s="7" t="str">
        <f>VLOOKUP(B40,[1]characters!$A:$G,7,FALSE)</f>
        <v>不明</v>
      </c>
      <c r="O40" s="5">
        <v>0</v>
      </c>
      <c r="P40" s="34">
        <f t="shared" si="5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>
        <v>210</v>
      </c>
      <c r="B41" s="6">
        <v>8</v>
      </c>
      <c r="C41" s="7" t="str">
        <f t="shared" si="3"/>
        <v>Premium2R3less</v>
      </c>
      <c r="D41" s="7" t="str">
        <f t="shared" si="4"/>
        <v>Premium</v>
      </c>
      <c r="E41" s="7" t="str">
        <f>IF(COUNTIF('R6追加前'!A:A,B41)=0,IF(I41="PremiumSS","R5only","R3less"),"")</f>
        <v>R3less</v>
      </c>
      <c r="F41" s="7" t="str">
        <f>IF(COUNTIF('R6開放'!A:A,B41)&gt;0,"R6release","")</f>
        <v/>
      </c>
      <c r="G41" s="7"/>
      <c r="H41" s="7" t="str">
        <f>VLOOKUP(B41,[1]characters!$A:$C,3,FALSE)</f>
        <v>ハイボルテージ エレキポット</v>
      </c>
      <c r="I41" s="7" t="str">
        <f>VLOOKUP(B41,[1]characters!$A:$J,10,FALSE)</f>
        <v>Drop1T</v>
      </c>
      <c r="J41" s="7">
        <f>VLOOKUP(B41,[1]characters!$A:$I,9,FALSE)</f>
        <v>2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unknown</v>
      </c>
      <c r="N41" s="7" t="str">
        <f>VLOOKUP(B41,[1]characters!$A:$G,7,FALSE)</f>
        <v>不明</v>
      </c>
      <c r="O41" s="5">
        <v>0</v>
      </c>
      <c r="P41" s="34">
        <f t="shared" si="5"/>
        <v>0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>
        <v>210</v>
      </c>
      <c r="B42" s="6">
        <v>10</v>
      </c>
      <c r="C42" s="7" t="str">
        <f t="shared" si="3"/>
        <v>Premium2R3less</v>
      </c>
      <c r="D42" s="7" t="str">
        <f t="shared" si="4"/>
        <v>Premium</v>
      </c>
      <c r="E42" s="7" t="str">
        <f>IF(COUNTIF('R6追加前'!A:A,B42)=0,IF(I42="PremiumSS","R5only","R3less"),"")</f>
        <v>R3less</v>
      </c>
      <c r="F42" s="7" t="str">
        <f>IF(COUNTIF('R6開放'!A:A,B42)&gt;0,"R6release","")</f>
        <v/>
      </c>
      <c r="G42" s="7"/>
      <c r="H42" s="7" t="str">
        <f>VLOOKUP(B42,[1]characters!$A:$C,3,FALSE)</f>
        <v>燃える悪戯魂 ブレット</v>
      </c>
      <c r="I42" s="7" t="str">
        <f>VLOOKUP(B42,[1]characters!$A:$J,10,FALSE)</f>
        <v>Drop1W</v>
      </c>
      <c r="J42" s="7">
        <f>VLOOKUP(B42,[1]characters!$A:$I,9,FALSE)</f>
        <v>2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animal</v>
      </c>
      <c r="N42" s="7" t="str">
        <f>VLOOKUP(B42,[1]characters!$A:$G,7,FALSE)</f>
        <v>不明</v>
      </c>
      <c r="O42" s="5">
        <v>0</v>
      </c>
      <c r="P42" s="34">
        <f t="shared" si="5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>
        <v>210</v>
      </c>
      <c r="B43" s="6">
        <v>12</v>
      </c>
      <c r="C43" s="7" t="str">
        <f t="shared" si="3"/>
        <v>Premium2R3less</v>
      </c>
      <c r="D43" s="7" t="str">
        <f t="shared" si="4"/>
        <v>Premium</v>
      </c>
      <c r="E43" s="7" t="str">
        <f>IF(COUNTIF('R6追加前'!A:A,B43)=0,IF(I43="PremiumSS","R5only","R3less"),"")</f>
        <v>R3less</v>
      </c>
      <c r="F43" s="7" t="str">
        <f>IF(COUNTIF('R6開放'!A:A,B43)&gt;0,"R6release","")</f>
        <v/>
      </c>
      <c r="G43" s="7"/>
      <c r="H43" s="7" t="str">
        <f>VLOOKUP(B43,[1]characters!$A:$C,3,FALSE)</f>
        <v>癒しのグラフィティ マグリット</v>
      </c>
      <c r="I43" s="7" t="str">
        <f>VLOOKUP(B43,[1]characters!$A:$J,10,FALSE)</f>
        <v>Drop1W</v>
      </c>
      <c r="J43" s="7">
        <f>VLOOKUP(B43,[1]characters!$A:$I,9,FALSE)</f>
        <v>2</v>
      </c>
      <c r="K43" s="7" t="str">
        <f>VLOOKUP(B43,[1]characters!$A:$H,8,FALSE)</f>
        <v>green</v>
      </c>
      <c r="L43" s="7" t="str">
        <f>VLOOKUP(B43,[1]characters!$A:$K,11,FALSE)</f>
        <v>heal</v>
      </c>
      <c r="M43" s="7" t="str">
        <f>VLOOKUP(B43,[1]characters!$A:$M,13,FALSE)</f>
        <v>animal</v>
      </c>
      <c r="N43" s="7" t="str">
        <f>VLOOKUP(B43,[1]characters!$A:$G,7,FALSE)</f>
        <v>不明</v>
      </c>
      <c r="O43" s="5">
        <v>0</v>
      </c>
      <c r="P43" s="34">
        <f t="shared" si="5"/>
        <v>0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>
        <v>210</v>
      </c>
      <c r="B44" s="6">
        <v>14</v>
      </c>
      <c r="C44" s="7" t="str">
        <f t="shared" si="3"/>
        <v>Premium2R3less</v>
      </c>
      <c r="D44" s="7" t="str">
        <f t="shared" si="4"/>
        <v>Premium</v>
      </c>
      <c r="E44" s="7" t="str">
        <f>IF(COUNTIF('R6追加前'!A:A,B44)=0,IF(I44="PremiumSS","R5only","R3less"),"")</f>
        <v>R3less</v>
      </c>
      <c r="F44" s="7" t="str">
        <f>IF(COUNTIF('R6開放'!A:A,B44)&gt;0,"R6release","")</f>
        <v/>
      </c>
      <c r="G44" s="7"/>
      <c r="H44" s="7" t="str">
        <f>VLOOKUP(B44,[1]characters!$A:$C,3,FALSE)</f>
        <v>ミミ・ザ・ガンマンキャット</v>
      </c>
      <c r="I44" s="7" t="str">
        <f>VLOOKUP(B44,[1]characters!$A:$J,10,FALSE)</f>
        <v>Drop1W</v>
      </c>
      <c r="J44" s="7">
        <f>VLOOKUP(B44,[1]characters!$A:$I,9,FALSE)</f>
        <v>2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animal</v>
      </c>
      <c r="N44" s="7" t="str">
        <f>VLOOKUP(B44,[1]characters!$A:$G,7,FALSE)</f>
        <v>不明</v>
      </c>
      <c r="O44" s="5">
        <v>0</v>
      </c>
      <c r="P44" s="34">
        <f t="shared" si="5"/>
        <v>0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>
        <v>210</v>
      </c>
      <c r="B45" s="6">
        <v>16</v>
      </c>
      <c r="C45" s="7" t="str">
        <f t="shared" si="3"/>
        <v>Premium2R3less</v>
      </c>
      <c r="D45" s="7" t="str">
        <f t="shared" si="4"/>
        <v>Premium</v>
      </c>
      <c r="E45" s="7" t="str">
        <f>IF(COUNTIF('R6追加前'!A:A,B45)=0,IF(I45="PremiumSS","R5only","R3less"),"")</f>
        <v>R3less</v>
      </c>
      <c r="F45" s="7" t="str">
        <f>IF(COUNTIF('R6開放'!A:A,B45)&gt;0,"R6release","")</f>
        <v/>
      </c>
      <c r="G45" s="7"/>
      <c r="H45" s="7" t="str">
        <f>VLOOKUP(B45,[1]characters!$A:$C,3,FALSE)</f>
        <v>炎戦少女 アカネ</v>
      </c>
      <c r="I45" s="7" t="str">
        <f>VLOOKUP(B45,[1]characters!$A:$J,10,FALSE)</f>
        <v>Drop1W</v>
      </c>
      <c r="J45" s="7">
        <f>VLOOKUP(B45,[1]characters!$A:$I,9,FALSE)</f>
        <v>2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5">
        <v>0</v>
      </c>
      <c r="P45" s="34">
        <f t="shared" si="5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>
        <v>210</v>
      </c>
      <c r="B46" s="6">
        <v>18</v>
      </c>
      <c r="C46" s="7" t="str">
        <f t="shared" si="3"/>
        <v>Premium2R3less</v>
      </c>
      <c r="D46" s="7" t="str">
        <f t="shared" si="4"/>
        <v>Premium</v>
      </c>
      <c r="E46" s="7" t="str">
        <f>IF(COUNTIF('R6追加前'!A:A,B46)=0,IF(I46="PremiumSS","R5only","R3less"),"")</f>
        <v>R3less</v>
      </c>
      <c r="F46" s="7" t="str">
        <f>IF(COUNTIF('R6開放'!A:A,B46)&gt;0,"R6release","")</f>
        <v/>
      </c>
      <c r="G46" s="7"/>
      <c r="H46" s="7" t="str">
        <f>VLOOKUP(B46,[1]characters!$A:$C,3,FALSE)</f>
        <v>戦闘案内人 リム</v>
      </c>
      <c r="I46" s="7" t="str">
        <f>VLOOKUP(B46,[1]characters!$A:$J,10,FALSE)</f>
        <v>Drop1W</v>
      </c>
      <c r="J46" s="7">
        <f>VLOOKUP(B46,[1]characters!$A:$I,9,FALSE)</f>
        <v>2</v>
      </c>
      <c r="K46" s="7" t="str">
        <f>VLOOKUP(B46,[1]characters!$A:$H,8,FALSE)</f>
        <v>blue</v>
      </c>
      <c r="L46" s="7" t="str">
        <f>VLOOKUP(B46,[1]characters!$A:$K,11,FALSE)</f>
        <v>balance</v>
      </c>
      <c r="M46" s="7" t="str">
        <f>VLOOKUP(B46,[1]characters!$A:$M,13,FALSE)</f>
        <v>human</v>
      </c>
      <c r="N46" s="7" t="str">
        <f>VLOOKUP(B46,[1]characters!$A:$G,7,FALSE)</f>
        <v>女性</v>
      </c>
      <c r="O46" s="5">
        <v>0</v>
      </c>
      <c r="P46" s="34">
        <f t="shared" si="5"/>
        <v>0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>
        <v>210</v>
      </c>
      <c r="B47" s="6">
        <v>20</v>
      </c>
      <c r="C47" s="7" t="str">
        <f t="shared" si="3"/>
        <v>Premium2R3less</v>
      </c>
      <c r="D47" s="7" t="str">
        <f t="shared" si="4"/>
        <v>Premium</v>
      </c>
      <c r="E47" s="7" t="str">
        <f>IF(COUNTIF('R6追加前'!A:A,B47)=0,IF(I47="PremiumSS","R5only","R3less"),"")</f>
        <v>R3less</v>
      </c>
      <c r="F47" s="7" t="str">
        <f>IF(COUNTIF('R6開放'!A:A,B47)&gt;0,"R6release","")</f>
        <v/>
      </c>
      <c r="G47" s="7"/>
      <c r="H47" s="7" t="str">
        <f>VLOOKUP(B47,[1]characters!$A:$C,3,FALSE)</f>
        <v>電子妖精 ティンク</v>
      </c>
      <c r="I47" s="7" t="str">
        <f>VLOOKUP(B47,[1]characters!$A:$J,10,FALSE)</f>
        <v>Drop1W</v>
      </c>
      <c r="J47" s="7">
        <f>VLOOKUP(B47,[1]characters!$A:$I,9,FALSE)</f>
        <v>2</v>
      </c>
      <c r="K47" s="7" t="str">
        <f>VLOOKUP(B47,[1]characters!$A:$H,8,FALSE)</f>
        <v>yellow</v>
      </c>
      <c r="L47" s="7" t="str">
        <f>VLOOKUP(B47,[1]characters!$A:$K,11,FALSE)</f>
        <v>balance</v>
      </c>
      <c r="M47" s="7" t="str">
        <f>VLOOKUP(B47,[1]characters!$A:$M,13,FALSE)</f>
        <v>human</v>
      </c>
      <c r="N47" s="7" t="str">
        <f>VLOOKUP(B47,[1]characters!$A:$G,7,FALSE)</f>
        <v>女性</v>
      </c>
      <c r="O47" s="5">
        <v>0</v>
      </c>
      <c r="P47" s="34">
        <f t="shared" si="5"/>
        <v>0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>
        <v>210</v>
      </c>
      <c r="B48" s="6">
        <v>22</v>
      </c>
      <c r="C48" s="7" t="str">
        <f t="shared" si="3"/>
        <v>Premium2R3less</v>
      </c>
      <c r="D48" s="7" t="str">
        <f t="shared" si="4"/>
        <v>Premium</v>
      </c>
      <c r="E48" s="7" t="str">
        <f>IF(COUNTIF('R6追加前'!A:A,B48)=0,IF(I48="PremiumSS","R5only","R3less"),"")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突然変異ヴェロキー</v>
      </c>
      <c r="I48" s="7" t="str">
        <f>VLOOKUP(B48,[1]characters!$A:$J,10,FALSE)</f>
        <v>Drop1N</v>
      </c>
      <c r="J48" s="7">
        <f>VLOOKUP(B48,[1]characters!$A:$I,9,FALSE)</f>
        <v>2</v>
      </c>
      <c r="K48" s="7" t="str">
        <f>VLOOKUP(B48,[1]characters!$A:$H,8,FALSE)</f>
        <v>red</v>
      </c>
      <c r="L48" s="7" t="str">
        <f>VLOOKUP(B48,[1]characters!$A:$K,11,FALSE)</f>
        <v>hp</v>
      </c>
      <c r="M48" s="7" t="str">
        <f>VLOOKUP(B48,[1]characters!$A:$M,13,FALSE)</f>
        <v>dragon</v>
      </c>
      <c r="N48" s="7" t="str">
        <f>VLOOKUP(B48,[1]characters!$A:$G,7,FALSE)</f>
        <v>不明</v>
      </c>
      <c r="O48" s="5">
        <v>0</v>
      </c>
      <c r="P48" s="34">
        <f t="shared" si="5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>
        <v>210</v>
      </c>
      <c r="B49" s="6">
        <v>24</v>
      </c>
      <c r="C49" s="7" t="str">
        <f t="shared" si="3"/>
        <v>Premium2R3less</v>
      </c>
      <c r="D49" s="7" t="str">
        <f t="shared" si="4"/>
        <v>Premium</v>
      </c>
      <c r="E49" s="7" t="str">
        <f>IF(COUNTIF('R6追加前'!A:A,B49)=0,IF(I49="PremiumSS","R5only","R3less"),"")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天翔のミール</v>
      </c>
      <c r="I49" s="7" t="str">
        <f>VLOOKUP(B49,[1]characters!$A:$J,10,FALSE)</f>
        <v>Drop1N</v>
      </c>
      <c r="J49" s="7">
        <f>VLOOKUP(B49,[1]characters!$A:$I,9,FALSE)</f>
        <v>2</v>
      </c>
      <c r="K49" s="7" t="str">
        <f>VLOOKUP(B49,[1]characters!$A:$H,8,FALSE)</f>
        <v>green</v>
      </c>
      <c r="L49" s="7" t="str">
        <f>VLOOKUP(B49,[1]characters!$A:$K,11,FALSE)</f>
        <v>hp</v>
      </c>
      <c r="M49" s="7" t="str">
        <f>VLOOKUP(B49,[1]characters!$A:$M,13,FALSE)</f>
        <v>animal</v>
      </c>
      <c r="N49" s="7" t="str">
        <f>VLOOKUP(B49,[1]characters!$A:$G,7,FALSE)</f>
        <v>不明</v>
      </c>
      <c r="O49" s="5">
        <v>0</v>
      </c>
      <c r="P49" s="34">
        <f t="shared" si="5"/>
        <v>0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>
        <v>210</v>
      </c>
      <c r="B50" s="6">
        <v>26</v>
      </c>
      <c r="C50" s="7" t="str">
        <f t="shared" si="3"/>
        <v>Premium2R3less</v>
      </c>
      <c r="D50" s="7" t="str">
        <f t="shared" si="4"/>
        <v>Premium</v>
      </c>
      <c r="E50" s="7" t="str">
        <f>IF(COUNTIF('R6追加前'!A:A,B50)=0,IF(I50="PremiumSS","R5only","R3less"),"")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勇犬 ハチ</v>
      </c>
      <c r="I50" s="7" t="str">
        <f>VLOOKUP(B50,[1]characters!$A:$J,10,FALSE)</f>
        <v>Drop1N</v>
      </c>
      <c r="J50" s="7">
        <f>VLOOKUP(B50,[1]characters!$A:$I,9,FALSE)</f>
        <v>2</v>
      </c>
      <c r="K50" s="7" t="str">
        <f>VLOOKUP(B50,[1]characters!$A:$H,8,FALSE)</f>
        <v>blue</v>
      </c>
      <c r="L50" s="7" t="str">
        <f>VLOOKUP(B50,[1]characters!$A:$K,11,FALSE)</f>
        <v>hp</v>
      </c>
      <c r="M50" s="7" t="str">
        <f>VLOOKUP(B50,[1]characters!$A:$M,13,FALSE)</f>
        <v>animal</v>
      </c>
      <c r="N50" s="7" t="str">
        <f>VLOOKUP(B50,[1]characters!$A:$G,7,FALSE)</f>
        <v>不明</v>
      </c>
      <c r="O50" s="5">
        <v>0</v>
      </c>
      <c r="P50" s="34">
        <f t="shared" si="5"/>
        <v>0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>
        <v>210</v>
      </c>
      <c r="B51" s="6">
        <v>28</v>
      </c>
      <c r="C51" s="7" t="str">
        <f t="shared" si="3"/>
        <v>Premium2R3less</v>
      </c>
      <c r="D51" s="7" t="str">
        <f t="shared" si="4"/>
        <v>Premium</v>
      </c>
      <c r="E51" s="7" t="str">
        <f>IF(COUNTIF('R6追加前'!A:A,B51)=0,IF(I51="PremiumSS","R5only","R3less"),"")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現場急行 パトラインカスタム</v>
      </c>
      <c r="I51" s="7" t="str">
        <f>VLOOKUP(B51,[1]characters!$A:$J,10,FALSE)</f>
        <v>Drop1N</v>
      </c>
      <c r="J51" s="7">
        <f>VLOOKUP(B51,[1]characters!$A:$I,9,FALSE)</f>
        <v>2</v>
      </c>
      <c r="K51" s="7" t="str">
        <f>VLOOKUP(B51,[1]characters!$A:$H,8,FALSE)</f>
        <v>green</v>
      </c>
      <c r="L51" s="7" t="str">
        <f>VLOOKUP(B51,[1]characters!$A:$K,11,FALSE)</f>
        <v>heal</v>
      </c>
      <c r="M51" s="7" t="str">
        <f>VLOOKUP(B51,[1]characters!$A:$M,13,FALSE)</f>
        <v>machine</v>
      </c>
      <c r="N51" s="7" t="str">
        <f>VLOOKUP(B51,[1]characters!$A:$G,7,FALSE)</f>
        <v>不明</v>
      </c>
      <c r="O51" s="5">
        <v>0</v>
      </c>
      <c r="P51" s="34">
        <f t="shared" si="5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>
        <v>210</v>
      </c>
      <c r="B52" s="6">
        <v>30</v>
      </c>
      <c r="C52" s="7" t="str">
        <f t="shared" si="3"/>
        <v>Premium2R3less</v>
      </c>
      <c r="D52" s="7" t="str">
        <f t="shared" si="4"/>
        <v>Premium</v>
      </c>
      <c r="E52" s="7" t="str">
        <f>IF(COUNTIF('R6追加前'!A:A,B52)=0,IF(I52="PremiumSS","R5only","R3less"),"")</f>
        <v>R3less</v>
      </c>
      <c r="F52" s="7" t="str">
        <f>IF(COUNTIF('R6開放'!A:A,B52)&gt;0,"R6release","")</f>
        <v/>
      </c>
      <c r="G52" s="7"/>
      <c r="H52" s="7" t="str">
        <f>VLOOKUP(B52,[1]characters!$A:$C,3,FALSE)</f>
        <v>護衛機人 スケアクロウ</v>
      </c>
      <c r="I52" s="7" t="str">
        <f>VLOOKUP(B52,[1]characters!$A:$J,10,FALSE)</f>
        <v>Drop1N</v>
      </c>
      <c r="J52" s="7">
        <f>VLOOKUP(B52,[1]characters!$A:$I,9,FALSE)</f>
        <v>2</v>
      </c>
      <c r="K52" s="7" t="str">
        <f>VLOOKUP(B52,[1]characters!$A:$H,8,FALSE)</f>
        <v>blue</v>
      </c>
      <c r="L52" s="7" t="str">
        <f>VLOOKUP(B52,[1]characters!$A:$K,11,FALSE)</f>
        <v>heal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5">
        <v>0</v>
      </c>
      <c r="P52" s="34">
        <f t="shared" si="5"/>
        <v>0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>
        <v>210</v>
      </c>
      <c r="B53" s="6">
        <v>32</v>
      </c>
      <c r="C53" s="7" t="str">
        <f t="shared" si="3"/>
        <v>Premium2R3less</v>
      </c>
      <c r="D53" s="7" t="str">
        <f t="shared" si="4"/>
        <v>Premium</v>
      </c>
      <c r="E53" s="7" t="str">
        <f>IF(COUNTIF('R6追加前'!A:A,B53)=0,IF(I53="PremiumSS","R5only","R3less"),"")</f>
        <v>R3less</v>
      </c>
      <c r="F53" s="7" t="str">
        <f>IF(COUNTIF('R6開放'!A:A,B53)&gt;0,"R6release","")</f>
        <v/>
      </c>
      <c r="G53" s="7"/>
      <c r="H53" s="7" t="str">
        <f>VLOOKUP(B53,[1]characters!$A:$C,3,FALSE)</f>
        <v>沈黙のジャミング マービー</v>
      </c>
      <c r="I53" s="7" t="str">
        <f>VLOOKUP(B53,[1]characters!$A:$J,10,FALSE)</f>
        <v>Drop1N</v>
      </c>
      <c r="J53" s="7">
        <f>VLOOKUP(B53,[1]characters!$A:$I,9,FALSE)</f>
        <v>2</v>
      </c>
      <c r="K53" s="7" t="str">
        <f>VLOOKUP(B53,[1]characters!$A:$H,8,FALSE)</f>
        <v>yellow</v>
      </c>
      <c r="L53" s="7" t="str">
        <f>VLOOKUP(B53,[1]characters!$A:$K,11,FALSE)</f>
        <v>technical</v>
      </c>
      <c r="M53" s="7" t="str">
        <f>VLOOKUP(B53,[1]characters!$A:$M,13,FALSE)</f>
        <v>machine</v>
      </c>
      <c r="N53" s="7" t="str">
        <f>VLOOKUP(B53,[1]characters!$A:$G,7,FALSE)</f>
        <v>不明</v>
      </c>
      <c r="O53" s="5">
        <v>0</v>
      </c>
      <c r="P53" s="34">
        <f t="shared" si="5"/>
        <v>0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>
        <v>210</v>
      </c>
      <c r="B54" s="6">
        <v>77</v>
      </c>
      <c r="C54" s="7" t="str">
        <f t="shared" si="3"/>
        <v>Premium3R3less</v>
      </c>
      <c r="D54" s="7" t="str">
        <f t="shared" si="4"/>
        <v>Premium</v>
      </c>
      <c r="E54" s="7" t="str">
        <f>IF(COUNTIF('R6追加前'!A:A,B54)=0,IF(I54="PremiumSS","R5only","R3less"),"")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潜伏型メリッサ</v>
      </c>
      <c r="I54" s="7" t="str">
        <f>VLOOKUP(B54,[1]characters!$A:$J,10,FALSE)</f>
        <v>DropWizW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technical</v>
      </c>
      <c r="M54" s="7" t="str">
        <f>VLOOKUP(B54,[1]characters!$A:$M,13,FALSE)</f>
        <v>unknown</v>
      </c>
      <c r="N54" s="7" t="str">
        <f>VLOOKUP(B54,[1]characters!$A:$G,7,FALSE)</f>
        <v>女性</v>
      </c>
      <c r="O54" s="5">
        <v>0</v>
      </c>
      <c r="P54" s="34">
        <f t="shared" si="5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>
        <v>210</v>
      </c>
      <c r="B55" s="6">
        <v>79</v>
      </c>
      <c r="C55" s="7" t="str">
        <f t="shared" si="3"/>
        <v>Premium3R3less</v>
      </c>
      <c r="D55" s="7" t="str">
        <f t="shared" si="4"/>
        <v>Premium</v>
      </c>
      <c r="E55" s="7" t="str">
        <f>IF(COUNTIF('R6追加前'!A:A,B55)=0,IF(I55="PremiumSS","R5only","R3less"),"")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ハッピー100</v>
      </c>
      <c r="I55" s="7" t="str">
        <f>VLOOKUP(B55,[1]characters!$A:$J,10,FALSE)</f>
        <v>DropWizW</v>
      </c>
      <c r="J55" s="7">
        <f>VLOOKUP(B55,[1]characters!$A:$I,9,FALSE)</f>
        <v>3</v>
      </c>
      <c r="K55" s="7" t="str">
        <f>VLOOKUP(B55,[1]characters!$A:$H,8,FALSE)</f>
        <v>green</v>
      </c>
      <c r="L55" s="7" t="str">
        <f>VLOOKUP(B55,[1]characters!$A:$K,11,FALSE)</f>
        <v>heal</v>
      </c>
      <c r="M55" s="7" t="str">
        <f>VLOOKUP(B55,[1]characters!$A:$M,13,FALSE)</f>
        <v>unknown</v>
      </c>
      <c r="N55" s="7" t="str">
        <f>VLOOKUP(B55,[1]characters!$A:$G,7,FALSE)</f>
        <v>女性</v>
      </c>
      <c r="O55" s="5">
        <v>0</v>
      </c>
      <c r="P55" s="34">
        <f t="shared" si="5"/>
        <v>0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>
        <v>210</v>
      </c>
      <c r="B56" s="6">
        <v>81</v>
      </c>
      <c r="C56" s="7" t="str">
        <f t="shared" si="3"/>
        <v>Premium3R3less</v>
      </c>
      <c r="D56" s="7" t="str">
        <f t="shared" si="4"/>
        <v>Premium</v>
      </c>
      <c r="E56" s="7" t="str">
        <f>IF(COUNTIF('R6追加前'!A:A,B56)=0,IF(I56="PremiumSS","R5only","R3less"),"")</f>
        <v>R3less</v>
      </c>
      <c r="F56" s="7" t="str">
        <f>IF(COUNTIF('R6開放'!A:A,B56)&gt;0,"R6release","")</f>
        <v/>
      </c>
      <c r="G56" s="7"/>
      <c r="H56" s="7" t="str">
        <f>VLOOKUP(B56,[1]characters!$A:$C,3,FALSE)</f>
        <v>増幅型モリス</v>
      </c>
      <c r="I56" s="7" t="str">
        <f>VLOOKUP(B56,[1]characters!$A:$J,10,FALSE)</f>
        <v>DropWizW</v>
      </c>
      <c r="J56" s="7">
        <f>VLOOKUP(B56,[1]characters!$A:$I,9,FALSE)</f>
        <v>3</v>
      </c>
      <c r="K56" s="7" t="str">
        <f>VLOOKUP(B56,[1]characters!$A:$H,8,FALSE)</f>
        <v>blue</v>
      </c>
      <c r="L56" s="7" t="str">
        <f>VLOOKUP(B56,[1]characters!$A:$K,11,FALSE)</f>
        <v>balance</v>
      </c>
      <c r="M56" s="7" t="str">
        <f>VLOOKUP(B56,[1]characters!$A:$M,13,FALSE)</f>
        <v>unknown</v>
      </c>
      <c r="N56" s="7" t="str">
        <f>VLOOKUP(B56,[1]characters!$A:$G,7,FALSE)</f>
        <v>男性</v>
      </c>
      <c r="O56" s="5">
        <v>0</v>
      </c>
      <c r="P56" s="34">
        <f t="shared" si="5"/>
        <v>0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>
        <v>210</v>
      </c>
      <c r="B57" s="6">
        <v>83</v>
      </c>
      <c r="C57" s="7" t="str">
        <f t="shared" si="3"/>
        <v>Premium3R3less</v>
      </c>
      <c r="D57" s="7" t="str">
        <f t="shared" si="4"/>
        <v>Premium</v>
      </c>
      <c r="E57" s="7" t="str">
        <f>IF(COUNTIF('R6追加前'!A:A,B57)=0,IF(I57="PremiumSS","R5only","R3less"),"")</f>
        <v>R3less</v>
      </c>
      <c r="F57" s="7" t="str">
        <f>IF(COUNTIF('R6開放'!A:A,B57)&gt;0,"R6release","")</f>
        <v/>
      </c>
      <c r="G57" s="7"/>
      <c r="H57" s="7" t="str">
        <f>VLOOKUP(B57,[1]characters!$A:$C,3,FALSE)</f>
        <v>拡散性ニムダ</v>
      </c>
      <c r="I57" s="7" t="str">
        <f>VLOOKUP(B57,[1]characters!$A:$J,10,FALSE)</f>
        <v>DropWizW</v>
      </c>
      <c r="J57" s="7">
        <f>VLOOKUP(B57,[1]characters!$A:$I,9,FALSE)</f>
        <v>3</v>
      </c>
      <c r="K57" s="7" t="str">
        <f>VLOOKUP(B57,[1]characters!$A:$H,8,FALSE)</f>
        <v>yellow</v>
      </c>
      <c r="L57" s="7" t="str">
        <f>VLOOKUP(B57,[1]characters!$A:$K,11,FALSE)</f>
        <v>heal</v>
      </c>
      <c r="M57" s="7" t="str">
        <f>VLOOKUP(B57,[1]characters!$A:$M,13,FALSE)</f>
        <v>unknown</v>
      </c>
      <c r="N57" s="7" t="str">
        <f>VLOOKUP(B57,[1]characters!$A:$G,7,FALSE)</f>
        <v>不明</v>
      </c>
      <c r="O57" s="5">
        <v>0</v>
      </c>
      <c r="P57" s="34">
        <f t="shared" si="5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>
        <v>210</v>
      </c>
      <c r="B58" s="6">
        <v>85</v>
      </c>
      <c r="C58" s="7" t="str">
        <f t="shared" si="3"/>
        <v>Premium3R3less</v>
      </c>
      <c r="D58" s="7" t="str">
        <f t="shared" si="4"/>
        <v>Premium</v>
      </c>
      <c r="E58" s="7" t="str">
        <f>IF(COUNTIF('R6追加前'!A:A,B58)=0,IF(I58="PremiumSS","R5only","R3less"),"")</f>
        <v>R3less</v>
      </c>
      <c r="F58" s="7" t="str">
        <f>IF(COUNTIF('R6開放'!A:A,B58)&gt;0,"R6release","")</f>
        <v/>
      </c>
      <c r="G58" s="7"/>
      <c r="H58" s="7" t="str">
        <f>VLOOKUP(B58,[1]characters!$A:$C,3,FALSE)</f>
        <v>朱雀</v>
      </c>
      <c r="I58" s="7" t="str">
        <f>VLOOKUP(B58,[1]characters!$A:$J,10,FALSE)</f>
        <v>Drop2N</v>
      </c>
      <c r="J58" s="7">
        <f>VLOOKUP(B58,[1]characters!$A:$I,9,FALSE)</f>
        <v>3</v>
      </c>
      <c r="K58" s="7" t="str">
        <f>VLOOKUP(B58,[1]characters!$A:$H,8,FALSE)</f>
        <v>red</v>
      </c>
      <c r="L58" s="7" t="str">
        <f>VLOOKUP(B58,[1]characters!$A:$K,11,FALSE)</f>
        <v>balance</v>
      </c>
      <c r="M58" s="7" t="str">
        <f>VLOOKUP(B58,[1]characters!$A:$M,13,FALSE)</f>
        <v>animal</v>
      </c>
      <c r="N58" s="7" t="str">
        <f>VLOOKUP(B58,[1]characters!$A:$G,7,FALSE)</f>
        <v>不明</v>
      </c>
      <c r="O58" s="5">
        <v>888</v>
      </c>
      <c r="P58" s="34">
        <f t="shared" si="5"/>
        <v>1.1121130147279832E-2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>
        <v>210</v>
      </c>
      <c r="B59" s="6">
        <v>88</v>
      </c>
      <c r="C59" s="7" t="str">
        <f t="shared" si="3"/>
        <v>Premium3R3less</v>
      </c>
      <c r="D59" s="7" t="str">
        <f t="shared" si="4"/>
        <v>Premium</v>
      </c>
      <c r="E59" s="7" t="str">
        <f>IF(COUNTIF('R6追加前'!A:A,B59)=0,IF(I59="PremiumSS","R5only","R3less"),"")</f>
        <v>R3less</v>
      </c>
      <c r="F59" s="7" t="str">
        <f>IF(COUNTIF('R6開放'!A:A,B59)&gt;0,"R6release","")</f>
        <v/>
      </c>
      <c r="G59" s="7"/>
      <c r="H59" s="7" t="str">
        <f>VLOOKUP(B59,[1]characters!$A:$C,3,FALSE)</f>
        <v>玄武</v>
      </c>
      <c r="I59" s="7" t="str">
        <f>VLOOKUP(B59,[1]characters!$A:$J,10,FALSE)</f>
        <v>Drop2N</v>
      </c>
      <c r="J59" s="7">
        <f>VLOOKUP(B59,[1]characters!$A:$I,9,FALSE)</f>
        <v>3</v>
      </c>
      <c r="K59" s="7" t="str">
        <f>VLOOKUP(B59,[1]characters!$A:$H,8,FALSE)</f>
        <v>green</v>
      </c>
      <c r="L59" s="7" t="str">
        <f>VLOOKUP(B59,[1]characters!$A:$K,11,FALSE)</f>
        <v>technical</v>
      </c>
      <c r="M59" s="7" t="str">
        <f>VLOOKUP(B59,[1]characters!$A:$M,13,FALSE)</f>
        <v>dragon</v>
      </c>
      <c r="N59" s="7" t="str">
        <f>VLOOKUP(B59,[1]characters!$A:$G,7,FALSE)</f>
        <v>不明</v>
      </c>
      <c r="O59" s="5">
        <v>888</v>
      </c>
      <c r="P59" s="34">
        <f t="shared" si="5"/>
        <v>1.1121130147279832E-2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>
        <v>210</v>
      </c>
      <c r="B60" s="6">
        <v>91</v>
      </c>
      <c r="C60" s="7" t="str">
        <f t="shared" si="3"/>
        <v>Premium3R3less</v>
      </c>
      <c r="D60" s="7" t="str">
        <f t="shared" si="4"/>
        <v>Premium</v>
      </c>
      <c r="E60" s="7" t="str">
        <f>IF(COUNTIF('R6追加前'!A:A,B60)=0,IF(I60="PremiumSS","R5only","R3less"),"")</f>
        <v>R3less</v>
      </c>
      <c r="F60" s="7" t="str">
        <f>IF(COUNTIF('R6開放'!A:A,B60)&gt;0,"R6release","")</f>
        <v/>
      </c>
      <c r="G60" s="7"/>
      <c r="H60" s="7" t="str">
        <f>VLOOKUP(B60,[1]characters!$A:$C,3,FALSE)</f>
        <v>青龍</v>
      </c>
      <c r="I60" s="7" t="str">
        <f>VLOOKUP(B60,[1]characters!$A:$J,10,FALSE)</f>
        <v>Drop2N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balance</v>
      </c>
      <c r="M60" s="7" t="str">
        <f>VLOOKUP(B60,[1]characters!$A:$M,13,FALSE)</f>
        <v>dragon</v>
      </c>
      <c r="N60" s="7" t="str">
        <f>VLOOKUP(B60,[1]characters!$A:$G,7,FALSE)</f>
        <v>不明</v>
      </c>
      <c r="O60" s="5">
        <v>888</v>
      </c>
      <c r="P60" s="34">
        <f t="shared" si="5"/>
        <v>1.1121130147279832E-2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>
        <v>210</v>
      </c>
      <c r="B61" s="6">
        <v>94</v>
      </c>
      <c r="C61" s="7" t="str">
        <f t="shared" si="3"/>
        <v>Premium3R3less</v>
      </c>
      <c r="D61" s="7" t="str">
        <f t="shared" si="4"/>
        <v>Premium</v>
      </c>
      <c r="E61" s="7" t="str">
        <f>IF(COUNTIF('R6追加前'!A:A,B61)=0,IF(I61="PremiumSS","R5only","R3less"),"")</f>
        <v>R3less</v>
      </c>
      <c r="F61" s="7" t="str">
        <f>IF(COUNTIF('R6開放'!A:A,B61)&gt;0,"R6release","")</f>
        <v/>
      </c>
      <c r="G61" s="7"/>
      <c r="H61" s="7" t="str">
        <f>VLOOKUP(B61,[1]characters!$A:$C,3,FALSE)</f>
        <v>白虎</v>
      </c>
      <c r="I61" s="7" t="str">
        <f>VLOOKUP(B61,[1]characters!$A:$J,10,FALSE)</f>
        <v>Drop2N</v>
      </c>
      <c r="J61" s="7">
        <f>VLOOKUP(B61,[1]characters!$A:$I,9,FALSE)</f>
        <v>3</v>
      </c>
      <c r="K61" s="7" t="str">
        <f>VLOOKUP(B61,[1]characters!$A:$H,8,FALSE)</f>
        <v>yellow</v>
      </c>
      <c r="L61" s="7" t="str">
        <f>VLOOKUP(B61,[1]characters!$A:$K,11,FALSE)</f>
        <v>attack</v>
      </c>
      <c r="M61" s="7" t="str">
        <f>VLOOKUP(B61,[1]characters!$A:$M,13,FALSE)</f>
        <v>animal</v>
      </c>
      <c r="N61" s="7" t="str">
        <f>VLOOKUP(B61,[1]characters!$A:$G,7,FALSE)</f>
        <v>不明</v>
      </c>
      <c r="O61" s="5">
        <v>888</v>
      </c>
      <c r="P61" s="34">
        <f t="shared" si="5"/>
        <v>1.1121130147279832E-2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>
        <v>210</v>
      </c>
      <c r="B62" s="6">
        <v>332</v>
      </c>
      <c r="C62" s="7" t="str">
        <f t="shared" si="3"/>
        <v>Premium3R3less</v>
      </c>
      <c r="D62" s="7" t="str">
        <f t="shared" si="4"/>
        <v>Premium</v>
      </c>
      <c r="E62" s="7" t="str">
        <f>IF(COUNTIF('R6追加前'!A:A,B62)=0,IF(I62="PremiumSS","R5only","R3less"),"")</f>
        <v>R3less</v>
      </c>
      <c r="F62" s="7" t="str">
        <f>IF(COUNTIF('R6開放'!A:A,B62)&gt;0,"R6release","")</f>
        <v/>
      </c>
      <c r="G62" s="7"/>
      <c r="H62" s="7" t="str">
        <f>VLOOKUP(B62,[1]characters!$A:$C,3,FALSE)</f>
        <v>炎のメタルピヨピヨ</v>
      </c>
      <c r="I62" s="7" t="str">
        <f>VLOOKUP(B62,[1]characters!$A:$J,10,FALSE)</f>
        <v>Material</v>
      </c>
      <c r="J62" s="7">
        <f>VLOOKUP(B62,[1]characters!$A:$I,9,FALSE)</f>
        <v>3</v>
      </c>
      <c r="K62" s="7" t="str">
        <f>VLOOKUP(B62,[1]characters!$A:$H,8,FALSE)</f>
        <v>red</v>
      </c>
      <c r="L62" s="7" t="str">
        <f>VLOOKUP(B62,[1]characters!$A:$K,11,FALSE)</f>
        <v>exp</v>
      </c>
      <c r="M62" s="7" t="str">
        <f>VLOOKUP(B62,[1]characters!$A:$M,13,FALSE)</f>
        <v>unknown</v>
      </c>
      <c r="N62" s="7" t="str">
        <f>VLOOKUP(B62,[1]characters!$A:$G,7,FALSE)</f>
        <v>不明</v>
      </c>
      <c r="O62" s="5">
        <v>500</v>
      </c>
      <c r="P62" s="34">
        <f t="shared" si="5"/>
        <v>6.2618976054503554E-3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>
        <v>210</v>
      </c>
      <c r="B63" s="6">
        <v>336</v>
      </c>
      <c r="C63" s="7" t="str">
        <f t="shared" si="3"/>
        <v>Premium3R3less</v>
      </c>
      <c r="D63" s="7" t="str">
        <f t="shared" si="4"/>
        <v>Premium</v>
      </c>
      <c r="E63" s="7" t="str">
        <f>IF(COUNTIF('R6追加前'!A:A,B63)=0,IF(I63="PremiumSS","R5only","R3less"),"")</f>
        <v>R3less</v>
      </c>
      <c r="F63" s="7" t="str">
        <f>IF(COUNTIF('R6開放'!A:A,B63)&gt;0,"R6release","")</f>
        <v/>
      </c>
      <c r="G63" s="7"/>
      <c r="H63" s="7" t="str">
        <f>VLOOKUP(B63,[1]characters!$A:$C,3,FALSE)</f>
        <v>森のメタルピヨピヨ</v>
      </c>
      <c r="I63" s="7" t="str">
        <f>VLOOKUP(B63,[1]characters!$A:$J,10,FALSE)</f>
        <v>Material</v>
      </c>
      <c r="J63" s="7">
        <f>VLOOKUP(B63,[1]characters!$A:$I,9,FALSE)</f>
        <v>3</v>
      </c>
      <c r="K63" s="7" t="str">
        <f>VLOOKUP(B63,[1]characters!$A:$H,8,FALSE)</f>
        <v>green</v>
      </c>
      <c r="L63" s="7" t="str">
        <f>VLOOKUP(B63,[1]characters!$A:$K,11,FALSE)</f>
        <v>exp</v>
      </c>
      <c r="M63" s="7" t="str">
        <f>VLOOKUP(B63,[1]characters!$A:$M,13,FALSE)</f>
        <v>unknown</v>
      </c>
      <c r="N63" s="7" t="str">
        <f>VLOOKUP(B63,[1]characters!$A:$G,7,FALSE)</f>
        <v>不明</v>
      </c>
      <c r="O63" s="5">
        <v>500</v>
      </c>
      <c r="P63" s="34">
        <f t="shared" si="5"/>
        <v>6.2618976054503554E-3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>
        <v>210</v>
      </c>
      <c r="B64" s="6">
        <v>340</v>
      </c>
      <c r="C64" s="7" t="str">
        <f t="shared" si="3"/>
        <v>Premium3R3less</v>
      </c>
      <c r="D64" s="7" t="str">
        <f t="shared" si="4"/>
        <v>Premium</v>
      </c>
      <c r="E64" s="7" t="str">
        <f>IF(COUNTIF('R6追加前'!A:A,B64)=0,IF(I64="PremiumSS","R5only","R3less"),"")</f>
        <v>R3less</v>
      </c>
      <c r="F64" s="7" t="str">
        <f>IF(COUNTIF('R6開放'!A:A,B64)&gt;0,"R6release","")</f>
        <v/>
      </c>
      <c r="G64" s="7"/>
      <c r="H64" s="7" t="str">
        <f>VLOOKUP(B64,[1]characters!$A:$C,3,FALSE)</f>
        <v>水のメタルピヨピヨ</v>
      </c>
      <c r="I64" s="7" t="str">
        <f>VLOOKUP(B64,[1]characters!$A:$J,10,FALSE)</f>
        <v>Material</v>
      </c>
      <c r="J64" s="7">
        <f>VLOOKUP(B64,[1]characters!$A:$I,9,FALSE)</f>
        <v>3</v>
      </c>
      <c r="K64" s="7" t="str">
        <f>VLOOKUP(B64,[1]characters!$A:$H,8,FALSE)</f>
        <v>blue</v>
      </c>
      <c r="L64" s="7" t="str">
        <f>VLOOKUP(B64,[1]characters!$A:$K,11,FALSE)</f>
        <v>exp</v>
      </c>
      <c r="M64" s="7" t="str">
        <f>VLOOKUP(B64,[1]characters!$A:$M,13,FALSE)</f>
        <v>unknown</v>
      </c>
      <c r="N64" s="7" t="str">
        <f>VLOOKUP(B64,[1]characters!$A:$G,7,FALSE)</f>
        <v>不明</v>
      </c>
      <c r="O64" s="5">
        <v>500</v>
      </c>
      <c r="P64" s="34">
        <f t="shared" si="5"/>
        <v>6.2618976054503554E-3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>
        <v>210</v>
      </c>
      <c r="B65" s="6">
        <v>344</v>
      </c>
      <c r="C65" s="7" t="str">
        <f t="shared" si="3"/>
        <v>Premium3R3less</v>
      </c>
      <c r="D65" s="7" t="str">
        <f t="shared" si="4"/>
        <v>Premium</v>
      </c>
      <c r="E65" s="7" t="str">
        <f>IF(COUNTIF('R6追加前'!A:A,B65)=0,IF(I65="PremiumSS","R5only","R3less"),"")</f>
        <v>R3less</v>
      </c>
      <c r="F65" s="7" t="str">
        <f>IF(COUNTIF('R6開放'!A:A,B65)&gt;0,"R6release","")</f>
        <v/>
      </c>
      <c r="G65" s="7"/>
      <c r="H65" s="7" t="str">
        <f>VLOOKUP(B65,[1]characters!$A:$C,3,FALSE)</f>
        <v>雷のメタルピヨピヨ</v>
      </c>
      <c r="I65" s="7" t="str">
        <f>VLOOKUP(B65,[1]characters!$A:$J,10,FALSE)</f>
        <v>Material</v>
      </c>
      <c r="J65" s="7">
        <f>VLOOKUP(B65,[1]characters!$A:$I,9,FALSE)</f>
        <v>3</v>
      </c>
      <c r="K65" s="7" t="str">
        <f>VLOOKUP(B65,[1]characters!$A:$H,8,FALSE)</f>
        <v>yellow</v>
      </c>
      <c r="L65" s="7" t="str">
        <f>VLOOKUP(B65,[1]characters!$A:$K,11,FALSE)</f>
        <v>exp</v>
      </c>
      <c r="M65" s="7" t="str">
        <f>VLOOKUP(B65,[1]characters!$A:$M,13,FALSE)</f>
        <v>unknown</v>
      </c>
      <c r="N65" s="7" t="str">
        <f>VLOOKUP(B65,[1]characters!$A:$G,7,FALSE)</f>
        <v>不明</v>
      </c>
      <c r="O65" s="5">
        <v>500</v>
      </c>
      <c r="P65" s="34">
        <f t="shared" si="5"/>
        <v>6.2618976054503554E-3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ht="21" customHeight="1" x14ac:dyDescent="0.15">
      <c r="A66" s="2">
        <v>210</v>
      </c>
      <c r="B66" s="6">
        <v>333</v>
      </c>
      <c r="C66" s="7" t="str">
        <f t="shared" si="3"/>
        <v>Premium4R3less</v>
      </c>
      <c r="D66" s="7" t="str">
        <f t="shared" si="4"/>
        <v>Premium</v>
      </c>
      <c r="E66" s="7" t="str">
        <f>IF(COUNTIF('R6追加前'!A:A,B66)=0,IF(I66="PremiumSS","R5only","R3less"),"")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炎のメタルチック</v>
      </c>
      <c r="I66" s="7" t="str">
        <f>VLOOKUP(B66,[1]characters!$A:$J,10,FALSE)</f>
        <v>Material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exp</v>
      </c>
      <c r="M66" s="7" t="str">
        <f>VLOOKUP(B66,[1]characters!$A:$M,13,FALSE)</f>
        <v>unknown</v>
      </c>
      <c r="N66" s="7" t="str">
        <f>VLOOKUP(B66,[1]characters!$A:$G,7,FALSE)</f>
        <v>不明</v>
      </c>
      <c r="O66" s="5">
        <v>600</v>
      </c>
      <c r="P66" s="34">
        <f t="shared" si="5"/>
        <v>7.5142771265404272E-3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>
        <v>210</v>
      </c>
      <c r="B67" s="6">
        <v>337</v>
      </c>
      <c r="C67" s="7" t="str">
        <f t="shared" si="3"/>
        <v>Premium4R3less</v>
      </c>
      <c r="D67" s="7" t="str">
        <f t="shared" si="4"/>
        <v>Premium</v>
      </c>
      <c r="E67" s="7" t="str">
        <f>IF(COUNTIF('R6追加前'!A:A,B67)=0,IF(I67="PremiumSS","R5only","R3less"),"")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森のメタルチック</v>
      </c>
      <c r="I67" s="7" t="str">
        <f>VLOOKUP(B67,[1]characters!$A:$J,10,FALSE)</f>
        <v>Material</v>
      </c>
      <c r="J67" s="7">
        <f>VLOOKUP(B67,[1]characters!$A:$I,9,FALSE)</f>
        <v>4</v>
      </c>
      <c r="K67" s="7" t="str">
        <f>VLOOKUP(B67,[1]characters!$A:$H,8,FALSE)</f>
        <v>green</v>
      </c>
      <c r="L67" s="7" t="str">
        <f>VLOOKUP(B67,[1]characters!$A:$K,11,FALSE)</f>
        <v>exp</v>
      </c>
      <c r="M67" s="7" t="str">
        <f>VLOOKUP(B67,[1]characters!$A:$M,13,FALSE)</f>
        <v>unknown</v>
      </c>
      <c r="N67" s="7" t="str">
        <f>VLOOKUP(B67,[1]characters!$A:$G,7,FALSE)</f>
        <v>不明</v>
      </c>
      <c r="O67" s="5">
        <v>600</v>
      </c>
      <c r="P67" s="34">
        <f t="shared" si="5"/>
        <v>7.5142771265404272E-3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>
        <v>210</v>
      </c>
      <c r="B68" s="6">
        <v>341</v>
      </c>
      <c r="C68" s="7" t="str">
        <f t="shared" si="3"/>
        <v>Premium4R3less</v>
      </c>
      <c r="D68" s="7" t="str">
        <f t="shared" si="4"/>
        <v>Premium</v>
      </c>
      <c r="E68" s="7" t="str">
        <f>IF(COUNTIF('R6追加前'!A:A,B68)=0,IF(I68="PremiumSS","R5only","R3less"),"")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水のメタルチック</v>
      </c>
      <c r="I68" s="7" t="str">
        <f>VLOOKUP(B68,[1]characters!$A:$J,10,FALSE)</f>
        <v>Material</v>
      </c>
      <c r="J68" s="7">
        <f>VLOOKUP(B68,[1]characters!$A:$I,9,FALSE)</f>
        <v>4</v>
      </c>
      <c r="K68" s="7" t="str">
        <f>VLOOKUP(B68,[1]characters!$A:$H,8,FALSE)</f>
        <v>blue</v>
      </c>
      <c r="L68" s="7" t="str">
        <f>VLOOKUP(B68,[1]characters!$A:$K,11,FALSE)</f>
        <v>exp</v>
      </c>
      <c r="M68" s="7" t="str">
        <f>VLOOKUP(B68,[1]characters!$A:$M,13,FALSE)</f>
        <v>unknown</v>
      </c>
      <c r="N68" s="7" t="str">
        <f>VLOOKUP(B68,[1]characters!$A:$G,7,FALSE)</f>
        <v>不明</v>
      </c>
      <c r="O68" s="5">
        <v>600</v>
      </c>
      <c r="P68" s="34">
        <f t="shared" si="5"/>
        <v>7.5142771265404272E-3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>
        <v>210</v>
      </c>
      <c r="B69" s="6">
        <v>345</v>
      </c>
      <c r="C69" s="7" t="str">
        <f t="shared" si="3"/>
        <v>Premium4R3less</v>
      </c>
      <c r="D69" s="7" t="str">
        <f t="shared" si="4"/>
        <v>Premium</v>
      </c>
      <c r="E69" s="7" t="str">
        <f>IF(COUNTIF('R6追加前'!A:A,B69)=0,IF(I69="PremiumSS","R5only","R3less"),"")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雷のメタルチック</v>
      </c>
      <c r="I69" s="7" t="str">
        <f>VLOOKUP(B69,[1]characters!$A:$J,10,FALSE)</f>
        <v>Material</v>
      </c>
      <c r="J69" s="7">
        <f>VLOOKUP(B69,[1]characters!$A:$I,9,FALSE)</f>
        <v>4</v>
      </c>
      <c r="K69" s="7" t="str">
        <f>VLOOKUP(B69,[1]characters!$A:$H,8,FALSE)</f>
        <v>yellow</v>
      </c>
      <c r="L69" s="7" t="str">
        <f>VLOOKUP(B69,[1]characters!$A:$K,11,FALSE)</f>
        <v>exp</v>
      </c>
      <c r="M69" s="7" t="str">
        <f>VLOOKUP(B69,[1]characters!$A:$M,13,FALSE)</f>
        <v>unknown</v>
      </c>
      <c r="N69" s="7" t="str">
        <f>VLOOKUP(B69,[1]characters!$A:$G,7,FALSE)</f>
        <v>不明</v>
      </c>
      <c r="O69" s="5">
        <v>600</v>
      </c>
      <c r="P69" s="34">
        <f t="shared" si="5"/>
        <v>7.5142771265404272E-3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>
        <v>210</v>
      </c>
      <c r="B70" s="6">
        <v>334</v>
      </c>
      <c r="C70" s="7" t="str">
        <f t="shared" si="3"/>
        <v>Premium5R3less</v>
      </c>
      <c r="D70" s="7" t="str">
        <f t="shared" si="4"/>
        <v>Premium</v>
      </c>
      <c r="E70" s="7" t="str">
        <f>IF(COUNTIF('R6追加前'!A:A,B70)=0,IF(I70="PremiumSS","R5only","R3less"),"")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炎のメタルダック</v>
      </c>
      <c r="I70" s="7" t="str">
        <f>VLOOKUP(B70,[1]characters!$A:$J,10,FALSE)</f>
        <v>Material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exp</v>
      </c>
      <c r="M70" s="7" t="str">
        <f>VLOOKUP(B70,[1]characters!$A:$M,13,FALSE)</f>
        <v>unknown</v>
      </c>
      <c r="N70" s="7" t="str">
        <f>VLOOKUP(B70,[1]characters!$A:$G,7,FALSE)</f>
        <v>不明</v>
      </c>
      <c r="O70" s="5">
        <v>3800</v>
      </c>
      <c r="P70" s="34">
        <f t="shared" si="5"/>
        <v>4.75904218014227E-2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>
        <v>210</v>
      </c>
      <c r="B71" s="6">
        <v>338</v>
      </c>
      <c r="C71" s="7" t="str">
        <f t="shared" si="3"/>
        <v>Premium5R3less</v>
      </c>
      <c r="D71" s="7" t="str">
        <f t="shared" si="4"/>
        <v>Premium</v>
      </c>
      <c r="E71" s="7" t="str">
        <f>IF(COUNTIF('R6追加前'!A:A,B71)=0,IF(I71="PremiumSS","R5only","R3less"),"")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森のメタルダック</v>
      </c>
      <c r="I71" s="7" t="str">
        <f>VLOOKUP(B71,[1]characters!$A:$J,10,FALSE)</f>
        <v>Material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exp</v>
      </c>
      <c r="M71" s="7" t="str">
        <f>VLOOKUP(B71,[1]characters!$A:$M,13,FALSE)</f>
        <v>unknown</v>
      </c>
      <c r="N71" s="7" t="str">
        <f>VLOOKUP(B71,[1]characters!$A:$G,7,FALSE)</f>
        <v>不明</v>
      </c>
      <c r="O71" s="5">
        <v>3800</v>
      </c>
      <c r="P71" s="34">
        <f t="shared" si="5"/>
        <v>4.75904218014227E-2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>
        <v>210</v>
      </c>
      <c r="B72" s="6">
        <v>342</v>
      </c>
      <c r="C72" s="7" t="str">
        <f t="shared" si="3"/>
        <v>Premium5R3less</v>
      </c>
      <c r="D72" s="7" t="str">
        <f t="shared" si="4"/>
        <v>Premium</v>
      </c>
      <c r="E72" s="7" t="str">
        <f>IF(COUNTIF('R6追加前'!A:A,B72)=0,IF(I72="PremiumSS","R5only","R3less"),"")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水のメタルダック</v>
      </c>
      <c r="I72" s="7" t="str">
        <f>VLOOKUP(B72,[1]characters!$A:$J,10,FALSE)</f>
        <v>Material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exp</v>
      </c>
      <c r="M72" s="7" t="str">
        <f>VLOOKUP(B72,[1]characters!$A:$M,13,FALSE)</f>
        <v>unknown</v>
      </c>
      <c r="N72" s="7" t="str">
        <f>VLOOKUP(B72,[1]characters!$A:$G,7,FALSE)</f>
        <v>不明</v>
      </c>
      <c r="O72" s="5">
        <v>3800</v>
      </c>
      <c r="P72" s="34">
        <f t="shared" si="5"/>
        <v>4.75904218014227E-2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>
        <v>210</v>
      </c>
      <c r="B73" s="6">
        <v>346</v>
      </c>
      <c r="C73" s="7" t="str">
        <f t="shared" si="3"/>
        <v>Premium5R3less</v>
      </c>
      <c r="D73" s="7" t="str">
        <f t="shared" si="4"/>
        <v>Premium</v>
      </c>
      <c r="E73" s="7" t="str">
        <f>IF(COUNTIF('R6追加前'!A:A,B73)=0,IF(I73="PremiumSS","R5only","R3less"),"")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雷のメタルダック</v>
      </c>
      <c r="I73" s="7" t="str">
        <f>VLOOKUP(B73,[1]characters!$A:$J,10,FALSE)</f>
        <v>Material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exp</v>
      </c>
      <c r="M73" s="7" t="str">
        <f>VLOOKUP(B73,[1]characters!$A:$M,13,FALSE)</f>
        <v>unknown</v>
      </c>
      <c r="N73" s="7" t="str">
        <f>VLOOKUP(B73,[1]characters!$A:$G,7,FALSE)</f>
        <v>不明</v>
      </c>
      <c r="O73" s="5">
        <v>3800</v>
      </c>
      <c r="P73" s="34">
        <f t="shared" si="5"/>
        <v>4.75904218014227E-2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>
        <v>210</v>
      </c>
      <c r="B74" s="6">
        <v>117</v>
      </c>
      <c r="C74" s="7" t="str">
        <f t="shared" si="3"/>
        <v>Premium3R3less</v>
      </c>
      <c r="D74" s="7" t="str">
        <f t="shared" si="4"/>
        <v>Premium</v>
      </c>
      <c r="E74" s="7" t="str">
        <f>IF(COUNTIF('R6追加前'!A:A,B74)=0,IF(I74="PremiumSS","R5only","R3less"),"")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ゴールドピヨピヨ</v>
      </c>
      <c r="I74" s="7" t="str">
        <f>VLOOKUP(B74,[1]characters!$A:$J,10,FALSE)</f>
        <v>Material</v>
      </c>
      <c r="J74" s="7">
        <f>VLOOKUP(B74,[1]characters!$A:$I,9,FALSE)</f>
        <v>3</v>
      </c>
      <c r="K74" s="7" t="str">
        <f>VLOOKUP(B74,[1]characters!$A:$H,8,FALSE)</f>
        <v>yellow</v>
      </c>
      <c r="L74" s="7" t="str">
        <f>VLOOKUP(B74,[1]characters!$A:$K,11,FALSE)</f>
        <v>coin</v>
      </c>
      <c r="M74" s="7" t="str">
        <f>VLOOKUP(B74,[1]characters!$A:$M,13,FALSE)</f>
        <v>unknown</v>
      </c>
      <c r="N74" s="7" t="str">
        <f>VLOOKUP(B74,[1]characters!$A:$G,7,FALSE)</f>
        <v>不明</v>
      </c>
      <c r="O74" s="5">
        <v>2000</v>
      </c>
      <c r="P74" s="34">
        <f t="shared" si="5"/>
        <v>2.5047590421801422E-2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>
        <v>210</v>
      </c>
      <c r="B75" s="6">
        <v>118</v>
      </c>
      <c r="C75" s="7" t="str">
        <f t="shared" si="3"/>
        <v>Premium4R3less</v>
      </c>
      <c r="D75" s="7" t="str">
        <f t="shared" si="4"/>
        <v>Premium</v>
      </c>
      <c r="E75" s="7" t="str">
        <f>IF(COUNTIF('R6追加前'!A:A,B75)=0,IF(I75="PremiumSS","R5only","R3less"),"")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ゴールドチック</v>
      </c>
      <c r="I75" s="7" t="str">
        <f>VLOOKUP(B75,[1]characters!$A:$J,10,FALSE)</f>
        <v>Material</v>
      </c>
      <c r="J75" s="7">
        <f>VLOOKUP(B75,[1]characters!$A:$I,9,FALSE)</f>
        <v>4</v>
      </c>
      <c r="K75" s="7" t="str">
        <f>VLOOKUP(B75,[1]characters!$A:$H,8,FALSE)</f>
        <v>yellow</v>
      </c>
      <c r="L75" s="7" t="str">
        <f>VLOOKUP(B75,[1]characters!$A:$K,11,FALSE)</f>
        <v>coin</v>
      </c>
      <c r="M75" s="7" t="str">
        <f>VLOOKUP(B75,[1]characters!$A:$M,13,FALSE)</f>
        <v>unknown</v>
      </c>
      <c r="N75" s="7" t="str">
        <f>VLOOKUP(B75,[1]characters!$A:$G,7,FALSE)</f>
        <v>不明</v>
      </c>
      <c r="O75" s="5">
        <v>2400</v>
      </c>
      <c r="P75" s="34">
        <f t="shared" si="5"/>
        <v>3.0057108506161709E-2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>
        <v>210</v>
      </c>
      <c r="B76" s="6">
        <v>119</v>
      </c>
      <c r="C76" s="7" t="str">
        <f t="shared" si="3"/>
        <v>Premium5R3less</v>
      </c>
      <c r="D76" s="7" t="str">
        <f t="shared" si="4"/>
        <v>Premium</v>
      </c>
      <c r="E76" s="7" t="str">
        <f>IF(COUNTIF('R6追加前'!A:A,B76)=0,IF(I76="PremiumSS","R5only","R3less"),"")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ゴールドダック</v>
      </c>
      <c r="I76" s="7" t="str">
        <f>VLOOKUP(B76,[1]characters!$A:$J,10,FALSE)</f>
        <v>Material</v>
      </c>
      <c r="J76" s="7">
        <f>VLOOKUP(B76,[1]characters!$A:$I,9,FALSE)</f>
        <v>5</v>
      </c>
      <c r="K76" s="7" t="str">
        <f>VLOOKUP(B76,[1]characters!$A:$H,8,FALSE)</f>
        <v>yellow</v>
      </c>
      <c r="L76" s="7" t="str">
        <f>VLOOKUP(B76,[1]characters!$A:$K,11,FALSE)</f>
        <v>coin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5">
        <v>11200</v>
      </c>
      <c r="P76" s="34">
        <f t="shared" si="5"/>
        <v>0.14026650636208796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>
        <v>210</v>
      </c>
      <c r="B77" s="6">
        <v>121</v>
      </c>
      <c r="C77" s="7" t="str">
        <f t="shared" si="3"/>
        <v>Premium3R3less</v>
      </c>
      <c r="D77" s="7" t="str">
        <f t="shared" si="4"/>
        <v>Premium</v>
      </c>
      <c r="E77" s="7" t="str">
        <f>IF(COUNTIF('R6追加前'!A:A,B77)=0,IF(I77="PremiumSS","R5only","R3less"),"")</f>
        <v>R3less</v>
      </c>
      <c r="F77" s="7" t="str">
        <f>IF(COUNTIF('R6開放'!A:A,B77)&gt;0,"R6release","")</f>
        <v/>
      </c>
      <c r="G77" s="7"/>
      <c r="H77" s="7" t="str">
        <f>VLOOKUP(B77,[1]characters!$A:$C,3,FALSE)</f>
        <v>攻めの果実</v>
      </c>
      <c r="I77" s="7" t="str">
        <f>VLOOKUP(B77,[1]characters!$A:$J,10,FALSE)</f>
        <v>Material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limitbreak</v>
      </c>
      <c r="M77" s="7" t="str">
        <f>VLOOKUP(B77,[1]characters!$A:$M,13,FALSE)</f>
        <v>unknown</v>
      </c>
      <c r="N77" s="7" t="str">
        <f>VLOOKUP(B77,[1]characters!$A:$G,7,FALSE)</f>
        <v>不明</v>
      </c>
      <c r="O77" s="5">
        <v>5600</v>
      </c>
      <c r="P77" s="34">
        <f t="shared" si="5"/>
        <v>7.0133253181043978E-2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>
        <v>210</v>
      </c>
      <c r="B78" s="6">
        <v>122</v>
      </c>
      <c r="C78" s="7" t="str">
        <f t="shared" si="3"/>
        <v>Premium3R3less</v>
      </c>
      <c r="D78" s="7" t="str">
        <f t="shared" si="4"/>
        <v>Premium</v>
      </c>
      <c r="E78" s="7" t="str">
        <f>IF(COUNTIF('R6追加前'!A:A,B78)=0,IF(I78="PremiumSS","R5only","R3less"),"")</f>
        <v>R3less</v>
      </c>
      <c r="F78" s="7" t="str">
        <f>IF(COUNTIF('R6開放'!A:A,B78)&gt;0,"R6release","")</f>
        <v/>
      </c>
      <c r="G78" s="7"/>
      <c r="H78" s="7" t="str">
        <f>VLOOKUP(B78,[1]characters!$A:$C,3,FALSE)</f>
        <v>生命の果実</v>
      </c>
      <c r="I78" s="7" t="str">
        <f>VLOOKUP(B78,[1]characters!$A:$J,10,FALSE)</f>
        <v>Material</v>
      </c>
      <c r="J78" s="7">
        <f>VLOOKUP(B78,[1]characters!$A:$I,9,FALSE)</f>
        <v>3</v>
      </c>
      <c r="K78" s="7" t="str">
        <f>VLOOKUP(B78,[1]characters!$A:$H,8,FALSE)</f>
        <v>green</v>
      </c>
      <c r="L78" s="7" t="str">
        <f>VLOOKUP(B78,[1]characters!$A:$K,11,FALSE)</f>
        <v>limitbreak</v>
      </c>
      <c r="M78" s="7" t="str">
        <f>VLOOKUP(B78,[1]characters!$A:$M,13,FALSE)</f>
        <v>unknown</v>
      </c>
      <c r="N78" s="7" t="str">
        <f>VLOOKUP(B78,[1]characters!$A:$G,7,FALSE)</f>
        <v>不明</v>
      </c>
      <c r="O78" s="5">
        <v>5600</v>
      </c>
      <c r="P78" s="34">
        <f t="shared" si="5"/>
        <v>7.0133253181043978E-2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>
        <v>210</v>
      </c>
      <c r="B79" s="6">
        <v>123</v>
      </c>
      <c r="C79" s="7" t="str">
        <f t="shared" si="3"/>
        <v>Premium3R3less</v>
      </c>
      <c r="D79" s="7" t="str">
        <f t="shared" si="4"/>
        <v>Premium</v>
      </c>
      <c r="E79" s="7" t="str">
        <f>IF(COUNTIF('R6追加前'!A:A,B79)=0,IF(I79="PremiumSS","R5only","R3less"),"")</f>
        <v>R3less</v>
      </c>
      <c r="F79" s="7" t="str">
        <f>IF(COUNTIF('R6開放'!A:A,B79)&gt;0,"R6release","")</f>
        <v/>
      </c>
      <c r="G79" s="7"/>
      <c r="H79" s="7" t="str">
        <f>VLOOKUP(B79,[1]characters!$A:$C,3,FALSE)</f>
        <v>癒しの果実</v>
      </c>
      <c r="I79" s="7" t="str">
        <f>VLOOKUP(B79,[1]characters!$A:$J,10,FALSE)</f>
        <v>Material</v>
      </c>
      <c r="J79" s="7">
        <f>VLOOKUP(B79,[1]characters!$A:$I,9,FALSE)</f>
        <v>3</v>
      </c>
      <c r="K79" s="7" t="str">
        <f>VLOOKUP(B79,[1]characters!$A:$H,8,FALSE)</f>
        <v>blue</v>
      </c>
      <c r="L79" s="7" t="str">
        <f>VLOOKUP(B79,[1]characters!$A:$K,11,FALSE)</f>
        <v>limitbreak</v>
      </c>
      <c r="M79" s="7" t="str">
        <f>VLOOKUP(B79,[1]characters!$A:$M,13,FALSE)</f>
        <v>unknown</v>
      </c>
      <c r="N79" s="7" t="str">
        <f>VLOOKUP(B79,[1]characters!$A:$G,7,FALSE)</f>
        <v>不明</v>
      </c>
      <c r="O79" s="5">
        <v>5600</v>
      </c>
      <c r="P79" s="34">
        <f t="shared" si="5"/>
        <v>7.0133253181043978E-2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>
        <v>210</v>
      </c>
      <c r="B80" s="6">
        <v>125</v>
      </c>
      <c r="C80" s="7" t="str">
        <f t="shared" si="3"/>
        <v>Premium3R3less</v>
      </c>
      <c r="D80" s="7" t="str">
        <f t="shared" si="4"/>
        <v>Premium</v>
      </c>
      <c r="E80" s="7" t="str">
        <f>IF(COUNTIF('R6追加前'!A:A,B80)=0,IF(I80="PremiumSS","R5only","R3less"),"")</f>
        <v>R3less</v>
      </c>
      <c r="F80" s="7" t="str">
        <f>IF(COUNTIF('R6開放'!A:A,B80)&gt;0,"R6release","")</f>
        <v/>
      </c>
      <c r="G80" s="7"/>
      <c r="H80" s="7" t="str">
        <f>VLOOKUP(B80,[1]characters!$A:$C,3,FALSE)</f>
        <v>秘術の果実</v>
      </c>
      <c r="I80" s="7" t="str">
        <f>VLOOKUP(B80,[1]characters!$A:$J,10,FALSE)</f>
        <v>Material</v>
      </c>
      <c r="J80" s="7">
        <f>VLOOKUP(B80,[1]characters!$A:$I,9,FALSE)</f>
        <v>3</v>
      </c>
      <c r="K80" s="7" t="str">
        <f>VLOOKUP(B80,[1]characters!$A:$H,8,FALSE)</f>
        <v>blue</v>
      </c>
      <c r="L80" s="7" t="str">
        <f>VLOOKUP(B80,[1]characters!$A:$K,11,FALSE)</f>
        <v>skilllevel</v>
      </c>
      <c r="M80" s="7" t="str">
        <f>VLOOKUP(B80,[1]characters!$A:$M,13,FALSE)</f>
        <v>unknown</v>
      </c>
      <c r="N80" s="7" t="str">
        <f>VLOOKUP(B80,[1]characters!$A:$G,7,FALSE)</f>
        <v>不明</v>
      </c>
      <c r="O80" s="5">
        <v>1336</v>
      </c>
      <c r="P80" s="34">
        <f t="shared" si="5"/>
        <v>1.6731790401763352E-2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>
        <v>210</v>
      </c>
      <c r="B81" s="6">
        <v>905</v>
      </c>
      <c r="C81" s="7" t="str">
        <f t="shared" si="3"/>
        <v>Premium4R3less</v>
      </c>
      <c r="D81" s="7" t="str">
        <f t="shared" si="4"/>
        <v>Premium</v>
      </c>
      <c r="E81" s="7" t="str">
        <f>IF(COUNTIF('R6追加前'!A:A,B81)=0,IF(I81="PremiumSS","R5only","R3less"),"")</f>
        <v>R3less</v>
      </c>
      <c r="F81" s="7" t="str">
        <f>IF(COUNTIF('R6開放'!A:A,B81)&gt;0,"R6release","")</f>
        <v/>
      </c>
      <c r="G81" s="7"/>
      <c r="H81" s="7" t="str">
        <f>VLOOKUP(B81,[1]characters!$A:$C,3,FALSE)</f>
        <v>KIRIMIちゃん.</v>
      </c>
      <c r="I81" s="7" t="str">
        <f>VLOOKUP(B81,[1]characters!$A:$J,10,FALSE)</f>
        <v>Drop2N</v>
      </c>
      <c r="J81" s="7">
        <f>VLOOKUP(B81,[1]characters!$A:$I,9,FALSE)</f>
        <v>4</v>
      </c>
      <c r="K81" s="7" t="str">
        <f>VLOOKUP(B81,[1]characters!$A:$H,8,FALSE)</f>
        <v>red</v>
      </c>
      <c r="L81" s="7" t="str">
        <f>VLOOKUP(B81,[1]characters!$A:$K,11,FALSE)</f>
        <v>hp</v>
      </c>
      <c r="M81" s="7" t="str">
        <f>VLOOKUP(B81,[1]characters!$A:$M,13,FALSE)</f>
        <v>ss</v>
      </c>
      <c r="N81" s="7" t="str">
        <f>VLOOKUP(B81,[1]characters!$A:$G,7,FALSE)</f>
        <v>男性</v>
      </c>
      <c r="O81" s="5">
        <v>16000</v>
      </c>
      <c r="P81" s="34">
        <f t="shared" si="5"/>
        <v>0.20038072337441137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</sheetData>
  <autoFilter ref="A1:V17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19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tables_210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2016-06-07T03:27:50Z</dcterms:modified>
</cp:coreProperties>
</file>