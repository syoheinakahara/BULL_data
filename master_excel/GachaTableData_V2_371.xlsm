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640" yWindow="68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71010" sheetId="106" r:id="rId4"/>
    <sheet name="tables_371010" sheetId="82" r:id="rId5"/>
    <sheet name="input_371100" sheetId="140" r:id="rId6"/>
    <sheet name="tables_371100" sheetId="141" r:id="rId7"/>
    <sheet name="input_settle_371100" sheetId="147" r:id="rId8"/>
    <sheet name="tables_settle_371100" sheetId="148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tables_371010!$A$1:$V$283</definedName>
    <definedName name="_xlnm._FilterDatabase" localSheetId="6" hidden="1">tables_371100!$A$1:$V$271</definedName>
    <definedName name="_xlnm._FilterDatabase" localSheetId="8" hidden="1">tables_settle_371100!$A$1:$V$271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48" l="1"/>
  <c r="D2" i="148"/>
  <c r="J2" i="148"/>
  <c r="E2" i="148"/>
  <c r="C2" i="148"/>
  <c r="I3" i="148"/>
  <c r="D3" i="148"/>
  <c r="J3" i="148"/>
  <c r="E3" i="148"/>
  <c r="C3" i="148"/>
  <c r="I4" i="148"/>
  <c r="D4" i="148"/>
  <c r="J4" i="148"/>
  <c r="E4" i="148"/>
  <c r="C4" i="148"/>
  <c r="I5" i="148"/>
  <c r="D5" i="148"/>
  <c r="J5" i="148"/>
  <c r="E5" i="148"/>
  <c r="C5" i="148"/>
  <c r="I6" i="148"/>
  <c r="D6" i="148"/>
  <c r="J6" i="148"/>
  <c r="E6" i="148"/>
  <c r="C6" i="148"/>
  <c r="I7" i="148"/>
  <c r="D7" i="148"/>
  <c r="J7" i="148"/>
  <c r="E7" i="148"/>
  <c r="C7" i="148"/>
  <c r="I8" i="148"/>
  <c r="D8" i="148"/>
  <c r="J8" i="148"/>
  <c r="E8" i="148"/>
  <c r="C8" i="148"/>
  <c r="I9" i="148"/>
  <c r="D9" i="148"/>
  <c r="J9" i="148"/>
  <c r="E9" i="148"/>
  <c r="C9" i="148"/>
  <c r="I10" i="148"/>
  <c r="D10" i="148"/>
  <c r="J10" i="148"/>
  <c r="E10" i="148"/>
  <c r="C10" i="148"/>
  <c r="I11" i="148"/>
  <c r="D11" i="148"/>
  <c r="J11" i="148"/>
  <c r="E11" i="148"/>
  <c r="C11" i="148"/>
  <c r="I12" i="148"/>
  <c r="D12" i="148"/>
  <c r="J12" i="148"/>
  <c r="E12" i="148"/>
  <c r="C12" i="148"/>
  <c r="I13" i="148"/>
  <c r="D13" i="148"/>
  <c r="J13" i="148"/>
  <c r="E13" i="148"/>
  <c r="C13" i="148"/>
  <c r="I14" i="148"/>
  <c r="D14" i="148"/>
  <c r="J14" i="148"/>
  <c r="E14" i="148"/>
  <c r="C14" i="148"/>
  <c r="I15" i="148"/>
  <c r="D15" i="148"/>
  <c r="J15" i="148"/>
  <c r="E15" i="148"/>
  <c r="C15" i="148"/>
  <c r="I16" i="148"/>
  <c r="D16" i="148"/>
  <c r="J16" i="148"/>
  <c r="E16" i="148"/>
  <c r="C16" i="148"/>
  <c r="I17" i="148"/>
  <c r="D17" i="148"/>
  <c r="J17" i="148"/>
  <c r="E17" i="148"/>
  <c r="C17" i="148"/>
  <c r="I18" i="148"/>
  <c r="D18" i="148"/>
  <c r="J18" i="148"/>
  <c r="E18" i="148"/>
  <c r="C18" i="148"/>
  <c r="I19" i="148"/>
  <c r="D19" i="148"/>
  <c r="J19" i="148"/>
  <c r="E19" i="148"/>
  <c r="C19" i="148"/>
  <c r="I20" i="148"/>
  <c r="D20" i="148"/>
  <c r="J20" i="148"/>
  <c r="E20" i="148"/>
  <c r="C20" i="148"/>
  <c r="I21" i="148"/>
  <c r="D21" i="148"/>
  <c r="J21" i="148"/>
  <c r="E21" i="148"/>
  <c r="C21" i="148"/>
  <c r="I22" i="148"/>
  <c r="D22" i="148"/>
  <c r="J22" i="148"/>
  <c r="E22" i="148"/>
  <c r="C22" i="148"/>
  <c r="I23" i="148"/>
  <c r="D23" i="148"/>
  <c r="J23" i="148"/>
  <c r="E23" i="148"/>
  <c r="C23" i="148"/>
  <c r="I24" i="148"/>
  <c r="D24" i="148"/>
  <c r="J24" i="148"/>
  <c r="E24" i="148"/>
  <c r="C24" i="148"/>
  <c r="I25" i="148"/>
  <c r="D25" i="148"/>
  <c r="J25" i="148"/>
  <c r="E25" i="148"/>
  <c r="C25" i="148"/>
  <c r="I26" i="148"/>
  <c r="D26" i="148"/>
  <c r="J26" i="148"/>
  <c r="E26" i="148"/>
  <c r="C26" i="148"/>
  <c r="I27" i="148"/>
  <c r="D27" i="148"/>
  <c r="J27" i="148"/>
  <c r="E27" i="148"/>
  <c r="C27" i="148"/>
  <c r="I28" i="148"/>
  <c r="D28" i="148"/>
  <c r="J28" i="148"/>
  <c r="E28" i="148"/>
  <c r="C28" i="148"/>
  <c r="I29" i="148"/>
  <c r="D29" i="148"/>
  <c r="J29" i="148"/>
  <c r="E29" i="148"/>
  <c r="C29" i="148"/>
  <c r="I30" i="148"/>
  <c r="D30" i="148"/>
  <c r="J30" i="148"/>
  <c r="E30" i="148"/>
  <c r="C30" i="148"/>
  <c r="I31" i="148"/>
  <c r="D31" i="148"/>
  <c r="J31" i="148"/>
  <c r="E31" i="148"/>
  <c r="C31" i="148"/>
  <c r="I32" i="148"/>
  <c r="D32" i="148"/>
  <c r="J32" i="148"/>
  <c r="E32" i="148"/>
  <c r="C32" i="148"/>
  <c r="I33" i="148"/>
  <c r="D33" i="148"/>
  <c r="J33" i="148"/>
  <c r="E33" i="148"/>
  <c r="C33" i="148"/>
  <c r="I34" i="148"/>
  <c r="D34" i="148"/>
  <c r="J34" i="148"/>
  <c r="E34" i="148"/>
  <c r="C34" i="148"/>
  <c r="I35" i="148"/>
  <c r="D35" i="148"/>
  <c r="J35" i="148"/>
  <c r="E35" i="148"/>
  <c r="C35" i="148"/>
  <c r="I36" i="148"/>
  <c r="D36" i="148"/>
  <c r="J36" i="148"/>
  <c r="E36" i="148"/>
  <c r="C36" i="148"/>
  <c r="I37" i="148"/>
  <c r="D37" i="148"/>
  <c r="J37" i="148"/>
  <c r="E37" i="148"/>
  <c r="C37" i="148"/>
  <c r="I38" i="148"/>
  <c r="D38" i="148"/>
  <c r="J38" i="148"/>
  <c r="E38" i="148"/>
  <c r="C38" i="148"/>
  <c r="I39" i="148"/>
  <c r="D39" i="148"/>
  <c r="J39" i="148"/>
  <c r="E39" i="148"/>
  <c r="C39" i="148"/>
  <c r="I40" i="148"/>
  <c r="D40" i="148"/>
  <c r="J40" i="148"/>
  <c r="E40" i="148"/>
  <c r="C40" i="148"/>
  <c r="I41" i="148"/>
  <c r="D41" i="148"/>
  <c r="J41" i="148"/>
  <c r="E41" i="148"/>
  <c r="C41" i="148"/>
  <c r="I42" i="148"/>
  <c r="D42" i="148"/>
  <c r="J42" i="148"/>
  <c r="E42" i="148"/>
  <c r="C42" i="148"/>
  <c r="I43" i="148"/>
  <c r="D43" i="148"/>
  <c r="J43" i="148"/>
  <c r="E43" i="148"/>
  <c r="C43" i="148"/>
  <c r="I44" i="148"/>
  <c r="D44" i="148"/>
  <c r="J44" i="148"/>
  <c r="E44" i="148"/>
  <c r="C44" i="148"/>
  <c r="I45" i="148"/>
  <c r="D45" i="148"/>
  <c r="J45" i="148"/>
  <c r="E45" i="148"/>
  <c r="C45" i="148"/>
  <c r="I46" i="148"/>
  <c r="D46" i="148"/>
  <c r="J46" i="148"/>
  <c r="E46" i="148"/>
  <c r="C46" i="148"/>
  <c r="I47" i="148"/>
  <c r="D47" i="148"/>
  <c r="J47" i="148"/>
  <c r="E47" i="148"/>
  <c r="C47" i="148"/>
  <c r="I48" i="148"/>
  <c r="D48" i="148"/>
  <c r="J48" i="148"/>
  <c r="E48" i="148"/>
  <c r="C48" i="148"/>
  <c r="I49" i="148"/>
  <c r="D49" i="148"/>
  <c r="J49" i="148"/>
  <c r="E49" i="148"/>
  <c r="C49" i="148"/>
  <c r="I50" i="148"/>
  <c r="D50" i="148"/>
  <c r="J50" i="148"/>
  <c r="E50" i="148"/>
  <c r="C50" i="148"/>
  <c r="I51" i="148"/>
  <c r="D51" i="148"/>
  <c r="J51" i="148"/>
  <c r="E51" i="148"/>
  <c r="C51" i="148"/>
  <c r="I52" i="148"/>
  <c r="D52" i="148"/>
  <c r="J52" i="148"/>
  <c r="E52" i="148"/>
  <c r="C52" i="148"/>
  <c r="I53" i="148"/>
  <c r="D53" i="148"/>
  <c r="J53" i="148"/>
  <c r="E53" i="148"/>
  <c r="C53" i="148"/>
  <c r="I54" i="148"/>
  <c r="D54" i="148"/>
  <c r="J54" i="148"/>
  <c r="E54" i="148"/>
  <c r="C54" i="148"/>
  <c r="I55" i="148"/>
  <c r="D55" i="148"/>
  <c r="J55" i="148"/>
  <c r="E55" i="148"/>
  <c r="C55" i="148"/>
  <c r="I56" i="148"/>
  <c r="D56" i="148"/>
  <c r="J56" i="148"/>
  <c r="E56" i="148"/>
  <c r="C56" i="148"/>
  <c r="I57" i="148"/>
  <c r="D57" i="148"/>
  <c r="J57" i="148"/>
  <c r="E57" i="148"/>
  <c r="C57" i="148"/>
  <c r="I58" i="148"/>
  <c r="D58" i="148"/>
  <c r="J58" i="148"/>
  <c r="E58" i="148"/>
  <c r="C58" i="148"/>
  <c r="I59" i="148"/>
  <c r="D59" i="148"/>
  <c r="J59" i="148"/>
  <c r="E59" i="148"/>
  <c r="C59" i="148"/>
  <c r="I60" i="148"/>
  <c r="D60" i="148"/>
  <c r="J60" i="148"/>
  <c r="E60" i="148"/>
  <c r="C60" i="148"/>
  <c r="I61" i="148"/>
  <c r="D61" i="148"/>
  <c r="J61" i="148"/>
  <c r="E61" i="148"/>
  <c r="C61" i="148"/>
  <c r="I62" i="148"/>
  <c r="D62" i="148"/>
  <c r="J62" i="148"/>
  <c r="E62" i="148"/>
  <c r="C62" i="148"/>
  <c r="I63" i="148"/>
  <c r="D63" i="148"/>
  <c r="J63" i="148"/>
  <c r="E63" i="148"/>
  <c r="C63" i="148"/>
  <c r="I64" i="148"/>
  <c r="D64" i="148"/>
  <c r="J64" i="148"/>
  <c r="E64" i="148"/>
  <c r="C64" i="148"/>
  <c r="I65" i="148"/>
  <c r="D65" i="148"/>
  <c r="J65" i="148"/>
  <c r="E65" i="148"/>
  <c r="C65" i="148"/>
  <c r="I66" i="148"/>
  <c r="D66" i="148"/>
  <c r="J66" i="148"/>
  <c r="E66" i="148"/>
  <c r="C66" i="148"/>
  <c r="I67" i="148"/>
  <c r="D67" i="148"/>
  <c r="J67" i="148"/>
  <c r="E67" i="148"/>
  <c r="C67" i="148"/>
  <c r="I68" i="148"/>
  <c r="D68" i="148"/>
  <c r="J68" i="148"/>
  <c r="E68" i="148"/>
  <c r="C68" i="148"/>
  <c r="I69" i="148"/>
  <c r="D69" i="148"/>
  <c r="J69" i="148"/>
  <c r="E69" i="148"/>
  <c r="C69" i="148"/>
  <c r="I70" i="148"/>
  <c r="D70" i="148"/>
  <c r="J70" i="148"/>
  <c r="E70" i="148"/>
  <c r="C70" i="148"/>
  <c r="I71" i="148"/>
  <c r="D71" i="148"/>
  <c r="J71" i="148"/>
  <c r="E71" i="148"/>
  <c r="C71" i="148"/>
  <c r="I72" i="148"/>
  <c r="D72" i="148"/>
  <c r="J72" i="148"/>
  <c r="E72" i="148"/>
  <c r="C72" i="148"/>
  <c r="I73" i="148"/>
  <c r="D73" i="148"/>
  <c r="J73" i="148"/>
  <c r="E73" i="148"/>
  <c r="C73" i="148"/>
  <c r="I74" i="148"/>
  <c r="D74" i="148"/>
  <c r="J74" i="148"/>
  <c r="E74" i="148"/>
  <c r="C74" i="148"/>
  <c r="I75" i="148"/>
  <c r="D75" i="148"/>
  <c r="J75" i="148"/>
  <c r="E75" i="148"/>
  <c r="C75" i="148"/>
  <c r="I76" i="148"/>
  <c r="D76" i="148"/>
  <c r="J76" i="148"/>
  <c r="E76" i="148"/>
  <c r="C76" i="148"/>
  <c r="I77" i="148"/>
  <c r="D77" i="148"/>
  <c r="J77" i="148"/>
  <c r="E77" i="148"/>
  <c r="C77" i="148"/>
  <c r="I78" i="148"/>
  <c r="D78" i="148"/>
  <c r="J78" i="148"/>
  <c r="E78" i="148"/>
  <c r="C78" i="148"/>
  <c r="I79" i="148"/>
  <c r="D79" i="148"/>
  <c r="J79" i="148"/>
  <c r="E79" i="148"/>
  <c r="C79" i="148"/>
  <c r="I80" i="148"/>
  <c r="D80" i="148"/>
  <c r="J80" i="148"/>
  <c r="E80" i="148"/>
  <c r="C80" i="148"/>
  <c r="I81" i="148"/>
  <c r="D81" i="148"/>
  <c r="J81" i="148"/>
  <c r="E81" i="148"/>
  <c r="C81" i="148"/>
  <c r="I82" i="148"/>
  <c r="D82" i="148"/>
  <c r="J82" i="148"/>
  <c r="E82" i="148"/>
  <c r="C82" i="148"/>
  <c r="I83" i="148"/>
  <c r="D83" i="148"/>
  <c r="J83" i="148"/>
  <c r="E83" i="148"/>
  <c r="C83" i="148"/>
  <c r="I84" i="148"/>
  <c r="D84" i="148"/>
  <c r="J84" i="148"/>
  <c r="E84" i="148"/>
  <c r="C84" i="148"/>
  <c r="I85" i="148"/>
  <c r="D85" i="148"/>
  <c r="J85" i="148"/>
  <c r="E85" i="148"/>
  <c r="C85" i="148"/>
  <c r="I86" i="148"/>
  <c r="D86" i="148"/>
  <c r="J86" i="148"/>
  <c r="E86" i="148"/>
  <c r="C86" i="148"/>
  <c r="I87" i="148"/>
  <c r="D87" i="148"/>
  <c r="J87" i="148"/>
  <c r="E87" i="148"/>
  <c r="C87" i="148"/>
  <c r="I88" i="148"/>
  <c r="D88" i="148"/>
  <c r="J88" i="148"/>
  <c r="E88" i="148"/>
  <c r="C88" i="148"/>
  <c r="I89" i="148"/>
  <c r="D89" i="148"/>
  <c r="J89" i="148"/>
  <c r="E89" i="148"/>
  <c r="C89" i="148"/>
  <c r="I90" i="148"/>
  <c r="D90" i="148"/>
  <c r="J90" i="148"/>
  <c r="E90" i="148"/>
  <c r="C90" i="148"/>
  <c r="I91" i="148"/>
  <c r="D91" i="148"/>
  <c r="J91" i="148"/>
  <c r="E91" i="148"/>
  <c r="C91" i="148"/>
  <c r="I92" i="148"/>
  <c r="D92" i="148"/>
  <c r="J92" i="148"/>
  <c r="E92" i="148"/>
  <c r="C92" i="148"/>
  <c r="I93" i="148"/>
  <c r="D93" i="148"/>
  <c r="J93" i="148"/>
  <c r="E93" i="148"/>
  <c r="C93" i="148"/>
  <c r="I94" i="148"/>
  <c r="D94" i="148"/>
  <c r="J94" i="148"/>
  <c r="E94" i="148"/>
  <c r="C94" i="148"/>
  <c r="I95" i="148"/>
  <c r="D95" i="148"/>
  <c r="J95" i="148"/>
  <c r="E95" i="148"/>
  <c r="C95" i="148"/>
  <c r="I96" i="148"/>
  <c r="D96" i="148"/>
  <c r="J96" i="148"/>
  <c r="E96" i="148"/>
  <c r="C96" i="148"/>
  <c r="I97" i="148"/>
  <c r="D97" i="148"/>
  <c r="J97" i="148"/>
  <c r="E97" i="148"/>
  <c r="C97" i="148"/>
  <c r="I98" i="148"/>
  <c r="D98" i="148"/>
  <c r="J98" i="148"/>
  <c r="E98" i="148"/>
  <c r="C98" i="148"/>
  <c r="I99" i="148"/>
  <c r="D99" i="148"/>
  <c r="J99" i="148"/>
  <c r="E99" i="148"/>
  <c r="C99" i="148"/>
  <c r="I100" i="148"/>
  <c r="D100" i="148"/>
  <c r="J100" i="148"/>
  <c r="E100" i="148"/>
  <c r="C100" i="148"/>
  <c r="I101" i="148"/>
  <c r="D101" i="148"/>
  <c r="J101" i="148"/>
  <c r="E101" i="148"/>
  <c r="C101" i="148"/>
  <c r="I102" i="148"/>
  <c r="D102" i="148"/>
  <c r="J102" i="148"/>
  <c r="E102" i="148"/>
  <c r="C102" i="148"/>
  <c r="I103" i="148"/>
  <c r="D103" i="148"/>
  <c r="J103" i="148"/>
  <c r="E103" i="148"/>
  <c r="C103" i="148"/>
  <c r="I104" i="148"/>
  <c r="D104" i="148"/>
  <c r="J104" i="148"/>
  <c r="E104" i="148"/>
  <c r="C104" i="148"/>
  <c r="I105" i="148"/>
  <c r="D105" i="148"/>
  <c r="J105" i="148"/>
  <c r="E105" i="148"/>
  <c r="C105" i="148"/>
  <c r="I106" i="148"/>
  <c r="D106" i="148"/>
  <c r="J106" i="148"/>
  <c r="E106" i="148"/>
  <c r="C106" i="148"/>
  <c r="I107" i="148"/>
  <c r="D107" i="148"/>
  <c r="J107" i="148"/>
  <c r="E107" i="148"/>
  <c r="C107" i="148"/>
  <c r="I108" i="148"/>
  <c r="D108" i="148"/>
  <c r="J108" i="148"/>
  <c r="E108" i="148"/>
  <c r="C108" i="148"/>
  <c r="I109" i="148"/>
  <c r="D109" i="148"/>
  <c r="J109" i="148"/>
  <c r="E109" i="148"/>
  <c r="C109" i="148"/>
  <c r="I110" i="148"/>
  <c r="D110" i="148"/>
  <c r="J110" i="148"/>
  <c r="E110" i="148"/>
  <c r="C110" i="148"/>
  <c r="I111" i="148"/>
  <c r="D111" i="148"/>
  <c r="J111" i="148"/>
  <c r="E111" i="148"/>
  <c r="C111" i="148"/>
  <c r="I112" i="148"/>
  <c r="D112" i="148"/>
  <c r="J112" i="148"/>
  <c r="E112" i="148"/>
  <c r="C112" i="148"/>
  <c r="I113" i="148"/>
  <c r="D113" i="148"/>
  <c r="J113" i="148"/>
  <c r="E113" i="148"/>
  <c r="C113" i="148"/>
  <c r="I114" i="148"/>
  <c r="D114" i="148"/>
  <c r="J114" i="148"/>
  <c r="E114" i="148"/>
  <c r="C114" i="148"/>
  <c r="I115" i="148"/>
  <c r="D115" i="148"/>
  <c r="J115" i="148"/>
  <c r="E115" i="148"/>
  <c r="C115" i="148"/>
  <c r="I116" i="148"/>
  <c r="D116" i="148"/>
  <c r="J116" i="148"/>
  <c r="E116" i="148"/>
  <c r="C116" i="148"/>
  <c r="I117" i="148"/>
  <c r="D117" i="148"/>
  <c r="J117" i="148"/>
  <c r="E117" i="148"/>
  <c r="C117" i="148"/>
  <c r="I118" i="148"/>
  <c r="D118" i="148"/>
  <c r="J118" i="148"/>
  <c r="E118" i="148"/>
  <c r="C118" i="148"/>
  <c r="I119" i="148"/>
  <c r="D119" i="148"/>
  <c r="J119" i="148"/>
  <c r="E119" i="148"/>
  <c r="C119" i="148"/>
  <c r="I120" i="148"/>
  <c r="D120" i="148"/>
  <c r="J120" i="148"/>
  <c r="E120" i="148"/>
  <c r="C120" i="148"/>
  <c r="I121" i="148"/>
  <c r="D121" i="148"/>
  <c r="J121" i="148"/>
  <c r="E121" i="148"/>
  <c r="C121" i="148"/>
  <c r="I122" i="148"/>
  <c r="D122" i="148"/>
  <c r="J122" i="148"/>
  <c r="E122" i="148"/>
  <c r="C122" i="148"/>
  <c r="I123" i="148"/>
  <c r="D123" i="148"/>
  <c r="J123" i="148"/>
  <c r="E123" i="148"/>
  <c r="C123" i="148"/>
  <c r="I124" i="148"/>
  <c r="D124" i="148"/>
  <c r="J124" i="148"/>
  <c r="E124" i="148"/>
  <c r="C124" i="148"/>
  <c r="I125" i="148"/>
  <c r="D125" i="148"/>
  <c r="J125" i="148"/>
  <c r="E125" i="148"/>
  <c r="C125" i="148"/>
  <c r="I126" i="148"/>
  <c r="D126" i="148"/>
  <c r="J126" i="148"/>
  <c r="E126" i="148"/>
  <c r="C126" i="148"/>
  <c r="I127" i="148"/>
  <c r="D127" i="148"/>
  <c r="J127" i="148"/>
  <c r="E127" i="148"/>
  <c r="C127" i="148"/>
  <c r="I128" i="148"/>
  <c r="D128" i="148"/>
  <c r="J128" i="148"/>
  <c r="E128" i="148"/>
  <c r="C128" i="148"/>
  <c r="I129" i="148"/>
  <c r="D129" i="148"/>
  <c r="J129" i="148"/>
  <c r="E129" i="148"/>
  <c r="C129" i="148"/>
  <c r="I130" i="148"/>
  <c r="D130" i="148"/>
  <c r="J130" i="148"/>
  <c r="E130" i="148"/>
  <c r="C130" i="148"/>
  <c r="I131" i="148"/>
  <c r="D131" i="148"/>
  <c r="J131" i="148"/>
  <c r="E131" i="148"/>
  <c r="C131" i="148"/>
  <c r="I132" i="148"/>
  <c r="D132" i="148"/>
  <c r="J132" i="148"/>
  <c r="E132" i="148"/>
  <c r="C132" i="148"/>
  <c r="I133" i="148"/>
  <c r="D133" i="148"/>
  <c r="J133" i="148"/>
  <c r="E133" i="148"/>
  <c r="C133" i="148"/>
  <c r="I134" i="148"/>
  <c r="D134" i="148"/>
  <c r="J134" i="148"/>
  <c r="E134" i="148"/>
  <c r="C134" i="148"/>
  <c r="I135" i="148"/>
  <c r="D135" i="148"/>
  <c r="J135" i="148"/>
  <c r="E135" i="148"/>
  <c r="C135" i="148"/>
  <c r="I136" i="148"/>
  <c r="D136" i="148"/>
  <c r="J136" i="148"/>
  <c r="E136" i="148"/>
  <c r="C136" i="148"/>
  <c r="I137" i="148"/>
  <c r="D137" i="148"/>
  <c r="J137" i="148"/>
  <c r="E137" i="148"/>
  <c r="C137" i="148"/>
  <c r="I138" i="148"/>
  <c r="D138" i="148"/>
  <c r="J138" i="148"/>
  <c r="E138" i="148"/>
  <c r="C138" i="148"/>
  <c r="I139" i="148"/>
  <c r="D139" i="148"/>
  <c r="J139" i="148"/>
  <c r="E139" i="148"/>
  <c r="C139" i="148"/>
  <c r="I140" i="148"/>
  <c r="D140" i="148"/>
  <c r="J140" i="148"/>
  <c r="E140" i="148"/>
  <c r="C140" i="148"/>
  <c r="I141" i="148"/>
  <c r="D141" i="148"/>
  <c r="J141" i="148"/>
  <c r="E141" i="148"/>
  <c r="C141" i="148"/>
  <c r="I142" i="148"/>
  <c r="D142" i="148"/>
  <c r="J142" i="148"/>
  <c r="E142" i="148"/>
  <c r="C142" i="148"/>
  <c r="I143" i="148"/>
  <c r="D143" i="148"/>
  <c r="J143" i="148"/>
  <c r="E143" i="148"/>
  <c r="C143" i="148"/>
  <c r="I144" i="148"/>
  <c r="D144" i="148"/>
  <c r="J144" i="148"/>
  <c r="E144" i="148"/>
  <c r="C144" i="148"/>
  <c r="I145" i="148"/>
  <c r="D145" i="148"/>
  <c r="J145" i="148"/>
  <c r="E145" i="148"/>
  <c r="C145" i="148"/>
  <c r="I146" i="148"/>
  <c r="D146" i="148"/>
  <c r="J146" i="148"/>
  <c r="E146" i="148"/>
  <c r="C146" i="148"/>
  <c r="I147" i="148"/>
  <c r="D147" i="148"/>
  <c r="J147" i="148"/>
  <c r="E147" i="148"/>
  <c r="C147" i="148"/>
  <c r="I148" i="148"/>
  <c r="D148" i="148"/>
  <c r="J148" i="148"/>
  <c r="E148" i="148"/>
  <c r="C148" i="148"/>
  <c r="I149" i="148"/>
  <c r="D149" i="148"/>
  <c r="J149" i="148"/>
  <c r="E149" i="148"/>
  <c r="C149" i="148"/>
  <c r="I150" i="148"/>
  <c r="D150" i="148"/>
  <c r="J150" i="148"/>
  <c r="E150" i="148"/>
  <c r="C150" i="148"/>
  <c r="I151" i="148"/>
  <c r="D151" i="148"/>
  <c r="J151" i="148"/>
  <c r="E151" i="148"/>
  <c r="C151" i="148"/>
  <c r="I152" i="148"/>
  <c r="D152" i="148"/>
  <c r="J152" i="148"/>
  <c r="E152" i="148"/>
  <c r="C152" i="148"/>
  <c r="I153" i="148"/>
  <c r="D153" i="148"/>
  <c r="J153" i="148"/>
  <c r="E153" i="148"/>
  <c r="C153" i="148"/>
  <c r="I154" i="148"/>
  <c r="D154" i="148"/>
  <c r="J154" i="148"/>
  <c r="E154" i="148"/>
  <c r="C154" i="148"/>
  <c r="I155" i="148"/>
  <c r="D155" i="148"/>
  <c r="J155" i="148"/>
  <c r="E155" i="148"/>
  <c r="C155" i="148"/>
  <c r="I156" i="148"/>
  <c r="D156" i="148"/>
  <c r="J156" i="148"/>
  <c r="E156" i="148"/>
  <c r="C156" i="148"/>
  <c r="I157" i="148"/>
  <c r="D157" i="148"/>
  <c r="J157" i="148"/>
  <c r="E157" i="148"/>
  <c r="C157" i="148"/>
  <c r="I158" i="148"/>
  <c r="D158" i="148"/>
  <c r="J158" i="148"/>
  <c r="E158" i="148"/>
  <c r="C158" i="148"/>
  <c r="I159" i="148"/>
  <c r="D159" i="148"/>
  <c r="J159" i="148"/>
  <c r="E159" i="148"/>
  <c r="C159" i="148"/>
  <c r="I160" i="148"/>
  <c r="D160" i="148"/>
  <c r="J160" i="148"/>
  <c r="E160" i="148"/>
  <c r="C160" i="148"/>
  <c r="I161" i="148"/>
  <c r="D161" i="148"/>
  <c r="J161" i="148"/>
  <c r="E161" i="148"/>
  <c r="C161" i="148"/>
  <c r="I162" i="148"/>
  <c r="D162" i="148"/>
  <c r="J162" i="148"/>
  <c r="E162" i="148"/>
  <c r="C162" i="148"/>
  <c r="I163" i="148"/>
  <c r="D163" i="148"/>
  <c r="J163" i="148"/>
  <c r="E163" i="148"/>
  <c r="C163" i="148"/>
  <c r="I164" i="148"/>
  <c r="D164" i="148"/>
  <c r="J164" i="148"/>
  <c r="E164" i="148"/>
  <c r="C164" i="148"/>
  <c r="I165" i="148"/>
  <c r="D165" i="148"/>
  <c r="J165" i="148"/>
  <c r="E165" i="148"/>
  <c r="C165" i="148"/>
  <c r="I166" i="148"/>
  <c r="D166" i="148"/>
  <c r="J166" i="148"/>
  <c r="E166" i="148"/>
  <c r="C166" i="148"/>
  <c r="I167" i="148"/>
  <c r="D167" i="148"/>
  <c r="J167" i="148"/>
  <c r="E167" i="148"/>
  <c r="C167" i="148"/>
  <c r="I168" i="148"/>
  <c r="D168" i="148"/>
  <c r="J168" i="148"/>
  <c r="E168" i="148"/>
  <c r="C168" i="148"/>
  <c r="I169" i="148"/>
  <c r="D169" i="148"/>
  <c r="J169" i="148"/>
  <c r="E169" i="148"/>
  <c r="C169" i="148"/>
  <c r="I170" i="148"/>
  <c r="D170" i="148"/>
  <c r="J170" i="148"/>
  <c r="E170" i="148"/>
  <c r="C170" i="148"/>
  <c r="I171" i="148"/>
  <c r="D171" i="148"/>
  <c r="J171" i="148"/>
  <c r="E171" i="148"/>
  <c r="C171" i="148"/>
  <c r="I172" i="148"/>
  <c r="D172" i="148"/>
  <c r="J172" i="148"/>
  <c r="E172" i="148"/>
  <c r="C172" i="148"/>
  <c r="I173" i="148"/>
  <c r="D173" i="148"/>
  <c r="J173" i="148"/>
  <c r="E173" i="148"/>
  <c r="C173" i="148"/>
  <c r="I174" i="148"/>
  <c r="D174" i="148"/>
  <c r="J174" i="148"/>
  <c r="E174" i="148"/>
  <c r="C174" i="148"/>
  <c r="I175" i="148"/>
  <c r="D175" i="148"/>
  <c r="J175" i="148"/>
  <c r="E175" i="148"/>
  <c r="C175" i="148"/>
  <c r="I176" i="148"/>
  <c r="D176" i="148"/>
  <c r="J176" i="148"/>
  <c r="E176" i="148"/>
  <c r="C176" i="148"/>
  <c r="I177" i="148"/>
  <c r="D177" i="148"/>
  <c r="J177" i="148"/>
  <c r="E177" i="148"/>
  <c r="C177" i="148"/>
  <c r="I178" i="148"/>
  <c r="D178" i="148"/>
  <c r="J178" i="148"/>
  <c r="E178" i="148"/>
  <c r="C178" i="148"/>
  <c r="I179" i="148"/>
  <c r="D179" i="148"/>
  <c r="J179" i="148"/>
  <c r="E179" i="148"/>
  <c r="C179" i="148"/>
  <c r="I180" i="148"/>
  <c r="D180" i="148"/>
  <c r="J180" i="148"/>
  <c r="E180" i="148"/>
  <c r="C180" i="148"/>
  <c r="I181" i="148"/>
  <c r="D181" i="148"/>
  <c r="J181" i="148"/>
  <c r="E181" i="148"/>
  <c r="C181" i="148"/>
  <c r="I182" i="148"/>
  <c r="D182" i="148"/>
  <c r="J182" i="148"/>
  <c r="E182" i="148"/>
  <c r="C182" i="148"/>
  <c r="I183" i="148"/>
  <c r="D183" i="148"/>
  <c r="J183" i="148"/>
  <c r="E183" i="148"/>
  <c r="C183" i="148"/>
  <c r="I184" i="148"/>
  <c r="D184" i="148"/>
  <c r="J184" i="148"/>
  <c r="E184" i="148"/>
  <c r="C184" i="148"/>
  <c r="I185" i="148"/>
  <c r="D185" i="148"/>
  <c r="J185" i="148"/>
  <c r="E185" i="148"/>
  <c r="C185" i="148"/>
  <c r="I186" i="148"/>
  <c r="D186" i="148"/>
  <c r="J186" i="148"/>
  <c r="E186" i="148"/>
  <c r="C186" i="148"/>
  <c r="I187" i="148"/>
  <c r="D187" i="148"/>
  <c r="J187" i="148"/>
  <c r="E187" i="148"/>
  <c r="C187" i="148"/>
  <c r="I188" i="148"/>
  <c r="D188" i="148"/>
  <c r="J188" i="148"/>
  <c r="E188" i="148"/>
  <c r="C188" i="148"/>
  <c r="I189" i="148"/>
  <c r="D189" i="148"/>
  <c r="J189" i="148"/>
  <c r="E189" i="148"/>
  <c r="C189" i="148"/>
  <c r="I190" i="148"/>
  <c r="D190" i="148"/>
  <c r="J190" i="148"/>
  <c r="E190" i="148"/>
  <c r="C190" i="148"/>
  <c r="I191" i="148"/>
  <c r="D191" i="148"/>
  <c r="J191" i="148"/>
  <c r="E191" i="148"/>
  <c r="C191" i="148"/>
  <c r="I192" i="148"/>
  <c r="D192" i="148"/>
  <c r="J192" i="148"/>
  <c r="E192" i="148"/>
  <c r="C192" i="148"/>
  <c r="I193" i="148"/>
  <c r="D193" i="148"/>
  <c r="J193" i="148"/>
  <c r="E193" i="148"/>
  <c r="C193" i="148"/>
  <c r="I194" i="148"/>
  <c r="D194" i="148"/>
  <c r="J194" i="148"/>
  <c r="E194" i="148"/>
  <c r="C194" i="148"/>
  <c r="I195" i="148"/>
  <c r="D195" i="148"/>
  <c r="J195" i="148"/>
  <c r="E195" i="148"/>
  <c r="C195" i="148"/>
  <c r="I196" i="148"/>
  <c r="D196" i="148"/>
  <c r="J196" i="148"/>
  <c r="E196" i="148"/>
  <c r="C196" i="148"/>
  <c r="I197" i="148"/>
  <c r="D197" i="148"/>
  <c r="J197" i="148"/>
  <c r="E197" i="148"/>
  <c r="C197" i="148"/>
  <c r="I198" i="148"/>
  <c r="D198" i="148"/>
  <c r="J198" i="148"/>
  <c r="E198" i="148"/>
  <c r="C198" i="148"/>
  <c r="I199" i="148"/>
  <c r="D199" i="148"/>
  <c r="J199" i="148"/>
  <c r="E199" i="148"/>
  <c r="C199" i="148"/>
  <c r="I200" i="148"/>
  <c r="D200" i="148"/>
  <c r="J200" i="148"/>
  <c r="E200" i="148"/>
  <c r="C200" i="148"/>
  <c r="I201" i="148"/>
  <c r="D201" i="148"/>
  <c r="J201" i="148"/>
  <c r="E201" i="148"/>
  <c r="C201" i="148"/>
  <c r="I202" i="148"/>
  <c r="D202" i="148"/>
  <c r="J202" i="148"/>
  <c r="E202" i="148"/>
  <c r="C202" i="148"/>
  <c r="I203" i="148"/>
  <c r="D203" i="148"/>
  <c r="J203" i="148"/>
  <c r="E203" i="148"/>
  <c r="C203" i="148"/>
  <c r="I204" i="148"/>
  <c r="D204" i="148"/>
  <c r="J204" i="148"/>
  <c r="E204" i="148"/>
  <c r="C204" i="148"/>
  <c r="I205" i="148"/>
  <c r="D205" i="148"/>
  <c r="J205" i="148"/>
  <c r="E205" i="148"/>
  <c r="C205" i="148"/>
  <c r="I206" i="148"/>
  <c r="D206" i="148"/>
  <c r="J206" i="148"/>
  <c r="E206" i="148"/>
  <c r="C206" i="148"/>
  <c r="I207" i="148"/>
  <c r="D207" i="148"/>
  <c r="J207" i="148"/>
  <c r="E207" i="148"/>
  <c r="C207" i="148"/>
  <c r="I208" i="148"/>
  <c r="D208" i="148"/>
  <c r="J208" i="148"/>
  <c r="E208" i="148"/>
  <c r="C208" i="148"/>
  <c r="I209" i="148"/>
  <c r="D209" i="148"/>
  <c r="J209" i="148"/>
  <c r="E209" i="148"/>
  <c r="C209" i="148"/>
  <c r="I210" i="148"/>
  <c r="D210" i="148"/>
  <c r="J210" i="148"/>
  <c r="E210" i="148"/>
  <c r="C210" i="148"/>
  <c r="I211" i="148"/>
  <c r="D211" i="148"/>
  <c r="J211" i="148"/>
  <c r="E211" i="148"/>
  <c r="C211" i="148"/>
  <c r="I212" i="148"/>
  <c r="D212" i="148"/>
  <c r="J212" i="148"/>
  <c r="E212" i="148"/>
  <c r="C212" i="148"/>
  <c r="I213" i="148"/>
  <c r="D213" i="148"/>
  <c r="J213" i="148"/>
  <c r="E213" i="148"/>
  <c r="C213" i="148"/>
  <c r="I214" i="148"/>
  <c r="D214" i="148"/>
  <c r="J214" i="148"/>
  <c r="E214" i="148"/>
  <c r="C214" i="148"/>
  <c r="I215" i="148"/>
  <c r="D215" i="148"/>
  <c r="J215" i="148"/>
  <c r="E215" i="148"/>
  <c r="C215" i="148"/>
  <c r="I216" i="148"/>
  <c r="D216" i="148"/>
  <c r="J216" i="148"/>
  <c r="E216" i="148"/>
  <c r="C216" i="148"/>
  <c r="I217" i="148"/>
  <c r="D217" i="148"/>
  <c r="J217" i="148"/>
  <c r="E217" i="148"/>
  <c r="C217" i="148"/>
  <c r="I218" i="148"/>
  <c r="D218" i="148"/>
  <c r="J218" i="148"/>
  <c r="E218" i="148"/>
  <c r="C218" i="148"/>
  <c r="I219" i="148"/>
  <c r="D219" i="148"/>
  <c r="J219" i="148"/>
  <c r="E219" i="148"/>
  <c r="C219" i="148"/>
  <c r="I220" i="148"/>
  <c r="D220" i="148"/>
  <c r="J220" i="148"/>
  <c r="E220" i="148"/>
  <c r="C220" i="148"/>
  <c r="I221" i="148"/>
  <c r="D221" i="148"/>
  <c r="J221" i="148"/>
  <c r="E221" i="148"/>
  <c r="C221" i="148"/>
  <c r="I222" i="148"/>
  <c r="D222" i="148"/>
  <c r="J222" i="148"/>
  <c r="E222" i="148"/>
  <c r="C222" i="148"/>
  <c r="I223" i="148"/>
  <c r="D223" i="148"/>
  <c r="J223" i="148"/>
  <c r="E223" i="148"/>
  <c r="C223" i="148"/>
  <c r="I224" i="148"/>
  <c r="D224" i="148"/>
  <c r="J224" i="148"/>
  <c r="E224" i="148"/>
  <c r="C224" i="148"/>
  <c r="I225" i="148"/>
  <c r="D225" i="148"/>
  <c r="J225" i="148"/>
  <c r="E225" i="148"/>
  <c r="C225" i="148"/>
  <c r="I226" i="148"/>
  <c r="D226" i="148"/>
  <c r="J226" i="148"/>
  <c r="E226" i="148"/>
  <c r="C226" i="148"/>
  <c r="I227" i="148"/>
  <c r="D227" i="148"/>
  <c r="J227" i="148"/>
  <c r="E227" i="148"/>
  <c r="C227" i="148"/>
  <c r="I228" i="148"/>
  <c r="D228" i="148"/>
  <c r="J228" i="148"/>
  <c r="E228" i="148"/>
  <c r="C228" i="148"/>
  <c r="I229" i="148"/>
  <c r="D229" i="148"/>
  <c r="J229" i="148"/>
  <c r="E229" i="148"/>
  <c r="C229" i="148"/>
  <c r="I230" i="148"/>
  <c r="D230" i="148"/>
  <c r="J230" i="148"/>
  <c r="E230" i="148"/>
  <c r="C230" i="148"/>
  <c r="I231" i="148"/>
  <c r="D231" i="148"/>
  <c r="J231" i="148"/>
  <c r="E231" i="148"/>
  <c r="C231" i="148"/>
  <c r="I232" i="148"/>
  <c r="D232" i="148"/>
  <c r="J232" i="148"/>
  <c r="E232" i="148"/>
  <c r="C232" i="148"/>
  <c r="I233" i="148"/>
  <c r="D233" i="148"/>
  <c r="J233" i="148"/>
  <c r="E233" i="148"/>
  <c r="C233" i="148"/>
  <c r="I234" i="148"/>
  <c r="D234" i="148"/>
  <c r="J234" i="148"/>
  <c r="E234" i="148"/>
  <c r="C234" i="148"/>
  <c r="I235" i="148"/>
  <c r="D235" i="148"/>
  <c r="J235" i="148"/>
  <c r="E235" i="148"/>
  <c r="C235" i="148"/>
  <c r="I236" i="148"/>
  <c r="D236" i="148"/>
  <c r="J236" i="148"/>
  <c r="E236" i="148"/>
  <c r="C236" i="148"/>
  <c r="I237" i="148"/>
  <c r="D237" i="148"/>
  <c r="J237" i="148"/>
  <c r="E237" i="148"/>
  <c r="C237" i="148"/>
  <c r="I238" i="148"/>
  <c r="D238" i="148"/>
  <c r="J238" i="148"/>
  <c r="E238" i="148"/>
  <c r="C238" i="148"/>
  <c r="I239" i="148"/>
  <c r="D239" i="148"/>
  <c r="J239" i="148"/>
  <c r="E239" i="148"/>
  <c r="C239" i="148"/>
  <c r="I240" i="148"/>
  <c r="D240" i="148"/>
  <c r="J240" i="148"/>
  <c r="E240" i="148"/>
  <c r="C240" i="148"/>
  <c r="I241" i="148"/>
  <c r="D241" i="148"/>
  <c r="J241" i="148"/>
  <c r="E241" i="148"/>
  <c r="C241" i="148"/>
  <c r="I242" i="148"/>
  <c r="D242" i="148"/>
  <c r="J242" i="148"/>
  <c r="E242" i="148"/>
  <c r="C242" i="148"/>
  <c r="I243" i="148"/>
  <c r="D243" i="148"/>
  <c r="J243" i="148"/>
  <c r="E243" i="148"/>
  <c r="C243" i="148"/>
  <c r="I244" i="148"/>
  <c r="D244" i="148"/>
  <c r="J244" i="148"/>
  <c r="E244" i="148"/>
  <c r="C244" i="148"/>
  <c r="I245" i="148"/>
  <c r="D245" i="148"/>
  <c r="J245" i="148"/>
  <c r="E245" i="148"/>
  <c r="C245" i="148"/>
  <c r="I246" i="148"/>
  <c r="D246" i="148"/>
  <c r="J246" i="148"/>
  <c r="E246" i="148"/>
  <c r="C246" i="148"/>
  <c r="I247" i="148"/>
  <c r="D247" i="148"/>
  <c r="J247" i="148"/>
  <c r="E247" i="148"/>
  <c r="C247" i="148"/>
  <c r="I248" i="148"/>
  <c r="D248" i="148"/>
  <c r="J248" i="148"/>
  <c r="E248" i="148"/>
  <c r="C248" i="148"/>
  <c r="I249" i="148"/>
  <c r="D249" i="148"/>
  <c r="J249" i="148"/>
  <c r="E249" i="148"/>
  <c r="C249" i="148"/>
  <c r="I250" i="148"/>
  <c r="D250" i="148"/>
  <c r="J250" i="148"/>
  <c r="E250" i="148"/>
  <c r="C250" i="148"/>
  <c r="I251" i="148"/>
  <c r="D251" i="148"/>
  <c r="J251" i="148"/>
  <c r="E251" i="148"/>
  <c r="C251" i="148"/>
  <c r="I252" i="148"/>
  <c r="D252" i="148"/>
  <c r="J252" i="148"/>
  <c r="E252" i="148"/>
  <c r="C252" i="148"/>
  <c r="I253" i="148"/>
  <c r="D253" i="148"/>
  <c r="J253" i="148"/>
  <c r="E253" i="148"/>
  <c r="C253" i="148"/>
  <c r="I254" i="148"/>
  <c r="D254" i="148"/>
  <c r="J254" i="148"/>
  <c r="E254" i="148"/>
  <c r="C254" i="148"/>
  <c r="I255" i="148"/>
  <c r="D255" i="148"/>
  <c r="J255" i="148"/>
  <c r="E255" i="148"/>
  <c r="C255" i="148"/>
  <c r="I256" i="148"/>
  <c r="D256" i="148"/>
  <c r="J256" i="148"/>
  <c r="E256" i="148"/>
  <c r="C256" i="148"/>
  <c r="I257" i="148"/>
  <c r="D257" i="148"/>
  <c r="J257" i="148"/>
  <c r="E257" i="148"/>
  <c r="C257" i="148"/>
  <c r="I258" i="148"/>
  <c r="D258" i="148"/>
  <c r="J258" i="148"/>
  <c r="E258" i="148"/>
  <c r="C258" i="148"/>
  <c r="I259" i="148"/>
  <c r="D259" i="148"/>
  <c r="J259" i="148"/>
  <c r="E259" i="148"/>
  <c r="C259" i="148"/>
  <c r="I260" i="148"/>
  <c r="D260" i="148"/>
  <c r="J260" i="148"/>
  <c r="E260" i="148"/>
  <c r="C260" i="148"/>
  <c r="I261" i="148"/>
  <c r="D261" i="148"/>
  <c r="J261" i="148"/>
  <c r="E261" i="148"/>
  <c r="C261" i="148"/>
  <c r="I262" i="148"/>
  <c r="D262" i="148"/>
  <c r="J262" i="148"/>
  <c r="E262" i="148"/>
  <c r="C262" i="148"/>
  <c r="I263" i="148"/>
  <c r="D263" i="148"/>
  <c r="J263" i="148"/>
  <c r="E263" i="148"/>
  <c r="C263" i="148"/>
  <c r="I264" i="148"/>
  <c r="D264" i="148"/>
  <c r="J264" i="148"/>
  <c r="E264" i="148"/>
  <c r="C264" i="148"/>
  <c r="I265" i="148"/>
  <c r="D265" i="148"/>
  <c r="J265" i="148"/>
  <c r="E265" i="148"/>
  <c r="C265" i="148"/>
  <c r="I266" i="148"/>
  <c r="D266" i="148"/>
  <c r="J266" i="148"/>
  <c r="E266" i="148"/>
  <c r="C266" i="148"/>
  <c r="I267" i="148"/>
  <c r="D267" i="148"/>
  <c r="J267" i="148"/>
  <c r="E267" i="148"/>
  <c r="C267" i="148"/>
  <c r="I268" i="148"/>
  <c r="D268" i="148"/>
  <c r="J268" i="148"/>
  <c r="E268" i="148"/>
  <c r="C268" i="148"/>
  <c r="I269" i="148"/>
  <c r="D269" i="148"/>
  <c r="J269" i="148"/>
  <c r="E269" i="148"/>
  <c r="C269" i="148"/>
  <c r="I270" i="148"/>
  <c r="D270" i="148"/>
  <c r="J270" i="148"/>
  <c r="E270" i="148"/>
  <c r="C270" i="148"/>
  <c r="I271" i="148"/>
  <c r="D271" i="148"/>
  <c r="J271" i="148"/>
  <c r="E271" i="148"/>
  <c r="C271" i="148"/>
  <c r="I272" i="148"/>
  <c r="D272" i="148"/>
  <c r="J272" i="148"/>
  <c r="E272" i="148"/>
  <c r="C272" i="148"/>
  <c r="I273" i="148"/>
  <c r="D273" i="148"/>
  <c r="J273" i="148"/>
  <c r="E273" i="148"/>
  <c r="C273" i="148"/>
  <c r="I274" i="148"/>
  <c r="D274" i="148"/>
  <c r="J274" i="148"/>
  <c r="E274" i="148"/>
  <c r="C274" i="148"/>
  <c r="I275" i="148"/>
  <c r="D275" i="148"/>
  <c r="J275" i="148"/>
  <c r="E275" i="148"/>
  <c r="C275" i="148"/>
  <c r="I276" i="148"/>
  <c r="D276" i="148"/>
  <c r="J276" i="148"/>
  <c r="E276" i="148"/>
  <c r="C276" i="148"/>
  <c r="I277" i="148"/>
  <c r="D277" i="148"/>
  <c r="J277" i="148"/>
  <c r="E277" i="148"/>
  <c r="C277" i="148"/>
  <c r="I278" i="148"/>
  <c r="D278" i="148"/>
  <c r="J278" i="148"/>
  <c r="E278" i="148"/>
  <c r="C278" i="148"/>
  <c r="I279" i="148"/>
  <c r="D279" i="148"/>
  <c r="J279" i="148"/>
  <c r="E279" i="148"/>
  <c r="C279" i="148"/>
  <c r="I280" i="148"/>
  <c r="D280" i="148"/>
  <c r="J280" i="148"/>
  <c r="E280" i="148"/>
  <c r="C280" i="148"/>
  <c r="I281" i="148"/>
  <c r="D281" i="148"/>
  <c r="J281" i="148"/>
  <c r="E281" i="148"/>
  <c r="C281" i="148"/>
  <c r="I282" i="148"/>
  <c r="D282" i="148"/>
  <c r="J282" i="148"/>
  <c r="E282" i="148"/>
  <c r="C282" i="148"/>
  <c r="I283" i="148"/>
  <c r="D283" i="148"/>
  <c r="J283" i="148"/>
  <c r="E283" i="148"/>
  <c r="C283" i="148"/>
  <c r="I284" i="148"/>
  <c r="D284" i="148"/>
  <c r="J284" i="148"/>
  <c r="E284" i="148"/>
  <c r="C284" i="148"/>
  <c r="I285" i="148"/>
  <c r="D285" i="148"/>
  <c r="J285" i="148"/>
  <c r="E285" i="148"/>
  <c r="C285" i="148"/>
  <c r="I286" i="148"/>
  <c r="D286" i="148"/>
  <c r="J286" i="148"/>
  <c r="E286" i="148"/>
  <c r="C286" i="148"/>
  <c r="I287" i="148"/>
  <c r="D287" i="148"/>
  <c r="J287" i="148"/>
  <c r="E287" i="148"/>
  <c r="C287" i="148"/>
  <c r="I288" i="148"/>
  <c r="D288" i="148"/>
  <c r="J288" i="148"/>
  <c r="E288" i="148"/>
  <c r="C288" i="148"/>
  <c r="I289" i="148"/>
  <c r="D289" i="148"/>
  <c r="J289" i="148"/>
  <c r="E289" i="148"/>
  <c r="C289" i="148"/>
  <c r="I290" i="148"/>
  <c r="D290" i="148"/>
  <c r="J290" i="148"/>
  <c r="E290" i="148"/>
  <c r="C290" i="148"/>
  <c r="I291" i="148"/>
  <c r="D291" i="148"/>
  <c r="J291" i="148"/>
  <c r="E291" i="148"/>
  <c r="C291" i="148"/>
  <c r="I292" i="148"/>
  <c r="D292" i="148"/>
  <c r="J292" i="148"/>
  <c r="E292" i="148"/>
  <c r="C292" i="148"/>
  <c r="I293" i="148"/>
  <c r="D293" i="148"/>
  <c r="J293" i="148"/>
  <c r="E293" i="148"/>
  <c r="C293" i="148"/>
  <c r="I294" i="148"/>
  <c r="D294" i="148"/>
  <c r="J294" i="148"/>
  <c r="E294" i="148"/>
  <c r="C294" i="148"/>
  <c r="I295" i="148"/>
  <c r="D295" i="148"/>
  <c r="J295" i="148"/>
  <c r="E295" i="148"/>
  <c r="C295" i="148"/>
  <c r="I296" i="148"/>
  <c r="D296" i="148"/>
  <c r="J296" i="148"/>
  <c r="E296" i="148"/>
  <c r="C296" i="148"/>
  <c r="I297" i="148"/>
  <c r="D297" i="148"/>
  <c r="J297" i="148"/>
  <c r="E297" i="148"/>
  <c r="C297" i="148"/>
  <c r="I298" i="148"/>
  <c r="D298" i="148"/>
  <c r="J298" i="148"/>
  <c r="E298" i="148"/>
  <c r="C298" i="148"/>
  <c r="F5" i="147"/>
  <c r="E5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26" i="147"/>
  <c r="B26" i="147"/>
  <c r="E28" i="147"/>
  <c r="B28" i="147"/>
  <c r="E29" i="147"/>
  <c r="B29" i="147"/>
  <c r="F6" i="147"/>
  <c r="E6" i="147"/>
  <c r="E21" i="147"/>
  <c r="B21" i="147"/>
  <c r="B23" i="147"/>
  <c r="A2" i="147"/>
  <c r="A36" i="147"/>
  <c r="G18" i="147"/>
  <c r="E18" i="147"/>
  <c r="H18" i="147"/>
  <c r="O3" i="148"/>
  <c r="E19" i="147"/>
  <c r="B19" i="147"/>
  <c r="E24" i="147"/>
  <c r="B24" i="147"/>
  <c r="B17" i="147"/>
  <c r="G17" i="147"/>
  <c r="E17" i="147"/>
  <c r="H17" i="147"/>
  <c r="O2" i="148"/>
  <c r="O4" i="148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E25" i="147"/>
  <c r="B25" i="147"/>
  <c r="G25" i="147"/>
  <c r="H25" i="147"/>
  <c r="O43" i="148"/>
  <c r="G26" i="147"/>
  <c r="H26" i="147"/>
  <c r="O44" i="148"/>
  <c r="O45" i="148"/>
  <c r="O46" i="148"/>
  <c r="O47" i="148"/>
  <c r="O48" i="148"/>
  <c r="O49" i="148"/>
  <c r="O50" i="148"/>
  <c r="G19" i="147"/>
  <c r="H19" i="147"/>
  <c r="O51" i="148"/>
  <c r="E20" i="147"/>
  <c r="B20" i="147"/>
  <c r="G20" i="147"/>
  <c r="H20" i="147"/>
  <c r="O52" i="148"/>
  <c r="G21" i="147"/>
  <c r="H21" i="147"/>
  <c r="O53" i="148"/>
  <c r="O54" i="148"/>
  <c r="O55" i="148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27" i="147"/>
  <c r="B27" i="147"/>
  <c r="G27" i="147"/>
  <c r="H27" i="147"/>
  <c r="O138" i="148"/>
  <c r="G28" i="147"/>
  <c r="H28" i="147"/>
  <c r="O139" i="148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G22" i="147"/>
  <c r="E22" i="147"/>
  <c r="H22" i="147"/>
  <c r="O256" i="148"/>
  <c r="G23" i="147"/>
  <c r="E23" i="147"/>
  <c r="H23" i="147"/>
  <c r="O257" i="148"/>
  <c r="O258" i="148"/>
  <c r="O259" i="148"/>
  <c r="G29" i="147"/>
  <c r="H29" i="147"/>
  <c r="O260" i="148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R3" i="147"/>
  <c r="O295" i="148"/>
  <c r="R4" i="147"/>
  <c r="O296" i="148"/>
  <c r="R5" i="147"/>
  <c r="O297" i="148"/>
  <c r="R6" i="147"/>
  <c r="O298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38" i="148"/>
  <c r="P139" i="148"/>
  <c r="P140" i="148"/>
  <c r="P141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" i="148"/>
  <c r="B32" i="147"/>
  <c r="B18" i="147"/>
  <c r="B22" i="147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F295" i="148"/>
  <c r="F296" i="148"/>
  <c r="F297" i="148"/>
  <c r="F298" i="148"/>
  <c r="N298" i="148"/>
  <c r="M298" i="148"/>
  <c r="L298" i="148"/>
  <c r="K298" i="148"/>
  <c r="H298" i="148"/>
  <c r="A298" i="148"/>
  <c r="N297" i="148"/>
  <c r="M297" i="148"/>
  <c r="L297" i="148"/>
  <c r="K297" i="148"/>
  <c r="H297" i="148"/>
  <c r="A297" i="148"/>
  <c r="N296" i="148"/>
  <c r="M296" i="148"/>
  <c r="L296" i="148"/>
  <c r="K296" i="148"/>
  <c r="H296" i="148"/>
  <c r="A296" i="148"/>
  <c r="N295" i="148"/>
  <c r="M295" i="148"/>
  <c r="L295" i="148"/>
  <c r="K295" i="148"/>
  <c r="H295" i="148"/>
  <c r="A295" i="148"/>
  <c r="N294" i="148"/>
  <c r="M294" i="148"/>
  <c r="L294" i="148"/>
  <c r="K294" i="148"/>
  <c r="H294" i="148"/>
  <c r="A294" i="148"/>
  <c r="N293" i="148"/>
  <c r="M293" i="148"/>
  <c r="L293" i="148"/>
  <c r="K293" i="148"/>
  <c r="H293" i="148"/>
  <c r="A293" i="148"/>
  <c r="N292" i="148"/>
  <c r="M292" i="148"/>
  <c r="L292" i="148"/>
  <c r="K292" i="148"/>
  <c r="H292" i="148"/>
  <c r="A292" i="148"/>
  <c r="N291" i="148"/>
  <c r="M291" i="148"/>
  <c r="L291" i="148"/>
  <c r="K291" i="148"/>
  <c r="H291" i="148"/>
  <c r="A291" i="148"/>
  <c r="N290" i="148"/>
  <c r="M290" i="148"/>
  <c r="L290" i="148"/>
  <c r="K290" i="148"/>
  <c r="H290" i="148"/>
  <c r="A290" i="148"/>
  <c r="N289" i="148"/>
  <c r="M289" i="148"/>
  <c r="L289" i="148"/>
  <c r="K289" i="148"/>
  <c r="H289" i="148"/>
  <c r="A289" i="148"/>
  <c r="N288" i="148"/>
  <c r="M288" i="148"/>
  <c r="L288" i="148"/>
  <c r="K288" i="148"/>
  <c r="H288" i="148"/>
  <c r="A288" i="148"/>
  <c r="N287" i="148"/>
  <c r="M287" i="148"/>
  <c r="L287" i="148"/>
  <c r="K287" i="148"/>
  <c r="H287" i="148"/>
  <c r="A287" i="148"/>
  <c r="N286" i="148"/>
  <c r="M286" i="148"/>
  <c r="L286" i="148"/>
  <c r="K286" i="148"/>
  <c r="H286" i="148"/>
  <c r="A286" i="148"/>
  <c r="N285" i="148"/>
  <c r="M285" i="148"/>
  <c r="L285" i="148"/>
  <c r="K285" i="148"/>
  <c r="H285" i="148"/>
  <c r="A285" i="148"/>
  <c r="N284" i="148"/>
  <c r="M284" i="148"/>
  <c r="L284" i="148"/>
  <c r="K284" i="148"/>
  <c r="H284" i="148"/>
  <c r="A284" i="148"/>
  <c r="N283" i="148"/>
  <c r="M283" i="148"/>
  <c r="L283" i="148"/>
  <c r="K283" i="148"/>
  <c r="H283" i="148"/>
  <c r="A283" i="148"/>
  <c r="N282" i="148"/>
  <c r="M282" i="148"/>
  <c r="L282" i="148"/>
  <c r="K282" i="148"/>
  <c r="H282" i="148"/>
  <c r="A282" i="148"/>
  <c r="N281" i="148"/>
  <c r="M281" i="148"/>
  <c r="L281" i="148"/>
  <c r="K281" i="148"/>
  <c r="H281" i="148"/>
  <c r="A281" i="148"/>
  <c r="N280" i="148"/>
  <c r="M280" i="148"/>
  <c r="L280" i="148"/>
  <c r="K280" i="148"/>
  <c r="H280" i="148"/>
  <c r="A280" i="148"/>
  <c r="N279" i="148"/>
  <c r="M279" i="148"/>
  <c r="L279" i="148"/>
  <c r="K279" i="148"/>
  <c r="H279" i="148"/>
  <c r="A279" i="148"/>
  <c r="N278" i="148"/>
  <c r="M278" i="148"/>
  <c r="L278" i="148"/>
  <c r="K278" i="148"/>
  <c r="H278" i="148"/>
  <c r="A278" i="148"/>
  <c r="N277" i="148"/>
  <c r="M277" i="148"/>
  <c r="L277" i="148"/>
  <c r="K277" i="148"/>
  <c r="H277" i="148"/>
  <c r="A277" i="148"/>
  <c r="N276" i="148"/>
  <c r="M276" i="148"/>
  <c r="L276" i="148"/>
  <c r="K276" i="148"/>
  <c r="H276" i="148"/>
  <c r="A276" i="148"/>
  <c r="N275" i="148"/>
  <c r="M275" i="148"/>
  <c r="L275" i="148"/>
  <c r="K275" i="148"/>
  <c r="H275" i="148"/>
  <c r="A275" i="148"/>
  <c r="N274" i="148"/>
  <c r="M274" i="148"/>
  <c r="L274" i="148"/>
  <c r="K274" i="148"/>
  <c r="H274" i="148"/>
  <c r="A274" i="148"/>
  <c r="N273" i="148"/>
  <c r="M273" i="148"/>
  <c r="L273" i="148"/>
  <c r="K273" i="148"/>
  <c r="H273" i="148"/>
  <c r="A273" i="148"/>
  <c r="N272" i="148"/>
  <c r="M272" i="148"/>
  <c r="L272" i="148"/>
  <c r="K272" i="148"/>
  <c r="H272" i="148"/>
  <c r="A272" i="148"/>
  <c r="N271" i="148"/>
  <c r="M271" i="148"/>
  <c r="L271" i="148"/>
  <c r="K271" i="148"/>
  <c r="H271" i="148"/>
  <c r="A271" i="148"/>
  <c r="N270" i="148"/>
  <c r="M270" i="148"/>
  <c r="L270" i="148"/>
  <c r="K270" i="148"/>
  <c r="H270" i="148"/>
  <c r="A270" i="148"/>
  <c r="N269" i="148"/>
  <c r="M269" i="148"/>
  <c r="L269" i="148"/>
  <c r="K269" i="148"/>
  <c r="H269" i="148"/>
  <c r="A269" i="148"/>
  <c r="N268" i="148"/>
  <c r="M268" i="148"/>
  <c r="L268" i="148"/>
  <c r="K268" i="148"/>
  <c r="H268" i="148"/>
  <c r="A268" i="148"/>
  <c r="N267" i="148"/>
  <c r="M267" i="148"/>
  <c r="L267" i="148"/>
  <c r="K267" i="148"/>
  <c r="H267" i="148"/>
  <c r="A267" i="148"/>
  <c r="N266" i="148"/>
  <c r="M266" i="148"/>
  <c r="L266" i="148"/>
  <c r="K266" i="148"/>
  <c r="H266" i="148"/>
  <c r="A266" i="148"/>
  <c r="N265" i="148"/>
  <c r="M265" i="148"/>
  <c r="L265" i="148"/>
  <c r="K265" i="148"/>
  <c r="H265" i="148"/>
  <c r="A265" i="148"/>
  <c r="N264" i="148"/>
  <c r="M264" i="148"/>
  <c r="L264" i="148"/>
  <c r="K264" i="148"/>
  <c r="H264" i="148"/>
  <c r="A264" i="148"/>
  <c r="N263" i="148"/>
  <c r="M263" i="148"/>
  <c r="L263" i="148"/>
  <c r="K263" i="148"/>
  <c r="H263" i="148"/>
  <c r="A263" i="148"/>
  <c r="N262" i="148"/>
  <c r="M262" i="148"/>
  <c r="L262" i="148"/>
  <c r="K262" i="148"/>
  <c r="H262" i="148"/>
  <c r="A262" i="148"/>
  <c r="N261" i="148"/>
  <c r="M261" i="148"/>
  <c r="L261" i="148"/>
  <c r="K261" i="148"/>
  <c r="H261" i="148"/>
  <c r="A261" i="148"/>
  <c r="N260" i="148"/>
  <c r="M260" i="148"/>
  <c r="L260" i="148"/>
  <c r="K260" i="148"/>
  <c r="H260" i="148"/>
  <c r="A260" i="148"/>
  <c r="N259" i="148"/>
  <c r="M259" i="148"/>
  <c r="L259" i="148"/>
  <c r="K259" i="148"/>
  <c r="H259" i="148"/>
  <c r="A259" i="148"/>
  <c r="N258" i="148"/>
  <c r="M258" i="148"/>
  <c r="L258" i="148"/>
  <c r="K258" i="148"/>
  <c r="H258" i="148"/>
  <c r="A258" i="148"/>
  <c r="N257" i="148"/>
  <c r="M257" i="148"/>
  <c r="L257" i="148"/>
  <c r="K257" i="148"/>
  <c r="H257" i="148"/>
  <c r="A257" i="148"/>
  <c r="N256" i="148"/>
  <c r="M256" i="148"/>
  <c r="L256" i="148"/>
  <c r="K256" i="148"/>
  <c r="H256" i="148"/>
  <c r="A256" i="148"/>
  <c r="N255" i="148"/>
  <c r="M255" i="148"/>
  <c r="L255" i="148"/>
  <c r="K255" i="148"/>
  <c r="H255" i="148"/>
  <c r="A255" i="148"/>
  <c r="N254" i="148"/>
  <c r="M254" i="148"/>
  <c r="L254" i="148"/>
  <c r="K254" i="148"/>
  <c r="H254" i="148"/>
  <c r="A254" i="148"/>
  <c r="N253" i="148"/>
  <c r="M253" i="148"/>
  <c r="L253" i="148"/>
  <c r="K253" i="148"/>
  <c r="H253" i="148"/>
  <c r="A253" i="148"/>
  <c r="N252" i="148"/>
  <c r="M252" i="148"/>
  <c r="L252" i="148"/>
  <c r="K252" i="148"/>
  <c r="H252" i="148"/>
  <c r="A252" i="148"/>
  <c r="N251" i="148"/>
  <c r="M251" i="148"/>
  <c r="L251" i="148"/>
  <c r="K251" i="148"/>
  <c r="H251" i="148"/>
  <c r="A251" i="148"/>
  <c r="N250" i="148"/>
  <c r="M250" i="148"/>
  <c r="L250" i="148"/>
  <c r="K250" i="148"/>
  <c r="H250" i="148"/>
  <c r="A250" i="148"/>
  <c r="N249" i="148"/>
  <c r="M249" i="148"/>
  <c r="L249" i="148"/>
  <c r="K249" i="148"/>
  <c r="H249" i="148"/>
  <c r="A249" i="148"/>
  <c r="N248" i="148"/>
  <c r="M248" i="148"/>
  <c r="L248" i="148"/>
  <c r="K248" i="148"/>
  <c r="H248" i="148"/>
  <c r="A248" i="148"/>
  <c r="N247" i="148"/>
  <c r="M247" i="148"/>
  <c r="L247" i="148"/>
  <c r="K247" i="148"/>
  <c r="H247" i="148"/>
  <c r="A247" i="148"/>
  <c r="N246" i="148"/>
  <c r="M246" i="148"/>
  <c r="L246" i="148"/>
  <c r="K246" i="148"/>
  <c r="H246" i="148"/>
  <c r="A246" i="148"/>
  <c r="N245" i="148"/>
  <c r="M245" i="148"/>
  <c r="L245" i="148"/>
  <c r="K245" i="148"/>
  <c r="H245" i="148"/>
  <c r="A245" i="148"/>
  <c r="N244" i="148"/>
  <c r="M244" i="148"/>
  <c r="L244" i="148"/>
  <c r="K244" i="148"/>
  <c r="H244" i="148"/>
  <c r="A244" i="148"/>
  <c r="N243" i="148"/>
  <c r="M243" i="148"/>
  <c r="L243" i="148"/>
  <c r="K243" i="148"/>
  <c r="H243" i="148"/>
  <c r="A243" i="148"/>
  <c r="N242" i="148"/>
  <c r="M242" i="148"/>
  <c r="L242" i="148"/>
  <c r="K242" i="148"/>
  <c r="H242" i="148"/>
  <c r="A242" i="148"/>
  <c r="N241" i="148"/>
  <c r="M241" i="148"/>
  <c r="L241" i="148"/>
  <c r="K241" i="148"/>
  <c r="H241" i="148"/>
  <c r="A241" i="148"/>
  <c r="N240" i="148"/>
  <c r="M240" i="148"/>
  <c r="L240" i="148"/>
  <c r="K240" i="148"/>
  <c r="H240" i="148"/>
  <c r="A240" i="148"/>
  <c r="N239" i="148"/>
  <c r="M239" i="148"/>
  <c r="L239" i="148"/>
  <c r="K239" i="148"/>
  <c r="H239" i="148"/>
  <c r="A239" i="148"/>
  <c r="N238" i="148"/>
  <c r="M238" i="148"/>
  <c r="L238" i="148"/>
  <c r="K238" i="148"/>
  <c r="H238" i="148"/>
  <c r="A238" i="148"/>
  <c r="N237" i="148"/>
  <c r="M237" i="148"/>
  <c r="L237" i="148"/>
  <c r="K237" i="148"/>
  <c r="H237" i="148"/>
  <c r="A237" i="148"/>
  <c r="N236" i="148"/>
  <c r="M236" i="148"/>
  <c r="L236" i="148"/>
  <c r="K236" i="148"/>
  <c r="H236" i="148"/>
  <c r="A236" i="148"/>
  <c r="N235" i="148"/>
  <c r="M235" i="148"/>
  <c r="L235" i="148"/>
  <c r="K235" i="148"/>
  <c r="H235" i="148"/>
  <c r="A235" i="148"/>
  <c r="N234" i="148"/>
  <c r="M234" i="148"/>
  <c r="L234" i="148"/>
  <c r="K234" i="148"/>
  <c r="H234" i="148"/>
  <c r="A234" i="148"/>
  <c r="N233" i="148"/>
  <c r="M233" i="148"/>
  <c r="L233" i="148"/>
  <c r="K233" i="148"/>
  <c r="H233" i="148"/>
  <c r="A233" i="148"/>
  <c r="N232" i="148"/>
  <c r="M232" i="148"/>
  <c r="L232" i="148"/>
  <c r="K232" i="148"/>
  <c r="H232" i="148"/>
  <c r="A232" i="148"/>
  <c r="N231" i="148"/>
  <c r="M231" i="148"/>
  <c r="L231" i="148"/>
  <c r="K231" i="148"/>
  <c r="H231" i="148"/>
  <c r="A231" i="148"/>
  <c r="N230" i="148"/>
  <c r="M230" i="148"/>
  <c r="L230" i="148"/>
  <c r="K230" i="148"/>
  <c r="H230" i="148"/>
  <c r="A230" i="148"/>
  <c r="N229" i="148"/>
  <c r="M229" i="148"/>
  <c r="L229" i="148"/>
  <c r="K229" i="148"/>
  <c r="H229" i="148"/>
  <c r="A229" i="148"/>
  <c r="N228" i="148"/>
  <c r="M228" i="148"/>
  <c r="L228" i="148"/>
  <c r="K228" i="148"/>
  <c r="H228" i="148"/>
  <c r="A228" i="148"/>
  <c r="N227" i="148"/>
  <c r="M227" i="148"/>
  <c r="L227" i="148"/>
  <c r="K227" i="148"/>
  <c r="H227" i="148"/>
  <c r="A227" i="148"/>
  <c r="N226" i="148"/>
  <c r="M226" i="148"/>
  <c r="L226" i="148"/>
  <c r="K226" i="148"/>
  <c r="H226" i="148"/>
  <c r="A226" i="148"/>
  <c r="N225" i="148"/>
  <c r="M225" i="148"/>
  <c r="L225" i="148"/>
  <c r="K225" i="148"/>
  <c r="H225" i="148"/>
  <c r="A225" i="148"/>
  <c r="N224" i="148"/>
  <c r="M224" i="148"/>
  <c r="L224" i="148"/>
  <c r="K224" i="148"/>
  <c r="H224" i="148"/>
  <c r="A224" i="148"/>
  <c r="N223" i="148"/>
  <c r="M223" i="148"/>
  <c r="L223" i="148"/>
  <c r="K223" i="148"/>
  <c r="H223" i="148"/>
  <c r="A223" i="148"/>
  <c r="N222" i="148"/>
  <c r="M222" i="148"/>
  <c r="L222" i="148"/>
  <c r="K222" i="148"/>
  <c r="H222" i="148"/>
  <c r="A222" i="148"/>
  <c r="N221" i="148"/>
  <c r="M221" i="148"/>
  <c r="L221" i="148"/>
  <c r="K221" i="148"/>
  <c r="H221" i="148"/>
  <c r="A221" i="148"/>
  <c r="N220" i="148"/>
  <c r="M220" i="148"/>
  <c r="L220" i="148"/>
  <c r="K220" i="148"/>
  <c r="H220" i="148"/>
  <c r="A220" i="148"/>
  <c r="N219" i="148"/>
  <c r="M219" i="148"/>
  <c r="L219" i="148"/>
  <c r="K219" i="148"/>
  <c r="H219" i="148"/>
  <c r="A219" i="148"/>
  <c r="N218" i="148"/>
  <c r="M218" i="148"/>
  <c r="L218" i="148"/>
  <c r="K218" i="148"/>
  <c r="H218" i="148"/>
  <c r="A218" i="148"/>
  <c r="N217" i="148"/>
  <c r="M217" i="148"/>
  <c r="L217" i="148"/>
  <c r="K217" i="148"/>
  <c r="H217" i="148"/>
  <c r="A217" i="148"/>
  <c r="N216" i="148"/>
  <c r="M216" i="148"/>
  <c r="L216" i="148"/>
  <c r="K216" i="148"/>
  <c r="H216" i="148"/>
  <c r="A216" i="148"/>
  <c r="N215" i="148"/>
  <c r="M215" i="148"/>
  <c r="L215" i="148"/>
  <c r="K215" i="148"/>
  <c r="H215" i="148"/>
  <c r="A215" i="148"/>
  <c r="N214" i="148"/>
  <c r="M214" i="148"/>
  <c r="L214" i="148"/>
  <c r="K214" i="148"/>
  <c r="H214" i="148"/>
  <c r="A214" i="148"/>
  <c r="N213" i="148"/>
  <c r="M213" i="148"/>
  <c r="L213" i="148"/>
  <c r="K213" i="148"/>
  <c r="H213" i="148"/>
  <c r="A213" i="148"/>
  <c r="N212" i="148"/>
  <c r="M212" i="148"/>
  <c r="L212" i="148"/>
  <c r="K212" i="148"/>
  <c r="H212" i="148"/>
  <c r="A212" i="148"/>
  <c r="N211" i="148"/>
  <c r="M211" i="148"/>
  <c r="L211" i="148"/>
  <c r="K211" i="148"/>
  <c r="H211" i="148"/>
  <c r="A211" i="148"/>
  <c r="N210" i="148"/>
  <c r="M210" i="148"/>
  <c r="L210" i="148"/>
  <c r="K210" i="148"/>
  <c r="H210" i="148"/>
  <c r="A210" i="148"/>
  <c r="N209" i="148"/>
  <c r="M209" i="148"/>
  <c r="L209" i="148"/>
  <c r="K209" i="148"/>
  <c r="H209" i="148"/>
  <c r="A209" i="148"/>
  <c r="N208" i="148"/>
  <c r="M208" i="148"/>
  <c r="L208" i="148"/>
  <c r="K208" i="148"/>
  <c r="H208" i="148"/>
  <c r="A208" i="148"/>
  <c r="N207" i="148"/>
  <c r="M207" i="148"/>
  <c r="L207" i="148"/>
  <c r="K207" i="148"/>
  <c r="H207" i="148"/>
  <c r="A207" i="148"/>
  <c r="N206" i="148"/>
  <c r="M206" i="148"/>
  <c r="L206" i="148"/>
  <c r="K206" i="148"/>
  <c r="H206" i="148"/>
  <c r="A206" i="148"/>
  <c r="N205" i="148"/>
  <c r="M205" i="148"/>
  <c r="L205" i="148"/>
  <c r="K205" i="148"/>
  <c r="H205" i="148"/>
  <c r="A205" i="148"/>
  <c r="N204" i="148"/>
  <c r="M204" i="148"/>
  <c r="L204" i="148"/>
  <c r="K204" i="148"/>
  <c r="H204" i="148"/>
  <c r="A204" i="148"/>
  <c r="N203" i="148"/>
  <c r="M203" i="148"/>
  <c r="L203" i="148"/>
  <c r="K203" i="148"/>
  <c r="H203" i="148"/>
  <c r="A203" i="148"/>
  <c r="N202" i="148"/>
  <c r="M202" i="148"/>
  <c r="L202" i="148"/>
  <c r="K202" i="148"/>
  <c r="H202" i="148"/>
  <c r="A202" i="148"/>
  <c r="N201" i="148"/>
  <c r="M201" i="148"/>
  <c r="L201" i="148"/>
  <c r="K201" i="148"/>
  <c r="H201" i="148"/>
  <c r="A201" i="148"/>
  <c r="N200" i="148"/>
  <c r="M200" i="148"/>
  <c r="L200" i="148"/>
  <c r="K200" i="148"/>
  <c r="H200" i="148"/>
  <c r="A200" i="148"/>
  <c r="N199" i="148"/>
  <c r="M199" i="148"/>
  <c r="L199" i="148"/>
  <c r="K199" i="148"/>
  <c r="H199" i="148"/>
  <c r="A199" i="148"/>
  <c r="N198" i="148"/>
  <c r="M198" i="148"/>
  <c r="L198" i="148"/>
  <c r="K198" i="148"/>
  <c r="H198" i="148"/>
  <c r="A198" i="148"/>
  <c r="N197" i="148"/>
  <c r="M197" i="148"/>
  <c r="L197" i="148"/>
  <c r="K197" i="148"/>
  <c r="H197" i="148"/>
  <c r="A197" i="148"/>
  <c r="N196" i="148"/>
  <c r="M196" i="148"/>
  <c r="L196" i="148"/>
  <c r="K196" i="148"/>
  <c r="H196" i="148"/>
  <c r="A196" i="148"/>
  <c r="N195" i="148"/>
  <c r="M195" i="148"/>
  <c r="L195" i="148"/>
  <c r="K195" i="148"/>
  <c r="H195" i="148"/>
  <c r="A195" i="148"/>
  <c r="N194" i="148"/>
  <c r="M194" i="148"/>
  <c r="L194" i="148"/>
  <c r="K194" i="148"/>
  <c r="H194" i="148"/>
  <c r="A194" i="148"/>
  <c r="N193" i="148"/>
  <c r="M193" i="148"/>
  <c r="L193" i="148"/>
  <c r="K193" i="148"/>
  <c r="H193" i="148"/>
  <c r="A193" i="148"/>
  <c r="N192" i="148"/>
  <c r="M192" i="148"/>
  <c r="L192" i="148"/>
  <c r="K192" i="148"/>
  <c r="H192" i="148"/>
  <c r="A192" i="148"/>
  <c r="N191" i="148"/>
  <c r="M191" i="148"/>
  <c r="L191" i="148"/>
  <c r="K191" i="148"/>
  <c r="H191" i="148"/>
  <c r="A191" i="148"/>
  <c r="N190" i="148"/>
  <c r="M190" i="148"/>
  <c r="L190" i="148"/>
  <c r="K190" i="148"/>
  <c r="H190" i="148"/>
  <c r="A190" i="148"/>
  <c r="N189" i="148"/>
  <c r="M189" i="148"/>
  <c r="L189" i="148"/>
  <c r="K189" i="148"/>
  <c r="H189" i="148"/>
  <c r="A189" i="148"/>
  <c r="N188" i="148"/>
  <c r="M188" i="148"/>
  <c r="L188" i="148"/>
  <c r="K188" i="148"/>
  <c r="H188" i="148"/>
  <c r="A188" i="148"/>
  <c r="N187" i="148"/>
  <c r="M187" i="148"/>
  <c r="L187" i="148"/>
  <c r="K187" i="148"/>
  <c r="H187" i="148"/>
  <c r="A187" i="148"/>
  <c r="N186" i="148"/>
  <c r="M186" i="148"/>
  <c r="L186" i="148"/>
  <c r="K186" i="148"/>
  <c r="H186" i="148"/>
  <c r="A186" i="148"/>
  <c r="N185" i="148"/>
  <c r="M185" i="148"/>
  <c r="L185" i="148"/>
  <c r="K185" i="148"/>
  <c r="H185" i="148"/>
  <c r="A185" i="148"/>
  <c r="N184" i="148"/>
  <c r="M184" i="148"/>
  <c r="L184" i="148"/>
  <c r="K184" i="148"/>
  <c r="H184" i="148"/>
  <c r="A184" i="148"/>
  <c r="N183" i="148"/>
  <c r="M183" i="148"/>
  <c r="L183" i="148"/>
  <c r="K183" i="148"/>
  <c r="H183" i="148"/>
  <c r="A183" i="148"/>
  <c r="N182" i="148"/>
  <c r="M182" i="148"/>
  <c r="L182" i="148"/>
  <c r="K182" i="148"/>
  <c r="H182" i="148"/>
  <c r="A182" i="148"/>
  <c r="N181" i="148"/>
  <c r="M181" i="148"/>
  <c r="L181" i="148"/>
  <c r="K181" i="148"/>
  <c r="H181" i="148"/>
  <c r="A181" i="148"/>
  <c r="N180" i="148"/>
  <c r="M180" i="148"/>
  <c r="L180" i="148"/>
  <c r="K180" i="148"/>
  <c r="H180" i="148"/>
  <c r="A180" i="148"/>
  <c r="N179" i="148"/>
  <c r="M179" i="148"/>
  <c r="L179" i="148"/>
  <c r="K179" i="148"/>
  <c r="H179" i="148"/>
  <c r="A179" i="148"/>
  <c r="N178" i="148"/>
  <c r="M178" i="148"/>
  <c r="L178" i="148"/>
  <c r="K178" i="148"/>
  <c r="H178" i="148"/>
  <c r="A178" i="148"/>
  <c r="N177" i="148"/>
  <c r="M177" i="148"/>
  <c r="L177" i="148"/>
  <c r="K177" i="148"/>
  <c r="H177" i="148"/>
  <c r="A177" i="148"/>
  <c r="N176" i="148"/>
  <c r="M176" i="148"/>
  <c r="L176" i="148"/>
  <c r="K176" i="148"/>
  <c r="H176" i="148"/>
  <c r="A176" i="148"/>
  <c r="N175" i="148"/>
  <c r="M175" i="148"/>
  <c r="L175" i="148"/>
  <c r="K175" i="148"/>
  <c r="H175" i="148"/>
  <c r="A175" i="148"/>
  <c r="N174" i="148"/>
  <c r="M174" i="148"/>
  <c r="L174" i="148"/>
  <c r="K174" i="148"/>
  <c r="H174" i="148"/>
  <c r="A174" i="148"/>
  <c r="N173" i="148"/>
  <c r="M173" i="148"/>
  <c r="L173" i="148"/>
  <c r="K173" i="148"/>
  <c r="H173" i="148"/>
  <c r="A173" i="148"/>
  <c r="N172" i="148"/>
  <c r="M172" i="148"/>
  <c r="L172" i="148"/>
  <c r="K172" i="148"/>
  <c r="H172" i="148"/>
  <c r="A172" i="148"/>
  <c r="N171" i="148"/>
  <c r="M171" i="148"/>
  <c r="L171" i="148"/>
  <c r="K171" i="148"/>
  <c r="H171" i="148"/>
  <c r="A171" i="148"/>
  <c r="N170" i="148"/>
  <c r="M170" i="148"/>
  <c r="L170" i="148"/>
  <c r="K170" i="148"/>
  <c r="H170" i="148"/>
  <c r="A170" i="148"/>
  <c r="N169" i="148"/>
  <c r="M169" i="148"/>
  <c r="L169" i="148"/>
  <c r="K169" i="148"/>
  <c r="H169" i="148"/>
  <c r="A169" i="148"/>
  <c r="N168" i="148"/>
  <c r="M168" i="148"/>
  <c r="L168" i="148"/>
  <c r="K168" i="148"/>
  <c r="H168" i="148"/>
  <c r="A168" i="148"/>
  <c r="N167" i="148"/>
  <c r="M167" i="148"/>
  <c r="L167" i="148"/>
  <c r="K167" i="148"/>
  <c r="H167" i="148"/>
  <c r="A167" i="148"/>
  <c r="N166" i="148"/>
  <c r="M166" i="148"/>
  <c r="L166" i="148"/>
  <c r="K166" i="148"/>
  <c r="H166" i="148"/>
  <c r="A166" i="148"/>
  <c r="N165" i="148"/>
  <c r="M165" i="148"/>
  <c r="L165" i="148"/>
  <c r="K165" i="148"/>
  <c r="H165" i="148"/>
  <c r="A165" i="148"/>
  <c r="N164" i="148"/>
  <c r="M164" i="148"/>
  <c r="L164" i="148"/>
  <c r="K164" i="148"/>
  <c r="H164" i="148"/>
  <c r="A164" i="148"/>
  <c r="N163" i="148"/>
  <c r="M163" i="148"/>
  <c r="L163" i="148"/>
  <c r="K163" i="148"/>
  <c r="H163" i="148"/>
  <c r="A163" i="148"/>
  <c r="N162" i="148"/>
  <c r="M162" i="148"/>
  <c r="L162" i="148"/>
  <c r="K162" i="148"/>
  <c r="H162" i="148"/>
  <c r="A162" i="148"/>
  <c r="N161" i="148"/>
  <c r="M161" i="148"/>
  <c r="L161" i="148"/>
  <c r="K161" i="148"/>
  <c r="H161" i="148"/>
  <c r="A161" i="148"/>
  <c r="N160" i="148"/>
  <c r="M160" i="148"/>
  <c r="L160" i="148"/>
  <c r="K160" i="148"/>
  <c r="H160" i="148"/>
  <c r="A160" i="148"/>
  <c r="N159" i="148"/>
  <c r="M159" i="148"/>
  <c r="L159" i="148"/>
  <c r="K159" i="148"/>
  <c r="H159" i="148"/>
  <c r="A159" i="148"/>
  <c r="N158" i="148"/>
  <c r="M158" i="148"/>
  <c r="L158" i="148"/>
  <c r="K158" i="148"/>
  <c r="H158" i="148"/>
  <c r="A158" i="148"/>
  <c r="N157" i="148"/>
  <c r="M157" i="148"/>
  <c r="L157" i="148"/>
  <c r="K157" i="148"/>
  <c r="H157" i="148"/>
  <c r="A157" i="148"/>
  <c r="N156" i="148"/>
  <c r="M156" i="148"/>
  <c r="L156" i="148"/>
  <c r="K156" i="148"/>
  <c r="H156" i="148"/>
  <c r="A156" i="148"/>
  <c r="N155" i="148"/>
  <c r="M155" i="148"/>
  <c r="L155" i="148"/>
  <c r="K155" i="148"/>
  <c r="H155" i="148"/>
  <c r="A155" i="148"/>
  <c r="N154" i="148"/>
  <c r="M154" i="148"/>
  <c r="L154" i="148"/>
  <c r="K154" i="148"/>
  <c r="H154" i="148"/>
  <c r="A154" i="148"/>
  <c r="N153" i="148"/>
  <c r="M153" i="148"/>
  <c r="L153" i="148"/>
  <c r="K153" i="148"/>
  <c r="H153" i="148"/>
  <c r="A153" i="148"/>
  <c r="N152" i="148"/>
  <c r="M152" i="148"/>
  <c r="L152" i="148"/>
  <c r="K152" i="148"/>
  <c r="H152" i="148"/>
  <c r="A152" i="148"/>
  <c r="N151" i="148"/>
  <c r="M151" i="148"/>
  <c r="L151" i="148"/>
  <c r="K151" i="148"/>
  <c r="H151" i="148"/>
  <c r="A151" i="148"/>
  <c r="N150" i="148"/>
  <c r="M150" i="148"/>
  <c r="L150" i="148"/>
  <c r="K150" i="148"/>
  <c r="H150" i="148"/>
  <c r="A150" i="148"/>
  <c r="N149" i="148"/>
  <c r="M149" i="148"/>
  <c r="L149" i="148"/>
  <c r="K149" i="148"/>
  <c r="H149" i="148"/>
  <c r="A149" i="148"/>
  <c r="N148" i="148"/>
  <c r="M148" i="148"/>
  <c r="L148" i="148"/>
  <c r="K148" i="148"/>
  <c r="H148" i="148"/>
  <c r="A148" i="148"/>
  <c r="N147" i="148"/>
  <c r="M147" i="148"/>
  <c r="L147" i="148"/>
  <c r="K147" i="148"/>
  <c r="H147" i="148"/>
  <c r="A147" i="148"/>
  <c r="N146" i="148"/>
  <c r="M146" i="148"/>
  <c r="L146" i="148"/>
  <c r="K146" i="148"/>
  <c r="H146" i="148"/>
  <c r="A146" i="148"/>
  <c r="N145" i="148"/>
  <c r="M145" i="148"/>
  <c r="L145" i="148"/>
  <c r="K145" i="148"/>
  <c r="H145" i="148"/>
  <c r="A145" i="148"/>
  <c r="N144" i="148"/>
  <c r="M144" i="148"/>
  <c r="L144" i="148"/>
  <c r="K144" i="148"/>
  <c r="H144" i="148"/>
  <c r="A144" i="148"/>
  <c r="N143" i="148"/>
  <c r="M143" i="148"/>
  <c r="L143" i="148"/>
  <c r="K143" i="148"/>
  <c r="H143" i="148"/>
  <c r="A143" i="148"/>
  <c r="N142" i="148"/>
  <c r="M142" i="148"/>
  <c r="L142" i="148"/>
  <c r="K142" i="148"/>
  <c r="H142" i="148"/>
  <c r="A142" i="148"/>
  <c r="N141" i="148"/>
  <c r="M141" i="148"/>
  <c r="L141" i="148"/>
  <c r="K141" i="148"/>
  <c r="H141" i="148"/>
  <c r="A141" i="148"/>
  <c r="N140" i="148"/>
  <c r="M140" i="148"/>
  <c r="L140" i="148"/>
  <c r="K140" i="148"/>
  <c r="H140" i="148"/>
  <c r="A140" i="148"/>
  <c r="N139" i="148"/>
  <c r="M139" i="148"/>
  <c r="L139" i="148"/>
  <c r="K139" i="148"/>
  <c r="H139" i="148"/>
  <c r="A139" i="148"/>
  <c r="N138" i="148"/>
  <c r="M138" i="148"/>
  <c r="L138" i="148"/>
  <c r="K138" i="148"/>
  <c r="H138" i="148"/>
  <c r="A138" i="148"/>
  <c r="N137" i="148"/>
  <c r="M137" i="148"/>
  <c r="L137" i="148"/>
  <c r="K137" i="148"/>
  <c r="H137" i="148"/>
  <c r="A137" i="148"/>
  <c r="N136" i="148"/>
  <c r="M136" i="148"/>
  <c r="L136" i="148"/>
  <c r="K136" i="148"/>
  <c r="H136" i="148"/>
  <c r="A136" i="148"/>
  <c r="N135" i="148"/>
  <c r="M135" i="148"/>
  <c r="L135" i="148"/>
  <c r="K135" i="148"/>
  <c r="H135" i="148"/>
  <c r="A135" i="148"/>
  <c r="N134" i="148"/>
  <c r="M134" i="148"/>
  <c r="L134" i="148"/>
  <c r="K134" i="148"/>
  <c r="H134" i="148"/>
  <c r="A134" i="148"/>
  <c r="N133" i="148"/>
  <c r="M133" i="148"/>
  <c r="L133" i="148"/>
  <c r="K133" i="148"/>
  <c r="H133" i="148"/>
  <c r="A133" i="148"/>
  <c r="N132" i="148"/>
  <c r="M132" i="148"/>
  <c r="L132" i="148"/>
  <c r="K132" i="148"/>
  <c r="H132" i="148"/>
  <c r="A132" i="148"/>
  <c r="N131" i="148"/>
  <c r="M131" i="148"/>
  <c r="L131" i="148"/>
  <c r="K131" i="148"/>
  <c r="H131" i="148"/>
  <c r="A131" i="148"/>
  <c r="N130" i="148"/>
  <c r="M130" i="148"/>
  <c r="L130" i="148"/>
  <c r="K130" i="148"/>
  <c r="H130" i="148"/>
  <c r="A130" i="148"/>
  <c r="N129" i="148"/>
  <c r="M129" i="148"/>
  <c r="L129" i="148"/>
  <c r="K129" i="148"/>
  <c r="H129" i="148"/>
  <c r="A129" i="148"/>
  <c r="N128" i="148"/>
  <c r="M128" i="148"/>
  <c r="L128" i="148"/>
  <c r="K128" i="148"/>
  <c r="H128" i="148"/>
  <c r="A128" i="148"/>
  <c r="N127" i="148"/>
  <c r="M127" i="148"/>
  <c r="L127" i="148"/>
  <c r="K127" i="148"/>
  <c r="H127" i="148"/>
  <c r="A127" i="148"/>
  <c r="N126" i="148"/>
  <c r="M126" i="148"/>
  <c r="L126" i="148"/>
  <c r="K126" i="148"/>
  <c r="H126" i="148"/>
  <c r="A126" i="148"/>
  <c r="N125" i="148"/>
  <c r="M125" i="148"/>
  <c r="L125" i="148"/>
  <c r="K125" i="148"/>
  <c r="H125" i="148"/>
  <c r="A125" i="148"/>
  <c r="N124" i="148"/>
  <c r="M124" i="148"/>
  <c r="L124" i="148"/>
  <c r="K124" i="148"/>
  <c r="H124" i="148"/>
  <c r="A124" i="148"/>
  <c r="N123" i="148"/>
  <c r="M123" i="148"/>
  <c r="L123" i="148"/>
  <c r="K123" i="148"/>
  <c r="H123" i="148"/>
  <c r="A123" i="148"/>
  <c r="N122" i="148"/>
  <c r="M122" i="148"/>
  <c r="L122" i="148"/>
  <c r="K122" i="148"/>
  <c r="H122" i="148"/>
  <c r="A122" i="148"/>
  <c r="N121" i="148"/>
  <c r="M121" i="148"/>
  <c r="L121" i="148"/>
  <c r="K121" i="148"/>
  <c r="H121" i="148"/>
  <c r="A121" i="148"/>
  <c r="N120" i="148"/>
  <c r="M120" i="148"/>
  <c r="L120" i="148"/>
  <c r="K120" i="148"/>
  <c r="H120" i="148"/>
  <c r="A120" i="148"/>
  <c r="N119" i="148"/>
  <c r="M119" i="148"/>
  <c r="L119" i="148"/>
  <c r="K119" i="148"/>
  <c r="H119" i="148"/>
  <c r="A119" i="148"/>
  <c r="N118" i="148"/>
  <c r="M118" i="148"/>
  <c r="L118" i="148"/>
  <c r="K118" i="148"/>
  <c r="H118" i="148"/>
  <c r="A118" i="148"/>
  <c r="N117" i="148"/>
  <c r="M117" i="148"/>
  <c r="L117" i="148"/>
  <c r="K117" i="148"/>
  <c r="H117" i="148"/>
  <c r="A117" i="148"/>
  <c r="N116" i="148"/>
  <c r="M116" i="148"/>
  <c r="L116" i="148"/>
  <c r="K116" i="148"/>
  <c r="H116" i="148"/>
  <c r="A116" i="148"/>
  <c r="N115" i="148"/>
  <c r="M115" i="148"/>
  <c r="L115" i="148"/>
  <c r="K115" i="148"/>
  <c r="H115" i="148"/>
  <c r="A115" i="148"/>
  <c r="N114" i="148"/>
  <c r="M114" i="148"/>
  <c r="L114" i="148"/>
  <c r="K114" i="148"/>
  <c r="H114" i="148"/>
  <c r="A114" i="148"/>
  <c r="N113" i="148"/>
  <c r="M113" i="148"/>
  <c r="L113" i="148"/>
  <c r="K113" i="148"/>
  <c r="H113" i="148"/>
  <c r="A113" i="148"/>
  <c r="N112" i="148"/>
  <c r="M112" i="148"/>
  <c r="L112" i="148"/>
  <c r="K112" i="148"/>
  <c r="H112" i="148"/>
  <c r="A112" i="148"/>
  <c r="N111" i="148"/>
  <c r="M111" i="148"/>
  <c r="L111" i="148"/>
  <c r="K111" i="148"/>
  <c r="H111" i="148"/>
  <c r="A111" i="148"/>
  <c r="N110" i="148"/>
  <c r="M110" i="148"/>
  <c r="L110" i="148"/>
  <c r="K110" i="148"/>
  <c r="H110" i="148"/>
  <c r="A110" i="148"/>
  <c r="N109" i="148"/>
  <c r="M109" i="148"/>
  <c r="L109" i="148"/>
  <c r="K109" i="148"/>
  <c r="H109" i="148"/>
  <c r="A109" i="148"/>
  <c r="N108" i="148"/>
  <c r="M108" i="148"/>
  <c r="L108" i="148"/>
  <c r="K108" i="148"/>
  <c r="H108" i="148"/>
  <c r="A108" i="148"/>
  <c r="N107" i="148"/>
  <c r="M107" i="148"/>
  <c r="L107" i="148"/>
  <c r="K107" i="148"/>
  <c r="H107" i="148"/>
  <c r="A107" i="148"/>
  <c r="N106" i="148"/>
  <c r="M106" i="148"/>
  <c r="L106" i="148"/>
  <c r="K106" i="148"/>
  <c r="H106" i="148"/>
  <c r="A106" i="148"/>
  <c r="N105" i="148"/>
  <c r="M105" i="148"/>
  <c r="L105" i="148"/>
  <c r="K105" i="148"/>
  <c r="H105" i="148"/>
  <c r="A105" i="148"/>
  <c r="N104" i="148"/>
  <c r="M104" i="148"/>
  <c r="L104" i="148"/>
  <c r="K104" i="148"/>
  <c r="H104" i="148"/>
  <c r="A104" i="148"/>
  <c r="N103" i="148"/>
  <c r="M103" i="148"/>
  <c r="L103" i="148"/>
  <c r="K103" i="148"/>
  <c r="H103" i="148"/>
  <c r="A103" i="148"/>
  <c r="N102" i="148"/>
  <c r="M102" i="148"/>
  <c r="L102" i="148"/>
  <c r="K102" i="148"/>
  <c r="H102" i="148"/>
  <c r="A102" i="148"/>
  <c r="N101" i="148"/>
  <c r="M101" i="148"/>
  <c r="L101" i="148"/>
  <c r="K101" i="148"/>
  <c r="H101" i="148"/>
  <c r="A101" i="148"/>
  <c r="N100" i="148"/>
  <c r="M100" i="148"/>
  <c r="L100" i="148"/>
  <c r="K100" i="148"/>
  <c r="H100" i="148"/>
  <c r="A100" i="148"/>
  <c r="N99" i="148"/>
  <c r="M99" i="148"/>
  <c r="L99" i="148"/>
  <c r="K99" i="148"/>
  <c r="H99" i="148"/>
  <c r="A99" i="148"/>
  <c r="N98" i="148"/>
  <c r="M98" i="148"/>
  <c r="L98" i="148"/>
  <c r="K98" i="148"/>
  <c r="H98" i="148"/>
  <c r="A98" i="148"/>
  <c r="N97" i="148"/>
  <c r="M97" i="148"/>
  <c r="L97" i="148"/>
  <c r="K97" i="148"/>
  <c r="H97" i="148"/>
  <c r="A97" i="148"/>
  <c r="N96" i="148"/>
  <c r="M96" i="148"/>
  <c r="L96" i="148"/>
  <c r="K96" i="148"/>
  <c r="H96" i="148"/>
  <c r="A96" i="148"/>
  <c r="N95" i="148"/>
  <c r="M95" i="148"/>
  <c r="L95" i="148"/>
  <c r="K95" i="148"/>
  <c r="H95" i="148"/>
  <c r="A95" i="148"/>
  <c r="N94" i="148"/>
  <c r="M94" i="148"/>
  <c r="L94" i="148"/>
  <c r="K94" i="148"/>
  <c r="H94" i="148"/>
  <c r="A94" i="148"/>
  <c r="N93" i="148"/>
  <c r="M93" i="148"/>
  <c r="L93" i="148"/>
  <c r="K93" i="148"/>
  <c r="H93" i="148"/>
  <c r="A93" i="148"/>
  <c r="N92" i="148"/>
  <c r="M92" i="148"/>
  <c r="L92" i="148"/>
  <c r="K92" i="148"/>
  <c r="H92" i="148"/>
  <c r="A92" i="148"/>
  <c r="N91" i="148"/>
  <c r="M91" i="148"/>
  <c r="L91" i="148"/>
  <c r="K91" i="148"/>
  <c r="H91" i="148"/>
  <c r="A91" i="148"/>
  <c r="N90" i="148"/>
  <c r="M90" i="148"/>
  <c r="L90" i="148"/>
  <c r="K90" i="148"/>
  <c r="H90" i="148"/>
  <c r="A90" i="148"/>
  <c r="N89" i="148"/>
  <c r="M89" i="148"/>
  <c r="L89" i="148"/>
  <c r="K89" i="148"/>
  <c r="H89" i="148"/>
  <c r="A89" i="148"/>
  <c r="N88" i="148"/>
  <c r="M88" i="148"/>
  <c r="L88" i="148"/>
  <c r="K88" i="148"/>
  <c r="H88" i="148"/>
  <c r="A88" i="148"/>
  <c r="N87" i="148"/>
  <c r="M87" i="148"/>
  <c r="L87" i="148"/>
  <c r="K87" i="148"/>
  <c r="H87" i="148"/>
  <c r="A87" i="148"/>
  <c r="N86" i="148"/>
  <c r="M86" i="148"/>
  <c r="L86" i="148"/>
  <c r="K86" i="148"/>
  <c r="H86" i="148"/>
  <c r="A86" i="148"/>
  <c r="N85" i="148"/>
  <c r="M85" i="148"/>
  <c r="L85" i="148"/>
  <c r="K85" i="148"/>
  <c r="H85" i="148"/>
  <c r="A85" i="148"/>
  <c r="N84" i="148"/>
  <c r="M84" i="148"/>
  <c r="L84" i="148"/>
  <c r="K84" i="148"/>
  <c r="H84" i="148"/>
  <c r="A84" i="148"/>
  <c r="N83" i="148"/>
  <c r="M83" i="148"/>
  <c r="L83" i="148"/>
  <c r="K83" i="148"/>
  <c r="H83" i="148"/>
  <c r="A83" i="148"/>
  <c r="N82" i="148"/>
  <c r="M82" i="148"/>
  <c r="L82" i="148"/>
  <c r="K82" i="148"/>
  <c r="H82" i="148"/>
  <c r="A82" i="148"/>
  <c r="N81" i="148"/>
  <c r="M81" i="148"/>
  <c r="L81" i="148"/>
  <c r="K81" i="148"/>
  <c r="H81" i="148"/>
  <c r="A81" i="148"/>
  <c r="N80" i="148"/>
  <c r="M80" i="148"/>
  <c r="L80" i="148"/>
  <c r="K80" i="148"/>
  <c r="H80" i="148"/>
  <c r="A80" i="148"/>
  <c r="N79" i="148"/>
  <c r="M79" i="148"/>
  <c r="L79" i="148"/>
  <c r="K79" i="148"/>
  <c r="H79" i="148"/>
  <c r="A79" i="148"/>
  <c r="N78" i="148"/>
  <c r="M78" i="148"/>
  <c r="L78" i="148"/>
  <c r="K78" i="148"/>
  <c r="H78" i="148"/>
  <c r="A78" i="148"/>
  <c r="N77" i="148"/>
  <c r="M77" i="148"/>
  <c r="L77" i="148"/>
  <c r="K77" i="148"/>
  <c r="H77" i="148"/>
  <c r="A77" i="148"/>
  <c r="N76" i="148"/>
  <c r="M76" i="148"/>
  <c r="L76" i="148"/>
  <c r="K76" i="148"/>
  <c r="H76" i="148"/>
  <c r="A76" i="148"/>
  <c r="N75" i="148"/>
  <c r="M75" i="148"/>
  <c r="L75" i="148"/>
  <c r="K75" i="148"/>
  <c r="H75" i="148"/>
  <c r="A75" i="148"/>
  <c r="N74" i="148"/>
  <c r="M74" i="148"/>
  <c r="L74" i="148"/>
  <c r="K74" i="148"/>
  <c r="H74" i="148"/>
  <c r="A74" i="148"/>
  <c r="N73" i="148"/>
  <c r="M73" i="148"/>
  <c r="L73" i="148"/>
  <c r="K73" i="148"/>
  <c r="H73" i="148"/>
  <c r="A73" i="148"/>
  <c r="N72" i="148"/>
  <c r="M72" i="148"/>
  <c r="L72" i="148"/>
  <c r="K72" i="148"/>
  <c r="H72" i="148"/>
  <c r="A72" i="148"/>
  <c r="N71" i="148"/>
  <c r="M71" i="148"/>
  <c r="L71" i="148"/>
  <c r="K71" i="148"/>
  <c r="H71" i="148"/>
  <c r="A71" i="148"/>
  <c r="N70" i="148"/>
  <c r="M70" i="148"/>
  <c r="L70" i="148"/>
  <c r="K70" i="148"/>
  <c r="H70" i="148"/>
  <c r="A70" i="148"/>
  <c r="N69" i="148"/>
  <c r="M69" i="148"/>
  <c r="L69" i="148"/>
  <c r="K69" i="148"/>
  <c r="H69" i="148"/>
  <c r="A69" i="148"/>
  <c r="N68" i="148"/>
  <c r="M68" i="148"/>
  <c r="L68" i="148"/>
  <c r="K68" i="148"/>
  <c r="H68" i="148"/>
  <c r="A68" i="148"/>
  <c r="N67" i="148"/>
  <c r="M67" i="148"/>
  <c r="L67" i="148"/>
  <c r="K67" i="148"/>
  <c r="H67" i="148"/>
  <c r="A67" i="148"/>
  <c r="N66" i="148"/>
  <c r="M66" i="148"/>
  <c r="L66" i="148"/>
  <c r="K66" i="148"/>
  <c r="H66" i="148"/>
  <c r="A66" i="148"/>
  <c r="N65" i="148"/>
  <c r="M65" i="148"/>
  <c r="L65" i="148"/>
  <c r="K65" i="148"/>
  <c r="H65" i="148"/>
  <c r="A65" i="148"/>
  <c r="N64" i="148"/>
  <c r="M64" i="148"/>
  <c r="L64" i="148"/>
  <c r="K64" i="148"/>
  <c r="H64" i="148"/>
  <c r="A64" i="148"/>
  <c r="N63" i="148"/>
  <c r="M63" i="148"/>
  <c r="L63" i="148"/>
  <c r="K63" i="148"/>
  <c r="H63" i="148"/>
  <c r="A63" i="148"/>
  <c r="N62" i="148"/>
  <c r="M62" i="148"/>
  <c r="L62" i="148"/>
  <c r="K62" i="148"/>
  <c r="H62" i="148"/>
  <c r="A62" i="148"/>
  <c r="N61" i="148"/>
  <c r="M61" i="148"/>
  <c r="L61" i="148"/>
  <c r="K61" i="148"/>
  <c r="H61" i="148"/>
  <c r="A61" i="148"/>
  <c r="N60" i="148"/>
  <c r="M60" i="148"/>
  <c r="L60" i="148"/>
  <c r="K60" i="148"/>
  <c r="H60" i="148"/>
  <c r="A60" i="148"/>
  <c r="N59" i="148"/>
  <c r="M59" i="148"/>
  <c r="L59" i="148"/>
  <c r="K59" i="148"/>
  <c r="H59" i="148"/>
  <c r="A59" i="148"/>
  <c r="N58" i="148"/>
  <c r="M58" i="148"/>
  <c r="L58" i="148"/>
  <c r="K58" i="148"/>
  <c r="H58" i="148"/>
  <c r="A58" i="148"/>
  <c r="N57" i="148"/>
  <c r="M57" i="148"/>
  <c r="L57" i="148"/>
  <c r="K57" i="148"/>
  <c r="H57" i="148"/>
  <c r="A57" i="148"/>
  <c r="N56" i="148"/>
  <c r="M56" i="148"/>
  <c r="L56" i="148"/>
  <c r="K56" i="148"/>
  <c r="H56" i="148"/>
  <c r="A56" i="148"/>
  <c r="N55" i="148"/>
  <c r="M55" i="148"/>
  <c r="L55" i="148"/>
  <c r="K55" i="148"/>
  <c r="H55" i="148"/>
  <c r="A55" i="148"/>
  <c r="N54" i="148"/>
  <c r="M54" i="148"/>
  <c r="L54" i="148"/>
  <c r="K54" i="148"/>
  <c r="H54" i="148"/>
  <c r="A54" i="148"/>
  <c r="N53" i="148"/>
  <c r="M53" i="148"/>
  <c r="L53" i="148"/>
  <c r="K53" i="148"/>
  <c r="H53" i="148"/>
  <c r="A53" i="148"/>
  <c r="N52" i="148"/>
  <c r="M52" i="148"/>
  <c r="L52" i="148"/>
  <c r="K52" i="148"/>
  <c r="H52" i="148"/>
  <c r="A52" i="148"/>
  <c r="N51" i="148"/>
  <c r="M51" i="148"/>
  <c r="L51" i="148"/>
  <c r="K51" i="148"/>
  <c r="H51" i="148"/>
  <c r="A51" i="148"/>
  <c r="N50" i="148"/>
  <c r="M50" i="148"/>
  <c r="L50" i="148"/>
  <c r="K50" i="148"/>
  <c r="H50" i="148"/>
  <c r="A50" i="148"/>
  <c r="N49" i="148"/>
  <c r="M49" i="148"/>
  <c r="L49" i="148"/>
  <c r="K49" i="148"/>
  <c r="H49" i="148"/>
  <c r="A49" i="148"/>
  <c r="N48" i="148"/>
  <c r="M48" i="148"/>
  <c r="L48" i="148"/>
  <c r="K48" i="148"/>
  <c r="H48" i="148"/>
  <c r="A48" i="148"/>
  <c r="N47" i="148"/>
  <c r="M47" i="148"/>
  <c r="L47" i="148"/>
  <c r="K47" i="148"/>
  <c r="H47" i="148"/>
  <c r="A47" i="148"/>
  <c r="N46" i="148"/>
  <c r="M46" i="148"/>
  <c r="L46" i="148"/>
  <c r="K46" i="148"/>
  <c r="H46" i="148"/>
  <c r="A46" i="148"/>
  <c r="N45" i="148"/>
  <c r="M45" i="148"/>
  <c r="L45" i="148"/>
  <c r="K45" i="148"/>
  <c r="H45" i="148"/>
  <c r="A45" i="148"/>
  <c r="N44" i="148"/>
  <c r="M44" i="148"/>
  <c r="L44" i="148"/>
  <c r="K44" i="148"/>
  <c r="H44" i="148"/>
  <c r="A44" i="148"/>
  <c r="N43" i="148"/>
  <c r="M43" i="148"/>
  <c r="L43" i="148"/>
  <c r="K43" i="148"/>
  <c r="H43" i="148"/>
  <c r="A43" i="148"/>
  <c r="N42" i="148"/>
  <c r="M42" i="148"/>
  <c r="L42" i="148"/>
  <c r="K42" i="148"/>
  <c r="H42" i="148"/>
  <c r="A42" i="148"/>
  <c r="N41" i="148"/>
  <c r="M41" i="148"/>
  <c r="L41" i="148"/>
  <c r="K41" i="148"/>
  <c r="H41" i="148"/>
  <c r="A41" i="148"/>
  <c r="N40" i="148"/>
  <c r="M40" i="148"/>
  <c r="L40" i="148"/>
  <c r="K40" i="148"/>
  <c r="H40" i="148"/>
  <c r="A40" i="148"/>
  <c r="N39" i="148"/>
  <c r="M39" i="148"/>
  <c r="L39" i="148"/>
  <c r="K39" i="148"/>
  <c r="H39" i="148"/>
  <c r="A39" i="148"/>
  <c r="N38" i="148"/>
  <c r="M38" i="148"/>
  <c r="L38" i="148"/>
  <c r="K38" i="148"/>
  <c r="H38" i="148"/>
  <c r="A38" i="148"/>
  <c r="N37" i="148"/>
  <c r="M37" i="148"/>
  <c r="L37" i="148"/>
  <c r="K37" i="148"/>
  <c r="H37" i="148"/>
  <c r="A37" i="148"/>
  <c r="N36" i="148"/>
  <c r="M36" i="148"/>
  <c r="L36" i="148"/>
  <c r="K36" i="148"/>
  <c r="H36" i="148"/>
  <c r="A36" i="148"/>
  <c r="N35" i="148"/>
  <c r="M35" i="148"/>
  <c r="L35" i="148"/>
  <c r="K35" i="148"/>
  <c r="H35" i="148"/>
  <c r="A35" i="148"/>
  <c r="N34" i="148"/>
  <c r="M34" i="148"/>
  <c r="L34" i="148"/>
  <c r="K34" i="148"/>
  <c r="H34" i="148"/>
  <c r="A34" i="148"/>
  <c r="N33" i="148"/>
  <c r="M33" i="148"/>
  <c r="L33" i="148"/>
  <c r="K33" i="148"/>
  <c r="H33" i="148"/>
  <c r="A33" i="148"/>
  <c r="N32" i="148"/>
  <c r="M32" i="148"/>
  <c r="L32" i="148"/>
  <c r="K32" i="148"/>
  <c r="H32" i="148"/>
  <c r="A32" i="148"/>
  <c r="N31" i="148"/>
  <c r="M31" i="148"/>
  <c r="L31" i="148"/>
  <c r="K31" i="148"/>
  <c r="H31" i="148"/>
  <c r="A31" i="148"/>
  <c r="N30" i="148"/>
  <c r="M30" i="148"/>
  <c r="L30" i="148"/>
  <c r="K30" i="148"/>
  <c r="H30" i="148"/>
  <c r="A30" i="148"/>
  <c r="N29" i="148"/>
  <c r="M29" i="148"/>
  <c r="L29" i="148"/>
  <c r="K29" i="148"/>
  <c r="H29" i="148"/>
  <c r="A29" i="148"/>
  <c r="N28" i="148"/>
  <c r="M28" i="148"/>
  <c r="L28" i="148"/>
  <c r="K28" i="148"/>
  <c r="H28" i="148"/>
  <c r="A28" i="148"/>
  <c r="N27" i="148"/>
  <c r="M27" i="148"/>
  <c r="L27" i="148"/>
  <c r="K27" i="148"/>
  <c r="H27" i="148"/>
  <c r="A27" i="148"/>
  <c r="N26" i="148"/>
  <c r="M26" i="148"/>
  <c r="L26" i="148"/>
  <c r="K26" i="148"/>
  <c r="H26" i="148"/>
  <c r="A26" i="148"/>
  <c r="N25" i="148"/>
  <c r="M25" i="148"/>
  <c r="L25" i="148"/>
  <c r="K25" i="148"/>
  <c r="H25" i="148"/>
  <c r="A25" i="148"/>
  <c r="N24" i="148"/>
  <c r="M24" i="148"/>
  <c r="L24" i="148"/>
  <c r="K24" i="148"/>
  <c r="H24" i="148"/>
  <c r="A24" i="148"/>
  <c r="N23" i="148"/>
  <c r="M23" i="148"/>
  <c r="L23" i="148"/>
  <c r="K23" i="148"/>
  <c r="H23" i="148"/>
  <c r="A23" i="148"/>
  <c r="N22" i="148"/>
  <c r="M22" i="148"/>
  <c r="L22" i="148"/>
  <c r="K22" i="148"/>
  <c r="H22" i="148"/>
  <c r="A22" i="148"/>
  <c r="N21" i="148"/>
  <c r="M21" i="148"/>
  <c r="L21" i="148"/>
  <c r="K21" i="148"/>
  <c r="H21" i="148"/>
  <c r="A21" i="148"/>
  <c r="N20" i="148"/>
  <c r="M20" i="148"/>
  <c r="L20" i="148"/>
  <c r="K20" i="148"/>
  <c r="H20" i="148"/>
  <c r="A20" i="148"/>
  <c r="N19" i="148"/>
  <c r="M19" i="148"/>
  <c r="L19" i="148"/>
  <c r="K19" i="148"/>
  <c r="H19" i="148"/>
  <c r="A19" i="148"/>
  <c r="N18" i="148"/>
  <c r="M18" i="148"/>
  <c r="L18" i="148"/>
  <c r="K18" i="148"/>
  <c r="H18" i="148"/>
  <c r="A18" i="148"/>
  <c r="N17" i="148"/>
  <c r="M17" i="148"/>
  <c r="L17" i="148"/>
  <c r="K17" i="148"/>
  <c r="H17" i="148"/>
  <c r="A17" i="148"/>
  <c r="N16" i="148"/>
  <c r="M16" i="148"/>
  <c r="L16" i="148"/>
  <c r="K16" i="148"/>
  <c r="H16" i="148"/>
  <c r="A16" i="148"/>
  <c r="N15" i="148"/>
  <c r="M15" i="148"/>
  <c r="L15" i="148"/>
  <c r="K15" i="148"/>
  <c r="H15" i="148"/>
  <c r="A15" i="148"/>
  <c r="N14" i="148"/>
  <c r="M14" i="148"/>
  <c r="L14" i="148"/>
  <c r="K14" i="148"/>
  <c r="H14" i="148"/>
  <c r="A14" i="148"/>
  <c r="N13" i="148"/>
  <c r="M13" i="148"/>
  <c r="L13" i="148"/>
  <c r="K13" i="148"/>
  <c r="H13" i="148"/>
  <c r="A13" i="148"/>
  <c r="N12" i="148"/>
  <c r="M12" i="148"/>
  <c r="L12" i="148"/>
  <c r="K12" i="148"/>
  <c r="H12" i="148"/>
  <c r="A12" i="148"/>
  <c r="N11" i="148"/>
  <c r="M11" i="148"/>
  <c r="L11" i="148"/>
  <c r="K11" i="148"/>
  <c r="H11" i="148"/>
  <c r="A11" i="148"/>
  <c r="N10" i="148"/>
  <c r="M10" i="148"/>
  <c r="L10" i="148"/>
  <c r="K10" i="148"/>
  <c r="H10" i="148"/>
  <c r="A10" i="148"/>
  <c r="N9" i="148"/>
  <c r="M9" i="148"/>
  <c r="L9" i="148"/>
  <c r="K9" i="148"/>
  <c r="H9" i="148"/>
  <c r="A9" i="148"/>
  <c r="N8" i="148"/>
  <c r="M8" i="148"/>
  <c r="L8" i="148"/>
  <c r="K8" i="148"/>
  <c r="H8" i="148"/>
  <c r="A8" i="148"/>
  <c r="N7" i="148"/>
  <c r="M7" i="148"/>
  <c r="L7" i="148"/>
  <c r="K7" i="148"/>
  <c r="H7" i="148"/>
  <c r="A7" i="148"/>
  <c r="N6" i="148"/>
  <c r="M6" i="148"/>
  <c r="L6" i="148"/>
  <c r="K6" i="148"/>
  <c r="H6" i="148"/>
  <c r="A6" i="148"/>
  <c r="N5" i="148"/>
  <c r="M5" i="148"/>
  <c r="L5" i="148"/>
  <c r="K5" i="148"/>
  <c r="H5" i="148"/>
  <c r="A5" i="148"/>
  <c r="N4" i="148"/>
  <c r="M4" i="148"/>
  <c r="L4" i="148"/>
  <c r="K4" i="148"/>
  <c r="H4" i="148"/>
  <c r="A4" i="148"/>
  <c r="N3" i="148"/>
  <c r="M3" i="148"/>
  <c r="L3" i="148"/>
  <c r="K3" i="148"/>
  <c r="H3" i="148"/>
  <c r="A3" i="148"/>
  <c r="N2" i="148"/>
  <c r="M2" i="148"/>
  <c r="L2" i="148"/>
  <c r="K2" i="148"/>
  <c r="H2" i="148"/>
  <c r="A2" i="148"/>
  <c r="F48" i="147"/>
  <c r="F47" i="147"/>
  <c r="B40" i="147"/>
  <c r="B47" i="147"/>
  <c r="C40" i="147"/>
  <c r="C47" i="147"/>
  <c r="F46" i="147"/>
  <c r="B46" i="147"/>
  <c r="C46" i="147"/>
  <c r="F45" i="147"/>
  <c r="B45" i="147"/>
  <c r="C45" i="147"/>
  <c r="B44" i="147"/>
  <c r="C44" i="147"/>
  <c r="B43" i="147"/>
  <c r="C43" i="147"/>
  <c r="F42" i="147"/>
  <c r="G42" i="147"/>
  <c r="B42" i="147"/>
  <c r="C42" i="147"/>
  <c r="F41" i="147"/>
  <c r="G41" i="147"/>
  <c r="B41" i="147"/>
  <c r="C41" i="147"/>
  <c r="F40" i="147"/>
  <c r="G40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D32" i="147"/>
  <c r="G31" i="147"/>
  <c r="E31" i="147"/>
  <c r="H31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P6" i="147"/>
  <c r="O6" i="147"/>
  <c r="M6" i="147"/>
  <c r="V5" i="147"/>
  <c r="P5" i="147"/>
  <c r="O5" i="147"/>
  <c r="M5" i="147"/>
  <c r="V4" i="147"/>
  <c r="P4" i="147"/>
  <c r="O4" i="147"/>
  <c r="M4" i="147"/>
  <c r="V3" i="147"/>
  <c r="P3" i="147"/>
  <c r="O3" i="147"/>
  <c r="M3" i="147"/>
  <c r="V2" i="147"/>
  <c r="I296" i="141"/>
  <c r="D296" i="141"/>
  <c r="J296" i="141"/>
  <c r="E296" i="141"/>
  <c r="C296" i="141"/>
  <c r="Q4" i="140"/>
  <c r="I297" i="141"/>
  <c r="D297" i="141"/>
  <c r="J297" i="141"/>
  <c r="E297" i="141"/>
  <c r="C297" i="141"/>
  <c r="Q5" i="140"/>
  <c r="I298" i="141"/>
  <c r="D298" i="141"/>
  <c r="J298" i="141"/>
  <c r="E298" i="141"/>
  <c r="C298" i="141"/>
  <c r="Q6" i="140"/>
  <c r="Q7" i="140"/>
  <c r="Q8" i="140"/>
  <c r="Q9" i="140"/>
  <c r="Q10" i="140"/>
  <c r="Q11" i="140"/>
  <c r="Q12" i="140"/>
  <c r="Q13" i="140"/>
  <c r="Q14" i="140"/>
  <c r="Q15" i="140"/>
  <c r="Q16" i="140"/>
  <c r="Q17" i="140"/>
  <c r="Q18" i="140"/>
  <c r="Q19" i="140"/>
  <c r="Q20" i="14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I290" i="82"/>
  <c r="D290" i="82"/>
  <c r="J290" i="82"/>
  <c r="E290" i="82"/>
  <c r="C290" i="82"/>
  <c r="I291" i="82"/>
  <c r="D291" i="82"/>
  <c r="J291" i="82"/>
  <c r="E291" i="82"/>
  <c r="C291" i="82"/>
  <c r="I292" i="82"/>
  <c r="D292" i="82"/>
  <c r="J292" i="82"/>
  <c r="E292" i="82"/>
  <c r="C292" i="82"/>
  <c r="I293" i="82"/>
  <c r="D293" i="82"/>
  <c r="J293" i="82"/>
  <c r="E293" i="82"/>
  <c r="C293" i="82"/>
  <c r="I294" i="82"/>
  <c r="D294" i="82"/>
  <c r="J294" i="82"/>
  <c r="E294" i="82"/>
  <c r="C294" i="82"/>
  <c r="I295" i="82"/>
  <c r="D295" i="82"/>
  <c r="J295" i="82"/>
  <c r="E295" i="82"/>
  <c r="C295" i="82"/>
  <c r="I296" i="82"/>
  <c r="D296" i="82"/>
  <c r="J296" i="82"/>
  <c r="E296" i="82"/>
  <c r="C296" i="82"/>
  <c r="I297" i="82"/>
  <c r="D297" i="82"/>
  <c r="J297" i="82"/>
  <c r="E297" i="82"/>
  <c r="C297" i="82"/>
  <c r="I298" i="82"/>
  <c r="D298" i="82"/>
  <c r="J298" i="82"/>
  <c r="E298" i="82"/>
  <c r="C298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17" i="106"/>
  <c r="F6" i="106"/>
  <c r="E6" i="106"/>
  <c r="E19" i="106"/>
  <c r="B19" i="106"/>
  <c r="F5" i="106"/>
  <c r="E5" i="106"/>
  <c r="E24" i="106"/>
  <c r="B24" i="106"/>
  <c r="B17" i="106"/>
  <c r="E29" i="106"/>
  <c r="B29" i="106"/>
  <c r="A36" i="106"/>
  <c r="E30" i="106"/>
  <c r="A2" i="140"/>
  <c r="A295" i="141"/>
  <c r="A296" i="141"/>
  <c r="A297" i="141"/>
  <c r="A298" i="141"/>
  <c r="I295" i="141"/>
  <c r="D295" i="141"/>
  <c r="J295" i="141"/>
  <c r="E295" i="141"/>
  <c r="F295" i="141"/>
  <c r="C295" i="141"/>
  <c r="H295" i="141"/>
  <c r="K295" i="141"/>
  <c r="L295" i="141"/>
  <c r="M295" i="141"/>
  <c r="N295" i="141"/>
  <c r="F296" i="141"/>
  <c r="F297" i="141"/>
  <c r="F298" i="141"/>
  <c r="I2" i="141"/>
  <c r="D2" i="141"/>
  <c r="J2" i="141"/>
  <c r="E2" i="141"/>
  <c r="C2" i="141"/>
  <c r="I3" i="141"/>
  <c r="D3" i="141"/>
  <c r="J3" i="141"/>
  <c r="E3" i="141"/>
  <c r="C3" i="141"/>
  <c r="I4" i="141"/>
  <c r="D4" i="141"/>
  <c r="J4" i="141"/>
  <c r="E4" i="141"/>
  <c r="C4" i="141"/>
  <c r="I5" i="141"/>
  <c r="D5" i="141"/>
  <c r="J5" i="141"/>
  <c r="E5" i="141"/>
  <c r="C5" i="141"/>
  <c r="I6" i="141"/>
  <c r="D6" i="141"/>
  <c r="J6" i="141"/>
  <c r="E6" i="141"/>
  <c r="C6" i="141"/>
  <c r="I7" i="141"/>
  <c r="D7" i="141"/>
  <c r="J7" i="141"/>
  <c r="E7" i="141"/>
  <c r="C7" i="141"/>
  <c r="I8" i="141"/>
  <c r="D8" i="141"/>
  <c r="J8" i="141"/>
  <c r="E8" i="141"/>
  <c r="C8" i="141"/>
  <c r="I9" i="141"/>
  <c r="D9" i="141"/>
  <c r="J9" i="141"/>
  <c r="E9" i="141"/>
  <c r="C9" i="141"/>
  <c r="I10" i="141"/>
  <c r="D10" i="141"/>
  <c r="J10" i="141"/>
  <c r="E10" i="141"/>
  <c r="C10" i="141"/>
  <c r="I11" i="141"/>
  <c r="D11" i="141"/>
  <c r="J11" i="141"/>
  <c r="E11" i="141"/>
  <c r="C11" i="141"/>
  <c r="I12" i="141"/>
  <c r="D12" i="141"/>
  <c r="J12" i="141"/>
  <c r="E12" i="141"/>
  <c r="C12" i="141"/>
  <c r="I13" i="141"/>
  <c r="D13" i="141"/>
  <c r="J13" i="141"/>
  <c r="E13" i="141"/>
  <c r="C13" i="141"/>
  <c r="I14" i="141"/>
  <c r="D14" i="141"/>
  <c r="J14" i="141"/>
  <c r="E14" i="141"/>
  <c r="C14" i="141"/>
  <c r="I15" i="141"/>
  <c r="D15" i="141"/>
  <c r="J15" i="141"/>
  <c r="E15" i="141"/>
  <c r="C15" i="141"/>
  <c r="I16" i="141"/>
  <c r="D16" i="141"/>
  <c r="J16" i="141"/>
  <c r="E16" i="141"/>
  <c r="C16" i="141"/>
  <c r="I17" i="141"/>
  <c r="D17" i="141"/>
  <c r="J17" i="141"/>
  <c r="E17" i="141"/>
  <c r="C17" i="141"/>
  <c r="I18" i="141"/>
  <c r="D18" i="141"/>
  <c r="J18" i="141"/>
  <c r="E18" i="141"/>
  <c r="C18" i="141"/>
  <c r="I19" i="141"/>
  <c r="D19" i="141"/>
  <c r="J19" i="141"/>
  <c r="E19" i="141"/>
  <c r="C19" i="141"/>
  <c r="I20" i="141"/>
  <c r="D20" i="141"/>
  <c r="J20" i="141"/>
  <c r="E20" i="141"/>
  <c r="C20" i="141"/>
  <c r="I21" i="141"/>
  <c r="D21" i="141"/>
  <c r="J21" i="141"/>
  <c r="E21" i="141"/>
  <c r="C21" i="141"/>
  <c r="I22" i="141"/>
  <c r="D22" i="141"/>
  <c r="J22" i="141"/>
  <c r="E22" i="141"/>
  <c r="C22" i="141"/>
  <c r="I23" i="141"/>
  <c r="D23" i="141"/>
  <c r="J23" i="141"/>
  <c r="E23" i="141"/>
  <c r="C23" i="141"/>
  <c r="I24" i="141"/>
  <c r="D24" i="141"/>
  <c r="J24" i="141"/>
  <c r="E24" i="141"/>
  <c r="C24" i="141"/>
  <c r="I25" i="141"/>
  <c r="D25" i="141"/>
  <c r="J25" i="141"/>
  <c r="E25" i="141"/>
  <c r="C25" i="141"/>
  <c r="I26" i="141"/>
  <c r="D26" i="141"/>
  <c r="J26" i="141"/>
  <c r="E26" i="141"/>
  <c r="C26" i="141"/>
  <c r="I27" i="141"/>
  <c r="D27" i="141"/>
  <c r="J27" i="141"/>
  <c r="E27" i="141"/>
  <c r="C27" i="141"/>
  <c r="I28" i="141"/>
  <c r="D28" i="141"/>
  <c r="J28" i="141"/>
  <c r="E28" i="141"/>
  <c r="C28" i="141"/>
  <c r="I29" i="141"/>
  <c r="D29" i="141"/>
  <c r="J29" i="141"/>
  <c r="E29" i="141"/>
  <c r="C29" i="141"/>
  <c r="I30" i="141"/>
  <c r="D30" i="141"/>
  <c r="J30" i="141"/>
  <c r="E30" i="141"/>
  <c r="C30" i="141"/>
  <c r="I31" i="141"/>
  <c r="D31" i="141"/>
  <c r="J31" i="141"/>
  <c r="E31" i="141"/>
  <c r="C31" i="141"/>
  <c r="I32" i="141"/>
  <c r="D32" i="141"/>
  <c r="J32" i="141"/>
  <c r="E32" i="141"/>
  <c r="C32" i="141"/>
  <c r="I33" i="141"/>
  <c r="D33" i="141"/>
  <c r="J33" i="141"/>
  <c r="E33" i="141"/>
  <c r="C33" i="141"/>
  <c r="I34" i="141"/>
  <c r="D34" i="141"/>
  <c r="J34" i="141"/>
  <c r="E34" i="141"/>
  <c r="C34" i="141"/>
  <c r="I35" i="141"/>
  <c r="D35" i="141"/>
  <c r="J35" i="141"/>
  <c r="E35" i="141"/>
  <c r="C35" i="141"/>
  <c r="I36" i="141"/>
  <c r="D36" i="141"/>
  <c r="J36" i="141"/>
  <c r="E36" i="141"/>
  <c r="C36" i="141"/>
  <c r="I37" i="141"/>
  <c r="D37" i="141"/>
  <c r="J37" i="141"/>
  <c r="E37" i="141"/>
  <c r="C37" i="141"/>
  <c r="I38" i="141"/>
  <c r="D38" i="141"/>
  <c r="J38" i="141"/>
  <c r="E38" i="141"/>
  <c r="C38" i="141"/>
  <c r="I39" i="141"/>
  <c r="D39" i="141"/>
  <c r="J39" i="141"/>
  <c r="E39" i="141"/>
  <c r="C39" i="141"/>
  <c r="I40" i="141"/>
  <c r="D40" i="141"/>
  <c r="J40" i="141"/>
  <c r="E40" i="141"/>
  <c r="C40" i="141"/>
  <c r="I41" i="141"/>
  <c r="D41" i="141"/>
  <c r="J41" i="141"/>
  <c r="E41" i="141"/>
  <c r="C41" i="141"/>
  <c r="I42" i="141"/>
  <c r="D42" i="141"/>
  <c r="J42" i="141"/>
  <c r="E42" i="141"/>
  <c r="C42" i="141"/>
  <c r="I43" i="141"/>
  <c r="D43" i="141"/>
  <c r="J43" i="141"/>
  <c r="E43" i="141"/>
  <c r="C43" i="141"/>
  <c r="I44" i="141"/>
  <c r="D44" i="141"/>
  <c r="J44" i="141"/>
  <c r="E44" i="141"/>
  <c r="C44" i="141"/>
  <c r="I45" i="141"/>
  <c r="D45" i="141"/>
  <c r="J45" i="141"/>
  <c r="E45" i="141"/>
  <c r="C45" i="141"/>
  <c r="I46" i="141"/>
  <c r="D46" i="141"/>
  <c r="J46" i="141"/>
  <c r="E46" i="141"/>
  <c r="C46" i="141"/>
  <c r="I47" i="141"/>
  <c r="D47" i="141"/>
  <c r="J47" i="141"/>
  <c r="E47" i="141"/>
  <c r="C47" i="141"/>
  <c r="I48" i="141"/>
  <c r="D48" i="141"/>
  <c r="J48" i="141"/>
  <c r="E48" i="141"/>
  <c r="C48" i="141"/>
  <c r="I49" i="141"/>
  <c r="D49" i="141"/>
  <c r="J49" i="141"/>
  <c r="E49" i="141"/>
  <c r="C49" i="141"/>
  <c r="I50" i="141"/>
  <c r="D50" i="141"/>
  <c r="J50" i="141"/>
  <c r="E50" i="141"/>
  <c r="C50" i="141"/>
  <c r="I51" i="141"/>
  <c r="D51" i="141"/>
  <c r="J51" i="141"/>
  <c r="E51" i="141"/>
  <c r="C51" i="141"/>
  <c r="I52" i="141"/>
  <c r="D52" i="141"/>
  <c r="J52" i="141"/>
  <c r="E52" i="141"/>
  <c r="C52" i="141"/>
  <c r="I53" i="141"/>
  <c r="D53" i="141"/>
  <c r="J53" i="141"/>
  <c r="E53" i="141"/>
  <c r="C53" i="141"/>
  <c r="I54" i="141"/>
  <c r="D54" i="141"/>
  <c r="J54" i="141"/>
  <c r="E54" i="141"/>
  <c r="C54" i="141"/>
  <c r="I55" i="141"/>
  <c r="D55" i="141"/>
  <c r="J55" i="141"/>
  <c r="E55" i="141"/>
  <c r="C55" i="141"/>
  <c r="I56" i="141"/>
  <c r="D56" i="141"/>
  <c r="J56" i="141"/>
  <c r="E56" i="141"/>
  <c r="C56" i="141"/>
  <c r="I57" i="141"/>
  <c r="D57" i="141"/>
  <c r="J57" i="141"/>
  <c r="E57" i="141"/>
  <c r="C57" i="141"/>
  <c r="I58" i="141"/>
  <c r="D58" i="141"/>
  <c r="J58" i="141"/>
  <c r="E58" i="141"/>
  <c r="C58" i="141"/>
  <c r="I59" i="141"/>
  <c r="D59" i="141"/>
  <c r="J59" i="141"/>
  <c r="E59" i="141"/>
  <c r="C59" i="141"/>
  <c r="I60" i="141"/>
  <c r="D60" i="141"/>
  <c r="J60" i="141"/>
  <c r="E60" i="141"/>
  <c r="C60" i="141"/>
  <c r="I61" i="141"/>
  <c r="D61" i="141"/>
  <c r="J61" i="141"/>
  <c r="E61" i="141"/>
  <c r="C61" i="141"/>
  <c r="I62" i="141"/>
  <c r="D62" i="141"/>
  <c r="J62" i="141"/>
  <c r="E62" i="141"/>
  <c r="C62" i="141"/>
  <c r="I63" i="141"/>
  <c r="D63" i="141"/>
  <c r="J63" i="141"/>
  <c r="E63" i="141"/>
  <c r="C63" i="141"/>
  <c r="I64" i="141"/>
  <c r="D64" i="141"/>
  <c r="J64" i="141"/>
  <c r="E64" i="141"/>
  <c r="C64" i="141"/>
  <c r="I65" i="141"/>
  <c r="D65" i="141"/>
  <c r="J65" i="141"/>
  <c r="E65" i="141"/>
  <c r="C65" i="141"/>
  <c r="I66" i="141"/>
  <c r="D66" i="141"/>
  <c r="J66" i="141"/>
  <c r="E66" i="141"/>
  <c r="C66" i="141"/>
  <c r="I67" i="141"/>
  <c r="D67" i="141"/>
  <c r="J67" i="141"/>
  <c r="E67" i="141"/>
  <c r="C67" i="141"/>
  <c r="I68" i="141"/>
  <c r="D68" i="141"/>
  <c r="J68" i="141"/>
  <c r="E68" i="141"/>
  <c r="C68" i="141"/>
  <c r="I69" i="141"/>
  <c r="D69" i="141"/>
  <c r="J69" i="141"/>
  <c r="E69" i="141"/>
  <c r="C69" i="141"/>
  <c r="I70" i="141"/>
  <c r="D70" i="141"/>
  <c r="J70" i="141"/>
  <c r="E70" i="141"/>
  <c r="C70" i="141"/>
  <c r="I71" i="141"/>
  <c r="D71" i="141"/>
  <c r="J71" i="141"/>
  <c r="E71" i="141"/>
  <c r="C71" i="141"/>
  <c r="I72" i="141"/>
  <c r="D72" i="141"/>
  <c r="J72" i="141"/>
  <c r="E72" i="141"/>
  <c r="C72" i="141"/>
  <c r="I73" i="141"/>
  <c r="D73" i="141"/>
  <c r="J73" i="141"/>
  <c r="E73" i="141"/>
  <c r="C73" i="141"/>
  <c r="I74" i="141"/>
  <c r="D74" i="141"/>
  <c r="J74" i="141"/>
  <c r="E74" i="141"/>
  <c r="C74" i="141"/>
  <c r="I75" i="141"/>
  <c r="D75" i="141"/>
  <c r="J75" i="141"/>
  <c r="E75" i="141"/>
  <c r="C75" i="141"/>
  <c r="I76" i="141"/>
  <c r="D76" i="141"/>
  <c r="J76" i="141"/>
  <c r="E76" i="141"/>
  <c r="C76" i="141"/>
  <c r="I77" i="141"/>
  <c r="D77" i="141"/>
  <c r="J77" i="141"/>
  <c r="E77" i="141"/>
  <c r="C77" i="141"/>
  <c r="I78" i="141"/>
  <c r="D78" i="141"/>
  <c r="J78" i="141"/>
  <c r="E78" i="141"/>
  <c r="C78" i="141"/>
  <c r="I79" i="141"/>
  <c r="D79" i="141"/>
  <c r="J79" i="141"/>
  <c r="E79" i="141"/>
  <c r="C79" i="141"/>
  <c r="I80" i="141"/>
  <c r="D80" i="141"/>
  <c r="J80" i="141"/>
  <c r="E80" i="141"/>
  <c r="C80" i="141"/>
  <c r="I81" i="141"/>
  <c r="D81" i="141"/>
  <c r="J81" i="141"/>
  <c r="E81" i="141"/>
  <c r="C81" i="141"/>
  <c r="I82" i="141"/>
  <c r="D82" i="141"/>
  <c r="J82" i="141"/>
  <c r="E82" i="141"/>
  <c r="C82" i="141"/>
  <c r="I83" i="141"/>
  <c r="D83" i="141"/>
  <c r="J83" i="141"/>
  <c r="E83" i="141"/>
  <c r="C83" i="141"/>
  <c r="I84" i="141"/>
  <c r="D84" i="141"/>
  <c r="J84" i="141"/>
  <c r="E84" i="141"/>
  <c r="C84" i="141"/>
  <c r="I85" i="141"/>
  <c r="D85" i="141"/>
  <c r="J85" i="141"/>
  <c r="E85" i="141"/>
  <c r="C85" i="141"/>
  <c r="I86" i="141"/>
  <c r="D86" i="141"/>
  <c r="J86" i="141"/>
  <c r="E86" i="141"/>
  <c r="C86" i="141"/>
  <c r="I87" i="141"/>
  <c r="D87" i="141"/>
  <c r="J87" i="141"/>
  <c r="E87" i="141"/>
  <c r="C87" i="141"/>
  <c r="I88" i="141"/>
  <c r="D88" i="141"/>
  <c r="J88" i="141"/>
  <c r="E88" i="141"/>
  <c r="C88" i="141"/>
  <c r="I89" i="141"/>
  <c r="D89" i="141"/>
  <c r="J89" i="141"/>
  <c r="E89" i="141"/>
  <c r="C89" i="141"/>
  <c r="I90" i="141"/>
  <c r="D90" i="141"/>
  <c r="J90" i="141"/>
  <c r="E90" i="141"/>
  <c r="C90" i="141"/>
  <c r="I91" i="141"/>
  <c r="D91" i="141"/>
  <c r="J91" i="141"/>
  <c r="E91" i="141"/>
  <c r="C91" i="141"/>
  <c r="I92" i="141"/>
  <c r="D92" i="141"/>
  <c r="J92" i="141"/>
  <c r="E92" i="141"/>
  <c r="C92" i="141"/>
  <c r="I93" i="141"/>
  <c r="D93" i="141"/>
  <c r="J93" i="141"/>
  <c r="E93" i="141"/>
  <c r="C93" i="141"/>
  <c r="I94" i="141"/>
  <c r="D94" i="141"/>
  <c r="J94" i="141"/>
  <c r="E94" i="141"/>
  <c r="C94" i="141"/>
  <c r="I95" i="141"/>
  <c r="D95" i="141"/>
  <c r="J95" i="141"/>
  <c r="E95" i="141"/>
  <c r="C95" i="141"/>
  <c r="I96" i="141"/>
  <c r="D96" i="141"/>
  <c r="J96" i="141"/>
  <c r="E96" i="141"/>
  <c r="C96" i="141"/>
  <c r="I97" i="141"/>
  <c r="D97" i="141"/>
  <c r="J97" i="141"/>
  <c r="E97" i="141"/>
  <c r="C97" i="141"/>
  <c r="I98" i="141"/>
  <c r="D98" i="141"/>
  <c r="J98" i="141"/>
  <c r="E98" i="141"/>
  <c r="C98" i="141"/>
  <c r="I99" i="141"/>
  <c r="D99" i="141"/>
  <c r="J99" i="141"/>
  <c r="E99" i="141"/>
  <c r="C99" i="141"/>
  <c r="I100" i="141"/>
  <c r="D100" i="141"/>
  <c r="J100" i="141"/>
  <c r="E100" i="141"/>
  <c r="C100" i="141"/>
  <c r="I101" i="141"/>
  <c r="D101" i="141"/>
  <c r="J101" i="141"/>
  <c r="E101" i="141"/>
  <c r="C101" i="141"/>
  <c r="I102" i="141"/>
  <c r="D102" i="141"/>
  <c r="J102" i="141"/>
  <c r="E102" i="141"/>
  <c r="C102" i="141"/>
  <c r="I103" i="141"/>
  <c r="D103" i="141"/>
  <c r="J103" i="141"/>
  <c r="E103" i="141"/>
  <c r="C103" i="141"/>
  <c r="I104" i="141"/>
  <c r="D104" i="141"/>
  <c r="J104" i="141"/>
  <c r="E104" i="141"/>
  <c r="C104" i="141"/>
  <c r="I105" i="141"/>
  <c r="D105" i="141"/>
  <c r="J105" i="141"/>
  <c r="E105" i="141"/>
  <c r="C105" i="141"/>
  <c r="I106" i="141"/>
  <c r="D106" i="141"/>
  <c r="J106" i="141"/>
  <c r="E106" i="141"/>
  <c r="C106" i="141"/>
  <c r="I107" i="141"/>
  <c r="D107" i="141"/>
  <c r="J107" i="141"/>
  <c r="E107" i="141"/>
  <c r="C107" i="141"/>
  <c r="I108" i="141"/>
  <c r="D108" i="141"/>
  <c r="J108" i="141"/>
  <c r="E108" i="141"/>
  <c r="C108" i="141"/>
  <c r="I109" i="141"/>
  <c r="D109" i="141"/>
  <c r="J109" i="141"/>
  <c r="E109" i="141"/>
  <c r="C109" i="141"/>
  <c r="I110" i="141"/>
  <c r="D110" i="141"/>
  <c r="J110" i="141"/>
  <c r="E110" i="141"/>
  <c r="C110" i="141"/>
  <c r="I111" i="141"/>
  <c r="D111" i="141"/>
  <c r="J111" i="141"/>
  <c r="E111" i="141"/>
  <c r="C111" i="141"/>
  <c r="I112" i="141"/>
  <c r="D112" i="141"/>
  <c r="J112" i="141"/>
  <c r="E112" i="141"/>
  <c r="C112" i="141"/>
  <c r="I113" i="141"/>
  <c r="D113" i="141"/>
  <c r="J113" i="141"/>
  <c r="E113" i="141"/>
  <c r="C113" i="141"/>
  <c r="I114" i="141"/>
  <c r="D114" i="141"/>
  <c r="J114" i="141"/>
  <c r="E114" i="141"/>
  <c r="C114" i="141"/>
  <c r="I115" i="141"/>
  <c r="D115" i="141"/>
  <c r="J115" i="141"/>
  <c r="E115" i="141"/>
  <c r="C115" i="141"/>
  <c r="I116" i="141"/>
  <c r="D116" i="141"/>
  <c r="J116" i="141"/>
  <c r="E116" i="141"/>
  <c r="C116" i="141"/>
  <c r="I117" i="141"/>
  <c r="D117" i="141"/>
  <c r="J117" i="141"/>
  <c r="E117" i="141"/>
  <c r="C117" i="141"/>
  <c r="I118" i="141"/>
  <c r="D118" i="141"/>
  <c r="J118" i="141"/>
  <c r="E118" i="141"/>
  <c r="C118" i="141"/>
  <c r="I119" i="141"/>
  <c r="D119" i="141"/>
  <c r="J119" i="141"/>
  <c r="E119" i="141"/>
  <c r="C119" i="141"/>
  <c r="I120" i="141"/>
  <c r="D120" i="141"/>
  <c r="J120" i="141"/>
  <c r="E120" i="141"/>
  <c r="C120" i="141"/>
  <c r="I121" i="141"/>
  <c r="D121" i="141"/>
  <c r="J121" i="141"/>
  <c r="E121" i="141"/>
  <c r="C121" i="141"/>
  <c r="I122" i="141"/>
  <c r="D122" i="141"/>
  <c r="J122" i="141"/>
  <c r="E122" i="141"/>
  <c r="C122" i="141"/>
  <c r="I123" i="141"/>
  <c r="D123" i="141"/>
  <c r="J123" i="141"/>
  <c r="E123" i="141"/>
  <c r="C123" i="141"/>
  <c r="I124" i="141"/>
  <c r="D124" i="141"/>
  <c r="J124" i="141"/>
  <c r="E124" i="141"/>
  <c r="C124" i="141"/>
  <c r="I125" i="141"/>
  <c r="D125" i="141"/>
  <c r="J125" i="141"/>
  <c r="E125" i="141"/>
  <c r="C125" i="141"/>
  <c r="I126" i="141"/>
  <c r="D126" i="141"/>
  <c r="J126" i="141"/>
  <c r="E126" i="141"/>
  <c r="C126" i="141"/>
  <c r="I127" i="141"/>
  <c r="D127" i="141"/>
  <c r="J127" i="141"/>
  <c r="E127" i="141"/>
  <c r="C127" i="141"/>
  <c r="I128" i="141"/>
  <c r="D128" i="141"/>
  <c r="J128" i="141"/>
  <c r="E128" i="141"/>
  <c r="C128" i="141"/>
  <c r="I129" i="141"/>
  <c r="D129" i="141"/>
  <c r="J129" i="141"/>
  <c r="E129" i="141"/>
  <c r="C129" i="141"/>
  <c r="I130" i="141"/>
  <c r="D130" i="141"/>
  <c r="J130" i="141"/>
  <c r="E130" i="141"/>
  <c r="C130" i="141"/>
  <c r="I131" i="141"/>
  <c r="D131" i="141"/>
  <c r="J131" i="141"/>
  <c r="E131" i="141"/>
  <c r="C131" i="141"/>
  <c r="I132" i="141"/>
  <c r="D132" i="141"/>
  <c r="J132" i="141"/>
  <c r="E132" i="141"/>
  <c r="C132" i="141"/>
  <c r="I133" i="141"/>
  <c r="D133" i="141"/>
  <c r="J133" i="141"/>
  <c r="E133" i="141"/>
  <c r="C133" i="141"/>
  <c r="I134" i="141"/>
  <c r="D134" i="141"/>
  <c r="J134" i="141"/>
  <c r="E134" i="141"/>
  <c r="C134" i="141"/>
  <c r="I135" i="141"/>
  <c r="D135" i="141"/>
  <c r="J135" i="141"/>
  <c r="E135" i="141"/>
  <c r="C135" i="141"/>
  <c r="I136" i="141"/>
  <c r="D136" i="141"/>
  <c r="J136" i="141"/>
  <c r="E136" i="141"/>
  <c r="C136" i="141"/>
  <c r="I137" i="141"/>
  <c r="D137" i="141"/>
  <c r="J137" i="141"/>
  <c r="E137" i="141"/>
  <c r="C137" i="141"/>
  <c r="I138" i="141"/>
  <c r="D138" i="141"/>
  <c r="J138" i="141"/>
  <c r="E138" i="141"/>
  <c r="C138" i="141"/>
  <c r="I139" i="141"/>
  <c r="D139" i="141"/>
  <c r="J139" i="141"/>
  <c r="E139" i="141"/>
  <c r="C139" i="141"/>
  <c r="I140" i="141"/>
  <c r="D140" i="141"/>
  <c r="J140" i="141"/>
  <c r="E140" i="141"/>
  <c r="C140" i="141"/>
  <c r="I141" i="141"/>
  <c r="D141" i="141"/>
  <c r="J141" i="141"/>
  <c r="E141" i="141"/>
  <c r="C141" i="141"/>
  <c r="I142" i="141"/>
  <c r="D142" i="141"/>
  <c r="J142" i="141"/>
  <c r="E142" i="141"/>
  <c r="C142" i="141"/>
  <c r="I143" i="141"/>
  <c r="D143" i="141"/>
  <c r="J143" i="141"/>
  <c r="E143" i="141"/>
  <c r="C143" i="141"/>
  <c r="I144" i="141"/>
  <c r="D144" i="141"/>
  <c r="J144" i="141"/>
  <c r="E144" i="141"/>
  <c r="C144" i="141"/>
  <c r="I145" i="141"/>
  <c r="D145" i="141"/>
  <c r="J145" i="141"/>
  <c r="E145" i="141"/>
  <c r="C145" i="141"/>
  <c r="I146" i="141"/>
  <c r="D146" i="141"/>
  <c r="J146" i="141"/>
  <c r="E146" i="141"/>
  <c r="C146" i="141"/>
  <c r="I147" i="141"/>
  <c r="D147" i="141"/>
  <c r="J147" i="141"/>
  <c r="E147" i="141"/>
  <c r="C147" i="141"/>
  <c r="I148" i="141"/>
  <c r="D148" i="141"/>
  <c r="J148" i="141"/>
  <c r="E148" i="141"/>
  <c r="C148" i="141"/>
  <c r="I149" i="141"/>
  <c r="D149" i="141"/>
  <c r="J149" i="141"/>
  <c r="E149" i="141"/>
  <c r="C149" i="141"/>
  <c r="I150" i="141"/>
  <c r="D150" i="141"/>
  <c r="J150" i="141"/>
  <c r="E150" i="141"/>
  <c r="C150" i="141"/>
  <c r="I151" i="141"/>
  <c r="D151" i="141"/>
  <c r="J151" i="141"/>
  <c r="E151" i="141"/>
  <c r="C151" i="141"/>
  <c r="I152" i="141"/>
  <c r="D152" i="141"/>
  <c r="J152" i="141"/>
  <c r="E152" i="141"/>
  <c r="C152" i="141"/>
  <c r="I153" i="141"/>
  <c r="D153" i="141"/>
  <c r="J153" i="141"/>
  <c r="E153" i="141"/>
  <c r="C153" i="141"/>
  <c r="I154" i="141"/>
  <c r="D154" i="141"/>
  <c r="J154" i="141"/>
  <c r="E154" i="141"/>
  <c r="C154" i="141"/>
  <c r="I155" i="141"/>
  <c r="D155" i="141"/>
  <c r="J155" i="141"/>
  <c r="E155" i="141"/>
  <c r="C155" i="141"/>
  <c r="I156" i="141"/>
  <c r="D156" i="141"/>
  <c r="J156" i="141"/>
  <c r="E156" i="141"/>
  <c r="C156" i="141"/>
  <c r="I157" i="141"/>
  <c r="D157" i="141"/>
  <c r="J157" i="141"/>
  <c r="E157" i="141"/>
  <c r="C157" i="141"/>
  <c r="I158" i="141"/>
  <c r="D158" i="141"/>
  <c r="J158" i="141"/>
  <c r="E158" i="141"/>
  <c r="C158" i="141"/>
  <c r="I159" i="141"/>
  <c r="D159" i="141"/>
  <c r="J159" i="141"/>
  <c r="E159" i="141"/>
  <c r="C159" i="141"/>
  <c r="I160" i="141"/>
  <c r="D160" i="141"/>
  <c r="J160" i="141"/>
  <c r="E160" i="141"/>
  <c r="C160" i="141"/>
  <c r="I161" i="141"/>
  <c r="D161" i="141"/>
  <c r="J161" i="141"/>
  <c r="E161" i="141"/>
  <c r="C161" i="141"/>
  <c r="I162" i="141"/>
  <c r="D162" i="141"/>
  <c r="J162" i="141"/>
  <c r="E162" i="141"/>
  <c r="C162" i="141"/>
  <c r="I163" i="141"/>
  <c r="D163" i="141"/>
  <c r="J163" i="141"/>
  <c r="E163" i="141"/>
  <c r="C163" i="141"/>
  <c r="I164" i="141"/>
  <c r="D164" i="141"/>
  <c r="J164" i="141"/>
  <c r="E164" i="141"/>
  <c r="C164" i="141"/>
  <c r="I165" i="141"/>
  <c r="D165" i="141"/>
  <c r="J165" i="141"/>
  <c r="E165" i="141"/>
  <c r="C165" i="141"/>
  <c r="I166" i="141"/>
  <c r="D166" i="141"/>
  <c r="J166" i="141"/>
  <c r="E166" i="141"/>
  <c r="C166" i="141"/>
  <c r="I167" i="141"/>
  <c r="D167" i="141"/>
  <c r="J167" i="141"/>
  <c r="E167" i="141"/>
  <c r="C167" i="141"/>
  <c r="I168" i="141"/>
  <c r="D168" i="141"/>
  <c r="J168" i="141"/>
  <c r="E168" i="141"/>
  <c r="C168" i="141"/>
  <c r="I169" i="141"/>
  <c r="D169" i="141"/>
  <c r="J169" i="141"/>
  <c r="E169" i="141"/>
  <c r="C169" i="141"/>
  <c r="I170" i="141"/>
  <c r="D170" i="141"/>
  <c r="J170" i="141"/>
  <c r="E170" i="141"/>
  <c r="C170" i="141"/>
  <c r="I171" i="141"/>
  <c r="D171" i="141"/>
  <c r="J171" i="141"/>
  <c r="E171" i="141"/>
  <c r="C171" i="141"/>
  <c r="I172" i="141"/>
  <c r="D172" i="141"/>
  <c r="J172" i="141"/>
  <c r="E172" i="141"/>
  <c r="C172" i="141"/>
  <c r="I173" i="141"/>
  <c r="D173" i="141"/>
  <c r="J173" i="141"/>
  <c r="E173" i="141"/>
  <c r="C173" i="141"/>
  <c r="I174" i="141"/>
  <c r="D174" i="141"/>
  <c r="J174" i="141"/>
  <c r="E174" i="141"/>
  <c r="C174" i="141"/>
  <c r="I175" i="141"/>
  <c r="D175" i="141"/>
  <c r="J175" i="141"/>
  <c r="E175" i="141"/>
  <c r="C175" i="141"/>
  <c r="I176" i="141"/>
  <c r="D176" i="141"/>
  <c r="J176" i="141"/>
  <c r="E176" i="141"/>
  <c r="C176" i="141"/>
  <c r="I177" i="141"/>
  <c r="D177" i="141"/>
  <c r="J177" i="141"/>
  <c r="E177" i="141"/>
  <c r="C177" i="141"/>
  <c r="I178" i="141"/>
  <c r="D178" i="141"/>
  <c r="J178" i="141"/>
  <c r="E178" i="141"/>
  <c r="C178" i="141"/>
  <c r="I179" i="141"/>
  <c r="D179" i="141"/>
  <c r="J179" i="141"/>
  <c r="E179" i="141"/>
  <c r="C179" i="141"/>
  <c r="I180" i="141"/>
  <c r="D180" i="141"/>
  <c r="J180" i="141"/>
  <c r="E180" i="141"/>
  <c r="C180" i="141"/>
  <c r="I181" i="141"/>
  <c r="D181" i="141"/>
  <c r="J181" i="141"/>
  <c r="E181" i="141"/>
  <c r="C181" i="141"/>
  <c r="I182" i="141"/>
  <c r="D182" i="141"/>
  <c r="J182" i="141"/>
  <c r="E182" i="141"/>
  <c r="C182" i="141"/>
  <c r="I183" i="141"/>
  <c r="D183" i="141"/>
  <c r="J183" i="141"/>
  <c r="E183" i="141"/>
  <c r="C183" i="141"/>
  <c r="I184" i="141"/>
  <c r="D184" i="141"/>
  <c r="J184" i="141"/>
  <c r="E184" i="141"/>
  <c r="C184" i="141"/>
  <c r="I185" i="141"/>
  <c r="D185" i="141"/>
  <c r="J185" i="141"/>
  <c r="E185" i="141"/>
  <c r="C185" i="141"/>
  <c r="I186" i="141"/>
  <c r="D186" i="141"/>
  <c r="J186" i="141"/>
  <c r="E186" i="141"/>
  <c r="C186" i="141"/>
  <c r="I187" i="141"/>
  <c r="D187" i="141"/>
  <c r="J187" i="141"/>
  <c r="E187" i="141"/>
  <c r="C187" i="141"/>
  <c r="I188" i="141"/>
  <c r="D188" i="141"/>
  <c r="J188" i="141"/>
  <c r="E188" i="141"/>
  <c r="C188" i="141"/>
  <c r="I189" i="141"/>
  <c r="D189" i="141"/>
  <c r="J189" i="141"/>
  <c r="E189" i="141"/>
  <c r="C189" i="141"/>
  <c r="I190" i="141"/>
  <c r="D190" i="141"/>
  <c r="J190" i="141"/>
  <c r="E190" i="141"/>
  <c r="C190" i="141"/>
  <c r="I191" i="141"/>
  <c r="D191" i="141"/>
  <c r="J191" i="141"/>
  <c r="E191" i="141"/>
  <c r="C191" i="141"/>
  <c r="I192" i="141"/>
  <c r="D192" i="141"/>
  <c r="J192" i="141"/>
  <c r="E192" i="141"/>
  <c r="C192" i="141"/>
  <c r="I193" i="141"/>
  <c r="D193" i="141"/>
  <c r="J193" i="141"/>
  <c r="E193" i="141"/>
  <c r="C193" i="141"/>
  <c r="I194" i="141"/>
  <c r="D194" i="141"/>
  <c r="J194" i="141"/>
  <c r="E194" i="141"/>
  <c r="C194" i="141"/>
  <c r="I195" i="141"/>
  <c r="D195" i="141"/>
  <c r="J195" i="141"/>
  <c r="E195" i="141"/>
  <c r="C195" i="141"/>
  <c r="I196" i="141"/>
  <c r="D196" i="141"/>
  <c r="J196" i="141"/>
  <c r="E196" i="141"/>
  <c r="C196" i="141"/>
  <c r="I197" i="141"/>
  <c r="D197" i="141"/>
  <c r="J197" i="141"/>
  <c r="E197" i="141"/>
  <c r="C197" i="141"/>
  <c r="I198" i="141"/>
  <c r="D198" i="141"/>
  <c r="J198" i="141"/>
  <c r="E198" i="141"/>
  <c r="C198" i="141"/>
  <c r="I199" i="141"/>
  <c r="D199" i="141"/>
  <c r="J199" i="141"/>
  <c r="E199" i="141"/>
  <c r="C199" i="141"/>
  <c r="I200" i="141"/>
  <c r="D200" i="141"/>
  <c r="J200" i="141"/>
  <c r="E200" i="141"/>
  <c r="C200" i="141"/>
  <c r="I201" i="141"/>
  <c r="D201" i="141"/>
  <c r="J201" i="141"/>
  <c r="E201" i="141"/>
  <c r="C201" i="141"/>
  <c r="I202" i="141"/>
  <c r="D202" i="141"/>
  <c r="J202" i="141"/>
  <c r="E202" i="141"/>
  <c r="C202" i="141"/>
  <c r="I203" i="141"/>
  <c r="D203" i="141"/>
  <c r="J203" i="141"/>
  <c r="E203" i="141"/>
  <c r="C203" i="141"/>
  <c r="I204" i="141"/>
  <c r="D204" i="141"/>
  <c r="J204" i="141"/>
  <c r="E204" i="141"/>
  <c r="C204" i="141"/>
  <c r="I205" i="141"/>
  <c r="D205" i="141"/>
  <c r="J205" i="141"/>
  <c r="E205" i="141"/>
  <c r="C205" i="141"/>
  <c r="I206" i="141"/>
  <c r="D206" i="141"/>
  <c r="J206" i="141"/>
  <c r="E206" i="141"/>
  <c r="C206" i="141"/>
  <c r="I207" i="141"/>
  <c r="D207" i="141"/>
  <c r="J207" i="141"/>
  <c r="E207" i="141"/>
  <c r="C207" i="141"/>
  <c r="I208" i="141"/>
  <c r="D208" i="141"/>
  <c r="J208" i="141"/>
  <c r="E208" i="141"/>
  <c r="C208" i="141"/>
  <c r="I209" i="141"/>
  <c r="D209" i="141"/>
  <c r="J209" i="141"/>
  <c r="E209" i="141"/>
  <c r="C209" i="141"/>
  <c r="I210" i="141"/>
  <c r="D210" i="141"/>
  <c r="J210" i="141"/>
  <c r="E210" i="141"/>
  <c r="C210" i="141"/>
  <c r="I211" i="141"/>
  <c r="D211" i="141"/>
  <c r="J211" i="141"/>
  <c r="E211" i="141"/>
  <c r="C211" i="141"/>
  <c r="I212" i="141"/>
  <c r="D212" i="141"/>
  <c r="J212" i="141"/>
  <c r="E212" i="141"/>
  <c r="C212" i="141"/>
  <c r="I213" i="141"/>
  <c r="D213" i="141"/>
  <c r="J213" i="141"/>
  <c r="E213" i="141"/>
  <c r="C213" i="141"/>
  <c r="I214" i="141"/>
  <c r="D214" i="141"/>
  <c r="J214" i="141"/>
  <c r="E214" i="141"/>
  <c r="C214" i="141"/>
  <c r="I215" i="141"/>
  <c r="D215" i="141"/>
  <c r="J215" i="141"/>
  <c r="E215" i="141"/>
  <c r="C215" i="141"/>
  <c r="I216" i="141"/>
  <c r="D216" i="141"/>
  <c r="J216" i="141"/>
  <c r="E216" i="141"/>
  <c r="C216" i="141"/>
  <c r="I217" i="141"/>
  <c r="D217" i="141"/>
  <c r="J217" i="141"/>
  <c r="E217" i="141"/>
  <c r="C217" i="141"/>
  <c r="I218" i="141"/>
  <c r="D218" i="141"/>
  <c r="J218" i="141"/>
  <c r="E218" i="141"/>
  <c r="C218" i="141"/>
  <c r="I219" i="141"/>
  <c r="D219" i="141"/>
  <c r="J219" i="141"/>
  <c r="E219" i="141"/>
  <c r="C219" i="141"/>
  <c r="I220" i="141"/>
  <c r="D220" i="141"/>
  <c r="J220" i="141"/>
  <c r="E220" i="141"/>
  <c r="C220" i="141"/>
  <c r="I221" i="141"/>
  <c r="D221" i="141"/>
  <c r="J221" i="141"/>
  <c r="E221" i="141"/>
  <c r="C221" i="141"/>
  <c r="I222" i="141"/>
  <c r="D222" i="141"/>
  <c r="J222" i="141"/>
  <c r="E222" i="141"/>
  <c r="C222" i="141"/>
  <c r="I223" i="141"/>
  <c r="D223" i="141"/>
  <c r="J223" i="141"/>
  <c r="E223" i="141"/>
  <c r="C223" i="141"/>
  <c r="I224" i="141"/>
  <c r="D224" i="141"/>
  <c r="J224" i="141"/>
  <c r="E224" i="141"/>
  <c r="C224" i="141"/>
  <c r="I225" i="141"/>
  <c r="D225" i="141"/>
  <c r="J225" i="141"/>
  <c r="E225" i="141"/>
  <c r="C225" i="141"/>
  <c r="I226" i="141"/>
  <c r="D226" i="141"/>
  <c r="J226" i="141"/>
  <c r="E226" i="141"/>
  <c r="C226" i="141"/>
  <c r="I227" i="141"/>
  <c r="D227" i="141"/>
  <c r="J227" i="141"/>
  <c r="E227" i="141"/>
  <c r="C227" i="141"/>
  <c r="I228" i="141"/>
  <c r="D228" i="141"/>
  <c r="J228" i="141"/>
  <c r="E228" i="141"/>
  <c r="C228" i="141"/>
  <c r="I229" i="141"/>
  <c r="D229" i="141"/>
  <c r="J229" i="141"/>
  <c r="E229" i="141"/>
  <c r="C229" i="141"/>
  <c r="I230" i="141"/>
  <c r="D230" i="141"/>
  <c r="J230" i="141"/>
  <c r="E230" i="141"/>
  <c r="C230" i="141"/>
  <c r="I231" i="141"/>
  <c r="D231" i="141"/>
  <c r="J231" i="141"/>
  <c r="E231" i="141"/>
  <c r="C231" i="141"/>
  <c r="I232" i="141"/>
  <c r="D232" i="141"/>
  <c r="J232" i="141"/>
  <c r="E232" i="141"/>
  <c r="C232" i="141"/>
  <c r="I233" i="141"/>
  <c r="D233" i="141"/>
  <c r="J233" i="141"/>
  <c r="E233" i="141"/>
  <c r="C233" i="141"/>
  <c r="I234" i="141"/>
  <c r="D234" i="141"/>
  <c r="J234" i="141"/>
  <c r="E234" i="141"/>
  <c r="C234" i="141"/>
  <c r="I235" i="141"/>
  <c r="D235" i="141"/>
  <c r="J235" i="141"/>
  <c r="E235" i="141"/>
  <c r="C235" i="141"/>
  <c r="I236" i="141"/>
  <c r="D236" i="141"/>
  <c r="J236" i="141"/>
  <c r="E236" i="141"/>
  <c r="C236" i="141"/>
  <c r="I237" i="141"/>
  <c r="D237" i="141"/>
  <c r="J237" i="141"/>
  <c r="E237" i="141"/>
  <c r="C237" i="141"/>
  <c r="I238" i="141"/>
  <c r="D238" i="141"/>
  <c r="J238" i="141"/>
  <c r="E238" i="141"/>
  <c r="C238" i="141"/>
  <c r="I239" i="141"/>
  <c r="D239" i="141"/>
  <c r="J239" i="141"/>
  <c r="E239" i="141"/>
  <c r="C239" i="141"/>
  <c r="I240" i="141"/>
  <c r="D240" i="141"/>
  <c r="J240" i="141"/>
  <c r="E240" i="141"/>
  <c r="C240" i="141"/>
  <c r="I241" i="141"/>
  <c r="D241" i="141"/>
  <c r="J241" i="141"/>
  <c r="E241" i="141"/>
  <c r="C241" i="141"/>
  <c r="I242" i="141"/>
  <c r="D242" i="141"/>
  <c r="J242" i="141"/>
  <c r="E242" i="141"/>
  <c r="C242" i="141"/>
  <c r="I243" i="141"/>
  <c r="D243" i="141"/>
  <c r="J243" i="141"/>
  <c r="E243" i="141"/>
  <c r="C243" i="141"/>
  <c r="I244" i="141"/>
  <c r="D244" i="141"/>
  <c r="J244" i="141"/>
  <c r="E244" i="141"/>
  <c r="C244" i="141"/>
  <c r="I245" i="141"/>
  <c r="D245" i="141"/>
  <c r="J245" i="141"/>
  <c r="E245" i="141"/>
  <c r="C245" i="141"/>
  <c r="I246" i="141"/>
  <c r="D246" i="141"/>
  <c r="J246" i="141"/>
  <c r="E246" i="141"/>
  <c r="C246" i="141"/>
  <c r="I247" i="141"/>
  <c r="D247" i="141"/>
  <c r="J247" i="141"/>
  <c r="E247" i="141"/>
  <c r="C247" i="141"/>
  <c r="I248" i="141"/>
  <c r="D248" i="141"/>
  <c r="J248" i="141"/>
  <c r="E248" i="141"/>
  <c r="C248" i="141"/>
  <c r="I249" i="141"/>
  <c r="D249" i="141"/>
  <c r="J249" i="141"/>
  <c r="E249" i="141"/>
  <c r="C249" i="141"/>
  <c r="I250" i="141"/>
  <c r="D250" i="141"/>
  <c r="J250" i="141"/>
  <c r="E250" i="141"/>
  <c r="C250" i="141"/>
  <c r="I251" i="141"/>
  <c r="D251" i="141"/>
  <c r="J251" i="141"/>
  <c r="E251" i="141"/>
  <c r="C251" i="141"/>
  <c r="I252" i="141"/>
  <c r="D252" i="141"/>
  <c r="J252" i="141"/>
  <c r="E252" i="141"/>
  <c r="C252" i="141"/>
  <c r="I253" i="141"/>
  <c r="D253" i="141"/>
  <c r="J253" i="141"/>
  <c r="E253" i="141"/>
  <c r="C253" i="141"/>
  <c r="I254" i="141"/>
  <c r="D254" i="141"/>
  <c r="J254" i="141"/>
  <c r="E254" i="141"/>
  <c r="C254" i="141"/>
  <c r="I255" i="141"/>
  <c r="D255" i="141"/>
  <c r="J255" i="141"/>
  <c r="E255" i="141"/>
  <c r="C255" i="141"/>
  <c r="I256" i="141"/>
  <c r="D256" i="141"/>
  <c r="J256" i="141"/>
  <c r="E256" i="141"/>
  <c r="C256" i="141"/>
  <c r="I257" i="141"/>
  <c r="D257" i="141"/>
  <c r="J257" i="141"/>
  <c r="E257" i="141"/>
  <c r="C257" i="141"/>
  <c r="I258" i="141"/>
  <c r="D258" i="141"/>
  <c r="J258" i="141"/>
  <c r="E258" i="141"/>
  <c r="C258" i="141"/>
  <c r="I259" i="141"/>
  <c r="D259" i="141"/>
  <c r="J259" i="141"/>
  <c r="E259" i="141"/>
  <c r="C259" i="141"/>
  <c r="I260" i="141"/>
  <c r="D260" i="141"/>
  <c r="J260" i="141"/>
  <c r="E260" i="141"/>
  <c r="C260" i="141"/>
  <c r="I261" i="141"/>
  <c r="D261" i="141"/>
  <c r="J261" i="141"/>
  <c r="E261" i="141"/>
  <c r="C261" i="141"/>
  <c r="I262" i="141"/>
  <c r="D262" i="141"/>
  <c r="J262" i="141"/>
  <c r="E262" i="141"/>
  <c r="C262" i="141"/>
  <c r="I263" i="141"/>
  <c r="D263" i="141"/>
  <c r="J263" i="141"/>
  <c r="E263" i="141"/>
  <c r="C263" i="141"/>
  <c r="I264" i="141"/>
  <c r="D264" i="141"/>
  <c r="J264" i="141"/>
  <c r="E264" i="141"/>
  <c r="C264" i="141"/>
  <c r="I265" i="141"/>
  <c r="D265" i="141"/>
  <c r="J265" i="141"/>
  <c r="E265" i="141"/>
  <c r="C265" i="141"/>
  <c r="I266" i="141"/>
  <c r="D266" i="141"/>
  <c r="J266" i="141"/>
  <c r="E266" i="141"/>
  <c r="C266" i="141"/>
  <c r="I267" i="141"/>
  <c r="D267" i="141"/>
  <c r="J267" i="141"/>
  <c r="E267" i="141"/>
  <c r="C267" i="141"/>
  <c r="I268" i="141"/>
  <c r="D268" i="141"/>
  <c r="J268" i="141"/>
  <c r="E268" i="141"/>
  <c r="C268" i="141"/>
  <c r="I269" i="141"/>
  <c r="D269" i="141"/>
  <c r="J269" i="141"/>
  <c r="E269" i="141"/>
  <c r="C269" i="141"/>
  <c r="I270" i="141"/>
  <c r="D270" i="141"/>
  <c r="J270" i="141"/>
  <c r="E270" i="141"/>
  <c r="C270" i="141"/>
  <c r="I271" i="141"/>
  <c r="D271" i="141"/>
  <c r="J271" i="141"/>
  <c r="E271" i="141"/>
  <c r="C271" i="141"/>
  <c r="I272" i="141"/>
  <c r="D272" i="141"/>
  <c r="J272" i="141"/>
  <c r="E272" i="141"/>
  <c r="C272" i="141"/>
  <c r="I273" i="141"/>
  <c r="D273" i="141"/>
  <c r="J273" i="141"/>
  <c r="E273" i="141"/>
  <c r="C273" i="141"/>
  <c r="I274" i="141"/>
  <c r="D274" i="141"/>
  <c r="J274" i="141"/>
  <c r="E274" i="141"/>
  <c r="C274" i="141"/>
  <c r="I275" i="141"/>
  <c r="D275" i="141"/>
  <c r="J275" i="141"/>
  <c r="E275" i="141"/>
  <c r="C275" i="141"/>
  <c r="I276" i="141"/>
  <c r="D276" i="141"/>
  <c r="J276" i="141"/>
  <c r="E276" i="141"/>
  <c r="C276" i="141"/>
  <c r="I277" i="141"/>
  <c r="D277" i="141"/>
  <c r="J277" i="141"/>
  <c r="E277" i="141"/>
  <c r="C277" i="141"/>
  <c r="I278" i="141"/>
  <c r="D278" i="141"/>
  <c r="J278" i="141"/>
  <c r="E278" i="141"/>
  <c r="C278" i="141"/>
  <c r="I279" i="141"/>
  <c r="D279" i="141"/>
  <c r="J279" i="141"/>
  <c r="E279" i="141"/>
  <c r="C279" i="141"/>
  <c r="I280" i="141"/>
  <c r="D280" i="141"/>
  <c r="J280" i="141"/>
  <c r="E280" i="141"/>
  <c r="C280" i="141"/>
  <c r="I281" i="141"/>
  <c r="D281" i="141"/>
  <c r="J281" i="141"/>
  <c r="E281" i="141"/>
  <c r="C281" i="141"/>
  <c r="I282" i="141"/>
  <c r="D282" i="141"/>
  <c r="J282" i="141"/>
  <c r="E282" i="141"/>
  <c r="C282" i="141"/>
  <c r="I283" i="141"/>
  <c r="D283" i="141"/>
  <c r="J283" i="141"/>
  <c r="E283" i="141"/>
  <c r="C283" i="141"/>
  <c r="I284" i="141"/>
  <c r="D284" i="141"/>
  <c r="J284" i="141"/>
  <c r="E284" i="141"/>
  <c r="C284" i="141"/>
  <c r="I285" i="141"/>
  <c r="D285" i="141"/>
  <c r="J285" i="141"/>
  <c r="E285" i="141"/>
  <c r="C285" i="141"/>
  <c r="I286" i="141"/>
  <c r="D286" i="141"/>
  <c r="J286" i="141"/>
  <c r="E286" i="141"/>
  <c r="C286" i="141"/>
  <c r="I287" i="141"/>
  <c r="D287" i="141"/>
  <c r="J287" i="141"/>
  <c r="E287" i="141"/>
  <c r="C287" i="141"/>
  <c r="I288" i="141"/>
  <c r="D288" i="141"/>
  <c r="J288" i="141"/>
  <c r="E288" i="141"/>
  <c r="C288" i="141"/>
  <c r="I289" i="141"/>
  <c r="D289" i="141"/>
  <c r="J289" i="141"/>
  <c r="E289" i="141"/>
  <c r="C289" i="141"/>
  <c r="I290" i="141"/>
  <c r="D290" i="141"/>
  <c r="J290" i="141"/>
  <c r="E290" i="141"/>
  <c r="C290" i="141"/>
  <c r="I291" i="141"/>
  <c r="D291" i="141"/>
  <c r="J291" i="141"/>
  <c r="E291" i="141"/>
  <c r="C291" i="141"/>
  <c r="I292" i="141"/>
  <c r="D292" i="141"/>
  <c r="J292" i="141"/>
  <c r="E292" i="141"/>
  <c r="C292" i="141"/>
  <c r="I293" i="141"/>
  <c r="D293" i="141"/>
  <c r="J293" i="141"/>
  <c r="E293" i="141"/>
  <c r="C293" i="141"/>
  <c r="I294" i="141"/>
  <c r="D294" i="141"/>
  <c r="J294" i="141"/>
  <c r="E294" i="141"/>
  <c r="C294" i="141"/>
  <c r="F5" i="140"/>
  <c r="F6" i="140"/>
  <c r="A36" i="140"/>
  <c r="E5" i="140"/>
  <c r="Q3" i="140"/>
  <c r="E26" i="140"/>
  <c r="B26" i="140"/>
  <c r="E28" i="140"/>
  <c r="B28" i="140"/>
  <c r="E29" i="140"/>
  <c r="B29" i="140"/>
  <c r="E6" i="140"/>
  <c r="E21" i="140"/>
  <c r="B21" i="140"/>
  <c r="B23" i="140"/>
  <c r="G23" i="140"/>
  <c r="E23" i="140"/>
  <c r="H23" i="140"/>
  <c r="R3" i="140"/>
  <c r="O295" i="141"/>
  <c r="E19" i="140"/>
  <c r="B19" i="140"/>
  <c r="E24" i="140"/>
  <c r="B24" i="140"/>
  <c r="B17" i="140"/>
  <c r="G17" i="140"/>
  <c r="E17" i="140"/>
  <c r="H17" i="140"/>
  <c r="O2" i="141"/>
  <c r="E18" i="140"/>
  <c r="B18" i="140"/>
  <c r="G18" i="140"/>
  <c r="H18" i="140"/>
  <c r="O3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E25" i="140"/>
  <c r="B25" i="140"/>
  <c r="G25" i="140"/>
  <c r="H25" i="140"/>
  <c r="O43" i="141"/>
  <c r="G26" i="140"/>
  <c r="H26" i="140"/>
  <c r="O44" i="141"/>
  <c r="O45" i="141"/>
  <c r="O46" i="141"/>
  <c r="O47" i="141"/>
  <c r="O48" i="141"/>
  <c r="O49" i="141"/>
  <c r="O50" i="141"/>
  <c r="G19" i="140"/>
  <c r="H19" i="140"/>
  <c r="O51" i="141"/>
  <c r="E20" i="140"/>
  <c r="B20" i="140"/>
  <c r="G20" i="140"/>
  <c r="H20" i="140"/>
  <c r="O52" i="141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O112" i="141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E27" i="140"/>
  <c r="B27" i="140"/>
  <c r="G27" i="140"/>
  <c r="H27" i="140"/>
  <c r="O138" i="141"/>
  <c r="G28" i="140"/>
  <c r="H28" i="140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B22" i="140"/>
  <c r="G22" i="140"/>
  <c r="H22" i="140"/>
  <c r="O256" i="141"/>
  <c r="O257" i="141"/>
  <c r="O258" i="141"/>
  <c r="O259" i="141"/>
  <c r="G29" i="140"/>
  <c r="H29" i="140"/>
  <c r="O260" i="141"/>
  <c r="O261" i="141"/>
  <c r="O262" i="141"/>
  <c r="O263" i="141"/>
  <c r="O264" i="141"/>
  <c r="O265" i="141"/>
  <c r="O266" i="141"/>
  <c r="O267" i="141"/>
  <c r="O268" i="141"/>
  <c r="O269" i="141"/>
  <c r="O270" i="141"/>
  <c r="O271" i="141"/>
  <c r="O272" i="141"/>
  <c r="O273" i="141"/>
  <c r="O274" i="141"/>
  <c r="O275" i="141"/>
  <c r="O276" i="141"/>
  <c r="O277" i="141"/>
  <c r="O278" i="141"/>
  <c r="O279" i="141"/>
  <c r="O280" i="141"/>
  <c r="O281" i="141"/>
  <c r="O282" i="141"/>
  <c r="O283" i="141"/>
  <c r="O284" i="141"/>
  <c r="O285" i="141"/>
  <c r="O286" i="141"/>
  <c r="O287" i="141"/>
  <c r="O288" i="141"/>
  <c r="O289" i="141"/>
  <c r="O290" i="141"/>
  <c r="O291" i="141"/>
  <c r="O292" i="141"/>
  <c r="O293" i="141"/>
  <c r="O294" i="141"/>
  <c r="R4" i="140"/>
  <c r="O296" i="141"/>
  <c r="R5" i="140"/>
  <c r="O297" i="141"/>
  <c r="R6" i="140"/>
  <c r="O298" i="141"/>
  <c r="P295" i="141"/>
  <c r="H296" i="141"/>
  <c r="K296" i="141"/>
  <c r="L296" i="141"/>
  <c r="M296" i="141"/>
  <c r="N296" i="141"/>
  <c r="P296" i="141"/>
  <c r="H297" i="141"/>
  <c r="K297" i="141"/>
  <c r="L297" i="141"/>
  <c r="M297" i="141"/>
  <c r="N297" i="141"/>
  <c r="P297" i="141"/>
  <c r="H298" i="141"/>
  <c r="K298" i="141"/>
  <c r="L298" i="141"/>
  <c r="M298" i="141"/>
  <c r="N298" i="141"/>
  <c r="P298" i="141"/>
  <c r="A2" i="106"/>
  <c r="A295" i="82"/>
  <c r="F295" i="82"/>
  <c r="H295" i="82"/>
  <c r="K295" i="82"/>
  <c r="L295" i="82"/>
  <c r="M295" i="82"/>
  <c r="N295" i="82"/>
  <c r="F296" i="82"/>
  <c r="F297" i="82"/>
  <c r="F298" i="82"/>
  <c r="G29" i="106"/>
  <c r="H29" i="106"/>
  <c r="R3" i="106"/>
  <c r="E26" i="106"/>
  <c r="B26" i="106"/>
  <c r="E28" i="106"/>
  <c r="B28" i="106"/>
  <c r="E21" i="106"/>
  <c r="B21" i="106"/>
  <c r="B23" i="106"/>
  <c r="G23" i="106"/>
  <c r="E23" i="106"/>
  <c r="H23" i="106"/>
  <c r="O295" i="82"/>
  <c r="B5" i="106"/>
  <c r="G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2" i="106"/>
  <c r="G22" i="106"/>
  <c r="H22" i="106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R4" i="106"/>
  <c r="O296" i="82"/>
  <c r="R5" i="106"/>
  <c r="O297" i="82"/>
  <c r="R6" i="106"/>
  <c r="O298" i="82"/>
  <c r="P295" i="82"/>
  <c r="A296" i="82"/>
  <c r="H296" i="82"/>
  <c r="K296" i="82"/>
  <c r="L296" i="82"/>
  <c r="M296" i="82"/>
  <c r="N296" i="82"/>
  <c r="P296" i="82"/>
  <c r="A297" i="82"/>
  <c r="H297" i="82"/>
  <c r="K297" i="82"/>
  <c r="L297" i="82"/>
  <c r="M297" i="82"/>
  <c r="N297" i="82"/>
  <c r="P297" i="82"/>
  <c r="A298" i="82"/>
  <c r="H298" i="82"/>
  <c r="K298" i="82"/>
  <c r="L298" i="82"/>
  <c r="M298" i="82"/>
  <c r="N298" i="82"/>
  <c r="P298" i="82"/>
  <c r="A284" i="141"/>
  <c r="F284" i="141"/>
  <c r="H284" i="141"/>
  <c r="K284" i="141"/>
  <c r="L284" i="141"/>
  <c r="M284" i="141"/>
  <c r="N284" i="141"/>
  <c r="F285" i="141"/>
  <c r="F286" i="141"/>
  <c r="F287" i="141"/>
  <c r="F288" i="141"/>
  <c r="F289" i="141"/>
  <c r="F290" i="141"/>
  <c r="F291" i="141"/>
  <c r="F292" i="141"/>
  <c r="F293" i="141"/>
  <c r="F294" i="141"/>
  <c r="P284" i="141"/>
  <c r="A285" i="141"/>
  <c r="H285" i="141"/>
  <c r="K285" i="141"/>
  <c r="L285" i="141"/>
  <c r="M285" i="141"/>
  <c r="N285" i="141"/>
  <c r="P285" i="141"/>
  <c r="A286" i="141"/>
  <c r="H286" i="141"/>
  <c r="K286" i="141"/>
  <c r="L286" i="141"/>
  <c r="M286" i="141"/>
  <c r="N286" i="141"/>
  <c r="P286" i="141"/>
  <c r="A287" i="141"/>
  <c r="H287" i="141"/>
  <c r="K287" i="141"/>
  <c r="L287" i="141"/>
  <c r="M287" i="141"/>
  <c r="N287" i="141"/>
  <c r="P287" i="141"/>
  <c r="A288" i="141"/>
  <c r="H288" i="141"/>
  <c r="K288" i="141"/>
  <c r="L288" i="141"/>
  <c r="M288" i="141"/>
  <c r="N288" i="141"/>
  <c r="P288" i="141"/>
  <c r="A289" i="141"/>
  <c r="H289" i="141"/>
  <c r="K289" i="141"/>
  <c r="L289" i="141"/>
  <c r="M289" i="141"/>
  <c r="N289" i="141"/>
  <c r="P289" i="141"/>
  <c r="A290" i="141"/>
  <c r="H290" i="141"/>
  <c r="K290" i="141"/>
  <c r="L290" i="141"/>
  <c r="M290" i="141"/>
  <c r="N290" i="141"/>
  <c r="P290" i="141"/>
  <c r="A291" i="141"/>
  <c r="H291" i="141"/>
  <c r="K291" i="141"/>
  <c r="L291" i="141"/>
  <c r="M291" i="141"/>
  <c r="N291" i="141"/>
  <c r="P291" i="141"/>
  <c r="A292" i="141"/>
  <c r="H292" i="141"/>
  <c r="K292" i="141"/>
  <c r="L292" i="141"/>
  <c r="M292" i="141"/>
  <c r="N292" i="141"/>
  <c r="P292" i="141"/>
  <c r="A293" i="141"/>
  <c r="H293" i="141"/>
  <c r="K293" i="141"/>
  <c r="L293" i="141"/>
  <c r="M293" i="141"/>
  <c r="N293" i="141"/>
  <c r="P293" i="141"/>
  <c r="A294" i="141"/>
  <c r="H294" i="141"/>
  <c r="K294" i="141"/>
  <c r="L294" i="141"/>
  <c r="M294" i="141"/>
  <c r="N294" i="141"/>
  <c r="P294" i="141"/>
  <c r="A283" i="141"/>
  <c r="A290" i="82"/>
  <c r="F290" i="82"/>
  <c r="H290" i="82"/>
  <c r="K290" i="82"/>
  <c r="L290" i="82"/>
  <c r="M290" i="82"/>
  <c r="N290" i="82"/>
  <c r="F291" i="82"/>
  <c r="F292" i="82"/>
  <c r="F293" i="82"/>
  <c r="F294" i="82"/>
  <c r="P290" i="82"/>
  <c r="A291" i="82"/>
  <c r="H291" i="82"/>
  <c r="K291" i="82"/>
  <c r="L291" i="82"/>
  <c r="M291" i="82"/>
  <c r="N291" i="82"/>
  <c r="P291" i="82"/>
  <c r="A292" i="82"/>
  <c r="H292" i="82"/>
  <c r="K292" i="82"/>
  <c r="L292" i="82"/>
  <c r="M292" i="82"/>
  <c r="N292" i="82"/>
  <c r="P292" i="82"/>
  <c r="A293" i="82"/>
  <c r="H293" i="82"/>
  <c r="K293" i="82"/>
  <c r="L293" i="82"/>
  <c r="M293" i="82"/>
  <c r="N293" i="82"/>
  <c r="P293" i="82"/>
  <c r="A294" i="82"/>
  <c r="H294" i="82"/>
  <c r="K294" i="82"/>
  <c r="L294" i="82"/>
  <c r="M294" i="82"/>
  <c r="N294" i="82"/>
  <c r="P294" i="82"/>
  <c r="A284" i="82"/>
  <c r="F284" i="82"/>
  <c r="H284" i="82"/>
  <c r="K284" i="82"/>
  <c r="L284" i="82"/>
  <c r="M284" i="82"/>
  <c r="N284" i="82"/>
  <c r="F285" i="82"/>
  <c r="F286" i="82"/>
  <c r="F287" i="82"/>
  <c r="F288" i="82"/>
  <c r="F289" i="82"/>
  <c r="P284" i="82"/>
  <c r="A285" i="82"/>
  <c r="H285" i="82"/>
  <c r="K285" i="82"/>
  <c r="L285" i="82"/>
  <c r="M285" i="82"/>
  <c r="N285" i="82"/>
  <c r="P285" i="82"/>
  <c r="A286" i="82"/>
  <c r="H286" i="82"/>
  <c r="K286" i="82"/>
  <c r="L286" i="82"/>
  <c r="M286" i="82"/>
  <c r="N286" i="82"/>
  <c r="P286" i="82"/>
  <c r="A287" i="82"/>
  <c r="H287" i="82"/>
  <c r="K287" i="82"/>
  <c r="L287" i="82"/>
  <c r="M287" i="82"/>
  <c r="N287" i="82"/>
  <c r="P287" i="82"/>
  <c r="A288" i="82"/>
  <c r="H288" i="82"/>
  <c r="K288" i="82"/>
  <c r="L288" i="82"/>
  <c r="M288" i="82"/>
  <c r="N288" i="82"/>
  <c r="P288" i="82"/>
  <c r="A289" i="82"/>
  <c r="H289" i="82"/>
  <c r="K289" i="82"/>
  <c r="L289" i="82"/>
  <c r="M289" i="82"/>
  <c r="N289" i="82"/>
  <c r="P289" i="82"/>
  <c r="P263" i="141"/>
  <c r="B6" i="140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" i="141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73" i="141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32" i="141"/>
  <c r="F33" i="141"/>
  <c r="F34" i="141"/>
  <c r="F35" i="141"/>
  <c r="F36" i="141"/>
  <c r="F37" i="141"/>
  <c r="F38" i="141"/>
  <c r="F39" i="141"/>
  <c r="F40" i="141"/>
  <c r="F41" i="141"/>
  <c r="F42" i="141"/>
  <c r="F43" i="141"/>
  <c r="F44" i="141"/>
  <c r="F45" i="141"/>
  <c r="F46" i="141"/>
  <c r="F47" i="141"/>
  <c r="F48" i="141"/>
  <c r="F49" i="141"/>
  <c r="F50" i="141"/>
  <c r="F51" i="141"/>
  <c r="F52" i="141"/>
  <c r="F53" i="141"/>
  <c r="F54" i="141"/>
  <c r="F55" i="141"/>
  <c r="F56" i="141"/>
  <c r="F57" i="141"/>
  <c r="F58" i="141"/>
  <c r="F59" i="141"/>
  <c r="F60" i="141"/>
  <c r="F61" i="141"/>
  <c r="F62" i="141"/>
  <c r="F63" i="141"/>
  <c r="F64" i="141"/>
  <c r="F65" i="141"/>
  <c r="F66" i="141"/>
  <c r="F67" i="141"/>
  <c r="F68" i="141"/>
  <c r="F69" i="141"/>
  <c r="F70" i="141"/>
  <c r="F71" i="141"/>
  <c r="F72" i="141"/>
  <c r="F73" i="141"/>
  <c r="F74" i="141"/>
  <c r="F75" i="141"/>
  <c r="F76" i="141"/>
  <c r="F77" i="141"/>
  <c r="F78" i="141"/>
  <c r="F79" i="141"/>
  <c r="F80" i="141"/>
  <c r="F81" i="141"/>
  <c r="F82" i="141"/>
  <c r="F83" i="141"/>
  <c r="F84" i="141"/>
  <c r="F85" i="141"/>
  <c r="F86" i="141"/>
  <c r="F87" i="141"/>
  <c r="F88" i="141"/>
  <c r="F89" i="141"/>
  <c r="F90" i="141"/>
  <c r="F91" i="141"/>
  <c r="F92" i="141"/>
  <c r="F93" i="141"/>
  <c r="F94" i="141"/>
  <c r="F95" i="141"/>
  <c r="F96" i="141"/>
  <c r="F97" i="141"/>
  <c r="F98" i="141"/>
  <c r="F99" i="141"/>
  <c r="F100" i="141"/>
  <c r="F101" i="141"/>
  <c r="F102" i="141"/>
  <c r="F103" i="141"/>
  <c r="F104" i="141"/>
  <c r="F105" i="141"/>
  <c r="F106" i="141"/>
  <c r="F107" i="141"/>
  <c r="F108" i="141"/>
  <c r="F109" i="141"/>
  <c r="F110" i="141"/>
  <c r="F111" i="141"/>
  <c r="F112" i="141"/>
  <c r="F113" i="141"/>
  <c r="F114" i="141"/>
  <c r="F115" i="141"/>
  <c r="F116" i="141"/>
  <c r="F117" i="141"/>
  <c r="F118" i="141"/>
  <c r="F119" i="141"/>
  <c r="F120" i="141"/>
  <c r="F121" i="141"/>
  <c r="F122" i="141"/>
  <c r="F123" i="141"/>
  <c r="F124" i="141"/>
  <c r="F125" i="141"/>
  <c r="F126" i="141"/>
  <c r="F127" i="141"/>
  <c r="F128" i="141"/>
  <c r="F129" i="141"/>
  <c r="F130" i="141"/>
  <c r="F131" i="141"/>
  <c r="F132" i="141"/>
  <c r="F133" i="141"/>
  <c r="F134" i="141"/>
  <c r="F135" i="141"/>
  <c r="F136" i="141"/>
  <c r="F137" i="141"/>
  <c r="F138" i="141"/>
  <c r="F139" i="141"/>
  <c r="F140" i="141"/>
  <c r="F141" i="141"/>
  <c r="F142" i="141"/>
  <c r="F143" i="141"/>
  <c r="F144" i="141"/>
  <c r="F145" i="141"/>
  <c r="F146" i="141"/>
  <c r="F147" i="141"/>
  <c r="F148" i="141"/>
  <c r="F149" i="141"/>
  <c r="F150" i="141"/>
  <c r="F151" i="141"/>
  <c r="F152" i="141"/>
  <c r="F153" i="141"/>
  <c r="F154" i="141"/>
  <c r="F155" i="141"/>
  <c r="F156" i="141"/>
  <c r="F157" i="141"/>
  <c r="F158" i="141"/>
  <c r="F159" i="141"/>
  <c r="F160" i="141"/>
  <c r="F161" i="141"/>
  <c r="F162" i="141"/>
  <c r="F163" i="141"/>
  <c r="F164" i="141"/>
  <c r="F165" i="141"/>
  <c r="F166" i="141"/>
  <c r="F167" i="141"/>
  <c r="F168" i="141"/>
  <c r="F169" i="141"/>
  <c r="F170" i="141"/>
  <c r="F171" i="141"/>
  <c r="F172" i="141"/>
  <c r="F173" i="141"/>
  <c r="F174" i="141"/>
  <c r="F175" i="141"/>
  <c r="F176" i="141"/>
  <c r="F177" i="141"/>
  <c r="F178" i="141"/>
  <c r="F179" i="141"/>
  <c r="F180" i="141"/>
  <c r="F181" i="141"/>
  <c r="F182" i="141"/>
  <c r="F183" i="141"/>
  <c r="F184" i="141"/>
  <c r="F185" i="141"/>
  <c r="F186" i="141"/>
  <c r="F187" i="141"/>
  <c r="F188" i="141"/>
  <c r="F189" i="141"/>
  <c r="F190" i="141"/>
  <c r="F191" i="141"/>
  <c r="F192" i="141"/>
  <c r="F193" i="141"/>
  <c r="F194" i="141"/>
  <c r="F195" i="141"/>
  <c r="F196" i="141"/>
  <c r="F197" i="141"/>
  <c r="F198" i="141"/>
  <c r="F199" i="141"/>
  <c r="F200" i="141"/>
  <c r="F201" i="141"/>
  <c r="F202" i="141"/>
  <c r="F203" i="141"/>
  <c r="F204" i="141"/>
  <c r="F205" i="141"/>
  <c r="F206" i="141"/>
  <c r="F207" i="141"/>
  <c r="F208" i="141"/>
  <c r="F209" i="141"/>
  <c r="F210" i="141"/>
  <c r="F211" i="141"/>
  <c r="F212" i="141"/>
  <c r="F213" i="141"/>
  <c r="F214" i="141"/>
  <c r="F215" i="141"/>
  <c r="F216" i="141"/>
  <c r="F217" i="141"/>
  <c r="F218" i="141"/>
  <c r="F219" i="141"/>
  <c r="F220" i="141"/>
  <c r="F221" i="141"/>
  <c r="F222" i="141"/>
  <c r="F223" i="141"/>
  <c r="F224" i="141"/>
  <c r="F225" i="141"/>
  <c r="F226" i="141"/>
  <c r="F227" i="141"/>
  <c r="F228" i="141"/>
  <c r="F229" i="141"/>
  <c r="F230" i="141"/>
  <c r="F231" i="141"/>
  <c r="F232" i="141"/>
  <c r="F233" i="141"/>
  <c r="F234" i="141"/>
  <c r="F235" i="141"/>
  <c r="F236" i="141"/>
  <c r="F237" i="141"/>
  <c r="F238" i="141"/>
  <c r="F239" i="141"/>
  <c r="F240" i="141"/>
  <c r="F241" i="141"/>
  <c r="F242" i="141"/>
  <c r="F243" i="141"/>
  <c r="F244" i="141"/>
  <c r="F245" i="141"/>
  <c r="F246" i="141"/>
  <c r="F247" i="141"/>
  <c r="F248" i="141"/>
  <c r="F249" i="141"/>
  <c r="F250" i="141"/>
  <c r="F251" i="141"/>
  <c r="F252" i="141"/>
  <c r="F253" i="141"/>
  <c r="F254" i="141"/>
  <c r="F255" i="141"/>
  <c r="F256" i="141"/>
  <c r="F257" i="141"/>
  <c r="F258" i="141"/>
  <c r="F259" i="141"/>
  <c r="F260" i="141"/>
  <c r="F261" i="141"/>
  <c r="F262" i="141"/>
  <c r="F263" i="141"/>
  <c r="F264" i="141"/>
  <c r="F265" i="141"/>
  <c r="F266" i="141"/>
  <c r="F267" i="141"/>
  <c r="F268" i="141"/>
  <c r="F269" i="141"/>
  <c r="F270" i="141"/>
  <c r="F271" i="141"/>
  <c r="F272" i="141"/>
  <c r="F274" i="141"/>
  <c r="F275" i="141"/>
  <c r="F276" i="141"/>
  <c r="F277" i="141"/>
  <c r="F278" i="141"/>
  <c r="F279" i="141"/>
  <c r="F280" i="141"/>
  <c r="F281" i="141"/>
  <c r="F282" i="141"/>
  <c r="F283" i="141"/>
  <c r="P283" i="141"/>
  <c r="N283" i="141"/>
  <c r="M283" i="141"/>
  <c r="L283" i="141"/>
  <c r="K283" i="141"/>
  <c r="H283" i="141"/>
  <c r="P282" i="141"/>
  <c r="N282" i="141"/>
  <c r="M282" i="141"/>
  <c r="L282" i="141"/>
  <c r="K282" i="141"/>
  <c r="H282" i="141"/>
  <c r="P281" i="141"/>
  <c r="N281" i="141"/>
  <c r="M281" i="141"/>
  <c r="L281" i="141"/>
  <c r="K281" i="141"/>
  <c r="H281" i="141"/>
  <c r="P280" i="141"/>
  <c r="N280" i="141"/>
  <c r="M280" i="141"/>
  <c r="L280" i="141"/>
  <c r="K280" i="141"/>
  <c r="H280" i="141"/>
  <c r="P279" i="141"/>
  <c r="N279" i="141"/>
  <c r="M279" i="141"/>
  <c r="L279" i="141"/>
  <c r="K279" i="141"/>
  <c r="H279" i="141"/>
  <c r="P278" i="141"/>
  <c r="N278" i="141"/>
  <c r="M278" i="141"/>
  <c r="L278" i="141"/>
  <c r="K278" i="141"/>
  <c r="H278" i="141"/>
  <c r="P277" i="141"/>
  <c r="N277" i="141"/>
  <c r="M277" i="141"/>
  <c r="L277" i="141"/>
  <c r="K277" i="141"/>
  <c r="H277" i="141"/>
  <c r="P276" i="141"/>
  <c r="N276" i="141"/>
  <c r="M276" i="141"/>
  <c r="L276" i="141"/>
  <c r="K276" i="141"/>
  <c r="H276" i="141"/>
  <c r="P275" i="141"/>
  <c r="N275" i="141"/>
  <c r="M275" i="141"/>
  <c r="L275" i="141"/>
  <c r="K275" i="141"/>
  <c r="H275" i="141"/>
  <c r="P274" i="141"/>
  <c r="N274" i="141"/>
  <c r="M274" i="141"/>
  <c r="L274" i="141"/>
  <c r="K274" i="141"/>
  <c r="H274" i="141"/>
  <c r="P273" i="141"/>
  <c r="N273" i="141"/>
  <c r="M273" i="141"/>
  <c r="L273" i="141"/>
  <c r="K273" i="141"/>
  <c r="H273" i="141"/>
  <c r="P272" i="141"/>
  <c r="N272" i="141"/>
  <c r="M272" i="141"/>
  <c r="L272" i="141"/>
  <c r="K272" i="141"/>
  <c r="H272" i="141"/>
  <c r="P271" i="141"/>
  <c r="N271" i="141"/>
  <c r="M271" i="141"/>
  <c r="L271" i="141"/>
  <c r="K271" i="141"/>
  <c r="H271" i="141"/>
  <c r="P270" i="141"/>
  <c r="N270" i="141"/>
  <c r="M270" i="141"/>
  <c r="L270" i="141"/>
  <c r="K270" i="141"/>
  <c r="H270" i="141"/>
  <c r="P269" i="141"/>
  <c r="N269" i="141"/>
  <c r="M269" i="141"/>
  <c r="L269" i="141"/>
  <c r="K269" i="141"/>
  <c r="H269" i="141"/>
  <c r="P268" i="141"/>
  <c r="N268" i="141"/>
  <c r="M268" i="141"/>
  <c r="L268" i="141"/>
  <c r="K268" i="141"/>
  <c r="H268" i="141"/>
  <c r="P267" i="141"/>
  <c r="N267" i="141"/>
  <c r="M267" i="141"/>
  <c r="L267" i="141"/>
  <c r="K267" i="141"/>
  <c r="H267" i="141"/>
  <c r="P266" i="141"/>
  <c r="N266" i="141"/>
  <c r="M266" i="141"/>
  <c r="L266" i="141"/>
  <c r="K266" i="141"/>
  <c r="H266" i="141"/>
  <c r="P265" i="141"/>
  <c r="N265" i="141"/>
  <c r="M265" i="141"/>
  <c r="L265" i="141"/>
  <c r="K265" i="141"/>
  <c r="H265" i="141"/>
  <c r="P264" i="141"/>
  <c r="N264" i="141"/>
  <c r="M264" i="141"/>
  <c r="L264" i="141"/>
  <c r="K264" i="141"/>
  <c r="H264" i="141"/>
  <c r="N263" i="141"/>
  <c r="M263" i="141"/>
  <c r="L263" i="141"/>
  <c r="K263" i="141"/>
  <c r="H263" i="141"/>
  <c r="P262" i="141"/>
  <c r="N262" i="141"/>
  <c r="M262" i="141"/>
  <c r="L262" i="141"/>
  <c r="K262" i="141"/>
  <c r="H262" i="141"/>
  <c r="P261" i="141"/>
  <c r="N261" i="141"/>
  <c r="M261" i="141"/>
  <c r="L261" i="141"/>
  <c r="K261" i="141"/>
  <c r="H261" i="141"/>
  <c r="P260" i="141"/>
  <c r="N260" i="141"/>
  <c r="M260" i="141"/>
  <c r="L260" i="141"/>
  <c r="K260" i="141"/>
  <c r="H260" i="141"/>
  <c r="P259" i="141"/>
  <c r="N259" i="141"/>
  <c r="M259" i="141"/>
  <c r="L259" i="141"/>
  <c r="K259" i="141"/>
  <c r="H259" i="141"/>
  <c r="P258" i="141"/>
  <c r="N258" i="141"/>
  <c r="M258" i="141"/>
  <c r="L258" i="141"/>
  <c r="K258" i="141"/>
  <c r="H258" i="141"/>
  <c r="P257" i="141"/>
  <c r="N257" i="141"/>
  <c r="M257" i="141"/>
  <c r="L257" i="141"/>
  <c r="K257" i="141"/>
  <c r="H257" i="141"/>
  <c r="P256" i="141"/>
  <c r="N256" i="141"/>
  <c r="M256" i="141"/>
  <c r="L256" i="141"/>
  <c r="K256" i="141"/>
  <c r="H256" i="141"/>
  <c r="P255" i="141"/>
  <c r="N255" i="141"/>
  <c r="M255" i="141"/>
  <c r="L255" i="141"/>
  <c r="K255" i="141"/>
  <c r="H255" i="141"/>
  <c r="P254" i="141"/>
  <c r="N254" i="141"/>
  <c r="M254" i="141"/>
  <c r="L254" i="141"/>
  <c r="K254" i="141"/>
  <c r="H254" i="141"/>
  <c r="P253" i="141"/>
  <c r="N253" i="141"/>
  <c r="M253" i="141"/>
  <c r="L253" i="141"/>
  <c r="K253" i="141"/>
  <c r="H253" i="141"/>
  <c r="P252" i="141"/>
  <c r="N252" i="141"/>
  <c r="M252" i="141"/>
  <c r="L252" i="141"/>
  <c r="K252" i="141"/>
  <c r="H252" i="141"/>
  <c r="P251" i="141"/>
  <c r="N251" i="141"/>
  <c r="M251" i="141"/>
  <c r="L251" i="141"/>
  <c r="K251" i="141"/>
  <c r="H251" i="141"/>
  <c r="P250" i="141"/>
  <c r="N250" i="141"/>
  <c r="M250" i="141"/>
  <c r="L250" i="141"/>
  <c r="K250" i="141"/>
  <c r="H250" i="141"/>
  <c r="P249" i="141"/>
  <c r="N249" i="141"/>
  <c r="M249" i="141"/>
  <c r="L249" i="141"/>
  <c r="K249" i="141"/>
  <c r="H249" i="141"/>
  <c r="P248" i="141"/>
  <c r="N248" i="141"/>
  <c r="M248" i="141"/>
  <c r="L248" i="141"/>
  <c r="K248" i="141"/>
  <c r="H248" i="141"/>
  <c r="P247" i="141"/>
  <c r="N247" i="141"/>
  <c r="M247" i="141"/>
  <c r="L247" i="141"/>
  <c r="K247" i="141"/>
  <c r="H247" i="141"/>
  <c r="P246" i="141"/>
  <c r="N246" i="141"/>
  <c r="M246" i="141"/>
  <c r="L246" i="141"/>
  <c r="K246" i="141"/>
  <c r="H246" i="141"/>
  <c r="P245" i="141"/>
  <c r="N245" i="141"/>
  <c r="M245" i="141"/>
  <c r="L245" i="141"/>
  <c r="K245" i="141"/>
  <c r="H245" i="141"/>
  <c r="P244" i="141"/>
  <c r="N244" i="141"/>
  <c r="M244" i="141"/>
  <c r="L244" i="141"/>
  <c r="K244" i="141"/>
  <c r="H244" i="141"/>
  <c r="P243" i="141"/>
  <c r="N243" i="141"/>
  <c r="M243" i="141"/>
  <c r="L243" i="141"/>
  <c r="K243" i="141"/>
  <c r="H243" i="141"/>
  <c r="P242" i="141"/>
  <c r="N242" i="141"/>
  <c r="M242" i="141"/>
  <c r="L242" i="141"/>
  <c r="K242" i="141"/>
  <c r="H242" i="141"/>
  <c r="P241" i="141"/>
  <c r="N241" i="141"/>
  <c r="M241" i="141"/>
  <c r="L241" i="141"/>
  <c r="K241" i="141"/>
  <c r="H241" i="141"/>
  <c r="P240" i="141"/>
  <c r="N240" i="141"/>
  <c r="M240" i="141"/>
  <c r="L240" i="141"/>
  <c r="K240" i="141"/>
  <c r="H240" i="141"/>
  <c r="P239" i="141"/>
  <c r="N239" i="141"/>
  <c r="M239" i="141"/>
  <c r="L239" i="141"/>
  <c r="K239" i="141"/>
  <c r="H239" i="141"/>
  <c r="P238" i="141"/>
  <c r="N238" i="141"/>
  <c r="M238" i="141"/>
  <c r="L238" i="141"/>
  <c r="K238" i="141"/>
  <c r="H238" i="141"/>
  <c r="P237" i="141"/>
  <c r="N237" i="141"/>
  <c r="M237" i="141"/>
  <c r="L237" i="141"/>
  <c r="K237" i="141"/>
  <c r="H237" i="141"/>
  <c r="P236" i="141"/>
  <c r="N236" i="141"/>
  <c r="M236" i="141"/>
  <c r="L236" i="141"/>
  <c r="K236" i="141"/>
  <c r="H236" i="141"/>
  <c r="P235" i="141"/>
  <c r="N235" i="141"/>
  <c r="M235" i="141"/>
  <c r="L235" i="141"/>
  <c r="K235" i="141"/>
  <c r="H235" i="141"/>
  <c r="P234" i="141"/>
  <c r="N234" i="141"/>
  <c r="M234" i="141"/>
  <c r="L234" i="141"/>
  <c r="K234" i="141"/>
  <c r="H234" i="141"/>
  <c r="P233" i="141"/>
  <c r="N233" i="141"/>
  <c r="M233" i="141"/>
  <c r="L233" i="141"/>
  <c r="K233" i="141"/>
  <c r="H233" i="141"/>
  <c r="P232" i="141"/>
  <c r="N232" i="141"/>
  <c r="M232" i="141"/>
  <c r="L232" i="141"/>
  <c r="K232" i="141"/>
  <c r="H232" i="141"/>
  <c r="P231" i="141"/>
  <c r="N231" i="141"/>
  <c r="M231" i="141"/>
  <c r="L231" i="141"/>
  <c r="K231" i="141"/>
  <c r="H231" i="141"/>
  <c r="P230" i="141"/>
  <c r="N230" i="141"/>
  <c r="M230" i="141"/>
  <c r="L230" i="141"/>
  <c r="K230" i="141"/>
  <c r="H230" i="141"/>
  <c r="P229" i="141"/>
  <c r="N229" i="141"/>
  <c r="M229" i="141"/>
  <c r="L229" i="141"/>
  <c r="K229" i="141"/>
  <c r="H229" i="141"/>
  <c r="P228" i="141"/>
  <c r="N228" i="141"/>
  <c r="M228" i="141"/>
  <c r="L228" i="141"/>
  <c r="K228" i="141"/>
  <c r="H228" i="141"/>
  <c r="P227" i="141"/>
  <c r="N227" i="141"/>
  <c r="M227" i="141"/>
  <c r="L227" i="141"/>
  <c r="K227" i="141"/>
  <c r="H227" i="141"/>
  <c r="P226" i="141"/>
  <c r="N226" i="141"/>
  <c r="M226" i="141"/>
  <c r="L226" i="141"/>
  <c r="K226" i="141"/>
  <c r="H226" i="141"/>
  <c r="P225" i="141"/>
  <c r="N225" i="141"/>
  <c r="M225" i="141"/>
  <c r="L225" i="141"/>
  <c r="K225" i="141"/>
  <c r="H225" i="141"/>
  <c r="P224" i="141"/>
  <c r="N224" i="141"/>
  <c r="M224" i="141"/>
  <c r="L224" i="141"/>
  <c r="K224" i="141"/>
  <c r="H224" i="141"/>
  <c r="P223" i="141"/>
  <c r="N223" i="141"/>
  <c r="M223" i="141"/>
  <c r="L223" i="141"/>
  <c r="K223" i="141"/>
  <c r="H223" i="141"/>
  <c r="P222" i="141"/>
  <c r="N222" i="141"/>
  <c r="M222" i="141"/>
  <c r="L222" i="141"/>
  <c r="K222" i="141"/>
  <c r="H222" i="141"/>
  <c r="P221" i="141"/>
  <c r="N221" i="141"/>
  <c r="M221" i="141"/>
  <c r="L221" i="141"/>
  <c r="K221" i="141"/>
  <c r="H221" i="141"/>
  <c r="P220" i="141"/>
  <c r="N220" i="141"/>
  <c r="M220" i="141"/>
  <c r="L220" i="141"/>
  <c r="K220" i="141"/>
  <c r="H220" i="141"/>
  <c r="P219" i="141"/>
  <c r="N219" i="141"/>
  <c r="M219" i="141"/>
  <c r="L219" i="141"/>
  <c r="K219" i="141"/>
  <c r="H219" i="141"/>
  <c r="P218" i="141"/>
  <c r="N218" i="141"/>
  <c r="M218" i="141"/>
  <c r="L218" i="141"/>
  <c r="K218" i="141"/>
  <c r="H218" i="141"/>
  <c r="P217" i="141"/>
  <c r="N217" i="141"/>
  <c r="M217" i="141"/>
  <c r="L217" i="141"/>
  <c r="K217" i="141"/>
  <c r="H217" i="141"/>
  <c r="P216" i="141"/>
  <c r="N216" i="141"/>
  <c r="M216" i="141"/>
  <c r="L216" i="141"/>
  <c r="K216" i="141"/>
  <c r="H216" i="141"/>
  <c r="P215" i="141"/>
  <c r="N215" i="141"/>
  <c r="M215" i="141"/>
  <c r="L215" i="141"/>
  <c r="K215" i="141"/>
  <c r="H215" i="141"/>
  <c r="P214" i="141"/>
  <c r="N214" i="141"/>
  <c r="M214" i="141"/>
  <c r="L214" i="141"/>
  <c r="K214" i="141"/>
  <c r="H214" i="141"/>
  <c r="P213" i="141"/>
  <c r="N213" i="141"/>
  <c r="M213" i="141"/>
  <c r="L213" i="141"/>
  <c r="K213" i="141"/>
  <c r="H213" i="141"/>
  <c r="P212" i="141"/>
  <c r="N212" i="141"/>
  <c r="M212" i="141"/>
  <c r="L212" i="141"/>
  <c r="K212" i="141"/>
  <c r="H212" i="141"/>
  <c r="P211" i="141"/>
  <c r="N211" i="141"/>
  <c r="M211" i="141"/>
  <c r="L211" i="141"/>
  <c r="K211" i="141"/>
  <c r="H211" i="141"/>
  <c r="P210" i="141"/>
  <c r="N210" i="141"/>
  <c r="M210" i="141"/>
  <c r="L210" i="141"/>
  <c r="K210" i="141"/>
  <c r="H210" i="141"/>
  <c r="P209" i="141"/>
  <c r="N209" i="141"/>
  <c r="M209" i="141"/>
  <c r="L209" i="141"/>
  <c r="K209" i="141"/>
  <c r="H209" i="141"/>
  <c r="P208" i="141"/>
  <c r="N208" i="141"/>
  <c r="M208" i="141"/>
  <c r="L208" i="141"/>
  <c r="K208" i="141"/>
  <c r="H208" i="141"/>
  <c r="P207" i="141"/>
  <c r="N207" i="141"/>
  <c r="M207" i="141"/>
  <c r="L207" i="141"/>
  <c r="K207" i="141"/>
  <c r="H207" i="141"/>
  <c r="P206" i="141"/>
  <c r="N206" i="141"/>
  <c r="M206" i="141"/>
  <c r="L206" i="141"/>
  <c r="K206" i="141"/>
  <c r="H206" i="141"/>
  <c r="P205" i="141"/>
  <c r="N205" i="141"/>
  <c r="M205" i="141"/>
  <c r="L205" i="141"/>
  <c r="K205" i="141"/>
  <c r="H205" i="141"/>
  <c r="P204" i="141"/>
  <c r="N204" i="141"/>
  <c r="M204" i="141"/>
  <c r="L204" i="141"/>
  <c r="K204" i="141"/>
  <c r="H204" i="141"/>
  <c r="P203" i="141"/>
  <c r="N203" i="141"/>
  <c r="M203" i="141"/>
  <c r="L203" i="141"/>
  <c r="K203" i="141"/>
  <c r="H203" i="141"/>
  <c r="P202" i="141"/>
  <c r="N202" i="141"/>
  <c r="M202" i="141"/>
  <c r="L202" i="141"/>
  <c r="K202" i="141"/>
  <c r="H202" i="141"/>
  <c r="P201" i="141"/>
  <c r="N201" i="141"/>
  <c r="M201" i="141"/>
  <c r="L201" i="141"/>
  <c r="K201" i="141"/>
  <c r="H201" i="141"/>
  <c r="P200" i="141"/>
  <c r="N200" i="141"/>
  <c r="M200" i="141"/>
  <c r="L200" i="141"/>
  <c r="K200" i="141"/>
  <c r="H200" i="141"/>
  <c r="P199" i="141"/>
  <c r="N199" i="141"/>
  <c r="M199" i="141"/>
  <c r="L199" i="141"/>
  <c r="K199" i="141"/>
  <c r="H199" i="141"/>
  <c r="P198" i="141"/>
  <c r="N198" i="141"/>
  <c r="M198" i="141"/>
  <c r="L198" i="141"/>
  <c r="K198" i="141"/>
  <c r="H198" i="141"/>
  <c r="P197" i="141"/>
  <c r="N197" i="141"/>
  <c r="M197" i="141"/>
  <c r="L197" i="141"/>
  <c r="K197" i="141"/>
  <c r="H197" i="141"/>
  <c r="P196" i="141"/>
  <c r="N196" i="141"/>
  <c r="M196" i="141"/>
  <c r="L196" i="141"/>
  <c r="K196" i="141"/>
  <c r="H196" i="141"/>
  <c r="P195" i="141"/>
  <c r="N195" i="141"/>
  <c r="M195" i="141"/>
  <c r="L195" i="141"/>
  <c r="K195" i="141"/>
  <c r="H195" i="141"/>
  <c r="P194" i="141"/>
  <c r="N194" i="141"/>
  <c r="M194" i="141"/>
  <c r="L194" i="141"/>
  <c r="K194" i="141"/>
  <c r="H194" i="141"/>
  <c r="P193" i="141"/>
  <c r="N193" i="141"/>
  <c r="M193" i="141"/>
  <c r="L193" i="141"/>
  <c r="K193" i="141"/>
  <c r="H193" i="141"/>
  <c r="P192" i="141"/>
  <c r="N192" i="141"/>
  <c r="M192" i="141"/>
  <c r="L192" i="141"/>
  <c r="K192" i="141"/>
  <c r="H192" i="141"/>
  <c r="P191" i="141"/>
  <c r="N191" i="141"/>
  <c r="M191" i="141"/>
  <c r="L191" i="141"/>
  <c r="K191" i="141"/>
  <c r="H191" i="141"/>
  <c r="P190" i="141"/>
  <c r="N190" i="141"/>
  <c r="M190" i="141"/>
  <c r="L190" i="141"/>
  <c r="K190" i="141"/>
  <c r="H190" i="141"/>
  <c r="P189" i="141"/>
  <c r="N189" i="141"/>
  <c r="M189" i="141"/>
  <c r="L189" i="141"/>
  <c r="K189" i="141"/>
  <c r="H189" i="141"/>
  <c r="P188" i="141"/>
  <c r="N188" i="141"/>
  <c r="M188" i="141"/>
  <c r="L188" i="141"/>
  <c r="K188" i="141"/>
  <c r="H188" i="141"/>
  <c r="P187" i="141"/>
  <c r="N187" i="141"/>
  <c r="M187" i="141"/>
  <c r="L187" i="141"/>
  <c r="K187" i="141"/>
  <c r="H187" i="141"/>
  <c r="P186" i="141"/>
  <c r="N186" i="141"/>
  <c r="M186" i="141"/>
  <c r="L186" i="141"/>
  <c r="K186" i="141"/>
  <c r="H186" i="141"/>
  <c r="P185" i="141"/>
  <c r="N185" i="141"/>
  <c r="M185" i="141"/>
  <c r="L185" i="141"/>
  <c r="K185" i="141"/>
  <c r="H185" i="141"/>
  <c r="P184" i="141"/>
  <c r="N184" i="141"/>
  <c r="M184" i="141"/>
  <c r="L184" i="141"/>
  <c r="K184" i="141"/>
  <c r="H184" i="141"/>
  <c r="P183" i="141"/>
  <c r="N183" i="141"/>
  <c r="M183" i="141"/>
  <c r="L183" i="141"/>
  <c r="K183" i="141"/>
  <c r="H183" i="141"/>
  <c r="P182" i="141"/>
  <c r="N182" i="141"/>
  <c r="M182" i="141"/>
  <c r="L182" i="141"/>
  <c r="K182" i="141"/>
  <c r="H182" i="141"/>
  <c r="P181" i="141"/>
  <c r="N181" i="141"/>
  <c r="M181" i="141"/>
  <c r="L181" i="141"/>
  <c r="K181" i="141"/>
  <c r="H181" i="141"/>
  <c r="P180" i="141"/>
  <c r="N180" i="141"/>
  <c r="M180" i="141"/>
  <c r="L180" i="141"/>
  <c r="K180" i="141"/>
  <c r="H180" i="141"/>
  <c r="P179" i="141"/>
  <c r="N179" i="141"/>
  <c r="M179" i="141"/>
  <c r="L179" i="141"/>
  <c r="K179" i="141"/>
  <c r="H179" i="141"/>
  <c r="P178" i="141"/>
  <c r="N178" i="141"/>
  <c r="M178" i="141"/>
  <c r="L178" i="141"/>
  <c r="K178" i="141"/>
  <c r="H178" i="141"/>
  <c r="P177" i="141"/>
  <c r="N177" i="141"/>
  <c r="M177" i="141"/>
  <c r="L177" i="141"/>
  <c r="K177" i="141"/>
  <c r="H177" i="141"/>
  <c r="P176" i="141"/>
  <c r="N176" i="141"/>
  <c r="M176" i="141"/>
  <c r="L176" i="141"/>
  <c r="K176" i="141"/>
  <c r="H176" i="141"/>
  <c r="P175" i="141"/>
  <c r="N175" i="141"/>
  <c r="M175" i="141"/>
  <c r="L175" i="141"/>
  <c r="K175" i="141"/>
  <c r="H175" i="141"/>
  <c r="P174" i="141"/>
  <c r="N174" i="141"/>
  <c r="M174" i="141"/>
  <c r="L174" i="141"/>
  <c r="K174" i="141"/>
  <c r="H174" i="141"/>
  <c r="P173" i="141"/>
  <c r="N173" i="141"/>
  <c r="M173" i="141"/>
  <c r="L173" i="141"/>
  <c r="K173" i="141"/>
  <c r="H173" i="141"/>
  <c r="P172" i="141"/>
  <c r="N172" i="141"/>
  <c r="M172" i="141"/>
  <c r="L172" i="141"/>
  <c r="K172" i="141"/>
  <c r="H172" i="141"/>
  <c r="P171" i="141"/>
  <c r="N171" i="141"/>
  <c r="M171" i="141"/>
  <c r="L171" i="141"/>
  <c r="K171" i="141"/>
  <c r="H171" i="141"/>
  <c r="P170" i="141"/>
  <c r="N170" i="141"/>
  <c r="M170" i="141"/>
  <c r="L170" i="141"/>
  <c r="K170" i="141"/>
  <c r="H170" i="141"/>
  <c r="P169" i="141"/>
  <c r="N169" i="141"/>
  <c r="M169" i="141"/>
  <c r="L169" i="141"/>
  <c r="K169" i="141"/>
  <c r="H169" i="141"/>
  <c r="P168" i="141"/>
  <c r="N168" i="141"/>
  <c r="M168" i="141"/>
  <c r="L168" i="141"/>
  <c r="K168" i="141"/>
  <c r="H168" i="141"/>
  <c r="P167" i="141"/>
  <c r="N167" i="141"/>
  <c r="M167" i="141"/>
  <c r="L167" i="141"/>
  <c r="K167" i="141"/>
  <c r="H167" i="141"/>
  <c r="P166" i="141"/>
  <c r="N166" i="141"/>
  <c r="M166" i="141"/>
  <c r="L166" i="141"/>
  <c r="K166" i="141"/>
  <c r="H166" i="141"/>
  <c r="P165" i="141"/>
  <c r="N165" i="141"/>
  <c r="M165" i="141"/>
  <c r="L165" i="141"/>
  <c r="K165" i="141"/>
  <c r="H165" i="141"/>
  <c r="P164" i="141"/>
  <c r="N164" i="141"/>
  <c r="M164" i="141"/>
  <c r="L164" i="141"/>
  <c r="K164" i="141"/>
  <c r="H164" i="141"/>
  <c r="P163" i="141"/>
  <c r="N163" i="141"/>
  <c r="M163" i="141"/>
  <c r="L163" i="141"/>
  <c r="K163" i="141"/>
  <c r="H163" i="141"/>
  <c r="P162" i="141"/>
  <c r="N162" i="141"/>
  <c r="M162" i="141"/>
  <c r="L162" i="141"/>
  <c r="K162" i="141"/>
  <c r="H162" i="141"/>
  <c r="P161" i="141"/>
  <c r="N161" i="141"/>
  <c r="M161" i="141"/>
  <c r="L161" i="141"/>
  <c r="K161" i="141"/>
  <c r="H161" i="141"/>
  <c r="P160" i="141"/>
  <c r="N160" i="141"/>
  <c r="M160" i="141"/>
  <c r="L160" i="141"/>
  <c r="K160" i="141"/>
  <c r="H160" i="141"/>
  <c r="P159" i="141"/>
  <c r="N159" i="141"/>
  <c r="M159" i="141"/>
  <c r="L159" i="141"/>
  <c r="K159" i="141"/>
  <c r="H159" i="141"/>
  <c r="P158" i="141"/>
  <c r="N158" i="141"/>
  <c r="M158" i="141"/>
  <c r="L158" i="141"/>
  <c r="K158" i="141"/>
  <c r="H158" i="141"/>
  <c r="P157" i="141"/>
  <c r="N157" i="141"/>
  <c r="M157" i="141"/>
  <c r="L157" i="141"/>
  <c r="K157" i="141"/>
  <c r="H157" i="141"/>
  <c r="P156" i="141"/>
  <c r="N156" i="141"/>
  <c r="M156" i="141"/>
  <c r="L156" i="141"/>
  <c r="K156" i="141"/>
  <c r="H156" i="141"/>
  <c r="P155" i="141"/>
  <c r="N155" i="141"/>
  <c r="M155" i="141"/>
  <c r="L155" i="141"/>
  <c r="K155" i="141"/>
  <c r="H155" i="141"/>
  <c r="P154" i="141"/>
  <c r="N154" i="141"/>
  <c r="M154" i="141"/>
  <c r="L154" i="141"/>
  <c r="K154" i="141"/>
  <c r="H154" i="141"/>
  <c r="P153" i="141"/>
  <c r="N153" i="141"/>
  <c r="M153" i="141"/>
  <c r="L153" i="141"/>
  <c r="K153" i="141"/>
  <c r="H153" i="141"/>
  <c r="P152" i="141"/>
  <c r="N152" i="141"/>
  <c r="M152" i="141"/>
  <c r="L152" i="141"/>
  <c r="K152" i="141"/>
  <c r="H152" i="141"/>
  <c r="P151" i="141"/>
  <c r="N151" i="141"/>
  <c r="M151" i="141"/>
  <c r="L151" i="141"/>
  <c r="K151" i="141"/>
  <c r="H151" i="141"/>
  <c r="P150" i="141"/>
  <c r="N150" i="141"/>
  <c r="M150" i="141"/>
  <c r="L150" i="141"/>
  <c r="K150" i="141"/>
  <c r="H150" i="141"/>
  <c r="P149" i="141"/>
  <c r="N149" i="141"/>
  <c r="M149" i="141"/>
  <c r="L149" i="141"/>
  <c r="K149" i="141"/>
  <c r="H149" i="141"/>
  <c r="P148" i="141"/>
  <c r="N148" i="141"/>
  <c r="M148" i="141"/>
  <c r="L148" i="141"/>
  <c r="K148" i="141"/>
  <c r="H148" i="141"/>
  <c r="P147" i="141"/>
  <c r="N147" i="141"/>
  <c r="M147" i="141"/>
  <c r="L147" i="141"/>
  <c r="K147" i="141"/>
  <c r="H147" i="141"/>
  <c r="P146" i="141"/>
  <c r="N146" i="141"/>
  <c r="M146" i="141"/>
  <c r="L146" i="141"/>
  <c r="K146" i="141"/>
  <c r="H146" i="141"/>
  <c r="P145" i="141"/>
  <c r="N145" i="141"/>
  <c r="M145" i="141"/>
  <c r="L145" i="141"/>
  <c r="K145" i="141"/>
  <c r="H145" i="141"/>
  <c r="P144" i="141"/>
  <c r="N144" i="141"/>
  <c r="M144" i="141"/>
  <c r="L144" i="141"/>
  <c r="K144" i="141"/>
  <c r="H144" i="141"/>
  <c r="P143" i="141"/>
  <c r="N143" i="141"/>
  <c r="M143" i="141"/>
  <c r="L143" i="141"/>
  <c r="K143" i="141"/>
  <c r="H143" i="141"/>
  <c r="P142" i="141"/>
  <c r="N142" i="141"/>
  <c r="M142" i="141"/>
  <c r="L142" i="141"/>
  <c r="K142" i="141"/>
  <c r="H142" i="141"/>
  <c r="P141" i="141"/>
  <c r="N141" i="141"/>
  <c r="M141" i="141"/>
  <c r="L141" i="141"/>
  <c r="K141" i="141"/>
  <c r="H141" i="141"/>
  <c r="P140" i="141"/>
  <c r="N140" i="141"/>
  <c r="M140" i="141"/>
  <c r="L140" i="141"/>
  <c r="K140" i="141"/>
  <c r="H140" i="141"/>
  <c r="P139" i="141"/>
  <c r="N139" i="141"/>
  <c r="M139" i="141"/>
  <c r="L139" i="141"/>
  <c r="K139" i="141"/>
  <c r="H139" i="141"/>
  <c r="P138" i="141"/>
  <c r="N138" i="141"/>
  <c r="M138" i="141"/>
  <c r="L138" i="141"/>
  <c r="K138" i="141"/>
  <c r="H138" i="141"/>
  <c r="P137" i="141"/>
  <c r="N137" i="141"/>
  <c r="M137" i="141"/>
  <c r="L137" i="141"/>
  <c r="K137" i="141"/>
  <c r="H137" i="141"/>
  <c r="P136" i="141"/>
  <c r="N136" i="141"/>
  <c r="M136" i="141"/>
  <c r="L136" i="141"/>
  <c r="K136" i="141"/>
  <c r="H136" i="141"/>
  <c r="P135" i="141"/>
  <c r="N135" i="141"/>
  <c r="M135" i="141"/>
  <c r="L135" i="141"/>
  <c r="K135" i="141"/>
  <c r="H135" i="141"/>
  <c r="P134" i="141"/>
  <c r="N134" i="141"/>
  <c r="M134" i="141"/>
  <c r="L134" i="141"/>
  <c r="K134" i="141"/>
  <c r="H134" i="141"/>
  <c r="P133" i="141"/>
  <c r="N133" i="141"/>
  <c r="M133" i="141"/>
  <c r="L133" i="141"/>
  <c r="K133" i="141"/>
  <c r="H133" i="141"/>
  <c r="P132" i="141"/>
  <c r="N132" i="141"/>
  <c r="M132" i="141"/>
  <c r="L132" i="141"/>
  <c r="K132" i="141"/>
  <c r="H132" i="141"/>
  <c r="P131" i="141"/>
  <c r="N131" i="141"/>
  <c r="M131" i="141"/>
  <c r="L131" i="141"/>
  <c r="K131" i="141"/>
  <c r="H131" i="141"/>
  <c r="P130" i="141"/>
  <c r="N130" i="141"/>
  <c r="M130" i="141"/>
  <c r="L130" i="141"/>
  <c r="K130" i="141"/>
  <c r="H130" i="141"/>
  <c r="P129" i="141"/>
  <c r="N129" i="141"/>
  <c r="M129" i="141"/>
  <c r="L129" i="141"/>
  <c r="K129" i="141"/>
  <c r="H129" i="141"/>
  <c r="P128" i="141"/>
  <c r="N128" i="141"/>
  <c r="M128" i="141"/>
  <c r="L128" i="141"/>
  <c r="K128" i="141"/>
  <c r="H128" i="141"/>
  <c r="P127" i="141"/>
  <c r="N127" i="141"/>
  <c r="M127" i="141"/>
  <c r="L127" i="141"/>
  <c r="K127" i="141"/>
  <c r="H127" i="141"/>
  <c r="P126" i="141"/>
  <c r="N126" i="141"/>
  <c r="M126" i="141"/>
  <c r="L126" i="141"/>
  <c r="K126" i="141"/>
  <c r="H126" i="141"/>
  <c r="P125" i="141"/>
  <c r="N125" i="141"/>
  <c r="M125" i="141"/>
  <c r="L125" i="141"/>
  <c r="K125" i="141"/>
  <c r="H125" i="141"/>
  <c r="P124" i="141"/>
  <c r="N124" i="141"/>
  <c r="M124" i="141"/>
  <c r="L124" i="141"/>
  <c r="K124" i="141"/>
  <c r="H124" i="141"/>
  <c r="P123" i="141"/>
  <c r="N123" i="141"/>
  <c r="M123" i="141"/>
  <c r="L123" i="141"/>
  <c r="K123" i="141"/>
  <c r="H123" i="141"/>
  <c r="P122" i="141"/>
  <c r="N122" i="141"/>
  <c r="M122" i="141"/>
  <c r="L122" i="141"/>
  <c r="K122" i="141"/>
  <c r="H122" i="141"/>
  <c r="P121" i="141"/>
  <c r="N121" i="141"/>
  <c r="M121" i="141"/>
  <c r="L121" i="141"/>
  <c r="K121" i="141"/>
  <c r="H121" i="141"/>
  <c r="P120" i="141"/>
  <c r="N120" i="141"/>
  <c r="M120" i="141"/>
  <c r="L120" i="141"/>
  <c r="K120" i="141"/>
  <c r="H120" i="141"/>
  <c r="P119" i="141"/>
  <c r="N119" i="141"/>
  <c r="M119" i="141"/>
  <c r="L119" i="141"/>
  <c r="K119" i="141"/>
  <c r="H119" i="141"/>
  <c r="P118" i="141"/>
  <c r="N118" i="141"/>
  <c r="M118" i="141"/>
  <c r="L118" i="141"/>
  <c r="K118" i="141"/>
  <c r="H118" i="141"/>
  <c r="P117" i="141"/>
  <c r="N117" i="141"/>
  <c r="M117" i="141"/>
  <c r="L117" i="141"/>
  <c r="K117" i="141"/>
  <c r="H117" i="141"/>
  <c r="P116" i="141"/>
  <c r="N116" i="141"/>
  <c r="M116" i="141"/>
  <c r="L116" i="141"/>
  <c r="K116" i="141"/>
  <c r="H116" i="141"/>
  <c r="P115" i="141"/>
  <c r="N115" i="141"/>
  <c r="M115" i="141"/>
  <c r="L115" i="141"/>
  <c r="K115" i="141"/>
  <c r="H115" i="141"/>
  <c r="P114" i="141"/>
  <c r="N114" i="141"/>
  <c r="M114" i="141"/>
  <c r="L114" i="141"/>
  <c r="K114" i="141"/>
  <c r="H114" i="141"/>
  <c r="P113" i="141"/>
  <c r="N113" i="141"/>
  <c r="M113" i="141"/>
  <c r="L113" i="141"/>
  <c r="K113" i="141"/>
  <c r="H113" i="141"/>
  <c r="P112" i="141"/>
  <c r="N112" i="141"/>
  <c r="M112" i="141"/>
  <c r="L112" i="141"/>
  <c r="K112" i="141"/>
  <c r="H112" i="141"/>
  <c r="P111" i="141"/>
  <c r="N111" i="141"/>
  <c r="M111" i="141"/>
  <c r="L111" i="141"/>
  <c r="K111" i="141"/>
  <c r="H111" i="141"/>
  <c r="P110" i="141"/>
  <c r="N110" i="141"/>
  <c r="M110" i="141"/>
  <c r="L110" i="141"/>
  <c r="K110" i="141"/>
  <c r="H110" i="141"/>
  <c r="P109" i="141"/>
  <c r="N109" i="141"/>
  <c r="M109" i="141"/>
  <c r="L109" i="141"/>
  <c r="K109" i="141"/>
  <c r="H109" i="141"/>
  <c r="P108" i="141"/>
  <c r="N108" i="141"/>
  <c r="M108" i="141"/>
  <c r="L108" i="141"/>
  <c r="K108" i="141"/>
  <c r="H108" i="141"/>
  <c r="P107" i="141"/>
  <c r="N107" i="141"/>
  <c r="M107" i="141"/>
  <c r="L107" i="141"/>
  <c r="K107" i="141"/>
  <c r="H107" i="141"/>
  <c r="P106" i="141"/>
  <c r="N106" i="141"/>
  <c r="M106" i="141"/>
  <c r="L106" i="141"/>
  <c r="K106" i="141"/>
  <c r="H106" i="141"/>
  <c r="P105" i="141"/>
  <c r="N105" i="141"/>
  <c r="M105" i="141"/>
  <c r="L105" i="141"/>
  <c r="K105" i="141"/>
  <c r="H105" i="141"/>
  <c r="P104" i="141"/>
  <c r="N104" i="141"/>
  <c r="M104" i="141"/>
  <c r="L104" i="141"/>
  <c r="K104" i="141"/>
  <c r="H104" i="141"/>
  <c r="P103" i="141"/>
  <c r="N103" i="141"/>
  <c r="M103" i="141"/>
  <c r="L103" i="141"/>
  <c r="K103" i="141"/>
  <c r="H103" i="141"/>
  <c r="P102" i="141"/>
  <c r="N102" i="141"/>
  <c r="M102" i="141"/>
  <c r="L102" i="141"/>
  <c r="K102" i="141"/>
  <c r="H102" i="141"/>
  <c r="P101" i="141"/>
  <c r="N101" i="141"/>
  <c r="M101" i="141"/>
  <c r="L101" i="141"/>
  <c r="K101" i="141"/>
  <c r="H101" i="141"/>
  <c r="P100" i="141"/>
  <c r="N100" i="141"/>
  <c r="M100" i="141"/>
  <c r="L100" i="141"/>
  <c r="K100" i="141"/>
  <c r="H100" i="141"/>
  <c r="P99" i="141"/>
  <c r="N99" i="141"/>
  <c r="M99" i="141"/>
  <c r="L99" i="141"/>
  <c r="K99" i="141"/>
  <c r="H99" i="141"/>
  <c r="P98" i="141"/>
  <c r="N98" i="141"/>
  <c r="M98" i="141"/>
  <c r="L98" i="141"/>
  <c r="K98" i="141"/>
  <c r="H98" i="141"/>
  <c r="P97" i="141"/>
  <c r="N97" i="141"/>
  <c r="M97" i="141"/>
  <c r="L97" i="141"/>
  <c r="K97" i="141"/>
  <c r="H97" i="141"/>
  <c r="P96" i="141"/>
  <c r="N96" i="141"/>
  <c r="M96" i="141"/>
  <c r="L96" i="141"/>
  <c r="K96" i="141"/>
  <c r="H96" i="141"/>
  <c r="P95" i="141"/>
  <c r="N95" i="141"/>
  <c r="M95" i="141"/>
  <c r="L95" i="141"/>
  <c r="K95" i="141"/>
  <c r="H95" i="141"/>
  <c r="P94" i="141"/>
  <c r="N94" i="141"/>
  <c r="M94" i="141"/>
  <c r="L94" i="141"/>
  <c r="K94" i="141"/>
  <c r="H94" i="141"/>
  <c r="P93" i="141"/>
  <c r="N93" i="141"/>
  <c r="M93" i="141"/>
  <c r="L93" i="141"/>
  <c r="K93" i="141"/>
  <c r="H93" i="141"/>
  <c r="P92" i="141"/>
  <c r="N92" i="141"/>
  <c r="M92" i="141"/>
  <c r="L92" i="141"/>
  <c r="K92" i="141"/>
  <c r="H92" i="141"/>
  <c r="P91" i="141"/>
  <c r="N91" i="141"/>
  <c r="M91" i="141"/>
  <c r="L91" i="141"/>
  <c r="K91" i="141"/>
  <c r="H91" i="141"/>
  <c r="P90" i="141"/>
  <c r="N90" i="141"/>
  <c r="M90" i="141"/>
  <c r="L90" i="141"/>
  <c r="K90" i="141"/>
  <c r="H90" i="141"/>
  <c r="P89" i="141"/>
  <c r="N89" i="141"/>
  <c r="M89" i="141"/>
  <c r="L89" i="141"/>
  <c r="K89" i="141"/>
  <c r="H89" i="141"/>
  <c r="P88" i="141"/>
  <c r="N88" i="141"/>
  <c r="M88" i="141"/>
  <c r="L88" i="141"/>
  <c r="K88" i="141"/>
  <c r="H88" i="141"/>
  <c r="P87" i="141"/>
  <c r="N87" i="141"/>
  <c r="M87" i="141"/>
  <c r="L87" i="141"/>
  <c r="K87" i="141"/>
  <c r="H87" i="141"/>
  <c r="P86" i="141"/>
  <c r="N86" i="141"/>
  <c r="M86" i="141"/>
  <c r="L86" i="141"/>
  <c r="K86" i="141"/>
  <c r="H86" i="141"/>
  <c r="P85" i="141"/>
  <c r="N85" i="141"/>
  <c r="M85" i="141"/>
  <c r="L85" i="141"/>
  <c r="K85" i="141"/>
  <c r="H85" i="141"/>
  <c r="P84" i="141"/>
  <c r="N84" i="141"/>
  <c r="M84" i="141"/>
  <c r="L84" i="141"/>
  <c r="K84" i="141"/>
  <c r="H84" i="141"/>
  <c r="P83" i="141"/>
  <c r="N83" i="141"/>
  <c r="M83" i="141"/>
  <c r="L83" i="141"/>
  <c r="K83" i="141"/>
  <c r="H83" i="141"/>
  <c r="P82" i="141"/>
  <c r="N82" i="141"/>
  <c r="M82" i="141"/>
  <c r="L82" i="141"/>
  <c r="K82" i="141"/>
  <c r="H82" i="141"/>
  <c r="P81" i="141"/>
  <c r="N81" i="141"/>
  <c r="M81" i="141"/>
  <c r="L81" i="141"/>
  <c r="K81" i="141"/>
  <c r="H81" i="141"/>
  <c r="P80" i="141"/>
  <c r="N80" i="141"/>
  <c r="M80" i="141"/>
  <c r="L80" i="141"/>
  <c r="K80" i="141"/>
  <c r="H80" i="141"/>
  <c r="P79" i="141"/>
  <c r="N79" i="141"/>
  <c r="M79" i="141"/>
  <c r="L79" i="141"/>
  <c r="K79" i="141"/>
  <c r="H79" i="141"/>
  <c r="P78" i="141"/>
  <c r="N78" i="141"/>
  <c r="M78" i="141"/>
  <c r="L78" i="141"/>
  <c r="K78" i="141"/>
  <c r="H78" i="141"/>
  <c r="P77" i="141"/>
  <c r="N77" i="141"/>
  <c r="M77" i="141"/>
  <c r="L77" i="141"/>
  <c r="K77" i="141"/>
  <c r="H77" i="141"/>
  <c r="P76" i="141"/>
  <c r="N76" i="141"/>
  <c r="M76" i="141"/>
  <c r="L76" i="141"/>
  <c r="K76" i="141"/>
  <c r="H76" i="141"/>
  <c r="P75" i="141"/>
  <c r="N75" i="141"/>
  <c r="M75" i="141"/>
  <c r="L75" i="141"/>
  <c r="K75" i="141"/>
  <c r="H75" i="141"/>
  <c r="P74" i="141"/>
  <c r="N74" i="141"/>
  <c r="M74" i="141"/>
  <c r="L74" i="141"/>
  <c r="K74" i="141"/>
  <c r="H74" i="141"/>
  <c r="P73" i="141"/>
  <c r="N73" i="141"/>
  <c r="M73" i="141"/>
  <c r="L73" i="141"/>
  <c r="K73" i="141"/>
  <c r="H73" i="141"/>
  <c r="P72" i="141"/>
  <c r="N72" i="141"/>
  <c r="M72" i="141"/>
  <c r="L72" i="141"/>
  <c r="K72" i="141"/>
  <c r="H72" i="141"/>
  <c r="P71" i="141"/>
  <c r="N71" i="141"/>
  <c r="M71" i="141"/>
  <c r="L71" i="141"/>
  <c r="K71" i="141"/>
  <c r="H71" i="141"/>
  <c r="P70" i="141"/>
  <c r="N70" i="141"/>
  <c r="M70" i="141"/>
  <c r="L70" i="141"/>
  <c r="K70" i="141"/>
  <c r="H70" i="141"/>
  <c r="P69" i="141"/>
  <c r="N69" i="141"/>
  <c r="M69" i="141"/>
  <c r="L69" i="141"/>
  <c r="K69" i="141"/>
  <c r="H69" i="141"/>
  <c r="P68" i="141"/>
  <c r="N68" i="141"/>
  <c r="M68" i="141"/>
  <c r="L68" i="141"/>
  <c r="K68" i="141"/>
  <c r="H68" i="141"/>
  <c r="P67" i="141"/>
  <c r="N67" i="141"/>
  <c r="M67" i="141"/>
  <c r="L67" i="141"/>
  <c r="K67" i="141"/>
  <c r="H67" i="141"/>
  <c r="P66" i="141"/>
  <c r="N66" i="141"/>
  <c r="M66" i="141"/>
  <c r="L66" i="141"/>
  <c r="K66" i="141"/>
  <c r="H66" i="141"/>
  <c r="P65" i="141"/>
  <c r="N65" i="141"/>
  <c r="M65" i="141"/>
  <c r="L65" i="141"/>
  <c r="K65" i="141"/>
  <c r="H65" i="141"/>
  <c r="P64" i="141"/>
  <c r="N64" i="141"/>
  <c r="M64" i="141"/>
  <c r="L64" i="141"/>
  <c r="K64" i="141"/>
  <c r="H64" i="141"/>
  <c r="P63" i="141"/>
  <c r="N63" i="141"/>
  <c r="M63" i="141"/>
  <c r="L63" i="141"/>
  <c r="K63" i="141"/>
  <c r="H63" i="141"/>
  <c r="P62" i="141"/>
  <c r="N62" i="141"/>
  <c r="M62" i="141"/>
  <c r="L62" i="141"/>
  <c r="K62" i="141"/>
  <c r="H62" i="141"/>
  <c r="P61" i="141"/>
  <c r="N61" i="141"/>
  <c r="M61" i="141"/>
  <c r="L61" i="141"/>
  <c r="K61" i="141"/>
  <c r="H61" i="141"/>
  <c r="P60" i="141"/>
  <c r="N60" i="141"/>
  <c r="M60" i="141"/>
  <c r="L60" i="141"/>
  <c r="K60" i="141"/>
  <c r="H60" i="141"/>
  <c r="P59" i="141"/>
  <c r="N59" i="141"/>
  <c r="M59" i="141"/>
  <c r="L59" i="141"/>
  <c r="K59" i="141"/>
  <c r="H59" i="141"/>
  <c r="P58" i="141"/>
  <c r="N58" i="141"/>
  <c r="M58" i="141"/>
  <c r="L58" i="141"/>
  <c r="K58" i="141"/>
  <c r="H58" i="141"/>
  <c r="P57" i="141"/>
  <c r="N57" i="141"/>
  <c r="M57" i="141"/>
  <c r="L57" i="141"/>
  <c r="K57" i="141"/>
  <c r="H57" i="141"/>
  <c r="P56" i="141"/>
  <c r="N56" i="141"/>
  <c r="M56" i="141"/>
  <c r="L56" i="141"/>
  <c r="K56" i="141"/>
  <c r="H56" i="141"/>
  <c r="P55" i="141"/>
  <c r="N55" i="141"/>
  <c r="M55" i="141"/>
  <c r="L55" i="141"/>
  <c r="K55" i="141"/>
  <c r="H55" i="141"/>
  <c r="P54" i="141"/>
  <c r="N54" i="141"/>
  <c r="M54" i="141"/>
  <c r="L54" i="141"/>
  <c r="K54" i="141"/>
  <c r="H54" i="141"/>
  <c r="P53" i="141"/>
  <c r="N53" i="141"/>
  <c r="M53" i="141"/>
  <c r="L53" i="141"/>
  <c r="K53" i="141"/>
  <c r="H53" i="141"/>
  <c r="P52" i="141"/>
  <c r="N52" i="141"/>
  <c r="M52" i="141"/>
  <c r="L52" i="141"/>
  <c r="K52" i="141"/>
  <c r="H52" i="141"/>
  <c r="P51" i="141"/>
  <c r="N51" i="141"/>
  <c r="M51" i="141"/>
  <c r="L51" i="141"/>
  <c r="K51" i="141"/>
  <c r="H51" i="141"/>
  <c r="P50" i="141"/>
  <c r="N50" i="141"/>
  <c r="M50" i="141"/>
  <c r="L50" i="141"/>
  <c r="K50" i="141"/>
  <c r="H50" i="141"/>
  <c r="P49" i="141"/>
  <c r="N49" i="141"/>
  <c r="M49" i="141"/>
  <c r="L49" i="141"/>
  <c r="K49" i="141"/>
  <c r="H49" i="141"/>
  <c r="P48" i="141"/>
  <c r="N48" i="141"/>
  <c r="M48" i="141"/>
  <c r="L48" i="141"/>
  <c r="K48" i="141"/>
  <c r="H48" i="141"/>
  <c r="P47" i="141"/>
  <c r="N47" i="141"/>
  <c r="M47" i="141"/>
  <c r="L47" i="141"/>
  <c r="K47" i="141"/>
  <c r="H47" i="141"/>
  <c r="P46" i="141"/>
  <c r="N46" i="141"/>
  <c r="M46" i="141"/>
  <c r="L46" i="141"/>
  <c r="K46" i="141"/>
  <c r="H46" i="141"/>
  <c r="P45" i="141"/>
  <c r="N45" i="141"/>
  <c r="M45" i="141"/>
  <c r="L45" i="141"/>
  <c r="K45" i="141"/>
  <c r="H45" i="141"/>
  <c r="P44" i="141"/>
  <c r="N44" i="141"/>
  <c r="M44" i="141"/>
  <c r="L44" i="141"/>
  <c r="K44" i="141"/>
  <c r="H44" i="141"/>
  <c r="P43" i="141"/>
  <c r="N43" i="141"/>
  <c r="M43" i="141"/>
  <c r="L43" i="141"/>
  <c r="K43" i="141"/>
  <c r="H43" i="141"/>
  <c r="P42" i="141"/>
  <c r="N42" i="141"/>
  <c r="M42" i="141"/>
  <c r="L42" i="141"/>
  <c r="K42" i="141"/>
  <c r="H42" i="141"/>
  <c r="P41" i="141"/>
  <c r="N41" i="141"/>
  <c r="M41" i="141"/>
  <c r="L41" i="141"/>
  <c r="K41" i="141"/>
  <c r="H41" i="141"/>
  <c r="P40" i="141"/>
  <c r="N40" i="141"/>
  <c r="M40" i="141"/>
  <c r="L40" i="141"/>
  <c r="K40" i="141"/>
  <c r="H40" i="141"/>
  <c r="P39" i="141"/>
  <c r="N39" i="141"/>
  <c r="M39" i="141"/>
  <c r="L39" i="141"/>
  <c r="K39" i="141"/>
  <c r="H39" i="141"/>
  <c r="P38" i="141"/>
  <c r="N38" i="141"/>
  <c r="M38" i="141"/>
  <c r="L38" i="141"/>
  <c r="K38" i="141"/>
  <c r="H38" i="141"/>
  <c r="P37" i="141"/>
  <c r="N37" i="141"/>
  <c r="M37" i="141"/>
  <c r="L37" i="141"/>
  <c r="K37" i="141"/>
  <c r="H37" i="141"/>
  <c r="P36" i="141"/>
  <c r="N36" i="141"/>
  <c r="M36" i="141"/>
  <c r="L36" i="141"/>
  <c r="K36" i="141"/>
  <c r="H36" i="141"/>
  <c r="P35" i="141"/>
  <c r="N35" i="141"/>
  <c r="M35" i="141"/>
  <c r="L35" i="141"/>
  <c r="K35" i="141"/>
  <c r="H35" i="141"/>
  <c r="P34" i="141"/>
  <c r="N34" i="141"/>
  <c r="M34" i="141"/>
  <c r="L34" i="141"/>
  <c r="K34" i="141"/>
  <c r="H34" i="141"/>
  <c r="P33" i="141"/>
  <c r="N33" i="141"/>
  <c r="M33" i="141"/>
  <c r="L33" i="141"/>
  <c r="K33" i="141"/>
  <c r="H33" i="141"/>
  <c r="P32" i="141"/>
  <c r="N32" i="141"/>
  <c r="M32" i="141"/>
  <c r="L32" i="141"/>
  <c r="K32" i="141"/>
  <c r="H32" i="141"/>
  <c r="P31" i="141"/>
  <c r="N31" i="141"/>
  <c r="M31" i="141"/>
  <c r="L31" i="141"/>
  <c r="K31" i="141"/>
  <c r="H31" i="141"/>
  <c r="P30" i="141"/>
  <c r="N30" i="141"/>
  <c r="M30" i="141"/>
  <c r="L30" i="141"/>
  <c r="K30" i="141"/>
  <c r="H30" i="141"/>
  <c r="P29" i="141"/>
  <c r="N29" i="141"/>
  <c r="M29" i="141"/>
  <c r="L29" i="141"/>
  <c r="K29" i="141"/>
  <c r="H29" i="141"/>
  <c r="P28" i="141"/>
  <c r="N28" i="141"/>
  <c r="M28" i="141"/>
  <c r="L28" i="141"/>
  <c r="K28" i="141"/>
  <c r="H28" i="141"/>
  <c r="P27" i="141"/>
  <c r="N27" i="141"/>
  <c r="M27" i="141"/>
  <c r="L27" i="141"/>
  <c r="K27" i="141"/>
  <c r="H27" i="141"/>
  <c r="P26" i="141"/>
  <c r="N26" i="141"/>
  <c r="M26" i="141"/>
  <c r="L26" i="141"/>
  <c r="K26" i="141"/>
  <c r="H26" i="141"/>
  <c r="P25" i="141"/>
  <c r="N25" i="141"/>
  <c r="M25" i="141"/>
  <c r="L25" i="141"/>
  <c r="K25" i="141"/>
  <c r="H25" i="141"/>
  <c r="P24" i="141"/>
  <c r="N24" i="141"/>
  <c r="M24" i="141"/>
  <c r="L24" i="141"/>
  <c r="K24" i="141"/>
  <c r="H24" i="141"/>
  <c r="P23" i="141"/>
  <c r="N23" i="141"/>
  <c r="M23" i="141"/>
  <c r="L23" i="141"/>
  <c r="K23" i="141"/>
  <c r="H23" i="141"/>
  <c r="P22" i="141"/>
  <c r="N22" i="141"/>
  <c r="M22" i="141"/>
  <c r="L22" i="141"/>
  <c r="K22" i="141"/>
  <c r="H22" i="141"/>
  <c r="P21" i="141"/>
  <c r="N21" i="141"/>
  <c r="M21" i="141"/>
  <c r="L21" i="141"/>
  <c r="K21" i="141"/>
  <c r="H21" i="141"/>
  <c r="P20" i="141"/>
  <c r="N20" i="141"/>
  <c r="M20" i="141"/>
  <c r="L20" i="141"/>
  <c r="K20" i="141"/>
  <c r="H20" i="141"/>
  <c r="P19" i="141"/>
  <c r="N19" i="141"/>
  <c r="M19" i="141"/>
  <c r="L19" i="141"/>
  <c r="K19" i="141"/>
  <c r="H19" i="141"/>
  <c r="P18" i="141"/>
  <c r="N18" i="141"/>
  <c r="M18" i="141"/>
  <c r="L18" i="141"/>
  <c r="K18" i="141"/>
  <c r="H18" i="141"/>
  <c r="P17" i="141"/>
  <c r="N17" i="141"/>
  <c r="M17" i="141"/>
  <c r="L17" i="141"/>
  <c r="K17" i="141"/>
  <c r="H17" i="141"/>
  <c r="P16" i="141"/>
  <c r="N16" i="141"/>
  <c r="M16" i="141"/>
  <c r="L16" i="141"/>
  <c r="K16" i="141"/>
  <c r="H16" i="141"/>
  <c r="P15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R10" i="140"/>
  <c r="P10" i="140"/>
  <c r="O10" i="140"/>
  <c r="M10" i="140"/>
  <c r="V9" i="140"/>
  <c r="R9" i="140"/>
  <c r="P9" i="140"/>
  <c r="O9" i="140"/>
  <c r="M9" i="140"/>
  <c r="V8" i="140"/>
  <c r="R8" i="140"/>
  <c r="P8" i="140"/>
  <c r="O8" i="140"/>
  <c r="M8" i="140"/>
  <c r="V7" i="140"/>
  <c r="R7" i="140"/>
  <c r="P7" i="140"/>
  <c r="O7" i="140"/>
  <c r="M7" i="140"/>
  <c r="V6" i="140"/>
  <c r="P6" i="140"/>
  <c r="O6" i="140"/>
  <c r="M6" i="140"/>
  <c r="V5" i="140"/>
  <c r="P5" i="140"/>
  <c r="O5" i="140"/>
  <c r="M5" i="140"/>
  <c r="V4" i="140"/>
  <c r="P4" i="140"/>
  <c r="O4" i="140"/>
  <c r="M4" i="140"/>
  <c r="V3" i="140"/>
  <c r="P3" i="140"/>
  <c r="O3" i="140"/>
  <c r="M3" i="140"/>
  <c r="V2" i="140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B32" i="106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4" i="103"/>
  <c r="E4" i="103"/>
  <c r="C3" i="103"/>
  <c r="E3" i="103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<sst xmlns="http://schemas.openxmlformats.org/spreadsheetml/2006/main" count="613" uniqueCount="279">
  <si>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</si>
  <si>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</si>
  <si>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</si>
  <si>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</si>
  <si>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</si>
  <si>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</si>
  <si>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</si>
  <si>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</si>
  <si>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</si>
  <si>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</si>
  <si>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</si>
  <si>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</si>
  <si>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</si>
  <si>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</si>
  <si>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</si>
  <si>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</si>
  <si>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</si>
  <si>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</si>
  <si>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</si>
  <si>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</si>
  <si>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</si>
  <si>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</si>
  <si>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</si>
  <si>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</si>
  <si>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</si>
  <si>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</si>
  <si>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</si>
  <si>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</si>
  <si>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</si>
  <si>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</si>
  <si>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</si>
  <si>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</si>
  <si>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</si>
  <si>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</si>
  <si>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</si>
  <si>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</si>
  <si>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</si>
  <si>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</si>
  <si>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</si>
  <si>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</si>
  <si>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</si>
  <si>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</si>
  <si>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</si>
  <si>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</si>
  <si>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</si>
  <si>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</si>
  <si>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</si>
  <si>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</si>
  <si>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</si>
  <si>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</si>
  <si>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</si>
  <si>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</si>
  <si>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</si>
  <si>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</si>
  <si>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</si>
  <si>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</si>
  <si>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</si>
  <si>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</si>
  <si>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</si>
  <si>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</si>
  <si>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</si>
  <si>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</si>
  <si>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</si>
  <si>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</si>
  <si>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</si>
  <si>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</si>
  <si>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</si>
  <si>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</si>
  <si>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</si>
  <si>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</si>
  <si>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</si>
  <si>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</si>
  <si>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</si>
  <si>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</si>
  <si>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</si>
  <si>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</si>
  <si>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</si>
  <si>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</si>
  <si>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</si>
  <si>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</si>
  <si>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</si>
  <si>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</si>
  <si>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</si>
  <si>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</si>
  <si>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</si>
  <si>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</si>
  <si>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</si>
  <si>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</si>
  <si>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</si>
  <si>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</si>
  <si>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</si>
  <si>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</si>
  <si>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</si>
  <si>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</si>
  <si>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</si>
  <si>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</si>
  <si>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</si>
  <si>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</si>
  <si>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</si>
  <si>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</si>
  <si>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</si>
  <si>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</si>
  <si>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</si>
  <si>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</si>
  <si>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</si>
  <si>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</si>
  <si>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</si>
  <si>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</si>
  <si>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</si>
  <si>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</si>
  <si>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</si>
  <si>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</si>
  <si>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</si>
  <si>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</si>
  <si>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</si>
  <si>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</si>
  <si>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</si>
  <si>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</si>
  <si>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</si>
  <si>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</si>
  <si>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</si>
  <si>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</si>
  <si>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</si>
  <si>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</si>
  <si>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</si>
  <si>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</si>
  <si>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</si>
  <si>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</si>
  <si>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</si>
  <si>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</si>
  <si>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</si>
  <si>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</si>
  <si>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</si>
  <si>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</si>
  <si>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</si>
  <si>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</si>
  <si>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</si>
  <si>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</si>
  <si>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</si>
  <si>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</si>
  <si>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</si>
  <si>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</si>
  <si>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</si>
  <si>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</si>
  <si>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</si>
  <si>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</si>
  <si>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</si>
  <si>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</si>
  <si>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</si>
  <si>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</si>
  <si>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</si>
  <si>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</si>
  <si>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</si>
  <si>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</si>
  <si>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</si>
  <si>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</si>
  <si>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</si>
  <si>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</si>
  <si>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</si>
  <si>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</si>
  <si>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</si>
  <si>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</si>
  <si>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</si>
  <si>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</si>
  <si>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</si>
  <si>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</si>
  <si>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</si>
  <si>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</si>
  <si>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</si>
  <si>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</si>
  <si>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</si>
  <si>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</si>
  <si>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</si>
  <si>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</si>
  <si>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</si>
  <si>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</si>
  <si>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</si>
  <si>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</si>
  <si>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</si>
  <si>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</si>
  <si>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</si>
  <si>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</si>
  <si>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</si>
  <si>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</si>
  <si>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</si>
  <si>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</si>
  <si>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</si>
  <si>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</si>
  <si>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</si>
  <si>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</si>
  <si>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</si>
  <si>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</si>
  <si>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</si>
  <si>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</si>
  <si>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</si>
  <si>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</si>
  <si>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</si>
  <si>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</si>
  <si>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</si>
  <si>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</si>
  <si>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</si>
  <si>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</si>
  <si>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</si>
  <si>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</si>
  <si>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</si>
  <si>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</si>
  <si>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</si>
  <si>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</si>
  <si>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</si>
  <si>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</si>
  <si>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</si>
  <si>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</si>
  <si>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</si>
  <si>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</si>
  <si>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</si>
  <si>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</si>
  <si>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</si>
  <si>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</si>
  <si>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</si>
  <si>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</si>
  <si>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</si>
  <si>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</si>
  <si>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</si>
  <si>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</si>
  <si>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</si>
  <si>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</si>
  <si>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</si>
  <si>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</si>
  <si>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</si>
  <si>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</si>
  <si>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</si>
  <si>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</si>
  <si>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</si>
  <si>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</si>
  <si>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</si>
  <si>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</si>
  <si>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</si>
  <si>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</si>
  <si>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</si>
  <si>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</si>
  <si>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</si>
  <si>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</si>
  <si>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</si>
  <si>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</si>
  <si>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</si>
  <si>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</si>
  <si>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</si>
  <si>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</si>
  <si>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リトルハンプティx1</t>
    <phoneticPr fontId="19"/>
  </si>
  <si>
    <t>bit</t>
    <phoneticPr fontId="19"/>
  </si>
  <si>
    <t>unit</t>
    <phoneticPr fontId="19"/>
  </si>
  <si>
    <t>unit</t>
    <phoneticPr fontId="19"/>
  </si>
  <si>
    <t>100万ビット</t>
    <phoneticPr fontId="19"/>
  </si>
  <si>
    <t>item</t>
    <phoneticPr fontId="19"/>
  </si>
  <si>
    <t>STEP1特典として
100万ビットをプレゼント！</t>
    <phoneticPr fontId="19"/>
  </si>
  <si>
    <t>368101</t>
    <phoneticPr fontId="19"/>
  </si>
  <si>
    <t>3681011</t>
    <phoneticPr fontId="19"/>
  </si>
  <si>
    <t>3681021</t>
    <phoneticPr fontId="19"/>
  </si>
  <si>
    <t>3681031</t>
    <phoneticPr fontId="19"/>
  </si>
  <si>
    <t>3681041</t>
    <phoneticPr fontId="19"/>
  </si>
  <si>
    <t>マスターキーx5</t>
    <phoneticPr fontId="19"/>
  </si>
  <si>
    <t>ギガ秘術の果実x1</t>
    <phoneticPr fontId="19"/>
  </si>
  <si>
    <t>1周年記念ステップアップガチャ特典</t>
    <rPh sb="15" eb="17">
      <t>トクテン</t>
    </rPh>
    <phoneticPr fontId="19"/>
  </si>
  <si>
    <t>368102</t>
    <phoneticPr fontId="19"/>
  </si>
  <si>
    <t>368103</t>
    <phoneticPr fontId="19"/>
  </si>
  <si>
    <t>368104</t>
    <phoneticPr fontId="19"/>
  </si>
  <si>
    <t>STEP2特典として
マスターキー5個をプレゼント！</t>
    <phoneticPr fontId="19"/>
  </si>
  <si>
    <t>STEP3特典として
ギガ秘術の果実1体をプレゼント！</t>
    <phoneticPr fontId="19"/>
  </si>
  <si>
    <t>STEP4特典として
リトルハンプティ1体をプレゼント！</t>
    <phoneticPr fontId="19"/>
  </si>
  <si>
    <t>skip</t>
    <phoneticPr fontId="19"/>
  </si>
  <si>
    <t>tables_371100</t>
    <phoneticPr fontId="19"/>
  </si>
  <si>
    <t>tables_371010</t>
    <phoneticPr fontId="19"/>
  </si>
  <si>
    <t>tables_settle_371100</t>
    <phoneticPr fontId="19"/>
  </si>
  <si>
    <t>通常確率</t>
    <phoneticPr fontId="19"/>
  </si>
  <si>
    <t>PremiumSSS4R3less</t>
    <phoneticPr fontId="19"/>
  </si>
  <si>
    <t>PremiumSSS5R3less</t>
    <phoneticPr fontId="19"/>
  </si>
  <si>
    <t>通常確率</t>
    <phoneticPr fontId="19"/>
  </si>
  <si>
    <t>old</t>
    <phoneticPr fontId="19"/>
  </si>
  <si>
    <t>old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</si>
</sst>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4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0" fontId="23" fillId="25" borderId="0" xfId="0" applyFont="1" applyFill="1" applyBorder="1" applyAlignment="1">
      <alignment horizontal="right" vertical="center"/>
    </xf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1079</v>
          </cell>
          <cell r="B1060" t="str">
            <v>ja</v>
          </cell>
          <cell r="C1060" t="str">
            <v>炎のアニバーサリーダック</v>
          </cell>
          <cell r="D1060" t="str">
            <v>未定</v>
          </cell>
          <cell r="E1060" t="str">
            <v>アリス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6</v>
          </cell>
          <cell r="J1060" t="str">
            <v>Material</v>
          </cell>
          <cell r="K1060" t="str">
            <v>exp</v>
          </cell>
          <cell r="L1060" t="str">
            <v>強化素材タイプ</v>
          </cell>
          <cell r="M1060" t="str">
            <v>unknown</v>
          </cell>
        </row>
        <row r="1061">
          <cell r="A1061">
            <v>1080</v>
          </cell>
          <cell r="B1061" t="str">
            <v>ja</v>
          </cell>
          <cell r="C1061" t="str">
            <v>森のアニバーサリーダック</v>
          </cell>
          <cell r="D1061" t="str">
            <v>未定</v>
          </cell>
          <cell r="E1061" t="str">
            <v>アリス</v>
          </cell>
          <cell r="F1061" t="str">
            <v>世界観</v>
          </cell>
          <cell r="G1061" t="str">
            <v>不明</v>
          </cell>
          <cell r="H1061" t="str">
            <v>green</v>
          </cell>
          <cell r="I1061">
            <v>6</v>
          </cell>
          <cell r="J1061" t="str">
            <v>Material</v>
          </cell>
          <cell r="K1061" t="str">
            <v>exp</v>
          </cell>
          <cell r="L1061" t="str">
            <v>強化素材タイプ</v>
          </cell>
          <cell r="M1061" t="str">
            <v>unknown</v>
          </cell>
        </row>
        <row r="1062">
          <cell r="A1062">
            <v>1081</v>
          </cell>
          <cell r="B1062" t="str">
            <v>ja</v>
          </cell>
          <cell r="C1062" t="str">
            <v>水のアニバーサリーダック</v>
          </cell>
          <cell r="D1062" t="str">
            <v>未定</v>
          </cell>
          <cell r="E1062" t="str">
            <v>アリス</v>
          </cell>
          <cell r="F1062" t="str">
            <v>世界観</v>
          </cell>
          <cell r="G1062" t="str">
            <v>不明</v>
          </cell>
          <cell r="H1062" t="str">
            <v>blue</v>
          </cell>
          <cell r="I1062">
            <v>6</v>
          </cell>
          <cell r="J1062" t="str">
            <v>Material</v>
          </cell>
          <cell r="K1062" t="str">
            <v>exp</v>
          </cell>
          <cell r="L1062" t="str">
            <v>強化素材タイプ</v>
          </cell>
          <cell r="M1062" t="str">
            <v>unknown</v>
          </cell>
        </row>
        <row r="1063">
          <cell r="A1063">
            <v>1082</v>
          </cell>
          <cell r="B1063" t="str">
            <v>ja</v>
          </cell>
          <cell r="C1063" t="str">
            <v>雷のアニバーサリーダック</v>
          </cell>
          <cell r="D1063" t="str">
            <v>未定</v>
          </cell>
          <cell r="E1063" t="str">
            <v>アリス</v>
          </cell>
          <cell r="F1063" t="str">
            <v>世界観</v>
          </cell>
          <cell r="G1063" t="str">
            <v>不明</v>
          </cell>
          <cell r="H1063" t="str">
            <v>yellow</v>
          </cell>
          <cell r="I1063">
            <v>6</v>
          </cell>
          <cell r="J1063" t="str">
            <v>Material</v>
          </cell>
          <cell r="K1063" t="str">
            <v>exp</v>
          </cell>
          <cell r="L1063" t="str">
            <v>強化素材タイプ</v>
          </cell>
          <cell r="M1063" t="str">
            <v>unknown</v>
          </cell>
        </row>
        <row r="1064">
          <cell r="A1064">
            <v>6001</v>
          </cell>
          <cell r="B1064" t="str">
            <v>ja</v>
          </cell>
          <cell r="C1064" t="str">
            <v>ジェリー</v>
          </cell>
          <cell r="D1064" t="str">
            <v>ノーマルクエスト</v>
          </cell>
          <cell r="E1064" t="str">
            <v>QoH</v>
          </cell>
          <cell r="F1064" t="str">
            <v>世界観</v>
          </cell>
          <cell r="G1064" t="str">
            <v>不明</v>
          </cell>
          <cell r="H1064" t="str">
            <v>red</v>
          </cell>
          <cell r="I1064">
            <v>1</v>
          </cell>
          <cell r="J1064" t="str">
            <v>Drop1T</v>
          </cell>
          <cell r="K1064" t="str">
            <v>ra</v>
          </cell>
          <cell r="L1064" t="str">
            <v>ラグランジュチャレンジ</v>
          </cell>
          <cell r="M1064" t="str">
            <v>unknown</v>
          </cell>
        </row>
        <row r="1065">
          <cell r="A1065">
            <v>6002</v>
          </cell>
          <cell r="B1065" t="str">
            <v>ja</v>
          </cell>
          <cell r="C1065" t="str">
            <v>ヨシタカ</v>
          </cell>
          <cell r="D1065" t="str">
            <v>ノーマルクエスト</v>
          </cell>
          <cell r="E1065" t="str">
            <v>アバター</v>
          </cell>
          <cell r="F1065" t="str">
            <v>世界観</v>
          </cell>
          <cell r="G1065" t="str">
            <v>男性</v>
          </cell>
          <cell r="H1065" t="str">
            <v>red</v>
          </cell>
          <cell r="I1065">
            <v>2</v>
          </cell>
          <cell r="J1065" t="str">
            <v>Drop1N</v>
          </cell>
          <cell r="K1065" t="str">
            <v>ra</v>
          </cell>
          <cell r="L1065" t="str">
            <v>ラグランジュチャレンジ</v>
          </cell>
          <cell r="M1065" t="str">
            <v>human</v>
          </cell>
        </row>
        <row r="1066">
          <cell r="A1066">
            <v>6003</v>
          </cell>
          <cell r="B1066" t="str">
            <v>ja</v>
          </cell>
          <cell r="C1066" t="str">
            <v>朱雀</v>
          </cell>
          <cell r="D1066" t="str">
            <v>リンクガチャ:4神</v>
          </cell>
          <cell r="E1066" t="str">
            <v>守護神</v>
          </cell>
          <cell r="F1066" t="str">
            <v>格好いい</v>
          </cell>
          <cell r="G1066" t="str">
            <v>不明</v>
          </cell>
          <cell r="H1066" t="str">
            <v>red</v>
          </cell>
          <cell r="I1066">
            <v>3</v>
          </cell>
          <cell r="J1066" t="str">
            <v>Drop2N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6004</v>
          </cell>
          <cell r="B1067" t="str">
            <v>ja</v>
          </cell>
          <cell r="C1067" t="str">
            <v>ブレット</v>
          </cell>
          <cell r="D1067" t="str">
            <v>ノーマルクエスト</v>
          </cell>
          <cell r="E1067" t="str">
            <v>アバター</v>
          </cell>
          <cell r="F1067" t="str">
            <v>世界観</v>
          </cell>
          <cell r="G1067" t="str">
            <v>不明</v>
          </cell>
          <cell r="H1067" t="str">
            <v>red</v>
          </cell>
          <cell r="I1067">
            <v>1</v>
          </cell>
          <cell r="J1067" t="str">
            <v>Drop1W</v>
          </cell>
          <cell r="K1067" t="str">
            <v>ra</v>
          </cell>
          <cell r="L1067" t="str">
            <v>ラグランジュチャレンジ</v>
          </cell>
          <cell r="M1067" t="str">
            <v>animal</v>
          </cell>
        </row>
        <row r="1068">
          <cell r="A1068">
            <v>6005</v>
          </cell>
          <cell r="B1068" t="str">
            <v>ja</v>
          </cell>
          <cell r="C1068" t="str">
            <v>孤神 テティス</v>
          </cell>
          <cell r="D1068" t="str">
            <v>初期ガチャ</v>
          </cell>
          <cell r="E1068" t="str">
            <v>管理者</v>
          </cell>
          <cell r="F1068" t="str">
            <v>美しい</v>
          </cell>
          <cell r="G1068" t="str">
            <v>女性</v>
          </cell>
          <cell r="H1068" t="str">
            <v>blue</v>
          </cell>
          <cell r="I1068">
            <v>4</v>
          </cell>
          <cell r="J1068" t="str">
            <v>PremiumN</v>
          </cell>
          <cell r="K1068" t="str">
            <v>ra</v>
          </cell>
          <cell r="L1068" t="str">
            <v>ラグランジュチャレンジ</v>
          </cell>
          <cell r="M1068" t="str">
            <v>god</v>
          </cell>
        </row>
        <row r="1069">
          <cell r="A1069">
            <v>6006</v>
          </cell>
          <cell r="B1069" t="str">
            <v>ja</v>
          </cell>
          <cell r="C1069" t="str">
            <v>海底の孤高神 テティス</v>
          </cell>
          <cell r="D1069" t="str">
            <v>初期ガチャ</v>
          </cell>
          <cell r="E1069" t="str">
            <v>管理者</v>
          </cell>
          <cell r="F1069" t="str">
            <v>美しい</v>
          </cell>
          <cell r="G1069" t="str">
            <v>女性</v>
          </cell>
          <cell r="H1069" t="str">
            <v>blue</v>
          </cell>
          <cell r="I1069">
            <v>5</v>
          </cell>
          <cell r="J1069" t="str">
            <v>PremiumN</v>
          </cell>
          <cell r="K1069" t="str">
            <v>ra</v>
          </cell>
          <cell r="L1069" t="str">
            <v>ラグランジュチャレンジ</v>
          </cell>
          <cell r="M1069" t="str">
            <v>god</v>
          </cell>
        </row>
        <row r="1070">
          <cell r="A1070">
            <v>6007</v>
          </cell>
          <cell r="B1070" t="str">
            <v>ja</v>
          </cell>
          <cell r="C1070" t="str">
            <v>番犬 ケルベロス</v>
          </cell>
          <cell r="D1070" t="str">
            <v>初期ガチャ</v>
          </cell>
          <cell r="E1070" t="str">
            <v>破界者</v>
          </cell>
          <cell r="F1070" t="str">
            <v>可愛い</v>
          </cell>
          <cell r="G1070" t="str">
            <v>女性</v>
          </cell>
          <cell r="H1070" t="str">
            <v>red</v>
          </cell>
          <cell r="I1070">
            <v>4</v>
          </cell>
          <cell r="J1070" t="str">
            <v>PremiumN</v>
          </cell>
          <cell r="K1070" t="str">
            <v>ra</v>
          </cell>
          <cell r="L1070" t="str">
            <v>ラグランジュチャレンジ</v>
          </cell>
          <cell r="M1070" t="str">
            <v>animal</v>
          </cell>
        </row>
        <row r="1071">
          <cell r="A1071">
            <v>6008</v>
          </cell>
          <cell r="B1071" t="str">
            <v>ja</v>
          </cell>
          <cell r="C1071" t="str">
            <v>焔神 プロメテウス</v>
          </cell>
          <cell r="D1071" t="str">
            <v>初期ガチャ</v>
          </cell>
          <cell r="E1071" t="str">
            <v>管理者</v>
          </cell>
          <cell r="F1071" t="str">
            <v>格好いい</v>
          </cell>
          <cell r="G1071" t="str">
            <v>男性</v>
          </cell>
          <cell r="H1071" t="str">
            <v>red</v>
          </cell>
          <cell r="I1071">
            <v>4</v>
          </cell>
          <cell r="J1071" t="str">
            <v>PremiumN</v>
          </cell>
          <cell r="K1071" t="str">
            <v>ra</v>
          </cell>
          <cell r="L1071" t="str">
            <v>ラグランジュチャレンジ</v>
          </cell>
          <cell r="M1071" t="str">
            <v>god</v>
          </cell>
        </row>
        <row r="1072">
          <cell r="A1072">
            <v>6009</v>
          </cell>
          <cell r="B1072" t="str">
            <v>ja</v>
          </cell>
          <cell r="C1072" t="str">
            <v>超越自我 ラグランジュ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女性</v>
          </cell>
          <cell r="H1072" t="str">
            <v>red</v>
          </cell>
          <cell r="I1072">
            <v>5</v>
          </cell>
          <cell r="J1072" t="str">
            <v>PremiumSSS</v>
          </cell>
          <cell r="K1072" t="str">
            <v>ra</v>
          </cell>
          <cell r="L1072" t="str">
            <v>ラグランジュチャレンジ</v>
          </cell>
          <cell r="M1072" t="str">
            <v>human</v>
          </cell>
        </row>
        <row r="1073">
          <cell r="A1073">
            <v>6010</v>
          </cell>
          <cell r="B1073" t="str">
            <v>ja</v>
          </cell>
          <cell r="C1073" t="str">
            <v>超越凌駕 ラグランジュ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女性</v>
          </cell>
          <cell r="H1073" t="str">
            <v>red</v>
          </cell>
          <cell r="I1073">
            <v>6</v>
          </cell>
          <cell r="J1073" t="str">
            <v>PremiumSSS</v>
          </cell>
          <cell r="K1073" t="str">
            <v>ra</v>
          </cell>
          <cell r="L1073" t="str">
            <v>ラグランジュチャレンジ</v>
          </cell>
          <cell r="M1073" t="str">
            <v>human</v>
          </cell>
        </row>
        <row r="1074">
          <cell r="A1074">
            <v>6011</v>
          </cell>
          <cell r="B1074" t="str">
            <v>ja</v>
          </cell>
          <cell r="C1074" t="str">
            <v>パトドッグリーダー ポチ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2</v>
          </cell>
          <cell r="J1074" t="str">
            <v>Drop1T</v>
          </cell>
          <cell r="K1074" t="str">
            <v>ra002</v>
          </cell>
          <cell r="L1074" t="str">
            <v>ユークリッドチャレンジ</v>
          </cell>
          <cell r="M1074" t="str">
            <v>unknown</v>
          </cell>
        </row>
        <row r="1075">
          <cell r="A1075">
            <v>6012</v>
          </cell>
          <cell r="B1075" t="str">
            <v>ja</v>
          </cell>
          <cell r="C1075" t="str">
            <v>ミミ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1</v>
          </cell>
          <cell r="J1075" t="str">
            <v>Drop1W</v>
          </cell>
          <cell r="K1075" t="str">
            <v>ra002</v>
          </cell>
          <cell r="L1075" t="str">
            <v>ユークリッドチャレンジ</v>
          </cell>
          <cell r="M1075" t="str">
            <v>animal</v>
          </cell>
        </row>
        <row r="1076">
          <cell r="A1076">
            <v>6013</v>
          </cell>
          <cell r="B1076" t="str">
            <v>ja</v>
          </cell>
          <cell r="C1076" t="str">
            <v>護衛機人 スケアクロウ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2</v>
          </cell>
          <cell r="J1076" t="str">
            <v>Drop1N</v>
          </cell>
          <cell r="K1076" t="str">
            <v>ra002</v>
          </cell>
          <cell r="L1076" t="str">
            <v>ユークリッドチャレンジ</v>
          </cell>
          <cell r="M1076" t="str">
            <v>machine</v>
          </cell>
        </row>
        <row r="1077">
          <cell r="A1077">
            <v>6014</v>
          </cell>
          <cell r="B1077" t="str">
            <v>ja</v>
          </cell>
          <cell r="C1077" t="str">
            <v>月下の人狼 ローレンス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blue</v>
          </cell>
          <cell r="I1077">
            <v>4</v>
          </cell>
          <cell r="J1077" t="str">
            <v>PremiumW</v>
          </cell>
          <cell r="K1077" t="str">
            <v>ra002</v>
          </cell>
          <cell r="L1077" t="str">
            <v>ユークリッドチャレンジ</v>
          </cell>
          <cell r="M1077" t="str">
            <v>animal</v>
          </cell>
        </row>
        <row r="1078">
          <cell r="A1078">
            <v>6015</v>
          </cell>
          <cell r="B1078" t="str">
            <v>ja</v>
          </cell>
          <cell r="C1078" t="str">
            <v>フレイヤ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blue</v>
          </cell>
          <cell r="I1078">
            <v>4</v>
          </cell>
          <cell r="J1078" t="str">
            <v>PremiumSS</v>
          </cell>
          <cell r="K1078" t="str">
            <v>ra002</v>
          </cell>
          <cell r="L1078" t="str">
            <v>ユークリッドチャレンジ</v>
          </cell>
          <cell r="M1078" t="str">
            <v>animal</v>
          </cell>
        </row>
        <row r="1079">
          <cell r="A1079">
            <v>6016</v>
          </cell>
          <cell r="B1079" t="str">
            <v>ja</v>
          </cell>
          <cell r="C1079" t="str">
            <v>根原論理 ユークリッド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5</v>
          </cell>
          <cell r="J1079" t="str">
            <v>PremiumSSS</v>
          </cell>
          <cell r="K1079" t="str">
            <v>ra002</v>
          </cell>
          <cell r="L1079" t="str">
            <v>ユークリッドチャレンジ</v>
          </cell>
          <cell r="M1079" t="str">
            <v>human</v>
          </cell>
        </row>
        <row r="1080">
          <cell r="A1080">
            <v>6017</v>
          </cell>
          <cell r="B1080" t="str">
            <v>ja</v>
          </cell>
          <cell r="C1080" t="str">
            <v>不朽の極論 ユークリッド</v>
          </cell>
          <cell r="D1080" t="str">
            <v>ガチャ:フィーバーフェス02</v>
          </cell>
          <cell r="E1080" t="str">
            <v>執行者</v>
          </cell>
          <cell r="F1080" t="str">
            <v>格好いい</v>
          </cell>
          <cell r="G1080" t="str">
            <v>男性</v>
          </cell>
          <cell r="H1080" t="str">
            <v>blue</v>
          </cell>
          <cell r="I1080">
            <v>6</v>
          </cell>
          <cell r="J1080" t="str">
            <v>PremiumSSS</v>
          </cell>
          <cell r="K1080" t="str">
            <v>ra002</v>
          </cell>
          <cell r="L1080" t="str">
            <v>ユークリッドチャレンジ</v>
          </cell>
          <cell r="M1080" t="str">
            <v>human</v>
          </cell>
        </row>
        <row r="1081">
          <cell r="A1081">
            <v>6018</v>
          </cell>
          <cell r="B1081" t="str">
            <v>ja</v>
          </cell>
          <cell r="C1081" t="str">
            <v>ハヅル</v>
          </cell>
          <cell r="D1081" t="str">
            <v>ガチャ:フィーバーフェス02</v>
          </cell>
          <cell r="E1081" t="str">
            <v>執行者</v>
          </cell>
          <cell r="F1081" t="str">
            <v>格好いい</v>
          </cell>
          <cell r="G1081" t="str">
            <v>男性</v>
          </cell>
          <cell r="H1081" t="str">
            <v>red</v>
          </cell>
          <cell r="I1081">
            <v>4</v>
          </cell>
          <cell r="J1081" t="str">
            <v>PremiumSS</v>
          </cell>
          <cell r="K1081" t="str">
            <v>ra002</v>
          </cell>
          <cell r="L1081" t="str">
            <v>ユークリッドチャレンジ</v>
          </cell>
          <cell r="M1081" t="str">
            <v>animal</v>
          </cell>
        </row>
        <row r="1082">
          <cell r="A1082">
            <v>6019</v>
          </cell>
          <cell r="B1082" t="str">
            <v>ja</v>
          </cell>
          <cell r="C1082" t="str">
            <v>天織羽鶴 ハヅル</v>
          </cell>
          <cell r="D1082" t="str">
            <v>ガチャ:フィーバーフェス02</v>
          </cell>
          <cell r="E1082" t="str">
            <v>執行者</v>
          </cell>
          <cell r="F1082" t="str">
            <v>格好いい</v>
          </cell>
          <cell r="G1082" t="str">
            <v>男性</v>
          </cell>
          <cell r="H1082" t="str">
            <v>red</v>
          </cell>
          <cell r="I1082">
            <v>5</v>
          </cell>
          <cell r="J1082" t="str">
            <v>PremiumSS</v>
          </cell>
          <cell r="K1082" t="str">
            <v>ra002</v>
          </cell>
          <cell r="L1082" t="str">
            <v>ユークリッドチャレンジ</v>
          </cell>
          <cell r="M1082" t="str">
            <v>animal</v>
          </cell>
        </row>
        <row r="1083">
          <cell r="A1083">
            <v>6020</v>
          </cell>
          <cell r="B1083" t="str">
            <v>ja</v>
          </cell>
          <cell r="C1083" t="str">
            <v>ミズチ</v>
          </cell>
          <cell r="D1083" t="str">
            <v>ガチャ:フィーバーフェス02</v>
          </cell>
          <cell r="E1083" t="str">
            <v>執行者</v>
          </cell>
          <cell r="F1083" t="str">
            <v>格好いい</v>
          </cell>
          <cell r="G1083" t="str">
            <v>男性</v>
          </cell>
          <cell r="H1083" t="str">
            <v>blue</v>
          </cell>
          <cell r="I1083">
            <v>4</v>
          </cell>
          <cell r="J1083" t="str">
            <v>PremiumS</v>
          </cell>
          <cell r="K1083" t="str">
            <v>ra002</v>
          </cell>
          <cell r="L1083" t="str">
            <v>ユークリッドチャレンジ</v>
          </cell>
          <cell r="M1083" t="str">
            <v>dragon</v>
          </cell>
        </row>
        <row r="1084">
          <cell r="A1084">
            <v>8001</v>
          </cell>
          <cell r="B1084" t="str">
            <v>ja</v>
          </cell>
          <cell r="C1084" t="str">
            <v>媽祖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yellow</v>
          </cell>
          <cell r="I1084">
            <v>5</v>
          </cell>
          <cell r="J1084" t="str">
            <v>PremiumSS</v>
          </cell>
          <cell r="K1084" t="str">
            <v>attack</v>
          </cell>
          <cell r="L1084" t="str">
            <v>攻撃タイプ</v>
          </cell>
          <cell r="M1084" t="str">
            <v>god</v>
          </cell>
        </row>
        <row r="1085">
          <cell r="A1085">
            <v>8002</v>
          </cell>
          <cell r="B1085" t="str">
            <v>ja</v>
          </cell>
          <cell r="C1085" t="str">
            <v>天后 媽祖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yellow</v>
          </cell>
          <cell r="I1085">
            <v>6</v>
          </cell>
          <cell r="J1085" t="str">
            <v>PremiumSS</v>
          </cell>
          <cell r="K1085" t="str">
            <v>attack</v>
          </cell>
          <cell r="L1085" t="str">
            <v>攻撃タイプ</v>
          </cell>
          <cell r="M1085" t="str">
            <v>god</v>
          </cell>
        </row>
        <row r="1086">
          <cell r="A1086">
            <v>8003</v>
          </cell>
          <cell r="B1086" t="str">
            <v>ja</v>
          </cell>
          <cell r="C1086" t="str">
            <v>蛟龍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blue</v>
          </cell>
          <cell r="I1086">
            <v>5</v>
          </cell>
          <cell r="J1086" t="str">
            <v>DropWizS</v>
          </cell>
          <cell r="K1086" t="str">
            <v>hp</v>
          </cell>
          <cell r="L1086" t="str">
            <v>体力タイプ</v>
          </cell>
          <cell r="M1086" t="str">
            <v>dragon</v>
          </cell>
        </row>
        <row r="1087">
          <cell r="A1087">
            <v>8004</v>
          </cell>
          <cell r="B1087" t="str">
            <v>ja</v>
          </cell>
          <cell r="C1087" t="str">
            <v>深海蛟龍怪‧晏公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blue</v>
          </cell>
          <cell r="I1087">
            <v>6</v>
          </cell>
          <cell r="J1087" t="str">
            <v>DropWizS</v>
          </cell>
          <cell r="K1087" t="str">
            <v>hp</v>
          </cell>
          <cell r="L1087" t="str">
            <v>体力タイプ</v>
          </cell>
          <cell r="M1087" t="str">
            <v>dragon</v>
          </cell>
        </row>
        <row r="1088">
          <cell r="A1088">
            <v>8005</v>
          </cell>
          <cell r="B1088" t="str">
            <v>ja</v>
          </cell>
          <cell r="C1088" t="str">
            <v>三蔵法師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human</v>
          </cell>
        </row>
        <row r="1089">
          <cell r="A1089">
            <v>8006</v>
          </cell>
          <cell r="B1089" t="str">
            <v>ja</v>
          </cell>
          <cell r="C1089" t="str">
            <v>三蔵法師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blue</v>
          </cell>
          <cell r="I1089">
            <v>6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human</v>
          </cell>
        </row>
        <row r="1090">
          <cell r="A1090">
            <v>8007</v>
          </cell>
          <cell r="B1090" t="str">
            <v>ja</v>
          </cell>
          <cell r="C1090" t="str">
            <v>孫悟空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不明</v>
          </cell>
          <cell r="H1090" t="str">
            <v>red</v>
          </cell>
          <cell r="I1090">
            <v>5</v>
          </cell>
          <cell r="J1090" t="str">
            <v>DropWizS</v>
          </cell>
          <cell r="K1090" t="str">
            <v>attack</v>
          </cell>
          <cell r="L1090" t="str">
            <v>攻撃タイプ</v>
          </cell>
          <cell r="M1090" t="str">
            <v>animal</v>
          </cell>
        </row>
        <row r="1091">
          <cell r="A1091">
            <v>8008</v>
          </cell>
          <cell r="B1091" t="str">
            <v>ja</v>
          </cell>
          <cell r="C1091" t="str">
            <v>孫悟空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不明</v>
          </cell>
          <cell r="H1091" t="str">
            <v>red</v>
          </cell>
          <cell r="I1091">
            <v>6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animal</v>
          </cell>
        </row>
        <row r="1092">
          <cell r="A1092">
            <v>8009</v>
          </cell>
          <cell r="B1092" t="str">
            <v>ja</v>
          </cell>
          <cell r="C1092" t="str">
            <v>七星娘娘</v>
          </cell>
          <cell r="D1092" t="str">
            <v>イベント:ミクコラボ01</v>
          </cell>
          <cell r="E1092" t="str">
            <v>執行者</v>
          </cell>
          <cell r="F1092" t="str">
            <v>格好いい</v>
          </cell>
          <cell r="G1092" t="str">
            <v>不明</v>
          </cell>
          <cell r="H1092" t="str">
            <v>blue</v>
          </cell>
          <cell r="I1092">
            <v>5</v>
          </cell>
          <cell r="J1092" t="str">
            <v>PremiumSS</v>
          </cell>
          <cell r="K1092" t="str">
            <v>balance</v>
          </cell>
          <cell r="L1092" t="str">
            <v>バランスタイプ</v>
          </cell>
          <cell r="M1092" t="str">
            <v>god</v>
          </cell>
        </row>
        <row r="1093">
          <cell r="A1093">
            <v>8010</v>
          </cell>
          <cell r="B1093" t="str">
            <v>ja</v>
          </cell>
          <cell r="C1093" t="str">
            <v>七星娘娘</v>
          </cell>
          <cell r="D1093" t="str">
            <v>イベント:ミクコラボ01</v>
          </cell>
          <cell r="E1093" t="str">
            <v>執行者</v>
          </cell>
          <cell r="F1093" t="str">
            <v>格好いい</v>
          </cell>
          <cell r="G1093" t="str">
            <v>不明</v>
          </cell>
          <cell r="H1093" t="str">
            <v>yellow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god</v>
          </cell>
        </row>
        <row r="1094">
          <cell r="A1094">
            <v>8011</v>
          </cell>
          <cell r="B1094" t="str">
            <v>ja</v>
          </cell>
          <cell r="C1094" t="str">
            <v>月下老人</v>
          </cell>
          <cell r="D1094" t="str">
            <v>イベント:ミクコラボ01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DropWizS</v>
          </cell>
          <cell r="K1094" t="str">
            <v>heal</v>
          </cell>
          <cell r="L1094" t="str">
            <v>回復タイプ</v>
          </cell>
          <cell r="M1094" t="str">
            <v>god</v>
          </cell>
        </row>
        <row r="1095">
          <cell r="A1095">
            <v>8012</v>
          </cell>
          <cell r="B1095" t="str">
            <v>ja</v>
          </cell>
          <cell r="C1095" t="str">
            <v>良緣祈福 月下老人</v>
          </cell>
          <cell r="D1095" t="str">
            <v>イベント:ミクコラボ01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yellow</v>
          </cell>
          <cell r="I1095">
            <v>6</v>
          </cell>
          <cell r="J1095" t="str">
            <v>DropWizS</v>
          </cell>
          <cell r="K1095" t="str">
            <v>heal</v>
          </cell>
          <cell r="L1095" t="str">
            <v>回復タイプ</v>
          </cell>
          <cell r="M1095" t="str">
            <v>god</v>
          </cell>
        </row>
        <row r="1096">
          <cell r="A1096">
            <v>8013</v>
          </cell>
          <cell r="B1096" t="str">
            <v>ja</v>
          </cell>
          <cell r="C1096" t="str">
            <v>初音ミクV3</v>
          </cell>
          <cell r="D1096" t="str">
            <v>初音ミクV3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yellow</v>
          </cell>
          <cell r="I1096">
            <v>4</v>
          </cell>
          <cell r="J1096" t="str">
            <v>DropWizS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8014</v>
          </cell>
          <cell r="B1097" t="str">
            <v>ja</v>
          </cell>
          <cell r="C1097" t="str">
            <v>初音ミクV3</v>
          </cell>
          <cell r="D1097" t="str">
            <v>初音ミクV3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yellow</v>
          </cell>
          <cell r="I1097">
            <v>5</v>
          </cell>
          <cell r="J1097" t="str">
            <v>DropWizS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8015</v>
          </cell>
          <cell r="B1098" t="str">
            <v>ja</v>
          </cell>
          <cell r="C1098" t="str">
            <v>初音ミク・アペンド</v>
          </cell>
          <cell r="D1098" t="str">
            <v>初音ミク・アペンド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green</v>
          </cell>
          <cell r="I1098">
            <v>4</v>
          </cell>
          <cell r="J1098" t="str">
            <v>PremiumSSS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8016</v>
          </cell>
          <cell r="B1099" t="str">
            <v>ja</v>
          </cell>
          <cell r="C1099" t="str">
            <v>初音ミク・アペンド</v>
          </cell>
          <cell r="D1099" t="str">
            <v>初音ミク・アペンド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green</v>
          </cell>
          <cell r="I1099">
            <v>5</v>
          </cell>
          <cell r="J1099" t="str">
            <v>PremiumSSS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8017</v>
          </cell>
          <cell r="B1100" t="str">
            <v>ja</v>
          </cell>
          <cell r="C1100" t="str">
            <v>初音ミク</v>
          </cell>
          <cell r="D1100" t="str">
            <v>初音ミク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green</v>
          </cell>
          <cell r="I1100">
            <v>4</v>
          </cell>
          <cell r="J1100" t="str">
            <v>PremiumSSS</v>
          </cell>
          <cell r="K1100" t="str">
            <v>balance</v>
          </cell>
          <cell r="L1100" t="str">
            <v>バランスタイプ</v>
          </cell>
          <cell r="M1100" t="str">
            <v>unknown</v>
          </cell>
        </row>
        <row r="1101">
          <cell r="A1101">
            <v>8018</v>
          </cell>
          <cell r="B1101" t="str">
            <v>ja</v>
          </cell>
          <cell r="C1101" t="str">
            <v>初音ミク</v>
          </cell>
          <cell r="D1101" t="str">
            <v>初音ミク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green</v>
          </cell>
          <cell r="I1101">
            <v>5</v>
          </cell>
          <cell r="J1101" t="str">
            <v>PremiumSSS</v>
          </cell>
          <cell r="K1101" t="str">
            <v>balance</v>
          </cell>
          <cell r="L1101" t="str">
            <v>バランスタイプ</v>
          </cell>
          <cell r="M1101" t="str">
            <v>unknown</v>
          </cell>
        </row>
        <row r="1102">
          <cell r="A1102">
            <v>8019</v>
          </cell>
          <cell r="B1102" t="str">
            <v>ja</v>
          </cell>
          <cell r="C1102" t="str">
            <v>鏡音リン</v>
          </cell>
          <cell r="D1102" t="str">
            <v>鏡音リン</v>
          </cell>
          <cell r="E1102" t="str">
            <v>執行者</v>
          </cell>
          <cell r="F1102" t="str">
            <v>格好いい</v>
          </cell>
          <cell r="G1102" t="str">
            <v>男性</v>
          </cell>
          <cell r="H1102" t="str">
            <v>yellow</v>
          </cell>
          <cell r="I1102">
            <v>4</v>
          </cell>
          <cell r="J1102" t="str">
            <v>PremiumSS</v>
          </cell>
          <cell r="K1102" t="str">
            <v>balance</v>
          </cell>
          <cell r="L1102" t="str">
            <v>バランスタイプ</v>
          </cell>
          <cell r="M1102" t="str">
            <v>unknown</v>
          </cell>
        </row>
        <row r="1103">
          <cell r="A1103">
            <v>8020</v>
          </cell>
          <cell r="B1103" t="str">
            <v>ja</v>
          </cell>
          <cell r="C1103" t="str">
            <v>鏡音リン</v>
          </cell>
          <cell r="D1103" t="str">
            <v>鏡音リン</v>
          </cell>
          <cell r="E1103" t="str">
            <v>執行者</v>
          </cell>
          <cell r="F1103" t="str">
            <v>格好いい</v>
          </cell>
          <cell r="G1103" t="str">
            <v>男性</v>
          </cell>
          <cell r="H1103" t="str">
            <v>yellow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unknown</v>
          </cell>
        </row>
        <row r="1104">
          <cell r="A1104">
            <v>8021</v>
          </cell>
          <cell r="B1104" t="str">
            <v>ja</v>
          </cell>
          <cell r="C1104" t="str">
            <v>鏡音レン</v>
          </cell>
          <cell r="D1104" t="str">
            <v>鏡音レン</v>
          </cell>
          <cell r="E1104" t="str">
            <v>執行者</v>
          </cell>
          <cell r="F1104" t="str">
            <v>格好いい</v>
          </cell>
          <cell r="G1104" t="str">
            <v>女性</v>
          </cell>
          <cell r="H1104" t="str">
            <v>yellow</v>
          </cell>
          <cell r="I1104">
            <v>4</v>
          </cell>
          <cell r="J1104" t="str">
            <v>PremiumSS</v>
          </cell>
          <cell r="K1104" t="str">
            <v>heal</v>
          </cell>
          <cell r="L1104" t="str">
            <v>回復タイプ</v>
          </cell>
          <cell r="M1104" t="str">
            <v>unknown</v>
          </cell>
        </row>
        <row r="1105">
          <cell r="A1105">
            <v>8022</v>
          </cell>
          <cell r="B1105" t="str">
            <v>ja</v>
          </cell>
          <cell r="C1105" t="str">
            <v>鏡音レン</v>
          </cell>
          <cell r="D1105" t="str">
            <v>鏡音レン</v>
          </cell>
          <cell r="E1105" t="str">
            <v>執行者</v>
          </cell>
          <cell r="F1105" t="str">
            <v>格好いい</v>
          </cell>
          <cell r="G1105" t="str">
            <v>女性</v>
          </cell>
          <cell r="H1105" t="str">
            <v>yellow</v>
          </cell>
          <cell r="I1105">
            <v>5</v>
          </cell>
          <cell r="J1105" t="str">
            <v>PremiumSS</v>
          </cell>
          <cell r="K1105" t="str">
            <v>heal</v>
          </cell>
          <cell r="L1105" t="str">
            <v>回復タイプ</v>
          </cell>
          <cell r="M1105" t="str">
            <v>unknown</v>
          </cell>
        </row>
        <row r="1106">
          <cell r="A1106">
            <v>8023</v>
          </cell>
          <cell r="B1106" t="str">
            <v>ja</v>
          </cell>
          <cell r="C1106" t="str">
            <v>巡音ルカ</v>
          </cell>
          <cell r="D1106" t="str">
            <v>巡音ルカ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red</v>
          </cell>
          <cell r="I1106">
            <v>3</v>
          </cell>
          <cell r="J1106" t="str">
            <v>PremiumS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8024</v>
          </cell>
          <cell r="B1107" t="str">
            <v>ja</v>
          </cell>
          <cell r="C1107" t="str">
            <v>巡音ルカ</v>
          </cell>
          <cell r="D1107" t="str">
            <v>巡音ルカ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red</v>
          </cell>
          <cell r="I1107">
            <v>4</v>
          </cell>
          <cell r="J1107" t="str">
            <v>PremiumS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8025</v>
          </cell>
          <cell r="B1108" t="str">
            <v>ja</v>
          </cell>
          <cell r="C1108" t="str">
            <v>MEIKO</v>
          </cell>
          <cell r="D1108" t="str">
            <v>MEIKO</v>
          </cell>
          <cell r="E1108" t="str">
            <v>執行者</v>
          </cell>
          <cell r="F1108" t="str">
            <v>格好いい</v>
          </cell>
          <cell r="G1108" t="str">
            <v>男性</v>
          </cell>
          <cell r="H1108" t="str">
            <v>red</v>
          </cell>
          <cell r="I1108">
            <v>3</v>
          </cell>
          <cell r="J1108" t="str">
            <v>PremiumS</v>
          </cell>
          <cell r="K1108" t="str">
            <v>hp</v>
          </cell>
          <cell r="L1108" t="str">
            <v>体力タイプ</v>
          </cell>
          <cell r="M1108" t="str">
            <v>unknown</v>
          </cell>
        </row>
        <row r="1109">
          <cell r="A1109">
            <v>8026</v>
          </cell>
          <cell r="B1109" t="str">
            <v>ja</v>
          </cell>
          <cell r="C1109" t="str">
            <v>MEIKO</v>
          </cell>
          <cell r="D1109" t="str">
            <v>MEIKO</v>
          </cell>
          <cell r="E1109" t="str">
            <v>執行者</v>
          </cell>
          <cell r="F1109" t="str">
            <v>格好いい</v>
          </cell>
          <cell r="G1109" t="str">
            <v>男性</v>
          </cell>
          <cell r="H1109" t="str">
            <v>red</v>
          </cell>
          <cell r="I1109">
            <v>4</v>
          </cell>
          <cell r="J1109" t="str">
            <v>PremiumS</v>
          </cell>
          <cell r="K1109" t="str">
            <v>hp</v>
          </cell>
          <cell r="L1109" t="str">
            <v>体力タイプ</v>
          </cell>
          <cell r="M1109" t="str">
            <v>unknown</v>
          </cell>
        </row>
        <row r="1110">
          <cell r="A1110">
            <v>8027</v>
          </cell>
          <cell r="B1110" t="str">
            <v>ja</v>
          </cell>
          <cell r="C1110" t="str">
            <v>KAITO</v>
          </cell>
          <cell r="D1110" t="str">
            <v>KAITO</v>
          </cell>
          <cell r="E1110" t="str">
            <v>執行者</v>
          </cell>
          <cell r="F1110" t="str">
            <v>格好いい</v>
          </cell>
          <cell r="G1110" t="str">
            <v>女性</v>
          </cell>
          <cell r="H1110" t="str">
            <v>blue</v>
          </cell>
          <cell r="I1110">
            <v>3</v>
          </cell>
          <cell r="J1110" t="str">
            <v>PremiumS</v>
          </cell>
          <cell r="K1110" t="str">
            <v>technical</v>
          </cell>
          <cell r="L1110" t="str">
            <v>テクニカルタイプ</v>
          </cell>
          <cell r="M1110" t="str">
            <v>unknown</v>
          </cell>
        </row>
        <row r="1111">
          <cell r="A1111">
            <v>8028</v>
          </cell>
          <cell r="B1111" t="str">
            <v>ja</v>
          </cell>
          <cell r="C1111" t="str">
            <v>KAITO</v>
          </cell>
          <cell r="D1111" t="str">
            <v>KAITO</v>
          </cell>
          <cell r="E1111" t="str">
            <v>執行者</v>
          </cell>
          <cell r="F1111" t="str">
            <v>格好いい</v>
          </cell>
          <cell r="G1111" t="str">
            <v>女性</v>
          </cell>
          <cell r="H1111" t="str">
            <v>blue</v>
          </cell>
          <cell r="I1111">
            <v>4</v>
          </cell>
          <cell r="J1111" t="str">
            <v>PremiumS</v>
          </cell>
          <cell r="K1111" t="str">
            <v>technical</v>
          </cell>
          <cell r="L1111" t="str">
            <v>テクニカルタイプ</v>
          </cell>
          <cell r="M1111" t="str">
            <v>unknown</v>
          </cell>
        </row>
        <row r="1112">
          <cell r="A1112">
            <v>8029</v>
          </cell>
          <cell r="B1112" t="str">
            <v>ja</v>
          </cell>
          <cell r="C1112" t="str">
            <v>Expoミク</v>
          </cell>
          <cell r="D1112" t="str">
            <v>Expoミク</v>
          </cell>
          <cell r="E1112" t="str">
            <v>執行者</v>
          </cell>
          <cell r="F1112" t="str">
            <v>格好いい</v>
          </cell>
          <cell r="G1112" t="str">
            <v>女性</v>
          </cell>
          <cell r="H1112" t="str">
            <v>blue</v>
          </cell>
          <cell r="I1112">
            <v>4</v>
          </cell>
          <cell r="J1112" t="str">
            <v>Drop2N</v>
          </cell>
          <cell r="K1112" t="str">
            <v>heal</v>
          </cell>
          <cell r="L1112" t="str">
            <v>回復タイプ</v>
          </cell>
          <cell r="M1112" t="str">
            <v>unknown</v>
          </cell>
        </row>
        <row r="1113">
          <cell r="A1113">
            <v>8030</v>
          </cell>
          <cell r="B1113" t="str">
            <v>ja</v>
          </cell>
          <cell r="C1113" t="str">
            <v>Expoミク</v>
          </cell>
          <cell r="D1113" t="str">
            <v>Expoミク</v>
          </cell>
          <cell r="E1113" t="str">
            <v>執行者</v>
          </cell>
          <cell r="F1113" t="str">
            <v>格好いい</v>
          </cell>
          <cell r="G1113" t="str">
            <v>女性</v>
          </cell>
          <cell r="H1113" t="str">
            <v>blue</v>
          </cell>
          <cell r="I1113">
            <v>5</v>
          </cell>
          <cell r="J1113" t="str">
            <v>Drop2N</v>
          </cell>
          <cell r="K1113" t="str">
            <v>heal</v>
          </cell>
          <cell r="L1113" t="str">
            <v>回復タイプ</v>
          </cell>
          <cell r="M111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G5" sqref="G5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6" t="s">
        <v>222</v>
      </c>
      <c r="K40" s="86" t="s">
        <v>196</v>
      </c>
      <c r="M40" s="86" t="s">
        <v>247</v>
      </c>
    </row>
    <row r="41" spans="1:13" x14ac:dyDescent="0.15">
      <c r="J41" s="86" t="s">
        <v>223</v>
      </c>
      <c r="K41" s="86" t="s">
        <v>224</v>
      </c>
      <c r="M41" s="66" t="s">
        <v>191</v>
      </c>
    </row>
    <row r="42" spans="1:13" x14ac:dyDescent="0.15">
      <c r="J42" s="86" t="s">
        <v>225</v>
      </c>
      <c r="K42" s="86" t="s">
        <v>226</v>
      </c>
    </row>
    <row r="43" spans="1:13" x14ac:dyDescent="0.15">
      <c r="J43" s="86" t="s">
        <v>227</v>
      </c>
      <c r="K43" s="86" t="s">
        <v>228</v>
      </c>
    </row>
    <row r="44" spans="1:13" x14ac:dyDescent="0.15">
      <c r="J44" s="86" t="s">
        <v>229</v>
      </c>
      <c r="K44" s="86" t="s">
        <v>230</v>
      </c>
    </row>
    <row r="45" spans="1:13" x14ac:dyDescent="0.15">
      <c r="J45" s="86" t="s">
        <v>231</v>
      </c>
      <c r="K45" s="86" t="s">
        <v>232</v>
      </c>
    </row>
    <row r="46" spans="1:13" x14ac:dyDescent="0.15">
      <c r="J46" s="86" t="s">
        <v>233</v>
      </c>
      <c r="K46" s="86" t="s">
        <v>234</v>
      </c>
    </row>
    <row r="47" spans="1:13" x14ac:dyDescent="0.15">
      <c r="J47" s="86" t="s">
        <v>235</v>
      </c>
      <c r="K47" s="86" t="s">
        <v>239</v>
      </c>
    </row>
    <row r="48" spans="1:13" x14ac:dyDescent="0.15">
      <c r="J48" s="86" t="s">
        <v>236</v>
      </c>
      <c r="K48" s="86" t="s">
        <v>240</v>
      </c>
    </row>
    <row r="49" spans="10:11" x14ac:dyDescent="0.15">
      <c r="J49" s="86" t="s">
        <v>237</v>
      </c>
      <c r="K49" s="86" t="s">
        <v>241</v>
      </c>
    </row>
    <row r="50" spans="10:11" x14ac:dyDescent="0.15">
      <c r="J50" s="86" t="s">
        <v>238</v>
      </c>
      <c r="K50" s="86" t="s">
        <v>242</v>
      </c>
    </row>
    <row r="51" spans="10:11" x14ac:dyDescent="0.15">
      <c r="J51" s="86" t="s">
        <v>244</v>
      </c>
      <c r="K51" s="86" t="s">
        <v>243</v>
      </c>
    </row>
    <row r="52" spans="10:11" x14ac:dyDescent="0.15">
      <c r="J52" s="86" t="s">
        <v>245</v>
      </c>
      <c r="K52" s="86" t="s">
        <v>246</v>
      </c>
    </row>
    <row r="53" spans="10:11" x14ac:dyDescent="0.15">
      <c r="J53" s="86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D21" sqref="D2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277</v>
      </c>
      <c r="B2" s="61" t="s">
        <v>116</v>
      </c>
      <c r="C2" s="50" t="str">
        <f t="shared" ref="C2:C4" si="0">RIGHT(F2,6)</f>
        <v>371010</v>
      </c>
      <c r="D2" s="19" t="s">
        <v>46</v>
      </c>
      <c r="E2" s="17" t="str">
        <f t="shared" ref="E2:E7" si="1">B2&amp;C2&amp;D2</f>
        <v>gacha_select_tables_371010.tmp</v>
      </c>
      <c r="F2" s="91" t="s">
        <v>271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278</v>
      </c>
      <c r="B3" s="79" t="s">
        <v>220</v>
      </c>
      <c r="C3" s="50" t="str">
        <f t="shared" si="0"/>
        <v>371100</v>
      </c>
      <c r="D3" s="19" t="s">
        <v>46</v>
      </c>
      <c r="E3" s="17" t="str">
        <f t="shared" ref="E3:E4" si="2">B3&amp;C3&amp;D3</f>
        <v>gacha_settle_tables_371100.tmp</v>
      </c>
      <c r="F3" s="91" t="s">
        <v>272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278</v>
      </c>
      <c r="B4" s="61" t="s">
        <v>116</v>
      </c>
      <c r="C4" s="50" t="str">
        <f t="shared" si="0"/>
        <v>371100</v>
      </c>
      <c r="D4" s="19" t="s">
        <v>46</v>
      </c>
      <c r="E4" s="17" t="str">
        <f t="shared" si="2"/>
        <v>gacha_select_tables_371100.tmp</v>
      </c>
      <c r="F4" s="91" t="s">
        <v>270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269</v>
      </c>
      <c r="B5" s="27" t="s">
        <v>51</v>
      </c>
      <c r="C5" s="32">
        <v>368</v>
      </c>
      <c r="D5" s="19" t="s">
        <v>47</v>
      </c>
      <c r="E5" s="17" t="str">
        <f t="shared" si="1"/>
        <v>gacha_bonus_tables_368.tmp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90" t="s">
        <v>269</v>
      </c>
      <c r="B6" s="19" t="s">
        <v>49</v>
      </c>
      <c r="C6" s="32">
        <v>368</v>
      </c>
      <c r="D6" s="19" t="s">
        <v>47</v>
      </c>
      <c r="E6" s="17" t="str">
        <f t="shared" si="1"/>
        <v>gifts_tmp_368.tmp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1" t="s">
        <v>7</v>
      </c>
      <c r="P6" s="51" t="s">
        <v>9</v>
      </c>
      <c r="Q6" s="51" t="s">
        <v>6</v>
      </c>
      <c r="R6" s="51" t="s">
        <v>88</v>
      </c>
      <c r="S6" s="51" t="s">
        <v>8</v>
      </c>
      <c r="T6" s="51" t="s">
        <v>89</v>
      </c>
      <c r="U6" s="51" t="s">
        <v>5</v>
      </c>
    </row>
    <row r="7" spans="1:21" x14ac:dyDescent="0.15">
      <c r="A7" s="90" t="s">
        <v>269</v>
      </c>
      <c r="B7" s="19" t="s">
        <v>50</v>
      </c>
      <c r="C7" s="32">
        <v>368</v>
      </c>
      <c r="D7" s="19" t="s">
        <v>47</v>
      </c>
      <c r="E7" s="17" t="str">
        <f t="shared" si="1"/>
        <v>gifts_i18n_368.tmp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G13" sqref="G1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371010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>
        <v>1046</v>
      </c>
      <c r="M3" s="37" t="str">
        <f>VLOOKUP(L3,[1]characters!$A:$C,3,FALSE)</f>
        <v>涼求の炎狼 フェンリル</v>
      </c>
      <c r="N3" s="63">
        <v>0.04</v>
      </c>
      <c r="O3" s="37">
        <f>VLOOKUP(L3,[1]characters!$A:$I,9,FALSE)</f>
        <v>5</v>
      </c>
      <c r="P3" s="37" t="str">
        <f>VLOOKUP(L3,[1]characters!$A:$J,10,FALSE)</f>
        <v>PremiumS</v>
      </c>
      <c r="Q3" s="37" t="str">
        <f>VLOOKUP(L3,tables_371010!B:C,2,FALSE)</f>
        <v>Premium5R3less</v>
      </c>
      <c r="R3" s="62">
        <f t="shared" ref="R3:R20" si="1">N3*A$36</f>
        <v>557280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1047</v>
      </c>
      <c r="M4" s="37" t="str">
        <f>VLOOKUP(L4,[1]characters!$A:$C,3,FALSE)</f>
        <v>波浪の夏閃 オイラー</v>
      </c>
      <c r="N4" s="63">
        <v>5.0000000000000001E-3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VLOOKUP(L4,tables_371010!B:C,2,FALSE)</f>
        <v>PremiumSSS6R3less</v>
      </c>
      <c r="R4" s="62">
        <f t="shared" si="1"/>
        <v>69660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6.9767441860465117E-4</v>
      </c>
      <c r="F5">
        <f>(COUNTIF(tables_371010!C:C,input_371010!A26)+COUNTIF(tables_371010!C:C,input_371010!A28)+COUNTIF(tables_371010!C:C,input_371010!A29))</f>
        <v>43</v>
      </c>
      <c r="H5" s="87">
        <v>0</v>
      </c>
      <c r="I5" s="31">
        <v>0</v>
      </c>
      <c r="L5" s="60">
        <v>1050</v>
      </c>
      <c r="M5" s="37" t="str">
        <f>VLOOKUP(L5,[1]characters!$A:$C,3,FALSE)</f>
        <v>廻遊の水獣宰相 ルキフグス</v>
      </c>
      <c r="N5" s="63">
        <v>0.04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VLOOKUP(L5,tables_371010!B:C,2,FALSE)</f>
        <v>Premium5R3less</v>
      </c>
      <c r="R5" s="62">
        <f t="shared" si="1"/>
        <v>557280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1.0864197530864197E-2</v>
      </c>
      <c r="F6">
        <f>(COUNTIF(tables_371010!C:C,input_371010!A18)+COUNTIF(tables_371010!C:C,input_371010!A20)+COUNTIF(tables_371010!C:C,input_371010!A22))</f>
        <v>81</v>
      </c>
      <c r="H6" s="74">
        <v>0.08</v>
      </c>
      <c r="I6" s="31">
        <v>0</v>
      </c>
      <c r="L6" s="92">
        <v>1051</v>
      </c>
      <c r="M6" s="37" t="str">
        <f>VLOOKUP(L6,[1]characters!$A:$C,3,FALSE)</f>
        <v>嬌電の飛沫 ファラデー</v>
      </c>
      <c r="N6" s="63">
        <v>5.0000000000000001E-3</v>
      </c>
      <c r="O6" s="37">
        <f>VLOOKUP(L6,[1]characters!$A:$I,9,FALSE)</f>
        <v>6</v>
      </c>
      <c r="P6" s="37" t="str">
        <f>VLOOKUP(L6,[1]characters!$A:$J,10,FALSE)</f>
        <v>PremiumSSS</v>
      </c>
      <c r="Q6" s="37" t="str">
        <f>VLOOKUP(L6,tables_371010!B:C,2,FALSE)</f>
        <v>PremiumSSS6R3less</v>
      </c>
      <c r="R6" s="62">
        <f t="shared" si="1"/>
        <v>69660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VLOOKUP(L7,tables_371010!B:C,2,FALSE)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VLOOKUP(L8,tables_371010!B:C,2,FALSE)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0.08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VLOOKUP(L9,tables_371010!B:C,2,FALSE)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v>0.96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VLOOKUP(L10,tables_371010!B:C,2,FALSE)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0">
        <v>0.03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VLOOKUP(L11,tables_371010!B:C,2,FALSE)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VLOOKUP(L12,tables_371010!B:C,2,FALSE)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VLOOKUP(L13,tables_371010!B:C,2,FALSE)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VLOOKUP(L14,tables_371010!B:C,2,FALSE)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VLOOKUP(L15,tables_371010!B:C,2,FALSE)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VLOOKUP(L16,tables_371010!B:C,2,FALSE)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5">
        <f>B5-B19-B24</f>
        <v>0.21613551536032158</v>
      </c>
      <c r="C17" s="88">
        <f t="shared" ref="C17:C31" si="2">SUMIF(Q:Q,A17,N:N)</f>
        <v>0</v>
      </c>
      <c r="D17" s="76">
        <f t="shared" ref="D17:D26" si="3">B17-C17</f>
        <v>0.21613551536032158</v>
      </c>
      <c r="E17">
        <f>COUNTIF(tables_371010!C:C,input_371010!A17)-COUNTIF(Q:Q,A17)</f>
        <v>20</v>
      </c>
      <c r="F17" s="43">
        <f>IFERROR(B17/E17,0)</f>
        <v>1.0806775768016079E-2</v>
      </c>
      <c r="G17">
        <f t="shared" ref="G17:G31" si="4">A$36*B17</f>
        <v>3011200</v>
      </c>
      <c r="H17">
        <f t="shared" ref="H17:H26" si="5">IFERROR(ROUND(G17/E17,5),0)</f>
        <v>150560</v>
      </c>
      <c r="I17">
        <f t="shared" ref="I17:I31" si="6">MOD(H17,1)</f>
        <v>0</v>
      </c>
      <c r="J17">
        <f t="shared" ref="J17:J2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E6*E18-B17</f>
        <v>1.1484352569623713E-3</v>
      </c>
      <c r="C18" s="88">
        <f t="shared" si="2"/>
        <v>0</v>
      </c>
      <c r="D18" s="76">
        <f t="shared" si="3"/>
        <v>1.1484352569623713E-3</v>
      </c>
      <c r="E18">
        <f>COUNTIF(tables_371010!C:C,input_371010!A18)-COUNTIF(Q:Q,A18)</f>
        <v>20</v>
      </c>
      <c r="F18" s="43">
        <f t="shared" ref="F18:F31" si="8">IFERROR(B18/E18,0)</f>
        <v>5.7421762848118561E-5</v>
      </c>
      <c r="G18">
        <f t="shared" si="4"/>
        <v>15999.999999999756</v>
      </c>
      <c r="H18">
        <f t="shared" si="5"/>
        <v>800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E$6*E19*B5</f>
        <v>0.28246913580246913</v>
      </c>
      <c r="C19" s="88">
        <f t="shared" si="2"/>
        <v>0</v>
      </c>
      <c r="D19" s="76">
        <f t="shared" si="3"/>
        <v>0.28246913580246913</v>
      </c>
      <c r="E19">
        <f>COUNTIF(tables_371010!C:C,input_371010!A19)-COUNTIF(Q:Q,A19)</f>
        <v>52</v>
      </c>
      <c r="F19" s="43">
        <f t="shared" si="8"/>
        <v>5.4320987654320986E-3</v>
      </c>
      <c r="G19">
        <f t="shared" si="4"/>
        <v>3935360</v>
      </c>
      <c r="H19">
        <f t="shared" si="5"/>
        <v>75680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E$6*E20*B6</f>
        <v>0.25422222222222224</v>
      </c>
      <c r="C20" s="88">
        <f t="shared" si="2"/>
        <v>0</v>
      </c>
      <c r="D20" s="76">
        <f t="shared" si="3"/>
        <v>0.25422222222222224</v>
      </c>
      <c r="E20">
        <f>COUNTIF(tables_371010!C:C,input_371010!A20)-COUNTIF(Q:Q,A20)</f>
        <v>52</v>
      </c>
      <c r="F20" s="43">
        <f t="shared" si="8"/>
        <v>4.8888888888888888E-3</v>
      </c>
      <c r="G20">
        <f t="shared" si="4"/>
        <v>3541824</v>
      </c>
      <c r="H20">
        <f t="shared" si="5"/>
        <v>68112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E$6*E21*B7</f>
        <v>2.8246913580246915E-2</v>
      </c>
      <c r="C21" s="88">
        <f t="shared" si="2"/>
        <v>0</v>
      </c>
      <c r="D21" s="76">
        <f t="shared" si="3"/>
        <v>2.8246913580246915E-2</v>
      </c>
      <c r="E21">
        <f>COUNTIF(tables_371010!C:C,input_371010!A21)-COUNTIF(Q:Q,A21)</f>
        <v>52</v>
      </c>
      <c r="F21" s="43">
        <f t="shared" si="8"/>
        <v>5.4320987654320988E-4</v>
      </c>
      <c r="G21">
        <f t="shared" si="4"/>
        <v>393536</v>
      </c>
      <c r="H21">
        <f t="shared" si="5"/>
        <v>7568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8.4815389032443289E-2</v>
      </c>
      <c r="C22" s="88">
        <f t="shared" si="2"/>
        <v>0</v>
      </c>
      <c r="D22" s="76">
        <f t="shared" si="3"/>
        <v>8.4815389032443289E-2</v>
      </c>
      <c r="E22">
        <f>COUNTIF(tables_371010!C:C,input_371010!A22)-COUNTIF(Q:Q,A22)</f>
        <v>9</v>
      </c>
      <c r="F22" s="43">
        <f t="shared" si="8"/>
        <v>9.4239321147159202E-3</v>
      </c>
      <c r="G22">
        <f t="shared" si="4"/>
        <v>1181648</v>
      </c>
      <c r="H22">
        <f t="shared" si="5"/>
        <v>131294.22222</v>
      </c>
      <c r="I22">
        <f t="shared" si="6"/>
        <v>0.22221999999601394</v>
      </c>
      <c r="J22">
        <f t="shared" si="7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1.2962388745334476E-2</v>
      </c>
      <c r="C23" s="88">
        <f t="shared" si="2"/>
        <v>0.08</v>
      </c>
      <c r="D23" s="76">
        <f t="shared" si="3"/>
        <v>-6.7037611254665522E-2</v>
      </c>
      <c r="E23">
        <f>COUNTIF(tables_371010!C:C,input_371010!A23)-COUNTIF(Q:Q,A23)</f>
        <v>9</v>
      </c>
      <c r="F23" s="43">
        <f t="shared" si="8"/>
        <v>1.4402654161482752E-3</v>
      </c>
      <c r="G23">
        <f t="shared" si="4"/>
        <v>180591.99999999991</v>
      </c>
      <c r="H23">
        <f t="shared" si="5"/>
        <v>20065.77778</v>
      </c>
      <c r="I23">
        <f t="shared" si="6"/>
        <v>0.77778000000034808</v>
      </c>
      <c r="J23">
        <f t="shared" si="7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1.3953488372093023E-3</v>
      </c>
      <c r="C24" s="88">
        <f t="shared" si="2"/>
        <v>0</v>
      </c>
      <c r="D24" s="76">
        <f t="shared" si="3"/>
        <v>1.3953488372093023E-3</v>
      </c>
      <c r="E24">
        <f>COUNTIF(tables_371010!C:C,input_371010!A24)-COUNTIF(Q:Q,A24)</f>
        <v>4</v>
      </c>
      <c r="F24" s="43">
        <f t="shared" si="8"/>
        <v>3.4883720930232559E-4</v>
      </c>
      <c r="G24">
        <f t="shared" si="4"/>
        <v>19440</v>
      </c>
      <c r="H24">
        <f t="shared" si="5"/>
        <v>4860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1.2558139534883722E-3</v>
      </c>
      <c r="C25" s="88">
        <f t="shared" si="2"/>
        <v>0</v>
      </c>
      <c r="D25" s="76">
        <f t="shared" si="3"/>
        <v>1.2558139534883722E-3</v>
      </c>
      <c r="E25">
        <f>COUNTIF(tables_371010!C:C,input_371010!A25)-COUNTIF(Q:Q,A25)</f>
        <v>4</v>
      </c>
      <c r="F25" s="43">
        <f t="shared" si="8"/>
        <v>3.1395348837209304E-4</v>
      </c>
      <c r="G25">
        <f t="shared" si="4"/>
        <v>17496</v>
      </c>
      <c r="H25">
        <f t="shared" si="5"/>
        <v>4374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1.3953488372093025E-4</v>
      </c>
      <c r="C26" s="88">
        <f t="shared" si="2"/>
        <v>0</v>
      </c>
      <c r="D26" s="76">
        <f t="shared" si="3"/>
        <v>1.3953488372093025E-4</v>
      </c>
      <c r="E26">
        <f>COUNTIF(tables_371010!C:C,input_371010!A26)-COUNTIF(Q:Q,A26)</f>
        <v>4</v>
      </c>
      <c r="F26" s="43">
        <f t="shared" si="8"/>
        <v>3.4883720930232563E-5</v>
      </c>
      <c r="G26">
        <f t="shared" si="4"/>
        <v>1944.0000000000002</v>
      </c>
      <c r="H26">
        <f t="shared" si="5"/>
        <v>486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1.8558139534883718E-2</v>
      </c>
      <c r="C27" s="88">
        <f t="shared" si="2"/>
        <v>0</v>
      </c>
      <c r="D27" s="76">
        <f t="shared" ref="D27:D29" si="9">B27-C27</f>
        <v>1.8558139534883718E-2</v>
      </c>
      <c r="E27">
        <f>COUNTIF(tables_371010!C:C,input_371010!A27)-COUNTIF(Q:Q,A27)</f>
        <v>28</v>
      </c>
      <c r="F27" s="43">
        <f>IFERROR(B27/E27,0)</f>
        <v>6.6279069767441847E-4</v>
      </c>
      <c r="G27">
        <f t="shared" si="4"/>
        <v>258551.99999999997</v>
      </c>
      <c r="H27">
        <f t="shared" ref="H27:H29" si="10">IFERROR(ROUND(G27/E27,5),0)</f>
        <v>9234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9.7674418604651162E-4</v>
      </c>
      <c r="C28" s="88">
        <f t="shared" si="2"/>
        <v>0</v>
      </c>
      <c r="D28" s="76">
        <f t="shared" si="9"/>
        <v>9.7674418604651162E-4</v>
      </c>
      <c r="E28">
        <f>COUNTIF(tables_371010!C:C,input_371010!A28)-COUNTIF(Q:Q,A28)</f>
        <v>28</v>
      </c>
      <c r="F28" s="43">
        <f t="shared" si="8"/>
        <v>3.4883720930232556E-5</v>
      </c>
      <c r="G28">
        <f t="shared" si="4"/>
        <v>13608</v>
      </c>
      <c r="H28">
        <f t="shared" si="10"/>
        <v>486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88">
        <f t="shared" si="2"/>
        <v>0</v>
      </c>
      <c r="D29" s="76">
        <f t="shared" si="9"/>
        <v>7.674418604651163E-3</v>
      </c>
      <c r="E29">
        <f>COUNTIF(tables_371010!C:C,input_371010!A29)-COUNTIF(Q:Q,A29)</f>
        <v>11</v>
      </c>
      <c r="F29" s="43">
        <f t="shared" si="8"/>
        <v>6.9767441860465117E-4</v>
      </c>
      <c r="G29">
        <f t="shared" si="4"/>
        <v>106920</v>
      </c>
      <c r="H29">
        <f t="shared" si="10"/>
        <v>9720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274</v>
      </c>
      <c r="B30" s="56">
        <v>0</v>
      </c>
      <c r="C30" s="88">
        <f t="shared" si="2"/>
        <v>0</v>
      </c>
      <c r="D30" s="76">
        <f t="shared" ref="D30:D31" si="12">B30-C30</f>
        <v>0</v>
      </c>
      <c r="E30">
        <f>COUNTIF(tables_371010!C:C,input_371010!A30)-COUNTIF(Q:Q,A30)</f>
        <v>0</v>
      </c>
      <c r="F30" s="43">
        <f t="shared" si="8"/>
        <v>0</v>
      </c>
      <c r="G30">
        <f t="shared" si="4"/>
        <v>0</v>
      </c>
      <c r="H30">
        <f t="shared" ref="H30:H31" si="13">IFERROR(ROUND(G30/E30,5),0)</f>
        <v>0</v>
      </c>
      <c r="I30">
        <f t="shared" si="6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275</v>
      </c>
      <c r="B31" s="56">
        <v>0</v>
      </c>
      <c r="C31" s="88">
        <f t="shared" si="2"/>
        <v>0</v>
      </c>
      <c r="D31" s="76">
        <f t="shared" si="12"/>
        <v>0</v>
      </c>
      <c r="E31">
        <f>COUNTIF(tables_371010!C:C,input_371010!A31)-COUNTIF(Q:Q,A31)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0.91000000000000014</v>
      </c>
      <c r="C32" s="41">
        <f>SUM(C19:C31)</f>
        <v>0.08</v>
      </c>
      <c r="D32" s="42">
        <f t="shared" ref="D32" si="15">B32-C32</f>
        <v>0.83000000000000018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SUMIF(tables_371010!C:C,input_371010!A40,tables_371010!O:O)</f>
        <v>3935360</v>
      </c>
      <c r="C40" s="54">
        <f t="shared" ref="C40:C46" ca="1" si="16">B40/B$47</f>
        <v>0.48328846796219521</v>
      </c>
      <c r="E40">
        <v>3</v>
      </c>
      <c r="F40">
        <f ca="1">SUMIF(tables_371010!J:J,input_371010!E40,tables_371010!O:O)</f>
        <v>6966000</v>
      </c>
      <c r="G40">
        <f ca="1">F40/A36</f>
        <v>0.5</v>
      </c>
    </row>
    <row r="41" spans="1:7" x14ac:dyDescent="0.15">
      <c r="A41" s="33" t="s">
        <v>107</v>
      </c>
      <c r="B41">
        <f ca="1">SUMIF(tables_371010!C:C,input_371010!A41,tables_371010!O:O)</f>
        <v>3541824</v>
      </c>
      <c r="C41" s="54">
        <f t="shared" ca="1" si="16"/>
        <v>0.4349596211659757</v>
      </c>
      <c r="E41">
        <v>4</v>
      </c>
      <c r="F41">
        <f ca="1">SUMIF(tables_371010!J:J,input_371010!E41,tables_371010!O:O)</f>
        <v>5015519.9999799989</v>
      </c>
      <c r="G41">
        <f ca="1">F41/A36</f>
        <v>0.35999999999856436</v>
      </c>
    </row>
    <row r="42" spans="1:7" x14ac:dyDescent="0.15">
      <c r="A42" s="33" t="s">
        <v>112</v>
      </c>
      <c r="B42">
        <f ca="1">SUMIF(tables_371010!C:C,input_371010!A42,tables_371010!O:O)</f>
        <v>258552</v>
      </c>
      <c r="C42" s="54">
        <f t="shared" ca="1" si="16"/>
        <v>3.1751910871829131E-2</v>
      </c>
      <c r="E42">
        <v>5</v>
      </c>
      <c r="F42">
        <f ca="1">SUMIF(tables_371010!J:J,input_371010!E42,tables_371010!O:O)</f>
        <v>1811160.0000200002</v>
      </c>
      <c r="G42">
        <f ca="1">F42/A36</f>
        <v>0.13000000000143555</v>
      </c>
    </row>
    <row r="43" spans="1:7" x14ac:dyDescent="0.15">
      <c r="A43" s="33" t="s">
        <v>113</v>
      </c>
      <c r="B43">
        <f>SUMIF(tables_371010!C:C,input_371010!A43,tables_371010!O:O)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SUMIF(tables_371010!C:C,input_371010!A44,tables_371010!O:O)</f>
        <v>393536</v>
      </c>
      <c r="C44" s="54">
        <f t="shared" ca="1" si="16"/>
        <v>4.8328846796219523E-2</v>
      </c>
      <c r="E44" t="s">
        <v>104</v>
      </c>
      <c r="F44" s="55"/>
    </row>
    <row r="45" spans="1:7" x14ac:dyDescent="0.15">
      <c r="A45" s="33" t="s">
        <v>114</v>
      </c>
      <c r="B45">
        <f ca="1">SUMIF(tables_371010!C:C,input_371010!A45,tables_371010!O:O)</f>
        <v>13608</v>
      </c>
      <c r="C45" s="54">
        <f t="shared" ca="1" si="16"/>
        <v>1.6711532037804806E-3</v>
      </c>
      <c r="E45" t="s">
        <v>210</v>
      </c>
      <c r="F45" s="55">
        <f ca="1">SUMIF(tables_371010!I:I,input_371010!E45,tables_371010!P:P)</f>
        <v>0.22229198966408278</v>
      </c>
    </row>
    <row r="46" spans="1:7" x14ac:dyDescent="0.15">
      <c r="A46" s="33" t="s">
        <v>115</v>
      </c>
      <c r="B46">
        <f>SUMIF(tables_371010!C:C,input_371010!A46,tables_371010!O:O)</f>
        <v>0</v>
      </c>
      <c r="C46" s="54">
        <f t="shared" ca="1" si="16"/>
        <v>0</v>
      </c>
      <c r="E46" t="s">
        <v>211</v>
      </c>
      <c r="F46" s="55">
        <f ca="1">SUMIF(tables_371010!I:I,input_371010!E46,tables_371010!P:P)</f>
        <v>0.1867843812805054</v>
      </c>
    </row>
    <row r="47" spans="1:7" x14ac:dyDescent="0.15">
      <c r="A47" s="39" t="s">
        <v>60</v>
      </c>
      <c r="B47">
        <f ca="1">SUM(B40:B46)</f>
        <v>8142880</v>
      </c>
      <c r="C47" s="55">
        <f ca="1">SUM(C40:C46)</f>
        <v>1</v>
      </c>
      <c r="E47" t="s">
        <v>212</v>
      </c>
      <c r="F47" s="55">
        <f ca="1">SUMIF(tables_371010!I:I,input_371010!E47,tables_371010!P:P)</f>
        <v>0.55872236577662959</v>
      </c>
    </row>
    <row r="48" spans="1:7" x14ac:dyDescent="0.15">
      <c r="E48" t="s">
        <v>213</v>
      </c>
      <c r="F48" s="55">
        <f ca="1">SUMIF(tables_371010!I:I,input_371010!E48,tables_371010!P:P)</f>
        <v>2.7209302325581379E-2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8"/>
  <sheetViews>
    <sheetView showGridLines="0" zoomScale="75" zoomScaleNormal="75" zoomScalePageLayoutView="75" workbookViewId="0">
      <pane ySplit="1" topLeftCell="A286" activePane="bottomLeft" state="frozen"/>
      <selection activeCell="E10" sqref="E10"/>
      <selection pane="bottomLeft" activeCell="E256" sqref="E2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input_371010!A$2</f>
        <v>371010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IFERROR(VLOOKUP(B2,input_371010!L:R,7,FALSE),VLOOKUP(tables_371010!C2,input_371010!A:H,8,FALSE))</f>
        <v>150560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input_371010!A$2</f>
        <v>371010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IFERROR(VLOOKUP(B3,input_371010!L:R,7,FALSE),VLOOKUP(tables_371010!C3,input_371010!A:H,8,FALSE))</f>
        <v>800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input_371010!A$2</f>
        <v>371010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IFERROR(VLOOKUP(B4,input_371010!L:R,7,FALSE),VLOOKUP(tables_371010!C4,input_371010!A:H,8,FALSE))</f>
        <v>150560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input_371010!A$2</f>
        <v>371010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IFERROR(VLOOKUP(B5,input_371010!L:R,7,FALSE),VLOOKUP(tables_371010!C5,input_371010!A:H,8,FALSE))</f>
        <v>800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input_371010!A$2</f>
        <v>371010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IFERROR(VLOOKUP(B6,input_371010!L:R,7,FALSE),VLOOKUP(tables_371010!C6,input_371010!A:H,8,FALSE))</f>
        <v>150560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input_371010!A$2</f>
        <v>371010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IFERROR(VLOOKUP(B7,input_371010!L:R,7,FALSE),VLOOKUP(tables_371010!C7,input_371010!A:H,8,FALSE))</f>
        <v>800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input_371010!A$2</f>
        <v>371010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IFERROR(VLOOKUP(B8,input_371010!L:R,7,FALSE),VLOOKUP(tables_371010!C8,input_371010!A:H,8,FALSE))</f>
        <v>150560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input_371010!A$2</f>
        <v>371010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IFERROR(VLOOKUP(B9,input_371010!L:R,7,FALSE),VLOOKUP(tables_371010!C9,input_371010!A:H,8,FALSE))</f>
        <v>800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input_371010!A$2</f>
        <v>371010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IFERROR(VLOOKUP(B10,input_371010!L:R,7,FALSE),VLOOKUP(tables_371010!C10,input_371010!A:H,8,FALSE))</f>
        <v>150560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input_371010!A$2</f>
        <v>371010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IFERROR(VLOOKUP(B11,input_371010!L:R,7,FALSE),VLOOKUP(tables_371010!C11,input_371010!A:H,8,FALSE))</f>
        <v>800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input_371010!A$2</f>
        <v>371010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IFERROR(VLOOKUP(B12,input_371010!L:R,7,FALSE),VLOOKUP(tables_371010!C12,input_371010!A:H,8,FALSE))</f>
        <v>150560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input_371010!A$2</f>
        <v>371010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IFERROR(VLOOKUP(B13,input_371010!L:R,7,FALSE),VLOOKUP(tables_371010!C13,input_371010!A:H,8,FALSE))</f>
        <v>800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input_371010!A$2</f>
        <v>371010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IFERROR(VLOOKUP(B14,input_371010!L:R,7,FALSE),VLOOKUP(tables_371010!C14,input_371010!A:H,8,FALSE))</f>
        <v>150560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input_371010!A$2</f>
        <v>371010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IFERROR(VLOOKUP(B15,input_371010!L:R,7,FALSE),VLOOKUP(tables_371010!C15,input_371010!A:H,8,FALSE))</f>
        <v>800</v>
      </c>
      <c r="P15" s="46">
        <f t="shared" ref="P15:P78" ca="1" si="2">O15/SUM(O:O)</f>
        <v>5.7421762848119435E-5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input_371010!A$2</f>
        <v>371010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IFERROR(VLOOKUP(B16,input_371010!L:R,7,FALSE),VLOOKUP(tables_371010!C16,input_371010!A:H,8,FALSE))</f>
        <v>150560</v>
      </c>
      <c r="P16" s="46">
        <f t="shared" ca="1" si="2"/>
        <v>1.0806775768016079E-2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input_371010!A$2</f>
        <v>371010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IFERROR(VLOOKUP(B17,input_371010!L:R,7,FALSE),VLOOKUP(tables_371010!C17,input_371010!A:H,8,FALSE))</f>
        <v>800</v>
      </c>
      <c r="P17" s="46">
        <f t="shared" ca="1" si="2"/>
        <v>5.7421762848119435E-5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input_371010!A$2</f>
        <v>371010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IFERROR(VLOOKUP(B18,input_371010!L:R,7,FALSE),VLOOKUP(tables_371010!C18,input_371010!A:H,8,FALSE))</f>
        <v>150560</v>
      </c>
      <c r="P18" s="46">
        <f t="shared" ca="1" si="2"/>
        <v>1.0806775768016079E-2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input_371010!A$2</f>
        <v>371010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IFERROR(VLOOKUP(B19,input_371010!L:R,7,FALSE),VLOOKUP(tables_371010!C19,input_371010!A:H,8,FALSE))</f>
        <v>800</v>
      </c>
      <c r="P19" s="46">
        <f t="shared" ca="1" si="2"/>
        <v>5.7421762848119435E-5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input_371010!A$2</f>
        <v>371010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IFERROR(VLOOKUP(B20,input_371010!L:R,7,FALSE),VLOOKUP(tables_371010!C20,input_371010!A:H,8,FALSE))</f>
        <v>150560</v>
      </c>
      <c r="P20" s="46">
        <f t="shared" ca="1" si="2"/>
        <v>1.0806775768016079E-2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input_371010!A$2</f>
        <v>371010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IFERROR(VLOOKUP(B21,input_371010!L:R,7,FALSE),VLOOKUP(tables_371010!C21,input_371010!A:H,8,FALSE))</f>
        <v>800</v>
      </c>
      <c r="P21" s="46">
        <f t="shared" ca="1" si="2"/>
        <v>5.7421762848119435E-5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input_371010!A$2</f>
        <v>371010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IFERROR(VLOOKUP(B22,input_371010!L:R,7,FALSE),VLOOKUP(tables_371010!C22,input_371010!A:H,8,FALSE))</f>
        <v>150560</v>
      </c>
      <c r="P22" s="46">
        <f t="shared" ca="1" si="2"/>
        <v>1.0806775768016079E-2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input_371010!A$2</f>
        <v>371010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IFERROR(VLOOKUP(B23,input_371010!L:R,7,FALSE),VLOOKUP(tables_371010!C23,input_371010!A:H,8,FALSE))</f>
        <v>800</v>
      </c>
      <c r="P23" s="46">
        <f t="shared" ca="1" si="2"/>
        <v>5.7421762848119435E-5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input_371010!A$2</f>
        <v>371010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IFERROR(VLOOKUP(B24,input_371010!L:R,7,FALSE),VLOOKUP(tables_371010!C24,input_371010!A:H,8,FALSE))</f>
        <v>150560</v>
      </c>
      <c r="P24" s="46">
        <f t="shared" ca="1" si="2"/>
        <v>1.0806775768016079E-2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input_371010!A$2</f>
        <v>371010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IFERROR(VLOOKUP(B25,input_371010!L:R,7,FALSE),VLOOKUP(tables_371010!C25,input_371010!A:H,8,FALSE))</f>
        <v>800</v>
      </c>
      <c r="P25" s="46">
        <f t="shared" ca="1" si="2"/>
        <v>5.7421762848119435E-5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input_371010!A$2</f>
        <v>371010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IFERROR(VLOOKUP(B26,input_371010!L:R,7,FALSE),VLOOKUP(tables_371010!C26,input_371010!A:H,8,FALSE))</f>
        <v>150560</v>
      </c>
      <c r="P26" s="46">
        <f t="shared" ca="1" si="2"/>
        <v>1.0806775768016079E-2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input_371010!A$2</f>
        <v>371010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IFERROR(VLOOKUP(B27,input_371010!L:R,7,FALSE),VLOOKUP(tables_371010!C27,input_371010!A:H,8,FALSE))</f>
        <v>800</v>
      </c>
      <c r="P27" s="46">
        <f t="shared" ca="1" si="2"/>
        <v>5.7421762848119435E-5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input_371010!A$2</f>
        <v>371010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IFERROR(VLOOKUP(B28,input_371010!L:R,7,FALSE),VLOOKUP(tables_371010!C28,input_371010!A:H,8,FALSE))</f>
        <v>150560</v>
      </c>
      <c r="P28" s="46">
        <f t="shared" ca="1" si="2"/>
        <v>1.0806775768016079E-2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input_371010!A$2</f>
        <v>371010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IFERROR(VLOOKUP(B29,input_371010!L:R,7,FALSE),VLOOKUP(tables_371010!C29,input_371010!A:H,8,FALSE))</f>
        <v>800</v>
      </c>
      <c r="P29" s="46">
        <f t="shared" ca="1" si="2"/>
        <v>5.7421762848119435E-5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input_371010!A$2</f>
        <v>371010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IFERROR(VLOOKUP(B30,input_371010!L:R,7,FALSE),VLOOKUP(tables_371010!C30,input_371010!A:H,8,FALSE))</f>
        <v>150560</v>
      </c>
      <c r="P30" s="46">
        <f t="shared" ca="1" si="2"/>
        <v>1.0806775768016079E-2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input_371010!A$2</f>
        <v>371010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IFERROR(VLOOKUP(B31,input_371010!L:R,7,FALSE),VLOOKUP(tables_371010!C31,input_371010!A:H,8,FALSE))</f>
        <v>800</v>
      </c>
      <c r="P31" s="46">
        <f t="shared" ca="1" si="2"/>
        <v>5.7421762848119435E-5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input_371010!A$2</f>
        <v>371010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IFERROR(VLOOKUP(B32,input_371010!L:R,7,FALSE),VLOOKUP(tables_371010!C32,input_371010!A:H,8,FALSE))</f>
        <v>150560</v>
      </c>
      <c r="P32" s="46">
        <f t="shared" ca="1" si="2"/>
        <v>1.0806775768016079E-2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input_371010!A$2</f>
        <v>371010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IFERROR(VLOOKUP(B33,input_371010!L:R,7,FALSE),VLOOKUP(tables_371010!C33,input_371010!A:H,8,FALSE))</f>
        <v>800</v>
      </c>
      <c r="P33" s="46">
        <f t="shared" ca="1" si="2"/>
        <v>5.7421762848119435E-5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input_371010!A$2</f>
        <v>371010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IFERROR(VLOOKUP(B34,input_371010!L:R,7,FALSE),VLOOKUP(tables_371010!C34,input_371010!A:H,8,FALSE))</f>
        <v>150560</v>
      </c>
      <c r="P34" s="46">
        <f t="shared" ca="1" si="2"/>
        <v>1.0806775768016079E-2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input_371010!A$2</f>
        <v>371010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IFERROR(VLOOKUP(B35,input_371010!L:R,7,FALSE),VLOOKUP(tables_371010!C35,input_371010!A:H,8,FALSE))</f>
        <v>800</v>
      </c>
      <c r="P35" s="46">
        <f t="shared" ca="1" si="2"/>
        <v>5.7421762848119435E-5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input_371010!A$2</f>
        <v>371010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IFERROR(VLOOKUP(B36,input_371010!L:R,7,FALSE),VLOOKUP(tables_371010!C36,input_371010!A:H,8,FALSE))</f>
        <v>150560</v>
      </c>
      <c r="P36" s="46">
        <f t="shared" ca="1" si="2"/>
        <v>1.0806775768016079E-2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input_371010!A$2</f>
        <v>371010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IFERROR(VLOOKUP(B37,input_371010!L:R,7,FALSE),VLOOKUP(tables_371010!C37,input_371010!A:H,8,FALSE))</f>
        <v>800</v>
      </c>
      <c r="P37" s="46">
        <f t="shared" ca="1" si="2"/>
        <v>5.7421762848119435E-5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input_371010!A$2</f>
        <v>371010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IFERROR(VLOOKUP(B38,input_371010!L:R,7,FALSE),VLOOKUP(tables_371010!C38,input_371010!A:H,8,FALSE))</f>
        <v>150560</v>
      </c>
      <c r="P38" s="46">
        <f t="shared" ca="1" si="2"/>
        <v>1.0806775768016079E-2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input_371010!A$2</f>
        <v>371010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IFERROR(VLOOKUP(B39,input_371010!L:R,7,FALSE),VLOOKUP(tables_371010!C39,input_371010!A:H,8,FALSE))</f>
        <v>800</v>
      </c>
      <c r="P39" s="46">
        <f t="shared" ca="1" si="2"/>
        <v>5.7421762848119435E-5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input_371010!A$2</f>
        <v>371010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IFERROR(VLOOKUP(B40,input_371010!L:R,7,FALSE),VLOOKUP(tables_371010!C40,input_371010!A:H,8,FALSE))</f>
        <v>150560</v>
      </c>
      <c r="P40" s="46">
        <f t="shared" ca="1" si="2"/>
        <v>1.0806775768016079E-2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input_371010!A$2</f>
        <v>371010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IFERROR(VLOOKUP(B41,input_371010!L:R,7,FALSE),VLOOKUP(tables_371010!C41,input_371010!A:H,8,FALSE))</f>
        <v>800</v>
      </c>
      <c r="P41" s="46">
        <f t="shared" ca="1" si="2"/>
        <v>5.7421762848119435E-5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input_371010!A$2</f>
        <v>371010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IFERROR(VLOOKUP(B42,input_371010!L:R,7,FALSE),VLOOKUP(tables_371010!C42,input_371010!A:H,8,FALSE))</f>
        <v>4860</v>
      </c>
      <c r="P42" s="46">
        <f t="shared" ca="1" si="2"/>
        <v>3.4883720930232559E-4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input_371010!A$2</f>
        <v>371010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IFERROR(VLOOKUP(B43,input_371010!L:R,7,FALSE),VLOOKUP(tables_371010!C43,input_371010!A:H,8,FALSE))</f>
        <v>4374</v>
      </c>
      <c r="P43" s="46">
        <f t="shared" ca="1" si="2"/>
        <v>3.1395348837209304E-4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input_371010!A$2</f>
        <v>371010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IFERROR(VLOOKUP(B44,input_371010!L:R,7,FALSE),VLOOKUP(tables_371010!C44,input_371010!A:H,8,FALSE))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input_371010!A$2</f>
        <v>371010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IFERROR(VLOOKUP(B45,input_371010!L:R,7,FALSE),VLOOKUP(tables_371010!C45,input_371010!A:H,8,FALSE))</f>
        <v>4860</v>
      </c>
      <c r="P45" s="46">
        <f t="shared" ca="1" si="2"/>
        <v>3.4883720930232559E-4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input_371010!A$2</f>
        <v>371010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IFERROR(VLOOKUP(B46,input_371010!L:R,7,FALSE),VLOOKUP(tables_371010!C46,input_371010!A:H,8,FALSE))</f>
        <v>4374</v>
      </c>
      <c r="P46" s="46">
        <f t="shared" ca="1" si="2"/>
        <v>3.1395348837209304E-4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input_371010!A$2</f>
        <v>371010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IFERROR(VLOOKUP(B47,input_371010!L:R,7,FALSE),VLOOKUP(tables_371010!C47,input_371010!A:H,8,FALSE))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input_371010!A$2</f>
        <v>371010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IFERROR(VLOOKUP(B48,input_371010!L:R,7,FALSE),VLOOKUP(tables_371010!C48,input_371010!A:H,8,FALSE))</f>
        <v>4860</v>
      </c>
      <c r="P48" s="46">
        <f t="shared" ca="1" si="2"/>
        <v>3.4883720930232559E-4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input_371010!A$2</f>
        <v>371010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IFERROR(VLOOKUP(B49,input_371010!L:R,7,FALSE),VLOOKUP(tables_371010!C49,input_371010!A:H,8,FALSE))</f>
        <v>4374</v>
      </c>
      <c r="P49" s="46">
        <f t="shared" ca="1" si="2"/>
        <v>3.1395348837209304E-4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input_371010!A$2</f>
        <v>371010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IFERROR(VLOOKUP(B50,input_371010!L:R,7,FALSE),VLOOKUP(tables_371010!C50,input_371010!A:H,8,FALSE))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input_371010!A$2</f>
        <v>371010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IFERROR(VLOOKUP(B51,input_371010!L:R,7,FALSE),VLOOKUP(tables_371010!C51,input_371010!A:H,8,FALSE))</f>
        <v>75680</v>
      </c>
      <c r="P51" s="46">
        <f t="shared" ca="1" si="2"/>
        <v>5.4320987654320986E-3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input_371010!A$2</f>
        <v>371010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IFERROR(VLOOKUP(B52,input_371010!L:R,7,FALSE),VLOOKUP(tables_371010!C52,input_371010!A:H,8,FALSE))</f>
        <v>68112</v>
      </c>
      <c r="P52" s="46">
        <f t="shared" ca="1" si="2"/>
        <v>4.8888888888888888E-3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input_371010!A$2</f>
        <v>371010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IFERROR(VLOOKUP(B53,input_371010!L:R,7,FALSE),VLOOKUP(tables_371010!C53,input_371010!A:H,8,FALSE))</f>
        <v>7568</v>
      </c>
      <c r="P53" s="46">
        <f t="shared" ca="1" si="2"/>
        <v>5.4320987654320988E-4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input_371010!A$2</f>
        <v>371010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IFERROR(VLOOKUP(B54,input_371010!L:R,7,FALSE),VLOOKUP(tables_371010!C54,input_371010!A:H,8,FALSE))</f>
        <v>75680</v>
      </c>
      <c r="P54" s="46">
        <f t="shared" ca="1" si="2"/>
        <v>5.4320987654320986E-3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input_371010!A$2</f>
        <v>371010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IFERROR(VLOOKUP(B55,input_371010!L:R,7,FALSE),VLOOKUP(tables_371010!C55,input_371010!A:H,8,FALSE))</f>
        <v>68112</v>
      </c>
      <c r="P55" s="46">
        <f t="shared" ca="1" si="2"/>
        <v>4.8888888888888888E-3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input_371010!A$2</f>
        <v>371010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IFERROR(VLOOKUP(B56,input_371010!L:R,7,FALSE),VLOOKUP(tables_371010!C56,input_371010!A:H,8,FALSE))</f>
        <v>7568</v>
      </c>
      <c r="P56" s="46">
        <f t="shared" ca="1" si="2"/>
        <v>5.4320987654320988E-4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input_371010!A$2</f>
        <v>371010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IFERROR(VLOOKUP(B57,input_371010!L:R,7,FALSE),VLOOKUP(tables_371010!C57,input_371010!A:H,8,FALSE))</f>
        <v>75680</v>
      </c>
      <c r="P57" s="46">
        <f t="shared" ca="1" si="2"/>
        <v>5.4320987654320986E-3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input_371010!A$2</f>
        <v>371010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IFERROR(VLOOKUP(B58,input_371010!L:R,7,FALSE),VLOOKUP(tables_371010!C58,input_371010!A:H,8,FALSE))</f>
        <v>68112</v>
      </c>
      <c r="P58" s="46">
        <f t="shared" ca="1" si="2"/>
        <v>4.8888888888888888E-3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input_371010!A$2</f>
        <v>371010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IFERROR(VLOOKUP(B59,input_371010!L:R,7,FALSE),VLOOKUP(tables_371010!C59,input_371010!A:H,8,FALSE))</f>
        <v>7568</v>
      </c>
      <c r="P59" s="46">
        <f t="shared" ca="1" si="2"/>
        <v>5.4320987654320988E-4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input_371010!A$2</f>
        <v>371010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IFERROR(VLOOKUP(B60,input_371010!L:R,7,FALSE),VLOOKUP(tables_371010!C60,input_371010!A:H,8,FALSE))</f>
        <v>75680</v>
      </c>
      <c r="P60" s="46">
        <f t="shared" ca="1" si="2"/>
        <v>5.4320987654320986E-3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input_371010!A$2</f>
        <v>371010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IFERROR(VLOOKUP(B61,input_371010!L:R,7,FALSE),VLOOKUP(tables_371010!C61,input_371010!A:H,8,FALSE))</f>
        <v>68112</v>
      </c>
      <c r="P61" s="46">
        <f t="shared" ca="1" si="2"/>
        <v>4.8888888888888888E-3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input_371010!A$2</f>
        <v>371010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IFERROR(VLOOKUP(B62,input_371010!L:R,7,FALSE),VLOOKUP(tables_371010!C62,input_371010!A:H,8,FALSE))</f>
        <v>7568</v>
      </c>
      <c r="P62" s="46">
        <f t="shared" ca="1" si="2"/>
        <v>5.4320987654320988E-4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input_371010!A$2</f>
        <v>371010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IFERROR(VLOOKUP(B63,input_371010!L:R,7,FALSE),VLOOKUP(tables_371010!C63,input_371010!A:H,8,FALSE))</f>
        <v>75680</v>
      </c>
      <c r="P63" s="46">
        <f t="shared" ca="1" si="2"/>
        <v>5.4320987654320986E-3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input_371010!A$2</f>
        <v>371010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IFERROR(VLOOKUP(B64,input_371010!L:R,7,FALSE),VLOOKUP(tables_371010!C64,input_371010!A:H,8,FALSE))</f>
        <v>68112</v>
      </c>
      <c r="P64" s="46">
        <f t="shared" ca="1" si="2"/>
        <v>4.8888888888888888E-3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input_371010!A$2</f>
        <v>371010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IFERROR(VLOOKUP(B65,input_371010!L:R,7,FALSE),VLOOKUP(tables_371010!C65,input_371010!A:H,8,FALSE))</f>
        <v>7568</v>
      </c>
      <c r="P65" s="46">
        <f t="shared" ca="1" si="2"/>
        <v>5.4320987654320988E-4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input_371010!A$2</f>
        <v>371010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IFERROR(VLOOKUP(B66,input_371010!L:R,7,FALSE),VLOOKUP(tables_371010!C66,input_371010!A:H,8,FALSE))</f>
        <v>75680</v>
      </c>
      <c r="P66" s="46">
        <f t="shared" ca="1" si="2"/>
        <v>5.4320987654320986E-3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input_371010!A$2</f>
        <v>371010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IFERROR(VLOOKUP(B67,input_371010!L:R,7,FALSE),VLOOKUP(tables_371010!C67,input_371010!A:H,8,FALSE))</f>
        <v>68112</v>
      </c>
      <c r="P67" s="46">
        <f t="shared" ca="1" si="2"/>
        <v>4.8888888888888888E-3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input_371010!A$2</f>
        <v>371010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IFERROR(VLOOKUP(B68,input_371010!L:R,7,FALSE),VLOOKUP(tables_371010!C68,input_371010!A:H,8,FALSE))</f>
        <v>7568</v>
      </c>
      <c r="P68" s="46">
        <f t="shared" ca="1" si="2"/>
        <v>5.4320987654320988E-4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input_371010!A$2</f>
        <v>371010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IFERROR(VLOOKUP(B69,input_371010!L:R,7,FALSE),VLOOKUP(tables_371010!C69,input_371010!A:H,8,FALSE))</f>
        <v>75680</v>
      </c>
      <c r="P69" s="46">
        <f t="shared" ca="1" si="2"/>
        <v>5.4320987654320986E-3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input_371010!A$2</f>
        <v>371010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IFERROR(VLOOKUP(B70,input_371010!L:R,7,FALSE),VLOOKUP(tables_371010!C70,input_371010!A:H,8,FALSE))</f>
        <v>68112</v>
      </c>
      <c r="P70" s="46">
        <f t="shared" ca="1" si="2"/>
        <v>4.8888888888888888E-3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input_371010!A$2</f>
        <v>371010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IFERROR(VLOOKUP(B71,input_371010!L:R,7,FALSE),VLOOKUP(tables_371010!C71,input_371010!A:H,8,FALSE))</f>
        <v>7568</v>
      </c>
      <c r="P71" s="46">
        <f t="shared" ca="1" si="2"/>
        <v>5.4320987654320988E-4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input_371010!A$2</f>
        <v>371010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IFERROR(VLOOKUP(B72,input_371010!L:R,7,FALSE),VLOOKUP(tables_371010!C72,input_371010!A:H,8,FALSE))</f>
        <v>75680</v>
      </c>
      <c r="P72" s="46">
        <f t="shared" ca="1" si="2"/>
        <v>5.4320987654320986E-3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input_371010!A$2</f>
        <v>371010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IFERROR(VLOOKUP(B73,input_371010!L:R,7,FALSE),VLOOKUP(tables_371010!C73,input_371010!A:H,8,FALSE))</f>
        <v>68112</v>
      </c>
      <c r="P73" s="46">
        <f t="shared" ca="1" si="2"/>
        <v>4.8888888888888888E-3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input_371010!A$2</f>
        <v>371010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IFERROR(VLOOKUP(B74,input_371010!L:R,7,FALSE),VLOOKUP(tables_371010!C74,input_371010!A:H,8,FALSE))</f>
        <v>7568</v>
      </c>
      <c r="P74" s="46">
        <f t="shared" ca="1" si="2"/>
        <v>5.4320987654320988E-4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input_371010!A$2</f>
        <v>371010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IFERROR(VLOOKUP(B75,input_371010!L:R,7,FALSE),VLOOKUP(tables_371010!C75,input_371010!A:H,8,FALSE))</f>
        <v>75680</v>
      </c>
      <c r="P75" s="46">
        <f t="shared" ca="1" si="2"/>
        <v>5.4320987654320986E-3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input_371010!A$2</f>
        <v>371010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IFERROR(VLOOKUP(B76,input_371010!L:R,7,FALSE),VLOOKUP(tables_371010!C76,input_371010!A:H,8,FALSE))</f>
        <v>68112</v>
      </c>
      <c r="P76" s="46">
        <f t="shared" ca="1" si="2"/>
        <v>4.8888888888888888E-3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input_371010!A$2</f>
        <v>371010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IFERROR(VLOOKUP(B77,input_371010!L:R,7,FALSE),VLOOKUP(tables_371010!C77,input_371010!A:H,8,FALSE))</f>
        <v>7568</v>
      </c>
      <c r="P77" s="46">
        <f t="shared" ca="1" si="2"/>
        <v>5.4320987654320988E-4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input_371010!A$2</f>
        <v>371010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IFERROR(VLOOKUP(B78,input_371010!L:R,7,FALSE),VLOOKUP(tables_371010!C78,input_371010!A:H,8,FALSE))</f>
        <v>75680</v>
      </c>
      <c r="P78" s="46">
        <f t="shared" ca="1" si="2"/>
        <v>5.4320987654320986E-3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input_371010!A$2</f>
        <v>371010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IFERROR(VLOOKUP(B79,input_371010!L:R,7,FALSE),VLOOKUP(tables_371010!C79,input_371010!A:H,8,FALSE))</f>
        <v>68112</v>
      </c>
      <c r="P79" s="46">
        <f t="shared" ref="P79:P142" ca="1" si="5">O79/SUM(O:O)</f>
        <v>4.8888888888888888E-3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input_371010!A$2</f>
        <v>371010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IFERROR(VLOOKUP(B80,input_371010!L:R,7,FALSE),VLOOKUP(tables_371010!C80,input_371010!A:H,8,FALSE))</f>
        <v>7568</v>
      </c>
      <c r="P80" s="46">
        <f t="shared" ca="1" si="5"/>
        <v>5.4320987654320988E-4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input_371010!A$2</f>
        <v>371010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IFERROR(VLOOKUP(B81,input_371010!L:R,7,FALSE),VLOOKUP(tables_371010!C81,input_371010!A:H,8,FALSE))</f>
        <v>75680</v>
      </c>
      <c r="P81" s="46">
        <f t="shared" ca="1" si="5"/>
        <v>5.4320987654320986E-3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input_371010!A$2</f>
        <v>371010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IFERROR(VLOOKUP(B82,input_371010!L:R,7,FALSE),VLOOKUP(tables_371010!C82,input_371010!A:H,8,FALSE))</f>
        <v>68112</v>
      </c>
      <c r="P82" s="46">
        <f t="shared" ca="1" si="5"/>
        <v>4.8888888888888888E-3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input_371010!A$2</f>
        <v>371010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IFERROR(VLOOKUP(B83,input_371010!L:R,7,FALSE),VLOOKUP(tables_371010!C83,input_371010!A:H,8,FALSE))</f>
        <v>7568</v>
      </c>
      <c r="P83" s="46">
        <f t="shared" ca="1" si="5"/>
        <v>5.4320987654320988E-4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input_371010!A$2</f>
        <v>371010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IFERROR(VLOOKUP(B84,input_371010!L:R,7,FALSE),VLOOKUP(tables_371010!C84,input_371010!A:H,8,FALSE))</f>
        <v>75680</v>
      </c>
      <c r="P84" s="46">
        <f t="shared" ca="1" si="5"/>
        <v>5.4320987654320986E-3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input_371010!A$2</f>
        <v>371010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IFERROR(VLOOKUP(B85,input_371010!L:R,7,FALSE),VLOOKUP(tables_371010!C85,input_371010!A:H,8,FALSE))</f>
        <v>68112</v>
      </c>
      <c r="P85" s="46">
        <f t="shared" ca="1" si="5"/>
        <v>4.8888888888888888E-3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input_371010!A$2</f>
        <v>371010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IFERROR(VLOOKUP(B86,input_371010!L:R,7,FALSE),VLOOKUP(tables_371010!C86,input_371010!A:H,8,FALSE))</f>
        <v>7568</v>
      </c>
      <c r="P86" s="46">
        <f t="shared" ca="1" si="5"/>
        <v>5.4320987654320988E-4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input_371010!A$2</f>
        <v>371010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IFERROR(VLOOKUP(B87,input_371010!L:R,7,FALSE),VLOOKUP(tables_371010!C87,input_371010!A:H,8,FALSE))</f>
        <v>75680</v>
      </c>
      <c r="P87" s="46">
        <f t="shared" ca="1" si="5"/>
        <v>5.4320987654320986E-3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input_371010!A$2</f>
        <v>371010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IFERROR(VLOOKUP(B88,input_371010!L:R,7,FALSE),VLOOKUP(tables_371010!C88,input_371010!A:H,8,FALSE))</f>
        <v>68112</v>
      </c>
      <c r="P88" s="46">
        <f t="shared" ca="1" si="5"/>
        <v>4.8888888888888888E-3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input_371010!A$2</f>
        <v>371010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IFERROR(VLOOKUP(B89,input_371010!L:R,7,FALSE),VLOOKUP(tables_371010!C89,input_371010!A:H,8,FALSE))</f>
        <v>7568</v>
      </c>
      <c r="P89" s="46">
        <f t="shared" ca="1" si="5"/>
        <v>5.4320987654320988E-4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input_371010!A$2</f>
        <v>371010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IFERROR(VLOOKUP(B90,input_371010!L:R,7,FALSE),VLOOKUP(tables_371010!C90,input_371010!A:H,8,FALSE))</f>
        <v>75680</v>
      </c>
      <c r="P90" s="46">
        <f t="shared" ca="1" si="5"/>
        <v>5.4320987654320986E-3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input_371010!A$2</f>
        <v>371010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IFERROR(VLOOKUP(B91,input_371010!L:R,7,FALSE),VLOOKUP(tables_371010!C91,input_371010!A:H,8,FALSE))</f>
        <v>68112</v>
      </c>
      <c r="P91" s="46">
        <f t="shared" ca="1" si="5"/>
        <v>4.8888888888888888E-3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input_371010!A$2</f>
        <v>371010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IFERROR(VLOOKUP(B92,input_371010!L:R,7,FALSE),VLOOKUP(tables_371010!C92,input_371010!A:H,8,FALSE))</f>
        <v>7568</v>
      </c>
      <c r="P92" s="46">
        <f t="shared" ca="1" si="5"/>
        <v>5.4320987654320988E-4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input_371010!A$2</f>
        <v>371010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IFERROR(VLOOKUP(B93,input_371010!L:R,7,FALSE),VLOOKUP(tables_371010!C93,input_371010!A:H,8,FALSE))</f>
        <v>75680</v>
      </c>
      <c r="P93" s="46">
        <f t="shared" ca="1" si="5"/>
        <v>5.4320987654320986E-3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input_371010!A$2</f>
        <v>371010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IFERROR(VLOOKUP(B94,input_371010!L:R,7,FALSE),VLOOKUP(tables_371010!C94,input_371010!A:H,8,FALSE))</f>
        <v>68112</v>
      </c>
      <c r="P94" s="46">
        <f t="shared" ca="1" si="5"/>
        <v>4.8888888888888888E-3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input_371010!A$2</f>
        <v>371010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IFERROR(VLOOKUP(B95,input_371010!L:R,7,FALSE),VLOOKUP(tables_371010!C95,input_371010!A:H,8,FALSE))</f>
        <v>7568</v>
      </c>
      <c r="P95" s="46">
        <f t="shared" ca="1" si="5"/>
        <v>5.4320987654320988E-4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input_371010!A$2</f>
        <v>371010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IFERROR(VLOOKUP(B96,input_371010!L:R,7,FALSE),VLOOKUP(tables_371010!C96,input_371010!A:H,8,FALSE))</f>
        <v>75680</v>
      </c>
      <c r="P96" s="46">
        <f t="shared" ca="1" si="5"/>
        <v>5.4320987654320986E-3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input_371010!A$2</f>
        <v>371010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IFERROR(VLOOKUP(B97,input_371010!L:R,7,FALSE),VLOOKUP(tables_371010!C97,input_371010!A:H,8,FALSE))</f>
        <v>68112</v>
      </c>
      <c r="P97" s="46">
        <f t="shared" ca="1" si="5"/>
        <v>4.8888888888888888E-3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input_371010!A$2</f>
        <v>371010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IFERROR(VLOOKUP(B98,input_371010!L:R,7,FALSE),VLOOKUP(tables_371010!C98,input_371010!A:H,8,FALSE))</f>
        <v>7568</v>
      </c>
      <c r="P98" s="46">
        <f t="shared" ca="1" si="5"/>
        <v>5.4320987654320988E-4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input_371010!A$2</f>
        <v>371010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IFERROR(VLOOKUP(B99,input_371010!L:R,7,FALSE),VLOOKUP(tables_371010!C99,input_371010!A:H,8,FALSE))</f>
        <v>75680</v>
      </c>
      <c r="P99" s="46">
        <f t="shared" ca="1" si="5"/>
        <v>5.4320987654320986E-3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input_371010!A$2</f>
        <v>371010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IFERROR(VLOOKUP(B100,input_371010!L:R,7,FALSE),VLOOKUP(tables_371010!C100,input_371010!A:H,8,FALSE))</f>
        <v>68112</v>
      </c>
      <c r="P100" s="46">
        <f t="shared" ca="1" si="5"/>
        <v>4.8888888888888888E-3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input_371010!A$2</f>
        <v>371010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IFERROR(VLOOKUP(B101,input_371010!L:R,7,FALSE),VLOOKUP(tables_371010!C101,input_371010!A:H,8,FALSE))</f>
        <v>7568</v>
      </c>
      <c r="P101" s="46">
        <f t="shared" ca="1" si="5"/>
        <v>5.4320987654320988E-4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input_371010!A$2</f>
        <v>371010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IFERROR(VLOOKUP(B102,input_371010!L:R,7,FALSE),VLOOKUP(tables_371010!C102,input_371010!A:H,8,FALSE))</f>
        <v>75680</v>
      </c>
      <c r="P102" s="46">
        <f t="shared" ca="1" si="5"/>
        <v>5.4320987654320986E-3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input_371010!A$2</f>
        <v>371010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IFERROR(VLOOKUP(B103,input_371010!L:R,7,FALSE),VLOOKUP(tables_371010!C103,input_371010!A:H,8,FALSE))</f>
        <v>68112</v>
      </c>
      <c r="P103" s="46">
        <f t="shared" ca="1" si="5"/>
        <v>4.8888888888888888E-3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input_371010!A$2</f>
        <v>371010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IFERROR(VLOOKUP(B104,input_371010!L:R,7,FALSE),VLOOKUP(tables_371010!C104,input_371010!A:H,8,FALSE))</f>
        <v>7568</v>
      </c>
      <c r="P104" s="46">
        <f t="shared" ca="1" si="5"/>
        <v>5.4320987654320988E-4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input_371010!A$2</f>
        <v>371010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IFERROR(VLOOKUP(B105,input_371010!L:R,7,FALSE),VLOOKUP(tables_371010!C105,input_371010!A:H,8,FALSE))</f>
        <v>75680</v>
      </c>
      <c r="P105" s="46">
        <f t="shared" ca="1" si="5"/>
        <v>5.4320987654320986E-3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input_371010!A$2</f>
        <v>371010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IFERROR(VLOOKUP(B106,input_371010!L:R,7,FALSE),VLOOKUP(tables_371010!C106,input_371010!A:H,8,FALSE))</f>
        <v>68112</v>
      </c>
      <c r="P106" s="46">
        <f t="shared" ca="1" si="5"/>
        <v>4.8888888888888888E-3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input_371010!A$2</f>
        <v>371010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IFERROR(VLOOKUP(B107,input_371010!L:R,7,FALSE),VLOOKUP(tables_371010!C107,input_371010!A:H,8,FALSE))</f>
        <v>7568</v>
      </c>
      <c r="P107" s="46">
        <f t="shared" ca="1" si="5"/>
        <v>5.4320987654320988E-4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input_371010!A$2</f>
        <v>371010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IFERROR(VLOOKUP(B108,input_371010!L:R,7,FALSE),VLOOKUP(tables_371010!C108,input_371010!A:H,8,FALSE))</f>
        <v>75680</v>
      </c>
      <c r="P108" s="46">
        <f t="shared" ca="1" si="5"/>
        <v>5.4320987654320986E-3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input_371010!A$2</f>
        <v>371010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IFERROR(VLOOKUP(B109,input_371010!L:R,7,FALSE),VLOOKUP(tables_371010!C109,input_371010!A:H,8,FALSE))</f>
        <v>68112</v>
      </c>
      <c r="P109" s="46">
        <f t="shared" ca="1" si="5"/>
        <v>4.8888888888888888E-3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input_371010!A$2</f>
        <v>371010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IFERROR(VLOOKUP(B110,input_371010!L:R,7,FALSE),VLOOKUP(tables_371010!C110,input_371010!A:H,8,FALSE))</f>
        <v>7568</v>
      </c>
      <c r="P110" s="46">
        <f t="shared" ca="1" si="5"/>
        <v>5.4320987654320988E-4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input_371010!A$2</f>
        <v>371010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IFERROR(VLOOKUP(B111,input_371010!L:R,7,FALSE),VLOOKUP(tables_371010!C111,input_371010!A:H,8,FALSE))</f>
        <v>4860</v>
      </c>
      <c r="P111" s="46">
        <f t="shared" ca="1" si="5"/>
        <v>3.4883720930232559E-4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input_371010!A$2</f>
        <v>371010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IFERROR(VLOOKUP(B112,input_371010!L:R,7,FALSE),VLOOKUP(tables_371010!C112,input_371010!A:H,8,FALSE))</f>
        <v>4374</v>
      </c>
      <c r="P112" s="46">
        <f t="shared" ca="1" si="5"/>
        <v>3.1395348837209304E-4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input_371010!A$2</f>
        <v>371010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IFERROR(VLOOKUP(B113,input_371010!L:R,7,FALSE),VLOOKUP(tables_371010!C113,input_371010!A:H,8,FALSE))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input_371010!A$2</f>
        <v>371010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IFERROR(VLOOKUP(B114,input_371010!L:R,7,FALSE),VLOOKUP(tables_371010!C114,input_371010!A:H,8,FALSE))</f>
        <v>75680</v>
      </c>
      <c r="P114" s="46">
        <f t="shared" ca="1" si="5"/>
        <v>5.4320987654320986E-3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input_371010!A$2</f>
        <v>371010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IFERROR(VLOOKUP(B115,input_371010!L:R,7,FALSE),VLOOKUP(tables_371010!C115,input_371010!A:H,8,FALSE))</f>
        <v>68112</v>
      </c>
      <c r="P115" s="46">
        <f t="shared" ca="1" si="5"/>
        <v>4.8888888888888888E-3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input_371010!A$2</f>
        <v>371010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IFERROR(VLOOKUP(B116,input_371010!L:R,7,FALSE),VLOOKUP(tables_371010!C116,input_371010!A:H,8,FALSE))</f>
        <v>7568</v>
      </c>
      <c r="P116" s="46">
        <f t="shared" ca="1" si="5"/>
        <v>5.4320987654320988E-4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input_371010!A$2</f>
        <v>371010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IFERROR(VLOOKUP(B117,input_371010!L:R,7,FALSE),VLOOKUP(tables_371010!C117,input_371010!A:H,8,FALSE))</f>
        <v>75680</v>
      </c>
      <c r="P117" s="46">
        <f t="shared" ca="1" si="5"/>
        <v>5.4320987654320986E-3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input_371010!A$2</f>
        <v>371010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IFERROR(VLOOKUP(B118,input_371010!L:R,7,FALSE),VLOOKUP(tables_371010!C118,input_371010!A:H,8,FALSE))</f>
        <v>68112</v>
      </c>
      <c r="P118" s="46">
        <f t="shared" ca="1" si="5"/>
        <v>4.8888888888888888E-3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input_371010!A$2</f>
        <v>371010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IFERROR(VLOOKUP(B119,input_371010!L:R,7,FALSE),VLOOKUP(tables_371010!C119,input_371010!A:H,8,FALSE))</f>
        <v>7568</v>
      </c>
      <c r="P119" s="46">
        <f t="shared" ca="1" si="5"/>
        <v>5.4320987654320988E-4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input_371010!A$2</f>
        <v>371010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IFERROR(VLOOKUP(B120,input_371010!L:R,7,FALSE),VLOOKUP(tables_371010!C120,input_371010!A:H,8,FALSE))</f>
        <v>75680</v>
      </c>
      <c r="P120" s="46">
        <f t="shared" ca="1" si="5"/>
        <v>5.4320987654320986E-3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input_371010!A$2</f>
        <v>371010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IFERROR(VLOOKUP(B121,input_371010!L:R,7,FALSE),VLOOKUP(tables_371010!C121,input_371010!A:H,8,FALSE))</f>
        <v>68112</v>
      </c>
      <c r="P121" s="46">
        <f t="shared" ca="1" si="5"/>
        <v>4.8888888888888888E-3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input_371010!A$2</f>
        <v>371010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IFERROR(VLOOKUP(B122,input_371010!L:R,7,FALSE),VLOOKUP(tables_371010!C122,input_371010!A:H,8,FALSE))</f>
        <v>7568</v>
      </c>
      <c r="P122" s="46">
        <f t="shared" ca="1" si="5"/>
        <v>5.4320987654320988E-4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input_371010!A$2</f>
        <v>371010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IFERROR(VLOOKUP(B123,input_371010!L:R,7,FALSE),VLOOKUP(tables_371010!C123,input_371010!A:H,8,FALSE))</f>
        <v>75680</v>
      </c>
      <c r="P123" s="46">
        <f t="shared" ca="1" si="5"/>
        <v>5.4320987654320986E-3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input_371010!A$2</f>
        <v>371010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IFERROR(VLOOKUP(B124,input_371010!L:R,7,FALSE),VLOOKUP(tables_371010!C124,input_371010!A:H,8,FALSE))</f>
        <v>68112</v>
      </c>
      <c r="P124" s="46">
        <f t="shared" ca="1" si="5"/>
        <v>4.8888888888888888E-3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input_371010!A$2</f>
        <v>371010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IFERROR(VLOOKUP(B125,input_371010!L:R,7,FALSE),VLOOKUP(tables_371010!C125,input_371010!A:H,8,FALSE))</f>
        <v>7568</v>
      </c>
      <c r="P125" s="46">
        <f t="shared" ca="1" si="5"/>
        <v>5.4320987654320988E-4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input_371010!A$2</f>
        <v>371010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IFERROR(VLOOKUP(B126,input_371010!L:R,7,FALSE),VLOOKUP(tables_371010!C126,input_371010!A:H,8,FALSE))</f>
        <v>75680</v>
      </c>
      <c r="P126" s="46">
        <f t="shared" ca="1" si="5"/>
        <v>5.4320987654320986E-3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input_371010!A$2</f>
        <v>371010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IFERROR(VLOOKUP(B127,input_371010!L:R,7,FALSE),VLOOKUP(tables_371010!C127,input_371010!A:H,8,FALSE))</f>
        <v>68112</v>
      </c>
      <c r="P127" s="46">
        <f t="shared" ca="1" si="5"/>
        <v>4.8888888888888888E-3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input_371010!A$2</f>
        <v>371010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IFERROR(VLOOKUP(B128,input_371010!L:R,7,FALSE),VLOOKUP(tables_371010!C128,input_371010!A:H,8,FALSE))</f>
        <v>7568</v>
      </c>
      <c r="P128" s="46">
        <f t="shared" ca="1" si="5"/>
        <v>5.4320987654320988E-4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input_371010!A$2</f>
        <v>371010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IFERROR(VLOOKUP(B129,input_371010!L:R,7,FALSE),VLOOKUP(tables_371010!C129,input_371010!A:H,8,FALSE))</f>
        <v>75680</v>
      </c>
      <c r="P129" s="46">
        <f t="shared" ca="1" si="5"/>
        <v>5.4320987654320986E-3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input_371010!A$2</f>
        <v>371010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IFERROR(VLOOKUP(B130,input_371010!L:R,7,FALSE),VLOOKUP(tables_371010!C130,input_371010!A:H,8,FALSE))</f>
        <v>68112</v>
      </c>
      <c r="P130" s="46">
        <f t="shared" ca="1" si="5"/>
        <v>4.8888888888888888E-3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input_371010!A$2</f>
        <v>371010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IFERROR(VLOOKUP(B131,input_371010!L:R,7,FALSE),VLOOKUP(tables_371010!C131,input_371010!A:H,8,FALSE))</f>
        <v>7568</v>
      </c>
      <c r="P131" s="46">
        <f t="shared" ca="1" si="5"/>
        <v>5.4320987654320988E-4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input_371010!A$2</f>
        <v>371010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IFERROR(VLOOKUP(B132,input_371010!L:R,7,FALSE),VLOOKUP(tables_371010!C132,input_371010!A:H,8,FALSE))</f>
        <v>75680</v>
      </c>
      <c r="P132" s="46">
        <f t="shared" ca="1" si="5"/>
        <v>5.4320987654320986E-3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input_371010!A$2</f>
        <v>371010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IFERROR(VLOOKUP(B133,input_371010!L:R,7,FALSE),VLOOKUP(tables_371010!C133,input_371010!A:H,8,FALSE))</f>
        <v>68112</v>
      </c>
      <c r="P133" s="46">
        <f t="shared" ca="1" si="5"/>
        <v>4.8888888888888888E-3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input_371010!A$2</f>
        <v>371010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IFERROR(VLOOKUP(B134,input_371010!L:R,7,FALSE),VLOOKUP(tables_371010!C134,input_371010!A:H,8,FALSE))</f>
        <v>7568</v>
      </c>
      <c r="P134" s="46">
        <f t="shared" ca="1" si="5"/>
        <v>5.4320987654320988E-4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input_371010!A$2</f>
        <v>371010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IFERROR(VLOOKUP(B135,input_371010!L:R,7,FALSE),VLOOKUP(tables_371010!C135,input_371010!A:H,8,FALSE))</f>
        <v>75680</v>
      </c>
      <c r="P135" s="46">
        <f t="shared" ca="1" si="5"/>
        <v>5.4320987654320986E-3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input_371010!A$2</f>
        <v>371010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IFERROR(VLOOKUP(B136,input_371010!L:R,7,FALSE),VLOOKUP(tables_371010!C136,input_371010!A:H,8,FALSE))</f>
        <v>68112</v>
      </c>
      <c r="P136" s="46">
        <f t="shared" ca="1" si="5"/>
        <v>4.8888888888888888E-3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input_371010!A$2</f>
        <v>371010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IFERROR(VLOOKUP(B137,input_371010!L:R,7,FALSE),VLOOKUP(tables_371010!C137,input_371010!A:H,8,FALSE))</f>
        <v>7568</v>
      </c>
      <c r="P137" s="46">
        <f t="shared" ca="1" si="5"/>
        <v>5.4320987654320988E-4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input_371010!A$2</f>
        <v>371010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IFERROR(VLOOKUP(B138,input_371010!L:R,7,FALSE),VLOOKUP(tables_371010!C138,input_371010!A:H,8,FALSE))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input_371010!A$2</f>
        <v>371010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IFERROR(VLOOKUP(B139,input_371010!L:R,7,FALSE),VLOOKUP(tables_371010!C139,input_371010!A:H,8,FALSE))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input_371010!A$2</f>
        <v>371010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IFERROR(VLOOKUP(B140,input_371010!L:R,7,FALSE),VLOOKUP(tables_371010!C140,input_371010!A:H,8,FALSE))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input_371010!A$2</f>
        <v>371010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IFERROR(VLOOKUP(B141,input_371010!L:R,7,FALSE),VLOOKUP(tables_371010!C141,input_371010!A:H,8,FALSE))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input_371010!A$2</f>
        <v>371010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IFERROR(VLOOKUP(B142,input_371010!L:R,7,FALSE),VLOOKUP(tables_371010!C142,input_371010!A:H,8,FALSE))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input_371010!A$2</f>
        <v>371010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IFERROR(VLOOKUP(B143,input_371010!L:R,7,FALSE),VLOOKUP(tables_371010!C143,input_371010!A:H,8,FALSE))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input_371010!A$2</f>
        <v>371010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IFERROR(VLOOKUP(B144,input_371010!L:R,7,FALSE),VLOOKUP(tables_371010!C144,input_371010!A:H,8,FALSE))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input_371010!A$2</f>
        <v>371010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IFERROR(VLOOKUP(B145,input_371010!L:R,7,FALSE),VLOOKUP(tables_371010!C145,input_371010!A:H,8,FALSE))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input_371010!A$2</f>
        <v>371010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IFERROR(VLOOKUP(B146,input_371010!L:R,7,FALSE),VLOOKUP(tables_371010!C146,input_371010!A:H,8,FALSE))</f>
        <v>75680</v>
      </c>
      <c r="P146" s="46">
        <f t="shared" ca="1" si="8"/>
        <v>5.4320987654320986E-3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input_371010!A$2</f>
        <v>371010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IFERROR(VLOOKUP(B147,input_371010!L:R,7,FALSE),VLOOKUP(tables_371010!C147,input_371010!A:H,8,FALSE))</f>
        <v>68112</v>
      </c>
      <c r="P147" s="46">
        <f t="shared" ca="1" si="8"/>
        <v>4.8888888888888888E-3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input_371010!A$2</f>
        <v>371010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IFERROR(VLOOKUP(B148,input_371010!L:R,7,FALSE),VLOOKUP(tables_371010!C148,input_371010!A:H,8,FALSE))</f>
        <v>7568</v>
      </c>
      <c r="P148" s="46">
        <f t="shared" ca="1" si="8"/>
        <v>5.4320987654320988E-4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input_371010!A$2</f>
        <v>371010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IFERROR(VLOOKUP(B149,input_371010!L:R,7,FALSE),VLOOKUP(tables_371010!C149,input_371010!A:H,8,FALSE))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input_371010!A$2</f>
        <v>371010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IFERROR(VLOOKUP(B150,input_371010!L:R,7,FALSE),VLOOKUP(tables_371010!C150,input_371010!A:H,8,FALSE))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input_371010!A$2</f>
        <v>371010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IFERROR(VLOOKUP(B151,input_371010!L:R,7,FALSE),VLOOKUP(tables_371010!C151,input_371010!A:H,8,FALSE))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input_371010!A$2</f>
        <v>371010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IFERROR(VLOOKUP(B152,input_371010!L:R,7,FALSE),VLOOKUP(tables_371010!C152,input_371010!A:H,8,FALSE))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input_371010!A$2</f>
        <v>371010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IFERROR(VLOOKUP(B153,input_371010!L:R,7,FALSE),VLOOKUP(tables_371010!C153,input_371010!A:H,8,FALSE))</f>
        <v>75680</v>
      </c>
      <c r="P153" s="46">
        <f t="shared" ca="1" si="8"/>
        <v>5.4320987654320986E-3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input_371010!A$2</f>
        <v>371010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IFERROR(VLOOKUP(B154,input_371010!L:R,7,FALSE),VLOOKUP(tables_371010!C154,input_371010!A:H,8,FALSE))</f>
        <v>68112</v>
      </c>
      <c r="P154" s="46">
        <f t="shared" ca="1" si="8"/>
        <v>4.8888888888888888E-3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input_371010!A$2</f>
        <v>371010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IFERROR(VLOOKUP(B155,input_371010!L:R,7,FALSE),VLOOKUP(tables_371010!C155,input_371010!A:H,8,FALSE))</f>
        <v>7568</v>
      </c>
      <c r="P155" s="46">
        <f t="shared" ca="1" si="8"/>
        <v>5.4320987654320988E-4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input_371010!A$2</f>
        <v>371010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IFERROR(VLOOKUP(B156,input_371010!L:R,7,FALSE),VLOOKUP(tables_371010!C156,input_371010!A:H,8,FALSE))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input_371010!A$2</f>
        <v>371010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IFERROR(VLOOKUP(B157,input_371010!L:R,7,FALSE),VLOOKUP(tables_371010!C157,input_371010!A:H,8,FALSE))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input_371010!A$2</f>
        <v>371010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IFERROR(VLOOKUP(B158,input_371010!L:R,7,FALSE),VLOOKUP(tables_371010!C158,input_371010!A:H,8,FALSE))</f>
        <v>75680</v>
      </c>
      <c r="P158" s="46">
        <f t="shared" ca="1" si="8"/>
        <v>5.4320987654320986E-3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input_371010!A$2</f>
        <v>371010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IFERROR(VLOOKUP(B159,input_371010!L:R,7,FALSE),VLOOKUP(tables_371010!C159,input_371010!A:H,8,FALSE))</f>
        <v>68112</v>
      </c>
      <c r="P159" s="46">
        <f t="shared" ca="1" si="8"/>
        <v>4.8888888888888888E-3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input_371010!A$2</f>
        <v>371010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IFERROR(VLOOKUP(B160,input_371010!L:R,7,FALSE),VLOOKUP(tables_371010!C160,input_371010!A:H,8,FALSE))</f>
        <v>7568</v>
      </c>
      <c r="P160" s="46">
        <f t="shared" ca="1" si="8"/>
        <v>5.4320987654320988E-4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input_371010!A$2</f>
        <v>371010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IFERROR(VLOOKUP(B161,input_371010!L:R,7,FALSE),VLOOKUP(tables_371010!C161,input_371010!A:H,8,FALSE))</f>
        <v>75680</v>
      </c>
      <c r="P161" s="46">
        <f t="shared" ca="1" si="8"/>
        <v>5.4320987654320986E-3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input_371010!A$2</f>
        <v>371010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IFERROR(VLOOKUP(B162,input_371010!L:R,7,FALSE),VLOOKUP(tables_371010!C162,input_371010!A:H,8,FALSE))</f>
        <v>68112</v>
      </c>
      <c r="P162" s="46">
        <f t="shared" ca="1" si="8"/>
        <v>4.8888888888888888E-3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input_371010!A$2</f>
        <v>371010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IFERROR(VLOOKUP(B163,input_371010!L:R,7,FALSE),VLOOKUP(tables_371010!C163,input_371010!A:H,8,FALSE))</f>
        <v>7568</v>
      </c>
      <c r="P163" s="46">
        <f t="shared" ca="1" si="8"/>
        <v>5.4320987654320988E-4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input_371010!A$2</f>
        <v>371010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IFERROR(VLOOKUP(B164,input_371010!L:R,7,FALSE),VLOOKUP(tables_371010!C164,input_371010!A:H,8,FALSE))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input_371010!A$2</f>
        <v>371010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IFERROR(VLOOKUP(B165,input_371010!L:R,7,FALSE),VLOOKUP(tables_371010!C165,input_371010!A:H,8,FALSE))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input_371010!A$2</f>
        <v>371010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IFERROR(VLOOKUP(B166,input_371010!L:R,7,FALSE),VLOOKUP(tables_371010!C166,input_371010!A:H,8,FALSE))</f>
        <v>75680</v>
      </c>
      <c r="P166" s="46">
        <f t="shared" ca="1" si="8"/>
        <v>5.4320987654320986E-3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input_371010!A$2</f>
        <v>371010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IFERROR(VLOOKUP(B167,input_371010!L:R,7,FALSE),VLOOKUP(tables_371010!C167,input_371010!A:H,8,FALSE))</f>
        <v>68112</v>
      </c>
      <c r="P167" s="46">
        <f t="shared" ca="1" si="8"/>
        <v>4.8888888888888888E-3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input_371010!A$2</f>
        <v>371010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IFERROR(VLOOKUP(B168,input_371010!L:R,7,FALSE),VLOOKUP(tables_371010!C168,input_371010!A:H,8,FALSE))</f>
        <v>7568</v>
      </c>
      <c r="P168" s="46">
        <f t="shared" ca="1" si="8"/>
        <v>5.4320987654320988E-4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input_371010!A$2</f>
        <v>371010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IFERROR(VLOOKUP(B169,input_371010!L:R,7,FALSE),VLOOKUP(tables_371010!C169,input_371010!A:H,8,FALSE))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input_371010!A$2</f>
        <v>371010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IFERROR(VLOOKUP(B170,input_371010!L:R,7,FALSE),VLOOKUP(tables_371010!C170,input_371010!A:H,8,FALSE))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input_371010!A$2</f>
        <v>371010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IFERROR(VLOOKUP(B171,input_371010!L:R,7,FALSE),VLOOKUP(tables_371010!C171,input_371010!A:H,8,FALSE))</f>
        <v>75680</v>
      </c>
      <c r="P171" s="46">
        <f t="shared" ca="1" si="8"/>
        <v>5.4320987654320986E-3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input_371010!A$2</f>
        <v>371010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IFERROR(VLOOKUP(B172,input_371010!L:R,7,FALSE),VLOOKUP(tables_371010!C172,input_371010!A:H,8,FALSE))</f>
        <v>68112</v>
      </c>
      <c r="P172" s="46">
        <f t="shared" ca="1" si="8"/>
        <v>4.8888888888888888E-3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input_371010!A$2</f>
        <v>371010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IFERROR(VLOOKUP(B173,input_371010!L:R,7,FALSE),VLOOKUP(tables_371010!C173,input_371010!A:H,8,FALSE))</f>
        <v>7568</v>
      </c>
      <c r="P173" s="46">
        <f t="shared" ca="1" si="8"/>
        <v>5.4320987654320988E-4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input_371010!A$2</f>
        <v>371010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IFERROR(VLOOKUP(B174,input_371010!L:R,7,FALSE),VLOOKUP(tables_371010!C174,input_371010!A:H,8,FALSE))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input_371010!A$2</f>
        <v>371010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IFERROR(VLOOKUP(B175,input_371010!L:R,7,FALSE),VLOOKUP(tables_371010!C175,input_371010!A:H,8,FALSE))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input_371010!A$2</f>
        <v>371010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IFERROR(VLOOKUP(B176,input_371010!L:R,7,FALSE),VLOOKUP(tables_371010!C176,input_371010!A:H,8,FALSE))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input_371010!A$2</f>
        <v>371010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IFERROR(VLOOKUP(B177,input_371010!L:R,7,FALSE),VLOOKUP(tables_371010!C177,input_371010!A:H,8,FALSE))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input_371010!A$2</f>
        <v>371010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IFERROR(VLOOKUP(B178,input_371010!L:R,7,FALSE),VLOOKUP(tables_371010!C178,input_371010!A:H,8,FALSE))</f>
        <v>75680</v>
      </c>
      <c r="P178" s="46">
        <f t="shared" ca="1" si="8"/>
        <v>5.4320987654320986E-3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input_371010!A$2</f>
        <v>371010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IFERROR(VLOOKUP(B179,input_371010!L:R,7,FALSE),VLOOKUP(tables_371010!C179,input_371010!A:H,8,FALSE))</f>
        <v>68112</v>
      </c>
      <c r="P179" s="46">
        <f t="shared" ca="1" si="8"/>
        <v>4.8888888888888888E-3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input_371010!A$2</f>
        <v>371010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IFERROR(VLOOKUP(B180,input_371010!L:R,7,FALSE),VLOOKUP(tables_371010!C180,input_371010!A:H,8,FALSE))</f>
        <v>7568</v>
      </c>
      <c r="P180" s="46">
        <f t="shared" ca="1" si="8"/>
        <v>5.4320987654320988E-4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input_371010!A$2</f>
        <v>371010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IFERROR(VLOOKUP(B181,input_371010!L:R,7,FALSE),VLOOKUP(tables_371010!C181,input_371010!A:H,8,FALSE))</f>
        <v>75680</v>
      </c>
      <c r="P181" s="46">
        <f t="shared" ca="1" si="8"/>
        <v>5.4320987654320986E-3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input_371010!A$2</f>
        <v>371010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IFERROR(VLOOKUP(B182,input_371010!L:R,7,FALSE),VLOOKUP(tables_371010!C182,input_371010!A:H,8,FALSE))</f>
        <v>68112</v>
      </c>
      <c r="P182" s="46">
        <f t="shared" ca="1" si="8"/>
        <v>4.8888888888888888E-3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input_371010!A$2</f>
        <v>371010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IFERROR(VLOOKUP(B183,input_371010!L:R,7,FALSE),VLOOKUP(tables_371010!C183,input_371010!A:H,8,FALSE))</f>
        <v>7568</v>
      </c>
      <c r="P183" s="46">
        <f t="shared" ca="1" si="8"/>
        <v>5.4320987654320988E-4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input_371010!A$2</f>
        <v>371010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IFERROR(VLOOKUP(B184,input_371010!L:R,7,FALSE),VLOOKUP(tables_371010!C184,input_371010!A:H,8,FALSE))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input_371010!A$2</f>
        <v>371010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IFERROR(VLOOKUP(B185,input_371010!L:R,7,FALSE),VLOOKUP(tables_371010!C185,input_371010!A:H,8,FALSE))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input_371010!A$2</f>
        <v>371010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IFERROR(VLOOKUP(B186,input_371010!L:R,7,FALSE),VLOOKUP(tables_371010!C186,input_371010!A:H,8,FALSE))</f>
        <v>75680</v>
      </c>
      <c r="P186" s="46">
        <f t="shared" ca="1" si="8"/>
        <v>5.4320987654320986E-3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input_371010!A$2</f>
        <v>371010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IFERROR(VLOOKUP(B187,input_371010!L:R,7,FALSE),VLOOKUP(tables_371010!C187,input_371010!A:H,8,FALSE))</f>
        <v>68112</v>
      </c>
      <c r="P187" s="46">
        <f t="shared" ca="1" si="8"/>
        <v>4.8888888888888888E-3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input_371010!A$2</f>
        <v>371010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IFERROR(VLOOKUP(B188,input_371010!L:R,7,FALSE),VLOOKUP(tables_371010!C188,input_371010!A:H,8,FALSE))</f>
        <v>7568</v>
      </c>
      <c r="P188" s="46">
        <f t="shared" ca="1" si="8"/>
        <v>5.4320987654320988E-4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input_371010!A$2</f>
        <v>371010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IFERROR(VLOOKUP(B189,input_371010!L:R,7,FALSE),VLOOKUP(tables_371010!C189,input_371010!A:H,8,FALSE))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input_371010!A$2</f>
        <v>371010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IFERROR(VLOOKUP(B190,input_371010!L:R,7,FALSE),VLOOKUP(tables_371010!C190,input_371010!A:H,8,FALSE))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input_371010!A$2</f>
        <v>371010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IFERROR(VLOOKUP(B191,input_371010!L:R,7,FALSE),VLOOKUP(tables_371010!C191,input_371010!A:H,8,FALSE))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input_371010!A$2</f>
        <v>371010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IFERROR(VLOOKUP(B192,input_371010!L:R,7,FALSE),VLOOKUP(tables_371010!C192,input_371010!A:H,8,FALSE))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input_371010!A$2</f>
        <v>371010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IFERROR(VLOOKUP(B193,input_371010!L:R,7,FALSE),VLOOKUP(tables_371010!C193,input_371010!A:H,8,FALSE))</f>
        <v>75680</v>
      </c>
      <c r="P193" s="46">
        <f t="shared" ca="1" si="8"/>
        <v>5.4320987654320986E-3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input_371010!A$2</f>
        <v>371010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IFERROR(VLOOKUP(B194,input_371010!L:R,7,FALSE),VLOOKUP(tables_371010!C194,input_371010!A:H,8,FALSE))</f>
        <v>68112</v>
      </c>
      <c r="P194" s="46">
        <f t="shared" ca="1" si="8"/>
        <v>4.8888888888888888E-3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input_371010!A$2</f>
        <v>371010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IFERROR(VLOOKUP(B195,input_371010!L:R,7,FALSE),VLOOKUP(tables_371010!C195,input_371010!A:H,8,FALSE))</f>
        <v>7568</v>
      </c>
      <c r="P195" s="46">
        <f t="shared" ca="1" si="8"/>
        <v>5.4320987654320988E-4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input_371010!A$2</f>
        <v>371010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IFERROR(VLOOKUP(B196,input_371010!L:R,7,FALSE),VLOOKUP(tables_371010!C196,input_371010!A:H,8,FALSE))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input_371010!A$2</f>
        <v>371010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IFERROR(VLOOKUP(B197,input_371010!L:R,7,FALSE),VLOOKUP(tables_371010!C197,input_371010!A:H,8,FALSE))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input_371010!A$2</f>
        <v>371010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IFERROR(VLOOKUP(B198,input_371010!L:R,7,FALSE),VLOOKUP(tables_371010!C198,input_371010!A:H,8,FALSE))</f>
        <v>75680</v>
      </c>
      <c r="P198" s="46">
        <f t="shared" ca="1" si="8"/>
        <v>5.4320987654320986E-3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input_371010!A$2</f>
        <v>371010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IFERROR(VLOOKUP(B199,input_371010!L:R,7,FALSE),VLOOKUP(tables_371010!C199,input_371010!A:H,8,FALSE))</f>
        <v>68112</v>
      </c>
      <c r="P199" s="46">
        <f t="shared" ca="1" si="8"/>
        <v>4.8888888888888888E-3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input_371010!A$2</f>
        <v>371010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IFERROR(VLOOKUP(B200,input_371010!L:R,7,FALSE),VLOOKUP(tables_371010!C200,input_371010!A:H,8,FALSE))</f>
        <v>7568</v>
      </c>
      <c r="P200" s="46">
        <f t="shared" ca="1" si="8"/>
        <v>5.4320987654320988E-4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input_371010!A$2</f>
        <v>371010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IFERROR(VLOOKUP(B201,input_371010!L:R,7,FALSE),VLOOKUP(tables_371010!C201,input_371010!A:H,8,FALSE))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input_371010!A$2</f>
        <v>371010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IFERROR(VLOOKUP(B202,input_371010!L:R,7,FALSE),VLOOKUP(tables_371010!C202,input_371010!A:H,8,FALSE))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input_371010!A$2</f>
        <v>371010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IFERROR(VLOOKUP(B203,input_371010!L:R,7,FALSE),VLOOKUP(tables_371010!C203,input_371010!A:H,8,FALSE))</f>
        <v>75680</v>
      </c>
      <c r="P203" s="46">
        <f t="shared" ca="1" si="8"/>
        <v>5.4320987654320986E-3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input_371010!A$2</f>
        <v>371010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IFERROR(VLOOKUP(B204,input_371010!L:R,7,FALSE),VLOOKUP(tables_371010!C204,input_371010!A:H,8,FALSE))</f>
        <v>68112</v>
      </c>
      <c r="P204" s="46">
        <f t="shared" ca="1" si="8"/>
        <v>4.8888888888888888E-3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input_371010!A$2</f>
        <v>371010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IFERROR(VLOOKUP(B205,input_371010!L:R,7,FALSE),VLOOKUP(tables_371010!C205,input_371010!A:H,8,FALSE))</f>
        <v>7568</v>
      </c>
      <c r="P205" s="46">
        <f t="shared" ca="1" si="8"/>
        <v>5.4320987654320988E-4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input_371010!A$2</f>
        <v>371010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IFERROR(VLOOKUP(B206,input_371010!L:R,7,FALSE),VLOOKUP(tables_371010!C206,input_371010!A:H,8,FALSE))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input_371010!A$2</f>
        <v>371010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IFERROR(VLOOKUP(B207,input_371010!L:R,7,FALSE),VLOOKUP(tables_371010!C207,input_371010!A:H,8,FALSE))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input_371010!A$2</f>
        <v>371010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IFERROR(VLOOKUP(B208,input_371010!L:R,7,FALSE),VLOOKUP(tables_371010!C208,input_371010!A:H,8,FALSE))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input_371010!A$2</f>
        <v>371010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IFERROR(VLOOKUP(B209,input_371010!L:R,7,FALSE),VLOOKUP(tables_371010!C209,input_371010!A:H,8,FALSE))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input_371010!A$2</f>
        <v>371010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IFERROR(VLOOKUP(B210,input_371010!L:R,7,FALSE),VLOOKUP(tables_371010!C210,input_371010!A:H,8,FALSE))</f>
        <v>75680</v>
      </c>
      <c r="P210" s="46">
        <f t="shared" ca="1" si="11"/>
        <v>5.4320987654320986E-3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input_371010!A$2</f>
        <v>371010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IFERROR(VLOOKUP(B211,input_371010!L:R,7,FALSE),VLOOKUP(tables_371010!C211,input_371010!A:H,8,FALSE))</f>
        <v>68112</v>
      </c>
      <c r="P211" s="46">
        <f t="shared" ca="1" si="11"/>
        <v>4.8888888888888888E-3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input_371010!A$2</f>
        <v>371010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IFERROR(VLOOKUP(B212,input_371010!L:R,7,FALSE),VLOOKUP(tables_371010!C212,input_371010!A:H,8,FALSE))</f>
        <v>7568</v>
      </c>
      <c r="P212" s="46">
        <f t="shared" ca="1" si="11"/>
        <v>5.4320987654320988E-4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input_371010!A$2</f>
        <v>371010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IFERROR(VLOOKUP(B213,input_371010!L:R,7,FALSE),VLOOKUP(tables_371010!C213,input_371010!A:H,8,FALSE))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input_371010!A$2</f>
        <v>371010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IFERROR(VLOOKUP(B214,input_371010!L:R,7,FALSE),VLOOKUP(tables_371010!C214,input_371010!A:H,8,FALSE))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input_371010!A$2</f>
        <v>371010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IFERROR(VLOOKUP(B215,input_371010!L:R,7,FALSE),VLOOKUP(tables_371010!C215,input_371010!A:H,8,FALSE))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input_371010!A$2</f>
        <v>371010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IFERROR(VLOOKUP(B216,input_371010!L:R,7,FALSE),VLOOKUP(tables_371010!C216,input_371010!A:H,8,FALSE))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input_371010!A$2</f>
        <v>371010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IFERROR(VLOOKUP(B217,input_371010!L:R,7,FALSE),VLOOKUP(tables_371010!C217,input_371010!A:H,8,FALSE))</f>
        <v>75680</v>
      </c>
      <c r="P217" s="46">
        <f t="shared" ca="1" si="11"/>
        <v>5.4320987654320986E-3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input_371010!A$2</f>
        <v>371010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IFERROR(VLOOKUP(B218,input_371010!L:R,7,FALSE),VLOOKUP(tables_371010!C218,input_371010!A:H,8,FALSE))</f>
        <v>68112</v>
      </c>
      <c r="P218" s="46">
        <f t="shared" ca="1" si="11"/>
        <v>4.8888888888888888E-3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input_371010!A$2</f>
        <v>371010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IFERROR(VLOOKUP(B219,input_371010!L:R,7,FALSE),VLOOKUP(tables_371010!C219,input_371010!A:H,8,FALSE))</f>
        <v>7568</v>
      </c>
      <c r="P219" s="46">
        <f t="shared" ca="1" si="11"/>
        <v>5.4320987654320988E-4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input_371010!A$2</f>
        <v>371010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IFERROR(VLOOKUP(B220,input_371010!L:R,7,FALSE),VLOOKUP(tables_371010!C220,input_371010!A:H,8,FALSE))</f>
        <v>75680</v>
      </c>
      <c r="P220" s="46">
        <f t="shared" ca="1" si="11"/>
        <v>5.4320987654320986E-3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input_371010!A$2</f>
        <v>371010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IFERROR(VLOOKUP(B221,input_371010!L:R,7,FALSE),VLOOKUP(tables_371010!C221,input_371010!A:H,8,FALSE))</f>
        <v>68112</v>
      </c>
      <c r="P221" s="46">
        <f t="shared" ca="1" si="11"/>
        <v>4.8888888888888888E-3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input_371010!A$2</f>
        <v>371010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IFERROR(VLOOKUP(B222,input_371010!L:R,7,FALSE),VLOOKUP(tables_371010!C222,input_371010!A:H,8,FALSE))</f>
        <v>7568</v>
      </c>
      <c r="P222" s="46">
        <f t="shared" ca="1" si="11"/>
        <v>5.4320987654320988E-4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input_371010!A$2</f>
        <v>371010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IFERROR(VLOOKUP(B223,input_371010!L:R,7,FALSE),VLOOKUP(tables_371010!C223,input_371010!A:H,8,FALSE))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input_371010!A$2</f>
        <v>371010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IFERROR(VLOOKUP(B224,input_371010!L:R,7,FALSE),VLOOKUP(tables_371010!C224,input_371010!A:H,8,FALSE))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input_371010!A$2</f>
        <v>371010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IFERROR(VLOOKUP(B225,input_371010!L:R,7,FALSE),VLOOKUP(tables_371010!C225,input_371010!A:H,8,FALSE))</f>
        <v>75680</v>
      </c>
      <c r="P225" s="46">
        <f t="shared" ca="1" si="11"/>
        <v>5.4320987654320986E-3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input_371010!A$2</f>
        <v>371010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IFERROR(VLOOKUP(B226,input_371010!L:R,7,FALSE),VLOOKUP(tables_371010!C226,input_371010!A:H,8,FALSE))</f>
        <v>68112</v>
      </c>
      <c r="P226" s="46">
        <f t="shared" ca="1" si="11"/>
        <v>4.8888888888888888E-3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input_371010!A$2</f>
        <v>371010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IFERROR(VLOOKUP(B227,input_371010!L:R,7,FALSE),VLOOKUP(tables_371010!C227,input_371010!A:H,8,FALSE))</f>
        <v>7568</v>
      </c>
      <c r="P227" s="46">
        <f t="shared" ca="1" si="11"/>
        <v>5.4320987654320988E-4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input_371010!A$2</f>
        <v>371010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IFERROR(VLOOKUP(B228,input_371010!L:R,7,FALSE),VLOOKUP(tables_371010!C228,input_371010!A:H,8,FALSE))</f>
        <v>75680</v>
      </c>
      <c r="P228" s="46">
        <f t="shared" ca="1" si="11"/>
        <v>5.4320987654320986E-3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input_371010!A$2</f>
        <v>371010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IFERROR(VLOOKUP(B229,input_371010!L:R,7,FALSE),VLOOKUP(tables_371010!C229,input_371010!A:H,8,FALSE))</f>
        <v>68112</v>
      </c>
      <c r="P229" s="46">
        <f t="shared" ca="1" si="11"/>
        <v>4.8888888888888888E-3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input_371010!A$2</f>
        <v>371010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IFERROR(VLOOKUP(B230,input_371010!L:R,7,FALSE),VLOOKUP(tables_371010!C230,input_371010!A:H,8,FALSE))</f>
        <v>7568</v>
      </c>
      <c r="P230" s="46">
        <f t="shared" ca="1" si="11"/>
        <v>5.4320987654320988E-4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input_371010!A$2</f>
        <v>371010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IFERROR(VLOOKUP(B231,input_371010!L:R,7,FALSE),VLOOKUP(tables_371010!C231,input_371010!A:H,8,FALSE))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input_371010!A$2</f>
        <v>371010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IFERROR(VLOOKUP(B232,input_371010!L:R,7,FALSE),VLOOKUP(tables_371010!C232,input_371010!A:H,8,FALSE))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input_371010!A$2</f>
        <v>371010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IFERROR(VLOOKUP(B233,input_371010!L:R,7,FALSE),VLOOKUP(tables_371010!C233,input_371010!A:H,8,FALSE))</f>
        <v>75680</v>
      </c>
      <c r="P233" s="46">
        <f t="shared" ca="1" si="11"/>
        <v>5.4320987654320986E-3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input_371010!A$2</f>
        <v>371010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IFERROR(VLOOKUP(B234,input_371010!L:R,7,FALSE),VLOOKUP(tables_371010!C234,input_371010!A:H,8,FALSE))</f>
        <v>68112</v>
      </c>
      <c r="P234" s="46">
        <f t="shared" ca="1" si="11"/>
        <v>4.8888888888888888E-3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input_371010!A$2</f>
        <v>371010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IFERROR(VLOOKUP(B235,input_371010!L:R,7,FALSE),VLOOKUP(tables_371010!C235,input_371010!A:H,8,FALSE))</f>
        <v>7568</v>
      </c>
      <c r="P235" s="46">
        <f t="shared" ca="1" si="11"/>
        <v>5.4320987654320988E-4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input_371010!A$2</f>
        <v>371010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IFERROR(VLOOKUP(B236,input_371010!L:R,7,FALSE),VLOOKUP(tables_371010!C236,input_371010!A:H,8,FALSE))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input_371010!A$2</f>
        <v>371010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IFERROR(VLOOKUP(B237,input_371010!L:R,7,FALSE),VLOOKUP(tables_371010!C237,input_371010!A:H,8,FALSE))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input_371010!A$2</f>
        <v>371010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IFERROR(VLOOKUP(B238,input_371010!L:R,7,FALSE),VLOOKUP(tables_371010!C238,input_371010!A:H,8,FALSE))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input_371010!A$2</f>
        <v>371010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IFERROR(VLOOKUP(B239,input_371010!L:R,7,FALSE),VLOOKUP(tables_371010!C239,input_371010!A:H,8,FALSE))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input_371010!A$2</f>
        <v>371010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IFERROR(VLOOKUP(B240,input_371010!L:R,7,FALSE),VLOOKUP(tables_371010!C240,input_371010!A:H,8,FALSE))</f>
        <v>75680</v>
      </c>
      <c r="P240" s="46">
        <f t="shared" ca="1" si="11"/>
        <v>5.4320987654320986E-3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input_371010!A$2</f>
        <v>371010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IFERROR(VLOOKUP(B241,input_371010!L:R,7,FALSE),VLOOKUP(tables_371010!C241,input_371010!A:H,8,FALSE))</f>
        <v>68112</v>
      </c>
      <c r="P241" s="46">
        <f t="shared" ca="1" si="11"/>
        <v>4.8888888888888888E-3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input_371010!A$2</f>
        <v>371010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IFERROR(VLOOKUP(B242,input_371010!L:R,7,FALSE),VLOOKUP(tables_371010!C242,input_371010!A:H,8,FALSE))</f>
        <v>7568</v>
      </c>
      <c r="P242" s="46">
        <f t="shared" ca="1" si="11"/>
        <v>5.4320987654320988E-4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input_371010!A$2</f>
        <v>371010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IFERROR(VLOOKUP(B243,input_371010!L:R,7,FALSE),VLOOKUP(tables_371010!C243,input_371010!A:H,8,FALSE))</f>
        <v>75680</v>
      </c>
      <c r="P243" s="46">
        <f t="shared" ca="1" si="11"/>
        <v>5.4320987654320986E-3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input_371010!A$2</f>
        <v>371010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IFERROR(VLOOKUP(B244,input_371010!L:R,7,FALSE),VLOOKUP(tables_371010!C244,input_371010!A:H,8,FALSE))</f>
        <v>68112</v>
      </c>
      <c r="P244" s="46">
        <f t="shared" ca="1" si="11"/>
        <v>4.8888888888888888E-3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input_371010!A$2</f>
        <v>371010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IFERROR(VLOOKUP(B245,input_371010!L:R,7,FALSE),VLOOKUP(tables_371010!C245,input_371010!A:H,8,FALSE))</f>
        <v>7568</v>
      </c>
      <c r="P245" s="46">
        <f t="shared" ca="1" si="11"/>
        <v>5.4320987654320988E-4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input_371010!A$2</f>
        <v>371010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IFERROR(VLOOKUP(B246,input_371010!L:R,7,FALSE),VLOOKUP(tables_371010!C246,input_371010!A:H,8,FALSE))</f>
        <v>75680</v>
      </c>
      <c r="P246" s="46">
        <f t="shared" ca="1" si="11"/>
        <v>5.4320987654320986E-3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input_371010!A$2</f>
        <v>371010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IFERROR(VLOOKUP(B247,input_371010!L:R,7,FALSE),VLOOKUP(tables_371010!C247,input_371010!A:H,8,FALSE))</f>
        <v>68112</v>
      </c>
      <c r="P247" s="46">
        <f t="shared" ca="1" si="11"/>
        <v>4.8888888888888888E-3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input_371010!A$2</f>
        <v>371010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IFERROR(VLOOKUP(B248,input_371010!L:R,7,FALSE),VLOOKUP(tables_371010!C248,input_371010!A:H,8,FALSE))</f>
        <v>7568</v>
      </c>
      <c r="P248" s="46">
        <f t="shared" ca="1" si="11"/>
        <v>5.4320987654320988E-4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input_371010!A$2</f>
        <v>371010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IFERROR(VLOOKUP(B249,input_371010!L:R,7,FALSE),VLOOKUP(tables_371010!C249,input_371010!A:H,8,FALSE))</f>
        <v>75680</v>
      </c>
      <c r="P249" s="46">
        <f t="shared" ca="1" si="11"/>
        <v>5.4320987654320986E-3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input_371010!A$2</f>
        <v>371010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IFERROR(VLOOKUP(B250,input_371010!L:R,7,FALSE),VLOOKUP(tables_371010!C250,input_371010!A:H,8,FALSE))</f>
        <v>68112</v>
      </c>
      <c r="P250" s="46">
        <f t="shared" ca="1" si="11"/>
        <v>4.8888888888888888E-3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input_371010!A$2</f>
        <v>371010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IFERROR(VLOOKUP(B251,input_371010!L:R,7,FALSE),VLOOKUP(tables_371010!C251,input_371010!A:H,8,FALSE))</f>
        <v>7568</v>
      </c>
      <c r="P251" s="46">
        <f t="shared" ca="1" si="11"/>
        <v>5.4320987654320988E-4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input_371010!A$2</f>
        <v>371010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IFERROR(VLOOKUP(B252,input_371010!L:R,7,FALSE),VLOOKUP(tables_371010!C252,input_371010!A:H,8,FALSE))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input_371010!A$2</f>
        <v>371010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IFERROR(VLOOKUP(B253,input_371010!L:R,7,FALSE),VLOOKUP(tables_371010!C253,input_371010!A:H,8,FALSE))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input_371010!A$2</f>
        <v>371010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IFERROR(VLOOKUP(B254,input_371010!L:R,7,FALSE),VLOOKUP(tables_371010!C254,input_371010!A:H,8,FALSE))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input_371010!A$2</f>
        <v>371010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IFERROR(VLOOKUP(B255,input_371010!L:R,7,FALSE),VLOOKUP(tables_371010!C255,input_371010!A:H,8,FALSE))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input_371010!A$2</f>
        <v>371010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IFERROR(VLOOKUP(B256,input_371010!L:R,7,FALSE),VLOOKUP(tables_371010!C256,input_371010!A:H,8,FALSE))</f>
        <v>131294.22222</v>
      </c>
      <c r="P256" s="46">
        <f t="shared" ca="1" si="11"/>
        <v>9.4239321145564159E-3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input_371010!A$2</f>
        <v>371010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IFERROR(VLOOKUP(B257,input_371010!L:R,7,FALSE),VLOOKUP(tables_371010!C257,input_371010!A:H,8,FALSE))</f>
        <v>20065.77778</v>
      </c>
      <c r="P257" s="46">
        <f t="shared" ca="1" si="11"/>
        <v>1.4402654163077806E-3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input_371010!A$2</f>
        <v>371010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IFERROR(VLOOKUP(B258,input_371010!L:R,7,FALSE),VLOOKUP(tables_371010!C258,input_371010!A:H,8,FALSE))</f>
        <v>131294.22222</v>
      </c>
      <c r="P258" s="46">
        <f t="shared" ca="1" si="11"/>
        <v>9.4239321145564159E-3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input_371010!A$2</f>
        <v>371010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IFERROR(VLOOKUP(B259,input_371010!L:R,7,FALSE),VLOOKUP(tables_371010!C259,input_371010!A:H,8,FALSE))</f>
        <v>20065.77778</v>
      </c>
      <c r="P259" s="46">
        <f t="shared" ca="1" si="11"/>
        <v>1.4402654163077806E-3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input_371010!A$2</f>
        <v>371010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IFERROR(VLOOKUP(B260,input_371010!L:R,7,FALSE),VLOOKUP(tables_371010!C260,input_371010!A:H,8,FALSE))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input_371010!A$2</f>
        <v>371010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IFERROR(VLOOKUP(B261,input_371010!L:R,7,FALSE),VLOOKUP(tables_371010!C261,input_371010!A:H,8,FALSE))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input_371010!A$2</f>
        <v>371010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IFERROR(VLOOKUP(B262,input_371010!L:R,7,FALSE),VLOOKUP(tables_371010!C262,input_371010!A:H,8,FALSE))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input_371010!A$2</f>
        <v>371010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IFERROR(VLOOKUP(B263,input_371010!L:R,7,FALSE),VLOOKUP(tables_371010!C263,input_371010!A:H,8,FALSE))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input_371010!A$2</f>
        <v>371010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IFERROR(VLOOKUP(B264,input_371010!L:R,7,FALSE),VLOOKUP(tables_371010!C264,input_371010!A:H,8,FALSE))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input_371010!A$2</f>
        <v>371010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IFERROR(VLOOKUP(B265,input_371010!L:R,7,FALSE),VLOOKUP(tables_371010!C265,input_371010!A:H,8,FALSE))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input_371010!A$2</f>
        <v>371010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IFERROR(VLOOKUP(B266,input_371010!L:R,7,FALSE),VLOOKUP(tables_371010!C266,input_371010!A:H,8,FALSE))</f>
        <v>75680</v>
      </c>
      <c r="P266" s="46">
        <f t="shared" ca="1" si="11"/>
        <v>5.4320987654320986E-3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input_371010!A$2</f>
        <v>371010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IFERROR(VLOOKUP(B267,input_371010!L:R,7,FALSE),VLOOKUP(tables_371010!C267,input_371010!A:H,8,FALSE))</f>
        <v>68112</v>
      </c>
      <c r="P267" s="46">
        <f t="shared" ca="1" si="11"/>
        <v>4.8888888888888888E-3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input_371010!A$2</f>
        <v>371010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IFERROR(VLOOKUP(B268,input_371010!L:R,7,FALSE),VLOOKUP(tables_371010!C268,input_371010!A:H,8,FALSE))</f>
        <v>7568</v>
      </c>
      <c r="P268" s="46">
        <f t="shared" ca="1" si="11"/>
        <v>5.4320987654320988E-4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input_371010!A$2</f>
        <v>371010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IFERROR(VLOOKUP(B269,input_371010!L:R,7,FALSE),VLOOKUP(tables_371010!C269,input_371010!A:H,8,FALSE))</f>
        <v>75680</v>
      </c>
      <c r="P269" s="46">
        <f t="shared" ca="1" si="11"/>
        <v>5.4320987654320986E-3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input_371010!A$2</f>
        <v>371010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IFERROR(VLOOKUP(B270,input_371010!L:R,7,FALSE),VLOOKUP(tables_371010!C270,input_371010!A:H,8,FALSE))</f>
        <v>68112</v>
      </c>
      <c r="P270" s="46">
        <f t="shared" ca="1" si="11"/>
        <v>4.8888888888888888E-3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input_371010!A$2</f>
        <v>371010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IFERROR(VLOOKUP(B271,input_371010!L:R,7,FALSE),VLOOKUP(tables_371010!C271,input_371010!A:H,8,FALSE))</f>
        <v>7568</v>
      </c>
      <c r="P271" s="46">
        <f t="shared" ref="P271:P283" ca="1" si="14">O271/SUM(O:O)</f>
        <v>5.4320987654320988E-4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input_371010!A$2</f>
        <v>371010</v>
      </c>
      <c r="B272" s="84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IFERROR(VLOOKUP(B272,input_371010!L:R,7,FALSE),VLOOKUP(tables_371010!C272,input_371010!A:H,8,FALSE))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input_371010!A$2</f>
        <v>371010</v>
      </c>
      <c r="B273" s="84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IFERROR(VLOOKUP(B273,input_371010!L:R,7,FALSE),VLOOKUP(tables_371010!C273,input_371010!A:H,8,FALSE))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input_371010!A$2</f>
        <v>371010</v>
      </c>
      <c r="B274" s="84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IFERROR(VLOOKUP(B274,input_371010!L:R,7,FALSE),VLOOKUP(tables_371010!C274,input_371010!A:H,8,FALSE))</f>
        <v>131294.22222</v>
      </c>
      <c r="P274" s="46">
        <f t="shared" ca="1" si="14"/>
        <v>9.4239321145564159E-3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input_371010!A$2</f>
        <v>371010</v>
      </c>
      <c r="B275" s="84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IFERROR(VLOOKUP(B275,input_371010!L:R,7,FALSE),VLOOKUP(tables_371010!C275,input_371010!A:H,8,FALSE))</f>
        <v>20065.77778</v>
      </c>
      <c r="P275" s="46">
        <f t="shared" ca="1" si="14"/>
        <v>1.4402654163077806E-3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input_371010!A$2</f>
        <v>371010</v>
      </c>
      <c r="B276" s="84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IFERROR(VLOOKUP(B276,input_371010!L:R,7,FALSE),VLOOKUP(tables_371010!C276,input_371010!A:H,8,FALSE))</f>
        <v>131294.22222</v>
      </c>
      <c r="P276" s="46">
        <f t="shared" ca="1" si="14"/>
        <v>9.4239321145564159E-3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input_371010!A$2</f>
        <v>371010</v>
      </c>
      <c r="B277" s="84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IFERROR(VLOOKUP(B277,input_371010!L:R,7,FALSE),VLOOKUP(tables_371010!C277,input_371010!A:H,8,FALSE))</f>
        <v>20065.77778</v>
      </c>
      <c r="P277" s="46">
        <f t="shared" ca="1" si="14"/>
        <v>1.4402654163077806E-3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input_371010!A$2</f>
        <v>371010</v>
      </c>
      <c r="B278" s="84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IFERROR(VLOOKUP(B278,input_371010!L:R,7,FALSE),VLOOKUP(tables_371010!C278,input_371010!A:H,8,FALSE))</f>
        <v>131294.22222</v>
      </c>
      <c r="P278" s="46">
        <f t="shared" ca="1" si="14"/>
        <v>9.4239321145564159E-3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input_371010!A$2</f>
        <v>371010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IFERROR(VLOOKUP(B279,input_371010!L:R,7,FALSE),VLOOKUP(tables_371010!C279,input_371010!A:H,8,FALSE))</f>
        <v>20065.77778</v>
      </c>
      <c r="P279" s="46">
        <f t="shared" ca="1" si="14"/>
        <v>1.4402654163077806E-3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input_371010!A$2</f>
        <v>371010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IFERROR(VLOOKUP(B280,input_371010!L:R,7,FALSE),VLOOKUP(tables_371010!C280,input_371010!A:H,8,FALSE))</f>
        <v>131294.22222</v>
      </c>
      <c r="P280" s="46">
        <f t="shared" ca="1" si="14"/>
        <v>9.4239321145564159E-3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input_371010!A$2</f>
        <v>371010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IFERROR(VLOOKUP(B281,input_371010!L:R,7,FALSE),VLOOKUP(tables_371010!C281,input_371010!A:H,8,FALSE))</f>
        <v>20065.77778</v>
      </c>
      <c r="P281" s="46">
        <f t="shared" ca="1" si="14"/>
        <v>1.4402654163077806E-3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input_371010!A$2</f>
        <v>371010</v>
      </c>
      <c r="B282" s="84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IFERROR(VLOOKUP(B282,input_371010!L:R,7,FALSE),VLOOKUP(tables_371010!C282,input_371010!A:H,8,FALSE))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input_371010!A$2</f>
        <v>371010</v>
      </c>
      <c r="B283" s="84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IFERROR(VLOOKUP(B283,input_371010!L:R,7,FALSE),VLOOKUP(tables_371010!C283,input_371010!A:H,8,FALSE))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input_371010!A$2</f>
        <v>371010</v>
      </c>
      <c r="B284" s="84">
        <v>742</v>
      </c>
      <c r="C284" s="7" t="str">
        <f t="shared" ref="C284:C289" si="17">D284&amp;J284&amp;E284&amp;F284&amp;G284</f>
        <v>PremiumSS5R5only</v>
      </c>
      <c r="D284" s="7" t="str">
        <f t="shared" ref="D284:D289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IFERROR(VLOOKUP(B284,input_371010!L:R,7,FALSE),VLOOKUP(tables_371010!C284,input_371010!A:H,8,FALSE))</f>
        <v>9720</v>
      </c>
      <c r="P284" s="46">
        <f t="shared" ref="P284:P289" ca="1" si="19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input_371010!A$2</f>
        <v>371010</v>
      </c>
      <c r="B285" s="84">
        <v>744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IFERROR(VLOOKUP(B285,input_371010!L:R,7,FALSE),VLOOKUP(tables_371010!C285,input_371010!A:H,8,FALSE))</f>
        <v>9720</v>
      </c>
      <c r="P285" s="46">
        <f t="shared" ca="1" si="19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input_371010!A$2</f>
        <v>371010</v>
      </c>
      <c r="B286" s="84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IFERROR(VLOOKUP(B286,input_371010!L:R,7,FALSE),VLOOKUP(tables_371010!C286,input_371010!A:H,8,FALSE))</f>
        <v>131294.22222</v>
      </c>
      <c r="P286" s="46">
        <f t="shared" ca="1" si="19"/>
        <v>9.4239321145564159E-3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input_371010!A$2</f>
        <v>371010</v>
      </c>
      <c r="B287" s="84">
        <v>747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IFERROR(VLOOKUP(B287,input_371010!L:R,7,FALSE),VLOOKUP(tables_371010!C287,input_371010!A:H,8,FALSE))</f>
        <v>20065.77778</v>
      </c>
      <c r="P287" s="46">
        <f t="shared" ca="1" si="19"/>
        <v>1.4402654163077806E-3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input_371010!A$2</f>
        <v>371010</v>
      </c>
      <c r="B288" s="84">
        <v>748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IFERROR(VLOOKUP(B288,input_371010!L:R,7,FALSE),VLOOKUP(tables_371010!C288,input_371010!A:H,8,FALSE))</f>
        <v>131294.22222</v>
      </c>
      <c r="P288" s="46">
        <f t="shared" ca="1" si="19"/>
        <v>9.4239321145564159E-3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input_371010!A$2</f>
        <v>371010</v>
      </c>
      <c r="B289" s="84">
        <v>749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IFERROR(VLOOKUP(B289,input_371010!L:R,7,FALSE),VLOOKUP(tables_371010!C289,input_371010!A:H,8,FALSE))</f>
        <v>20065.77778</v>
      </c>
      <c r="P289" s="46">
        <f t="shared" ca="1" si="19"/>
        <v>1.4402654163077806E-3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input_371010!A$2</f>
        <v>371010</v>
      </c>
      <c r="B290" s="84">
        <v>937</v>
      </c>
      <c r="C290" s="7" t="str">
        <f t="shared" ref="C290:C294" si="20">D290&amp;J290&amp;E290&amp;F290&amp;G290</f>
        <v>PremiumSS5R5only</v>
      </c>
      <c r="D290" s="7" t="str">
        <f t="shared" ref="D290:D294" si="21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IFERROR(VLOOKUP(B290,input_371010!L:R,7,FALSE),VLOOKUP(tables_371010!C290,input_371010!A:H,8,FALSE))</f>
        <v>9720</v>
      </c>
      <c r="P290" s="46">
        <f t="shared" ref="P290:P294" ca="1" si="22">O290/SUM(O:O)</f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input_371010!A$2</f>
        <v>371010</v>
      </c>
      <c r="B291" s="84">
        <v>939</v>
      </c>
      <c r="C291" s="7" t="str">
        <f t="shared" si="20"/>
        <v>Premium4R3less</v>
      </c>
      <c r="D291" s="7" t="str">
        <f t="shared" si="2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IFERROR(VLOOKUP(B291,input_371010!L:R,7,FALSE),VLOOKUP(tables_371010!C291,input_371010!A:H,8,FALSE))</f>
        <v>131294.22222</v>
      </c>
      <c r="P291" s="46">
        <f t="shared" ca="1" si="22"/>
        <v>9.4239321145564159E-3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input_371010!A$2</f>
        <v>371010</v>
      </c>
      <c r="B292" s="84">
        <v>940</v>
      </c>
      <c r="C292" s="7" t="str">
        <f t="shared" si="20"/>
        <v>Premium5R3less</v>
      </c>
      <c r="D292" s="7" t="str">
        <f t="shared" si="2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IFERROR(VLOOKUP(B292,input_371010!L:R,7,FALSE),VLOOKUP(tables_371010!C292,input_371010!A:H,8,FALSE))</f>
        <v>20065.77778</v>
      </c>
      <c r="P292" s="46">
        <f t="shared" ca="1" si="22"/>
        <v>1.4402654163077806E-3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input_371010!A$2</f>
        <v>371010</v>
      </c>
      <c r="B293" s="84">
        <v>941</v>
      </c>
      <c r="C293" s="7" t="str">
        <f t="shared" si="20"/>
        <v>PremiumSS5R5only</v>
      </c>
      <c r="D293" s="7" t="str">
        <f t="shared" si="2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IFERROR(VLOOKUP(B293,input_371010!L:R,7,FALSE),VLOOKUP(tables_371010!C293,input_371010!A:H,8,FALSE))</f>
        <v>9720</v>
      </c>
      <c r="P293" s="46">
        <f t="shared" ca="1" si="22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input_371010!A$2</f>
        <v>371010</v>
      </c>
      <c r="B294" s="84">
        <v>943</v>
      </c>
      <c r="C294" s="7" t="str">
        <f t="shared" si="20"/>
        <v>PremiumSS5R5only</v>
      </c>
      <c r="D294" s="7" t="str">
        <f t="shared" si="21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IFERROR(VLOOKUP(B294,input_371010!L:R,7,FALSE),VLOOKUP(tables_371010!C294,input_371010!A:H,8,FALSE))</f>
        <v>9720</v>
      </c>
      <c r="P294" s="46">
        <f t="shared" ca="1" si="22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input_371010!A$2</f>
        <v>371010</v>
      </c>
      <c r="B295" s="84">
        <v>1046</v>
      </c>
      <c r="C295" s="7" t="str">
        <f t="shared" ref="C295:C298" si="23">D295&amp;J295&amp;E295&amp;F295&amp;G295</f>
        <v>Premium5R3less</v>
      </c>
      <c r="D295" s="7" t="str">
        <f t="shared" ref="D295:D298" si="24">IF(I295="PremiumSS",I295,IF(I295="PremiumSSS",I295,IF(I295="PremiumW",I295,"Premium")))</f>
        <v>Premium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涼求の炎狼 フェンリル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animal</v>
      </c>
      <c r="N295" s="7" t="str">
        <f>VLOOKUP(B295,[1]characters!$A:$G,7,FALSE)</f>
        <v>男性</v>
      </c>
      <c r="O295" s="45">
        <f>IFERROR(VLOOKUP(B295,input_371010!L:R,7,FALSE),VLOOKUP(tables_371010!C295,input_371010!A:H,8,FALSE))</f>
        <v>557280</v>
      </c>
      <c r="P295" s="46">
        <f t="shared" ref="P295:P298" ca="1" si="25">O295/SUM(O:O)</f>
        <v>0.04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input_371010!A$2</f>
        <v>371010</v>
      </c>
      <c r="B296" s="84">
        <v>1047</v>
      </c>
      <c r="C296" s="7" t="str">
        <f t="shared" si="23"/>
        <v>PremiumSSS6R3less</v>
      </c>
      <c r="D296" s="7" t="str">
        <f t="shared" si="24"/>
        <v>PremiumSSS</v>
      </c>
      <c r="E296" s="7" t="str">
        <f>IF(COUNTIF('R6追加前'!A:A,B296)=0,IF(I296="PremiumSS","R5only","R3less"),"")</f>
        <v>R3less</v>
      </c>
      <c r="F296" s="7" t="str">
        <f>IF(COUNTIF('R6開放'!A:A,B296)&gt;0,"R6release","")</f>
        <v/>
      </c>
      <c r="G296" s="7"/>
      <c r="H296" s="7" t="str">
        <f>VLOOKUP(B296,[1]characters!$A:$C,3,FALSE)</f>
        <v>波浪の夏閃 オイラー</v>
      </c>
      <c r="I296" s="7" t="str">
        <f>VLOOKUP(B296,[1]characters!$A:$J,10,FALSE)</f>
        <v>PremiumSSS</v>
      </c>
      <c r="J296" s="7">
        <f>VLOOKUP(B296,[1]characters!$A:$I,9,FALSE)</f>
        <v>6</v>
      </c>
      <c r="K296" s="7" t="str">
        <f>VLOOKUP(B296,[1]characters!$A:$H,8,FALSE)</f>
        <v>green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IFERROR(VLOOKUP(B296,input_371010!L:R,7,FALSE),VLOOKUP(tables_371010!C296,input_371010!A:H,8,FALSE))</f>
        <v>69660</v>
      </c>
      <c r="P296" s="46">
        <f t="shared" ca="1" si="25"/>
        <v>5.0000000000000001E-3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input_371010!A$2</f>
        <v>371010</v>
      </c>
      <c r="B297" s="84">
        <v>1050</v>
      </c>
      <c r="C297" s="7" t="str">
        <f t="shared" si="23"/>
        <v>Premium5R3less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廻遊の水獣宰相 ルキフグス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balance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>IFERROR(VLOOKUP(B297,input_371010!L:R,7,FALSE),VLOOKUP(tables_371010!C297,input_371010!A:H,8,FALSE))</f>
        <v>557280</v>
      </c>
      <c r="P297" s="46">
        <f t="shared" ca="1" si="25"/>
        <v>0.04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input_371010!A$2</f>
        <v>371010</v>
      </c>
      <c r="B298" s="84">
        <v>1051</v>
      </c>
      <c r="C298" s="7" t="str">
        <f t="shared" si="23"/>
        <v>PremiumSSS6R3less</v>
      </c>
      <c r="D298" s="7" t="str">
        <f t="shared" si="24"/>
        <v>PremiumSSS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嬌電の飛沫 ファラデー</v>
      </c>
      <c r="I298" s="7" t="str">
        <f>VLOOKUP(B298,[1]characters!$A:$J,10,FALSE)</f>
        <v>PremiumSSS</v>
      </c>
      <c r="J298" s="7">
        <f>VLOOKUP(B298,[1]characters!$A:$I,9,FALSE)</f>
        <v>6</v>
      </c>
      <c r="K298" s="7" t="str">
        <f>VLOOKUP(B298,[1]characters!$A:$H,8,FALSE)</f>
        <v>yellow</v>
      </c>
      <c r="L298" s="7" t="str">
        <f>VLOOKUP(B298,[1]characters!$A:$K,11,FALSE)</f>
        <v>balance</v>
      </c>
      <c r="M298" s="7" t="str">
        <f>VLOOKUP(B298,[1]characters!$A:$M,13,FALSE)</f>
        <v>human</v>
      </c>
      <c r="N298" s="7" t="str">
        <f>VLOOKUP(B298,[1]characters!$A:$G,7,FALSE)</f>
        <v>男性</v>
      </c>
      <c r="O298" s="45">
        <f>IFERROR(VLOOKUP(B298,input_371010!L:R,7,FALSE),VLOOKUP(tables_371010!C298,input_371010!A:H,8,FALSE))</f>
        <v>69660</v>
      </c>
      <c r="P298" s="46">
        <f t="shared" ca="1" si="25"/>
        <v>5.0000000000000001E-3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</sheetData>
  <autoFilter ref="A1:V283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2" workbookViewId="0">
      <selection activeCell="I27" sqref="I2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371100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1046</v>
      </c>
      <c r="M3" s="37" t="str">
        <f>VLOOKUP(L3,[1]characters!$A:$C,3,FALSE)</f>
        <v>涼求の炎狼 フェンリル</v>
      </c>
      <c r="N3" s="63">
        <v>0.04</v>
      </c>
      <c r="O3" s="37">
        <f>VLOOKUP(L3,[1]characters!$A:$I,9,FALSE)</f>
        <v>5</v>
      </c>
      <c r="P3" s="37" t="str">
        <f>VLOOKUP(L3,[1]characters!$A:$J,10,FALSE)</f>
        <v>PremiumS</v>
      </c>
      <c r="Q3" s="37" t="str">
        <f>VLOOKUP(L3,tables_371100!B:C,2,FALSE)</f>
        <v>Premium5R3less</v>
      </c>
      <c r="R3" s="62">
        <f t="shared" ref="R3:R20" si="0">N3*A$36</f>
        <v>557280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1047</v>
      </c>
      <c r="M4" s="37" t="str">
        <f>VLOOKUP(L4,[1]characters!$A:$C,3,FALSE)</f>
        <v>波浪の夏閃 オイラー</v>
      </c>
      <c r="N4" s="63">
        <v>5.0000000000000001E-3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VLOOKUP(L4,tables_371100!B:C,2,FALSE)</f>
        <v>PremiumSSS6R3less</v>
      </c>
      <c r="R4" s="62">
        <f t="shared" si="0"/>
        <v>69660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6.9767441860465117E-4</v>
      </c>
      <c r="F5">
        <f>(COUNTIF(tables_371100!C:C,input_371100!A26)+COUNTIF(tables_371100!C:C,input_371100!A28)+COUNTIF(tables_371100!C:C,input_371100!A29))</f>
        <v>43</v>
      </c>
      <c r="H5" s="87">
        <v>0</v>
      </c>
      <c r="I5" s="31">
        <v>0</v>
      </c>
      <c r="L5" s="60">
        <v>1050</v>
      </c>
      <c r="M5" s="37" t="str">
        <f>VLOOKUP(L5,[1]characters!$A:$C,3,FALSE)</f>
        <v>廻遊の水獣宰相 ルキフグス</v>
      </c>
      <c r="N5" s="63">
        <v>0.04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VLOOKUP(L5,tables_371100!B:C,2,FALSE)</f>
        <v>Premium5R3less</v>
      </c>
      <c r="R5" s="62">
        <f>N5*A$36</f>
        <v>557280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1.0864197530864197E-2</v>
      </c>
      <c r="F6">
        <f>(COUNTIF(tables_371100!C:C,input_371100!A18)+COUNTIF(tables_371100!C:C,input_371100!A20)+COUNTIF(tables_371100!C:C,input_371100!A22))</f>
        <v>81</v>
      </c>
      <c r="H6" s="74">
        <v>0.08</v>
      </c>
      <c r="I6" s="31">
        <v>0</v>
      </c>
      <c r="L6" s="92">
        <v>1051</v>
      </c>
      <c r="M6" s="37" t="str">
        <f>VLOOKUP(L6,[1]characters!$A:$C,3,FALSE)</f>
        <v>嬌電の飛沫 ファラデー</v>
      </c>
      <c r="N6" s="63">
        <v>5.0000000000000001E-3</v>
      </c>
      <c r="O6" s="37">
        <f>VLOOKUP(L6,[1]characters!$A:$I,9,FALSE)</f>
        <v>6</v>
      </c>
      <c r="P6" s="37" t="str">
        <f>VLOOKUP(L6,[1]characters!$A:$J,10,FALSE)</f>
        <v>PremiumSSS</v>
      </c>
      <c r="Q6" s="37" t="str">
        <f>VLOOKUP(L6,tables_371100!B:C,2,FALSE)</f>
        <v>PremiumSSS6R3less</v>
      </c>
      <c r="R6" s="62">
        <f t="shared" si="0"/>
        <v>69660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VLOOKUP(L7,tables_371100!B:C,2,FALSE)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VLOOKUP(L8,tables_371100!B:C,2,FALSE)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0.08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VLOOKUP(L9,tables_371100!B:C,2,FALSE)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v>0.96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VLOOKUP(L10,tables_371100!B:C,2,FALSE)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VLOOKUP(L11,tables_371100!B:C,2,FALSE)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VLOOKUP(L12,tables_371100!B:C,2,FALSE)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VLOOKUP(L13,tables_371100!B:C,2,FALSE)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VLOOKUP(L14,tables_371100!B:C,2,FALSE)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VLOOKUP(L15,tables_371100!B:C,2,FALSE)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VLOOKUP(L16,tables_371100!B:C,2,FALSE)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COUNTIF(tables_371100!C:C,input_371100!A17)-COUNTIF(Q:Q,A17)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VLOOKUP(L17,tables_371100!B:C,2,FALSE)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0.21728395061728395</v>
      </c>
      <c r="C18" s="75">
        <f t="shared" si="2"/>
        <v>0</v>
      </c>
      <c r="D18" s="76">
        <f t="shared" si="3"/>
        <v>0.21728395061728395</v>
      </c>
      <c r="E18">
        <f>COUNTIF(tables_371100!C:C,input_371100!A18)-COUNTIF(Q:Q,A18)</f>
        <v>20</v>
      </c>
      <c r="F18" s="43">
        <f t="shared" ref="F18:F31" si="7">IFERROR(B18/E18,0)</f>
        <v>1.0864197530864197E-2</v>
      </c>
      <c r="G18">
        <f t="shared" ref="G18:G31" si="8">A$36*B18</f>
        <v>3027200</v>
      </c>
      <c r="H18">
        <f t="shared" si="4"/>
        <v>151360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VLOOKUP(L18,tables_371100!B:C,2,FALSE)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COUNTIF(tables_371100!C:C,input_371100!A19)-COUNTIF(Q:Q,A19)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VLOOKUP(L19,tables_371100!B:C,2,FALSE)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0.53669135802469137</v>
      </c>
      <c r="C20" s="75">
        <f t="shared" si="2"/>
        <v>0</v>
      </c>
      <c r="D20" s="76">
        <f t="shared" si="3"/>
        <v>0.53669135802469137</v>
      </c>
      <c r="E20">
        <f>COUNTIF(tables_371100!C:C,input_371100!A20)-COUNTIF(Q:Q,A20)</f>
        <v>52</v>
      </c>
      <c r="F20" s="43">
        <f t="shared" si="7"/>
        <v>1.0320987654320988E-2</v>
      </c>
      <c r="G20">
        <f t="shared" si="8"/>
        <v>7477184</v>
      </c>
      <c r="H20">
        <f t="shared" si="4"/>
        <v>143792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VLOOKUP(L20,tables_371100!B:C,2,FALSE)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2.8246913580246915E-2</v>
      </c>
      <c r="C21" s="75">
        <f t="shared" si="2"/>
        <v>0</v>
      </c>
      <c r="D21" s="76">
        <f t="shared" si="3"/>
        <v>2.8246913580246915E-2</v>
      </c>
      <c r="E21">
        <f>COUNTIF(tables_371100!C:C,input_371100!A21)-COUNTIF(Q:Q,A21)</f>
        <v>52</v>
      </c>
      <c r="F21" s="43">
        <f t="shared" si="7"/>
        <v>5.4320987654320988E-4</v>
      </c>
      <c r="G21">
        <f t="shared" si="8"/>
        <v>393536</v>
      </c>
      <c r="H21">
        <f t="shared" si="4"/>
        <v>7568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8.4815389032443289E-2</v>
      </c>
      <c r="C22" s="75">
        <f t="shared" si="2"/>
        <v>0</v>
      </c>
      <c r="D22" s="76">
        <f t="shared" si="3"/>
        <v>8.4815389032443289E-2</v>
      </c>
      <c r="E22">
        <f>COUNTIF(tables_371100!C:C,input_371100!A22)-COUNTIF(Q:Q,A22)</f>
        <v>9</v>
      </c>
      <c r="F22" s="43">
        <f t="shared" si="7"/>
        <v>9.4239321147159202E-3</v>
      </c>
      <c r="G22">
        <f t="shared" si="8"/>
        <v>1181648</v>
      </c>
      <c r="H22">
        <f t="shared" si="4"/>
        <v>131294.22222</v>
      </c>
      <c r="I22">
        <f t="shared" si="5"/>
        <v>0.22221999999601394</v>
      </c>
      <c r="J22">
        <f t="shared" si="6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1.2962388745334476E-2</v>
      </c>
      <c r="C23" s="75">
        <f t="shared" si="2"/>
        <v>0.08</v>
      </c>
      <c r="D23" s="76">
        <f t="shared" si="3"/>
        <v>-6.7037611254665522E-2</v>
      </c>
      <c r="E23">
        <f>COUNTIF(tables_371100!C:C,input_371100!A23)-COUNTIF(Q:Q,A23)</f>
        <v>9</v>
      </c>
      <c r="F23" s="43">
        <f t="shared" si="7"/>
        <v>1.4402654161482752E-3</v>
      </c>
      <c r="G23">
        <f t="shared" si="8"/>
        <v>180591.99999999991</v>
      </c>
      <c r="H23">
        <f t="shared" si="4"/>
        <v>20065.77778</v>
      </c>
      <c r="I23">
        <f t="shared" si="5"/>
        <v>0.77778000000034808</v>
      </c>
      <c r="J23">
        <f t="shared" si="6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COUNTIF(tables_371100!C:C,input_371100!A24)-COUNTIF(Q:Q,A24)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2.6511627906976743E-3</v>
      </c>
      <c r="C25" s="75">
        <f t="shared" si="2"/>
        <v>0</v>
      </c>
      <c r="D25" s="76">
        <f t="shared" si="3"/>
        <v>2.6511627906976743E-3</v>
      </c>
      <c r="E25">
        <f>COUNTIF(tables_371100!C:C,input_371100!A25)-COUNTIF(Q:Q,A25)</f>
        <v>4</v>
      </c>
      <c r="F25" s="43">
        <f t="shared" si="7"/>
        <v>6.6279069767441858E-4</v>
      </c>
      <c r="G25">
        <f t="shared" si="8"/>
        <v>36936</v>
      </c>
      <c r="H25">
        <f t="shared" si="4"/>
        <v>9234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1.3953488372093025E-4</v>
      </c>
      <c r="C26" s="75">
        <f t="shared" si="2"/>
        <v>0</v>
      </c>
      <c r="D26" s="76">
        <f t="shared" si="3"/>
        <v>1.3953488372093025E-4</v>
      </c>
      <c r="E26">
        <f>COUNTIF(tables_371100!C:C,input_371100!A26)-COUNTIF(Q:Q,A26)</f>
        <v>4</v>
      </c>
      <c r="F26" s="43">
        <f t="shared" si="7"/>
        <v>3.4883720930232563E-5</v>
      </c>
      <c r="G26">
        <f t="shared" si="8"/>
        <v>1944.0000000000002</v>
      </c>
      <c r="H26">
        <f t="shared" si="4"/>
        <v>486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1.8558139534883718E-2</v>
      </c>
      <c r="C27" s="75">
        <f t="shared" si="2"/>
        <v>0</v>
      </c>
      <c r="D27" s="76">
        <f t="shared" si="3"/>
        <v>1.8558139534883718E-2</v>
      </c>
      <c r="E27">
        <f>COUNTIF(tables_371100!C:C,input_371100!A27)-COUNTIF(Q:Q,A27)</f>
        <v>28</v>
      </c>
      <c r="F27" s="43">
        <f>IFERROR(B27/E27,0)</f>
        <v>6.6279069767441847E-4</v>
      </c>
      <c r="G27">
        <f t="shared" si="8"/>
        <v>258551.99999999997</v>
      </c>
      <c r="H27">
        <f t="shared" si="4"/>
        <v>9234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9.7674418604651162E-4</v>
      </c>
      <c r="C28" s="75">
        <f t="shared" si="2"/>
        <v>0</v>
      </c>
      <c r="D28" s="76">
        <f t="shared" si="3"/>
        <v>9.7674418604651162E-4</v>
      </c>
      <c r="E28">
        <f>COUNTIF(tables_371100!C:C,input_371100!A28)-COUNTIF(Q:Q,A28)</f>
        <v>28</v>
      </c>
      <c r="F28" s="43">
        <f t="shared" si="7"/>
        <v>3.4883720930232556E-5</v>
      </c>
      <c r="G28">
        <f t="shared" si="8"/>
        <v>13608</v>
      </c>
      <c r="H28">
        <f t="shared" si="4"/>
        <v>486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75">
        <f t="shared" si="2"/>
        <v>0</v>
      </c>
      <c r="D29" s="76">
        <f t="shared" si="3"/>
        <v>7.674418604651163E-3</v>
      </c>
      <c r="E29">
        <f>COUNTIF(tables_371100!C:C,input_371100!A29)-COUNTIF(Q:Q,A29)</f>
        <v>11</v>
      </c>
      <c r="F29" s="43">
        <f t="shared" si="7"/>
        <v>6.9767441860465117E-4</v>
      </c>
      <c r="G29">
        <f t="shared" si="8"/>
        <v>106920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COUNTIF(tables_371100!C:C,input_371100!A30)-COUNTIF(Q:Q,A30)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COUNTIF(tables_371100!C:C,input_371100!A31)-COUNTIF(Q:Q,A31)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0.91000000000000014</v>
      </c>
      <c r="C32" s="41">
        <f>SUM(C19:C31)</f>
        <v>0.08</v>
      </c>
      <c r="D32" s="42">
        <f t="shared" si="3"/>
        <v>0.83000000000000018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SUMIF(#REF!,input_371100!A40,#REF!)</f>
        <v>#REF!</v>
      </c>
      <c r="C40" s="54" t="e">
        <f t="shared" ref="C40:C46" si="9">B40/B$47</f>
        <v>#REF!</v>
      </c>
      <c r="E40">
        <v>3</v>
      </c>
      <c r="F40" t="e">
        <f>SUMIF(#REF!,input_371100!E40,#REF!)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SUMIF(#REF!,input_371100!A41,#REF!)</f>
        <v>#REF!</v>
      </c>
      <c r="C41" s="54" t="e">
        <f t="shared" si="9"/>
        <v>#REF!</v>
      </c>
      <c r="E41">
        <v>4</v>
      </c>
      <c r="F41" t="e">
        <f>SUMIF(#REF!,input_371100!E41,#REF!)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SUMIF(#REF!,input_371100!A42,#REF!)</f>
        <v>#REF!</v>
      </c>
      <c r="C42" s="54" t="e">
        <f t="shared" si="9"/>
        <v>#REF!</v>
      </c>
      <c r="E42">
        <v>5</v>
      </c>
      <c r="F42" t="e">
        <f>SUMIF(#REF!,input_371100!E42,#REF!)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SUMIF(#REF!,input_371100!A43,#REF!)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SUMIF(#REF!,input_371100!A44,#REF!)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SUMIF(#REF!,input_371100!A45,#REF!)</f>
        <v>#REF!</v>
      </c>
      <c r="C45" s="54" t="e">
        <f t="shared" si="9"/>
        <v>#REF!</v>
      </c>
      <c r="E45" t="s">
        <v>210</v>
      </c>
      <c r="F45" s="55" t="e">
        <f>SUMIF(#REF!,input_371100!E45,#REF!)</f>
        <v>#REF!</v>
      </c>
    </row>
    <row r="46" spans="1:7" x14ac:dyDescent="0.15">
      <c r="A46" s="33" t="s">
        <v>115</v>
      </c>
      <c r="B46" t="e">
        <f>SUMIF(#REF!,input_371100!A46,#REF!)</f>
        <v>#REF!</v>
      </c>
      <c r="C46" s="54" t="e">
        <f t="shared" si="9"/>
        <v>#REF!</v>
      </c>
      <c r="E46" t="s">
        <v>211</v>
      </c>
      <c r="F46" s="55" t="e">
        <f>SUMIF(#REF!,input_371100!E46,#REF!)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SUMIF(#REF!,input_371100!E47,#REF!)</f>
        <v>#REF!</v>
      </c>
    </row>
    <row r="48" spans="1:7" x14ac:dyDescent="0.15">
      <c r="E48" t="s">
        <v>213</v>
      </c>
      <c r="F48" s="55" t="e">
        <f>SUMIF(#REF!,input_371100!E48,#REF!)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8"/>
  <sheetViews>
    <sheetView showGridLines="0" zoomScale="75" zoomScaleNormal="75" zoomScalePageLayoutView="75" workbookViewId="0">
      <pane ySplit="1" topLeftCell="A277" activePane="bottomLeft" state="frozen"/>
      <selection activeCell="E31" sqref="E31"/>
      <selection pane="bottomLeft" activeCell="E31" sqref="E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input_371100!A$2</f>
        <v>371100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IFERROR(VLOOKUP(B2,input_371100!L:R,7,FALSE),VLOOKUP(tables_371100!C2,input_371100!A:H,8,FALSE))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input_371100!A$2</f>
        <v>371100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IFERROR(VLOOKUP(B3,input_371100!L:R,7,FALSE),VLOOKUP(tables_371100!C3,input_371100!A:H,8,FALSE))</f>
        <v>151360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input_371100!A$2</f>
        <v>371100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IFERROR(VLOOKUP(B4,input_371100!L:R,7,FALSE),VLOOKUP(tables_371100!C4,input_371100!A:H,8,FALSE))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input_371100!A$2</f>
        <v>371100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IFERROR(VLOOKUP(B5,input_371100!L:R,7,FALSE),VLOOKUP(tables_371100!C5,input_371100!A:H,8,FALSE))</f>
        <v>151360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input_371100!A$2</f>
        <v>371100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IFERROR(VLOOKUP(B6,input_371100!L:R,7,FALSE),VLOOKUP(tables_371100!C6,input_371100!A:H,8,FALSE))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input_371100!A$2</f>
        <v>371100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IFERROR(VLOOKUP(B7,input_371100!L:R,7,FALSE),VLOOKUP(tables_371100!C7,input_371100!A:H,8,FALSE))</f>
        <v>151360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input_371100!A$2</f>
        <v>371100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IFERROR(VLOOKUP(B8,input_371100!L:R,7,FALSE),VLOOKUP(tables_371100!C8,input_371100!A:H,8,FALSE))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input_371100!A$2</f>
        <v>371100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IFERROR(VLOOKUP(B9,input_371100!L:R,7,FALSE),VLOOKUP(tables_371100!C9,input_371100!A:H,8,FALSE))</f>
        <v>151360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input_371100!A$2</f>
        <v>371100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IFERROR(VLOOKUP(B10,input_371100!L:R,7,FALSE),VLOOKUP(tables_371100!C10,input_371100!A:H,8,FALSE))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input_371100!A$2</f>
        <v>371100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IFERROR(VLOOKUP(B11,input_371100!L:R,7,FALSE),VLOOKUP(tables_371100!C11,input_371100!A:H,8,FALSE))</f>
        <v>151360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input_371100!A$2</f>
        <v>371100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IFERROR(VLOOKUP(B12,input_371100!L:R,7,FALSE),VLOOKUP(tables_371100!C12,input_371100!A:H,8,FALSE))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input_371100!A$2</f>
        <v>371100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IFERROR(VLOOKUP(B13,input_371100!L:R,7,FALSE),VLOOKUP(tables_371100!C13,input_371100!A:H,8,FALSE))</f>
        <v>151360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input_371100!A$2</f>
        <v>371100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IFERROR(VLOOKUP(B14,input_371100!L:R,7,FALSE),VLOOKUP(tables_371100!C14,input_371100!A:H,8,FALSE))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input_371100!A$2</f>
        <v>371100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IFERROR(VLOOKUP(B15,input_371100!L:R,7,FALSE),VLOOKUP(tables_371100!C15,input_371100!A:H,8,FALSE))</f>
        <v>151360</v>
      </c>
      <c r="P15" s="46">
        <f t="shared" ref="P15:P78" ca="1" si="2">O15/SUM(O:O)</f>
        <v>1.0864197530864197E-2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input_371100!A$2</f>
        <v>371100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IFERROR(VLOOKUP(B16,input_371100!L:R,7,FALSE),VLOOKUP(tables_371100!C16,input_371100!A:H,8,FALSE))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input_371100!A$2</f>
        <v>371100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IFERROR(VLOOKUP(B17,input_371100!L:R,7,FALSE),VLOOKUP(tables_371100!C17,input_371100!A:H,8,FALSE))</f>
        <v>151360</v>
      </c>
      <c r="P17" s="46">
        <f t="shared" ca="1" si="2"/>
        <v>1.0864197530864197E-2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input_371100!A$2</f>
        <v>371100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IFERROR(VLOOKUP(B18,input_371100!L:R,7,FALSE),VLOOKUP(tables_371100!C18,input_371100!A:H,8,FALSE))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input_371100!A$2</f>
        <v>371100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IFERROR(VLOOKUP(B19,input_371100!L:R,7,FALSE),VLOOKUP(tables_371100!C19,input_371100!A:H,8,FALSE))</f>
        <v>151360</v>
      </c>
      <c r="P19" s="46">
        <f t="shared" ca="1" si="2"/>
        <v>1.0864197530864197E-2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input_371100!A$2</f>
        <v>371100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IFERROR(VLOOKUP(B20,input_371100!L:R,7,FALSE),VLOOKUP(tables_371100!C20,input_371100!A:H,8,FALSE))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input_371100!A$2</f>
        <v>371100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IFERROR(VLOOKUP(B21,input_371100!L:R,7,FALSE),VLOOKUP(tables_371100!C21,input_371100!A:H,8,FALSE))</f>
        <v>151360</v>
      </c>
      <c r="P21" s="46">
        <f t="shared" ca="1" si="2"/>
        <v>1.0864197530864197E-2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input_371100!A$2</f>
        <v>371100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IFERROR(VLOOKUP(B22,input_371100!L:R,7,FALSE),VLOOKUP(tables_371100!C22,input_371100!A:H,8,FALSE))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input_371100!A$2</f>
        <v>371100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IFERROR(VLOOKUP(B23,input_371100!L:R,7,FALSE),VLOOKUP(tables_371100!C23,input_371100!A:H,8,FALSE))</f>
        <v>151360</v>
      </c>
      <c r="P23" s="46">
        <f t="shared" ca="1" si="2"/>
        <v>1.0864197530864197E-2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input_371100!A$2</f>
        <v>371100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IFERROR(VLOOKUP(B24,input_371100!L:R,7,FALSE),VLOOKUP(tables_371100!C24,input_371100!A:H,8,FALSE))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input_371100!A$2</f>
        <v>371100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IFERROR(VLOOKUP(B25,input_371100!L:R,7,FALSE),VLOOKUP(tables_371100!C25,input_371100!A:H,8,FALSE))</f>
        <v>151360</v>
      </c>
      <c r="P25" s="46">
        <f t="shared" ca="1" si="2"/>
        <v>1.0864197530864197E-2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input_371100!A$2</f>
        <v>371100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IFERROR(VLOOKUP(B26,input_371100!L:R,7,FALSE),VLOOKUP(tables_371100!C26,input_371100!A:H,8,FALSE))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input_371100!A$2</f>
        <v>371100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IFERROR(VLOOKUP(B27,input_371100!L:R,7,FALSE),VLOOKUP(tables_371100!C27,input_371100!A:H,8,FALSE))</f>
        <v>151360</v>
      </c>
      <c r="P27" s="46">
        <f t="shared" ca="1" si="2"/>
        <v>1.0864197530864197E-2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input_371100!A$2</f>
        <v>371100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IFERROR(VLOOKUP(B28,input_371100!L:R,7,FALSE),VLOOKUP(tables_371100!C28,input_371100!A:H,8,FALSE))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input_371100!A$2</f>
        <v>371100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IFERROR(VLOOKUP(B29,input_371100!L:R,7,FALSE),VLOOKUP(tables_371100!C29,input_371100!A:H,8,FALSE))</f>
        <v>151360</v>
      </c>
      <c r="P29" s="46">
        <f t="shared" ca="1" si="2"/>
        <v>1.0864197530864197E-2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input_371100!A$2</f>
        <v>371100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IFERROR(VLOOKUP(B30,input_371100!L:R,7,FALSE),VLOOKUP(tables_371100!C30,input_371100!A:H,8,FALSE))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input_371100!A$2</f>
        <v>371100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IFERROR(VLOOKUP(B31,input_371100!L:R,7,FALSE),VLOOKUP(tables_371100!C31,input_371100!A:H,8,FALSE))</f>
        <v>151360</v>
      </c>
      <c r="P31" s="46">
        <f t="shared" ca="1" si="2"/>
        <v>1.0864197530864197E-2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input_371100!A$2</f>
        <v>371100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IFERROR(VLOOKUP(B32,input_371100!L:R,7,FALSE),VLOOKUP(tables_371100!C32,input_371100!A:H,8,FALSE))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input_371100!A$2</f>
        <v>371100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IFERROR(VLOOKUP(B33,input_371100!L:R,7,FALSE),VLOOKUP(tables_371100!C33,input_371100!A:H,8,FALSE))</f>
        <v>151360</v>
      </c>
      <c r="P33" s="46">
        <f t="shared" ca="1" si="2"/>
        <v>1.0864197530864197E-2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input_371100!A$2</f>
        <v>371100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IFERROR(VLOOKUP(B34,input_371100!L:R,7,FALSE),VLOOKUP(tables_371100!C34,input_371100!A:H,8,FALSE))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input_371100!A$2</f>
        <v>371100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IFERROR(VLOOKUP(B35,input_371100!L:R,7,FALSE),VLOOKUP(tables_371100!C35,input_371100!A:H,8,FALSE))</f>
        <v>151360</v>
      </c>
      <c r="P35" s="46">
        <f t="shared" ca="1" si="2"/>
        <v>1.0864197530864197E-2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input_371100!A$2</f>
        <v>371100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IFERROR(VLOOKUP(B36,input_371100!L:R,7,FALSE),VLOOKUP(tables_371100!C36,input_371100!A:H,8,FALSE))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input_371100!A$2</f>
        <v>371100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IFERROR(VLOOKUP(B37,input_371100!L:R,7,FALSE),VLOOKUP(tables_371100!C37,input_371100!A:H,8,FALSE))</f>
        <v>151360</v>
      </c>
      <c r="P37" s="46">
        <f t="shared" ca="1" si="2"/>
        <v>1.0864197530864197E-2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input_371100!A$2</f>
        <v>371100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IFERROR(VLOOKUP(B38,input_371100!L:R,7,FALSE),VLOOKUP(tables_371100!C38,input_371100!A:H,8,FALSE))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input_371100!A$2</f>
        <v>371100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IFERROR(VLOOKUP(B39,input_371100!L:R,7,FALSE),VLOOKUP(tables_371100!C39,input_371100!A:H,8,FALSE))</f>
        <v>151360</v>
      </c>
      <c r="P39" s="46">
        <f t="shared" ca="1" si="2"/>
        <v>1.0864197530864197E-2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input_371100!A$2</f>
        <v>371100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IFERROR(VLOOKUP(B40,input_371100!L:R,7,FALSE),VLOOKUP(tables_371100!C40,input_371100!A:H,8,FALSE))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input_371100!A$2</f>
        <v>371100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IFERROR(VLOOKUP(B41,input_371100!L:R,7,FALSE),VLOOKUP(tables_371100!C41,input_371100!A:H,8,FALSE))</f>
        <v>151360</v>
      </c>
      <c r="P41" s="46">
        <f t="shared" ca="1" si="2"/>
        <v>1.0864197530864197E-2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input_371100!A$2</f>
        <v>371100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IFERROR(VLOOKUP(B42,input_371100!L:R,7,FALSE),VLOOKUP(tables_371100!C42,input_371100!A:H,8,FALSE))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input_371100!A$2</f>
        <v>371100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IFERROR(VLOOKUP(B43,input_371100!L:R,7,FALSE),VLOOKUP(tables_371100!C43,input_371100!A:H,8,FALSE))</f>
        <v>9234</v>
      </c>
      <c r="P43" s="46">
        <f t="shared" ca="1" si="2"/>
        <v>6.6279069767441858E-4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input_371100!A$2</f>
        <v>371100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IFERROR(VLOOKUP(B44,input_371100!L:R,7,FALSE),VLOOKUP(tables_371100!C44,input_371100!A:H,8,FALSE))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input_371100!A$2</f>
        <v>371100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IFERROR(VLOOKUP(B45,input_371100!L:R,7,FALSE),VLOOKUP(tables_371100!C45,input_371100!A:H,8,FALSE))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input_371100!A$2</f>
        <v>371100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IFERROR(VLOOKUP(B46,input_371100!L:R,7,FALSE),VLOOKUP(tables_371100!C46,input_371100!A:H,8,FALSE))</f>
        <v>9234</v>
      </c>
      <c r="P46" s="46">
        <f t="shared" ca="1" si="2"/>
        <v>6.6279069767441858E-4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input_371100!A$2</f>
        <v>371100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IFERROR(VLOOKUP(B47,input_371100!L:R,7,FALSE),VLOOKUP(tables_371100!C47,input_371100!A:H,8,FALSE))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input_371100!A$2</f>
        <v>371100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IFERROR(VLOOKUP(B48,input_371100!L:R,7,FALSE),VLOOKUP(tables_371100!C48,input_371100!A:H,8,FALSE))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input_371100!A$2</f>
        <v>371100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IFERROR(VLOOKUP(B49,input_371100!L:R,7,FALSE),VLOOKUP(tables_371100!C49,input_371100!A:H,8,FALSE))</f>
        <v>9234</v>
      </c>
      <c r="P49" s="46">
        <f t="shared" ca="1" si="2"/>
        <v>6.6279069767441858E-4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input_371100!A$2</f>
        <v>371100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IFERROR(VLOOKUP(B50,input_371100!L:R,7,FALSE),VLOOKUP(tables_371100!C50,input_371100!A:H,8,FALSE))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input_371100!A$2</f>
        <v>371100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IFERROR(VLOOKUP(B51,input_371100!L:R,7,FALSE),VLOOKUP(tables_371100!C51,input_371100!A:H,8,FALSE))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input_371100!A$2</f>
        <v>371100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IFERROR(VLOOKUP(B52,input_371100!L:R,7,FALSE),VLOOKUP(tables_371100!C52,input_371100!A:H,8,FALSE))</f>
        <v>143792</v>
      </c>
      <c r="P52" s="46">
        <f t="shared" ca="1" si="2"/>
        <v>1.0320987654320988E-2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input_371100!A$2</f>
        <v>371100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IFERROR(VLOOKUP(B53,input_371100!L:R,7,FALSE),VLOOKUP(tables_371100!C53,input_371100!A:H,8,FALSE))</f>
        <v>7568</v>
      </c>
      <c r="P53" s="46">
        <f t="shared" ca="1" si="2"/>
        <v>5.4320987654320988E-4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input_371100!A$2</f>
        <v>371100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IFERROR(VLOOKUP(B54,input_371100!L:R,7,FALSE),VLOOKUP(tables_371100!C54,input_371100!A:H,8,FALSE))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input_371100!A$2</f>
        <v>371100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IFERROR(VLOOKUP(B55,input_371100!L:R,7,FALSE),VLOOKUP(tables_371100!C55,input_371100!A:H,8,FALSE))</f>
        <v>143792</v>
      </c>
      <c r="P55" s="46">
        <f t="shared" ca="1" si="2"/>
        <v>1.0320987654320988E-2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input_371100!A$2</f>
        <v>371100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IFERROR(VLOOKUP(B56,input_371100!L:R,7,FALSE),VLOOKUP(tables_371100!C56,input_371100!A:H,8,FALSE))</f>
        <v>7568</v>
      </c>
      <c r="P56" s="46">
        <f t="shared" ca="1" si="2"/>
        <v>5.4320987654320988E-4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input_371100!A$2</f>
        <v>371100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IFERROR(VLOOKUP(B57,input_371100!L:R,7,FALSE),VLOOKUP(tables_371100!C57,input_371100!A:H,8,FALSE))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input_371100!A$2</f>
        <v>371100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IFERROR(VLOOKUP(B58,input_371100!L:R,7,FALSE),VLOOKUP(tables_371100!C58,input_371100!A:H,8,FALSE))</f>
        <v>143792</v>
      </c>
      <c r="P58" s="46">
        <f t="shared" ca="1" si="2"/>
        <v>1.0320987654320988E-2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input_371100!A$2</f>
        <v>371100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IFERROR(VLOOKUP(B59,input_371100!L:R,7,FALSE),VLOOKUP(tables_371100!C59,input_371100!A:H,8,FALSE))</f>
        <v>7568</v>
      </c>
      <c r="P59" s="46">
        <f t="shared" ca="1" si="2"/>
        <v>5.4320987654320988E-4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input_371100!A$2</f>
        <v>371100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IFERROR(VLOOKUP(B60,input_371100!L:R,7,FALSE),VLOOKUP(tables_371100!C60,input_371100!A:H,8,FALSE))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input_371100!A$2</f>
        <v>371100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IFERROR(VLOOKUP(B61,input_371100!L:R,7,FALSE),VLOOKUP(tables_371100!C61,input_371100!A:H,8,FALSE))</f>
        <v>143792</v>
      </c>
      <c r="P61" s="46">
        <f t="shared" ca="1" si="2"/>
        <v>1.0320987654320988E-2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input_371100!A$2</f>
        <v>371100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IFERROR(VLOOKUP(B62,input_371100!L:R,7,FALSE),VLOOKUP(tables_371100!C62,input_371100!A:H,8,FALSE))</f>
        <v>7568</v>
      </c>
      <c r="P62" s="46">
        <f t="shared" ca="1" si="2"/>
        <v>5.4320987654320988E-4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input_371100!A$2</f>
        <v>371100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IFERROR(VLOOKUP(B63,input_371100!L:R,7,FALSE),VLOOKUP(tables_371100!C63,input_371100!A:H,8,FALSE))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input_371100!A$2</f>
        <v>371100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IFERROR(VLOOKUP(B64,input_371100!L:R,7,FALSE),VLOOKUP(tables_371100!C64,input_371100!A:H,8,FALSE))</f>
        <v>143792</v>
      </c>
      <c r="P64" s="46">
        <f t="shared" ca="1" si="2"/>
        <v>1.0320987654320988E-2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input_371100!A$2</f>
        <v>371100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IFERROR(VLOOKUP(B65,input_371100!L:R,7,FALSE),VLOOKUP(tables_371100!C65,input_371100!A:H,8,FALSE))</f>
        <v>7568</v>
      </c>
      <c r="P65" s="46">
        <f t="shared" ca="1" si="2"/>
        <v>5.4320987654320988E-4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input_371100!A$2</f>
        <v>371100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IFERROR(VLOOKUP(B66,input_371100!L:R,7,FALSE),VLOOKUP(tables_371100!C66,input_371100!A:H,8,FALSE))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input_371100!A$2</f>
        <v>371100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IFERROR(VLOOKUP(B67,input_371100!L:R,7,FALSE),VLOOKUP(tables_371100!C67,input_371100!A:H,8,FALSE))</f>
        <v>143792</v>
      </c>
      <c r="P67" s="46">
        <f t="shared" ca="1" si="2"/>
        <v>1.0320987654320988E-2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input_371100!A$2</f>
        <v>371100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IFERROR(VLOOKUP(B68,input_371100!L:R,7,FALSE),VLOOKUP(tables_371100!C68,input_371100!A:H,8,FALSE))</f>
        <v>7568</v>
      </c>
      <c r="P68" s="46">
        <f t="shared" ca="1" si="2"/>
        <v>5.4320987654320988E-4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input_371100!A$2</f>
        <v>371100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IFERROR(VLOOKUP(B69,input_371100!L:R,7,FALSE),VLOOKUP(tables_371100!C69,input_371100!A:H,8,FALSE))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input_371100!A$2</f>
        <v>371100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IFERROR(VLOOKUP(B70,input_371100!L:R,7,FALSE),VLOOKUP(tables_371100!C70,input_371100!A:H,8,FALSE))</f>
        <v>143792</v>
      </c>
      <c r="P70" s="46">
        <f t="shared" ca="1" si="2"/>
        <v>1.0320987654320988E-2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input_371100!A$2</f>
        <v>371100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IFERROR(VLOOKUP(B71,input_371100!L:R,7,FALSE),VLOOKUP(tables_371100!C71,input_371100!A:H,8,FALSE))</f>
        <v>7568</v>
      </c>
      <c r="P71" s="46">
        <f t="shared" ca="1" si="2"/>
        <v>5.4320987654320988E-4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input_371100!A$2</f>
        <v>371100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IFERROR(VLOOKUP(B72,input_371100!L:R,7,FALSE),VLOOKUP(tables_371100!C72,input_371100!A:H,8,FALSE))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input_371100!A$2</f>
        <v>371100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IFERROR(VLOOKUP(B73,input_371100!L:R,7,FALSE),VLOOKUP(tables_371100!C73,input_371100!A:H,8,FALSE))</f>
        <v>143792</v>
      </c>
      <c r="P73" s="46">
        <f t="shared" ca="1" si="2"/>
        <v>1.0320987654320988E-2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input_371100!A$2</f>
        <v>371100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IFERROR(VLOOKUP(B74,input_371100!L:R,7,FALSE),VLOOKUP(tables_371100!C74,input_371100!A:H,8,FALSE))</f>
        <v>7568</v>
      </c>
      <c r="P74" s="46">
        <f t="shared" ca="1" si="2"/>
        <v>5.4320987654320988E-4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input_371100!A$2</f>
        <v>371100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IFERROR(VLOOKUP(B75,input_371100!L:R,7,FALSE),VLOOKUP(tables_371100!C75,input_371100!A:H,8,FALSE))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input_371100!A$2</f>
        <v>371100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IFERROR(VLOOKUP(B76,input_371100!L:R,7,FALSE),VLOOKUP(tables_371100!C76,input_371100!A:H,8,FALSE))</f>
        <v>143792</v>
      </c>
      <c r="P76" s="46">
        <f t="shared" ca="1" si="2"/>
        <v>1.0320987654320988E-2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input_371100!A$2</f>
        <v>371100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IFERROR(VLOOKUP(B77,input_371100!L:R,7,FALSE),VLOOKUP(tables_371100!C77,input_371100!A:H,8,FALSE))</f>
        <v>7568</v>
      </c>
      <c r="P77" s="46">
        <f t="shared" ca="1" si="2"/>
        <v>5.4320987654320988E-4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input_371100!A$2</f>
        <v>371100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IFERROR(VLOOKUP(B78,input_371100!L:R,7,FALSE),VLOOKUP(tables_371100!C78,input_371100!A:H,8,FALSE))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input_371100!A$2</f>
        <v>371100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IFERROR(VLOOKUP(B79,input_371100!L:R,7,FALSE),VLOOKUP(tables_371100!C79,input_371100!A:H,8,FALSE))</f>
        <v>143792</v>
      </c>
      <c r="P79" s="46">
        <f t="shared" ref="P79:P142" ca="1" si="5">O79/SUM(O:O)</f>
        <v>1.0320987654320988E-2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input_371100!A$2</f>
        <v>371100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IFERROR(VLOOKUP(B80,input_371100!L:R,7,FALSE),VLOOKUP(tables_371100!C80,input_371100!A:H,8,FALSE))</f>
        <v>7568</v>
      </c>
      <c r="P80" s="46">
        <f t="shared" ca="1" si="5"/>
        <v>5.4320987654320988E-4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input_371100!A$2</f>
        <v>371100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IFERROR(VLOOKUP(B81,input_371100!L:R,7,FALSE),VLOOKUP(tables_371100!C81,input_371100!A:H,8,FALSE))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input_371100!A$2</f>
        <v>371100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IFERROR(VLOOKUP(B82,input_371100!L:R,7,FALSE),VLOOKUP(tables_371100!C82,input_371100!A:H,8,FALSE))</f>
        <v>143792</v>
      </c>
      <c r="P82" s="46">
        <f t="shared" ca="1" si="5"/>
        <v>1.0320987654320988E-2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input_371100!A$2</f>
        <v>371100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IFERROR(VLOOKUP(B83,input_371100!L:R,7,FALSE),VLOOKUP(tables_371100!C83,input_371100!A:H,8,FALSE))</f>
        <v>7568</v>
      </c>
      <c r="P83" s="46">
        <f t="shared" ca="1" si="5"/>
        <v>5.4320987654320988E-4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input_371100!A$2</f>
        <v>371100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IFERROR(VLOOKUP(B84,input_371100!L:R,7,FALSE),VLOOKUP(tables_371100!C84,input_371100!A:H,8,FALSE))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input_371100!A$2</f>
        <v>371100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IFERROR(VLOOKUP(B85,input_371100!L:R,7,FALSE),VLOOKUP(tables_371100!C85,input_371100!A:H,8,FALSE))</f>
        <v>143792</v>
      </c>
      <c r="P85" s="46">
        <f t="shared" ca="1" si="5"/>
        <v>1.0320987654320988E-2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input_371100!A$2</f>
        <v>371100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IFERROR(VLOOKUP(B86,input_371100!L:R,7,FALSE),VLOOKUP(tables_371100!C86,input_371100!A:H,8,FALSE))</f>
        <v>7568</v>
      </c>
      <c r="P86" s="46">
        <f t="shared" ca="1" si="5"/>
        <v>5.4320987654320988E-4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input_371100!A$2</f>
        <v>371100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IFERROR(VLOOKUP(B87,input_371100!L:R,7,FALSE),VLOOKUP(tables_371100!C87,input_371100!A:H,8,FALSE))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input_371100!A$2</f>
        <v>371100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IFERROR(VLOOKUP(B88,input_371100!L:R,7,FALSE),VLOOKUP(tables_371100!C88,input_371100!A:H,8,FALSE))</f>
        <v>143792</v>
      </c>
      <c r="P88" s="46">
        <f t="shared" ca="1" si="5"/>
        <v>1.0320987654320988E-2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input_371100!A$2</f>
        <v>371100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IFERROR(VLOOKUP(B89,input_371100!L:R,7,FALSE),VLOOKUP(tables_371100!C89,input_371100!A:H,8,FALSE))</f>
        <v>7568</v>
      </c>
      <c r="P89" s="46">
        <f t="shared" ca="1" si="5"/>
        <v>5.4320987654320988E-4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input_371100!A$2</f>
        <v>371100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IFERROR(VLOOKUP(B90,input_371100!L:R,7,FALSE),VLOOKUP(tables_371100!C90,input_371100!A:H,8,FALSE))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input_371100!A$2</f>
        <v>371100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IFERROR(VLOOKUP(B91,input_371100!L:R,7,FALSE),VLOOKUP(tables_371100!C91,input_371100!A:H,8,FALSE))</f>
        <v>143792</v>
      </c>
      <c r="P91" s="46">
        <f t="shared" ca="1" si="5"/>
        <v>1.0320987654320988E-2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input_371100!A$2</f>
        <v>371100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IFERROR(VLOOKUP(B92,input_371100!L:R,7,FALSE),VLOOKUP(tables_371100!C92,input_371100!A:H,8,FALSE))</f>
        <v>7568</v>
      </c>
      <c r="P92" s="46">
        <f t="shared" ca="1" si="5"/>
        <v>5.4320987654320988E-4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input_371100!A$2</f>
        <v>371100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IFERROR(VLOOKUP(B93,input_371100!L:R,7,FALSE),VLOOKUP(tables_371100!C93,input_371100!A:H,8,FALSE))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input_371100!A$2</f>
        <v>371100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IFERROR(VLOOKUP(B94,input_371100!L:R,7,FALSE),VLOOKUP(tables_371100!C94,input_371100!A:H,8,FALSE))</f>
        <v>143792</v>
      </c>
      <c r="P94" s="46">
        <f t="shared" ca="1" si="5"/>
        <v>1.0320987654320988E-2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input_371100!A$2</f>
        <v>371100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IFERROR(VLOOKUP(B95,input_371100!L:R,7,FALSE),VLOOKUP(tables_371100!C95,input_371100!A:H,8,FALSE))</f>
        <v>7568</v>
      </c>
      <c r="P95" s="46">
        <f t="shared" ca="1" si="5"/>
        <v>5.4320987654320988E-4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input_371100!A$2</f>
        <v>371100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IFERROR(VLOOKUP(B96,input_371100!L:R,7,FALSE),VLOOKUP(tables_371100!C96,input_371100!A:H,8,FALSE))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input_371100!A$2</f>
        <v>371100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IFERROR(VLOOKUP(B97,input_371100!L:R,7,FALSE),VLOOKUP(tables_371100!C97,input_371100!A:H,8,FALSE))</f>
        <v>143792</v>
      </c>
      <c r="P97" s="46">
        <f t="shared" ca="1" si="5"/>
        <v>1.0320987654320988E-2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input_371100!A$2</f>
        <v>371100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IFERROR(VLOOKUP(B98,input_371100!L:R,7,FALSE),VLOOKUP(tables_371100!C98,input_371100!A:H,8,FALSE))</f>
        <v>7568</v>
      </c>
      <c r="P98" s="46">
        <f t="shared" ca="1" si="5"/>
        <v>5.4320987654320988E-4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input_371100!A$2</f>
        <v>371100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IFERROR(VLOOKUP(B99,input_371100!L:R,7,FALSE),VLOOKUP(tables_371100!C99,input_371100!A:H,8,FALSE))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input_371100!A$2</f>
        <v>371100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IFERROR(VLOOKUP(B100,input_371100!L:R,7,FALSE),VLOOKUP(tables_371100!C100,input_371100!A:H,8,FALSE))</f>
        <v>143792</v>
      </c>
      <c r="P100" s="46">
        <f t="shared" ca="1" si="5"/>
        <v>1.0320987654320988E-2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input_371100!A$2</f>
        <v>371100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IFERROR(VLOOKUP(B101,input_371100!L:R,7,FALSE),VLOOKUP(tables_371100!C101,input_371100!A:H,8,FALSE))</f>
        <v>7568</v>
      </c>
      <c r="P101" s="46">
        <f t="shared" ca="1" si="5"/>
        <v>5.4320987654320988E-4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input_371100!A$2</f>
        <v>371100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IFERROR(VLOOKUP(B102,input_371100!L:R,7,FALSE),VLOOKUP(tables_371100!C102,input_371100!A:H,8,FALSE))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input_371100!A$2</f>
        <v>371100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IFERROR(VLOOKUP(B103,input_371100!L:R,7,FALSE),VLOOKUP(tables_371100!C103,input_371100!A:H,8,FALSE))</f>
        <v>143792</v>
      </c>
      <c r="P103" s="46">
        <f t="shared" ca="1" si="5"/>
        <v>1.0320987654320988E-2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input_371100!A$2</f>
        <v>371100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IFERROR(VLOOKUP(B104,input_371100!L:R,7,FALSE),VLOOKUP(tables_371100!C104,input_371100!A:H,8,FALSE))</f>
        <v>7568</v>
      </c>
      <c r="P104" s="46">
        <f t="shared" ca="1" si="5"/>
        <v>5.4320987654320988E-4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input_371100!A$2</f>
        <v>371100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IFERROR(VLOOKUP(B105,input_371100!L:R,7,FALSE),VLOOKUP(tables_371100!C105,input_371100!A:H,8,FALSE))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input_371100!A$2</f>
        <v>371100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IFERROR(VLOOKUP(B106,input_371100!L:R,7,FALSE),VLOOKUP(tables_371100!C106,input_371100!A:H,8,FALSE))</f>
        <v>143792</v>
      </c>
      <c r="P106" s="46">
        <f t="shared" ca="1" si="5"/>
        <v>1.0320987654320988E-2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input_371100!A$2</f>
        <v>371100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IFERROR(VLOOKUP(B107,input_371100!L:R,7,FALSE),VLOOKUP(tables_371100!C107,input_371100!A:H,8,FALSE))</f>
        <v>7568</v>
      </c>
      <c r="P107" s="46">
        <f t="shared" ca="1" si="5"/>
        <v>5.4320987654320988E-4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input_371100!A$2</f>
        <v>371100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IFERROR(VLOOKUP(B108,input_371100!L:R,7,FALSE),VLOOKUP(tables_371100!C108,input_371100!A:H,8,FALSE))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input_371100!A$2</f>
        <v>371100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IFERROR(VLOOKUP(B109,input_371100!L:R,7,FALSE),VLOOKUP(tables_371100!C109,input_371100!A:H,8,FALSE))</f>
        <v>143792</v>
      </c>
      <c r="P109" s="46">
        <f t="shared" ca="1" si="5"/>
        <v>1.0320987654320988E-2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input_371100!A$2</f>
        <v>371100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IFERROR(VLOOKUP(B110,input_371100!L:R,7,FALSE),VLOOKUP(tables_371100!C110,input_371100!A:H,8,FALSE))</f>
        <v>7568</v>
      </c>
      <c r="P110" s="46">
        <f t="shared" ca="1" si="5"/>
        <v>5.4320987654320988E-4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input_371100!A$2</f>
        <v>371100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IFERROR(VLOOKUP(B111,input_371100!L:R,7,FALSE),VLOOKUP(tables_371100!C111,input_371100!A:H,8,FALSE))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input_371100!A$2</f>
        <v>371100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IFERROR(VLOOKUP(B112,input_371100!L:R,7,FALSE),VLOOKUP(tables_371100!C112,input_371100!A:H,8,FALSE))</f>
        <v>9234</v>
      </c>
      <c r="P112" s="46">
        <f t="shared" ca="1" si="5"/>
        <v>6.6279069767441858E-4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input_371100!A$2</f>
        <v>371100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IFERROR(VLOOKUP(B113,input_371100!L:R,7,FALSE),VLOOKUP(tables_371100!C113,input_371100!A:H,8,FALSE))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input_371100!A$2</f>
        <v>371100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IFERROR(VLOOKUP(B114,input_371100!L:R,7,FALSE),VLOOKUP(tables_371100!C114,input_371100!A:H,8,FALSE))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input_371100!A$2</f>
        <v>371100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IFERROR(VLOOKUP(B115,input_371100!L:R,7,FALSE),VLOOKUP(tables_371100!C115,input_371100!A:H,8,FALSE))</f>
        <v>143792</v>
      </c>
      <c r="P115" s="46">
        <f t="shared" ca="1" si="5"/>
        <v>1.0320987654320988E-2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input_371100!A$2</f>
        <v>371100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IFERROR(VLOOKUP(B116,input_371100!L:R,7,FALSE),VLOOKUP(tables_371100!C116,input_371100!A:H,8,FALSE))</f>
        <v>7568</v>
      </c>
      <c r="P116" s="46">
        <f t="shared" ca="1" si="5"/>
        <v>5.4320987654320988E-4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input_371100!A$2</f>
        <v>371100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IFERROR(VLOOKUP(B117,input_371100!L:R,7,FALSE),VLOOKUP(tables_371100!C117,input_371100!A:H,8,FALSE))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input_371100!A$2</f>
        <v>371100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IFERROR(VLOOKUP(B118,input_371100!L:R,7,FALSE),VLOOKUP(tables_371100!C118,input_371100!A:H,8,FALSE))</f>
        <v>143792</v>
      </c>
      <c r="P118" s="46">
        <f t="shared" ca="1" si="5"/>
        <v>1.0320987654320988E-2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input_371100!A$2</f>
        <v>371100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IFERROR(VLOOKUP(B119,input_371100!L:R,7,FALSE),VLOOKUP(tables_371100!C119,input_371100!A:H,8,FALSE))</f>
        <v>7568</v>
      </c>
      <c r="P119" s="46">
        <f t="shared" ca="1" si="5"/>
        <v>5.4320987654320988E-4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input_371100!A$2</f>
        <v>371100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IFERROR(VLOOKUP(B120,input_371100!L:R,7,FALSE),VLOOKUP(tables_371100!C120,input_371100!A:H,8,FALSE))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input_371100!A$2</f>
        <v>371100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IFERROR(VLOOKUP(B121,input_371100!L:R,7,FALSE),VLOOKUP(tables_371100!C121,input_371100!A:H,8,FALSE))</f>
        <v>143792</v>
      </c>
      <c r="P121" s="46">
        <f t="shared" ca="1" si="5"/>
        <v>1.0320987654320988E-2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input_371100!A$2</f>
        <v>371100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IFERROR(VLOOKUP(B122,input_371100!L:R,7,FALSE),VLOOKUP(tables_371100!C122,input_371100!A:H,8,FALSE))</f>
        <v>7568</v>
      </c>
      <c r="P122" s="46">
        <f t="shared" ca="1" si="5"/>
        <v>5.4320987654320988E-4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input_371100!A$2</f>
        <v>371100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IFERROR(VLOOKUP(B123,input_371100!L:R,7,FALSE),VLOOKUP(tables_371100!C123,input_371100!A:H,8,FALSE))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input_371100!A$2</f>
        <v>371100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IFERROR(VLOOKUP(B124,input_371100!L:R,7,FALSE),VLOOKUP(tables_371100!C124,input_371100!A:H,8,FALSE))</f>
        <v>143792</v>
      </c>
      <c r="P124" s="46">
        <f t="shared" ca="1" si="5"/>
        <v>1.0320987654320988E-2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input_371100!A$2</f>
        <v>371100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IFERROR(VLOOKUP(B125,input_371100!L:R,7,FALSE),VLOOKUP(tables_371100!C125,input_371100!A:H,8,FALSE))</f>
        <v>7568</v>
      </c>
      <c r="P125" s="46">
        <f t="shared" ca="1" si="5"/>
        <v>5.4320987654320988E-4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input_371100!A$2</f>
        <v>371100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IFERROR(VLOOKUP(B126,input_371100!L:R,7,FALSE),VLOOKUP(tables_371100!C126,input_371100!A:H,8,FALSE))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input_371100!A$2</f>
        <v>371100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IFERROR(VLOOKUP(B127,input_371100!L:R,7,FALSE),VLOOKUP(tables_371100!C127,input_371100!A:H,8,FALSE))</f>
        <v>143792</v>
      </c>
      <c r="P127" s="46">
        <f t="shared" ca="1" si="5"/>
        <v>1.0320987654320988E-2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input_371100!A$2</f>
        <v>371100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IFERROR(VLOOKUP(B128,input_371100!L:R,7,FALSE),VLOOKUP(tables_371100!C128,input_371100!A:H,8,FALSE))</f>
        <v>7568</v>
      </c>
      <c r="P128" s="46">
        <f t="shared" ca="1" si="5"/>
        <v>5.4320987654320988E-4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input_371100!A$2</f>
        <v>371100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IFERROR(VLOOKUP(B129,input_371100!L:R,7,FALSE),VLOOKUP(tables_371100!C129,input_371100!A:H,8,FALSE))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input_371100!A$2</f>
        <v>371100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IFERROR(VLOOKUP(B130,input_371100!L:R,7,FALSE),VLOOKUP(tables_371100!C130,input_371100!A:H,8,FALSE))</f>
        <v>143792</v>
      </c>
      <c r="P130" s="46">
        <f t="shared" ca="1" si="5"/>
        <v>1.0320987654320988E-2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input_371100!A$2</f>
        <v>371100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IFERROR(VLOOKUP(B131,input_371100!L:R,7,FALSE),VLOOKUP(tables_371100!C131,input_371100!A:H,8,FALSE))</f>
        <v>7568</v>
      </c>
      <c r="P131" s="46">
        <f t="shared" ca="1" si="5"/>
        <v>5.4320987654320988E-4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input_371100!A$2</f>
        <v>371100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IFERROR(VLOOKUP(B132,input_371100!L:R,7,FALSE),VLOOKUP(tables_371100!C132,input_371100!A:H,8,FALSE))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input_371100!A$2</f>
        <v>371100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IFERROR(VLOOKUP(B133,input_371100!L:R,7,FALSE),VLOOKUP(tables_371100!C133,input_371100!A:H,8,FALSE))</f>
        <v>143792</v>
      </c>
      <c r="P133" s="46">
        <f t="shared" ca="1" si="5"/>
        <v>1.0320987654320988E-2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input_371100!A$2</f>
        <v>371100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IFERROR(VLOOKUP(B134,input_371100!L:R,7,FALSE),VLOOKUP(tables_371100!C134,input_371100!A:H,8,FALSE))</f>
        <v>7568</v>
      </c>
      <c r="P134" s="46">
        <f t="shared" ca="1" si="5"/>
        <v>5.4320987654320988E-4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input_371100!A$2</f>
        <v>371100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IFERROR(VLOOKUP(B135,input_371100!L:R,7,FALSE),VLOOKUP(tables_371100!C135,input_371100!A:H,8,FALSE))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input_371100!A$2</f>
        <v>371100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IFERROR(VLOOKUP(B136,input_371100!L:R,7,FALSE),VLOOKUP(tables_371100!C136,input_371100!A:H,8,FALSE))</f>
        <v>143792</v>
      </c>
      <c r="P136" s="46">
        <f t="shared" ca="1" si="5"/>
        <v>1.0320987654320988E-2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input_371100!A$2</f>
        <v>371100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IFERROR(VLOOKUP(B137,input_371100!L:R,7,FALSE),VLOOKUP(tables_371100!C137,input_371100!A:H,8,FALSE))</f>
        <v>7568</v>
      </c>
      <c r="P137" s="46">
        <f t="shared" ca="1" si="5"/>
        <v>5.4320987654320988E-4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input_371100!A$2</f>
        <v>371100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IFERROR(VLOOKUP(B138,input_371100!L:R,7,FALSE),VLOOKUP(tables_371100!C138,input_371100!A:H,8,FALSE))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input_371100!A$2</f>
        <v>371100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IFERROR(VLOOKUP(B139,input_371100!L:R,7,FALSE),VLOOKUP(tables_371100!C139,input_371100!A:H,8,FALSE))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input_371100!A$2</f>
        <v>371100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IFERROR(VLOOKUP(B140,input_371100!L:R,7,FALSE),VLOOKUP(tables_371100!C140,input_371100!A:H,8,FALSE))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input_371100!A$2</f>
        <v>371100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IFERROR(VLOOKUP(B141,input_371100!L:R,7,FALSE),VLOOKUP(tables_371100!C141,input_371100!A:H,8,FALSE))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input_371100!A$2</f>
        <v>371100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IFERROR(VLOOKUP(B142,input_371100!L:R,7,FALSE),VLOOKUP(tables_371100!C142,input_371100!A:H,8,FALSE))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input_371100!A$2</f>
        <v>371100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IFERROR(VLOOKUP(B143,input_371100!L:R,7,FALSE),VLOOKUP(tables_371100!C143,input_371100!A:H,8,FALSE))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input_371100!A$2</f>
        <v>371100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IFERROR(VLOOKUP(B144,input_371100!L:R,7,FALSE),VLOOKUP(tables_371100!C144,input_371100!A:H,8,FALSE))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input_371100!A$2</f>
        <v>371100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IFERROR(VLOOKUP(B145,input_371100!L:R,7,FALSE),VLOOKUP(tables_371100!C145,input_371100!A:H,8,FALSE))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input_371100!A$2</f>
        <v>371100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IFERROR(VLOOKUP(B146,input_371100!L:R,7,FALSE),VLOOKUP(tables_371100!C146,input_371100!A:H,8,FALSE))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input_371100!A$2</f>
        <v>371100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IFERROR(VLOOKUP(B147,input_371100!L:R,7,FALSE),VLOOKUP(tables_371100!C147,input_371100!A:H,8,FALSE))</f>
        <v>143792</v>
      </c>
      <c r="P147" s="46">
        <f t="shared" ca="1" si="8"/>
        <v>1.0320987654320988E-2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input_371100!A$2</f>
        <v>371100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IFERROR(VLOOKUP(B148,input_371100!L:R,7,FALSE),VLOOKUP(tables_371100!C148,input_371100!A:H,8,FALSE))</f>
        <v>7568</v>
      </c>
      <c r="P148" s="46">
        <f t="shared" ca="1" si="8"/>
        <v>5.4320987654320988E-4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input_371100!A$2</f>
        <v>371100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IFERROR(VLOOKUP(B149,input_371100!L:R,7,FALSE),VLOOKUP(tables_371100!C149,input_371100!A:H,8,FALSE))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input_371100!A$2</f>
        <v>371100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IFERROR(VLOOKUP(B150,input_371100!L:R,7,FALSE),VLOOKUP(tables_371100!C150,input_371100!A:H,8,FALSE))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input_371100!A$2</f>
        <v>371100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IFERROR(VLOOKUP(B151,input_371100!L:R,7,FALSE),VLOOKUP(tables_371100!C151,input_371100!A:H,8,FALSE))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input_371100!A$2</f>
        <v>371100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IFERROR(VLOOKUP(B152,input_371100!L:R,7,FALSE),VLOOKUP(tables_371100!C152,input_371100!A:H,8,FALSE))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input_371100!A$2</f>
        <v>371100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IFERROR(VLOOKUP(B153,input_371100!L:R,7,FALSE),VLOOKUP(tables_371100!C153,input_371100!A:H,8,FALSE))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input_371100!A$2</f>
        <v>371100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IFERROR(VLOOKUP(B154,input_371100!L:R,7,FALSE),VLOOKUP(tables_371100!C154,input_371100!A:H,8,FALSE))</f>
        <v>143792</v>
      </c>
      <c r="P154" s="46">
        <f t="shared" ca="1" si="8"/>
        <v>1.0320987654320988E-2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input_371100!A$2</f>
        <v>371100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IFERROR(VLOOKUP(B155,input_371100!L:R,7,FALSE),VLOOKUP(tables_371100!C155,input_371100!A:H,8,FALSE))</f>
        <v>7568</v>
      </c>
      <c r="P155" s="46">
        <f t="shared" ca="1" si="8"/>
        <v>5.4320987654320988E-4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input_371100!A$2</f>
        <v>371100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IFERROR(VLOOKUP(B156,input_371100!L:R,7,FALSE),VLOOKUP(tables_371100!C156,input_371100!A:H,8,FALSE))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input_371100!A$2</f>
        <v>371100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IFERROR(VLOOKUP(B157,input_371100!L:R,7,FALSE),VLOOKUP(tables_371100!C157,input_371100!A:H,8,FALSE))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input_371100!A$2</f>
        <v>371100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IFERROR(VLOOKUP(B158,input_371100!L:R,7,FALSE),VLOOKUP(tables_371100!C158,input_371100!A:H,8,FALSE))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input_371100!A$2</f>
        <v>371100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IFERROR(VLOOKUP(B159,input_371100!L:R,7,FALSE),VLOOKUP(tables_371100!C159,input_371100!A:H,8,FALSE))</f>
        <v>143792</v>
      </c>
      <c r="P159" s="46">
        <f t="shared" ca="1" si="8"/>
        <v>1.0320987654320988E-2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input_371100!A$2</f>
        <v>371100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IFERROR(VLOOKUP(B160,input_371100!L:R,7,FALSE),VLOOKUP(tables_371100!C160,input_371100!A:H,8,FALSE))</f>
        <v>7568</v>
      </c>
      <c r="P160" s="46">
        <f t="shared" ca="1" si="8"/>
        <v>5.4320987654320988E-4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input_371100!A$2</f>
        <v>371100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IFERROR(VLOOKUP(B161,input_371100!L:R,7,FALSE),VLOOKUP(tables_371100!C161,input_371100!A:H,8,FALSE))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input_371100!A$2</f>
        <v>371100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IFERROR(VLOOKUP(B162,input_371100!L:R,7,FALSE),VLOOKUP(tables_371100!C162,input_371100!A:H,8,FALSE))</f>
        <v>143792</v>
      </c>
      <c r="P162" s="46">
        <f t="shared" ca="1" si="8"/>
        <v>1.0320987654320988E-2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input_371100!A$2</f>
        <v>371100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IFERROR(VLOOKUP(B163,input_371100!L:R,7,FALSE),VLOOKUP(tables_371100!C163,input_371100!A:H,8,FALSE))</f>
        <v>7568</v>
      </c>
      <c r="P163" s="46">
        <f t="shared" ca="1" si="8"/>
        <v>5.4320987654320988E-4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input_371100!A$2</f>
        <v>371100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IFERROR(VLOOKUP(B164,input_371100!L:R,7,FALSE),VLOOKUP(tables_371100!C164,input_371100!A:H,8,FALSE))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input_371100!A$2</f>
        <v>371100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IFERROR(VLOOKUP(B165,input_371100!L:R,7,FALSE),VLOOKUP(tables_371100!C165,input_371100!A:H,8,FALSE))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input_371100!A$2</f>
        <v>371100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IFERROR(VLOOKUP(B166,input_371100!L:R,7,FALSE),VLOOKUP(tables_371100!C166,input_371100!A:H,8,FALSE))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input_371100!A$2</f>
        <v>371100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IFERROR(VLOOKUP(B167,input_371100!L:R,7,FALSE),VLOOKUP(tables_371100!C167,input_371100!A:H,8,FALSE))</f>
        <v>143792</v>
      </c>
      <c r="P167" s="46">
        <f t="shared" ca="1" si="8"/>
        <v>1.0320987654320988E-2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input_371100!A$2</f>
        <v>371100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IFERROR(VLOOKUP(B168,input_371100!L:R,7,FALSE),VLOOKUP(tables_371100!C168,input_371100!A:H,8,FALSE))</f>
        <v>7568</v>
      </c>
      <c r="P168" s="46">
        <f t="shared" ca="1" si="8"/>
        <v>5.4320987654320988E-4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input_371100!A$2</f>
        <v>371100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IFERROR(VLOOKUP(B169,input_371100!L:R,7,FALSE),VLOOKUP(tables_371100!C169,input_371100!A:H,8,FALSE))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input_371100!A$2</f>
        <v>371100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IFERROR(VLOOKUP(B170,input_371100!L:R,7,FALSE),VLOOKUP(tables_371100!C170,input_371100!A:H,8,FALSE))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input_371100!A$2</f>
        <v>371100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IFERROR(VLOOKUP(B171,input_371100!L:R,7,FALSE),VLOOKUP(tables_371100!C171,input_371100!A:H,8,FALSE))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input_371100!A$2</f>
        <v>371100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IFERROR(VLOOKUP(B172,input_371100!L:R,7,FALSE),VLOOKUP(tables_371100!C172,input_371100!A:H,8,FALSE))</f>
        <v>143792</v>
      </c>
      <c r="P172" s="46">
        <f t="shared" ca="1" si="8"/>
        <v>1.0320987654320988E-2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input_371100!A$2</f>
        <v>371100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IFERROR(VLOOKUP(B173,input_371100!L:R,7,FALSE),VLOOKUP(tables_371100!C173,input_371100!A:H,8,FALSE))</f>
        <v>7568</v>
      </c>
      <c r="P173" s="46">
        <f t="shared" ca="1" si="8"/>
        <v>5.4320987654320988E-4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input_371100!A$2</f>
        <v>371100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IFERROR(VLOOKUP(B174,input_371100!L:R,7,FALSE),VLOOKUP(tables_371100!C174,input_371100!A:H,8,FALSE))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input_371100!A$2</f>
        <v>371100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IFERROR(VLOOKUP(B175,input_371100!L:R,7,FALSE),VLOOKUP(tables_371100!C175,input_371100!A:H,8,FALSE))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input_371100!A$2</f>
        <v>371100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IFERROR(VLOOKUP(B176,input_371100!L:R,7,FALSE),VLOOKUP(tables_371100!C176,input_371100!A:H,8,FALSE))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input_371100!A$2</f>
        <v>371100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IFERROR(VLOOKUP(B177,input_371100!L:R,7,FALSE),VLOOKUP(tables_371100!C177,input_371100!A:H,8,FALSE))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input_371100!A$2</f>
        <v>371100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IFERROR(VLOOKUP(B178,input_371100!L:R,7,FALSE),VLOOKUP(tables_371100!C178,input_371100!A:H,8,FALSE))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input_371100!A$2</f>
        <v>371100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IFERROR(VLOOKUP(B179,input_371100!L:R,7,FALSE),VLOOKUP(tables_371100!C179,input_371100!A:H,8,FALSE))</f>
        <v>143792</v>
      </c>
      <c r="P179" s="46">
        <f t="shared" ca="1" si="8"/>
        <v>1.0320987654320988E-2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input_371100!A$2</f>
        <v>371100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IFERROR(VLOOKUP(B180,input_371100!L:R,7,FALSE),VLOOKUP(tables_371100!C180,input_371100!A:H,8,FALSE))</f>
        <v>7568</v>
      </c>
      <c r="P180" s="46">
        <f t="shared" ca="1" si="8"/>
        <v>5.4320987654320988E-4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input_371100!A$2</f>
        <v>371100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IFERROR(VLOOKUP(B181,input_371100!L:R,7,FALSE),VLOOKUP(tables_371100!C181,input_371100!A:H,8,FALSE))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input_371100!A$2</f>
        <v>371100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IFERROR(VLOOKUP(B182,input_371100!L:R,7,FALSE),VLOOKUP(tables_371100!C182,input_371100!A:H,8,FALSE))</f>
        <v>143792</v>
      </c>
      <c r="P182" s="46">
        <f t="shared" ca="1" si="8"/>
        <v>1.0320987654320988E-2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input_371100!A$2</f>
        <v>371100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IFERROR(VLOOKUP(B183,input_371100!L:R,7,FALSE),VLOOKUP(tables_371100!C183,input_371100!A:H,8,FALSE))</f>
        <v>7568</v>
      </c>
      <c r="P183" s="46">
        <f t="shared" ca="1" si="8"/>
        <v>5.4320987654320988E-4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input_371100!A$2</f>
        <v>371100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IFERROR(VLOOKUP(B184,input_371100!L:R,7,FALSE),VLOOKUP(tables_371100!C184,input_371100!A:H,8,FALSE))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input_371100!A$2</f>
        <v>371100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IFERROR(VLOOKUP(B185,input_371100!L:R,7,FALSE),VLOOKUP(tables_371100!C185,input_371100!A:H,8,FALSE))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input_371100!A$2</f>
        <v>371100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IFERROR(VLOOKUP(B186,input_371100!L:R,7,FALSE),VLOOKUP(tables_371100!C186,input_371100!A:H,8,FALSE))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input_371100!A$2</f>
        <v>371100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IFERROR(VLOOKUP(B187,input_371100!L:R,7,FALSE),VLOOKUP(tables_371100!C187,input_371100!A:H,8,FALSE))</f>
        <v>143792</v>
      </c>
      <c r="P187" s="46">
        <f t="shared" ca="1" si="8"/>
        <v>1.0320987654320988E-2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input_371100!A$2</f>
        <v>371100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IFERROR(VLOOKUP(B188,input_371100!L:R,7,FALSE),VLOOKUP(tables_371100!C188,input_371100!A:H,8,FALSE))</f>
        <v>7568</v>
      </c>
      <c r="P188" s="46">
        <f t="shared" ca="1" si="8"/>
        <v>5.4320987654320988E-4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input_371100!A$2</f>
        <v>371100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IFERROR(VLOOKUP(B189,input_371100!L:R,7,FALSE),VLOOKUP(tables_371100!C189,input_371100!A:H,8,FALSE))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input_371100!A$2</f>
        <v>371100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IFERROR(VLOOKUP(B190,input_371100!L:R,7,FALSE),VLOOKUP(tables_371100!C190,input_371100!A:H,8,FALSE))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input_371100!A$2</f>
        <v>371100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IFERROR(VLOOKUP(B191,input_371100!L:R,7,FALSE),VLOOKUP(tables_371100!C191,input_371100!A:H,8,FALSE))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input_371100!A$2</f>
        <v>371100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IFERROR(VLOOKUP(B192,input_371100!L:R,7,FALSE),VLOOKUP(tables_371100!C192,input_371100!A:H,8,FALSE))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input_371100!A$2</f>
        <v>371100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IFERROR(VLOOKUP(B193,input_371100!L:R,7,FALSE),VLOOKUP(tables_371100!C193,input_371100!A:H,8,FALSE))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input_371100!A$2</f>
        <v>371100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IFERROR(VLOOKUP(B194,input_371100!L:R,7,FALSE),VLOOKUP(tables_371100!C194,input_371100!A:H,8,FALSE))</f>
        <v>143792</v>
      </c>
      <c r="P194" s="46">
        <f t="shared" ca="1" si="8"/>
        <v>1.0320987654320988E-2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input_371100!A$2</f>
        <v>371100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IFERROR(VLOOKUP(B195,input_371100!L:R,7,FALSE),VLOOKUP(tables_371100!C195,input_371100!A:H,8,FALSE))</f>
        <v>7568</v>
      </c>
      <c r="P195" s="46">
        <f t="shared" ca="1" si="8"/>
        <v>5.4320987654320988E-4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input_371100!A$2</f>
        <v>371100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IFERROR(VLOOKUP(B196,input_371100!L:R,7,FALSE),VLOOKUP(tables_371100!C196,input_371100!A:H,8,FALSE))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input_371100!A$2</f>
        <v>371100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IFERROR(VLOOKUP(B197,input_371100!L:R,7,FALSE),VLOOKUP(tables_371100!C197,input_371100!A:H,8,FALSE))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input_371100!A$2</f>
        <v>371100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IFERROR(VLOOKUP(B198,input_371100!L:R,7,FALSE),VLOOKUP(tables_371100!C198,input_371100!A:H,8,FALSE))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input_371100!A$2</f>
        <v>371100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IFERROR(VLOOKUP(B199,input_371100!L:R,7,FALSE),VLOOKUP(tables_371100!C199,input_371100!A:H,8,FALSE))</f>
        <v>143792</v>
      </c>
      <c r="P199" s="46">
        <f t="shared" ca="1" si="8"/>
        <v>1.0320987654320988E-2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input_371100!A$2</f>
        <v>371100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IFERROR(VLOOKUP(B200,input_371100!L:R,7,FALSE),VLOOKUP(tables_371100!C200,input_371100!A:H,8,FALSE))</f>
        <v>7568</v>
      </c>
      <c r="P200" s="46">
        <f t="shared" ca="1" si="8"/>
        <v>5.4320987654320988E-4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input_371100!A$2</f>
        <v>371100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IFERROR(VLOOKUP(B201,input_371100!L:R,7,FALSE),VLOOKUP(tables_371100!C201,input_371100!A:H,8,FALSE))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input_371100!A$2</f>
        <v>371100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IFERROR(VLOOKUP(B202,input_371100!L:R,7,FALSE),VLOOKUP(tables_371100!C202,input_371100!A:H,8,FALSE))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input_371100!A$2</f>
        <v>371100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IFERROR(VLOOKUP(B203,input_371100!L:R,7,FALSE),VLOOKUP(tables_371100!C203,input_371100!A:H,8,FALSE))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input_371100!A$2</f>
        <v>371100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IFERROR(VLOOKUP(B204,input_371100!L:R,7,FALSE),VLOOKUP(tables_371100!C204,input_371100!A:H,8,FALSE))</f>
        <v>143792</v>
      </c>
      <c r="P204" s="46">
        <f t="shared" ca="1" si="8"/>
        <v>1.0320987654320988E-2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input_371100!A$2</f>
        <v>371100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IFERROR(VLOOKUP(B205,input_371100!L:R,7,FALSE),VLOOKUP(tables_371100!C205,input_371100!A:H,8,FALSE))</f>
        <v>7568</v>
      </c>
      <c r="P205" s="46">
        <f t="shared" ca="1" si="8"/>
        <v>5.4320987654320988E-4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input_371100!A$2</f>
        <v>371100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IFERROR(VLOOKUP(B206,input_371100!L:R,7,FALSE),VLOOKUP(tables_371100!C206,input_371100!A:H,8,FALSE))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input_371100!A$2</f>
        <v>371100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IFERROR(VLOOKUP(B207,input_371100!L:R,7,FALSE),VLOOKUP(tables_371100!C207,input_371100!A:H,8,FALSE))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input_371100!A$2</f>
        <v>371100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IFERROR(VLOOKUP(B208,input_371100!L:R,7,FALSE),VLOOKUP(tables_371100!C208,input_371100!A:H,8,FALSE))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input_371100!A$2</f>
        <v>371100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IFERROR(VLOOKUP(B209,input_371100!L:R,7,FALSE),VLOOKUP(tables_371100!C209,input_371100!A:H,8,FALSE))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input_371100!A$2</f>
        <v>371100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IFERROR(VLOOKUP(B210,input_371100!L:R,7,FALSE),VLOOKUP(tables_371100!C210,input_371100!A:H,8,FALSE))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input_371100!A$2</f>
        <v>371100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IFERROR(VLOOKUP(B211,input_371100!L:R,7,FALSE),VLOOKUP(tables_371100!C211,input_371100!A:H,8,FALSE))</f>
        <v>143792</v>
      </c>
      <c r="P211" s="46">
        <f t="shared" ca="1" si="11"/>
        <v>1.0320987654320988E-2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input_371100!A$2</f>
        <v>371100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IFERROR(VLOOKUP(B212,input_371100!L:R,7,FALSE),VLOOKUP(tables_371100!C212,input_371100!A:H,8,FALSE))</f>
        <v>7568</v>
      </c>
      <c r="P212" s="46">
        <f t="shared" ca="1" si="11"/>
        <v>5.4320987654320988E-4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input_371100!A$2</f>
        <v>371100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IFERROR(VLOOKUP(B213,input_371100!L:R,7,FALSE),VLOOKUP(tables_371100!C213,input_371100!A:H,8,FALSE))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input_371100!A$2</f>
        <v>371100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IFERROR(VLOOKUP(B214,input_371100!L:R,7,FALSE),VLOOKUP(tables_371100!C214,input_371100!A:H,8,FALSE))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input_371100!A$2</f>
        <v>371100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IFERROR(VLOOKUP(B215,input_371100!L:R,7,FALSE),VLOOKUP(tables_371100!C215,input_371100!A:H,8,FALSE))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input_371100!A$2</f>
        <v>371100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IFERROR(VLOOKUP(B216,input_371100!L:R,7,FALSE),VLOOKUP(tables_371100!C216,input_371100!A:H,8,FALSE))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input_371100!A$2</f>
        <v>371100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IFERROR(VLOOKUP(B217,input_371100!L:R,7,FALSE),VLOOKUP(tables_371100!C217,input_371100!A:H,8,FALSE))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input_371100!A$2</f>
        <v>371100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IFERROR(VLOOKUP(B218,input_371100!L:R,7,FALSE),VLOOKUP(tables_371100!C218,input_371100!A:H,8,FALSE))</f>
        <v>143792</v>
      </c>
      <c r="P218" s="46">
        <f t="shared" ca="1" si="11"/>
        <v>1.0320987654320988E-2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input_371100!A$2</f>
        <v>371100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IFERROR(VLOOKUP(B219,input_371100!L:R,7,FALSE),VLOOKUP(tables_371100!C219,input_371100!A:H,8,FALSE))</f>
        <v>7568</v>
      </c>
      <c r="P219" s="46">
        <f t="shared" ca="1" si="11"/>
        <v>5.4320987654320988E-4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input_371100!A$2</f>
        <v>371100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IFERROR(VLOOKUP(B220,input_371100!L:R,7,FALSE),VLOOKUP(tables_371100!C220,input_371100!A:H,8,FALSE))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input_371100!A$2</f>
        <v>371100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IFERROR(VLOOKUP(B221,input_371100!L:R,7,FALSE),VLOOKUP(tables_371100!C221,input_371100!A:H,8,FALSE))</f>
        <v>143792</v>
      </c>
      <c r="P221" s="46">
        <f t="shared" ca="1" si="11"/>
        <v>1.0320987654320988E-2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input_371100!A$2</f>
        <v>371100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IFERROR(VLOOKUP(B222,input_371100!L:R,7,FALSE),VLOOKUP(tables_371100!C222,input_371100!A:H,8,FALSE))</f>
        <v>7568</v>
      </c>
      <c r="P222" s="46">
        <f t="shared" ca="1" si="11"/>
        <v>5.4320987654320988E-4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input_371100!A$2</f>
        <v>371100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IFERROR(VLOOKUP(B223,input_371100!L:R,7,FALSE),VLOOKUP(tables_371100!C223,input_371100!A:H,8,FALSE))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input_371100!A$2</f>
        <v>371100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IFERROR(VLOOKUP(B224,input_371100!L:R,7,FALSE),VLOOKUP(tables_371100!C224,input_371100!A:H,8,FALSE))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input_371100!A$2</f>
        <v>371100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IFERROR(VLOOKUP(B225,input_371100!L:R,7,FALSE),VLOOKUP(tables_371100!C225,input_371100!A:H,8,FALSE))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input_371100!A$2</f>
        <v>371100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IFERROR(VLOOKUP(B226,input_371100!L:R,7,FALSE),VLOOKUP(tables_371100!C226,input_371100!A:H,8,FALSE))</f>
        <v>143792</v>
      </c>
      <c r="P226" s="46">
        <f t="shared" ca="1" si="11"/>
        <v>1.0320987654320988E-2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input_371100!A$2</f>
        <v>371100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IFERROR(VLOOKUP(B227,input_371100!L:R,7,FALSE),VLOOKUP(tables_371100!C227,input_371100!A:H,8,FALSE))</f>
        <v>7568</v>
      </c>
      <c r="P227" s="46">
        <f t="shared" ca="1" si="11"/>
        <v>5.4320987654320988E-4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input_371100!A$2</f>
        <v>371100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IFERROR(VLOOKUP(B228,input_371100!L:R,7,FALSE),VLOOKUP(tables_371100!C228,input_371100!A:H,8,FALSE))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input_371100!A$2</f>
        <v>371100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IFERROR(VLOOKUP(B229,input_371100!L:R,7,FALSE),VLOOKUP(tables_371100!C229,input_371100!A:H,8,FALSE))</f>
        <v>143792</v>
      </c>
      <c r="P229" s="46">
        <f t="shared" ca="1" si="11"/>
        <v>1.0320987654320988E-2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input_371100!A$2</f>
        <v>371100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IFERROR(VLOOKUP(B230,input_371100!L:R,7,FALSE),VLOOKUP(tables_371100!C230,input_371100!A:H,8,FALSE))</f>
        <v>7568</v>
      </c>
      <c r="P230" s="46">
        <f t="shared" ca="1" si="11"/>
        <v>5.4320987654320988E-4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input_371100!A$2</f>
        <v>371100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IFERROR(VLOOKUP(B231,input_371100!L:R,7,FALSE),VLOOKUP(tables_371100!C231,input_371100!A:H,8,FALSE))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input_371100!A$2</f>
        <v>371100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IFERROR(VLOOKUP(B232,input_371100!L:R,7,FALSE),VLOOKUP(tables_371100!C232,input_371100!A:H,8,FALSE))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input_371100!A$2</f>
        <v>371100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IFERROR(VLOOKUP(B233,input_371100!L:R,7,FALSE),VLOOKUP(tables_371100!C233,input_371100!A:H,8,FALSE))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input_371100!A$2</f>
        <v>371100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IFERROR(VLOOKUP(B234,input_371100!L:R,7,FALSE),VLOOKUP(tables_371100!C234,input_371100!A:H,8,FALSE))</f>
        <v>143792</v>
      </c>
      <c r="P234" s="46">
        <f t="shared" ca="1" si="11"/>
        <v>1.0320987654320988E-2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input_371100!A$2</f>
        <v>371100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IFERROR(VLOOKUP(B235,input_371100!L:R,7,FALSE),VLOOKUP(tables_371100!C235,input_371100!A:H,8,FALSE))</f>
        <v>7568</v>
      </c>
      <c r="P235" s="46">
        <f t="shared" ca="1" si="11"/>
        <v>5.4320987654320988E-4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input_371100!A$2</f>
        <v>371100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IFERROR(VLOOKUP(B236,input_371100!L:R,7,FALSE),VLOOKUP(tables_371100!C236,input_371100!A:H,8,FALSE))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input_371100!A$2</f>
        <v>371100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IFERROR(VLOOKUP(B237,input_371100!L:R,7,FALSE),VLOOKUP(tables_371100!C237,input_371100!A:H,8,FALSE))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input_371100!A$2</f>
        <v>371100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IFERROR(VLOOKUP(B238,input_371100!L:R,7,FALSE),VLOOKUP(tables_371100!C238,input_371100!A:H,8,FALSE))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input_371100!A$2</f>
        <v>371100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IFERROR(VLOOKUP(B239,input_371100!L:R,7,FALSE),VLOOKUP(tables_371100!C239,input_371100!A:H,8,FALSE))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input_371100!A$2</f>
        <v>371100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IFERROR(VLOOKUP(B240,input_371100!L:R,7,FALSE),VLOOKUP(tables_371100!C240,input_371100!A:H,8,FALSE))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input_371100!A$2</f>
        <v>371100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IFERROR(VLOOKUP(B241,input_371100!L:R,7,FALSE),VLOOKUP(tables_371100!C241,input_371100!A:H,8,FALSE))</f>
        <v>143792</v>
      </c>
      <c r="P241" s="46">
        <f t="shared" ca="1" si="11"/>
        <v>1.0320987654320988E-2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input_371100!A$2</f>
        <v>371100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IFERROR(VLOOKUP(B242,input_371100!L:R,7,FALSE),VLOOKUP(tables_371100!C242,input_371100!A:H,8,FALSE))</f>
        <v>7568</v>
      </c>
      <c r="P242" s="46">
        <f t="shared" ca="1" si="11"/>
        <v>5.4320987654320988E-4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input_371100!A$2</f>
        <v>371100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IFERROR(VLOOKUP(B243,input_371100!L:R,7,FALSE),VLOOKUP(tables_371100!C243,input_371100!A:H,8,FALSE))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input_371100!A$2</f>
        <v>371100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IFERROR(VLOOKUP(B244,input_371100!L:R,7,FALSE),VLOOKUP(tables_371100!C244,input_371100!A:H,8,FALSE))</f>
        <v>143792</v>
      </c>
      <c r="P244" s="46">
        <f t="shared" ca="1" si="11"/>
        <v>1.0320987654320988E-2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input_371100!A$2</f>
        <v>371100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IFERROR(VLOOKUP(B245,input_371100!L:R,7,FALSE),VLOOKUP(tables_371100!C245,input_371100!A:H,8,FALSE))</f>
        <v>7568</v>
      </c>
      <c r="P245" s="46">
        <f t="shared" ca="1" si="11"/>
        <v>5.4320987654320988E-4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input_371100!A$2</f>
        <v>371100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IFERROR(VLOOKUP(B246,input_371100!L:R,7,FALSE),VLOOKUP(tables_371100!C246,input_371100!A:H,8,FALSE))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input_371100!A$2</f>
        <v>371100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IFERROR(VLOOKUP(B247,input_371100!L:R,7,FALSE),VLOOKUP(tables_371100!C247,input_371100!A:H,8,FALSE))</f>
        <v>143792</v>
      </c>
      <c r="P247" s="46">
        <f t="shared" ca="1" si="11"/>
        <v>1.0320987654320988E-2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input_371100!A$2</f>
        <v>371100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IFERROR(VLOOKUP(B248,input_371100!L:R,7,FALSE),VLOOKUP(tables_371100!C248,input_371100!A:H,8,FALSE))</f>
        <v>7568</v>
      </c>
      <c r="P248" s="46">
        <f t="shared" ca="1" si="11"/>
        <v>5.4320987654320988E-4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input_371100!A$2</f>
        <v>371100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IFERROR(VLOOKUP(B249,input_371100!L:R,7,FALSE),VLOOKUP(tables_371100!C249,input_371100!A:H,8,FALSE))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input_371100!A$2</f>
        <v>371100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IFERROR(VLOOKUP(B250,input_371100!L:R,7,FALSE),VLOOKUP(tables_371100!C250,input_371100!A:H,8,FALSE))</f>
        <v>143792</v>
      </c>
      <c r="P250" s="46">
        <f t="shared" ca="1" si="11"/>
        <v>1.0320987654320988E-2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input_371100!A$2</f>
        <v>371100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IFERROR(VLOOKUP(B251,input_371100!L:R,7,FALSE),VLOOKUP(tables_371100!C251,input_371100!A:H,8,FALSE))</f>
        <v>7568</v>
      </c>
      <c r="P251" s="46">
        <f t="shared" ca="1" si="11"/>
        <v>5.4320987654320988E-4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input_371100!A$2</f>
        <v>371100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IFERROR(VLOOKUP(B252,input_371100!L:R,7,FALSE),VLOOKUP(tables_371100!C252,input_371100!A:H,8,FALSE))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input_371100!A$2</f>
        <v>371100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IFERROR(VLOOKUP(B253,input_371100!L:R,7,FALSE),VLOOKUP(tables_371100!C253,input_371100!A:H,8,FALSE))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input_371100!A$2</f>
        <v>371100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IFERROR(VLOOKUP(B254,input_371100!L:R,7,FALSE),VLOOKUP(tables_371100!C254,input_371100!A:H,8,FALSE))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input_371100!A$2</f>
        <v>371100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IFERROR(VLOOKUP(B255,input_371100!L:R,7,FALSE),VLOOKUP(tables_371100!C255,input_371100!A:H,8,FALSE))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input_371100!A$2</f>
        <v>371100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IFERROR(VLOOKUP(B256,input_371100!L:R,7,FALSE),VLOOKUP(tables_371100!C256,input_371100!A:H,8,FALSE))</f>
        <v>131294.22222</v>
      </c>
      <c r="P256" s="46">
        <f t="shared" ca="1" si="11"/>
        <v>9.4239321145564159E-3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input_371100!A$2</f>
        <v>371100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IFERROR(VLOOKUP(B257,input_371100!L:R,7,FALSE),VLOOKUP(tables_371100!C257,input_371100!A:H,8,FALSE))</f>
        <v>20065.77778</v>
      </c>
      <c r="P257" s="46">
        <f t="shared" ca="1" si="11"/>
        <v>1.4402654163077806E-3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input_371100!A$2</f>
        <v>371100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IFERROR(VLOOKUP(B258,input_371100!L:R,7,FALSE),VLOOKUP(tables_371100!C258,input_371100!A:H,8,FALSE))</f>
        <v>131294.22222</v>
      </c>
      <c r="P258" s="46">
        <f t="shared" ca="1" si="11"/>
        <v>9.4239321145564159E-3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input_371100!A$2</f>
        <v>371100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IFERROR(VLOOKUP(B259,input_371100!L:R,7,FALSE),VLOOKUP(tables_371100!C259,input_371100!A:H,8,FALSE))</f>
        <v>20065.77778</v>
      </c>
      <c r="P259" s="46">
        <f t="shared" ca="1" si="11"/>
        <v>1.4402654163077806E-3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input_371100!A$2</f>
        <v>371100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IFERROR(VLOOKUP(B260,input_371100!L:R,7,FALSE),VLOOKUP(tables_371100!C260,input_371100!A:H,8,FALSE))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input_371100!A$2</f>
        <v>371100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IFERROR(VLOOKUP(B261,input_371100!L:R,7,FALSE),VLOOKUP(tables_371100!C261,input_371100!A:H,8,FALSE))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input_371100!A$2</f>
        <v>371100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IFERROR(VLOOKUP(B262,input_371100!L:R,7,FALSE),VLOOKUP(tables_371100!C262,input_371100!A:H,8,FALSE))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input_371100!A$2</f>
        <v>371100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IFERROR(VLOOKUP(B263,input_371100!L:R,7,FALSE),VLOOKUP(tables_371100!C263,input_371100!A:H,8,FALSE))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input_371100!A$2</f>
        <v>371100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IFERROR(VLOOKUP(B264,input_371100!L:R,7,FALSE),VLOOKUP(tables_371100!C264,input_371100!A:H,8,FALSE))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input_371100!A$2</f>
        <v>371100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IFERROR(VLOOKUP(B265,input_371100!L:R,7,FALSE),VLOOKUP(tables_371100!C265,input_371100!A:H,8,FALSE))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input_371100!A$2</f>
        <v>371100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IFERROR(VLOOKUP(B266,input_371100!L:R,7,FALSE),VLOOKUP(tables_371100!C266,input_371100!A:H,8,FALSE))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input_371100!A$2</f>
        <v>371100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IFERROR(VLOOKUP(B267,input_371100!L:R,7,FALSE),VLOOKUP(tables_371100!C267,input_371100!A:H,8,FALSE))</f>
        <v>143792</v>
      </c>
      <c r="P267" s="46">
        <f t="shared" ca="1" si="11"/>
        <v>1.0320987654320988E-2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input_371100!A$2</f>
        <v>371100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IFERROR(VLOOKUP(B268,input_371100!L:R,7,FALSE),VLOOKUP(tables_371100!C268,input_371100!A:H,8,FALSE))</f>
        <v>7568</v>
      </c>
      <c r="P268" s="46">
        <f t="shared" ca="1" si="11"/>
        <v>5.4320987654320988E-4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input_371100!A$2</f>
        <v>371100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IFERROR(VLOOKUP(B269,input_371100!L:R,7,FALSE),VLOOKUP(tables_371100!C269,input_371100!A:H,8,FALSE))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input_371100!A$2</f>
        <v>371100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IFERROR(VLOOKUP(B270,input_371100!L:R,7,FALSE),VLOOKUP(tables_371100!C270,input_371100!A:H,8,FALSE))</f>
        <v>143792</v>
      </c>
      <c r="P270" s="46">
        <f t="shared" ca="1" si="11"/>
        <v>1.0320987654320988E-2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input_371100!A$2</f>
        <v>371100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IFERROR(VLOOKUP(B271,input_371100!L:R,7,FALSE),VLOOKUP(tables_371100!C271,input_371100!A:H,8,FALSE))</f>
        <v>7568</v>
      </c>
      <c r="P271" s="46">
        <f t="shared" ref="P271:P283" ca="1" si="14">O271/SUM(O:O)</f>
        <v>5.4320987654320988E-4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input_371100!A$2</f>
        <v>371100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IFERROR(VLOOKUP(B272,input_371100!L:R,7,FALSE),VLOOKUP(tables_371100!C272,input_371100!A:H,8,FALSE))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input_371100!A$2</f>
        <v>371100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IFERROR(VLOOKUP(B273,input_371100!L:R,7,FALSE),VLOOKUP(tables_371100!C273,input_371100!A:H,8,FALSE))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input_371100!A$2</f>
        <v>371100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IFERROR(VLOOKUP(B274,input_371100!L:R,7,FALSE),VLOOKUP(tables_371100!C274,input_371100!A:H,8,FALSE))</f>
        <v>131294.22222</v>
      </c>
      <c r="P274" s="46">
        <f t="shared" ca="1" si="14"/>
        <v>9.4239321145564159E-3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input_371100!A$2</f>
        <v>371100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IFERROR(VLOOKUP(B275,input_371100!L:R,7,FALSE),VLOOKUP(tables_371100!C275,input_371100!A:H,8,FALSE))</f>
        <v>20065.77778</v>
      </c>
      <c r="P275" s="46">
        <f t="shared" ca="1" si="14"/>
        <v>1.4402654163077806E-3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input_371100!A$2</f>
        <v>371100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IFERROR(VLOOKUP(B276,input_371100!L:R,7,FALSE),VLOOKUP(tables_371100!C276,input_371100!A:H,8,FALSE))</f>
        <v>131294.22222</v>
      </c>
      <c r="P276" s="46">
        <f t="shared" ca="1" si="14"/>
        <v>9.4239321145564159E-3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input_371100!A$2</f>
        <v>371100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IFERROR(VLOOKUP(B277,input_371100!L:R,7,FALSE),VLOOKUP(tables_371100!C277,input_371100!A:H,8,FALSE))</f>
        <v>20065.77778</v>
      </c>
      <c r="P277" s="46">
        <f t="shared" ca="1" si="14"/>
        <v>1.4402654163077806E-3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input_371100!A$2</f>
        <v>371100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IFERROR(VLOOKUP(B278,input_371100!L:R,7,FALSE),VLOOKUP(tables_371100!C278,input_371100!A:H,8,FALSE))</f>
        <v>131294.22222</v>
      </c>
      <c r="P278" s="46">
        <f t="shared" ca="1" si="14"/>
        <v>9.4239321145564159E-3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input_371100!A$2</f>
        <v>371100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IFERROR(VLOOKUP(B279,input_371100!L:R,7,FALSE),VLOOKUP(tables_371100!C279,input_371100!A:H,8,FALSE))</f>
        <v>20065.77778</v>
      </c>
      <c r="P279" s="46">
        <f t="shared" ca="1" si="14"/>
        <v>1.4402654163077806E-3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input_371100!A$2</f>
        <v>371100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IFERROR(VLOOKUP(B280,input_371100!L:R,7,FALSE),VLOOKUP(tables_371100!C280,input_371100!A:H,8,FALSE))</f>
        <v>131294.22222</v>
      </c>
      <c r="P280" s="46">
        <f t="shared" ca="1" si="14"/>
        <v>9.4239321145564159E-3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input_371100!A$2</f>
        <v>371100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IFERROR(VLOOKUP(B281,input_371100!L:R,7,FALSE),VLOOKUP(tables_371100!C281,input_371100!A:H,8,FALSE))</f>
        <v>20065.77778</v>
      </c>
      <c r="P281" s="46">
        <f t="shared" ca="1" si="14"/>
        <v>1.4402654163077806E-3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input_371100!A$2</f>
        <v>371100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IFERROR(VLOOKUP(B282,input_371100!L:R,7,FALSE),VLOOKUP(tables_371100!C282,input_371100!A:H,8,FALSE))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input_371100!A$2</f>
        <v>371100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IFERROR(VLOOKUP(B283,input_371100!L:R,7,FALSE),VLOOKUP(tables_371100!C283,input_371100!A:H,8,FALSE))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input_371100!A$2</f>
        <v>371100</v>
      </c>
      <c r="B284" s="84">
        <v>742</v>
      </c>
      <c r="C284" s="7" t="str">
        <f t="shared" ref="C284:C294" si="15">D284&amp;J284&amp;E284&amp;F284&amp;G284</f>
        <v>PremiumSS5R5only</v>
      </c>
      <c r="D284" s="7" t="str">
        <f t="shared" ref="D284:D29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IFERROR(VLOOKUP(B284,input_371100!L:R,7,FALSE),VLOOKUP(tables_371100!C284,input_371100!A:H,8,FALSE))</f>
        <v>9720</v>
      </c>
      <c r="P284" s="46">
        <f t="shared" ref="P284:P294" ca="1" si="17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input_371100!A$2</f>
        <v>371100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IFERROR(VLOOKUP(B285,input_371100!L:R,7,FALSE),VLOOKUP(tables_371100!C285,input_371100!A:H,8,FALSE))</f>
        <v>9720</v>
      </c>
      <c r="P285" s="46">
        <f t="shared" ca="1" si="17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input_371100!A$2</f>
        <v>371100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IFERROR(VLOOKUP(B286,input_371100!L:R,7,FALSE),VLOOKUP(tables_371100!C286,input_371100!A:H,8,FALSE))</f>
        <v>131294.22222</v>
      </c>
      <c r="P286" s="46">
        <f t="shared" ca="1" si="17"/>
        <v>9.4239321145564159E-3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input_371100!A$2</f>
        <v>371100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IFERROR(VLOOKUP(B287,input_371100!L:R,7,FALSE),VLOOKUP(tables_371100!C287,input_371100!A:H,8,FALSE))</f>
        <v>20065.77778</v>
      </c>
      <c r="P287" s="46">
        <f t="shared" ca="1" si="17"/>
        <v>1.4402654163077806E-3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input_371100!A$2</f>
        <v>371100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IFERROR(VLOOKUP(B288,input_371100!L:R,7,FALSE),VLOOKUP(tables_371100!C288,input_371100!A:H,8,FALSE))</f>
        <v>131294.22222</v>
      </c>
      <c r="P288" s="46">
        <f t="shared" ca="1" si="17"/>
        <v>9.4239321145564159E-3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input_371100!A$2</f>
        <v>371100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IFERROR(VLOOKUP(B289,input_371100!L:R,7,FALSE),VLOOKUP(tables_371100!C289,input_371100!A:H,8,FALSE))</f>
        <v>20065.77778</v>
      </c>
      <c r="P289" s="46">
        <f t="shared" ca="1" si="17"/>
        <v>1.4402654163077806E-3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input_371100!A$2</f>
        <v>371100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IFERROR(VLOOKUP(B290,input_371100!L:R,7,FALSE),VLOOKUP(tables_371100!C290,input_371100!A:H,8,FALSE))</f>
        <v>9720</v>
      </c>
      <c r="P290" s="46">
        <f t="shared" ca="1" si="17"/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input_371100!A$2</f>
        <v>371100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IFERROR(VLOOKUP(B291,input_371100!L:R,7,FALSE),VLOOKUP(tables_371100!C291,input_371100!A:H,8,FALSE))</f>
        <v>131294.22222</v>
      </c>
      <c r="P291" s="46">
        <f t="shared" ca="1" si="17"/>
        <v>9.4239321145564159E-3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input_371100!A$2</f>
        <v>371100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IFERROR(VLOOKUP(B292,input_371100!L:R,7,FALSE),VLOOKUP(tables_371100!C292,input_371100!A:H,8,FALSE))</f>
        <v>20065.77778</v>
      </c>
      <c r="P292" s="46">
        <f t="shared" ca="1" si="17"/>
        <v>1.4402654163077806E-3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input_371100!A$2</f>
        <v>371100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IFERROR(VLOOKUP(B293,input_371100!L:R,7,FALSE),VLOOKUP(tables_371100!C293,input_371100!A:H,8,FALSE))</f>
        <v>9720</v>
      </c>
      <c r="P293" s="46">
        <f t="shared" ca="1" si="17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input_371100!A$2</f>
        <v>371100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IFERROR(VLOOKUP(B294,input_371100!L:R,7,FALSE),VLOOKUP(tables_371100!C294,input_371100!A:H,8,FALSE))</f>
        <v>9720</v>
      </c>
      <c r="P294" s="46">
        <f t="shared" ca="1" si="17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input_371100!A$2</f>
        <v>371100</v>
      </c>
      <c r="B295" s="84">
        <v>1046</v>
      </c>
      <c r="C295" s="7" t="str">
        <f t="shared" ref="C295:C298" si="18">D295&amp;J295&amp;E295&amp;F295&amp;G295</f>
        <v>Premium5R3less</v>
      </c>
      <c r="D295" s="7" t="str">
        <f t="shared" ref="D295:D298" si="19">IF(I295="PremiumSS",I295,IF(I295="PremiumSSS",I295,IF(I295="PremiumW",I295,"Premium")))</f>
        <v>Premium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涼求の炎狼 フェンリル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animal</v>
      </c>
      <c r="N295" s="7" t="str">
        <f>VLOOKUP(B295,[1]characters!$A:$G,7,FALSE)</f>
        <v>男性</v>
      </c>
      <c r="O295" s="45">
        <f>IFERROR(VLOOKUP(B295,input_371100!L:R,7,FALSE),VLOOKUP(tables_371100!C295,input_371100!A:H,8,FALSE))</f>
        <v>557280</v>
      </c>
      <c r="P295" s="46">
        <f t="shared" ref="P295:P298" ca="1" si="20">O295/SUM(O:O)</f>
        <v>0.04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input_371100!A$2</f>
        <v>371100</v>
      </c>
      <c r="B296" s="84">
        <v>1047</v>
      </c>
      <c r="C296" s="7" t="str">
        <f t="shared" si="18"/>
        <v>PremiumSSS6R3less</v>
      </c>
      <c r="D296" s="7" t="str">
        <f t="shared" si="19"/>
        <v>PremiumSSS</v>
      </c>
      <c r="E296" s="7" t="str">
        <f>IF(COUNTIF('R6追加前'!A:A,B296)=0,IF(I296="PremiumSS","R5only","R3less"),"")</f>
        <v>R3less</v>
      </c>
      <c r="F296" s="7" t="str">
        <f>IF(COUNTIF('R6開放'!A:A,B296)&gt;0,"R6release","")</f>
        <v/>
      </c>
      <c r="G296" s="7"/>
      <c r="H296" s="7" t="str">
        <f>VLOOKUP(B296,[1]characters!$A:$C,3,FALSE)</f>
        <v>波浪の夏閃 オイラー</v>
      </c>
      <c r="I296" s="7" t="str">
        <f>VLOOKUP(B296,[1]characters!$A:$J,10,FALSE)</f>
        <v>PremiumSSS</v>
      </c>
      <c r="J296" s="7">
        <f>VLOOKUP(B296,[1]characters!$A:$I,9,FALSE)</f>
        <v>6</v>
      </c>
      <c r="K296" s="7" t="str">
        <f>VLOOKUP(B296,[1]characters!$A:$H,8,FALSE)</f>
        <v>green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IFERROR(VLOOKUP(B296,input_371100!L:R,7,FALSE),VLOOKUP(tables_371100!C296,input_371100!A:H,8,FALSE))</f>
        <v>69660</v>
      </c>
      <c r="P296" s="46">
        <f t="shared" ca="1" si="20"/>
        <v>5.0000000000000001E-3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input_371100!A$2</f>
        <v>371100</v>
      </c>
      <c r="B297" s="84">
        <v>1050</v>
      </c>
      <c r="C297" s="7" t="str">
        <f t="shared" si="18"/>
        <v>Premium5R3less</v>
      </c>
      <c r="D297" s="7" t="str">
        <f t="shared" si="19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廻遊の水獣宰相 ルキフグス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balance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>IFERROR(VLOOKUP(B297,input_371100!L:R,7,FALSE),VLOOKUP(tables_371100!C297,input_371100!A:H,8,FALSE))</f>
        <v>557280</v>
      </c>
      <c r="P297" s="46">
        <f t="shared" ca="1" si="20"/>
        <v>0.04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input_371100!A$2</f>
        <v>371100</v>
      </c>
      <c r="B298" s="84">
        <v>1051</v>
      </c>
      <c r="C298" s="7" t="str">
        <f t="shared" si="18"/>
        <v>PremiumSSS6R3less</v>
      </c>
      <c r="D298" s="7" t="str">
        <f t="shared" si="19"/>
        <v>PremiumSSS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嬌電の飛沫 ファラデー</v>
      </c>
      <c r="I298" s="7" t="str">
        <f>VLOOKUP(B298,[1]characters!$A:$J,10,FALSE)</f>
        <v>PremiumSSS</v>
      </c>
      <c r="J298" s="7">
        <f>VLOOKUP(B298,[1]characters!$A:$I,9,FALSE)</f>
        <v>6</v>
      </c>
      <c r="K298" s="7" t="str">
        <f>VLOOKUP(B298,[1]characters!$A:$H,8,FALSE)</f>
        <v>yellow</v>
      </c>
      <c r="L298" s="7" t="str">
        <f>VLOOKUP(B298,[1]characters!$A:$K,11,FALSE)</f>
        <v>balance</v>
      </c>
      <c r="M298" s="7" t="str">
        <f>VLOOKUP(B298,[1]characters!$A:$M,13,FALSE)</f>
        <v>human</v>
      </c>
      <c r="N298" s="7" t="str">
        <f>VLOOKUP(B298,[1]characters!$A:$G,7,FALSE)</f>
        <v>男性</v>
      </c>
      <c r="O298" s="45">
        <f>IFERROR(VLOOKUP(B298,input_371100!L:R,7,FALSE),VLOOKUP(tables_371100!C298,input_371100!A:H,8,FALSE))</f>
        <v>69660</v>
      </c>
      <c r="P298" s="46">
        <f t="shared" ca="1" si="20"/>
        <v>5.0000000000000001E-3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3" workbookViewId="0">
      <selection activeCell="F10" sqref="F1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371100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1046</v>
      </c>
      <c r="M3" s="37" t="str">
        <f>VLOOKUP(L3,[1]characters!$A:$C,3,FALSE)</f>
        <v>涼求の炎狼 フェンリル</v>
      </c>
      <c r="N3" s="63">
        <v>0.04</v>
      </c>
      <c r="O3" s="37">
        <f>VLOOKUP(L3,[1]characters!$A:$I,9,FALSE)</f>
        <v>5</v>
      </c>
      <c r="P3" s="37" t="str">
        <f>VLOOKUP(L3,[1]characters!$A:$J,10,FALSE)</f>
        <v>PremiumS</v>
      </c>
      <c r="Q3" s="37" t="str">
        <f>VLOOKUP(L3,tables_settle_371100!B:C,2,FALSE)</f>
        <v>Premium5R3less</v>
      </c>
      <c r="R3" s="62">
        <f t="shared" ref="R3:R20" si="0">N3*A$36</f>
        <v>557280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1047</v>
      </c>
      <c r="M4" s="37" t="str">
        <f>VLOOKUP(L4,[1]characters!$A:$C,3,FALSE)</f>
        <v>波浪の夏閃 オイラー</v>
      </c>
      <c r="N4" s="63">
        <v>5.0000000000000001E-3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VLOOKUP(L4,tables_settle_371100!B:C,2,FALSE)</f>
        <v>PremiumSSS6R3less</v>
      </c>
      <c r="R4" s="62">
        <f t="shared" si="0"/>
        <v>69660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6.9767441860465117E-4</v>
      </c>
      <c r="F5">
        <f>(COUNTIF(tables_settle_371100!C:C,input_settle_371100!A26)+COUNTIF(tables_settle_371100!C:C,input_settle_371100!A28)+COUNTIF(tables_settle_371100!C:C,input_settle_371100!A29))</f>
        <v>43</v>
      </c>
      <c r="H5" s="87">
        <v>0</v>
      </c>
      <c r="I5" s="31">
        <v>0</v>
      </c>
      <c r="L5" s="60">
        <v>1050</v>
      </c>
      <c r="M5" s="37" t="str">
        <f>VLOOKUP(L5,[1]characters!$A:$C,3,FALSE)</f>
        <v>廻遊の水獣宰相 ルキフグス</v>
      </c>
      <c r="N5" s="63">
        <v>0.04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VLOOKUP(L5,tables_settle_371100!B:C,2,FALSE)</f>
        <v>Premium5R3less</v>
      </c>
      <c r="R5" s="62">
        <f>N5*A$36</f>
        <v>557280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</v>
      </c>
      <c r="D6" t="s">
        <v>208</v>
      </c>
      <c r="E6" s="78">
        <f>(B10-H6)/(F6-I6)</f>
        <v>1.0864197530864197E-2</v>
      </c>
      <c r="F6">
        <f>(COUNTIF(tables_settle_371100!C:C,input_settle_371100!A18)+COUNTIF(tables_settle_371100!C:C,input_settle_371100!A20)+COUNTIF(tables_settle_371100!C:C,input_settle_371100!A22))</f>
        <v>81</v>
      </c>
      <c r="H6" s="74">
        <v>0.08</v>
      </c>
      <c r="I6" s="31">
        <v>0</v>
      </c>
      <c r="L6" s="92">
        <v>1051</v>
      </c>
      <c r="M6" s="37" t="str">
        <f>VLOOKUP(L6,[1]characters!$A:$C,3,FALSE)</f>
        <v>嬌電の飛沫 ファラデー</v>
      </c>
      <c r="N6" s="63">
        <v>5.0000000000000001E-3</v>
      </c>
      <c r="O6" s="37">
        <f>VLOOKUP(L6,[1]characters!$A:$I,9,FALSE)</f>
        <v>6</v>
      </c>
      <c r="P6" s="37" t="str">
        <f>VLOOKUP(L6,[1]characters!$A:$J,10,FALSE)</f>
        <v>PremiumSSS</v>
      </c>
      <c r="Q6" s="37" t="str">
        <f>VLOOKUP(L6,tables_settle_371100!B:C,2,FALSE)</f>
        <v>PremiumSSS6R3less</v>
      </c>
      <c r="R6" s="62">
        <f t="shared" si="0"/>
        <v>69660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0.99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VLOOKUP(L7,tables_settle_371100!B:C,2,FALSE)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VLOOKUP(L8,tables_settle_371100!B:C,2,FALSE)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0.08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VLOOKUP(L9,tables_settle_371100!B:C,2,FALSE)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v>0.96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VLOOKUP(L10,tables_settle_371100!B:C,2,FALSE)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VLOOKUP(L11,tables_settle_371100!B:C,2,FALSE)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VLOOKUP(L12,tables_settle_371100!B:C,2,FALSE)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VLOOKUP(L13,tables_settle_371100!B:C,2,FALSE)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VLOOKUP(L14,tables_settle_371100!B:C,2,FALSE)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VLOOKUP(L15,tables_settle_371100!B:C,2,FALSE)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VLOOKUP(L16,tables_settle_371100!B:C,2,FALSE)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COUNTIF(tables_settle_371100!C:C,input_settle_371100!A17)-COUNTIF(Q:Q,A17)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VLOOKUP(L17,tables_settle_371100!B:C,2,FALSE)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0</f>
        <v>0</v>
      </c>
      <c r="C18" s="75">
        <f t="shared" si="2"/>
        <v>0</v>
      </c>
      <c r="D18" s="76">
        <f t="shared" si="3"/>
        <v>0</v>
      </c>
      <c r="E18">
        <f>COUNTIF(tables_settle_371100!C:C,input_settle_371100!A18)-COUNTIF(Q:Q,A18)</f>
        <v>20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VLOOKUP(L18,tables_settle_371100!B:C,2,FALSE)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COUNTIF(tables_settle_371100!C:C,input_settle_371100!A19)-COUNTIF(Q:Q,A19)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VLOOKUP(L19,tables_settle_371100!B:C,2,FALSE)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</v>
      </c>
      <c r="C20" s="75">
        <f t="shared" si="2"/>
        <v>0</v>
      </c>
      <c r="D20" s="76">
        <f t="shared" si="3"/>
        <v>0</v>
      </c>
      <c r="E20">
        <f>COUNTIF(tables_settle_371100!C:C,input_settle_371100!A20)-COUNTIF(Q:Q,A20)</f>
        <v>52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VLOOKUP(L20,tables_settle_371100!B:C,2,FALSE)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0.55928888888888884</v>
      </c>
      <c r="C21" s="75">
        <f t="shared" si="2"/>
        <v>0</v>
      </c>
      <c r="D21" s="76">
        <f t="shared" si="3"/>
        <v>0.55928888888888884</v>
      </c>
      <c r="E21">
        <f>COUNTIF(tables_settle_371100!C:C,input_settle_371100!A21)-COUNTIF(Q:Q,A21)</f>
        <v>52</v>
      </c>
      <c r="F21" s="43">
        <f t="shared" si="7"/>
        <v>1.0755555555555555E-2</v>
      </c>
      <c r="G21">
        <f t="shared" si="8"/>
        <v>7792012.7999999989</v>
      </c>
      <c r="H21">
        <f t="shared" si="4"/>
        <v>149846.39999999999</v>
      </c>
      <c r="I21">
        <f t="shared" si="5"/>
        <v>0.39999999999417923</v>
      </c>
      <c r="J21">
        <f t="shared" si="6"/>
        <v>2.5000000000363798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0</f>
        <v>0</v>
      </c>
      <c r="C22" s="75">
        <f t="shared" si="2"/>
        <v>0</v>
      </c>
      <c r="D22" s="76">
        <f t="shared" si="3"/>
        <v>0</v>
      </c>
      <c r="E22">
        <f>COUNTIF(tables_settle_371100!C:C,input_settle_371100!A22)-COUNTIF(Q:Q,A22)</f>
        <v>9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B7-B26-B28-B29-B21-H6</f>
        <v>0.32093436692506466</v>
      </c>
      <c r="C23" s="75">
        <f t="shared" si="2"/>
        <v>0.08</v>
      </c>
      <c r="D23" s="76">
        <f t="shared" si="3"/>
        <v>0.24093436692506465</v>
      </c>
      <c r="E23">
        <f>COUNTIF(tables_settle_371100!C:C,input_settle_371100!A23)-COUNTIF(Q:Q,A23)</f>
        <v>9</v>
      </c>
      <c r="F23" s="43">
        <f t="shared" si="7"/>
        <v>3.5659374102784962E-2</v>
      </c>
      <c r="G23">
        <f t="shared" si="8"/>
        <v>4471257.6000000006</v>
      </c>
      <c r="H23">
        <f t="shared" si="4"/>
        <v>496806.40000000002</v>
      </c>
      <c r="I23">
        <f t="shared" si="5"/>
        <v>0.40000000002328306</v>
      </c>
      <c r="J23">
        <f t="shared" si="6"/>
        <v>2.4999999998544808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COUNTIF(tables_settle_371100!C:C,input_settle_371100!A24)-COUNTIF(Q:Q,A24)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0</v>
      </c>
      <c r="C25" s="75">
        <f t="shared" si="2"/>
        <v>0</v>
      </c>
      <c r="D25" s="76">
        <f t="shared" si="3"/>
        <v>0</v>
      </c>
      <c r="E25">
        <f>COUNTIF(tables_settle_371100!C:C,input_settle_371100!A25)-COUNTIF(Q:Q,A25)</f>
        <v>4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2.7627906976744184E-3</v>
      </c>
      <c r="C26" s="75">
        <f t="shared" si="2"/>
        <v>0</v>
      </c>
      <c r="D26" s="76">
        <f t="shared" si="3"/>
        <v>2.7627906976744184E-3</v>
      </c>
      <c r="E26">
        <f>COUNTIF(tables_settle_371100!C:C,input_settle_371100!A26)-COUNTIF(Q:Q,A26)</f>
        <v>4</v>
      </c>
      <c r="F26" s="43">
        <f t="shared" si="7"/>
        <v>6.9069767441860461E-4</v>
      </c>
      <c r="G26">
        <f t="shared" si="8"/>
        <v>38491.199999999997</v>
      </c>
      <c r="H26">
        <f t="shared" si="4"/>
        <v>9622.7999999999993</v>
      </c>
      <c r="I26">
        <f t="shared" si="5"/>
        <v>0.7999999999992724</v>
      </c>
      <c r="J26">
        <f t="shared" si="6"/>
        <v>1.2500000000011369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0</v>
      </c>
      <c r="C27" s="75">
        <f t="shared" si="2"/>
        <v>0</v>
      </c>
      <c r="D27" s="76">
        <f t="shared" si="3"/>
        <v>0</v>
      </c>
      <c r="E27">
        <f>COUNTIF(tables_settle_371100!C:C,input_settle_371100!A27)-COUNTIF(Q:Q,A27)</f>
        <v>28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1.9339534883720928E-2</v>
      </c>
      <c r="C28" s="75">
        <f t="shared" si="2"/>
        <v>0</v>
      </c>
      <c r="D28" s="76">
        <f t="shared" si="3"/>
        <v>1.9339534883720928E-2</v>
      </c>
      <c r="E28">
        <f>COUNTIF(tables_settle_371100!C:C,input_settle_371100!A28)-COUNTIF(Q:Q,A28)</f>
        <v>28</v>
      </c>
      <c r="F28" s="43">
        <f t="shared" si="7"/>
        <v>6.9069767441860461E-4</v>
      </c>
      <c r="G28">
        <f t="shared" si="8"/>
        <v>269438.39999999997</v>
      </c>
      <c r="H28">
        <f t="shared" si="4"/>
        <v>9622.7999999999993</v>
      </c>
      <c r="I28">
        <f t="shared" si="5"/>
        <v>0.7999999999992724</v>
      </c>
      <c r="J28">
        <f t="shared" si="6"/>
        <v>1.2500000000011369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75">
        <f t="shared" si="2"/>
        <v>0</v>
      </c>
      <c r="D29" s="76">
        <f t="shared" si="3"/>
        <v>7.674418604651163E-3</v>
      </c>
      <c r="E29">
        <f>COUNTIF(tables_settle_371100!C:C,input_settle_371100!A29)-COUNTIF(Q:Q,A29)</f>
        <v>11</v>
      </c>
      <c r="F29" s="43">
        <f t="shared" si="7"/>
        <v>6.9767441860465117E-4</v>
      </c>
      <c r="G29">
        <f t="shared" si="8"/>
        <v>106920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COUNTIF(tables_settle_371100!C:C,input_settle_371100!A30)-COUNTIF(Q:Q,A30)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COUNTIF(tables_settle_371100!C:C,input_settle_371100!A31)-COUNTIF(Q:Q,A31)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0.91</v>
      </c>
      <c r="C32" s="41">
        <f>SUM(C19:C31)</f>
        <v>0.08</v>
      </c>
      <c r="D32" s="42">
        <f t="shared" si="3"/>
        <v>0.83000000000000007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SUMIF(#REF!,input_settle_371100!A40,#REF!)</f>
        <v>#REF!</v>
      </c>
      <c r="C40" s="54" t="e">
        <f t="shared" ref="C40:C46" si="9">B40/B$47</f>
        <v>#REF!</v>
      </c>
      <c r="E40">
        <v>3</v>
      </c>
      <c r="F40" t="e">
        <f>SUMIF(#REF!,input_settle_371100!E40,#REF!)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SUMIF(#REF!,input_settle_371100!A41,#REF!)</f>
        <v>#REF!</v>
      </c>
      <c r="C41" s="54" t="e">
        <f t="shared" si="9"/>
        <v>#REF!</v>
      </c>
      <c r="E41">
        <v>4</v>
      </c>
      <c r="F41" t="e">
        <f>SUMIF(#REF!,input_settle_371100!E41,#REF!)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SUMIF(#REF!,input_settle_371100!A42,#REF!)</f>
        <v>#REF!</v>
      </c>
      <c r="C42" s="54" t="e">
        <f t="shared" si="9"/>
        <v>#REF!</v>
      </c>
      <c r="E42">
        <v>5</v>
      </c>
      <c r="F42" t="e">
        <f>SUMIF(#REF!,input_settle_371100!E42,#REF!)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SUMIF(#REF!,input_settle_371100!A43,#REF!)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SUMIF(#REF!,input_settle_371100!A44,#REF!)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SUMIF(#REF!,input_settle_371100!A45,#REF!)</f>
        <v>#REF!</v>
      </c>
      <c r="C45" s="54" t="e">
        <f t="shared" si="9"/>
        <v>#REF!</v>
      </c>
      <c r="E45" t="s">
        <v>210</v>
      </c>
      <c r="F45" s="55" t="e">
        <f>SUMIF(#REF!,input_settle_371100!E45,#REF!)</f>
        <v>#REF!</v>
      </c>
    </row>
    <row r="46" spans="1:7" x14ac:dyDescent="0.15">
      <c r="A46" s="33" t="s">
        <v>111</v>
      </c>
      <c r="B46" t="e">
        <f>SUMIF(#REF!,input_settle_371100!A46,#REF!)</f>
        <v>#REF!</v>
      </c>
      <c r="C46" s="54" t="e">
        <f t="shared" si="9"/>
        <v>#REF!</v>
      </c>
      <c r="E46" t="s">
        <v>211</v>
      </c>
      <c r="F46" s="55" t="e">
        <f>SUMIF(#REF!,input_settle_371100!E46,#REF!)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SUMIF(#REF!,input_settle_371100!E47,#REF!)</f>
        <v>#REF!</v>
      </c>
    </row>
    <row r="48" spans="1:7" x14ac:dyDescent="0.15">
      <c r="E48" t="s">
        <v>213</v>
      </c>
      <c r="F48" s="55" t="e">
        <f>SUMIF(#REF!,input_settle_371100!E48,#REF!)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298"/>
  <sheetViews>
    <sheetView showGridLines="0" zoomScale="75" zoomScaleNormal="75" zoomScalePageLayoutView="75" workbookViewId="0">
      <pane ySplit="1" topLeftCell="A2" activePane="bottomLeft" state="frozen"/>
      <selection activeCell="D14" sqref="D14"/>
      <selection pane="bottomLeft" activeCell="O299" sqref="O29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input_settle_371100!A$2</f>
        <v>371100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IFERROR(VLOOKUP(B2,input_settle_371100!L:R,7,FALSE),VLOOKUP(tables_settle_371100!C2,input_settle_371100!A:H,8,FALSE))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input_settle_371100!A$2</f>
        <v>371100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IFERROR(VLOOKUP(B3,input_settle_371100!L:R,7,FALSE),VLOOKUP(tables_settle_371100!C3,input_settle_371100!A:H,8,FALSE))</f>
        <v>0</v>
      </c>
      <c r="P3" s="46">
        <f t="shared" ca="1" si="2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input_settle_371100!A$2</f>
        <v>371100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IFERROR(VLOOKUP(B4,input_settle_371100!L:R,7,FALSE),VLOOKUP(tables_settle_371100!C4,input_settle_371100!A:H,8,FALSE))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input_settle_371100!A$2</f>
        <v>371100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IFERROR(VLOOKUP(B5,input_settle_371100!L:R,7,FALSE),VLOOKUP(tables_settle_371100!C5,input_settle_371100!A:H,8,FALSE))</f>
        <v>0</v>
      </c>
      <c r="P5" s="46">
        <f t="shared" ca="1" si="2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input_settle_371100!A$2</f>
        <v>371100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IFERROR(VLOOKUP(B6,input_settle_371100!L:R,7,FALSE),VLOOKUP(tables_settle_371100!C6,input_settle_371100!A:H,8,FALSE))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input_settle_371100!A$2</f>
        <v>371100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IFERROR(VLOOKUP(B7,input_settle_371100!L:R,7,FALSE),VLOOKUP(tables_settle_371100!C7,input_settle_371100!A:H,8,FALSE))</f>
        <v>0</v>
      </c>
      <c r="P7" s="46">
        <f t="shared" ca="1" si="2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input_settle_371100!A$2</f>
        <v>371100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IFERROR(VLOOKUP(B8,input_settle_371100!L:R,7,FALSE),VLOOKUP(tables_settle_371100!C8,input_settle_371100!A:H,8,FALSE))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input_settle_371100!A$2</f>
        <v>371100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IFERROR(VLOOKUP(B9,input_settle_371100!L:R,7,FALSE),VLOOKUP(tables_settle_371100!C9,input_settle_371100!A:H,8,FALSE))</f>
        <v>0</v>
      </c>
      <c r="P9" s="46">
        <f t="shared" ca="1" si="2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input_settle_371100!A$2</f>
        <v>371100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IFERROR(VLOOKUP(B10,input_settle_371100!L:R,7,FALSE),VLOOKUP(tables_settle_371100!C10,input_settle_371100!A:H,8,FALSE))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input_settle_371100!A$2</f>
        <v>371100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IFERROR(VLOOKUP(B11,input_settle_371100!L:R,7,FALSE),VLOOKUP(tables_settle_371100!C11,input_settle_371100!A:H,8,FALSE))</f>
        <v>0</v>
      </c>
      <c r="P11" s="46">
        <f t="shared" ca="1" si="2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input_settle_371100!A$2</f>
        <v>371100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IFERROR(VLOOKUP(B12,input_settle_371100!L:R,7,FALSE),VLOOKUP(tables_settle_371100!C12,input_settle_371100!A:H,8,FALSE))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input_settle_371100!A$2</f>
        <v>371100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IFERROR(VLOOKUP(B13,input_settle_371100!L:R,7,FALSE),VLOOKUP(tables_settle_371100!C13,input_settle_371100!A:H,8,FALSE))</f>
        <v>0</v>
      </c>
      <c r="P13" s="46">
        <f t="shared" ca="1" si="2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input_settle_371100!A$2</f>
        <v>371100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IFERROR(VLOOKUP(B14,input_settle_371100!L:R,7,FALSE),VLOOKUP(tables_settle_371100!C14,input_settle_371100!A:H,8,FALSE))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input_settle_371100!A$2</f>
        <v>371100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IFERROR(VLOOKUP(B15,input_settle_371100!L:R,7,FALSE),VLOOKUP(tables_settle_371100!C15,input_settle_371100!A:H,8,FALSE))</f>
        <v>0</v>
      </c>
      <c r="P15" s="46">
        <f t="shared" ca="1" si="2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input_settle_371100!A$2</f>
        <v>371100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IFERROR(VLOOKUP(B16,input_settle_371100!L:R,7,FALSE),VLOOKUP(tables_settle_371100!C16,input_settle_371100!A:H,8,FALSE))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input_settle_371100!A$2</f>
        <v>371100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IFERROR(VLOOKUP(B17,input_settle_371100!L:R,7,FALSE),VLOOKUP(tables_settle_371100!C17,input_settle_371100!A:H,8,FALSE))</f>
        <v>0</v>
      </c>
      <c r="P17" s="46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input_settle_371100!A$2</f>
        <v>371100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IFERROR(VLOOKUP(B18,input_settle_371100!L:R,7,FALSE),VLOOKUP(tables_settle_371100!C18,input_settle_371100!A:H,8,FALSE))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input_settle_371100!A$2</f>
        <v>371100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IFERROR(VLOOKUP(B19,input_settle_371100!L:R,7,FALSE),VLOOKUP(tables_settle_371100!C19,input_settle_371100!A:H,8,FALSE))</f>
        <v>0</v>
      </c>
      <c r="P19" s="46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input_settle_371100!A$2</f>
        <v>371100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IFERROR(VLOOKUP(B20,input_settle_371100!L:R,7,FALSE),VLOOKUP(tables_settle_371100!C20,input_settle_371100!A:H,8,FALSE))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input_settle_371100!A$2</f>
        <v>371100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IFERROR(VLOOKUP(B21,input_settle_371100!L:R,7,FALSE),VLOOKUP(tables_settle_371100!C21,input_settle_371100!A:H,8,FALSE))</f>
        <v>0</v>
      </c>
      <c r="P21" s="46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input_settle_371100!A$2</f>
        <v>371100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IFERROR(VLOOKUP(B22,input_settle_371100!L:R,7,FALSE),VLOOKUP(tables_settle_371100!C22,input_settle_371100!A:H,8,FALSE))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input_settle_371100!A$2</f>
        <v>371100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IFERROR(VLOOKUP(B23,input_settle_371100!L:R,7,FALSE),VLOOKUP(tables_settle_371100!C23,input_settle_371100!A:H,8,FALSE))</f>
        <v>0</v>
      </c>
      <c r="P23" s="46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input_settle_371100!A$2</f>
        <v>371100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IFERROR(VLOOKUP(B24,input_settle_371100!L:R,7,FALSE),VLOOKUP(tables_settle_371100!C24,input_settle_371100!A:H,8,FALSE))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input_settle_371100!A$2</f>
        <v>371100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IFERROR(VLOOKUP(B25,input_settle_371100!L:R,7,FALSE),VLOOKUP(tables_settle_371100!C25,input_settle_371100!A:H,8,FALSE))</f>
        <v>0</v>
      </c>
      <c r="P25" s="46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input_settle_371100!A$2</f>
        <v>371100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IFERROR(VLOOKUP(B26,input_settle_371100!L:R,7,FALSE),VLOOKUP(tables_settle_371100!C26,input_settle_371100!A:H,8,FALSE))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input_settle_371100!A$2</f>
        <v>371100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IFERROR(VLOOKUP(B27,input_settle_371100!L:R,7,FALSE),VLOOKUP(tables_settle_371100!C27,input_settle_371100!A:H,8,FALSE))</f>
        <v>0</v>
      </c>
      <c r="P27" s="46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input_settle_371100!A$2</f>
        <v>371100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IFERROR(VLOOKUP(B28,input_settle_371100!L:R,7,FALSE),VLOOKUP(tables_settle_371100!C28,input_settle_371100!A:H,8,FALSE))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input_settle_371100!A$2</f>
        <v>371100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IFERROR(VLOOKUP(B29,input_settle_371100!L:R,7,FALSE),VLOOKUP(tables_settle_371100!C29,input_settle_371100!A:H,8,FALSE))</f>
        <v>0</v>
      </c>
      <c r="P29" s="46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input_settle_371100!A$2</f>
        <v>371100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IFERROR(VLOOKUP(B30,input_settle_371100!L:R,7,FALSE),VLOOKUP(tables_settle_371100!C30,input_settle_371100!A:H,8,FALSE))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input_settle_371100!A$2</f>
        <v>371100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IFERROR(VLOOKUP(B31,input_settle_371100!L:R,7,FALSE),VLOOKUP(tables_settle_371100!C31,input_settle_371100!A:H,8,FALSE))</f>
        <v>0</v>
      </c>
      <c r="P31" s="46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input_settle_371100!A$2</f>
        <v>371100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IFERROR(VLOOKUP(B32,input_settle_371100!L:R,7,FALSE),VLOOKUP(tables_settle_371100!C32,input_settle_371100!A:H,8,FALSE))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input_settle_371100!A$2</f>
        <v>371100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IFERROR(VLOOKUP(B33,input_settle_371100!L:R,7,FALSE),VLOOKUP(tables_settle_371100!C33,input_settle_371100!A:H,8,FALSE))</f>
        <v>0</v>
      </c>
      <c r="P33" s="46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input_settle_371100!A$2</f>
        <v>371100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IFERROR(VLOOKUP(B34,input_settle_371100!L:R,7,FALSE),VLOOKUP(tables_settle_371100!C34,input_settle_371100!A:H,8,FALSE))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input_settle_371100!A$2</f>
        <v>371100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IFERROR(VLOOKUP(B35,input_settle_371100!L:R,7,FALSE),VLOOKUP(tables_settle_371100!C35,input_settle_371100!A:H,8,FALSE))</f>
        <v>0</v>
      </c>
      <c r="P35" s="46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input_settle_371100!A$2</f>
        <v>371100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IFERROR(VLOOKUP(B36,input_settle_371100!L:R,7,FALSE),VLOOKUP(tables_settle_371100!C36,input_settle_371100!A:H,8,FALSE))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input_settle_371100!A$2</f>
        <v>371100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IFERROR(VLOOKUP(B37,input_settle_371100!L:R,7,FALSE),VLOOKUP(tables_settle_371100!C37,input_settle_371100!A:H,8,FALSE))</f>
        <v>0</v>
      </c>
      <c r="P37" s="46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input_settle_371100!A$2</f>
        <v>371100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IFERROR(VLOOKUP(B38,input_settle_371100!L:R,7,FALSE),VLOOKUP(tables_settle_371100!C38,input_settle_371100!A:H,8,FALSE))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input_settle_371100!A$2</f>
        <v>371100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IFERROR(VLOOKUP(B39,input_settle_371100!L:R,7,FALSE),VLOOKUP(tables_settle_371100!C39,input_settle_371100!A:H,8,FALSE))</f>
        <v>0</v>
      </c>
      <c r="P39" s="46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input_settle_371100!A$2</f>
        <v>371100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IFERROR(VLOOKUP(B40,input_settle_371100!L:R,7,FALSE),VLOOKUP(tables_settle_371100!C40,input_settle_371100!A:H,8,FALSE))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input_settle_371100!A$2</f>
        <v>371100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IFERROR(VLOOKUP(B41,input_settle_371100!L:R,7,FALSE),VLOOKUP(tables_settle_371100!C41,input_settle_371100!A:H,8,FALSE))</f>
        <v>0</v>
      </c>
      <c r="P41" s="46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input_settle_371100!A$2</f>
        <v>371100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IFERROR(VLOOKUP(B42,input_settle_371100!L:R,7,FALSE),VLOOKUP(tables_settle_371100!C42,input_settle_371100!A:H,8,FALSE))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input_settle_371100!A$2</f>
        <v>371100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IFERROR(VLOOKUP(B43,input_settle_371100!L:R,7,FALSE),VLOOKUP(tables_settle_371100!C43,input_settle_371100!A:H,8,FALSE))</f>
        <v>0</v>
      </c>
      <c r="P43" s="46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input_settle_371100!A$2</f>
        <v>371100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IFERROR(VLOOKUP(B44,input_settle_371100!L:R,7,FALSE),VLOOKUP(tables_settle_371100!C44,input_settle_371100!A:H,8,FALSE))</f>
        <v>9622.7999999999993</v>
      </c>
      <c r="P44" s="46">
        <f t="shared" ca="1" si="2"/>
        <v>6.9069767441860418E-4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input_settle_371100!A$2</f>
        <v>371100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IFERROR(VLOOKUP(B45,input_settle_371100!L:R,7,FALSE),VLOOKUP(tables_settle_371100!C45,input_settle_371100!A:H,8,FALSE))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input_settle_371100!A$2</f>
        <v>371100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IFERROR(VLOOKUP(B46,input_settle_371100!L:R,7,FALSE),VLOOKUP(tables_settle_371100!C46,input_settle_371100!A:H,8,FALSE))</f>
        <v>0</v>
      </c>
      <c r="P46" s="46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input_settle_371100!A$2</f>
        <v>371100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IFERROR(VLOOKUP(B47,input_settle_371100!L:R,7,FALSE),VLOOKUP(tables_settle_371100!C47,input_settle_371100!A:H,8,FALSE))</f>
        <v>9622.7999999999993</v>
      </c>
      <c r="P47" s="46">
        <f t="shared" ca="1" si="2"/>
        <v>6.9069767441860418E-4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input_settle_371100!A$2</f>
        <v>371100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IFERROR(VLOOKUP(B48,input_settle_371100!L:R,7,FALSE),VLOOKUP(tables_settle_371100!C48,input_settle_371100!A:H,8,FALSE))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input_settle_371100!A$2</f>
        <v>371100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IFERROR(VLOOKUP(B49,input_settle_371100!L:R,7,FALSE),VLOOKUP(tables_settle_371100!C49,input_settle_371100!A:H,8,FALSE))</f>
        <v>0</v>
      </c>
      <c r="P49" s="46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input_settle_371100!A$2</f>
        <v>371100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IFERROR(VLOOKUP(B50,input_settle_371100!L:R,7,FALSE),VLOOKUP(tables_settle_371100!C50,input_settle_371100!A:H,8,FALSE))</f>
        <v>9622.7999999999993</v>
      </c>
      <c r="P50" s="46">
        <f t="shared" ca="1" si="2"/>
        <v>6.9069767441860418E-4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input_settle_371100!A$2</f>
        <v>371100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IFERROR(VLOOKUP(B51,input_settle_371100!L:R,7,FALSE),VLOOKUP(tables_settle_371100!C51,input_settle_371100!A:H,8,FALSE))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input_settle_371100!A$2</f>
        <v>371100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IFERROR(VLOOKUP(B52,input_settle_371100!L:R,7,FALSE),VLOOKUP(tables_settle_371100!C52,input_settle_371100!A:H,8,FALSE))</f>
        <v>0</v>
      </c>
      <c r="P52" s="46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input_settle_371100!A$2</f>
        <v>371100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IFERROR(VLOOKUP(B53,input_settle_371100!L:R,7,FALSE),VLOOKUP(tables_settle_371100!C53,input_settle_371100!A:H,8,FALSE))</f>
        <v>149846.39999999999</v>
      </c>
      <c r="P53" s="46">
        <f t="shared" ca="1" si="2"/>
        <v>1.0755555555555549E-2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input_settle_371100!A$2</f>
        <v>371100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IFERROR(VLOOKUP(B54,input_settle_371100!L:R,7,FALSE),VLOOKUP(tables_settle_371100!C54,input_settle_371100!A:H,8,FALSE))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input_settle_371100!A$2</f>
        <v>371100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IFERROR(VLOOKUP(B55,input_settle_371100!L:R,7,FALSE),VLOOKUP(tables_settle_371100!C55,input_settle_371100!A:H,8,FALSE))</f>
        <v>0</v>
      </c>
      <c r="P55" s="46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input_settle_371100!A$2</f>
        <v>371100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IFERROR(VLOOKUP(B56,input_settle_371100!L:R,7,FALSE),VLOOKUP(tables_settle_371100!C56,input_settle_371100!A:H,8,FALSE))</f>
        <v>149846.39999999999</v>
      </c>
      <c r="P56" s="46">
        <f t="shared" ca="1" si="2"/>
        <v>1.0755555555555549E-2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input_settle_371100!A$2</f>
        <v>371100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IFERROR(VLOOKUP(B57,input_settle_371100!L:R,7,FALSE),VLOOKUP(tables_settle_371100!C57,input_settle_371100!A:H,8,FALSE))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input_settle_371100!A$2</f>
        <v>371100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IFERROR(VLOOKUP(B58,input_settle_371100!L:R,7,FALSE),VLOOKUP(tables_settle_371100!C58,input_settle_371100!A:H,8,FALSE))</f>
        <v>0</v>
      </c>
      <c r="P58" s="46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input_settle_371100!A$2</f>
        <v>371100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IFERROR(VLOOKUP(B59,input_settle_371100!L:R,7,FALSE),VLOOKUP(tables_settle_371100!C59,input_settle_371100!A:H,8,FALSE))</f>
        <v>149846.39999999999</v>
      </c>
      <c r="P59" s="46">
        <f t="shared" ca="1" si="2"/>
        <v>1.0755555555555549E-2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input_settle_371100!A$2</f>
        <v>371100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IFERROR(VLOOKUP(B60,input_settle_371100!L:R,7,FALSE),VLOOKUP(tables_settle_371100!C60,input_settle_371100!A:H,8,FALSE))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input_settle_371100!A$2</f>
        <v>371100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IFERROR(VLOOKUP(B61,input_settle_371100!L:R,7,FALSE),VLOOKUP(tables_settle_371100!C61,input_settle_371100!A:H,8,FALSE))</f>
        <v>0</v>
      </c>
      <c r="P61" s="46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input_settle_371100!A$2</f>
        <v>371100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IFERROR(VLOOKUP(B62,input_settle_371100!L:R,7,FALSE),VLOOKUP(tables_settle_371100!C62,input_settle_371100!A:H,8,FALSE))</f>
        <v>149846.39999999999</v>
      </c>
      <c r="P62" s="46">
        <f t="shared" ca="1" si="2"/>
        <v>1.0755555555555549E-2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input_settle_371100!A$2</f>
        <v>371100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IFERROR(VLOOKUP(B63,input_settle_371100!L:R,7,FALSE),VLOOKUP(tables_settle_371100!C63,input_settle_371100!A:H,8,FALSE))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input_settle_371100!A$2</f>
        <v>371100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IFERROR(VLOOKUP(B64,input_settle_371100!L:R,7,FALSE),VLOOKUP(tables_settle_371100!C64,input_settle_371100!A:H,8,FALSE))</f>
        <v>0</v>
      </c>
      <c r="P64" s="46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input_settle_371100!A$2</f>
        <v>371100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IFERROR(VLOOKUP(B65,input_settle_371100!L:R,7,FALSE),VLOOKUP(tables_settle_371100!C65,input_settle_371100!A:H,8,FALSE))</f>
        <v>149846.39999999999</v>
      </c>
      <c r="P65" s="46">
        <f t="shared" ca="1" si="2"/>
        <v>1.0755555555555549E-2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input_settle_371100!A$2</f>
        <v>371100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IFERROR(VLOOKUP(B66,input_settle_371100!L:R,7,FALSE),VLOOKUP(tables_settle_371100!C66,input_settle_371100!A:H,8,FALSE))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input_settle_371100!A$2</f>
        <v>371100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IFERROR(VLOOKUP(B67,input_settle_371100!L:R,7,FALSE),VLOOKUP(tables_settle_371100!C67,input_settle_371100!A:H,8,FALSE))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input_settle_371100!A$2</f>
        <v>371100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IFERROR(VLOOKUP(B68,input_settle_371100!L:R,7,FALSE),VLOOKUP(tables_settle_371100!C68,input_settle_371100!A:H,8,FALSE))</f>
        <v>149846.39999999999</v>
      </c>
      <c r="P68" s="46">
        <f t="shared" ca="1" si="5"/>
        <v>1.0755555555555549E-2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input_settle_371100!A$2</f>
        <v>371100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IFERROR(VLOOKUP(B69,input_settle_371100!L:R,7,FALSE),VLOOKUP(tables_settle_371100!C69,input_settle_371100!A:H,8,FALSE))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input_settle_371100!A$2</f>
        <v>371100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IFERROR(VLOOKUP(B70,input_settle_371100!L:R,7,FALSE),VLOOKUP(tables_settle_371100!C70,input_settle_371100!A:H,8,FALSE))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input_settle_371100!A$2</f>
        <v>371100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IFERROR(VLOOKUP(B71,input_settle_371100!L:R,7,FALSE),VLOOKUP(tables_settle_371100!C71,input_settle_371100!A:H,8,FALSE))</f>
        <v>149846.39999999999</v>
      </c>
      <c r="P71" s="46">
        <f t="shared" ca="1" si="5"/>
        <v>1.0755555555555549E-2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input_settle_371100!A$2</f>
        <v>371100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IFERROR(VLOOKUP(B72,input_settle_371100!L:R,7,FALSE),VLOOKUP(tables_settle_371100!C72,input_settle_371100!A:H,8,FALSE))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input_settle_371100!A$2</f>
        <v>371100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IFERROR(VLOOKUP(B73,input_settle_371100!L:R,7,FALSE),VLOOKUP(tables_settle_371100!C73,input_settle_371100!A:H,8,FALSE))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input_settle_371100!A$2</f>
        <v>371100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IFERROR(VLOOKUP(B74,input_settle_371100!L:R,7,FALSE),VLOOKUP(tables_settle_371100!C74,input_settle_371100!A:H,8,FALSE))</f>
        <v>149846.39999999999</v>
      </c>
      <c r="P74" s="46">
        <f t="shared" ca="1" si="5"/>
        <v>1.0755555555555549E-2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input_settle_371100!A$2</f>
        <v>371100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IFERROR(VLOOKUP(B75,input_settle_371100!L:R,7,FALSE),VLOOKUP(tables_settle_371100!C75,input_settle_371100!A:H,8,FALSE))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input_settle_371100!A$2</f>
        <v>371100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IFERROR(VLOOKUP(B76,input_settle_371100!L:R,7,FALSE),VLOOKUP(tables_settle_371100!C76,input_settle_371100!A:H,8,FALSE))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input_settle_371100!A$2</f>
        <v>371100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IFERROR(VLOOKUP(B77,input_settle_371100!L:R,7,FALSE),VLOOKUP(tables_settle_371100!C77,input_settle_371100!A:H,8,FALSE))</f>
        <v>149846.39999999999</v>
      </c>
      <c r="P77" s="46">
        <f t="shared" ca="1" si="5"/>
        <v>1.0755555555555549E-2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input_settle_371100!A$2</f>
        <v>371100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IFERROR(VLOOKUP(B78,input_settle_371100!L:R,7,FALSE),VLOOKUP(tables_settle_371100!C78,input_settle_371100!A:H,8,FALSE))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input_settle_371100!A$2</f>
        <v>371100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IFERROR(VLOOKUP(B79,input_settle_371100!L:R,7,FALSE),VLOOKUP(tables_settle_371100!C79,input_settle_371100!A:H,8,FALSE))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input_settle_371100!A$2</f>
        <v>371100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IFERROR(VLOOKUP(B80,input_settle_371100!L:R,7,FALSE),VLOOKUP(tables_settle_371100!C80,input_settle_371100!A:H,8,FALSE))</f>
        <v>149846.39999999999</v>
      </c>
      <c r="P80" s="46">
        <f t="shared" ca="1" si="5"/>
        <v>1.0755555555555549E-2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input_settle_371100!A$2</f>
        <v>371100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IFERROR(VLOOKUP(B81,input_settle_371100!L:R,7,FALSE),VLOOKUP(tables_settle_371100!C81,input_settle_371100!A:H,8,FALSE))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input_settle_371100!A$2</f>
        <v>371100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IFERROR(VLOOKUP(B82,input_settle_371100!L:R,7,FALSE),VLOOKUP(tables_settle_371100!C82,input_settle_371100!A:H,8,FALSE))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input_settle_371100!A$2</f>
        <v>371100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IFERROR(VLOOKUP(B83,input_settle_371100!L:R,7,FALSE),VLOOKUP(tables_settle_371100!C83,input_settle_371100!A:H,8,FALSE))</f>
        <v>149846.39999999999</v>
      </c>
      <c r="P83" s="46">
        <f t="shared" ca="1" si="5"/>
        <v>1.0755555555555549E-2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input_settle_371100!A$2</f>
        <v>371100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IFERROR(VLOOKUP(B84,input_settle_371100!L:R,7,FALSE),VLOOKUP(tables_settle_371100!C84,input_settle_371100!A:H,8,FALSE))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input_settle_371100!A$2</f>
        <v>371100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IFERROR(VLOOKUP(B85,input_settle_371100!L:R,7,FALSE),VLOOKUP(tables_settle_371100!C85,input_settle_371100!A:H,8,FALSE))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input_settle_371100!A$2</f>
        <v>371100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IFERROR(VLOOKUP(B86,input_settle_371100!L:R,7,FALSE),VLOOKUP(tables_settle_371100!C86,input_settle_371100!A:H,8,FALSE))</f>
        <v>149846.39999999999</v>
      </c>
      <c r="P86" s="46">
        <f t="shared" ca="1" si="5"/>
        <v>1.0755555555555549E-2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input_settle_371100!A$2</f>
        <v>371100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IFERROR(VLOOKUP(B87,input_settle_371100!L:R,7,FALSE),VLOOKUP(tables_settle_371100!C87,input_settle_371100!A:H,8,FALSE))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input_settle_371100!A$2</f>
        <v>371100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IFERROR(VLOOKUP(B88,input_settle_371100!L:R,7,FALSE),VLOOKUP(tables_settle_371100!C88,input_settle_371100!A:H,8,FALSE))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input_settle_371100!A$2</f>
        <v>371100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IFERROR(VLOOKUP(B89,input_settle_371100!L:R,7,FALSE),VLOOKUP(tables_settle_371100!C89,input_settle_371100!A:H,8,FALSE))</f>
        <v>149846.39999999999</v>
      </c>
      <c r="P89" s="46">
        <f t="shared" ca="1" si="5"/>
        <v>1.0755555555555549E-2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input_settle_371100!A$2</f>
        <v>371100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IFERROR(VLOOKUP(B90,input_settle_371100!L:R,7,FALSE),VLOOKUP(tables_settle_371100!C90,input_settle_371100!A:H,8,FALSE))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input_settle_371100!A$2</f>
        <v>371100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IFERROR(VLOOKUP(B91,input_settle_371100!L:R,7,FALSE),VLOOKUP(tables_settle_371100!C91,input_settle_371100!A:H,8,FALSE))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input_settle_371100!A$2</f>
        <v>371100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IFERROR(VLOOKUP(B92,input_settle_371100!L:R,7,FALSE),VLOOKUP(tables_settle_371100!C92,input_settle_371100!A:H,8,FALSE))</f>
        <v>149846.39999999999</v>
      </c>
      <c r="P92" s="46">
        <f t="shared" ca="1" si="5"/>
        <v>1.0755555555555549E-2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input_settle_371100!A$2</f>
        <v>371100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IFERROR(VLOOKUP(B93,input_settle_371100!L:R,7,FALSE),VLOOKUP(tables_settle_371100!C93,input_settle_371100!A:H,8,FALSE))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input_settle_371100!A$2</f>
        <v>371100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IFERROR(VLOOKUP(B94,input_settle_371100!L:R,7,FALSE),VLOOKUP(tables_settle_371100!C94,input_settle_371100!A:H,8,FALSE))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input_settle_371100!A$2</f>
        <v>371100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IFERROR(VLOOKUP(B95,input_settle_371100!L:R,7,FALSE),VLOOKUP(tables_settle_371100!C95,input_settle_371100!A:H,8,FALSE))</f>
        <v>149846.39999999999</v>
      </c>
      <c r="P95" s="46">
        <f t="shared" ca="1" si="5"/>
        <v>1.0755555555555549E-2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input_settle_371100!A$2</f>
        <v>371100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IFERROR(VLOOKUP(B96,input_settle_371100!L:R,7,FALSE),VLOOKUP(tables_settle_371100!C96,input_settle_371100!A:H,8,FALSE))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input_settle_371100!A$2</f>
        <v>371100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IFERROR(VLOOKUP(B97,input_settle_371100!L:R,7,FALSE),VLOOKUP(tables_settle_371100!C97,input_settle_371100!A:H,8,FALSE))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input_settle_371100!A$2</f>
        <v>371100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IFERROR(VLOOKUP(B98,input_settle_371100!L:R,7,FALSE),VLOOKUP(tables_settle_371100!C98,input_settle_371100!A:H,8,FALSE))</f>
        <v>149846.39999999999</v>
      </c>
      <c r="P98" s="46">
        <f t="shared" ca="1" si="5"/>
        <v>1.0755555555555549E-2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input_settle_371100!A$2</f>
        <v>371100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IFERROR(VLOOKUP(B99,input_settle_371100!L:R,7,FALSE),VLOOKUP(tables_settle_371100!C99,input_settle_371100!A:H,8,FALSE))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input_settle_371100!A$2</f>
        <v>371100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IFERROR(VLOOKUP(B100,input_settle_371100!L:R,7,FALSE),VLOOKUP(tables_settle_371100!C100,input_settle_371100!A:H,8,FALSE))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input_settle_371100!A$2</f>
        <v>371100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IFERROR(VLOOKUP(B101,input_settle_371100!L:R,7,FALSE),VLOOKUP(tables_settle_371100!C101,input_settle_371100!A:H,8,FALSE))</f>
        <v>149846.39999999999</v>
      </c>
      <c r="P101" s="46">
        <f t="shared" ca="1" si="5"/>
        <v>1.0755555555555549E-2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input_settle_371100!A$2</f>
        <v>371100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IFERROR(VLOOKUP(B102,input_settle_371100!L:R,7,FALSE),VLOOKUP(tables_settle_371100!C102,input_settle_371100!A:H,8,FALSE))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input_settle_371100!A$2</f>
        <v>371100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IFERROR(VLOOKUP(B103,input_settle_371100!L:R,7,FALSE),VLOOKUP(tables_settle_371100!C103,input_settle_371100!A:H,8,FALSE))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input_settle_371100!A$2</f>
        <v>371100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IFERROR(VLOOKUP(B104,input_settle_371100!L:R,7,FALSE),VLOOKUP(tables_settle_371100!C104,input_settle_371100!A:H,8,FALSE))</f>
        <v>149846.39999999999</v>
      </c>
      <c r="P104" s="46">
        <f t="shared" ca="1" si="5"/>
        <v>1.0755555555555549E-2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input_settle_371100!A$2</f>
        <v>371100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IFERROR(VLOOKUP(B105,input_settle_371100!L:R,7,FALSE),VLOOKUP(tables_settle_371100!C105,input_settle_371100!A:H,8,FALSE))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input_settle_371100!A$2</f>
        <v>371100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IFERROR(VLOOKUP(B106,input_settle_371100!L:R,7,FALSE),VLOOKUP(tables_settle_371100!C106,input_settle_371100!A:H,8,FALSE))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input_settle_371100!A$2</f>
        <v>371100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IFERROR(VLOOKUP(B107,input_settle_371100!L:R,7,FALSE),VLOOKUP(tables_settle_371100!C107,input_settle_371100!A:H,8,FALSE))</f>
        <v>149846.39999999999</v>
      </c>
      <c r="P107" s="46">
        <f t="shared" ca="1" si="5"/>
        <v>1.0755555555555549E-2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input_settle_371100!A$2</f>
        <v>371100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IFERROR(VLOOKUP(B108,input_settle_371100!L:R,7,FALSE),VLOOKUP(tables_settle_371100!C108,input_settle_371100!A:H,8,FALSE))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input_settle_371100!A$2</f>
        <v>371100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IFERROR(VLOOKUP(B109,input_settle_371100!L:R,7,FALSE),VLOOKUP(tables_settle_371100!C109,input_settle_371100!A:H,8,FALSE))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input_settle_371100!A$2</f>
        <v>371100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IFERROR(VLOOKUP(B110,input_settle_371100!L:R,7,FALSE),VLOOKUP(tables_settle_371100!C110,input_settle_371100!A:H,8,FALSE))</f>
        <v>149846.39999999999</v>
      </c>
      <c r="P110" s="46">
        <f t="shared" ca="1" si="5"/>
        <v>1.0755555555555549E-2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input_settle_371100!A$2</f>
        <v>371100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IFERROR(VLOOKUP(B111,input_settle_371100!L:R,7,FALSE),VLOOKUP(tables_settle_371100!C111,input_settle_371100!A:H,8,FALSE))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input_settle_371100!A$2</f>
        <v>371100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IFERROR(VLOOKUP(B112,input_settle_371100!L:R,7,FALSE),VLOOKUP(tables_settle_371100!C112,input_settle_371100!A:H,8,FALSE))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input_settle_371100!A$2</f>
        <v>371100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IFERROR(VLOOKUP(B113,input_settle_371100!L:R,7,FALSE),VLOOKUP(tables_settle_371100!C113,input_settle_371100!A:H,8,FALSE))</f>
        <v>9622.7999999999993</v>
      </c>
      <c r="P113" s="46">
        <f t="shared" ca="1" si="5"/>
        <v>6.9069767441860418E-4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input_settle_371100!A$2</f>
        <v>371100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IFERROR(VLOOKUP(B114,input_settle_371100!L:R,7,FALSE),VLOOKUP(tables_settle_371100!C114,input_settle_371100!A:H,8,FALSE))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input_settle_371100!A$2</f>
        <v>371100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IFERROR(VLOOKUP(B115,input_settle_371100!L:R,7,FALSE),VLOOKUP(tables_settle_371100!C115,input_settle_371100!A:H,8,FALSE))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input_settle_371100!A$2</f>
        <v>371100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IFERROR(VLOOKUP(B116,input_settle_371100!L:R,7,FALSE),VLOOKUP(tables_settle_371100!C116,input_settle_371100!A:H,8,FALSE))</f>
        <v>149846.39999999999</v>
      </c>
      <c r="P116" s="46">
        <f t="shared" ca="1" si="5"/>
        <v>1.0755555555555549E-2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input_settle_371100!A$2</f>
        <v>371100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IFERROR(VLOOKUP(B117,input_settle_371100!L:R,7,FALSE),VLOOKUP(tables_settle_371100!C117,input_settle_371100!A:H,8,FALSE))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input_settle_371100!A$2</f>
        <v>371100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IFERROR(VLOOKUP(B118,input_settle_371100!L:R,7,FALSE),VLOOKUP(tables_settle_371100!C118,input_settle_371100!A:H,8,FALSE))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input_settle_371100!A$2</f>
        <v>371100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IFERROR(VLOOKUP(B119,input_settle_371100!L:R,7,FALSE),VLOOKUP(tables_settle_371100!C119,input_settle_371100!A:H,8,FALSE))</f>
        <v>149846.39999999999</v>
      </c>
      <c r="P119" s="46">
        <f t="shared" ca="1" si="5"/>
        <v>1.0755555555555549E-2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input_settle_371100!A$2</f>
        <v>371100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IFERROR(VLOOKUP(B120,input_settle_371100!L:R,7,FALSE),VLOOKUP(tables_settle_371100!C120,input_settle_371100!A:H,8,FALSE))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input_settle_371100!A$2</f>
        <v>371100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IFERROR(VLOOKUP(B121,input_settle_371100!L:R,7,FALSE),VLOOKUP(tables_settle_371100!C121,input_settle_371100!A:H,8,FALSE))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input_settle_371100!A$2</f>
        <v>371100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IFERROR(VLOOKUP(B122,input_settle_371100!L:R,7,FALSE),VLOOKUP(tables_settle_371100!C122,input_settle_371100!A:H,8,FALSE))</f>
        <v>149846.39999999999</v>
      </c>
      <c r="P122" s="46">
        <f t="shared" ca="1" si="5"/>
        <v>1.0755555555555549E-2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input_settle_371100!A$2</f>
        <v>371100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IFERROR(VLOOKUP(B123,input_settle_371100!L:R,7,FALSE),VLOOKUP(tables_settle_371100!C123,input_settle_371100!A:H,8,FALSE))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input_settle_371100!A$2</f>
        <v>371100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IFERROR(VLOOKUP(B124,input_settle_371100!L:R,7,FALSE),VLOOKUP(tables_settle_371100!C124,input_settle_371100!A:H,8,FALSE))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input_settle_371100!A$2</f>
        <v>371100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IFERROR(VLOOKUP(B125,input_settle_371100!L:R,7,FALSE),VLOOKUP(tables_settle_371100!C125,input_settle_371100!A:H,8,FALSE))</f>
        <v>149846.39999999999</v>
      </c>
      <c r="P125" s="46">
        <f t="shared" ca="1" si="5"/>
        <v>1.0755555555555549E-2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input_settle_371100!A$2</f>
        <v>371100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IFERROR(VLOOKUP(B126,input_settle_371100!L:R,7,FALSE),VLOOKUP(tables_settle_371100!C126,input_settle_371100!A:H,8,FALSE))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input_settle_371100!A$2</f>
        <v>371100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IFERROR(VLOOKUP(B127,input_settle_371100!L:R,7,FALSE),VLOOKUP(tables_settle_371100!C127,input_settle_371100!A:H,8,FALSE))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input_settle_371100!A$2</f>
        <v>371100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IFERROR(VLOOKUP(B128,input_settle_371100!L:R,7,FALSE),VLOOKUP(tables_settle_371100!C128,input_settle_371100!A:H,8,FALSE))</f>
        <v>149846.39999999999</v>
      </c>
      <c r="P128" s="46">
        <f t="shared" ca="1" si="5"/>
        <v>1.0755555555555549E-2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input_settle_371100!A$2</f>
        <v>371100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IFERROR(VLOOKUP(B129,input_settle_371100!L:R,7,FALSE),VLOOKUP(tables_settle_371100!C129,input_settle_371100!A:H,8,FALSE))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input_settle_371100!A$2</f>
        <v>371100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IFERROR(VLOOKUP(B130,input_settle_371100!L:R,7,FALSE),VLOOKUP(tables_settle_371100!C130,input_settle_371100!A:H,8,FALSE))</f>
        <v>0</v>
      </c>
      <c r="P130" s="46">
        <f t="shared" ref="P130:P193" ca="1" si="8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input_settle_371100!A$2</f>
        <v>371100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IFERROR(VLOOKUP(B131,input_settle_371100!L:R,7,FALSE),VLOOKUP(tables_settle_371100!C131,input_settle_371100!A:H,8,FALSE))</f>
        <v>149846.39999999999</v>
      </c>
      <c r="P131" s="46">
        <f t="shared" ca="1" si="8"/>
        <v>1.0755555555555549E-2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input_settle_371100!A$2</f>
        <v>371100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IFERROR(VLOOKUP(B132,input_settle_371100!L:R,7,FALSE),VLOOKUP(tables_settle_371100!C132,input_settle_371100!A:H,8,FALSE))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input_settle_371100!A$2</f>
        <v>371100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IFERROR(VLOOKUP(B133,input_settle_371100!L:R,7,FALSE),VLOOKUP(tables_settle_371100!C133,input_settle_371100!A:H,8,FALSE))</f>
        <v>0</v>
      </c>
      <c r="P133" s="46">
        <f t="shared" ca="1" si="8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input_settle_371100!A$2</f>
        <v>371100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IFERROR(VLOOKUP(B134,input_settle_371100!L:R,7,FALSE),VLOOKUP(tables_settle_371100!C134,input_settle_371100!A:H,8,FALSE))</f>
        <v>149846.39999999999</v>
      </c>
      <c r="P134" s="46">
        <f t="shared" ca="1" si="8"/>
        <v>1.0755555555555549E-2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input_settle_371100!A$2</f>
        <v>371100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IFERROR(VLOOKUP(B135,input_settle_371100!L:R,7,FALSE),VLOOKUP(tables_settle_371100!C135,input_settle_371100!A:H,8,FALSE))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input_settle_371100!A$2</f>
        <v>371100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IFERROR(VLOOKUP(B136,input_settle_371100!L:R,7,FALSE),VLOOKUP(tables_settle_371100!C136,input_settle_371100!A:H,8,FALSE))</f>
        <v>0</v>
      </c>
      <c r="P136" s="46">
        <f t="shared" ca="1" si="8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input_settle_371100!A$2</f>
        <v>371100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IFERROR(VLOOKUP(B137,input_settle_371100!L:R,7,FALSE),VLOOKUP(tables_settle_371100!C137,input_settle_371100!A:H,8,FALSE))</f>
        <v>149846.39999999999</v>
      </c>
      <c r="P137" s="46">
        <f t="shared" ca="1" si="8"/>
        <v>1.0755555555555549E-2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input_settle_371100!A$2</f>
        <v>371100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IFERROR(VLOOKUP(B138,input_settle_371100!L:R,7,FALSE),VLOOKUP(tables_settle_371100!C138,input_settle_371100!A:H,8,FALSE))</f>
        <v>0</v>
      </c>
      <c r="P138" s="46">
        <f t="shared" ca="1" si="8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input_settle_371100!A$2</f>
        <v>371100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IFERROR(VLOOKUP(B139,input_settle_371100!L:R,7,FALSE),VLOOKUP(tables_settle_371100!C139,input_settle_371100!A:H,8,FALSE))</f>
        <v>9622.7999999999993</v>
      </c>
      <c r="P139" s="46">
        <f t="shared" ca="1" si="8"/>
        <v>6.9069767441860418E-4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input_settle_371100!A$2</f>
        <v>371100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IFERROR(VLOOKUP(B140,input_settle_371100!L:R,7,FALSE),VLOOKUP(tables_settle_371100!C140,input_settle_371100!A:H,8,FALSE))</f>
        <v>0</v>
      </c>
      <c r="P140" s="46">
        <f t="shared" ca="1" si="8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input_settle_371100!A$2</f>
        <v>371100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IFERROR(VLOOKUP(B141,input_settle_371100!L:R,7,FALSE),VLOOKUP(tables_settle_371100!C141,input_settle_371100!A:H,8,FALSE))</f>
        <v>9622.7999999999993</v>
      </c>
      <c r="P141" s="46">
        <f t="shared" ca="1" si="8"/>
        <v>6.9069767441860418E-4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input_settle_371100!A$2</f>
        <v>371100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IFERROR(VLOOKUP(B142,input_settle_371100!L:R,7,FALSE),VLOOKUP(tables_settle_371100!C142,input_settle_371100!A:H,8,FALSE))</f>
        <v>0</v>
      </c>
      <c r="P142" s="46">
        <f t="shared" ca="1" si="8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input_settle_371100!A$2</f>
        <v>371100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IFERROR(VLOOKUP(B143,input_settle_371100!L:R,7,FALSE),VLOOKUP(tables_settle_371100!C143,input_settle_371100!A:H,8,FALSE))</f>
        <v>9622.7999999999993</v>
      </c>
      <c r="P143" s="46">
        <f t="shared" ca="1" si="8"/>
        <v>6.9069767441860418E-4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input_settle_371100!A$2</f>
        <v>371100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IFERROR(VLOOKUP(B144,input_settle_371100!L:R,7,FALSE),VLOOKUP(tables_settle_371100!C144,input_settle_371100!A:H,8,FALSE))</f>
        <v>0</v>
      </c>
      <c r="P144" s="46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input_settle_371100!A$2</f>
        <v>371100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IFERROR(VLOOKUP(B145,input_settle_371100!L:R,7,FALSE),VLOOKUP(tables_settle_371100!C145,input_settle_371100!A:H,8,FALSE))</f>
        <v>9622.7999999999993</v>
      </c>
      <c r="P145" s="46">
        <f t="shared" ca="1" si="8"/>
        <v>6.9069767441860418E-4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input_settle_371100!A$2</f>
        <v>371100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IFERROR(VLOOKUP(B146,input_settle_371100!L:R,7,FALSE),VLOOKUP(tables_settle_371100!C146,input_settle_371100!A:H,8,FALSE))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input_settle_371100!A$2</f>
        <v>371100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IFERROR(VLOOKUP(B147,input_settle_371100!L:R,7,FALSE),VLOOKUP(tables_settle_371100!C147,input_settle_371100!A:H,8,FALSE))</f>
        <v>0</v>
      </c>
      <c r="P147" s="46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input_settle_371100!A$2</f>
        <v>371100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IFERROR(VLOOKUP(B148,input_settle_371100!L:R,7,FALSE),VLOOKUP(tables_settle_371100!C148,input_settle_371100!A:H,8,FALSE))</f>
        <v>149846.39999999999</v>
      </c>
      <c r="P148" s="46">
        <f t="shared" ca="1" si="8"/>
        <v>1.0755555555555549E-2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input_settle_371100!A$2</f>
        <v>371100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IFERROR(VLOOKUP(B149,input_settle_371100!L:R,7,FALSE),VLOOKUP(tables_settle_371100!C149,input_settle_371100!A:H,8,FALSE))</f>
        <v>0</v>
      </c>
      <c r="P149" s="46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input_settle_371100!A$2</f>
        <v>371100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IFERROR(VLOOKUP(B150,input_settle_371100!L:R,7,FALSE),VLOOKUP(tables_settle_371100!C150,input_settle_371100!A:H,8,FALSE))</f>
        <v>9622.7999999999993</v>
      </c>
      <c r="P150" s="46">
        <f t="shared" ca="1" si="8"/>
        <v>6.9069767441860418E-4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input_settle_371100!A$2</f>
        <v>371100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IFERROR(VLOOKUP(B151,input_settle_371100!L:R,7,FALSE),VLOOKUP(tables_settle_371100!C151,input_settle_371100!A:H,8,FALSE))</f>
        <v>0</v>
      </c>
      <c r="P151" s="46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input_settle_371100!A$2</f>
        <v>371100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IFERROR(VLOOKUP(B152,input_settle_371100!L:R,7,FALSE),VLOOKUP(tables_settle_371100!C152,input_settle_371100!A:H,8,FALSE))</f>
        <v>9622.7999999999993</v>
      </c>
      <c r="P152" s="46">
        <f t="shared" ca="1" si="8"/>
        <v>6.9069767441860418E-4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input_settle_371100!A$2</f>
        <v>371100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IFERROR(VLOOKUP(B153,input_settle_371100!L:R,7,FALSE),VLOOKUP(tables_settle_371100!C153,input_settle_371100!A:H,8,FALSE))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input_settle_371100!A$2</f>
        <v>371100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IFERROR(VLOOKUP(B154,input_settle_371100!L:R,7,FALSE),VLOOKUP(tables_settle_371100!C154,input_settle_371100!A:H,8,FALSE))</f>
        <v>0</v>
      </c>
      <c r="P154" s="46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input_settle_371100!A$2</f>
        <v>371100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IFERROR(VLOOKUP(B155,input_settle_371100!L:R,7,FALSE),VLOOKUP(tables_settle_371100!C155,input_settle_371100!A:H,8,FALSE))</f>
        <v>149846.39999999999</v>
      </c>
      <c r="P155" s="46">
        <f t="shared" ca="1" si="8"/>
        <v>1.0755555555555549E-2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input_settle_371100!A$2</f>
        <v>371100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IFERROR(VLOOKUP(B156,input_settle_371100!L:R,7,FALSE),VLOOKUP(tables_settle_371100!C156,input_settle_371100!A:H,8,FALSE))</f>
        <v>0</v>
      </c>
      <c r="P156" s="46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input_settle_371100!A$2</f>
        <v>371100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IFERROR(VLOOKUP(B157,input_settle_371100!L:R,7,FALSE),VLOOKUP(tables_settle_371100!C157,input_settle_371100!A:H,8,FALSE))</f>
        <v>9622.7999999999993</v>
      </c>
      <c r="P157" s="46">
        <f t="shared" ca="1" si="8"/>
        <v>6.9069767441860418E-4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input_settle_371100!A$2</f>
        <v>371100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IFERROR(VLOOKUP(B158,input_settle_371100!L:R,7,FALSE),VLOOKUP(tables_settle_371100!C158,input_settle_371100!A:H,8,FALSE))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input_settle_371100!A$2</f>
        <v>371100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IFERROR(VLOOKUP(B159,input_settle_371100!L:R,7,FALSE),VLOOKUP(tables_settle_371100!C159,input_settle_371100!A:H,8,FALSE))</f>
        <v>0</v>
      </c>
      <c r="P159" s="46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input_settle_371100!A$2</f>
        <v>371100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IFERROR(VLOOKUP(B160,input_settle_371100!L:R,7,FALSE),VLOOKUP(tables_settle_371100!C160,input_settle_371100!A:H,8,FALSE))</f>
        <v>149846.39999999999</v>
      </c>
      <c r="P160" s="46">
        <f t="shared" ca="1" si="8"/>
        <v>1.0755555555555549E-2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input_settle_371100!A$2</f>
        <v>371100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IFERROR(VLOOKUP(B161,input_settle_371100!L:R,7,FALSE),VLOOKUP(tables_settle_371100!C161,input_settle_371100!A:H,8,FALSE))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input_settle_371100!A$2</f>
        <v>371100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IFERROR(VLOOKUP(B162,input_settle_371100!L:R,7,FALSE),VLOOKUP(tables_settle_371100!C162,input_settle_371100!A:H,8,FALSE))</f>
        <v>0</v>
      </c>
      <c r="P162" s="46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input_settle_371100!A$2</f>
        <v>371100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IFERROR(VLOOKUP(B163,input_settle_371100!L:R,7,FALSE),VLOOKUP(tables_settle_371100!C163,input_settle_371100!A:H,8,FALSE))</f>
        <v>149846.39999999999</v>
      </c>
      <c r="P163" s="46">
        <f t="shared" ca="1" si="8"/>
        <v>1.0755555555555549E-2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input_settle_371100!A$2</f>
        <v>371100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IFERROR(VLOOKUP(B164,input_settle_371100!L:R,7,FALSE),VLOOKUP(tables_settle_371100!C164,input_settle_371100!A:H,8,FALSE))</f>
        <v>0</v>
      </c>
      <c r="P164" s="46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input_settle_371100!A$2</f>
        <v>371100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IFERROR(VLOOKUP(B165,input_settle_371100!L:R,7,FALSE),VLOOKUP(tables_settle_371100!C165,input_settle_371100!A:H,8,FALSE))</f>
        <v>9622.7999999999993</v>
      </c>
      <c r="P165" s="46">
        <f t="shared" ca="1" si="8"/>
        <v>6.9069767441860418E-4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input_settle_371100!A$2</f>
        <v>371100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IFERROR(VLOOKUP(B166,input_settle_371100!L:R,7,FALSE),VLOOKUP(tables_settle_371100!C166,input_settle_371100!A:H,8,FALSE))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input_settle_371100!A$2</f>
        <v>371100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IFERROR(VLOOKUP(B167,input_settle_371100!L:R,7,FALSE),VLOOKUP(tables_settle_371100!C167,input_settle_371100!A:H,8,FALSE))</f>
        <v>0</v>
      </c>
      <c r="P167" s="46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input_settle_371100!A$2</f>
        <v>371100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IFERROR(VLOOKUP(B168,input_settle_371100!L:R,7,FALSE),VLOOKUP(tables_settle_371100!C168,input_settle_371100!A:H,8,FALSE))</f>
        <v>149846.39999999999</v>
      </c>
      <c r="P168" s="46">
        <f t="shared" ca="1" si="8"/>
        <v>1.0755555555555549E-2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input_settle_371100!A$2</f>
        <v>371100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IFERROR(VLOOKUP(B169,input_settle_371100!L:R,7,FALSE),VLOOKUP(tables_settle_371100!C169,input_settle_371100!A:H,8,FALSE))</f>
        <v>0</v>
      </c>
      <c r="P169" s="46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input_settle_371100!A$2</f>
        <v>371100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IFERROR(VLOOKUP(B170,input_settle_371100!L:R,7,FALSE),VLOOKUP(tables_settle_371100!C170,input_settle_371100!A:H,8,FALSE))</f>
        <v>9622.7999999999993</v>
      </c>
      <c r="P170" s="46">
        <f t="shared" ca="1" si="8"/>
        <v>6.9069767441860418E-4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input_settle_371100!A$2</f>
        <v>371100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IFERROR(VLOOKUP(B171,input_settle_371100!L:R,7,FALSE),VLOOKUP(tables_settle_371100!C171,input_settle_371100!A:H,8,FALSE))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input_settle_371100!A$2</f>
        <v>371100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IFERROR(VLOOKUP(B172,input_settle_371100!L:R,7,FALSE),VLOOKUP(tables_settle_371100!C172,input_settle_371100!A:H,8,FALSE))</f>
        <v>0</v>
      </c>
      <c r="P172" s="46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input_settle_371100!A$2</f>
        <v>371100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IFERROR(VLOOKUP(B173,input_settle_371100!L:R,7,FALSE),VLOOKUP(tables_settle_371100!C173,input_settle_371100!A:H,8,FALSE))</f>
        <v>149846.39999999999</v>
      </c>
      <c r="P173" s="46">
        <f t="shared" ca="1" si="8"/>
        <v>1.0755555555555549E-2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input_settle_371100!A$2</f>
        <v>371100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IFERROR(VLOOKUP(B174,input_settle_371100!L:R,7,FALSE),VLOOKUP(tables_settle_371100!C174,input_settle_371100!A:H,8,FALSE))</f>
        <v>0</v>
      </c>
      <c r="P174" s="46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input_settle_371100!A$2</f>
        <v>371100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IFERROR(VLOOKUP(B175,input_settle_371100!L:R,7,FALSE),VLOOKUP(tables_settle_371100!C175,input_settle_371100!A:H,8,FALSE))</f>
        <v>9622.7999999999993</v>
      </c>
      <c r="P175" s="46">
        <f t="shared" ca="1" si="8"/>
        <v>6.9069767441860418E-4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input_settle_371100!A$2</f>
        <v>371100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IFERROR(VLOOKUP(B176,input_settle_371100!L:R,7,FALSE),VLOOKUP(tables_settle_371100!C176,input_settle_371100!A:H,8,FALSE))</f>
        <v>0</v>
      </c>
      <c r="P176" s="46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input_settle_371100!A$2</f>
        <v>371100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IFERROR(VLOOKUP(B177,input_settle_371100!L:R,7,FALSE),VLOOKUP(tables_settle_371100!C177,input_settle_371100!A:H,8,FALSE))</f>
        <v>9622.7999999999993</v>
      </c>
      <c r="P177" s="46">
        <f t="shared" ca="1" si="8"/>
        <v>6.9069767441860418E-4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input_settle_371100!A$2</f>
        <v>371100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IFERROR(VLOOKUP(B178,input_settle_371100!L:R,7,FALSE),VLOOKUP(tables_settle_371100!C178,input_settle_371100!A:H,8,FALSE))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input_settle_371100!A$2</f>
        <v>371100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IFERROR(VLOOKUP(B179,input_settle_371100!L:R,7,FALSE),VLOOKUP(tables_settle_371100!C179,input_settle_371100!A:H,8,FALSE))</f>
        <v>0</v>
      </c>
      <c r="P179" s="46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input_settle_371100!A$2</f>
        <v>371100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IFERROR(VLOOKUP(B180,input_settle_371100!L:R,7,FALSE),VLOOKUP(tables_settle_371100!C180,input_settle_371100!A:H,8,FALSE))</f>
        <v>149846.39999999999</v>
      </c>
      <c r="P180" s="46">
        <f t="shared" ca="1" si="8"/>
        <v>1.0755555555555549E-2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input_settle_371100!A$2</f>
        <v>371100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IFERROR(VLOOKUP(B181,input_settle_371100!L:R,7,FALSE),VLOOKUP(tables_settle_371100!C181,input_settle_371100!A:H,8,FALSE))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input_settle_371100!A$2</f>
        <v>371100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IFERROR(VLOOKUP(B182,input_settle_371100!L:R,7,FALSE),VLOOKUP(tables_settle_371100!C182,input_settle_371100!A:H,8,FALSE))</f>
        <v>0</v>
      </c>
      <c r="P182" s="46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input_settle_371100!A$2</f>
        <v>371100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IFERROR(VLOOKUP(B183,input_settle_371100!L:R,7,FALSE),VLOOKUP(tables_settle_371100!C183,input_settle_371100!A:H,8,FALSE))</f>
        <v>149846.39999999999</v>
      </c>
      <c r="P183" s="46">
        <f t="shared" ca="1" si="8"/>
        <v>1.0755555555555549E-2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input_settle_371100!A$2</f>
        <v>371100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IFERROR(VLOOKUP(B184,input_settle_371100!L:R,7,FALSE),VLOOKUP(tables_settle_371100!C184,input_settle_371100!A:H,8,FALSE))</f>
        <v>0</v>
      </c>
      <c r="P184" s="46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input_settle_371100!A$2</f>
        <v>371100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IFERROR(VLOOKUP(B185,input_settle_371100!L:R,7,FALSE),VLOOKUP(tables_settle_371100!C185,input_settle_371100!A:H,8,FALSE))</f>
        <v>9622.7999999999993</v>
      </c>
      <c r="P185" s="46">
        <f t="shared" ca="1" si="8"/>
        <v>6.9069767441860418E-4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input_settle_371100!A$2</f>
        <v>371100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IFERROR(VLOOKUP(B186,input_settle_371100!L:R,7,FALSE),VLOOKUP(tables_settle_371100!C186,input_settle_371100!A:H,8,FALSE))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input_settle_371100!A$2</f>
        <v>371100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IFERROR(VLOOKUP(B187,input_settle_371100!L:R,7,FALSE),VLOOKUP(tables_settle_371100!C187,input_settle_371100!A:H,8,FALSE))</f>
        <v>0</v>
      </c>
      <c r="P187" s="46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input_settle_371100!A$2</f>
        <v>371100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IFERROR(VLOOKUP(B188,input_settle_371100!L:R,7,FALSE),VLOOKUP(tables_settle_371100!C188,input_settle_371100!A:H,8,FALSE))</f>
        <v>149846.39999999999</v>
      </c>
      <c r="P188" s="46">
        <f t="shared" ca="1" si="8"/>
        <v>1.0755555555555549E-2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input_settle_371100!A$2</f>
        <v>371100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IFERROR(VLOOKUP(B189,input_settle_371100!L:R,7,FALSE),VLOOKUP(tables_settle_371100!C189,input_settle_371100!A:H,8,FALSE))</f>
        <v>0</v>
      </c>
      <c r="P189" s="46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input_settle_371100!A$2</f>
        <v>371100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IFERROR(VLOOKUP(B190,input_settle_371100!L:R,7,FALSE),VLOOKUP(tables_settle_371100!C190,input_settle_371100!A:H,8,FALSE))</f>
        <v>9622.7999999999993</v>
      </c>
      <c r="P190" s="46">
        <f t="shared" ca="1" si="8"/>
        <v>6.9069767441860418E-4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input_settle_371100!A$2</f>
        <v>371100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IFERROR(VLOOKUP(B191,input_settle_371100!L:R,7,FALSE),VLOOKUP(tables_settle_371100!C191,input_settle_371100!A:H,8,FALSE))</f>
        <v>0</v>
      </c>
      <c r="P191" s="46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input_settle_371100!A$2</f>
        <v>371100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IFERROR(VLOOKUP(B192,input_settle_371100!L:R,7,FALSE),VLOOKUP(tables_settle_371100!C192,input_settle_371100!A:H,8,FALSE))</f>
        <v>9622.7999999999993</v>
      </c>
      <c r="P192" s="46">
        <f t="shared" ca="1" si="8"/>
        <v>6.9069767441860418E-4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input_settle_371100!A$2</f>
        <v>371100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IFERROR(VLOOKUP(B193,input_settle_371100!L:R,7,FALSE),VLOOKUP(tables_settle_371100!C193,input_settle_371100!A:H,8,FALSE))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input_settle_371100!A$2</f>
        <v>371100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IFERROR(VLOOKUP(B194,input_settle_371100!L:R,7,FALSE),VLOOKUP(tables_settle_371100!C194,input_settle_371100!A:H,8,FALSE))</f>
        <v>0</v>
      </c>
      <c r="P194" s="46">
        <f t="shared" ref="P194:P257" ca="1" si="1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input_settle_371100!A$2</f>
        <v>371100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IFERROR(VLOOKUP(B195,input_settle_371100!L:R,7,FALSE),VLOOKUP(tables_settle_371100!C195,input_settle_371100!A:H,8,FALSE))</f>
        <v>149846.39999999999</v>
      </c>
      <c r="P195" s="46">
        <f t="shared" ca="1" si="11"/>
        <v>1.0755555555555549E-2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input_settle_371100!A$2</f>
        <v>371100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IFERROR(VLOOKUP(B196,input_settle_371100!L:R,7,FALSE),VLOOKUP(tables_settle_371100!C196,input_settle_371100!A:H,8,FALSE))</f>
        <v>0</v>
      </c>
      <c r="P196" s="46">
        <f t="shared" ca="1" si="11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input_settle_371100!A$2</f>
        <v>371100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IFERROR(VLOOKUP(B197,input_settle_371100!L:R,7,FALSE),VLOOKUP(tables_settle_371100!C197,input_settle_371100!A:H,8,FALSE))</f>
        <v>9622.7999999999993</v>
      </c>
      <c r="P197" s="46">
        <f t="shared" ca="1" si="11"/>
        <v>6.9069767441860418E-4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input_settle_371100!A$2</f>
        <v>371100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IFERROR(VLOOKUP(B198,input_settle_371100!L:R,7,FALSE),VLOOKUP(tables_settle_371100!C198,input_settle_371100!A:H,8,FALSE))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input_settle_371100!A$2</f>
        <v>371100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IFERROR(VLOOKUP(B199,input_settle_371100!L:R,7,FALSE),VLOOKUP(tables_settle_371100!C199,input_settle_371100!A:H,8,FALSE))</f>
        <v>0</v>
      </c>
      <c r="P199" s="46">
        <f t="shared" ca="1" si="11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input_settle_371100!A$2</f>
        <v>371100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IFERROR(VLOOKUP(B200,input_settle_371100!L:R,7,FALSE),VLOOKUP(tables_settle_371100!C200,input_settle_371100!A:H,8,FALSE))</f>
        <v>149846.39999999999</v>
      </c>
      <c r="P200" s="46">
        <f t="shared" ca="1" si="11"/>
        <v>1.0755555555555549E-2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input_settle_371100!A$2</f>
        <v>371100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IFERROR(VLOOKUP(B201,input_settle_371100!L:R,7,FALSE),VLOOKUP(tables_settle_371100!C201,input_settle_371100!A:H,8,FALSE))</f>
        <v>0</v>
      </c>
      <c r="P201" s="46">
        <f t="shared" ca="1" si="11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input_settle_371100!A$2</f>
        <v>371100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IFERROR(VLOOKUP(B202,input_settle_371100!L:R,7,FALSE),VLOOKUP(tables_settle_371100!C202,input_settle_371100!A:H,8,FALSE))</f>
        <v>9622.7999999999993</v>
      </c>
      <c r="P202" s="46">
        <f t="shared" ca="1" si="11"/>
        <v>6.9069767441860418E-4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input_settle_371100!A$2</f>
        <v>371100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IFERROR(VLOOKUP(B203,input_settle_371100!L:R,7,FALSE),VLOOKUP(tables_settle_371100!C203,input_settle_371100!A:H,8,FALSE))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input_settle_371100!A$2</f>
        <v>371100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IFERROR(VLOOKUP(B204,input_settle_371100!L:R,7,FALSE),VLOOKUP(tables_settle_371100!C204,input_settle_371100!A:H,8,FALSE))</f>
        <v>0</v>
      </c>
      <c r="P204" s="46">
        <f t="shared" ca="1" si="11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input_settle_371100!A$2</f>
        <v>371100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IFERROR(VLOOKUP(B205,input_settle_371100!L:R,7,FALSE),VLOOKUP(tables_settle_371100!C205,input_settle_371100!A:H,8,FALSE))</f>
        <v>149846.39999999999</v>
      </c>
      <c r="P205" s="46">
        <f t="shared" ca="1" si="11"/>
        <v>1.0755555555555549E-2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input_settle_371100!A$2</f>
        <v>371100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IFERROR(VLOOKUP(B206,input_settle_371100!L:R,7,FALSE),VLOOKUP(tables_settle_371100!C206,input_settle_371100!A:H,8,FALSE))</f>
        <v>0</v>
      </c>
      <c r="P206" s="46">
        <f t="shared" ca="1" si="11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input_settle_371100!A$2</f>
        <v>371100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IFERROR(VLOOKUP(B207,input_settle_371100!L:R,7,FALSE),VLOOKUP(tables_settle_371100!C207,input_settle_371100!A:H,8,FALSE))</f>
        <v>9622.7999999999993</v>
      </c>
      <c r="P207" s="46">
        <f t="shared" ca="1" si="11"/>
        <v>6.9069767441860418E-4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input_settle_371100!A$2</f>
        <v>371100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IFERROR(VLOOKUP(B208,input_settle_371100!L:R,7,FALSE),VLOOKUP(tables_settle_371100!C208,input_settle_371100!A:H,8,FALSE))</f>
        <v>0</v>
      </c>
      <c r="P208" s="46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input_settle_371100!A$2</f>
        <v>371100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IFERROR(VLOOKUP(B209,input_settle_371100!L:R,7,FALSE),VLOOKUP(tables_settle_371100!C209,input_settle_371100!A:H,8,FALSE))</f>
        <v>9622.7999999999993</v>
      </c>
      <c r="P209" s="46">
        <f t="shared" ca="1" si="11"/>
        <v>6.9069767441860418E-4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input_settle_371100!A$2</f>
        <v>371100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IFERROR(VLOOKUP(B210,input_settle_371100!L:R,7,FALSE),VLOOKUP(tables_settle_371100!C210,input_settle_371100!A:H,8,FALSE))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input_settle_371100!A$2</f>
        <v>371100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IFERROR(VLOOKUP(B211,input_settle_371100!L:R,7,FALSE),VLOOKUP(tables_settle_371100!C211,input_settle_371100!A:H,8,FALSE))</f>
        <v>0</v>
      </c>
      <c r="P211" s="46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input_settle_371100!A$2</f>
        <v>371100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IFERROR(VLOOKUP(B212,input_settle_371100!L:R,7,FALSE),VLOOKUP(tables_settle_371100!C212,input_settle_371100!A:H,8,FALSE))</f>
        <v>149846.39999999999</v>
      </c>
      <c r="P212" s="46">
        <f t="shared" ca="1" si="11"/>
        <v>1.0755555555555549E-2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input_settle_371100!A$2</f>
        <v>371100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IFERROR(VLOOKUP(B213,input_settle_371100!L:R,7,FALSE),VLOOKUP(tables_settle_371100!C213,input_settle_371100!A:H,8,FALSE))</f>
        <v>0</v>
      </c>
      <c r="P213" s="46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input_settle_371100!A$2</f>
        <v>371100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IFERROR(VLOOKUP(B214,input_settle_371100!L:R,7,FALSE),VLOOKUP(tables_settle_371100!C214,input_settle_371100!A:H,8,FALSE))</f>
        <v>9622.7999999999993</v>
      </c>
      <c r="P214" s="46">
        <f t="shared" ca="1" si="11"/>
        <v>6.9069767441860418E-4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input_settle_371100!A$2</f>
        <v>371100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IFERROR(VLOOKUP(B215,input_settle_371100!L:R,7,FALSE),VLOOKUP(tables_settle_371100!C215,input_settle_371100!A:H,8,FALSE))</f>
        <v>0</v>
      </c>
      <c r="P215" s="46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input_settle_371100!A$2</f>
        <v>371100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IFERROR(VLOOKUP(B216,input_settle_371100!L:R,7,FALSE),VLOOKUP(tables_settle_371100!C216,input_settle_371100!A:H,8,FALSE))</f>
        <v>9622.7999999999993</v>
      </c>
      <c r="P216" s="46">
        <f t="shared" ca="1" si="11"/>
        <v>6.9069767441860418E-4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input_settle_371100!A$2</f>
        <v>371100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IFERROR(VLOOKUP(B217,input_settle_371100!L:R,7,FALSE),VLOOKUP(tables_settle_371100!C217,input_settle_371100!A:H,8,FALSE))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input_settle_371100!A$2</f>
        <v>371100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IFERROR(VLOOKUP(B218,input_settle_371100!L:R,7,FALSE),VLOOKUP(tables_settle_371100!C218,input_settle_371100!A:H,8,FALSE))</f>
        <v>0</v>
      </c>
      <c r="P218" s="46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input_settle_371100!A$2</f>
        <v>371100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IFERROR(VLOOKUP(B219,input_settle_371100!L:R,7,FALSE),VLOOKUP(tables_settle_371100!C219,input_settle_371100!A:H,8,FALSE))</f>
        <v>149846.39999999999</v>
      </c>
      <c r="P219" s="46">
        <f t="shared" ca="1" si="11"/>
        <v>1.0755555555555549E-2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input_settle_371100!A$2</f>
        <v>371100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IFERROR(VLOOKUP(B220,input_settle_371100!L:R,7,FALSE),VLOOKUP(tables_settle_371100!C220,input_settle_371100!A:H,8,FALSE))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input_settle_371100!A$2</f>
        <v>371100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IFERROR(VLOOKUP(B221,input_settle_371100!L:R,7,FALSE),VLOOKUP(tables_settle_371100!C221,input_settle_371100!A:H,8,FALSE))</f>
        <v>0</v>
      </c>
      <c r="P221" s="46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input_settle_371100!A$2</f>
        <v>371100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IFERROR(VLOOKUP(B222,input_settle_371100!L:R,7,FALSE),VLOOKUP(tables_settle_371100!C222,input_settle_371100!A:H,8,FALSE))</f>
        <v>149846.39999999999</v>
      </c>
      <c r="P222" s="46">
        <f t="shared" ca="1" si="11"/>
        <v>1.0755555555555549E-2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input_settle_371100!A$2</f>
        <v>371100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IFERROR(VLOOKUP(B223,input_settle_371100!L:R,7,FALSE),VLOOKUP(tables_settle_371100!C223,input_settle_371100!A:H,8,FALSE))</f>
        <v>0</v>
      </c>
      <c r="P223" s="46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input_settle_371100!A$2</f>
        <v>371100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IFERROR(VLOOKUP(B224,input_settle_371100!L:R,7,FALSE),VLOOKUP(tables_settle_371100!C224,input_settle_371100!A:H,8,FALSE))</f>
        <v>9622.7999999999993</v>
      </c>
      <c r="P224" s="46">
        <f t="shared" ca="1" si="11"/>
        <v>6.9069767441860418E-4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input_settle_371100!A$2</f>
        <v>371100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IFERROR(VLOOKUP(B225,input_settle_371100!L:R,7,FALSE),VLOOKUP(tables_settle_371100!C225,input_settle_371100!A:H,8,FALSE))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input_settle_371100!A$2</f>
        <v>371100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IFERROR(VLOOKUP(B226,input_settle_371100!L:R,7,FALSE),VLOOKUP(tables_settle_371100!C226,input_settle_371100!A:H,8,FALSE))</f>
        <v>0</v>
      </c>
      <c r="P226" s="46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input_settle_371100!A$2</f>
        <v>371100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IFERROR(VLOOKUP(B227,input_settle_371100!L:R,7,FALSE),VLOOKUP(tables_settle_371100!C227,input_settle_371100!A:H,8,FALSE))</f>
        <v>149846.39999999999</v>
      </c>
      <c r="P227" s="46">
        <f t="shared" ca="1" si="11"/>
        <v>1.0755555555555549E-2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input_settle_371100!A$2</f>
        <v>371100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IFERROR(VLOOKUP(B228,input_settle_371100!L:R,7,FALSE),VLOOKUP(tables_settle_371100!C228,input_settle_371100!A:H,8,FALSE))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input_settle_371100!A$2</f>
        <v>371100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IFERROR(VLOOKUP(B229,input_settle_371100!L:R,7,FALSE),VLOOKUP(tables_settle_371100!C229,input_settle_371100!A:H,8,FALSE))</f>
        <v>0</v>
      </c>
      <c r="P229" s="46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input_settle_371100!A$2</f>
        <v>371100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IFERROR(VLOOKUP(B230,input_settle_371100!L:R,7,FALSE),VLOOKUP(tables_settle_371100!C230,input_settle_371100!A:H,8,FALSE))</f>
        <v>149846.39999999999</v>
      </c>
      <c r="P230" s="46">
        <f t="shared" ca="1" si="11"/>
        <v>1.0755555555555549E-2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input_settle_371100!A$2</f>
        <v>371100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IFERROR(VLOOKUP(B231,input_settle_371100!L:R,7,FALSE),VLOOKUP(tables_settle_371100!C231,input_settle_371100!A:H,8,FALSE))</f>
        <v>0</v>
      </c>
      <c r="P231" s="46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input_settle_371100!A$2</f>
        <v>371100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IFERROR(VLOOKUP(B232,input_settle_371100!L:R,7,FALSE),VLOOKUP(tables_settle_371100!C232,input_settle_371100!A:H,8,FALSE))</f>
        <v>9622.7999999999993</v>
      </c>
      <c r="P232" s="46">
        <f t="shared" ca="1" si="11"/>
        <v>6.9069767441860418E-4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input_settle_371100!A$2</f>
        <v>371100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IFERROR(VLOOKUP(B233,input_settle_371100!L:R,7,FALSE),VLOOKUP(tables_settle_371100!C233,input_settle_371100!A:H,8,FALSE))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input_settle_371100!A$2</f>
        <v>371100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IFERROR(VLOOKUP(B234,input_settle_371100!L:R,7,FALSE),VLOOKUP(tables_settle_371100!C234,input_settle_371100!A:H,8,FALSE))</f>
        <v>0</v>
      </c>
      <c r="P234" s="46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input_settle_371100!A$2</f>
        <v>371100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IFERROR(VLOOKUP(B235,input_settle_371100!L:R,7,FALSE),VLOOKUP(tables_settle_371100!C235,input_settle_371100!A:H,8,FALSE))</f>
        <v>149846.39999999999</v>
      </c>
      <c r="P235" s="46">
        <f t="shared" ca="1" si="11"/>
        <v>1.0755555555555549E-2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input_settle_371100!A$2</f>
        <v>371100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IFERROR(VLOOKUP(B236,input_settle_371100!L:R,7,FALSE),VLOOKUP(tables_settle_371100!C236,input_settle_371100!A:H,8,FALSE))</f>
        <v>0</v>
      </c>
      <c r="P236" s="46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input_settle_371100!A$2</f>
        <v>371100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IFERROR(VLOOKUP(B237,input_settle_371100!L:R,7,FALSE),VLOOKUP(tables_settle_371100!C237,input_settle_371100!A:H,8,FALSE))</f>
        <v>9622.7999999999993</v>
      </c>
      <c r="P237" s="46">
        <f t="shared" ca="1" si="11"/>
        <v>6.9069767441860418E-4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input_settle_371100!A$2</f>
        <v>371100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IFERROR(VLOOKUP(B238,input_settle_371100!L:R,7,FALSE),VLOOKUP(tables_settle_371100!C238,input_settle_371100!A:H,8,FALSE))</f>
        <v>0</v>
      </c>
      <c r="P238" s="46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input_settle_371100!A$2</f>
        <v>371100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IFERROR(VLOOKUP(B239,input_settle_371100!L:R,7,FALSE),VLOOKUP(tables_settle_371100!C239,input_settle_371100!A:H,8,FALSE))</f>
        <v>9622.7999999999993</v>
      </c>
      <c r="P239" s="46">
        <f t="shared" ca="1" si="11"/>
        <v>6.9069767441860418E-4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input_settle_371100!A$2</f>
        <v>371100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IFERROR(VLOOKUP(B240,input_settle_371100!L:R,7,FALSE),VLOOKUP(tables_settle_371100!C240,input_settle_371100!A:H,8,FALSE))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input_settle_371100!A$2</f>
        <v>371100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IFERROR(VLOOKUP(B241,input_settle_371100!L:R,7,FALSE),VLOOKUP(tables_settle_371100!C241,input_settle_371100!A:H,8,FALSE))</f>
        <v>0</v>
      </c>
      <c r="P241" s="46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input_settle_371100!A$2</f>
        <v>371100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IFERROR(VLOOKUP(B242,input_settle_371100!L:R,7,FALSE),VLOOKUP(tables_settle_371100!C242,input_settle_371100!A:H,8,FALSE))</f>
        <v>149846.39999999999</v>
      </c>
      <c r="P242" s="46">
        <f t="shared" ca="1" si="11"/>
        <v>1.0755555555555549E-2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input_settle_371100!A$2</f>
        <v>371100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IFERROR(VLOOKUP(B243,input_settle_371100!L:R,7,FALSE),VLOOKUP(tables_settle_371100!C243,input_settle_371100!A:H,8,FALSE))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input_settle_371100!A$2</f>
        <v>371100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IFERROR(VLOOKUP(B244,input_settle_371100!L:R,7,FALSE),VLOOKUP(tables_settle_371100!C244,input_settle_371100!A:H,8,FALSE))</f>
        <v>0</v>
      </c>
      <c r="P244" s="46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input_settle_371100!A$2</f>
        <v>371100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IFERROR(VLOOKUP(B245,input_settle_371100!L:R,7,FALSE),VLOOKUP(tables_settle_371100!C245,input_settle_371100!A:H,8,FALSE))</f>
        <v>149846.39999999999</v>
      </c>
      <c r="P245" s="46">
        <f t="shared" ca="1" si="11"/>
        <v>1.0755555555555549E-2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input_settle_371100!A$2</f>
        <v>371100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IFERROR(VLOOKUP(B246,input_settle_371100!L:R,7,FALSE),VLOOKUP(tables_settle_371100!C246,input_settle_371100!A:H,8,FALSE))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input_settle_371100!A$2</f>
        <v>371100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IFERROR(VLOOKUP(B247,input_settle_371100!L:R,7,FALSE),VLOOKUP(tables_settle_371100!C247,input_settle_371100!A:H,8,FALSE))</f>
        <v>0</v>
      </c>
      <c r="P247" s="46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input_settle_371100!A$2</f>
        <v>371100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IFERROR(VLOOKUP(B248,input_settle_371100!L:R,7,FALSE),VLOOKUP(tables_settle_371100!C248,input_settle_371100!A:H,8,FALSE))</f>
        <v>149846.39999999999</v>
      </c>
      <c r="P248" s="46">
        <f t="shared" ca="1" si="11"/>
        <v>1.0755555555555549E-2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input_settle_371100!A$2</f>
        <v>371100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IFERROR(VLOOKUP(B249,input_settle_371100!L:R,7,FALSE),VLOOKUP(tables_settle_371100!C249,input_settle_371100!A:H,8,FALSE))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input_settle_371100!A$2</f>
        <v>371100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IFERROR(VLOOKUP(B250,input_settle_371100!L:R,7,FALSE),VLOOKUP(tables_settle_371100!C250,input_settle_371100!A:H,8,FALSE))</f>
        <v>0</v>
      </c>
      <c r="P250" s="46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input_settle_371100!A$2</f>
        <v>371100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IFERROR(VLOOKUP(B251,input_settle_371100!L:R,7,FALSE),VLOOKUP(tables_settle_371100!C251,input_settle_371100!A:H,8,FALSE))</f>
        <v>149846.39999999999</v>
      </c>
      <c r="P251" s="46">
        <f t="shared" ca="1" si="11"/>
        <v>1.0755555555555549E-2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input_settle_371100!A$2</f>
        <v>371100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IFERROR(VLOOKUP(B252,input_settle_371100!L:R,7,FALSE),VLOOKUP(tables_settle_371100!C252,input_settle_371100!A:H,8,FALSE))</f>
        <v>0</v>
      </c>
      <c r="P252" s="46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input_settle_371100!A$2</f>
        <v>371100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IFERROR(VLOOKUP(B253,input_settle_371100!L:R,7,FALSE),VLOOKUP(tables_settle_371100!C253,input_settle_371100!A:H,8,FALSE))</f>
        <v>9622.7999999999993</v>
      </c>
      <c r="P253" s="46">
        <f t="shared" ca="1" si="11"/>
        <v>6.9069767441860418E-4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input_settle_371100!A$2</f>
        <v>371100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IFERROR(VLOOKUP(B254,input_settle_371100!L:R,7,FALSE),VLOOKUP(tables_settle_371100!C254,input_settle_371100!A:H,8,FALSE))</f>
        <v>0</v>
      </c>
      <c r="P254" s="46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input_settle_371100!A$2</f>
        <v>371100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IFERROR(VLOOKUP(B255,input_settle_371100!L:R,7,FALSE),VLOOKUP(tables_settle_371100!C255,input_settle_371100!A:H,8,FALSE))</f>
        <v>9622.7999999999993</v>
      </c>
      <c r="P255" s="46">
        <f t="shared" ca="1" si="11"/>
        <v>6.9069767441860418E-4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input_settle_371100!A$2</f>
        <v>371100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IFERROR(VLOOKUP(B256,input_settle_371100!L:R,7,FALSE),VLOOKUP(tables_settle_371100!C256,input_settle_371100!A:H,8,FALSE))</f>
        <v>0</v>
      </c>
      <c r="P256" s="46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input_settle_371100!A$2</f>
        <v>371100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IFERROR(VLOOKUP(B257,input_settle_371100!L:R,7,FALSE),VLOOKUP(tables_settle_371100!C257,input_settle_371100!A:H,8,FALSE))</f>
        <v>496806.40000000002</v>
      </c>
      <c r="P257" s="46">
        <f t="shared" ca="1" si="11"/>
        <v>3.5659374102784941E-2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input_settle_371100!A$2</f>
        <v>371100</v>
      </c>
      <c r="B258" s="60">
        <v>730</v>
      </c>
      <c r="C258" s="7" t="str">
        <f t="shared" ref="C258:C298" si="12">D258&amp;J258&amp;E258&amp;F258&amp;G258</f>
        <v>Premium4R3less</v>
      </c>
      <c r="D258" s="7" t="str">
        <f t="shared" ref="D258:D298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IFERROR(VLOOKUP(B258,input_settle_371100!L:R,7,FALSE),VLOOKUP(tables_settle_371100!C258,input_settle_371100!A:H,8,FALSE))</f>
        <v>0</v>
      </c>
      <c r="P258" s="46">
        <f t="shared" ref="P258:P298" ca="1" si="14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input_settle_371100!A$2</f>
        <v>371100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IFERROR(VLOOKUP(B259,input_settle_371100!L:R,7,FALSE),VLOOKUP(tables_settle_371100!C259,input_settle_371100!A:H,8,FALSE))</f>
        <v>496806.40000000002</v>
      </c>
      <c r="P259" s="46">
        <f t="shared" ca="1" si="14"/>
        <v>3.5659374102784941E-2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input_settle_371100!A$2</f>
        <v>371100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IFERROR(VLOOKUP(B260,input_settle_371100!L:R,7,FALSE),VLOOKUP(tables_settle_371100!C260,input_settle_371100!A:H,8,FALSE))</f>
        <v>9720</v>
      </c>
      <c r="P260" s="46">
        <f t="shared" ca="1" si="14"/>
        <v>6.9767441860465074E-4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input_settle_371100!A$2</f>
        <v>371100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IFERROR(VLOOKUP(B261,input_settle_371100!L:R,7,FALSE),VLOOKUP(tables_settle_371100!C261,input_settle_371100!A:H,8,FALSE))</f>
        <v>9720</v>
      </c>
      <c r="P261" s="46">
        <f t="shared" ca="1" si="14"/>
        <v>6.9767441860465074E-4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input_settle_371100!A$2</f>
        <v>371100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IFERROR(VLOOKUP(B262,input_settle_371100!L:R,7,FALSE),VLOOKUP(tables_settle_371100!C262,input_settle_371100!A:H,8,FALSE))</f>
        <v>0</v>
      </c>
      <c r="P262" s="46">
        <f t="shared" ca="1" si="14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input_settle_371100!A$2</f>
        <v>371100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IFERROR(VLOOKUP(B263,input_settle_371100!L:R,7,FALSE),VLOOKUP(tables_settle_371100!C263,input_settle_371100!A:H,8,FALSE))</f>
        <v>9622.7999999999993</v>
      </c>
      <c r="P263" s="46">
        <f t="shared" ca="1" si="14"/>
        <v>6.9069767441860418E-4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input_settle_371100!A$2</f>
        <v>371100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IFERROR(VLOOKUP(B264,input_settle_371100!L:R,7,FALSE),VLOOKUP(tables_settle_371100!C264,input_settle_371100!A:H,8,FALSE))</f>
        <v>0</v>
      </c>
      <c r="P264" s="46">
        <f t="shared" ca="1" si="14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input_settle_371100!A$2</f>
        <v>371100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IFERROR(VLOOKUP(B265,input_settle_371100!L:R,7,FALSE),VLOOKUP(tables_settle_371100!C265,input_settle_371100!A:H,8,FALSE))</f>
        <v>9622.7999999999993</v>
      </c>
      <c r="P265" s="46">
        <f t="shared" ca="1" si="14"/>
        <v>6.9069767441860418E-4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input_settle_371100!A$2</f>
        <v>371100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IFERROR(VLOOKUP(B266,input_settle_371100!L:R,7,FALSE),VLOOKUP(tables_settle_371100!C266,input_settle_371100!A:H,8,FALSE))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input_settle_371100!A$2</f>
        <v>371100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IFERROR(VLOOKUP(B267,input_settle_371100!L:R,7,FALSE),VLOOKUP(tables_settle_371100!C267,input_settle_371100!A:H,8,FALSE))</f>
        <v>0</v>
      </c>
      <c r="P267" s="46">
        <f t="shared" ca="1" si="14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input_settle_371100!A$2</f>
        <v>371100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IFERROR(VLOOKUP(B268,input_settle_371100!L:R,7,FALSE),VLOOKUP(tables_settle_371100!C268,input_settle_371100!A:H,8,FALSE))</f>
        <v>149846.39999999999</v>
      </c>
      <c r="P268" s="46">
        <f t="shared" ca="1" si="14"/>
        <v>1.0755555555555549E-2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input_settle_371100!A$2</f>
        <v>371100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IFERROR(VLOOKUP(B269,input_settle_371100!L:R,7,FALSE),VLOOKUP(tables_settle_371100!C269,input_settle_371100!A:H,8,FALSE))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input_settle_371100!A$2</f>
        <v>371100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IFERROR(VLOOKUP(B270,input_settle_371100!L:R,7,FALSE),VLOOKUP(tables_settle_371100!C270,input_settle_371100!A:H,8,FALSE))</f>
        <v>0</v>
      </c>
      <c r="P270" s="46">
        <f t="shared" ca="1" si="14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input_settle_371100!A$2</f>
        <v>371100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IFERROR(VLOOKUP(B271,input_settle_371100!L:R,7,FALSE),VLOOKUP(tables_settle_371100!C271,input_settle_371100!A:H,8,FALSE))</f>
        <v>149846.39999999999</v>
      </c>
      <c r="P271" s="46">
        <f t="shared" ca="1" si="14"/>
        <v>1.0755555555555549E-2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input_settle_371100!A$2</f>
        <v>371100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IFERROR(VLOOKUP(B272,input_settle_371100!L:R,7,FALSE),VLOOKUP(tables_settle_371100!C272,input_settle_371100!A:H,8,FALSE))</f>
        <v>9720</v>
      </c>
      <c r="P272" s="46">
        <f t="shared" ca="1" si="14"/>
        <v>6.9767441860465074E-4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input_settle_371100!A$2</f>
        <v>371100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IFERROR(VLOOKUP(B273,input_settle_371100!L:R,7,FALSE),VLOOKUP(tables_settle_371100!C273,input_settle_371100!A:H,8,FALSE))</f>
        <v>9720</v>
      </c>
      <c r="P273" s="46">
        <f t="shared" ca="1" si="14"/>
        <v>6.9767441860465074E-4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input_settle_371100!A$2</f>
        <v>371100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IFERROR(VLOOKUP(B274,input_settle_371100!L:R,7,FALSE),VLOOKUP(tables_settle_371100!C274,input_settle_371100!A:H,8,FALSE))</f>
        <v>0</v>
      </c>
      <c r="P274" s="46">
        <f t="shared" ca="1" si="14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input_settle_371100!A$2</f>
        <v>371100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IFERROR(VLOOKUP(B275,input_settle_371100!L:R,7,FALSE),VLOOKUP(tables_settle_371100!C275,input_settle_371100!A:H,8,FALSE))</f>
        <v>496806.40000000002</v>
      </c>
      <c r="P275" s="46">
        <f t="shared" ca="1" si="14"/>
        <v>3.5659374102784941E-2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input_settle_371100!A$2</f>
        <v>371100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IFERROR(VLOOKUP(B276,input_settle_371100!L:R,7,FALSE),VLOOKUP(tables_settle_371100!C276,input_settle_371100!A:H,8,FALSE))</f>
        <v>0</v>
      </c>
      <c r="P276" s="46">
        <f t="shared" ca="1" si="14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input_settle_371100!A$2</f>
        <v>371100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IFERROR(VLOOKUP(B277,input_settle_371100!L:R,7,FALSE),VLOOKUP(tables_settle_371100!C277,input_settle_371100!A:H,8,FALSE))</f>
        <v>496806.40000000002</v>
      </c>
      <c r="P277" s="46">
        <f t="shared" ca="1" si="14"/>
        <v>3.5659374102784941E-2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input_settle_371100!A$2</f>
        <v>371100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IFERROR(VLOOKUP(B278,input_settle_371100!L:R,7,FALSE),VLOOKUP(tables_settle_371100!C278,input_settle_371100!A:H,8,FALSE))</f>
        <v>0</v>
      </c>
      <c r="P278" s="46">
        <f t="shared" ca="1" si="14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input_settle_371100!A$2</f>
        <v>371100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IFERROR(VLOOKUP(B279,input_settle_371100!L:R,7,FALSE),VLOOKUP(tables_settle_371100!C279,input_settle_371100!A:H,8,FALSE))</f>
        <v>496806.40000000002</v>
      </c>
      <c r="P279" s="46">
        <f t="shared" ca="1" si="14"/>
        <v>3.5659374102784941E-2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input_settle_371100!A$2</f>
        <v>371100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IFERROR(VLOOKUP(B280,input_settle_371100!L:R,7,FALSE),VLOOKUP(tables_settle_371100!C280,input_settle_371100!A:H,8,FALSE))</f>
        <v>0</v>
      </c>
      <c r="P280" s="46">
        <f t="shared" ca="1" si="14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input_settle_371100!A$2</f>
        <v>371100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IFERROR(VLOOKUP(B281,input_settle_371100!L:R,7,FALSE),VLOOKUP(tables_settle_371100!C281,input_settle_371100!A:H,8,FALSE))</f>
        <v>496806.40000000002</v>
      </c>
      <c r="P281" s="46">
        <f t="shared" ca="1" si="14"/>
        <v>3.5659374102784941E-2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input_settle_371100!A$2</f>
        <v>371100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IFERROR(VLOOKUP(B282,input_settle_371100!L:R,7,FALSE),VLOOKUP(tables_settle_371100!C282,input_settle_371100!A:H,8,FALSE))</f>
        <v>9720</v>
      </c>
      <c r="P282" s="46">
        <f t="shared" ca="1" si="14"/>
        <v>6.9767441860465074E-4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input_settle_371100!A$2</f>
        <v>371100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IFERROR(VLOOKUP(B283,input_settle_371100!L:R,7,FALSE),VLOOKUP(tables_settle_371100!C283,input_settle_371100!A:H,8,FALSE))</f>
        <v>9720</v>
      </c>
      <c r="P283" s="46">
        <f t="shared" ca="1" si="14"/>
        <v>6.9767441860465074E-4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input_settle_371100!A$2</f>
        <v>371100</v>
      </c>
      <c r="B284" s="84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IFERROR(VLOOKUP(B284,input_settle_371100!L:R,7,FALSE),VLOOKUP(tables_settle_371100!C284,input_settle_371100!A:H,8,FALSE))</f>
        <v>9720</v>
      </c>
      <c r="P284" s="46">
        <f t="shared" ca="1" si="14"/>
        <v>6.9767441860465074E-4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input_settle_371100!A$2</f>
        <v>371100</v>
      </c>
      <c r="B285" s="84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IFERROR(VLOOKUP(B285,input_settle_371100!L:R,7,FALSE),VLOOKUP(tables_settle_371100!C285,input_settle_371100!A:H,8,FALSE))</f>
        <v>9720</v>
      </c>
      <c r="P285" s="46">
        <f t="shared" ca="1" si="14"/>
        <v>6.9767441860465074E-4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input_settle_371100!A$2</f>
        <v>371100</v>
      </c>
      <c r="B286" s="84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IFERROR(VLOOKUP(B286,input_settle_371100!L:R,7,FALSE),VLOOKUP(tables_settle_371100!C286,input_settle_371100!A:H,8,FALSE))</f>
        <v>0</v>
      </c>
      <c r="P286" s="46">
        <f t="shared" ca="1" si="14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input_settle_371100!A$2</f>
        <v>371100</v>
      </c>
      <c r="B287" s="84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IFERROR(VLOOKUP(B287,input_settle_371100!L:R,7,FALSE),VLOOKUP(tables_settle_371100!C287,input_settle_371100!A:H,8,FALSE))</f>
        <v>496806.40000000002</v>
      </c>
      <c r="P287" s="46">
        <f t="shared" ca="1" si="14"/>
        <v>3.5659374102784941E-2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input_settle_371100!A$2</f>
        <v>371100</v>
      </c>
      <c r="B288" s="84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IFERROR(VLOOKUP(B288,input_settle_371100!L:R,7,FALSE),VLOOKUP(tables_settle_371100!C288,input_settle_371100!A:H,8,FALSE))</f>
        <v>0</v>
      </c>
      <c r="P288" s="46">
        <f t="shared" ca="1" si="14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input_settle_371100!A$2</f>
        <v>371100</v>
      </c>
      <c r="B289" s="84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IFERROR(VLOOKUP(B289,input_settle_371100!L:R,7,FALSE),VLOOKUP(tables_settle_371100!C289,input_settle_371100!A:H,8,FALSE))</f>
        <v>496806.40000000002</v>
      </c>
      <c r="P289" s="46">
        <f t="shared" ca="1" si="14"/>
        <v>3.5659374102784941E-2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input_settle_371100!A$2</f>
        <v>371100</v>
      </c>
      <c r="B290" s="84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IFERROR(VLOOKUP(B290,input_settle_371100!L:R,7,FALSE),VLOOKUP(tables_settle_371100!C290,input_settle_371100!A:H,8,FALSE))</f>
        <v>9720</v>
      </c>
      <c r="P290" s="46">
        <f t="shared" ca="1" si="14"/>
        <v>6.9767441860465074E-4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input_settle_371100!A$2</f>
        <v>371100</v>
      </c>
      <c r="B291" s="84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IFERROR(VLOOKUP(B291,input_settle_371100!L:R,7,FALSE),VLOOKUP(tables_settle_371100!C291,input_settle_371100!A:H,8,FALSE))</f>
        <v>0</v>
      </c>
      <c r="P291" s="46">
        <f t="shared" ca="1" si="14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input_settle_371100!A$2</f>
        <v>371100</v>
      </c>
      <c r="B292" s="84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IFERROR(VLOOKUP(B292,input_settle_371100!L:R,7,FALSE),VLOOKUP(tables_settle_371100!C292,input_settle_371100!A:H,8,FALSE))</f>
        <v>496806.40000000002</v>
      </c>
      <c r="P292" s="46">
        <f t="shared" ca="1" si="14"/>
        <v>3.5659374102784941E-2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input_settle_371100!A$2</f>
        <v>371100</v>
      </c>
      <c r="B293" s="84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IFERROR(VLOOKUP(B293,input_settle_371100!L:R,7,FALSE),VLOOKUP(tables_settle_371100!C293,input_settle_371100!A:H,8,FALSE))</f>
        <v>9720</v>
      </c>
      <c r="P293" s="46">
        <f t="shared" ca="1" si="14"/>
        <v>6.9767441860465074E-4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input_settle_371100!A$2</f>
        <v>371100</v>
      </c>
      <c r="B294" s="84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IFERROR(VLOOKUP(B294,input_settle_371100!L:R,7,FALSE),VLOOKUP(tables_settle_371100!C294,input_settle_371100!A:H,8,FALSE))</f>
        <v>9720</v>
      </c>
      <c r="P294" s="46">
        <f t="shared" ca="1" si="14"/>
        <v>6.9767441860465074E-4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input_settle_371100!A$2</f>
        <v>371100</v>
      </c>
      <c r="B295" s="84">
        <v>1046</v>
      </c>
      <c r="C295" s="7" t="str">
        <f t="shared" si="12"/>
        <v>Premium5R3less</v>
      </c>
      <c r="D295" s="7" t="str">
        <f t="shared" si="13"/>
        <v>Premium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涼求の炎狼 フェンリル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attack</v>
      </c>
      <c r="M295" s="7" t="str">
        <f>VLOOKUP(B295,[1]characters!$A:$M,13,FALSE)</f>
        <v>animal</v>
      </c>
      <c r="N295" s="7" t="str">
        <f>VLOOKUP(B295,[1]characters!$A:$G,7,FALSE)</f>
        <v>男性</v>
      </c>
      <c r="O295" s="45">
        <f>IFERROR(VLOOKUP(B295,input_settle_371100!L:R,7,FALSE),VLOOKUP(tables_settle_371100!C295,input_settle_371100!A:H,8,FALSE))</f>
        <v>557280</v>
      </c>
      <c r="P295" s="46">
        <f t="shared" ca="1" si="14"/>
        <v>3.999999999999998E-2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input_settle_371100!A$2</f>
        <v>371100</v>
      </c>
      <c r="B296" s="84">
        <v>1047</v>
      </c>
      <c r="C296" s="7" t="str">
        <f t="shared" si="12"/>
        <v>PremiumSSS6R3less</v>
      </c>
      <c r="D296" s="7" t="str">
        <f t="shared" si="13"/>
        <v>PremiumSSS</v>
      </c>
      <c r="E296" s="7" t="str">
        <f>IF(COUNTIF('R6追加前'!A:A,B296)=0,IF(I296="PremiumSS","R5only","R3less"),"")</f>
        <v>R3less</v>
      </c>
      <c r="F296" s="7" t="str">
        <f>IF(COUNTIF('R6開放'!A:A,B296)&gt;0,"R6release","")</f>
        <v/>
      </c>
      <c r="G296" s="7"/>
      <c r="H296" s="7" t="str">
        <f>VLOOKUP(B296,[1]characters!$A:$C,3,FALSE)</f>
        <v>波浪の夏閃 オイラー</v>
      </c>
      <c r="I296" s="7" t="str">
        <f>VLOOKUP(B296,[1]characters!$A:$J,10,FALSE)</f>
        <v>PremiumSSS</v>
      </c>
      <c r="J296" s="7">
        <f>VLOOKUP(B296,[1]characters!$A:$I,9,FALSE)</f>
        <v>6</v>
      </c>
      <c r="K296" s="7" t="str">
        <f>VLOOKUP(B296,[1]characters!$A:$H,8,FALSE)</f>
        <v>green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IFERROR(VLOOKUP(B296,input_settle_371100!L:R,7,FALSE),VLOOKUP(tables_settle_371100!C296,input_settle_371100!A:H,8,FALSE))</f>
        <v>69660</v>
      </c>
      <c r="P296" s="46">
        <f t="shared" ca="1" si="14"/>
        <v>4.9999999999999975E-3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input_settle_371100!A$2</f>
        <v>371100</v>
      </c>
      <c r="B297" s="84">
        <v>1050</v>
      </c>
      <c r="C297" s="7" t="str">
        <f t="shared" si="12"/>
        <v>Premium5R3less</v>
      </c>
      <c r="D297" s="7" t="str">
        <f t="shared" si="13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廻遊の水獣宰相 ルキフグス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balance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>IFERROR(VLOOKUP(B297,input_settle_371100!L:R,7,FALSE),VLOOKUP(tables_settle_371100!C297,input_settle_371100!A:H,8,FALSE))</f>
        <v>557280</v>
      </c>
      <c r="P297" s="46">
        <f t="shared" ca="1" si="14"/>
        <v>3.999999999999998E-2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input_settle_371100!A$2</f>
        <v>371100</v>
      </c>
      <c r="B298" s="84">
        <v>1051</v>
      </c>
      <c r="C298" s="7" t="str">
        <f t="shared" si="12"/>
        <v>PremiumSSS6R3less</v>
      </c>
      <c r="D298" s="7" t="str">
        <f t="shared" si="13"/>
        <v>PremiumSSS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嬌電の飛沫 ファラデー</v>
      </c>
      <c r="I298" s="7" t="str">
        <f>VLOOKUP(B298,[1]characters!$A:$J,10,FALSE)</f>
        <v>PremiumSSS</v>
      </c>
      <c r="J298" s="7">
        <f>VLOOKUP(B298,[1]characters!$A:$I,9,FALSE)</f>
        <v>6</v>
      </c>
      <c r="K298" s="7" t="str">
        <f>VLOOKUP(B298,[1]characters!$A:$H,8,FALSE)</f>
        <v>yellow</v>
      </c>
      <c r="L298" s="7" t="str">
        <f>VLOOKUP(B298,[1]characters!$A:$K,11,FALSE)</f>
        <v>balance</v>
      </c>
      <c r="M298" s="7" t="str">
        <f>VLOOKUP(B298,[1]characters!$A:$M,13,FALSE)</f>
        <v>human</v>
      </c>
      <c r="N298" s="7" t="str">
        <f>VLOOKUP(B298,[1]characters!$A:$G,7,FALSE)</f>
        <v>男性</v>
      </c>
      <c r="O298" s="45">
        <f>IFERROR(VLOOKUP(B298,input_settle_371100!L:R,7,FALSE),VLOOKUP(tables_settle_371100!C298,input_settle_371100!A:H,8,FALSE))</f>
        <v>69660</v>
      </c>
      <c r="P298" s="46">
        <f t="shared" ca="1" si="14"/>
        <v>4.9999999999999975E-3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J22" sqref="J2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255</v>
      </c>
      <c r="B2" s="81" t="s">
        <v>256</v>
      </c>
      <c r="C2" s="82" t="s">
        <v>249</v>
      </c>
      <c r="D2" s="82">
        <v>1000000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221</v>
      </c>
      <c r="O2" s="82" t="s">
        <v>252</v>
      </c>
      <c r="P2" s="82" t="s">
        <v>262</v>
      </c>
      <c r="Q2" s="83" t="s">
        <v>254</v>
      </c>
    </row>
    <row r="3" spans="1:17" ht="21" customHeight="1" x14ac:dyDescent="0.15">
      <c r="A3" s="81" t="s">
        <v>263</v>
      </c>
      <c r="B3" s="81" t="s">
        <v>257</v>
      </c>
      <c r="C3" s="1" t="s">
        <v>253</v>
      </c>
      <c r="D3" s="1">
        <v>1</v>
      </c>
      <c r="E3" s="1">
        <v>5</v>
      </c>
      <c r="F3" s="1">
        <v>1</v>
      </c>
      <c r="G3" s="89">
        <v>0</v>
      </c>
      <c r="H3" s="89">
        <v>0</v>
      </c>
      <c r="I3" s="89">
        <v>0</v>
      </c>
      <c r="J3" s="89">
        <v>0</v>
      </c>
      <c r="K3" s="89">
        <v>1</v>
      </c>
      <c r="L3" s="89">
        <v>1</v>
      </c>
      <c r="M3" s="89">
        <v>1</v>
      </c>
      <c r="N3" s="82" t="s">
        <v>221</v>
      </c>
      <c r="O3" s="82" t="s">
        <v>260</v>
      </c>
      <c r="P3" s="82" t="s">
        <v>262</v>
      </c>
      <c r="Q3" s="83" t="s">
        <v>266</v>
      </c>
    </row>
    <row r="4" spans="1:17" ht="21" customHeight="1" x14ac:dyDescent="0.15">
      <c r="A4" s="81" t="s">
        <v>264</v>
      </c>
      <c r="B4" s="81" t="s">
        <v>258</v>
      </c>
      <c r="C4" s="1" t="s">
        <v>250</v>
      </c>
      <c r="D4" s="1">
        <v>614</v>
      </c>
      <c r="E4" s="1">
        <v>1</v>
      </c>
      <c r="F4" s="1">
        <v>1</v>
      </c>
      <c r="G4" s="89">
        <v>0</v>
      </c>
      <c r="H4" s="89">
        <v>0</v>
      </c>
      <c r="I4" s="89">
        <v>0</v>
      </c>
      <c r="J4" s="89">
        <v>0</v>
      </c>
      <c r="K4" s="89">
        <v>1</v>
      </c>
      <c r="L4" s="89">
        <v>1</v>
      </c>
      <c r="M4" s="89">
        <v>1</v>
      </c>
      <c r="N4" s="82" t="s">
        <v>221</v>
      </c>
      <c r="O4" s="82" t="s">
        <v>261</v>
      </c>
      <c r="P4" s="82" t="s">
        <v>262</v>
      </c>
      <c r="Q4" s="83" t="s">
        <v>267</v>
      </c>
    </row>
    <row r="5" spans="1:17" ht="21" customHeight="1" x14ac:dyDescent="0.15">
      <c r="A5" s="81" t="s">
        <v>265</v>
      </c>
      <c r="B5" s="81" t="s">
        <v>259</v>
      </c>
      <c r="C5" s="1" t="s">
        <v>251</v>
      </c>
      <c r="D5" s="1">
        <v>837</v>
      </c>
      <c r="E5" s="1">
        <v>1</v>
      </c>
      <c r="F5" s="1">
        <v>1</v>
      </c>
      <c r="G5" s="89">
        <v>0</v>
      </c>
      <c r="H5" s="89">
        <v>0</v>
      </c>
      <c r="I5" s="89">
        <v>0</v>
      </c>
      <c r="J5" s="89">
        <v>0</v>
      </c>
      <c r="K5" s="89">
        <v>1</v>
      </c>
      <c r="L5" s="89">
        <v>1</v>
      </c>
      <c r="M5" s="89">
        <v>1</v>
      </c>
      <c r="N5" s="82" t="s">
        <v>221</v>
      </c>
      <c r="O5" s="82" t="s">
        <v>248</v>
      </c>
      <c r="P5" s="82" t="s">
        <v>262</v>
      </c>
      <c r="Q5" s="83" t="s">
        <v>268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60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input_371010</vt:lpstr>
      <vt:lpstr>tables_371010</vt:lpstr>
      <vt:lpstr>input_371100</vt:lpstr>
      <vt:lpstr>tables_371100</vt:lpstr>
      <vt:lpstr>input_settle_371100</vt:lpstr>
      <vt:lpstr>tables_settle_371100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2016-07-14T11:39:07Z</dcterms:modified>
</cp:coreProperties>
</file>