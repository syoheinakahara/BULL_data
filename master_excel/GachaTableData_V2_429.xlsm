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309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horimotokeita/BULL_data/master_excel/"/>
    </mc:Choice>
  </mc:AlternateContent>
  <bookViews>
    <workbookView xWindow="-5360" yWindow="-21140" windowWidth="38400" windowHeight="21140" tabRatio="943" activeTab="7"/>
  </bookViews>
  <sheets>
    <sheet name="確率の考え方" sheetId="110" r:id="rId1"/>
    <sheet name="Sheet1" sheetId="107" r:id="rId2"/>
    <sheet name="output" sheetId="103" r:id="rId3"/>
    <sheet name="input_429010" sheetId="157" r:id="rId4"/>
    <sheet name="input_429011" sheetId="160" r:id="rId5"/>
    <sheet name="tables_429010" sheetId="158" r:id="rId6"/>
    <sheet name="tables_429011" sheetId="161" r:id="rId7"/>
    <sheet name="input_429100" sheetId="153" r:id="rId8"/>
    <sheet name="tables_429100" sheetId="154" r:id="rId9"/>
    <sheet name="tables_settle_429100" sheetId="159" r:id="rId10"/>
    <sheet name="gacha_bonus_tables" sheetId="98" r:id="rId11"/>
    <sheet name="R6追加前" sheetId="111" r:id="rId12"/>
    <sheet name="R6開放" sheetId="112" r:id="rId13"/>
  </sheets>
  <externalReferences>
    <externalReference r:id="rId14"/>
  </externalReferences>
  <definedNames>
    <definedName name="_xlnm._FilterDatabase" localSheetId="10" hidden="1">gacha_bonus_tables!$A$1:$F$1</definedName>
    <definedName name="_xlnm._FilterDatabase" localSheetId="5" hidden="1">tables_429010!$A$1:$V$294</definedName>
    <definedName name="_xlnm._FilterDatabase" localSheetId="6" hidden="1">tables_429011!$A$1:$V$294</definedName>
    <definedName name="_xlnm._FilterDatabase" localSheetId="8" hidden="1">tables_429100!$A$1:$V$294</definedName>
    <definedName name="_xlnm._FilterDatabase" localSheetId="9" hidden="1">tables_settle_429100!$A$1:$V$1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2" i="160" l="1"/>
  <c r="O3" i="161"/>
  <c r="O5" i="161"/>
  <c r="O7" i="161"/>
  <c r="O9" i="161"/>
  <c r="O2" i="161"/>
  <c r="O4" i="161"/>
  <c r="O6" i="161"/>
  <c r="O8" i="161"/>
  <c r="O10" i="161"/>
  <c r="O11" i="161"/>
  <c r="O12" i="161"/>
  <c r="O13" i="161"/>
  <c r="O14" i="161"/>
  <c r="O15" i="161"/>
  <c r="O16" i="161"/>
  <c r="O17" i="161"/>
  <c r="O18" i="161"/>
  <c r="O19" i="161"/>
  <c r="O20" i="161"/>
  <c r="O21" i="161"/>
  <c r="O22" i="161"/>
  <c r="O23" i="161"/>
  <c r="O24" i="161"/>
  <c r="O25" i="161"/>
  <c r="O26" i="161"/>
  <c r="O27" i="161"/>
  <c r="O28" i="161"/>
  <c r="O29" i="161"/>
  <c r="O30" i="161"/>
  <c r="O31" i="161"/>
  <c r="O32" i="161"/>
  <c r="O33" i="161"/>
  <c r="O34" i="161"/>
  <c r="O35" i="161"/>
  <c r="O36" i="161"/>
  <c r="O37" i="161"/>
  <c r="O38" i="161"/>
  <c r="O39" i="161"/>
  <c r="O40" i="161"/>
  <c r="O41" i="161"/>
  <c r="O42" i="161"/>
  <c r="O43" i="161"/>
  <c r="O44" i="161"/>
  <c r="O45" i="161"/>
  <c r="O46" i="161"/>
  <c r="O47" i="161"/>
  <c r="O48" i="161"/>
  <c r="O49" i="161"/>
  <c r="O50" i="161"/>
  <c r="O51" i="161"/>
  <c r="B20" i="160"/>
  <c r="G20" i="160"/>
  <c r="H20" i="160"/>
  <c r="O52" i="161"/>
  <c r="B21" i="160"/>
  <c r="G21" i="160"/>
  <c r="H21" i="160"/>
  <c r="O53" i="161"/>
  <c r="O54" i="161"/>
  <c r="O55" i="161"/>
  <c r="O56" i="161"/>
  <c r="O57" i="161"/>
  <c r="O58" i="161"/>
  <c r="O59" i="161"/>
  <c r="O60" i="161"/>
  <c r="O61" i="161"/>
  <c r="O62" i="161"/>
  <c r="O63" i="161"/>
  <c r="O64" i="161"/>
  <c r="O65" i="161"/>
  <c r="O66" i="161"/>
  <c r="O67" i="161"/>
  <c r="O68" i="161"/>
  <c r="O69" i="161"/>
  <c r="O70" i="161"/>
  <c r="O71" i="161"/>
  <c r="O72" i="161"/>
  <c r="O73" i="161"/>
  <c r="O74" i="161"/>
  <c r="O75" i="161"/>
  <c r="O76" i="161"/>
  <c r="O77" i="161"/>
  <c r="O78" i="161"/>
  <c r="O79" i="161"/>
  <c r="O80" i="161"/>
  <c r="O81" i="161"/>
  <c r="O82" i="161"/>
  <c r="O83" i="161"/>
  <c r="O84" i="161"/>
  <c r="O85" i="161"/>
  <c r="O86" i="161"/>
  <c r="O87" i="161"/>
  <c r="O88" i="161"/>
  <c r="O89" i="161"/>
  <c r="O90" i="161"/>
  <c r="O91" i="161"/>
  <c r="O92" i="161"/>
  <c r="O93" i="161"/>
  <c r="O94" i="161"/>
  <c r="O95" i="161"/>
  <c r="O96" i="161"/>
  <c r="O97" i="161"/>
  <c r="O98" i="161"/>
  <c r="O99" i="161"/>
  <c r="O100" i="161"/>
  <c r="O101" i="161"/>
  <c r="O102" i="161"/>
  <c r="O103" i="161"/>
  <c r="O104" i="161"/>
  <c r="O105" i="161"/>
  <c r="O106" i="161"/>
  <c r="O107" i="161"/>
  <c r="O108" i="161"/>
  <c r="O109" i="161"/>
  <c r="O110" i="161"/>
  <c r="O111" i="161"/>
  <c r="O112" i="161"/>
  <c r="O113" i="161"/>
  <c r="O114" i="161"/>
  <c r="O115" i="161"/>
  <c r="O116" i="161"/>
  <c r="O117" i="161"/>
  <c r="O118" i="161"/>
  <c r="O119" i="161"/>
  <c r="O120" i="161"/>
  <c r="O121" i="161"/>
  <c r="O122" i="161"/>
  <c r="O123" i="161"/>
  <c r="O124" i="161"/>
  <c r="O125" i="161"/>
  <c r="O126" i="161"/>
  <c r="O127" i="161"/>
  <c r="O128" i="161"/>
  <c r="O129" i="161"/>
  <c r="O130" i="161"/>
  <c r="O131" i="161"/>
  <c r="O132" i="161"/>
  <c r="O133" i="161"/>
  <c r="O134" i="161"/>
  <c r="O135" i="161"/>
  <c r="O136" i="161"/>
  <c r="O137" i="161"/>
  <c r="O138" i="161"/>
  <c r="O139" i="161"/>
  <c r="O140" i="161"/>
  <c r="O141" i="161"/>
  <c r="O142" i="161"/>
  <c r="O143" i="161"/>
  <c r="O144" i="161"/>
  <c r="O145" i="161"/>
  <c r="O146" i="161"/>
  <c r="O147" i="161"/>
  <c r="O148" i="161"/>
  <c r="O149" i="161"/>
  <c r="O150" i="161"/>
  <c r="O151" i="161"/>
  <c r="O152" i="161"/>
  <c r="O153" i="161"/>
  <c r="O154" i="161"/>
  <c r="O155" i="161"/>
  <c r="O156" i="161"/>
  <c r="O157" i="161"/>
  <c r="O158" i="161"/>
  <c r="O159" i="161"/>
  <c r="O160" i="161"/>
  <c r="O161" i="161"/>
  <c r="O162" i="161"/>
  <c r="O163" i="161"/>
  <c r="O164" i="161"/>
  <c r="O165" i="161"/>
  <c r="O166" i="161"/>
  <c r="O167" i="161"/>
  <c r="O168" i="161"/>
  <c r="O169" i="161"/>
  <c r="O170" i="161"/>
  <c r="O171" i="161"/>
  <c r="O172" i="161"/>
  <c r="O173" i="161"/>
  <c r="O174" i="161"/>
  <c r="O175" i="161"/>
  <c r="O176" i="161"/>
  <c r="O177" i="161"/>
  <c r="O178" i="161"/>
  <c r="O179" i="161"/>
  <c r="O180" i="161"/>
  <c r="O181" i="161"/>
  <c r="O182" i="161"/>
  <c r="O183" i="161"/>
  <c r="O184" i="161"/>
  <c r="O185" i="161"/>
  <c r="O186" i="161"/>
  <c r="O187" i="161"/>
  <c r="O188" i="161"/>
  <c r="O189" i="161"/>
  <c r="O190" i="161"/>
  <c r="O191" i="161"/>
  <c r="O192" i="161"/>
  <c r="O193" i="161"/>
  <c r="O194" i="161"/>
  <c r="O195" i="161"/>
  <c r="O196" i="161"/>
  <c r="O197" i="161"/>
  <c r="O198" i="161"/>
  <c r="O199" i="161"/>
  <c r="O200" i="161"/>
  <c r="O201" i="161"/>
  <c r="O202" i="161"/>
  <c r="O203" i="161"/>
  <c r="O204" i="161"/>
  <c r="O205" i="161"/>
  <c r="O206" i="161"/>
  <c r="O207" i="161"/>
  <c r="O208" i="161"/>
  <c r="O209" i="161"/>
  <c r="O210" i="161"/>
  <c r="O211" i="161"/>
  <c r="O212" i="161"/>
  <c r="O213" i="161"/>
  <c r="O214" i="161"/>
  <c r="O215" i="161"/>
  <c r="O216" i="161"/>
  <c r="O217" i="161"/>
  <c r="O218" i="161"/>
  <c r="O219" i="161"/>
  <c r="O220" i="161"/>
  <c r="O221" i="161"/>
  <c r="O222" i="161"/>
  <c r="O223" i="161"/>
  <c r="O224" i="161"/>
  <c r="O225" i="161"/>
  <c r="O226" i="161"/>
  <c r="O227" i="161"/>
  <c r="O228" i="161"/>
  <c r="O229" i="161"/>
  <c r="O230" i="161"/>
  <c r="O231" i="161"/>
  <c r="O232" i="161"/>
  <c r="O233" i="161"/>
  <c r="O234" i="161"/>
  <c r="O235" i="161"/>
  <c r="O236" i="161"/>
  <c r="O237" i="161"/>
  <c r="O238" i="161"/>
  <c r="O239" i="161"/>
  <c r="O240" i="161"/>
  <c r="O241" i="161"/>
  <c r="O242" i="161"/>
  <c r="O243" i="161"/>
  <c r="O244" i="161"/>
  <c r="O245" i="161"/>
  <c r="O246" i="161"/>
  <c r="O247" i="161"/>
  <c r="O248" i="161"/>
  <c r="O249" i="161"/>
  <c r="O250" i="161"/>
  <c r="O251" i="161"/>
  <c r="O252" i="161"/>
  <c r="O253" i="161"/>
  <c r="O254" i="161"/>
  <c r="O255" i="161"/>
  <c r="O256" i="161"/>
  <c r="O257" i="161"/>
  <c r="O258" i="161"/>
  <c r="O259" i="161"/>
  <c r="O260" i="161"/>
  <c r="O261" i="161"/>
  <c r="O262" i="161"/>
  <c r="O263" i="161"/>
  <c r="O264" i="161"/>
  <c r="O265" i="161"/>
  <c r="O266" i="161"/>
  <c r="O267" i="161"/>
  <c r="O268" i="161"/>
  <c r="O269" i="161"/>
  <c r="O270" i="161"/>
  <c r="O271" i="161"/>
  <c r="O272" i="161"/>
  <c r="O273" i="161"/>
  <c r="O274" i="161"/>
  <c r="O275" i="161"/>
  <c r="O276" i="161"/>
  <c r="O277" i="161"/>
  <c r="O278" i="161"/>
  <c r="O279" i="161"/>
  <c r="O280" i="161"/>
  <c r="O281" i="161"/>
  <c r="O282" i="161"/>
  <c r="O283" i="161"/>
  <c r="O284" i="161"/>
  <c r="O285" i="161"/>
  <c r="O286" i="161"/>
  <c r="O287" i="161"/>
  <c r="O288" i="161"/>
  <c r="O289" i="161"/>
  <c r="O290" i="161"/>
  <c r="O291" i="161"/>
  <c r="O292" i="161"/>
  <c r="O293" i="161"/>
  <c r="O294" i="161"/>
  <c r="O295" i="161"/>
  <c r="O296" i="161"/>
  <c r="O297" i="161"/>
  <c r="O298" i="161"/>
  <c r="O299" i="161"/>
  <c r="O300" i="161"/>
  <c r="O301" i="161"/>
  <c r="O302" i="161"/>
  <c r="O303" i="161"/>
  <c r="O304" i="161"/>
  <c r="O305" i="161"/>
  <c r="O306" i="161"/>
  <c r="O307" i="161"/>
  <c r="O308" i="161"/>
  <c r="O309" i="161"/>
  <c r="O310" i="161"/>
  <c r="O311" i="161"/>
  <c r="O312" i="161"/>
  <c r="O313" i="161"/>
  <c r="O314" i="161"/>
  <c r="O315" i="161"/>
  <c r="O316" i="161"/>
  <c r="O317" i="161"/>
  <c r="O318" i="161"/>
  <c r="O319" i="161"/>
  <c r="O320" i="161"/>
  <c r="O321" i="161"/>
  <c r="O322" i="161"/>
  <c r="O323" i="161"/>
  <c r="O324" i="161"/>
  <c r="F41" i="160"/>
  <c r="G41" i="160"/>
  <c r="A2" i="157"/>
  <c r="O3" i="158"/>
  <c r="O5" i="158"/>
  <c r="O7" i="158"/>
  <c r="O9" i="158"/>
  <c r="O2" i="158"/>
  <c r="O4" i="158"/>
  <c r="O6" i="158"/>
  <c r="O8" i="158"/>
  <c r="O10" i="158"/>
  <c r="O11" i="158"/>
  <c r="O12" i="158"/>
  <c r="O13" i="158"/>
  <c r="O14" i="158"/>
  <c r="O15" i="158"/>
  <c r="O16" i="158"/>
  <c r="O17" i="158"/>
  <c r="O18" i="158"/>
  <c r="O19" i="158"/>
  <c r="O20" i="158"/>
  <c r="O21" i="158"/>
  <c r="O22" i="158"/>
  <c r="O23" i="158"/>
  <c r="O24" i="158"/>
  <c r="O25" i="158"/>
  <c r="O26" i="158"/>
  <c r="O27" i="158"/>
  <c r="O28" i="158"/>
  <c r="O29" i="158"/>
  <c r="O30" i="158"/>
  <c r="O31" i="158"/>
  <c r="O32" i="158"/>
  <c r="O33" i="158"/>
  <c r="O34" i="158"/>
  <c r="O35" i="158"/>
  <c r="O36" i="158"/>
  <c r="O37" i="158"/>
  <c r="O38" i="158"/>
  <c r="O39" i="158"/>
  <c r="O40" i="158"/>
  <c r="O41" i="158"/>
  <c r="O42" i="158"/>
  <c r="O43" i="158"/>
  <c r="O44" i="158"/>
  <c r="O45" i="158"/>
  <c r="O46" i="158"/>
  <c r="O47" i="158"/>
  <c r="O48" i="158"/>
  <c r="O49" i="158"/>
  <c r="O50" i="158"/>
  <c r="O51" i="158"/>
  <c r="B20" i="157"/>
  <c r="G20" i="157"/>
  <c r="H20" i="157"/>
  <c r="O52" i="158"/>
  <c r="O53" i="158"/>
  <c r="O54" i="158"/>
  <c r="O55" i="158"/>
  <c r="O56" i="158"/>
  <c r="O57" i="158"/>
  <c r="O58" i="158"/>
  <c r="O59" i="158"/>
  <c r="O60" i="158"/>
  <c r="O61" i="158"/>
  <c r="O62" i="158"/>
  <c r="O63" i="158"/>
  <c r="O64" i="158"/>
  <c r="O65" i="158"/>
  <c r="O66" i="158"/>
  <c r="O67" i="158"/>
  <c r="O68" i="158"/>
  <c r="O69" i="158"/>
  <c r="O70" i="158"/>
  <c r="O71" i="158"/>
  <c r="O72" i="158"/>
  <c r="O73" i="158"/>
  <c r="O74" i="158"/>
  <c r="O75" i="158"/>
  <c r="O76" i="158"/>
  <c r="O77" i="158"/>
  <c r="O78" i="158"/>
  <c r="O79" i="158"/>
  <c r="O80" i="158"/>
  <c r="O81" i="158"/>
  <c r="O82" i="158"/>
  <c r="O83" i="158"/>
  <c r="O84" i="158"/>
  <c r="O85" i="158"/>
  <c r="O86" i="158"/>
  <c r="O87" i="158"/>
  <c r="O88" i="158"/>
  <c r="O89" i="158"/>
  <c r="O90" i="158"/>
  <c r="O91" i="158"/>
  <c r="O92" i="158"/>
  <c r="O93" i="158"/>
  <c r="O94" i="158"/>
  <c r="O95" i="158"/>
  <c r="O96" i="158"/>
  <c r="O97" i="158"/>
  <c r="O98" i="158"/>
  <c r="O99" i="158"/>
  <c r="O100" i="158"/>
  <c r="O101" i="158"/>
  <c r="O102" i="158"/>
  <c r="O103" i="158"/>
  <c r="O104" i="158"/>
  <c r="O105" i="158"/>
  <c r="O106" i="158"/>
  <c r="O107" i="158"/>
  <c r="O108" i="158"/>
  <c r="O109" i="158"/>
  <c r="O110" i="158"/>
  <c r="O111" i="158"/>
  <c r="O112" i="158"/>
  <c r="O113" i="158"/>
  <c r="O114" i="158"/>
  <c r="O115" i="158"/>
  <c r="O116" i="158"/>
  <c r="O117" i="158"/>
  <c r="O118" i="158"/>
  <c r="O119" i="158"/>
  <c r="O120" i="158"/>
  <c r="O121" i="158"/>
  <c r="O122" i="158"/>
  <c r="O123" i="158"/>
  <c r="O124" i="158"/>
  <c r="O125" i="158"/>
  <c r="O126" i="158"/>
  <c r="O127" i="158"/>
  <c r="O128" i="158"/>
  <c r="O129" i="158"/>
  <c r="O130" i="158"/>
  <c r="O131" i="158"/>
  <c r="O132" i="158"/>
  <c r="O133" i="158"/>
  <c r="O134" i="158"/>
  <c r="O135" i="158"/>
  <c r="O136" i="158"/>
  <c r="O137" i="158"/>
  <c r="O138" i="158"/>
  <c r="O139" i="158"/>
  <c r="O140" i="158"/>
  <c r="O141" i="158"/>
  <c r="O142" i="158"/>
  <c r="O143" i="158"/>
  <c r="O144" i="158"/>
  <c r="O145" i="158"/>
  <c r="O146" i="158"/>
  <c r="O147" i="158"/>
  <c r="O148" i="158"/>
  <c r="O149" i="158"/>
  <c r="O150" i="158"/>
  <c r="O151" i="158"/>
  <c r="O152" i="158"/>
  <c r="O153" i="158"/>
  <c r="O154" i="158"/>
  <c r="O155" i="158"/>
  <c r="O156" i="158"/>
  <c r="O157" i="158"/>
  <c r="O158" i="158"/>
  <c r="O159" i="158"/>
  <c r="O160" i="158"/>
  <c r="O161" i="158"/>
  <c r="O162" i="158"/>
  <c r="O163" i="158"/>
  <c r="O164" i="158"/>
  <c r="O165" i="158"/>
  <c r="O166" i="158"/>
  <c r="O167" i="158"/>
  <c r="O168" i="158"/>
  <c r="O169" i="158"/>
  <c r="O170" i="158"/>
  <c r="O171" i="158"/>
  <c r="O172" i="158"/>
  <c r="O173" i="158"/>
  <c r="O174" i="158"/>
  <c r="O175" i="158"/>
  <c r="O176" i="158"/>
  <c r="O177" i="158"/>
  <c r="O178" i="158"/>
  <c r="O179" i="158"/>
  <c r="O180" i="158"/>
  <c r="O181" i="158"/>
  <c r="O182" i="158"/>
  <c r="O183" i="158"/>
  <c r="O184" i="158"/>
  <c r="O185" i="158"/>
  <c r="O186" i="158"/>
  <c r="O187" i="158"/>
  <c r="O188" i="158"/>
  <c r="O189" i="158"/>
  <c r="O190" i="158"/>
  <c r="O191" i="158"/>
  <c r="O192" i="158"/>
  <c r="O193" i="158"/>
  <c r="O194" i="158"/>
  <c r="O195" i="158"/>
  <c r="O196" i="158"/>
  <c r="O197" i="158"/>
  <c r="O198" i="158"/>
  <c r="O199" i="158"/>
  <c r="O200" i="158"/>
  <c r="O201" i="158"/>
  <c r="O202" i="158"/>
  <c r="O203" i="158"/>
  <c r="O204" i="158"/>
  <c r="O205" i="158"/>
  <c r="O206" i="158"/>
  <c r="O207" i="158"/>
  <c r="O208" i="158"/>
  <c r="O209" i="158"/>
  <c r="O210" i="158"/>
  <c r="O211" i="158"/>
  <c r="O212" i="158"/>
  <c r="O213" i="158"/>
  <c r="O214" i="158"/>
  <c r="O215" i="158"/>
  <c r="O216" i="158"/>
  <c r="O217" i="158"/>
  <c r="O218" i="158"/>
  <c r="O219" i="158"/>
  <c r="O220" i="158"/>
  <c r="O221" i="158"/>
  <c r="O222" i="158"/>
  <c r="O223" i="158"/>
  <c r="O224" i="158"/>
  <c r="O225" i="158"/>
  <c r="O226" i="158"/>
  <c r="O227" i="158"/>
  <c r="O228" i="158"/>
  <c r="O229" i="158"/>
  <c r="O230" i="158"/>
  <c r="O231" i="158"/>
  <c r="O232" i="158"/>
  <c r="O233" i="158"/>
  <c r="O234" i="158"/>
  <c r="O235" i="158"/>
  <c r="O236" i="158"/>
  <c r="O237" i="158"/>
  <c r="O238" i="158"/>
  <c r="O239" i="158"/>
  <c r="O240" i="158"/>
  <c r="O241" i="158"/>
  <c r="O242" i="158"/>
  <c r="O243" i="158"/>
  <c r="O244" i="158"/>
  <c r="O245" i="158"/>
  <c r="O246" i="158"/>
  <c r="O247" i="158"/>
  <c r="O248" i="158"/>
  <c r="O249" i="158"/>
  <c r="O250" i="158"/>
  <c r="O251" i="158"/>
  <c r="O252" i="158"/>
  <c r="O253" i="158"/>
  <c r="O254" i="158"/>
  <c r="O255" i="158"/>
  <c r="O256" i="158"/>
  <c r="O257" i="158"/>
  <c r="O258" i="158"/>
  <c r="O259" i="158"/>
  <c r="O260" i="158"/>
  <c r="O261" i="158"/>
  <c r="O262" i="158"/>
  <c r="O263" i="158"/>
  <c r="O264" i="158"/>
  <c r="O265" i="158"/>
  <c r="O266" i="158"/>
  <c r="O267" i="158"/>
  <c r="O268" i="158"/>
  <c r="O269" i="158"/>
  <c r="O270" i="158"/>
  <c r="O271" i="158"/>
  <c r="O272" i="158"/>
  <c r="O273" i="158"/>
  <c r="O274" i="158"/>
  <c r="O275" i="158"/>
  <c r="O276" i="158"/>
  <c r="O277" i="158"/>
  <c r="O278" i="158"/>
  <c r="O279" i="158"/>
  <c r="O280" i="158"/>
  <c r="O281" i="158"/>
  <c r="O282" i="158"/>
  <c r="O283" i="158"/>
  <c r="O284" i="158"/>
  <c r="O285" i="158"/>
  <c r="O286" i="158"/>
  <c r="O287" i="158"/>
  <c r="O288" i="158"/>
  <c r="O289" i="158"/>
  <c r="O290" i="158"/>
  <c r="O291" i="158"/>
  <c r="O292" i="158"/>
  <c r="O293" i="158"/>
  <c r="O294" i="158"/>
  <c r="O295" i="158"/>
  <c r="O296" i="158"/>
  <c r="O297" i="158"/>
  <c r="O298" i="158"/>
  <c r="O299" i="158"/>
  <c r="O300" i="158"/>
  <c r="O301" i="158"/>
  <c r="O302" i="158"/>
  <c r="O303" i="158"/>
  <c r="O304" i="158"/>
  <c r="O305" i="158"/>
  <c r="O306" i="158"/>
  <c r="O307" i="158"/>
  <c r="O308" i="158"/>
  <c r="O309" i="158"/>
  <c r="O310" i="158"/>
  <c r="O311" i="158"/>
  <c r="O312" i="158"/>
  <c r="O313" i="158"/>
  <c r="O314" i="158"/>
  <c r="O315" i="158"/>
  <c r="O316" i="158"/>
  <c r="O317" i="158"/>
  <c r="O318" i="158"/>
  <c r="O319" i="158"/>
  <c r="O320" i="158"/>
  <c r="O321" i="158"/>
  <c r="O322" i="158"/>
  <c r="O323" i="158"/>
  <c r="O324" i="158"/>
  <c r="F41" i="157"/>
  <c r="G41" i="157"/>
  <c r="I320" i="154"/>
  <c r="D320" i="154"/>
  <c r="J320" i="154"/>
  <c r="E320" i="154"/>
  <c r="F320" i="154"/>
  <c r="C320" i="154"/>
  <c r="H320" i="154"/>
  <c r="K320" i="154"/>
  <c r="L320" i="154"/>
  <c r="M320" i="154"/>
  <c r="N320" i="154"/>
  <c r="A2" i="153"/>
  <c r="I321" i="154"/>
  <c r="D321" i="154"/>
  <c r="J321" i="154"/>
  <c r="E321" i="154"/>
  <c r="F321" i="154"/>
  <c r="C321" i="154"/>
  <c r="I322" i="154"/>
  <c r="D322" i="154"/>
  <c r="J322" i="154"/>
  <c r="E322" i="154"/>
  <c r="F322" i="154"/>
  <c r="C322" i="154"/>
  <c r="I323" i="154"/>
  <c r="D323" i="154"/>
  <c r="J323" i="154"/>
  <c r="E323" i="154"/>
  <c r="F323" i="154"/>
  <c r="C323" i="154"/>
  <c r="I324" i="154"/>
  <c r="D324" i="154"/>
  <c r="J324" i="154"/>
  <c r="E324" i="154"/>
  <c r="F324" i="154"/>
  <c r="C324" i="154"/>
  <c r="I2" i="154"/>
  <c r="D2" i="154"/>
  <c r="J2" i="154"/>
  <c r="E2" i="154"/>
  <c r="C2" i="154"/>
  <c r="I3" i="154"/>
  <c r="D3" i="154"/>
  <c r="J3" i="154"/>
  <c r="E3" i="154"/>
  <c r="C3" i="154"/>
  <c r="I4" i="154"/>
  <c r="D4" i="154"/>
  <c r="J4" i="154"/>
  <c r="E4" i="154"/>
  <c r="C4" i="154"/>
  <c r="I5" i="154"/>
  <c r="D5" i="154"/>
  <c r="J5" i="154"/>
  <c r="E5" i="154"/>
  <c r="C5" i="154"/>
  <c r="I6" i="154"/>
  <c r="D6" i="154"/>
  <c r="J6" i="154"/>
  <c r="E6" i="154"/>
  <c r="C6" i="154"/>
  <c r="I7" i="154"/>
  <c r="D7" i="154"/>
  <c r="J7" i="154"/>
  <c r="E7" i="154"/>
  <c r="C7" i="154"/>
  <c r="I8" i="154"/>
  <c r="D8" i="154"/>
  <c r="J8" i="154"/>
  <c r="E8" i="154"/>
  <c r="C8" i="154"/>
  <c r="I9" i="154"/>
  <c r="D9" i="154"/>
  <c r="J9" i="154"/>
  <c r="E9" i="154"/>
  <c r="C9" i="154"/>
  <c r="I10" i="154"/>
  <c r="D10" i="154"/>
  <c r="J10" i="154"/>
  <c r="E10" i="154"/>
  <c r="C10" i="154"/>
  <c r="I11" i="154"/>
  <c r="D11" i="154"/>
  <c r="J11" i="154"/>
  <c r="E11" i="154"/>
  <c r="C11" i="154"/>
  <c r="I12" i="154"/>
  <c r="D12" i="154"/>
  <c r="J12" i="154"/>
  <c r="E12" i="154"/>
  <c r="C12" i="154"/>
  <c r="I13" i="154"/>
  <c r="D13" i="154"/>
  <c r="J13" i="154"/>
  <c r="E13" i="154"/>
  <c r="C13" i="154"/>
  <c r="I14" i="154"/>
  <c r="D14" i="154"/>
  <c r="J14" i="154"/>
  <c r="E14" i="154"/>
  <c r="C14" i="154"/>
  <c r="I15" i="154"/>
  <c r="D15" i="154"/>
  <c r="J15" i="154"/>
  <c r="E15" i="154"/>
  <c r="C15" i="154"/>
  <c r="I16" i="154"/>
  <c r="D16" i="154"/>
  <c r="J16" i="154"/>
  <c r="E16" i="154"/>
  <c r="C16" i="154"/>
  <c r="I17" i="154"/>
  <c r="D17" i="154"/>
  <c r="J17" i="154"/>
  <c r="E17" i="154"/>
  <c r="C17" i="154"/>
  <c r="I18" i="154"/>
  <c r="D18" i="154"/>
  <c r="J18" i="154"/>
  <c r="E18" i="154"/>
  <c r="C18" i="154"/>
  <c r="I19" i="154"/>
  <c r="D19" i="154"/>
  <c r="J19" i="154"/>
  <c r="E19" i="154"/>
  <c r="C19" i="154"/>
  <c r="I20" i="154"/>
  <c r="D20" i="154"/>
  <c r="J20" i="154"/>
  <c r="E20" i="154"/>
  <c r="C20" i="154"/>
  <c r="I21" i="154"/>
  <c r="D21" i="154"/>
  <c r="J21" i="154"/>
  <c r="E21" i="154"/>
  <c r="C21" i="154"/>
  <c r="I22" i="154"/>
  <c r="D22" i="154"/>
  <c r="J22" i="154"/>
  <c r="E22" i="154"/>
  <c r="C22" i="154"/>
  <c r="I23" i="154"/>
  <c r="D23" i="154"/>
  <c r="J23" i="154"/>
  <c r="E23" i="154"/>
  <c r="C23" i="154"/>
  <c r="I24" i="154"/>
  <c r="D24" i="154"/>
  <c r="J24" i="154"/>
  <c r="E24" i="154"/>
  <c r="C24" i="154"/>
  <c r="I25" i="154"/>
  <c r="D25" i="154"/>
  <c r="J25" i="154"/>
  <c r="E25" i="154"/>
  <c r="C25" i="154"/>
  <c r="I26" i="154"/>
  <c r="D26" i="154"/>
  <c r="J26" i="154"/>
  <c r="E26" i="154"/>
  <c r="C26" i="154"/>
  <c r="I27" i="154"/>
  <c r="D27" i="154"/>
  <c r="J27" i="154"/>
  <c r="E27" i="154"/>
  <c r="C27" i="154"/>
  <c r="I28" i="154"/>
  <c r="D28" i="154"/>
  <c r="J28" i="154"/>
  <c r="E28" i="154"/>
  <c r="C28" i="154"/>
  <c r="I29" i="154"/>
  <c r="D29" i="154"/>
  <c r="J29" i="154"/>
  <c r="E29" i="154"/>
  <c r="C29" i="154"/>
  <c r="I30" i="154"/>
  <c r="D30" i="154"/>
  <c r="J30" i="154"/>
  <c r="E30" i="154"/>
  <c r="C30" i="154"/>
  <c r="I31" i="154"/>
  <c r="D31" i="154"/>
  <c r="J31" i="154"/>
  <c r="E31" i="154"/>
  <c r="C31" i="154"/>
  <c r="I32" i="154"/>
  <c r="D32" i="154"/>
  <c r="J32" i="154"/>
  <c r="E32" i="154"/>
  <c r="C32" i="154"/>
  <c r="I33" i="154"/>
  <c r="D33" i="154"/>
  <c r="J33" i="154"/>
  <c r="E33" i="154"/>
  <c r="C33" i="154"/>
  <c r="I34" i="154"/>
  <c r="D34" i="154"/>
  <c r="J34" i="154"/>
  <c r="E34" i="154"/>
  <c r="C34" i="154"/>
  <c r="I35" i="154"/>
  <c r="D35" i="154"/>
  <c r="J35" i="154"/>
  <c r="E35" i="154"/>
  <c r="C35" i="154"/>
  <c r="I36" i="154"/>
  <c r="D36" i="154"/>
  <c r="J36" i="154"/>
  <c r="E36" i="154"/>
  <c r="C36" i="154"/>
  <c r="I37" i="154"/>
  <c r="D37" i="154"/>
  <c r="J37" i="154"/>
  <c r="E37" i="154"/>
  <c r="C37" i="154"/>
  <c r="I38" i="154"/>
  <c r="D38" i="154"/>
  <c r="J38" i="154"/>
  <c r="E38" i="154"/>
  <c r="C38" i="154"/>
  <c r="I39" i="154"/>
  <c r="D39" i="154"/>
  <c r="J39" i="154"/>
  <c r="E39" i="154"/>
  <c r="C39" i="154"/>
  <c r="I40" i="154"/>
  <c r="D40" i="154"/>
  <c r="J40" i="154"/>
  <c r="E40" i="154"/>
  <c r="C40" i="154"/>
  <c r="I41" i="154"/>
  <c r="D41" i="154"/>
  <c r="J41" i="154"/>
  <c r="E41" i="154"/>
  <c r="C41" i="154"/>
  <c r="I42" i="154"/>
  <c r="D42" i="154"/>
  <c r="J42" i="154"/>
  <c r="E42" i="154"/>
  <c r="C42" i="154"/>
  <c r="I43" i="154"/>
  <c r="D43" i="154"/>
  <c r="J43" i="154"/>
  <c r="E43" i="154"/>
  <c r="C43" i="154"/>
  <c r="I44" i="154"/>
  <c r="D44" i="154"/>
  <c r="J44" i="154"/>
  <c r="E44" i="154"/>
  <c r="C44" i="154"/>
  <c r="I45" i="154"/>
  <c r="D45" i="154"/>
  <c r="J45" i="154"/>
  <c r="E45" i="154"/>
  <c r="C45" i="154"/>
  <c r="I46" i="154"/>
  <c r="D46" i="154"/>
  <c r="J46" i="154"/>
  <c r="E46" i="154"/>
  <c r="C46" i="154"/>
  <c r="I47" i="154"/>
  <c r="D47" i="154"/>
  <c r="J47" i="154"/>
  <c r="E47" i="154"/>
  <c r="C47" i="154"/>
  <c r="I48" i="154"/>
  <c r="D48" i="154"/>
  <c r="J48" i="154"/>
  <c r="E48" i="154"/>
  <c r="C48" i="154"/>
  <c r="I49" i="154"/>
  <c r="D49" i="154"/>
  <c r="J49" i="154"/>
  <c r="E49" i="154"/>
  <c r="C49" i="154"/>
  <c r="I50" i="154"/>
  <c r="D50" i="154"/>
  <c r="J50" i="154"/>
  <c r="E50" i="154"/>
  <c r="C50" i="154"/>
  <c r="I51" i="154"/>
  <c r="D51" i="154"/>
  <c r="J51" i="154"/>
  <c r="E51" i="154"/>
  <c r="C51" i="154"/>
  <c r="I52" i="154"/>
  <c r="D52" i="154"/>
  <c r="J52" i="154"/>
  <c r="E52" i="154"/>
  <c r="C52" i="154"/>
  <c r="I53" i="154"/>
  <c r="D53" i="154"/>
  <c r="J53" i="154"/>
  <c r="E53" i="154"/>
  <c r="C53" i="154"/>
  <c r="I54" i="154"/>
  <c r="D54" i="154"/>
  <c r="J54" i="154"/>
  <c r="E54" i="154"/>
  <c r="C54" i="154"/>
  <c r="I55" i="154"/>
  <c r="D55" i="154"/>
  <c r="J55" i="154"/>
  <c r="E55" i="154"/>
  <c r="C55" i="154"/>
  <c r="I56" i="154"/>
  <c r="D56" i="154"/>
  <c r="J56" i="154"/>
  <c r="E56" i="154"/>
  <c r="C56" i="154"/>
  <c r="I57" i="154"/>
  <c r="D57" i="154"/>
  <c r="J57" i="154"/>
  <c r="E57" i="154"/>
  <c r="C57" i="154"/>
  <c r="I58" i="154"/>
  <c r="D58" i="154"/>
  <c r="J58" i="154"/>
  <c r="E58" i="154"/>
  <c r="C58" i="154"/>
  <c r="I59" i="154"/>
  <c r="D59" i="154"/>
  <c r="J59" i="154"/>
  <c r="E59" i="154"/>
  <c r="C59" i="154"/>
  <c r="I60" i="154"/>
  <c r="D60" i="154"/>
  <c r="J60" i="154"/>
  <c r="E60" i="154"/>
  <c r="C60" i="154"/>
  <c r="I61" i="154"/>
  <c r="D61" i="154"/>
  <c r="J61" i="154"/>
  <c r="E61" i="154"/>
  <c r="C61" i="154"/>
  <c r="I62" i="154"/>
  <c r="D62" i="154"/>
  <c r="J62" i="154"/>
  <c r="E62" i="154"/>
  <c r="C62" i="154"/>
  <c r="I63" i="154"/>
  <c r="D63" i="154"/>
  <c r="J63" i="154"/>
  <c r="E63" i="154"/>
  <c r="C63" i="154"/>
  <c r="I64" i="154"/>
  <c r="D64" i="154"/>
  <c r="J64" i="154"/>
  <c r="E64" i="154"/>
  <c r="C64" i="154"/>
  <c r="I65" i="154"/>
  <c r="D65" i="154"/>
  <c r="J65" i="154"/>
  <c r="E65" i="154"/>
  <c r="C65" i="154"/>
  <c r="I66" i="154"/>
  <c r="D66" i="154"/>
  <c r="J66" i="154"/>
  <c r="E66" i="154"/>
  <c r="C66" i="154"/>
  <c r="I67" i="154"/>
  <c r="D67" i="154"/>
  <c r="J67" i="154"/>
  <c r="E67" i="154"/>
  <c r="C67" i="154"/>
  <c r="I68" i="154"/>
  <c r="D68" i="154"/>
  <c r="J68" i="154"/>
  <c r="E68" i="154"/>
  <c r="C68" i="154"/>
  <c r="I69" i="154"/>
  <c r="D69" i="154"/>
  <c r="J69" i="154"/>
  <c r="E69" i="154"/>
  <c r="C69" i="154"/>
  <c r="I70" i="154"/>
  <c r="D70" i="154"/>
  <c r="J70" i="154"/>
  <c r="E70" i="154"/>
  <c r="C70" i="154"/>
  <c r="I71" i="154"/>
  <c r="D71" i="154"/>
  <c r="J71" i="154"/>
  <c r="E71" i="154"/>
  <c r="C71" i="154"/>
  <c r="I72" i="154"/>
  <c r="D72" i="154"/>
  <c r="J72" i="154"/>
  <c r="E72" i="154"/>
  <c r="C72" i="154"/>
  <c r="I73" i="154"/>
  <c r="D73" i="154"/>
  <c r="J73" i="154"/>
  <c r="E73" i="154"/>
  <c r="C73" i="154"/>
  <c r="I74" i="154"/>
  <c r="D74" i="154"/>
  <c r="J74" i="154"/>
  <c r="E74" i="154"/>
  <c r="C74" i="154"/>
  <c r="I75" i="154"/>
  <c r="D75" i="154"/>
  <c r="J75" i="154"/>
  <c r="E75" i="154"/>
  <c r="C75" i="154"/>
  <c r="I76" i="154"/>
  <c r="D76" i="154"/>
  <c r="J76" i="154"/>
  <c r="E76" i="154"/>
  <c r="C76" i="154"/>
  <c r="I77" i="154"/>
  <c r="D77" i="154"/>
  <c r="J77" i="154"/>
  <c r="E77" i="154"/>
  <c r="C77" i="154"/>
  <c r="I78" i="154"/>
  <c r="D78" i="154"/>
  <c r="J78" i="154"/>
  <c r="E78" i="154"/>
  <c r="C78" i="154"/>
  <c r="I79" i="154"/>
  <c r="D79" i="154"/>
  <c r="J79" i="154"/>
  <c r="E79" i="154"/>
  <c r="C79" i="154"/>
  <c r="I80" i="154"/>
  <c r="D80" i="154"/>
  <c r="J80" i="154"/>
  <c r="E80" i="154"/>
  <c r="C80" i="154"/>
  <c r="I81" i="154"/>
  <c r="D81" i="154"/>
  <c r="J81" i="154"/>
  <c r="E81" i="154"/>
  <c r="C81" i="154"/>
  <c r="I82" i="154"/>
  <c r="D82" i="154"/>
  <c r="J82" i="154"/>
  <c r="E82" i="154"/>
  <c r="C82" i="154"/>
  <c r="I83" i="154"/>
  <c r="D83" i="154"/>
  <c r="J83" i="154"/>
  <c r="E83" i="154"/>
  <c r="C83" i="154"/>
  <c r="I84" i="154"/>
  <c r="D84" i="154"/>
  <c r="J84" i="154"/>
  <c r="E84" i="154"/>
  <c r="C84" i="154"/>
  <c r="I85" i="154"/>
  <c r="D85" i="154"/>
  <c r="J85" i="154"/>
  <c r="E85" i="154"/>
  <c r="C85" i="154"/>
  <c r="I86" i="154"/>
  <c r="D86" i="154"/>
  <c r="J86" i="154"/>
  <c r="E86" i="154"/>
  <c r="C86" i="154"/>
  <c r="I87" i="154"/>
  <c r="D87" i="154"/>
  <c r="J87" i="154"/>
  <c r="E87" i="154"/>
  <c r="C87" i="154"/>
  <c r="I88" i="154"/>
  <c r="D88" i="154"/>
  <c r="J88" i="154"/>
  <c r="E88" i="154"/>
  <c r="C88" i="154"/>
  <c r="I89" i="154"/>
  <c r="D89" i="154"/>
  <c r="J89" i="154"/>
  <c r="E89" i="154"/>
  <c r="C89" i="154"/>
  <c r="I90" i="154"/>
  <c r="D90" i="154"/>
  <c r="J90" i="154"/>
  <c r="E90" i="154"/>
  <c r="C90" i="154"/>
  <c r="I91" i="154"/>
  <c r="D91" i="154"/>
  <c r="J91" i="154"/>
  <c r="E91" i="154"/>
  <c r="C91" i="154"/>
  <c r="I92" i="154"/>
  <c r="D92" i="154"/>
  <c r="J92" i="154"/>
  <c r="E92" i="154"/>
  <c r="C92" i="154"/>
  <c r="I93" i="154"/>
  <c r="D93" i="154"/>
  <c r="J93" i="154"/>
  <c r="E93" i="154"/>
  <c r="C93" i="154"/>
  <c r="I94" i="154"/>
  <c r="D94" i="154"/>
  <c r="J94" i="154"/>
  <c r="E94" i="154"/>
  <c r="C94" i="154"/>
  <c r="I95" i="154"/>
  <c r="D95" i="154"/>
  <c r="J95" i="154"/>
  <c r="E95" i="154"/>
  <c r="C95" i="154"/>
  <c r="I96" i="154"/>
  <c r="D96" i="154"/>
  <c r="J96" i="154"/>
  <c r="E96" i="154"/>
  <c r="C96" i="154"/>
  <c r="I97" i="154"/>
  <c r="D97" i="154"/>
  <c r="J97" i="154"/>
  <c r="E97" i="154"/>
  <c r="C97" i="154"/>
  <c r="I98" i="154"/>
  <c r="D98" i="154"/>
  <c r="J98" i="154"/>
  <c r="E98" i="154"/>
  <c r="C98" i="154"/>
  <c r="I99" i="154"/>
  <c r="D99" i="154"/>
  <c r="J99" i="154"/>
  <c r="E99" i="154"/>
  <c r="C99" i="154"/>
  <c r="I100" i="154"/>
  <c r="D100" i="154"/>
  <c r="J100" i="154"/>
  <c r="E100" i="154"/>
  <c r="C100" i="154"/>
  <c r="I101" i="154"/>
  <c r="D101" i="154"/>
  <c r="J101" i="154"/>
  <c r="E101" i="154"/>
  <c r="C101" i="154"/>
  <c r="I102" i="154"/>
  <c r="D102" i="154"/>
  <c r="J102" i="154"/>
  <c r="E102" i="154"/>
  <c r="C102" i="154"/>
  <c r="I103" i="154"/>
  <c r="D103" i="154"/>
  <c r="J103" i="154"/>
  <c r="E103" i="154"/>
  <c r="C103" i="154"/>
  <c r="I104" i="154"/>
  <c r="D104" i="154"/>
  <c r="J104" i="154"/>
  <c r="E104" i="154"/>
  <c r="C104" i="154"/>
  <c r="I105" i="154"/>
  <c r="D105" i="154"/>
  <c r="J105" i="154"/>
  <c r="E105" i="154"/>
  <c r="C105" i="154"/>
  <c r="I106" i="154"/>
  <c r="D106" i="154"/>
  <c r="J106" i="154"/>
  <c r="E106" i="154"/>
  <c r="C106" i="154"/>
  <c r="I107" i="154"/>
  <c r="D107" i="154"/>
  <c r="J107" i="154"/>
  <c r="E107" i="154"/>
  <c r="C107" i="154"/>
  <c r="I108" i="154"/>
  <c r="D108" i="154"/>
  <c r="J108" i="154"/>
  <c r="E108" i="154"/>
  <c r="C108" i="154"/>
  <c r="I109" i="154"/>
  <c r="D109" i="154"/>
  <c r="J109" i="154"/>
  <c r="E109" i="154"/>
  <c r="C109" i="154"/>
  <c r="I110" i="154"/>
  <c r="D110" i="154"/>
  <c r="J110" i="154"/>
  <c r="E110" i="154"/>
  <c r="C110" i="154"/>
  <c r="I111" i="154"/>
  <c r="D111" i="154"/>
  <c r="J111" i="154"/>
  <c r="E111" i="154"/>
  <c r="C111" i="154"/>
  <c r="I112" i="154"/>
  <c r="D112" i="154"/>
  <c r="J112" i="154"/>
  <c r="E112" i="154"/>
  <c r="C112" i="154"/>
  <c r="I113" i="154"/>
  <c r="D113" i="154"/>
  <c r="J113" i="154"/>
  <c r="E113" i="154"/>
  <c r="C113" i="154"/>
  <c r="I114" i="154"/>
  <c r="D114" i="154"/>
  <c r="J114" i="154"/>
  <c r="E114" i="154"/>
  <c r="C114" i="154"/>
  <c r="I115" i="154"/>
  <c r="D115" i="154"/>
  <c r="J115" i="154"/>
  <c r="E115" i="154"/>
  <c r="C115" i="154"/>
  <c r="I116" i="154"/>
  <c r="D116" i="154"/>
  <c r="J116" i="154"/>
  <c r="E116" i="154"/>
  <c r="C116" i="154"/>
  <c r="I117" i="154"/>
  <c r="D117" i="154"/>
  <c r="J117" i="154"/>
  <c r="E117" i="154"/>
  <c r="C117" i="154"/>
  <c r="I118" i="154"/>
  <c r="D118" i="154"/>
  <c r="J118" i="154"/>
  <c r="E118" i="154"/>
  <c r="C118" i="154"/>
  <c r="I119" i="154"/>
  <c r="D119" i="154"/>
  <c r="J119" i="154"/>
  <c r="E119" i="154"/>
  <c r="C119" i="154"/>
  <c r="I120" i="154"/>
  <c r="D120" i="154"/>
  <c r="J120" i="154"/>
  <c r="E120" i="154"/>
  <c r="C120" i="154"/>
  <c r="I121" i="154"/>
  <c r="D121" i="154"/>
  <c r="J121" i="154"/>
  <c r="E121" i="154"/>
  <c r="C121" i="154"/>
  <c r="I122" i="154"/>
  <c r="D122" i="154"/>
  <c r="J122" i="154"/>
  <c r="E122" i="154"/>
  <c r="C122" i="154"/>
  <c r="I123" i="154"/>
  <c r="D123" i="154"/>
  <c r="J123" i="154"/>
  <c r="E123" i="154"/>
  <c r="C123" i="154"/>
  <c r="I124" i="154"/>
  <c r="D124" i="154"/>
  <c r="J124" i="154"/>
  <c r="E124" i="154"/>
  <c r="C124" i="154"/>
  <c r="I125" i="154"/>
  <c r="D125" i="154"/>
  <c r="J125" i="154"/>
  <c r="E125" i="154"/>
  <c r="C125" i="154"/>
  <c r="I126" i="154"/>
  <c r="D126" i="154"/>
  <c r="J126" i="154"/>
  <c r="E126" i="154"/>
  <c r="C126" i="154"/>
  <c r="I127" i="154"/>
  <c r="D127" i="154"/>
  <c r="J127" i="154"/>
  <c r="E127" i="154"/>
  <c r="C127" i="154"/>
  <c r="I128" i="154"/>
  <c r="D128" i="154"/>
  <c r="J128" i="154"/>
  <c r="E128" i="154"/>
  <c r="C128" i="154"/>
  <c r="I129" i="154"/>
  <c r="D129" i="154"/>
  <c r="J129" i="154"/>
  <c r="E129" i="154"/>
  <c r="C129" i="154"/>
  <c r="I130" i="154"/>
  <c r="D130" i="154"/>
  <c r="J130" i="154"/>
  <c r="E130" i="154"/>
  <c r="C130" i="154"/>
  <c r="I131" i="154"/>
  <c r="D131" i="154"/>
  <c r="J131" i="154"/>
  <c r="E131" i="154"/>
  <c r="C131" i="154"/>
  <c r="I132" i="154"/>
  <c r="D132" i="154"/>
  <c r="J132" i="154"/>
  <c r="E132" i="154"/>
  <c r="C132" i="154"/>
  <c r="I133" i="154"/>
  <c r="D133" i="154"/>
  <c r="J133" i="154"/>
  <c r="E133" i="154"/>
  <c r="C133" i="154"/>
  <c r="I134" i="154"/>
  <c r="D134" i="154"/>
  <c r="J134" i="154"/>
  <c r="E134" i="154"/>
  <c r="C134" i="154"/>
  <c r="I135" i="154"/>
  <c r="D135" i="154"/>
  <c r="J135" i="154"/>
  <c r="E135" i="154"/>
  <c r="C135" i="154"/>
  <c r="I136" i="154"/>
  <c r="D136" i="154"/>
  <c r="J136" i="154"/>
  <c r="E136" i="154"/>
  <c r="C136" i="154"/>
  <c r="I137" i="154"/>
  <c r="D137" i="154"/>
  <c r="J137" i="154"/>
  <c r="E137" i="154"/>
  <c r="C137" i="154"/>
  <c r="I138" i="154"/>
  <c r="D138" i="154"/>
  <c r="J138" i="154"/>
  <c r="E138" i="154"/>
  <c r="C138" i="154"/>
  <c r="I139" i="154"/>
  <c r="D139" i="154"/>
  <c r="J139" i="154"/>
  <c r="E139" i="154"/>
  <c r="C139" i="154"/>
  <c r="I140" i="154"/>
  <c r="D140" i="154"/>
  <c r="J140" i="154"/>
  <c r="E140" i="154"/>
  <c r="C140" i="154"/>
  <c r="I141" i="154"/>
  <c r="D141" i="154"/>
  <c r="J141" i="154"/>
  <c r="E141" i="154"/>
  <c r="C141" i="154"/>
  <c r="I142" i="154"/>
  <c r="D142" i="154"/>
  <c r="J142" i="154"/>
  <c r="E142" i="154"/>
  <c r="C142" i="154"/>
  <c r="I143" i="154"/>
  <c r="D143" i="154"/>
  <c r="J143" i="154"/>
  <c r="E143" i="154"/>
  <c r="C143" i="154"/>
  <c r="I144" i="154"/>
  <c r="D144" i="154"/>
  <c r="J144" i="154"/>
  <c r="E144" i="154"/>
  <c r="C144" i="154"/>
  <c r="I145" i="154"/>
  <c r="D145" i="154"/>
  <c r="J145" i="154"/>
  <c r="E145" i="154"/>
  <c r="C145" i="154"/>
  <c r="I146" i="154"/>
  <c r="D146" i="154"/>
  <c r="J146" i="154"/>
  <c r="E146" i="154"/>
  <c r="C146" i="154"/>
  <c r="I147" i="154"/>
  <c r="D147" i="154"/>
  <c r="J147" i="154"/>
  <c r="E147" i="154"/>
  <c r="C147" i="154"/>
  <c r="I148" i="154"/>
  <c r="D148" i="154"/>
  <c r="J148" i="154"/>
  <c r="E148" i="154"/>
  <c r="C148" i="154"/>
  <c r="I149" i="154"/>
  <c r="D149" i="154"/>
  <c r="J149" i="154"/>
  <c r="E149" i="154"/>
  <c r="C149" i="154"/>
  <c r="I150" i="154"/>
  <c r="D150" i="154"/>
  <c r="J150" i="154"/>
  <c r="E150" i="154"/>
  <c r="C150" i="154"/>
  <c r="I151" i="154"/>
  <c r="D151" i="154"/>
  <c r="J151" i="154"/>
  <c r="E151" i="154"/>
  <c r="C151" i="154"/>
  <c r="I152" i="154"/>
  <c r="D152" i="154"/>
  <c r="J152" i="154"/>
  <c r="E152" i="154"/>
  <c r="C152" i="154"/>
  <c r="I153" i="154"/>
  <c r="D153" i="154"/>
  <c r="J153" i="154"/>
  <c r="E153" i="154"/>
  <c r="C153" i="154"/>
  <c r="I154" i="154"/>
  <c r="D154" i="154"/>
  <c r="J154" i="154"/>
  <c r="E154" i="154"/>
  <c r="C154" i="154"/>
  <c r="I155" i="154"/>
  <c r="D155" i="154"/>
  <c r="J155" i="154"/>
  <c r="E155" i="154"/>
  <c r="C155" i="154"/>
  <c r="I156" i="154"/>
  <c r="D156" i="154"/>
  <c r="J156" i="154"/>
  <c r="E156" i="154"/>
  <c r="C156" i="154"/>
  <c r="I157" i="154"/>
  <c r="D157" i="154"/>
  <c r="J157" i="154"/>
  <c r="E157" i="154"/>
  <c r="C157" i="154"/>
  <c r="I158" i="154"/>
  <c r="D158" i="154"/>
  <c r="J158" i="154"/>
  <c r="E158" i="154"/>
  <c r="C158" i="154"/>
  <c r="I159" i="154"/>
  <c r="D159" i="154"/>
  <c r="J159" i="154"/>
  <c r="E159" i="154"/>
  <c r="C159" i="154"/>
  <c r="I160" i="154"/>
  <c r="D160" i="154"/>
  <c r="J160" i="154"/>
  <c r="E160" i="154"/>
  <c r="C160" i="154"/>
  <c r="I161" i="154"/>
  <c r="D161" i="154"/>
  <c r="J161" i="154"/>
  <c r="E161" i="154"/>
  <c r="C161" i="154"/>
  <c r="I162" i="154"/>
  <c r="D162" i="154"/>
  <c r="J162" i="154"/>
  <c r="E162" i="154"/>
  <c r="C162" i="154"/>
  <c r="I163" i="154"/>
  <c r="D163" i="154"/>
  <c r="J163" i="154"/>
  <c r="E163" i="154"/>
  <c r="C163" i="154"/>
  <c r="I164" i="154"/>
  <c r="D164" i="154"/>
  <c r="J164" i="154"/>
  <c r="E164" i="154"/>
  <c r="C164" i="154"/>
  <c r="I165" i="154"/>
  <c r="D165" i="154"/>
  <c r="J165" i="154"/>
  <c r="E165" i="154"/>
  <c r="C165" i="154"/>
  <c r="I166" i="154"/>
  <c r="D166" i="154"/>
  <c r="J166" i="154"/>
  <c r="E166" i="154"/>
  <c r="C166" i="154"/>
  <c r="I167" i="154"/>
  <c r="D167" i="154"/>
  <c r="J167" i="154"/>
  <c r="E167" i="154"/>
  <c r="C167" i="154"/>
  <c r="I168" i="154"/>
  <c r="D168" i="154"/>
  <c r="J168" i="154"/>
  <c r="E168" i="154"/>
  <c r="C168" i="154"/>
  <c r="I169" i="154"/>
  <c r="D169" i="154"/>
  <c r="J169" i="154"/>
  <c r="E169" i="154"/>
  <c r="C169" i="154"/>
  <c r="I170" i="154"/>
  <c r="D170" i="154"/>
  <c r="J170" i="154"/>
  <c r="E170" i="154"/>
  <c r="C170" i="154"/>
  <c r="I171" i="154"/>
  <c r="D171" i="154"/>
  <c r="J171" i="154"/>
  <c r="E171" i="154"/>
  <c r="C171" i="154"/>
  <c r="I172" i="154"/>
  <c r="D172" i="154"/>
  <c r="J172" i="154"/>
  <c r="E172" i="154"/>
  <c r="C172" i="154"/>
  <c r="I173" i="154"/>
  <c r="D173" i="154"/>
  <c r="J173" i="154"/>
  <c r="E173" i="154"/>
  <c r="C173" i="154"/>
  <c r="I174" i="154"/>
  <c r="D174" i="154"/>
  <c r="J174" i="154"/>
  <c r="E174" i="154"/>
  <c r="C174" i="154"/>
  <c r="I175" i="154"/>
  <c r="D175" i="154"/>
  <c r="J175" i="154"/>
  <c r="E175" i="154"/>
  <c r="C175" i="154"/>
  <c r="I176" i="154"/>
  <c r="D176" i="154"/>
  <c r="J176" i="154"/>
  <c r="E176" i="154"/>
  <c r="C176" i="154"/>
  <c r="I177" i="154"/>
  <c r="D177" i="154"/>
  <c r="J177" i="154"/>
  <c r="E177" i="154"/>
  <c r="C177" i="154"/>
  <c r="I178" i="154"/>
  <c r="D178" i="154"/>
  <c r="J178" i="154"/>
  <c r="E178" i="154"/>
  <c r="C178" i="154"/>
  <c r="I179" i="154"/>
  <c r="D179" i="154"/>
  <c r="J179" i="154"/>
  <c r="E179" i="154"/>
  <c r="C179" i="154"/>
  <c r="I180" i="154"/>
  <c r="D180" i="154"/>
  <c r="J180" i="154"/>
  <c r="E180" i="154"/>
  <c r="C180" i="154"/>
  <c r="I181" i="154"/>
  <c r="D181" i="154"/>
  <c r="J181" i="154"/>
  <c r="E181" i="154"/>
  <c r="C181" i="154"/>
  <c r="I182" i="154"/>
  <c r="D182" i="154"/>
  <c r="J182" i="154"/>
  <c r="E182" i="154"/>
  <c r="C182" i="154"/>
  <c r="I183" i="154"/>
  <c r="D183" i="154"/>
  <c r="J183" i="154"/>
  <c r="E183" i="154"/>
  <c r="C183" i="154"/>
  <c r="I184" i="154"/>
  <c r="D184" i="154"/>
  <c r="J184" i="154"/>
  <c r="E184" i="154"/>
  <c r="C184" i="154"/>
  <c r="I185" i="154"/>
  <c r="D185" i="154"/>
  <c r="J185" i="154"/>
  <c r="E185" i="154"/>
  <c r="C185" i="154"/>
  <c r="I186" i="154"/>
  <c r="D186" i="154"/>
  <c r="J186" i="154"/>
  <c r="E186" i="154"/>
  <c r="C186" i="154"/>
  <c r="I187" i="154"/>
  <c r="D187" i="154"/>
  <c r="J187" i="154"/>
  <c r="E187" i="154"/>
  <c r="C187" i="154"/>
  <c r="I188" i="154"/>
  <c r="D188" i="154"/>
  <c r="J188" i="154"/>
  <c r="E188" i="154"/>
  <c r="C188" i="154"/>
  <c r="I189" i="154"/>
  <c r="D189" i="154"/>
  <c r="J189" i="154"/>
  <c r="E189" i="154"/>
  <c r="C189" i="154"/>
  <c r="I190" i="154"/>
  <c r="D190" i="154"/>
  <c r="J190" i="154"/>
  <c r="E190" i="154"/>
  <c r="C190" i="154"/>
  <c r="I191" i="154"/>
  <c r="D191" i="154"/>
  <c r="J191" i="154"/>
  <c r="E191" i="154"/>
  <c r="C191" i="154"/>
  <c r="I192" i="154"/>
  <c r="D192" i="154"/>
  <c r="J192" i="154"/>
  <c r="E192" i="154"/>
  <c r="C192" i="154"/>
  <c r="I193" i="154"/>
  <c r="D193" i="154"/>
  <c r="J193" i="154"/>
  <c r="E193" i="154"/>
  <c r="C193" i="154"/>
  <c r="I194" i="154"/>
  <c r="D194" i="154"/>
  <c r="J194" i="154"/>
  <c r="E194" i="154"/>
  <c r="C194" i="154"/>
  <c r="I195" i="154"/>
  <c r="D195" i="154"/>
  <c r="J195" i="154"/>
  <c r="E195" i="154"/>
  <c r="C195" i="154"/>
  <c r="I196" i="154"/>
  <c r="D196" i="154"/>
  <c r="J196" i="154"/>
  <c r="E196" i="154"/>
  <c r="C196" i="154"/>
  <c r="I197" i="154"/>
  <c r="D197" i="154"/>
  <c r="J197" i="154"/>
  <c r="E197" i="154"/>
  <c r="C197" i="154"/>
  <c r="I198" i="154"/>
  <c r="D198" i="154"/>
  <c r="J198" i="154"/>
  <c r="E198" i="154"/>
  <c r="C198" i="154"/>
  <c r="I199" i="154"/>
  <c r="D199" i="154"/>
  <c r="J199" i="154"/>
  <c r="E199" i="154"/>
  <c r="C199" i="154"/>
  <c r="I200" i="154"/>
  <c r="D200" i="154"/>
  <c r="J200" i="154"/>
  <c r="E200" i="154"/>
  <c r="C200" i="154"/>
  <c r="I201" i="154"/>
  <c r="D201" i="154"/>
  <c r="J201" i="154"/>
  <c r="E201" i="154"/>
  <c r="C201" i="154"/>
  <c r="I202" i="154"/>
  <c r="D202" i="154"/>
  <c r="J202" i="154"/>
  <c r="E202" i="154"/>
  <c r="C202" i="154"/>
  <c r="I203" i="154"/>
  <c r="D203" i="154"/>
  <c r="J203" i="154"/>
  <c r="E203" i="154"/>
  <c r="C203" i="154"/>
  <c r="I204" i="154"/>
  <c r="D204" i="154"/>
  <c r="J204" i="154"/>
  <c r="E204" i="154"/>
  <c r="C204" i="154"/>
  <c r="I205" i="154"/>
  <c r="D205" i="154"/>
  <c r="J205" i="154"/>
  <c r="E205" i="154"/>
  <c r="C205" i="154"/>
  <c r="I206" i="154"/>
  <c r="D206" i="154"/>
  <c r="J206" i="154"/>
  <c r="E206" i="154"/>
  <c r="C206" i="154"/>
  <c r="I207" i="154"/>
  <c r="D207" i="154"/>
  <c r="J207" i="154"/>
  <c r="E207" i="154"/>
  <c r="C207" i="154"/>
  <c r="I208" i="154"/>
  <c r="D208" i="154"/>
  <c r="J208" i="154"/>
  <c r="E208" i="154"/>
  <c r="C208" i="154"/>
  <c r="I209" i="154"/>
  <c r="D209" i="154"/>
  <c r="J209" i="154"/>
  <c r="E209" i="154"/>
  <c r="C209" i="154"/>
  <c r="I210" i="154"/>
  <c r="D210" i="154"/>
  <c r="J210" i="154"/>
  <c r="E210" i="154"/>
  <c r="C210" i="154"/>
  <c r="I211" i="154"/>
  <c r="D211" i="154"/>
  <c r="J211" i="154"/>
  <c r="E211" i="154"/>
  <c r="C211" i="154"/>
  <c r="I212" i="154"/>
  <c r="D212" i="154"/>
  <c r="J212" i="154"/>
  <c r="E212" i="154"/>
  <c r="C212" i="154"/>
  <c r="I213" i="154"/>
  <c r="D213" i="154"/>
  <c r="J213" i="154"/>
  <c r="E213" i="154"/>
  <c r="C213" i="154"/>
  <c r="I214" i="154"/>
  <c r="D214" i="154"/>
  <c r="J214" i="154"/>
  <c r="E214" i="154"/>
  <c r="C214" i="154"/>
  <c r="I215" i="154"/>
  <c r="D215" i="154"/>
  <c r="J215" i="154"/>
  <c r="E215" i="154"/>
  <c r="C215" i="154"/>
  <c r="I216" i="154"/>
  <c r="D216" i="154"/>
  <c r="J216" i="154"/>
  <c r="E216" i="154"/>
  <c r="C216" i="154"/>
  <c r="I217" i="154"/>
  <c r="D217" i="154"/>
  <c r="J217" i="154"/>
  <c r="E217" i="154"/>
  <c r="C217" i="154"/>
  <c r="I218" i="154"/>
  <c r="D218" i="154"/>
  <c r="J218" i="154"/>
  <c r="E218" i="154"/>
  <c r="C218" i="154"/>
  <c r="I219" i="154"/>
  <c r="D219" i="154"/>
  <c r="J219" i="154"/>
  <c r="E219" i="154"/>
  <c r="C219" i="154"/>
  <c r="I220" i="154"/>
  <c r="D220" i="154"/>
  <c r="J220" i="154"/>
  <c r="E220" i="154"/>
  <c r="C220" i="154"/>
  <c r="I221" i="154"/>
  <c r="D221" i="154"/>
  <c r="J221" i="154"/>
  <c r="E221" i="154"/>
  <c r="C221" i="154"/>
  <c r="I222" i="154"/>
  <c r="D222" i="154"/>
  <c r="J222" i="154"/>
  <c r="E222" i="154"/>
  <c r="C222" i="154"/>
  <c r="I223" i="154"/>
  <c r="D223" i="154"/>
  <c r="J223" i="154"/>
  <c r="E223" i="154"/>
  <c r="C223" i="154"/>
  <c r="I224" i="154"/>
  <c r="D224" i="154"/>
  <c r="J224" i="154"/>
  <c r="E224" i="154"/>
  <c r="C224" i="154"/>
  <c r="I225" i="154"/>
  <c r="D225" i="154"/>
  <c r="J225" i="154"/>
  <c r="E225" i="154"/>
  <c r="C225" i="154"/>
  <c r="I226" i="154"/>
  <c r="D226" i="154"/>
  <c r="J226" i="154"/>
  <c r="E226" i="154"/>
  <c r="C226" i="154"/>
  <c r="I227" i="154"/>
  <c r="D227" i="154"/>
  <c r="J227" i="154"/>
  <c r="E227" i="154"/>
  <c r="C227" i="154"/>
  <c r="I228" i="154"/>
  <c r="D228" i="154"/>
  <c r="J228" i="154"/>
  <c r="E228" i="154"/>
  <c r="C228" i="154"/>
  <c r="I229" i="154"/>
  <c r="D229" i="154"/>
  <c r="J229" i="154"/>
  <c r="E229" i="154"/>
  <c r="C229" i="154"/>
  <c r="I230" i="154"/>
  <c r="D230" i="154"/>
  <c r="J230" i="154"/>
  <c r="E230" i="154"/>
  <c r="C230" i="154"/>
  <c r="I231" i="154"/>
  <c r="D231" i="154"/>
  <c r="J231" i="154"/>
  <c r="E231" i="154"/>
  <c r="C231" i="154"/>
  <c r="I232" i="154"/>
  <c r="D232" i="154"/>
  <c r="J232" i="154"/>
  <c r="E232" i="154"/>
  <c r="C232" i="154"/>
  <c r="I233" i="154"/>
  <c r="D233" i="154"/>
  <c r="J233" i="154"/>
  <c r="E233" i="154"/>
  <c r="C233" i="154"/>
  <c r="I234" i="154"/>
  <c r="D234" i="154"/>
  <c r="J234" i="154"/>
  <c r="E234" i="154"/>
  <c r="C234" i="154"/>
  <c r="I235" i="154"/>
  <c r="D235" i="154"/>
  <c r="J235" i="154"/>
  <c r="E235" i="154"/>
  <c r="C235" i="154"/>
  <c r="I236" i="154"/>
  <c r="D236" i="154"/>
  <c r="J236" i="154"/>
  <c r="E236" i="154"/>
  <c r="C236" i="154"/>
  <c r="I237" i="154"/>
  <c r="D237" i="154"/>
  <c r="J237" i="154"/>
  <c r="E237" i="154"/>
  <c r="C237" i="154"/>
  <c r="I238" i="154"/>
  <c r="D238" i="154"/>
  <c r="J238" i="154"/>
  <c r="E238" i="154"/>
  <c r="C238" i="154"/>
  <c r="I239" i="154"/>
  <c r="D239" i="154"/>
  <c r="J239" i="154"/>
  <c r="E239" i="154"/>
  <c r="C239" i="154"/>
  <c r="I240" i="154"/>
  <c r="D240" i="154"/>
  <c r="J240" i="154"/>
  <c r="E240" i="154"/>
  <c r="C240" i="154"/>
  <c r="I241" i="154"/>
  <c r="D241" i="154"/>
  <c r="J241" i="154"/>
  <c r="E241" i="154"/>
  <c r="C241" i="154"/>
  <c r="I242" i="154"/>
  <c r="D242" i="154"/>
  <c r="J242" i="154"/>
  <c r="E242" i="154"/>
  <c r="C242" i="154"/>
  <c r="I243" i="154"/>
  <c r="D243" i="154"/>
  <c r="J243" i="154"/>
  <c r="E243" i="154"/>
  <c r="C243" i="154"/>
  <c r="I244" i="154"/>
  <c r="D244" i="154"/>
  <c r="J244" i="154"/>
  <c r="E244" i="154"/>
  <c r="C244" i="154"/>
  <c r="I245" i="154"/>
  <c r="D245" i="154"/>
  <c r="J245" i="154"/>
  <c r="E245" i="154"/>
  <c r="C245" i="154"/>
  <c r="I246" i="154"/>
  <c r="D246" i="154"/>
  <c r="J246" i="154"/>
  <c r="E246" i="154"/>
  <c r="C246" i="154"/>
  <c r="I247" i="154"/>
  <c r="D247" i="154"/>
  <c r="J247" i="154"/>
  <c r="E247" i="154"/>
  <c r="C247" i="154"/>
  <c r="I248" i="154"/>
  <c r="D248" i="154"/>
  <c r="J248" i="154"/>
  <c r="E248" i="154"/>
  <c r="C248" i="154"/>
  <c r="I249" i="154"/>
  <c r="D249" i="154"/>
  <c r="J249" i="154"/>
  <c r="E249" i="154"/>
  <c r="C249" i="154"/>
  <c r="I250" i="154"/>
  <c r="D250" i="154"/>
  <c r="J250" i="154"/>
  <c r="E250" i="154"/>
  <c r="C250" i="154"/>
  <c r="I251" i="154"/>
  <c r="D251" i="154"/>
  <c r="J251" i="154"/>
  <c r="E251" i="154"/>
  <c r="C251" i="154"/>
  <c r="I252" i="154"/>
  <c r="D252" i="154"/>
  <c r="J252" i="154"/>
  <c r="E252" i="154"/>
  <c r="C252" i="154"/>
  <c r="I253" i="154"/>
  <c r="D253" i="154"/>
  <c r="J253" i="154"/>
  <c r="E253" i="154"/>
  <c r="C253" i="154"/>
  <c r="I254" i="154"/>
  <c r="D254" i="154"/>
  <c r="J254" i="154"/>
  <c r="E254" i="154"/>
  <c r="C254" i="154"/>
  <c r="I255" i="154"/>
  <c r="D255" i="154"/>
  <c r="J255" i="154"/>
  <c r="E255" i="154"/>
  <c r="C255" i="154"/>
  <c r="I256" i="154"/>
  <c r="D256" i="154"/>
  <c r="J256" i="154"/>
  <c r="E256" i="154"/>
  <c r="C256" i="154"/>
  <c r="I257" i="154"/>
  <c r="D257" i="154"/>
  <c r="J257" i="154"/>
  <c r="E257" i="154"/>
  <c r="C257" i="154"/>
  <c r="I258" i="154"/>
  <c r="D258" i="154"/>
  <c r="J258" i="154"/>
  <c r="E258" i="154"/>
  <c r="C258" i="154"/>
  <c r="I259" i="154"/>
  <c r="D259" i="154"/>
  <c r="J259" i="154"/>
  <c r="E259" i="154"/>
  <c r="C259" i="154"/>
  <c r="I260" i="154"/>
  <c r="D260" i="154"/>
  <c r="J260" i="154"/>
  <c r="E260" i="154"/>
  <c r="C260" i="154"/>
  <c r="I261" i="154"/>
  <c r="D261" i="154"/>
  <c r="J261" i="154"/>
  <c r="E261" i="154"/>
  <c r="C261" i="154"/>
  <c r="I262" i="154"/>
  <c r="D262" i="154"/>
  <c r="J262" i="154"/>
  <c r="E262" i="154"/>
  <c r="C262" i="154"/>
  <c r="I263" i="154"/>
  <c r="D263" i="154"/>
  <c r="J263" i="154"/>
  <c r="E263" i="154"/>
  <c r="C263" i="154"/>
  <c r="I264" i="154"/>
  <c r="D264" i="154"/>
  <c r="J264" i="154"/>
  <c r="E264" i="154"/>
  <c r="C264" i="154"/>
  <c r="I265" i="154"/>
  <c r="D265" i="154"/>
  <c r="J265" i="154"/>
  <c r="E265" i="154"/>
  <c r="C265" i="154"/>
  <c r="I266" i="154"/>
  <c r="D266" i="154"/>
  <c r="J266" i="154"/>
  <c r="E266" i="154"/>
  <c r="C266" i="154"/>
  <c r="I267" i="154"/>
  <c r="D267" i="154"/>
  <c r="J267" i="154"/>
  <c r="E267" i="154"/>
  <c r="C267" i="154"/>
  <c r="I268" i="154"/>
  <c r="D268" i="154"/>
  <c r="J268" i="154"/>
  <c r="E268" i="154"/>
  <c r="C268" i="154"/>
  <c r="I269" i="154"/>
  <c r="D269" i="154"/>
  <c r="J269" i="154"/>
  <c r="E269" i="154"/>
  <c r="C269" i="154"/>
  <c r="I270" i="154"/>
  <c r="D270" i="154"/>
  <c r="J270" i="154"/>
  <c r="E270" i="154"/>
  <c r="C270" i="154"/>
  <c r="I271" i="154"/>
  <c r="D271" i="154"/>
  <c r="J271" i="154"/>
  <c r="E271" i="154"/>
  <c r="C271" i="154"/>
  <c r="I272" i="154"/>
  <c r="D272" i="154"/>
  <c r="J272" i="154"/>
  <c r="E272" i="154"/>
  <c r="C272" i="154"/>
  <c r="I273" i="154"/>
  <c r="D273" i="154"/>
  <c r="J273" i="154"/>
  <c r="E273" i="154"/>
  <c r="C273" i="154"/>
  <c r="I274" i="154"/>
  <c r="D274" i="154"/>
  <c r="J274" i="154"/>
  <c r="E274" i="154"/>
  <c r="C274" i="154"/>
  <c r="I275" i="154"/>
  <c r="D275" i="154"/>
  <c r="J275" i="154"/>
  <c r="E275" i="154"/>
  <c r="C275" i="154"/>
  <c r="I276" i="154"/>
  <c r="D276" i="154"/>
  <c r="J276" i="154"/>
  <c r="E276" i="154"/>
  <c r="C276" i="154"/>
  <c r="I277" i="154"/>
  <c r="D277" i="154"/>
  <c r="J277" i="154"/>
  <c r="E277" i="154"/>
  <c r="C277" i="154"/>
  <c r="I278" i="154"/>
  <c r="D278" i="154"/>
  <c r="J278" i="154"/>
  <c r="E278" i="154"/>
  <c r="C278" i="154"/>
  <c r="I279" i="154"/>
  <c r="D279" i="154"/>
  <c r="J279" i="154"/>
  <c r="E279" i="154"/>
  <c r="C279" i="154"/>
  <c r="I280" i="154"/>
  <c r="D280" i="154"/>
  <c r="J280" i="154"/>
  <c r="E280" i="154"/>
  <c r="C280" i="154"/>
  <c r="I281" i="154"/>
  <c r="D281" i="154"/>
  <c r="J281" i="154"/>
  <c r="E281" i="154"/>
  <c r="C281" i="154"/>
  <c r="I282" i="154"/>
  <c r="D282" i="154"/>
  <c r="J282" i="154"/>
  <c r="E282" i="154"/>
  <c r="C282" i="154"/>
  <c r="I283" i="154"/>
  <c r="D283" i="154"/>
  <c r="J283" i="154"/>
  <c r="E283" i="154"/>
  <c r="C283" i="154"/>
  <c r="I284" i="154"/>
  <c r="D284" i="154"/>
  <c r="J284" i="154"/>
  <c r="E284" i="154"/>
  <c r="C284" i="154"/>
  <c r="I285" i="154"/>
  <c r="D285" i="154"/>
  <c r="J285" i="154"/>
  <c r="E285" i="154"/>
  <c r="C285" i="154"/>
  <c r="I286" i="154"/>
  <c r="D286" i="154"/>
  <c r="J286" i="154"/>
  <c r="E286" i="154"/>
  <c r="C286" i="154"/>
  <c r="I287" i="154"/>
  <c r="D287" i="154"/>
  <c r="J287" i="154"/>
  <c r="E287" i="154"/>
  <c r="C287" i="154"/>
  <c r="I288" i="154"/>
  <c r="D288" i="154"/>
  <c r="J288" i="154"/>
  <c r="E288" i="154"/>
  <c r="C288" i="154"/>
  <c r="I289" i="154"/>
  <c r="D289" i="154"/>
  <c r="J289" i="154"/>
  <c r="E289" i="154"/>
  <c r="C289" i="154"/>
  <c r="I290" i="154"/>
  <c r="D290" i="154"/>
  <c r="J290" i="154"/>
  <c r="E290" i="154"/>
  <c r="C290" i="154"/>
  <c r="I291" i="154"/>
  <c r="D291" i="154"/>
  <c r="J291" i="154"/>
  <c r="E291" i="154"/>
  <c r="C291" i="154"/>
  <c r="I292" i="154"/>
  <c r="D292" i="154"/>
  <c r="J292" i="154"/>
  <c r="E292" i="154"/>
  <c r="C292" i="154"/>
  <c r="I293" i="154"/>
  <c r="D293" i="154"/>
  <c r="J293" i="154"/>
  <c r="E293" i="154"/>
  <c r="C293" i="154"/>
  <c r="I294" i="154"/>
  <c r="D294" i="154"/>
  <c r="J294" i="154"/>
  <c r="E294" i="154"/>
  <c r="C294" i="154"/>
  <c r="I295" i="154"/>
  <c r="D295" i="154"/>
  <c r="J295" i="154"/>
  <c r="E295" i="154"/>
  <c r="C295" i="154"/>
  <c r="I296" i="154"/>
  <c r="D296" i="154"/>
  <c r="J296" i="154"/>
  <c r="E296" i="154"/>
  <c r="C296" i="154"/>
  <c r="I297" i="154"/>
  <c r="D297" i="154"/>
  <c r="J297" i="154"/>
  <c r="E297" i="154"/>
  <c r="C297" i="154"/>
  <c r="I298" i="154"/>
  <c r="D298" i="154"/>
  <c r="J298" i="154"/>
  <c r="E298" i="154"/>
  <c r="C298" i="154"/>
  <c r="I299" i="154"/>
  <c r="D299" i="154"/>
  <c r="J299" i="154"/>
  <c r="E299" i="154"/>
  <c r="C299" i="154"/>
  <c r="I300" i="154"/>
  <c r="D300" i="154"/>
  <c r="J300" i="154"/>
  <c r="E300" i="154"/>
  <c r="C300" i="154"/>
  <c r="I301" i="154"/>
  <c r="D301" i="154"/>
  <c r="J301" i="154"/>
  <c r="E301" i="154"/>
  <c r="C301" i="154"/>
  <c r="I302" i="154"/>
  <c r="D302" i="154"/>
  <c r="J302" i="154"/>
  <c r="E302" i="154"/>
  <c r="C302" i="154"/>
  <c r="I303" i="154"/>
  <c r="D303" i="154"/>
  <c r="J303" i="154"/>
  <c r="E303" i="154"/>
  <c r="C303" i="154"/>
  <c r="I304" i="154"/>
  <c r="D304" i="154"/>
  <c r="J304" i="154"/>
  <c r="E304" i="154"/>
  <c r="C304" i="154"/>
  <c r="I305" i="154"/>
  <c r="D305" i="154"/>
  <c r="J305" i="154"/>
  <c r="E305" i="154"/>
  <c r="C305" i="154"/>
  <c r="I306" i="154"/>
  <c r="D306" i="154"/>
  <c r="J306" i="154"/>
  <c r="E306" i="154"/>
  <c r="C306" i="154"/>
  <c r="I307" i="154"/>
  <c r="D307" i="154"/>
  <c r="J307" i="154"/>
  <c r="E307" i="154"/>
  <c r="C307" i="154"/>
  <c r="I308" i="154"/>
  <c r="D308" i="154"/>
  <c r="J308" i="154"/>
  <c r="E308" i="154"/>
  <c r="C308" i="154"/>
  <c r="I309" i="154"/>
  <c r="D309" i="154"/>
  <c r="J309" i="154"/>
  <c r="E309" i="154"/>
  <c r="C309" i="154"/>
  <c r="I310" i="154"/>
  <c r="D310" i="154"/>
  <c r="J310" i="154"/>
  <c r="E310" i="154"/>
  <c r="C310" i="154"/>
  <c r="I311" i="154"/>
  <c r="D311" i="154"/>
  <c r="J311" i="154"/>
  <c r="E311" i="154"/>
  <c r="C311" i="154"/>
  <c r="I312" i="154"/>
  <c r="D312" i="154"/>
  <c r="J312" i="154"/>
  <c r="E312" i="154"/>
  <c r="C312" i="154"/>
  <c r="I313" i="154"/>
  <c r="D313" i="154"/>
  <c r="J313" i="154"/>
  <c r="E313" i="154"/>
  <c r="C313" i="154"/>
  <c r="I314" i="154"/>
  <c r="D314" i="154"/>
  <c r="J314" i="154"/>
  <c r="E314" i="154"/>
  <c r="C314" i="154"/>
  <c r="I315" i="154"/>
  <c r="D315" i="154"/>
  <c r="J315" i="154"/>
  <c r="E315" i="154"/>
  <c r="C315" i="154"/>
  <c r="I316" i="154"/>
  <c r="D316" i="154"/>
  <c r="J316" i="154"/>
  <c r="E316" i="154"/>
  <c r="C316" i="154"/>
  <c r="I317" i="154"/>
  <c r="D317" i="154"/>
  <c r="J317" i="154"/>
  <c r="E317" i="154"/>
  <c r="C317" i="154"/>
  <c r="I318" i="154"/>
  <c r="D318" i="154"/>
  <c r="J318" i="154"/>
  <c r="E318" i="154"/>
  <c r="C318" i="154"/>
  <c r="I319" i="154"/>
  <c r="D319" i="154"/>
  <c r="J319" i="154"/>
  <c r="E319" i="154"/>
  <c r="C319" i="154"/>
  <c r="F5" i="153"/>
  <c r="F6" i="153"/>
  <c r="A36" i="153"/>
  <c r="E5" i="153"/>
  <c r="Q3" i="153"/>
  <c r="Q4" i="153"/>
  <c r="Q5" i="153"/>
  <c r="Q6" i="153"/>
  <c r="Q7" i="153"/>
  <c r="Q8" i="153"/>
  <c r="Q9" i="153"/>
  <c r="Q10" i="153"/>
  <c r="Q11" i="153"/>
  <c r="Q12" i="153"/>
  <c r="Q13" i="153"/>
  <c r="Q14" i="153"/>
  <c r="Q15" i="153"/>
  <c r="Q16" i="153"/>
  <c r="Q17" i="153"/>
  <c r="Q18" i="153"/>
  <c r="Q19" i="153"/>
  <c r="Q20" i="153"/>
  <c r="E29" i="153"/>
  <c r="B29" i="153"/>
  <c r="G29" i="153"/>
  <c r="H29" i="153"/>
  <c r="O320" i="154"/>
  <c r="E6" i="153"/>
  <c r="E19" i="153"/>
  <c r="B19" i="153"/>
  <c r="E24" i="153"/>
  <c r="B24" i="153"/>
  <c r="B17" i="153"/>
  <c r="G17" i="153"/>
  <c r="E17" i="153"/>
  <c r="H17" i="153"/>
  <c r="O2" i="154"/>
  <c r="E18" i="153"/>
  <c r="B18" i="153"/>
  <c r="G18" i="153"/>
  <c r="H18" i="153"/>
  <c r="O3" i="154"/>
  <c r="O4" i="154"/>
  <c r="O5" i="154"/>
  <c r="O6" i="154"/>
  <c r="O7" i="154"/>
  <c r="O8" i="154"/>
  <c r="O9" i="154"/>
  <c r="O10" i="154"/>
  <c r="O11" i="154"/>
  <c r="O12" i="154"/>
  <c r="O13" i="154"/>
  <c r="O14" i="154"/>
  <c r="O15" i="154"/>
  <c r="O16" i="154"/>
  <c r="O17" i="154"/>
  <c r="O18" i="154"/>
  <c r="O19" i="154"/>
  <c r="O20" i="154"/>
  <c r="O21" i="154"/>
  <c r="O22" i="154"/>
  <c r="O23" i="154"/>
  <c r="O24" i="154"/>
  <c r="O25" i="154"/>
  <c r="O26" i="154"/>
  <c r="O27" i="154"/>
  <c r="O28" i="154"/>
  <c r="O29" i="154"/>
  <c r="O30" i="154"/>
  <c r="O31" i="154"/>
  <c r="O32" i="154"/>
  <c r="O33" i="154"/>
  <c r="O34" i="154"/>
  <c r="O35" i="154"/>
  <c r="O36" i="154"/>
  <c r="O37" i="154"/>
  <c r="O38" i="154"/>
  <c r="O39" i="154"/>
  <c r="O40" i="154"/>
  <c r="O41" i="154"/>
  <c r="G24" i="153"/>
  <c r="H24" i="153"/>
  <c r="O42" i="154"/>
  <c r="E25" i="153"/>
  <c r="B25" i="153"/>
  <c r="G25" i="153"/>
  <c r="H25" i="153"/>
  <c r="O43" i="154"/>
  <c r="E26" i="153"/>
  <c r="B26" i="153"/>
  <c r="G26" i="153"/>
  <c r="H26" i="153"/>
  <c r="O44" i="154"/>
  <c r="O45" i="154"/>
  <c r="O46" i="154"/>
  <c r="O47" i="154"/>
  <c r="O48" i="154"/>
  <c r="O49" i="154"/>
  <c r="O50" i="154"/>
  <c r="G19" i="153"/>
  <c r="H19" i="153"/>
  <c r="O51" i="154"/>
  <c r="E20" i="153"/>
  <c r="B20" i="153"/>
  <c r="G20" i="153"/>
  <c r="H20" i="153"/>
  <c r="O52" i="154"/>
  <c r="E23" i="153"/>
  <c r="B23" i="153"/>
  <c r="E28" i="153"/>
  <c r="B28" i="153"/>
  <c r="B21" i="153"/>
  <c r="G21" i="153"/>
  <c r="E21" i="153"/>
  <c r="H21" i="153"/>
  <c r="O53" i="154"/>
  <c r="O54" i="154"/>
  <c r="O55" i="154"/>
  <c r="O56" i="154"/>
  <c r="O57" i="154"/>
  <c r="O58" i="154"/>
  <c r="O59" i="154"/>
  <c r="O60" i="154"/>
  <c r="O61" i="154"/>
  <c r="O62" i="154"/>
  <c r="O63" i="154"/>
  <c r="O64" i="154"/>
  <c r="O65" i="154"/>
  <c r="O66" i="154"/>
  <c r="O67" i="154"/>
  <c r="O68" i="154"/>
  <c r="O69" i="154"/>
  <c r="O70" i="154"/>
  <c r="O71" i="154"/>
  <c r="O72" i="154"/>
  <c r="O73" i="154"/>
  <c r="O74" i="154"/>
  <c r="O75" i="154"/>
  <c r="O76" i="154"/>
  <c r="O77" i="154"/>
  <c r="O78" i="154"/>
  <c r="O79" i="154"/>
  <c r="O80" i="154"/>
  <c r="O81" i="154"/>
  <c r="O82" i="154"/>
  <c r="O83" i="154"/>
  <c r="O84" i="154"/>
  <c r="O85" i="154"/>
  <c r="O86" i="154"/>
  <c r="O87" i="154"/>
  <c r="O88" i="154"/>
  <c r="O89" i="154"/>
  <c r="O90" i="154"/>
  <c r="O91" i="154"/>
  <c r="O92" i="154"/>
  <c r="O93" i="154"/>
  <c r="O94" i="154"/>
  <c r="O95" i="154"/>
  <c r="O96" i="154"/>
  <c r="O97" i="154"/>
  <c r="O98" i="154"/>
  <c r="O99" i="154"/>
  <c r="O100" i="154"/>
  <c r="O101" i="154"/>
  <c r="O102" i="154"/>
  <c r="O103" i="154"/>
  <c r="O104" i="154"/>
  <c r="O105" i="154"/>
  <c r="O106" i="154"/>
  <c r="O107" i="154"/>
  <c r="O108" i="154"/>
  <c r="O109" i="154"/>
  <c r="O110" i="154"/>
  <c r="O111" i="154"/>
  <c r="O112" i="154"/>
  <c r="O113" i="154"/>
  <c r="O114" i="154"/>
  <c r="O115" i="154"/>
  <c r="O116" i="154"/>
  <c r="O117" i="154"/>
  <c r="O118" i="154"/>
  <c r="O119" i="154"/>
  <c r="O120" i="154"/>
  <c r="O121" i="154"/>
  <c r="O122" i="154"/>
  <c r="O123" i="154"/>
  <c r="O124" i="154"/>
  <c r="O125" i="154"/>
  <c r="O126" i="154"/>
  <c r="O127" i="154"/>
  <c r="O128" i="154"/>
  <c r="O129" i="154"/>
  <c r="O130" i="154"/>
  <c r="O131" i="154"/>
  <c r="O132" i="154"/>
  <c r="O133" i="154"/>
  <c r="O134" i="154"/>
  <c r="O135" i="154"/>
  <c r="O136" i="154"/>
  <c r="O137" i="154"/>
  <c r="E27" i="153"/>
  <c r="B27" i="153"/>
  <c r="G27" i="153"/>
  <c r="H27" i="153"/>
  <c r="O138" i="154"/>
  <c r="G28" i="153"/>
  <c r="H28" i="153"/>
  <c r="O139" i="154"/>
  <c r="O140" i="154"/>
  <c r="O141" i="154"/>
  <c r="O142" i="154"/>
  <c r="O143" i="154"/>
  <c r="O144" i="154"/>
  <c r="O145" i="154"/>
  <c r="O146" i="154"/>
  <c r="O147" i="154"/>
  <c r="O148" i="154"/>
  <c r="O149" i="154"/>
  <c r="O150" i="154"/>
  <c r="O151" i="154"/>
  <c r="O152" i="154"/>
  <c r="O153" i="154"/>
  <c r="O154" i="154"/>
  <c r="O155" i="154"/>
  <c r="O156" i="154"/>
  <c r="O157" i="154"/>
  <c r="O158" i="154"/>
  <c r="O159" i="154"/>
  <c r="O160" i="154"/>
  <c r="O161" i="154"/>
  <c r="O162" i="154"/>
  <c r="O163" i="154"/>
  <c r="O164" i="154"/>
  <c r="O165" i="154"/>
  <c r="O166" i="154"/>
  <c r="O167" i="154"/>
  <c r="O168" i="154"/>
  <c r="O169" i="154"/>
  <c r="O170" i="154"/>
  <c r="O171" i="154"/>
  <c r="O172" i="154"/>
  <c r="O173" i="154"/>
  <c r="O174" i="154"/>
  <c r="O175" i="154"/>
  <c r="O176" i="154"/>
  <c r="O177" i="154"/>
  <c r="O178" i="154"/>
  <c r="O179" i="154"/>
  <c r="O180" i="154"/>
  <c r="O181" i="154"/>
  <c r="O182" i="154"/>
  <c r="O183" i="154"/>
  <c r="O184" i="154"/>
  <c r="O185" i="154"/>
  <c r="O186" i="154"/>
  <c r="O187" i="154"/>
  <c r="O188" i="154"/>
  <c r="O189" i="154"/>
  <c r="O190" i="154"/>
  <c r="O191" i="154"/>
  <c r="O192" i="154"/>
  <c r="O193" i="154"/>
  <c r="O194" i="154"/>
  <c r="O195" i="154"/>
  <c r="O196" i="154"/>
  <c r="O197" i="154"/>
  <c r="O198" i="154"/>
  <c r="O199" i="154"/>
  <c r="O200" i="154"/>
  <c r="O201" i="154"/>
  <c r="O202" i="154"/>
  <c r="O203" i="154"/>
  <c r="O204" i="154"/>
  <c r="O205" i="154"/>
  <c r="O206" i="154"/>
  <c r="O207" i="154"/>
  <c r="O208" i="154"/>
  <c r="O209" i="154"/>
  <c r="O210" i="154"/>
  <c r="O211" i="154"/>
  <c r="O212" i="154"/>
  <c r="O213" i="154"/>
  <c r="O214" i="154"/>
  <c r="O215" i="154"/>
  <c r="O216" i="154"/>
  <c r="O217" i="154"/>
  <c r="O218" i="154"/>
  <c r="O219" i="154"/>
  <c r="O220" i="154"/>
  <c r="O221" i="154"/>
  <c r="O222" i="154"/>
  <c r="O223" i="154"/>
  <c r="O224" i="154"/>
  <c r="O225" i="154"/>
  <c r="O226" i="154"/>
  <c r="O227" i="154"/>
  <c r="O228" i="154"/>
  <c r="O229" i="154"/>
  <c r="O230" i="154"/>
  <c r="O231" i="154"/>
  <c r="O232" i="154"/>
  <c r="O233" i="154"/>
  <c r="O234" i="154"/>
  <c r="O235" i="154"/>
  <c r="O236" i="154"/>
  <c r="O237" i="154"/>
  <c r="O238" i="154"/>
  <c r="O239" i="154"/>
  <c r="O240" i="154"/>
  <c r="O241" i="154"/>
  <c r="O242" i="154"/>
  <c r="O243" i="154"/>
  <c r="O244" i="154"/>
  <c r="O245" i="154"/>
  <c r="O246" i="154"/>
  <c r="O247" i="154"/>
  <c r="O248" i="154"/>
  <c r="O249" i="154"/>
  <c r="O250" i="154"/>
  <c r="O251" i="154"/>
  <c r="O252" i="154"/>
  <c r="O253" i="154"/>
  <c r="O254" i="154"/>
  <c r="O255" i="154"/>
  <c r="E22" i="153"/>
  <c r="B22" i="153"/>
  <c r="G22" i="153"/>
  <c r="H22" i="153"/>
  <c r="O256" i="154"/>
  <c r="G23" i="153"/>
  <c r="H23" i="153"/>
  <c r="O257" i="154"/>
  <c r="O258" i="154"/>
  <c r="O259" i="154"/>
  <c r="O260" i="154"/>
  <c r="O261" i="154"/>
  <c r="O262" i="154"/>
  <c r="O263" i="154"/>
  <c r="O264" i="154"/>
  <c r="O265" i="154"/>
  <c r="O266" i="154"/>
  <c r="O267" i="154"/>
  <c r="O268" i="154"/>
  <c r="O269" i="154"/>
  <c r="O270" i="154"/>
  <c r="O271" i="154"/>
  <c r="O272" i="154"/>
  <c r="O273" i="154"/>
  <c r="O274" i="154"/>
  <c r="O275" i="154"/>
  <c r="O276" i="154"/>
  <c r="O277" i="154"/>
  <c r="O278" i="154"/>
  <c r="O279" i="154"/>
  <c r="O280" i="154"/>
  <c r="O281" i="154"/>
  <c r="O282" i="154"/>
  <c r="O283" i="154"/>
  <c r="O284" i="154"/>
  <c r="O285" i="154"/>
  <c r="O286" i="154"/>
  <c r="O287" i="154"/>
  <c r="O288" i="154"/>
  <c r="O289" i="154"/>
  <c r="O290" i="154"/>
  <c r="O291" i="154"/>
  <c r="O292" i="154"/>
  <c r="O293" i="154"/>
  <c r="O294" i="154"/>
  <c r="O295" i="154"/>
  <c r="O296" i="154"/>
  <c r="O297" i="154"/>
  <c r="O298" i="154"/>
  <c r="O299" i="154"/>
  <c r="O300" i="154"/>
  <c r="O301" i="154"/>
  <c r="O302" i="154"/>
  <c r="O303" i="154"/>
  <c r="O304" i="154"/>
  <c r="O305" i="154"/>
  <c r="O306" i="154"/>
  <c r="O307" i="154"/>
  <c r="O308" i="154"/>
  <c r="O309" i="154"/>
  <c r="O310" i="154"/>
  <c r="O311" i="154"/>
  <c r="O312" i="154"/>
  <c r="O313" i="154"/>
  <c r="O314" i="154"/>
  <c r="O315" i="154"/>
  <c r="O316" i="154"/>
  <c r="O317" i="154"/>
  <c r="O318" i="154"/>
  <c r="O319" i="154"/>
  <c r="O321" i="154"/>
  <c r="O322" i="154"/>
  <c r="O323" i="154"/>
  <c r="O324" i="154"/>
  <c r="P320" i="154"/>
  <c r="H321" i="154"/>
  <c r="K321" i="154"/>
  <c r="L321" i="154"/>
  <c r="M321" i="154"/>
  <c r="N321" i="154"/>
  <c r="P321" i="154"/>
  <c r="H322" i="154"/>
  <c r="K322" i="154"/>
  <c r="L322" i="154"/>
  <c r="M322" i="154"/>
  <c r="N322" i="154"/>
  <c r="P322" i="154"/>
  <c r="H323" i="154"/>
  <c r="K323" i="154"/>
  <c r="L323" i="154"/>
  <c r="M323" i="154"/>
  <c r="N323" i="154"/>
  <c r="P323" i="154"/>
  <c r="H324" i="154"/>
  <c r="K324" i="154"/>
  <c r="L324" i="154"/>
  <c r="M324" i="154"/>
  <c r="N324" i="154"/>
  <c r="P324" i="154"/>
  <c r="A320" i="154"/>
  <c r="A321" i="154"/>
  <c r="A322" i="154"/>
  <c r="A323" i="154"/>
  <c r="A324" i="154"/>
  <c r="I320" i="161"/>
  <c r="D320" i="161"/>
  <c r="J320" i="161"/>
  <c r="E320" i="161"/>
  <c r="F320" i="161"/>
  <c r="C320" i="161"/>
  <c r="H320" i="161"/>
  <c r="K320" i="161"/>
  <c r="L320" i="161"/>
  <c r="M320" i="161"/>
  <c r="N320" i="161"/>
  <c r="I321" i="161"/>
  <c r="D321" i="161"/>
  <c r="J321" i="161"/>
  <c r="E321" i="161"/>
  <c r="F321" i="161"/>
  <c r="C321" i="161"/>
  <c r="I322" i="161"/>
  <c r="D322" i="161"/>
  <c r="J322" i="161"/>
  <c r="E322" i="161"/>
  <c r="F322" i="161"/>
  <c r="C322" i="161"/>
  <c r="I323" i="161"/>
  <c r="D323" i="161"/>
  <c r="J323" i="161"/>
  <c r="E323" i="161"/>
  <c r="F323" i="161"/>
  <c r="C323" i="161"/>
  <c r="I324" i="161"/>
  <c r="D324" i="161"/>
  <c r="J324" i="161"/>
  <c r="E324" i="161"/>
  <c r="F324" i="161"/>
  <c r="C324" i="161"/>
  <c r="I2" i="161"/>
  <c r="D2" i="161"/>
  <c r="J2" i="161"/>
  <c r="E2" i="161"/>
  <c r="C2" i="161"/>
  <c r="I3" i="161"/>
  <c r="D3" i="161"/>
  <c r="J3" i="161"/>
  <c r="E3" i="161"/>
  <c r="C3" i="161"/>
  <c r="I4" i="161"/>
  <c r="D4" i="161"/>
  <c r="J4" i="161"/>
  <c r="E4" i="161"/>
  <c r="C4" i="161"/>
  <c r="I5" i="161"/>
  <c r="D5" i="161"/>
  <c r="J5" i="161"/>
  <c r="E5" i="161"/>
  <c r="C5" i="161"/>
  <c r="I6" i="161"/>
  <c r="D6" i="161"/>
  <c r="J6" i="161"/>
  <c r="E6" i="161"/>
  <c r="C6" i="161"/>
  <c r="I7" i="161"/>
  <c r="D7" i="161"/>
  <c r="J7" i="161"/>
  <c r="E7" i="161"/>
  <c r="C7" i="161"/>
  <c r="I8" i="161"/>
  <c r="D8" i="161"/>
  <c r="J8" i="161"/>
  <c r="E8" i="161"/>
  <c r="C8" i="161"/>
  <c r="I9" i="161"/>
  <c r="D9" i="161"/>
  <c r="J9" i="161"/>
  <c r="E9" i="161"/>
  <c r="C9" i="161"/>
  <c r="I10" i="161"/>
  <c r="D10" i="161"/>
  <c r="J10" i="161"/>
  <c r="E10" i="161"/>
  <c r="C10" i="161"/>
  <c r="I11" i="161"/>
  <c r="D11" i="161"/>
  <c r="J11" i="161"/>
  <c r="E11" i="161"/>
  <c r="C11" i="161"/>
  <c r="I12" i="161"/>
  <c r="D12" i="161"/>
  <c r="J12" i="161"/>
  <c r="E12" i="161"/>
  <c r="C12" i="161"/>
  <c r="I13" i="161"/>
  <c r="D13" i="161"/>
  <c r="J13" i="161"/>
  <c r="E13" i="161"/>
  <c r="C13" i="161"/>
  <c r="I14" i="161"/>
  <c r="D14" i="161"/>
  <c r="J14" i="161"/>
  <c r="E14" i="161"/>
  <c r="C14" i="161"/>
  <c r="I15" i="161"/>
  <c r="D15" i="161"/>
  <c r="J15" i="161"/>
  <c r="E15" i="161"/>
  <c r="C15" i="161"/>
  <c r="I16" i="161"/>
  <c r="D16" i="161"/>
  <c r="J16" i="161"/>
  <c r="E16" i="161"/>
  <c r="C16" i="161"/>
  <c r="I17" i="161"/>
  <c r="D17" i="161"/>
  <c r="J17" i="161"/>
  <c r="E17" i="161"/>
  <c r="C17" i="161"/>
  <c r="I18" i="161"/>
  <c r="D18" i="161"/>
  <c r="J18" i="161"/>
  <c r="E18" i="161"/>
  <c r="C18" i="161"/>
  <c r="I19" i="161"/>
  <c r="D19" i="161"/>
  <c r="J19" i="161"/>
  <c r="E19" i="161"/>
  <c r="C19" i="161"/>
  <c r="I20" i="161"/>
  <c r="D20" i="161"/>
  <c r="J20" i="161"/>
  <c r="E20" i="161"/>
  <c r="C20" i="161"/>
  <c r="I21" i="161"/>
  <c r="D21" i="161"/>
  <c r="J21" i="161"/>
  <c r="E21" i="161"/>
  <c r="C21" i="161"/>
  <c r="I22" i="161"/>
  <c r="D22" i="161"/>
  <c r="J22" i="161"/>
  <c r="E22" i="161"/>
  <c r="C22" i="161"/>
  <c r="I23" i="161"/>
  <c r="D23" i="161"/>
  <c r="J23" i="161"/>
  <c r="E23" i="161"/>
  <c r="C23" i="161"/>
  <c r="I24" i="161"/>
  <c r="D24" i="161"/>
  <c r="J24" i="161"/>
  <c r="E24" i="161"/>
  <c r="C24" i="161"/>
  <c r="I25" i="161"/>
  <c r="D25" i="161"/>
  <c r="J25" i="161"/>
  <c r="E25" i="161"/>
  <c r="C25" i="161"/>
  <c r="I26" i="161"/>
  <c r="D26" i="161"/>
  <c r="J26" i="161"/>
  <c r="E26" i="161"/>
  <c r="C26" i="161"/>
  <c r="I27" i="161"/>
  <c r="D27" i="161"/>
  <c r="J27" i="161"/>
  <c r="E27" i="161"/>
  <c r="C27" i="161"/>
  <c r="I28" i="161"/>
  <c r="D28" i="161"/>
  <c r="J28" i="161"/>
  <c r="E28" i="161"/>
  <c r="C28" i="161"/>
  <c r="I29" i="161"/>
  <c r="D29" i="161"/>
  <c r="J29" i="161"/>
  <c r="E29" i="161"/>
  <c r="C29" i="161"/>
  <c r="I30" i="161"/>
  <c r="D30" i="161"/>
  <c r="J30" i="161"/>
  <c r="E30" i="161"/>
  <c r="C30" i="161"/>
  <c r="I31" i="161"/>
  <c r="D31" i="161"/>
  <c r="J31" i="161"/>
  <c r="E31" i="161"/>
  <c r="C31" i="161"/>
  <c r="I32" i="161"/>
  <c r="D32" i="161"/>
  <c r="J32" i="161"/>
  <c r="E32" i="161"/>
  <c r="C32" i="161"/>
  <c r="I33" i="161"/>
  <c r="D33" i="161"/>
  <c r="J33" i="161"/>
  <c r="E33" i="161"/>
  <c r="C33" i="161"/>
  <c r="I34" i="161"/>
  <c r="D34" i="161"/>
  <c r="J34" i="161"/>
  <c r="E34" i="161"/>
  <c r="C34" i="161"/>
  <c r="I35" i="161"/>
  <c r="D35" i="161"/>
  <c r="J35" i="161"/>
  <c r="E35" i="161"/>
  <c r="C35" i="161"/>
  <c r="I36" i="161"/>
  <c r="D36" i="161"/>
  <c r="J36" i="161"/>
  <c r="E36" i="161"/>
  <c r="C36" i="161"/>
  <c r="I37" i="161"/>
  <c r="D37" i="161"/>
  <c r="J37" i="161"/>
  <c r="E37" i="161"/>
  <c r="C37" i="161"/>
  <c r="I38" i="161"/>
  <c r="D38" i="161"/>
  <c r="J38" i="161"/>
  <c r="E38" i="161"/>
  <c r="C38" i="161"/>
  <c r="I39" i="161"/>
  <c r="D39" i="161"/>
  <c r="J39" i="161"/>
  <c r="E39" i="161"/>
  <c r="C39" i="161"/>
  <c r="I40" i="161"/>
  <c r="D40" i="161"/>
  <c r="J40" i="161"/>
  <c r="E40" i="161"/>
  <c r="C40" i="161"/>
  <c r="I41" i="161"/>
  <c r="D41" i="161"/>
  <c r="J41" i="161"/>
  <c r="E41" i="161"/>
  <c r="C41" i="161"/>
  <c r="I42" i="161"/>
  <c r="D42" i="161"/>
  <c r="J42" i="161"/>
  <c r="E42" i="161"/>
  <c r="C42" i="161"/>
  <c r="I43" i="161"/>
  <c r="D43" i="161"/>
  <c r="J43" i="161"/>
  <c r="E43" i="161"/>
  <c r="C43" i="161"/>
  <c r="I44" i="161"/>
  <c r="D44" i="161"/>
  <c r="J44" i="161"/>
  <c r="E44" i="161"/>
  <c r="C44" i="161"/>
  <c r="I45" i="161"/>
  <c r="D45" i="161"/>
  <c r="J45" i="161"/>
  <c r="E45" i="161"/>
  <c r="C45" i="161"/>
  <c r="I46" i="161"/>
  <c r="D46" i="161"/>
  <c r="J46" i="161"/>
  <c r="E46" i="161"/>
  <c r="C46" i="161"/>
  <c r="I47" i="161"/>
  <c r="D47" i="161"/>
  <c r="J47" i="161"/>
  <c r="E47" i="161"/>
  <c r="C47" i="161"/>
  <c r="I48" i="161"/>
  <c r="D48" i="161"/>
  <c r="J48" i="161"/>
  <c r="E48" i="161"/>
  <c r="C48" i="161"/>
  <c r="I49" i="161"/>
  <c r="D49" i="161"/>
  <c r="J49" i="161"/>
  <c r="E49" i="161"/>
  <c r="C49" i="161"/>
  <c r="I50" i="161"/>
  <c r="D50" i="161"/>
  <c r="J50" i="161"/>
  <c r="E50" i="161"/>
  <c r="C50" i="161"/>
  <c r="I51" i="161"/>
  <c r="D51" i="161"/>
  <c r="J51" i="161"/>
  <c r="E51" i="161"/>
  <c r="C51" i="161"/>
  <c r="I52" i="161"/>
  <c r="D52" i="161"/>
  <c r="J52" i="161"/>
  <c r="E52" i="161"/>
  <c r="C52" i="161"/>
  <c r="I53" i="161"/>
  <c r="D53" i="161"/>
  <c r="J53" i="161"/>
  <c r="E53" i="161"/>
  <c r="C53" i="161"/>
  <c r="I54" i="161"/>
  <c r="D54" i="161"/>
  <c r="J54" i="161"/>
  <c r="E54" i="161"/>
  <c r="C54" i="161"/>
  <c r="I55" i="161"/>
  <c r="D55" i="161"/>
  <c r="J55" i="161"/>
  <c r="E55" i="161"/>
  <c r="C55" i="161"/>
  <c r="I56" i="161"/>
  <c r="D56" i="161"/>
  <c r="J56" i="161"/>
  <c r="E56" i="161"/>
  <c r="C56" i="161"/>
  <c r="I57" i="161"/>
  <c r="D57" i="161"/>
  <c r="J57" i="161"/>
  <c r="E57" i="161"/>
  <c r="C57" i="161"/>
  <c r="I58" i="161"/>
  <c r="D58" i="161"/>
  <c r="J58" i="161"/>
  <c r="E58" i="161"/>
  <c r="C58" i="161"/>
  <c r="I59" i="161"/>
  <c r="D59" i="161"/>
  <c r="J59" i="161"/>
  <c r="E59" i="161"/>
  <c r="C59" i="161"/>
  <c r="I60" i="161"/>
  <c r="D60" i="161"/>
  <c r="J60" i="161"/>
  <c r="E60" i="161"/>
  <c r="C60" i="161"/>
  <c r="I61" i="161"/>
  <c r="D61" i="161"/>
  <c r="J61" i="161"/>
  <c r="E61" i="161"/>
  <c r="C61" i="161"/>
  <c r="I62" i="161"/>
  <c r="D62" i="161"/>
  <c r="J62" i="161"/>
  <c r="E62" i="161"/>
  <c r="C62" i="161"/>
  <c r="I63" i="161"/>
  <c r="D63" i="161"/>
  <c r="J63" i="161"/>
  <c r="E63" i="161"/>
  <c r="C63" i="161"/>
  <c r="I64" i="161"/>
  <c r="D64" i="161"/>
  <c r="J64" i="161"/>
  <c r="E64" i="161"/>
  <c r="C64" i="161"/>
  <c r="I65" i="161"/>
  <c r="D65" i="161"/>
  <c r="J65" i="161"/>
  <c r="E65" i="161"/>
  <c r="C65" i="161"/>
  <c r="I66" i="161"/>
  <c r="D66" i="161"/>
  <c r="J66" i="161"/>
  <c r="E66" i="161"/>
  <c r="C66" i="161"/>
  <c r="I67" i="161"/>
  <c r="D67" i="161"/>
  <c r="J67" i="161"/>
  <c r="E67" i="161"/>
  <c r="C67" i="161"/>
  <c r="I68" i="161"/>
  <c r="D68" i="161"/>
  <c r="J68" i="161"/>
  <c r="E68" i="161"/>
  <c r="C68" i="161"/>
  <c r="I69" i="161"/>
  <c r="D69" i="161"/>
  <c r="J69" i="161"/>
  <c r="E69" i="161"/>
  <c r="C69" i="161"/>
  <c r="I70" i="161"/>
  <c r="D70" i="161"/>
  <c r="J70" i="161"/>
  <c r="E70" i="161"/>
  <c r="C70" i="161"/>
  <c r="I71" i="161"/>
  <c r="D71" i="161"/>
  <c r="J71" i="161"/>
  <c r="E71" i="161"/>
  <c r="C71" i="161"/>
  <c r="I72" i="161"/>
  <c r="D72" i="161"/>
  <c r="J72" i="161"/>
  <c r="E72" i="161"/>
  <c r="C72" i="161"/>
  <c r="I73" i="161"/>
  <c r="D73" i="161"/>
  <c r="J73" i="161"/>
  <c r="E73" i="161"/>
  <c r="C73" i="161"/>
  <c r="I74" i="161"/>
  <c r="D74" i="161"/>
  <c r="J74" i="161"/>
  <c r="E74" i="161"/>
  <c r="C74" i="161"/>
  <c r="I75" i="161"/>
  <c r="D75" i="161"/>
  <c r="J75" i="161"/>
  <c r="E75" i="161"/>
  <c r="C75" i="161"/>
  <c r="I76" i="161"/>
  <c r="D76" i="161"/>
  <c r="J76" i="161"/>
  <c r="E76" i="161"/>
  <c r="C76" i="161"/>
  <c r="I77" i="161"/>
  <c r="D77" i="161"/>
  <c r="J77" i="161"/>
  <c r="E77" i="161"/>
  <c r="C77" i="161"/>
  <c r="I78" i="161"/>
  <c r="D78" i="161"/>
  <c r="J78" i="161"/>
  <c r="E78" i="161"/>
  <c r="C78" i="161"/>
  <c r="I79" i="161"/>
  <c r="D79" i="161"/>
  <c r="J79" i="161"/>
  <c r="E79" i="161"/>
  <c r="C79" i="161"/>
  <c r="I80" i="161"/>
  <c r="D80" i="161"/>
  <c r="J80" i="161"/>
  <c r="E80" i="161"/>
  <c r="C80" i="161"/>
  <c r="I81" i="161"/>
  <c r="D81" i="161"/>
  <c r="J81" i="161"/>
  <c r="E81" i="161"/>
  <c r="C81" i="161"/>
  <c r="I82" i="161"/>
  <c r="D82" i="161"/>
  <c r="J82" i="161"/>
  <c r="E82" i="161"/>
  <c r="C82" i="161"/>
  <c r="I83" i="161"/>
  <c r="D83" i="161"/>
  <c r="J83" i="161"/>
  <c r="E83" i="161"/>
  <c r="C83" i="161"/>
  <c r="I84" i="161"/>
  <c r="D84" i="161"/>
  <c r="J84" i="161"/>
  <c r="E84" i="161"/>
  <c r="C84" i="161"/>
  <c r="I85" i="161"/>
  <c r="D85" i="161"/>
  <c r="J85" i="161"/>
  <c r="E85" i="161"/>
  <c r="C85" i="161"/>
  <c r="I86" i="161"/>
  <c r="D86" i="161"/>
  <c r="J86" i="161"/>
  <c r="E86" i="161"/>
  <c r="C86" i="161"/>
  <c r="I87" i="161"/>
  <c r="D87" i="161"/>
  <c r="J87" i="161"/>
  <c r="E87" i="161"/>
  <c r="C87" i="161"/>
  <c r="I88" i="161"/>
  <c r="D88" i="161"/>
  <c r="J88" i="161"/>
  <c r="E88" i="161"/>
  <c r="C88" i="161"/>
  <c r="I89" i="161"/>
  <c r="D89" i="161"/>
  <c r="J89" i="161"/>
  <c r="E89" i="161"/>
  <c r="C89" i="161"/>
  <c r="I90" i="161"/>
  <c r="D90" i="161"/>
  <c r="J90" i="161"/>
  <c r="E90" i="161"/>
  <c r="C90" i="161"/>
  <c r="I91" i="161"/>
  <c r="D91" i="161"/>
  <c r="J91" i="161"/>
  <c r="E91" i="161"/>
  <c r="C91" i="161"/>
  <c r="I92" i="161"/>
  <c r="D92" i="161"/>
  <c r="J92" i="161"/>
  <c r="E92" i="161"/>
  <c r="C92" i="161"/>
  <c r="I93" i="161"/>
  <c r="D93" i="161"/>
  <c r="J93" i="161"/>
  <c r="E93" i="161"/>
  <c r="C93" i="161"/>
  <c r="I94" i="161"/>
  <c r="D94" i="161"/>
  <c r="J94" i="161"/>
  <c r="E94" i="161"/>
  <c r="C94" i="161"/>
  <c r="I95" i="161"/>
  <c r="D95" i="161"/>
  <c r="J95" i="161"/>
  <c r="E95" i="161"/>
  <c r="C95" i="161"/>
  <c r="I96" i="161"/>
  <c r="D96" i="161"/>
  <c r="J96" i="161"/>
  <c r="E96" i="161"/>
  <c r="C96" i="161"/>
  <c r="I97" i="161"/>
  <c r="D97" i="161"/>
  <c r="J97" i="161"/>
  <c r="E97" i="161"/>
  <c r="C97" i="161"/>
  <c r="I98" i="161"/>
  <c r="D98" i="161"/>
  <c r="J98" i="161"/>
  <c r="E98" i="161"/>
  <c r="C98" i="161"/>
  <c r="I99" i="161"/>
  <c r="D99" i="161"/>
  <c r="J99" i="161"/>
  <c r="E99" i="161"/>
  <c r="C99" i="161"/>
  <c r="I100" i="161"/>
  <c r="D100" i="161"/>
  <c r="J100" i="161"/>
  <c r="E100" i="161"/>
  <c r="C100" i="161"/>
  <c r="I101" i="161"/>
  <c r="D101" i="161"/>
  <c r="J101" i="161"/>
  <c r="E101" i="161"/>
  <c r="C101" i="161"/>
  <c r="I102" i="161"/>
  <c r="D102" i="161"/>
  <c r="J102" i="161"/>
  <c r="E102" i="161"/>
  <c r="C102" i="161"/>
  <c r="I103" i="161"/>
  <c r="D103" i="161"/>
  <c r="J103" i="161"/>
  <c r="E103" i="161"/>
  <c r="C103" i="161"/>
  <c r="I104" i="161"/>
  <c r="D104" i="161"/>
  <c r="J104" i="161"/>
  <c r="E104" i="161"/>
  <c r="C104" i="161"/>
  <c r="I105" i="161"/>
  <c r="D105" i="161"/>
  <c r="J105" i="161"/>
  <c r="E105" i="161"/>
  <c r="C105" i="161"/>
  <c r="I106" i="161"/>
  <c r="D106" i="161"/>
  <c r="J106" i="161"/>
  <c r="E106" i="161"/>
  <c r="C106" i="161"/>
  <c r="I107" i="161"/>
  <c r="D107" i="161"/>
  <c r="J107" i="161"/>
  <c r="E107" i="161"/>
  <c r="C107" i="161"/>
  <c r="I108" i="161"/>
  <c r="D108" i="161"/>
  <c r="J108" i="161"/>
  <c r="E108" i="161"/>
  <c r="C108" i="161"/>
  <c r="I109" i="161"/>
  <c r="D109" i="161"/>
  <c r="J109" i="161"/>
  <c r="E109" i="161"/>
  <c r="C109" i="161"/>
  <c r="I110" i="161"/>
  <c r="D110" i="161"/>
  <c r="J110" i="161"/>
  <c r="E110" i="161"/>
  <c r="C110" i="161"/>
  <c r="I111" i="161"/>
  <c r="D111" i="161"/>
  <c r="J111" i="161"/>
  <c r="E111" i="161"/>
  <c r="C111" i="161"/>
  <c r="I112" i="161"/>
  <c r="D112" i="161"/>
  <c r="J112" i="161"/>
  <c r="E112" i="161"/>
  <c r="C112" i="161"/>
  <c r="I113" i="161"/>
  <c r="D113" i="161"/>
  <c r="J113" i="161"/>
  <c r="E113" i="161"/>
  <c r="C113" i="161"/>
  <c r="I114" i="161"/>
  <c r="D114" i="161"/>
  <c r="J114" i="161"/>
  <c r="E114" i="161"/>
  <c r="C114" i="161"/>
  <c r="I115" i="161"/>
  <c r="D115" i="161"/>
  <c r="J115" i="161"/>
  <c r="E115" i="161"/>
  <c r="C115" i="161"/>
  <c r="I116" i="161"/>
  <c r="D116" i="161"/>
  <c r="J116" i="161"/>
  <c r="E116" i="161"/>
  <c r="C116" i="161"/>
  <c r="I117" i="161"/>
  <c r="D117" i="161"/>
  <c r="J117" i="161"/>
  <c r="E117" i="161"/>
  <c r="C117" i="161"/>
  <c r="I118" i="161"/>
  <c r="D118" i="161"/>
  <c r="J118" i="161"/>
  <c r="E118" i="161"/>
  <c r="C118" i="161"/>
  <c r="I119" i="161"/>
  <c r="D119" i="161"/>
  <c r="J119" i="161"/>
  <c r="E119" i="161"/>
  <c r="C119" i="161"/>
  <c r="I120" i="161"/>
  <c r="D120" i="161"/>
  <c r="J120" i="161"/>
  <c r="E120" i="161"/>
  <c r="C120" i="161"/>
  <c r="I121" i="161"/>
  <c r="D121" i="161"/>
  <c r="J121" i="161"/>
  <c r="E121" i="161"/>
  <c r="C121" i="161"/>
  <c r="I122" i="161"/>
  <c r="D122" i="161"/>
  <c r="J122" i="161"/>
  <c r="E122" i="161"/>
  <c r="C122" i="161"/>
  <c r="I123" i="161"/>
  <c r="D123" i="161"/>
  <c r="J123" i="161"/>
  <c r="E123" i="161"/>
  <c r="C123" i="161"/>
  <c r="I124" i="161"/>
  <c r="D124" i="161"/>
  <c r="J124" i="161"/>
  <c r="E124" i="161"/>
  <c r="C124" i="161"/>
  <c r="I125" i="161"/>
  <c r="D125" i="161"/>
  <c r="J125" i="161"/>
  <c r="E125" i="161"/>
  <c r="C125" i="161"/>
  <c r="I126" i="161"/>
  <c r="D126" i="161"/>
  <c r="J126" i="161"/>
  <c r="E126" i="161"/>
  <c r="C126" i="161"/>
  <c r="I127" i="161"/>
  <c r="D127" i="161"/>
  <c r="J127" i="161"/>
  <c r="E127" i="161"/>
  <c r="C127" i="161"/>
  <c r="I128" i="161"/>
  <c r="D128" i="161"/>
  <c r="J128" i="161"/>
  <c r="E128" i="161"/>
  <c r="C128" i="161"/>
  <c r="I129" i="161"/>
  <c r="D129" i="161"/>
  <c r="J129" i="161"/>
  <c r="E129" i="161"/>
  <c r="C129" i="161"/>
  <c r="I130" i="161"/>
  <c r="D130" i="161"/>
  <c r="J130" i="161"/>
  <c r="E130" i="161"/>
  <c r="C130" i="161"/>
  <c r="I131" i="161"/>
  <c r="D131" i="161"/>
  <c r="J131" i="161"/>
  <c r="E131" i="161"/>
  <c r="C131" i="161"/>
  <c r="I132" i="161"/>
  <c r="D132" i="161"/>
  <c r="J132" i="161"/>
  <c r="E132" i="161"/>
  <c r="C132" i="161"/>
  <c r="I133" i="161"/>
  <c r="D133" i="161"/>
  <c r="J133" i="161"/>
  <c r="E133" i="161"/>
  <c r="C133" i="161"/>
  <c r="I134" i="161"/>
  <c r="D134" i="161"/>
  <c r="J134" i="161"/>
  <c r="E134" i="161"/>
  <c r="C134" i="161"/>
  <c r="I135" i="161"/>
  <c r="D135" i="161"/>
  <c r="J135" i="161"/>
  <c r="E135" i="161"/>
  <c r="C135" i="161"/>
  <c r="I136" i="161"/>
  <c r="D136" i="161"/>
  <c r="J136" i="161"/>
  <c r="E136" i="161"/>
  <c r="C136" i="161"/>
  <c r="I137" i="161"/>
  <c r="D137" i="161"/>
  <c r="J137" i="161"/>
  <c r="E137" i="161"/>
  <c r="C137" i="161"/>
  <c r="I138" i="161"/>
  <c r="D138" i="161"/>
  <c r="J138" i="161"/>
  <c r="E138" i="161"/>
  <c r="C138" i="161"/>
  <c r="I139" i="161"/>
  <c r="D139" i="161"/>
  <c r="J139" i="161"/>
  <c r="E139" i="161"/>
  <c r="C139" i="161"/>
  <c r="I140" i="161"/>
  <c r="D140" i="161"/>
  <c r="J140" i="161"/>
  <c r="E140" i="161"/>
  <c r="C140" i="161"/>
  <c r="I141" i="161"/>
  <c r="D141" i="161"/>
  <c r="J141" i="161"/>
  <c r="E141" i="161"/>
  <c r="C141" i="161"/>
  <c r="I142" i="161"/>
  <c r="D142" i="161"/>
  <c r="J142" i="161"/>
  <c r="E142" i="161"/>
  <c r="C142" i="161"/>
  <c r="I143" i="161"/>
  <c r="D143" i="161"/>
  <c r="J143" i="161"/>
  <c r="E143" i="161"/>
  <c r="C143" i="161"/>
  <c r="I144" i="161"/>
  <c r="D144" i="161"/>
  <c r="J144" i="161"/>
  <c r="E144" i="161"/>
  <c r="C144" i="161"/>
  <c r="I145" i="161"/>
  <c r="D145" i="161"/>
  <c r="J145" i="161"/>
  <c r="E145" i="161"/>
  <c r="C145" i="161"/>
  <c r="I146" i="161"/>
  <c r="D146" i="161"/>
  <c r="J146" i="161"/>
  <c r="E146" i="161"/>
  <c r="C146" i="161"/>
  <c r="I147" i="161"/>
  <c r="D147" i="161"/>
  <c r="J147" i="161"/>
  <c r="E147" i="161"/>
  <c r="C147" i="161"/>
  <c r="I148" i="161"/>
  <c r="D148" i="161"/>
  <c r="J148" i="161"/>
  <c r="E148" i="161"/>
  <c r="C148" i="161"/>
  <c r="I149" i="161"/>
  <c r="D149" i="161"/>
  <c r="J149" i="161"/>
  <c r="E149" i="161"/>
  <c r="C149" i="161"/>
  <c r="I150" i="161"/>
  <c r="D150" i="161"/>
  <c r="J150" i="161"/>
  <c r="E150" i="161"/>
  <c r="C150" i="161"/>
  <c r="I151" i="161"/>
  <c r="D151" i="161"/>
  <c r="J151" i="161"/>
  <c r="E151" i="161"/>
  <c r="C151" i="161"/>
  <c r="I152" i="161"/>
  <c r="D152" i="161"/>
  <c r="J152" i="161"/>
  <c r="E152" i="161"/>
  <c r="C152" i="161"/>
  <c r="I153" i="161"/>
  <c r="D153" i="161"/>
  <c r="J153" i="161"/>
  <c r="E153" i="161"/>
  <c r="C153" i="161"/>
  <c r="I154" i="161"/>
  <c r="D154" i="161"/>
  <c r="J154" i="161"/>
  <c r="E154" i="161"/>
  <c r="C154" i="161"/>
  <c r="I155" i="161"/>
  <c r="D155" i="161"/>
  <c r="J155" i="161"/>
  <c r="E155" i="161"/>
  <c r="C155" i="161"/>
  <c r="I156" i="161"/>
  <c r="D156" i="161"/>
  <c r="J156" i="161"/>
  <c r="E156" i="161"/>
  <c r="C156" i="161"/>
  <c r="I157" i="161"/>
  <c r="D157" i="161"/>
  <c r="J157" i="161"/>
  <c r="E157" i="161"/>
  <c r="C157" i="161"/>
  <c r="I158" i="161"/>
  <c r="D158" i="161"/>
  <c r="J158" i="161"/>
  <c r="E158" i="161"/>
  <c r="C158" i="161"/>
  <c r="I159" i="161"/>
  <c r="D159" i="161"/>
  <c r="J159" i="161"/>
  <c r="E159" i="161"/>
  <c r="C159" i="161"/>
  <c r="I160" i="161"/>
  <c r="D160" i="161"/>
  <c r="J160" i="161"/>
  <c r="E160" i="161"/>
  <c r="C160" i="161"/>
  <c r="I161" i="161"/>
  <c r="D161" i="161"/>
  <c r="J161" i="161"/>
  <c r="E161" i="161"/>
  <c r="C161" i="161"/>
  <c r="I162" i="161"/>
  <c r="D162" i="161"/>
  <c r="J162" i="161"/>
  <c r="E162" i="161"/>
  <c r="C162" i="161"/>
  <c r="I163" i="161"/>
  <c r="D163" i="161"/>
  <c r="J163" i="161"/>
  <c r="E163" i="161"/>
  <c r="C163" i="161"/>
  <c r="I164" i="161"/>
  <c r="D164" i="161"/>
  <c r="J164" i="161"/>
  <c r="E164" i="161"/>
  <c r="C164" i="161"/>
  <c r="I165" i="161"/>
  <c r="D165" i="161"/>
  <c r="J165" i="161"/>
  <c r="E165" i="161"/>
  <c r="C165" i="161"/>
  <c r="I166" i="161"/>
  <c r="D166" i="161"/>
  <c r="J166" i="161"/>
  <c r="E166" i="161"/>
  <c r="C166" i="161"/>
  <c r="I167" i="161"/>
  <c r="D167" i="161"/>
  <c r="J167" i="161"/>
  <c r="E167" i="161"/>
  <c r="C167" i="161"/>
  <c r="I168" i="161"/>
  <c r="D168" i="161"/>
  <c r="J168" i="161"/>
  <c r="E168" i="161"/>
  <c r="C168" i="161"/>
  <c r="I169" i="161"/>
  <c r="D169" i="161"/>
  <c r="J169" i="161"/>
  <c r="E169" i="161"/>
  <c r="C169" i="161"/>
  <c r="I170" i="161"/>
  <c r="D170" i="161"/>
  <c r="J170" i="161"/>
  <c r="E170" i="161"/>
  <c r="C170" i="161"/>
  <c r="I171" i="161"/>
  <c r="D171" i="161"/>
  <c r="J171" i="161"/>
  <c r="E171" i="161"/>
  <c r="C171" i="161"/>
  <c r="I172" i="161"/>
  <c r="D172" i="161"/>
  <c r="J172" i="161"/>
  <c r="E172" i="161"/>
  <c r="C172" i="161"/>
  <c r="I173" i="161"/>
  <c r="D173" i="161"/>
  <c r="J173" i="161"/>
  <c r="E173" i="161"/>
  <c r="C173" i="161"/>
  <c r="I174" i="161"/>
  <c r="D174" i="161"/>
  <c r="J174" i="161"/>
  <c r="E174" i="161"/>
  <c r="C174" i="161"/>
  <c r="I175" i="161"/>
  <c r="D175" i="161"/>
  <c r="J175" i="161"/>
  <c r="E175" i="161"/>
  <c r="C175" i="161"/>
  <c r="I176" i="161"/>
  <c r="D176" i="161"/>
  <c r="J176" i="161"/>
  <c r="E176" i="161"/>
  <c r="C176" i="161"/>
  <c r="I177" i="161"/>
  <c r="D177" i="161"/>
  <c r="J177" i="161"/>
  <c r="E177" i="161"/>
  <c r="C177" i="161"/>
  <c r="I178" i="161"/>
  <c r="D178" i="161"/>
  <c r="J178" i="161"/>
  <c r="E178" i="161"/>
  <c r="C178" i="161"/>
  <c r="I179" i="161"/>
  <c r="D179" i="161"/>
  <c r="J179" i="161"/>
  <c r="E179" i="161"/>
  <c r="C179" i="161"/>
  <c r="I180" i="161"/>
  <c r="D180" i="161"/>
  <c r="J180" i="161"/>
  <c r="E180" i="161"/>
  <c r="C180" i="161"/>
  <c r="I181" i="161"/>
  <c r="D181" i="161"/>
  <c r="J181" i="161"/>
  <c r="E181" i="161"/>
  <c r="C181" i="161"/>
  <c r="I182" i="161"/>
  <c r="D182" i="161"/>
  <c r="J182" i="161"/>
  <c r="E182" i="161"/>
  <c r="C182" i="161"/>
  <c r="I183" i="161"/>
  <c r="D183" i="161"/>
  <c r="J183" i="161"/>
  <c r="E183" i="161"/>
  <c r="C183" i="161"/>
  <c r="I184" i="161"/>
  <c r="D184" i="161"/>
  <c r="J184" i="161"/>
  <c r="E184" i="161"/>
  <c r="C184" i="161"/>
  <c r="I185" i="161"/>
  <c r="D185" i="161"/>
  <c r="J185" i="161"/>
  <c r="E185" i="161"/>
  <c r="C185" i="161"/>
  <c r="I186" i="161"/>
  <c r="D186" i="161"/>
  <c r="J186" i="161"/>
  <c r="E186" i="161"/>
  <c r="C186" i="161"/>
  <c r="I187" i="161"/>
  <c r="D187" i="161"/>
  <c r="J187" i="161"/>
  <c r="E187" i="161"/>
  <c r="C187" i="161"/>
  <c r="I188" i="161"/>
  <c r="D188" i="161"/>
  <c r="J188" i="161"/>
  <c r="E188" i="161"/>
  <c r="C188" i="161"/>
  <c r="I189" i="161"/>
  <c r="D189" i="161"/>
  <c r="J189" i="161"/>
  <c r="E189" i="161"/>
  <c r="C189" i="161"/>
  <c r="I190" i="161"/>
  <c r="D190" i="161"/>
  <c r="J190" i="161"/>
  <c r="E190" i="161"/>
  <c r="C190" i="161"/>
  <c r="I191" i="161"/>
  <c r="D191" i="161"/>
  <c r="J191" i="161"/>
  <c r="E191" i="161"/>
  <c r="C191" i="161"/>
  <c r="I192" i="161"/>
  <c r="D192" i="161"/>
  <c r="J192" i="161"/>
  <c r="E192" i="161"/>
  <c r="C192" i="161"/>
  <c r="I193" i="161"/>
  <c r="D193" i="161"/>
  <c r="J193" i="161"/>
  <c r="E193" i="161"/>
  <c r="C193" i="161"/>
  <c r="I194" i="161"/>
  <c r="D194" i="161"/>
  <c r="J194" i="161"/>
  <c r="E194" i="161"/>
  <c r="C194" i="161"/>
  <c r="I195" i="161"/>
  <c r="D195" i="161"/>
  <c r="J195" i="161"/>
  <c r="E195" i="161"/>
  <c r="C195" i="161"/>
  <c r="I196" i="161"/>
  <c r="D196" i="161"/>
  <c r="J196" i="161"/>
  <c r="E196" i="161"/>
  <c r="C196" i="161"/>
  <c r="I197" i="161"/>
  <c r="D197" i="161"/>
  <c r="J197" i="161"/>
  <c r="E197" i="161"/>
  <c r="C197" i="161"/>
  <c r="I198" i="161"/>
  <c r="D198" i="161"/>
  <c r="J198" i="161"/>
  <c r="E198" i="161"/>
  <c r="C198" i="161"/>
  <c r="I199" i="161"/>
  <c r="D199" i="161"/>
  <c r="J199" i="161"/>
  <c r="E199" i="161"/>
  <c r="C199" i="161"/>
  <c r="I200" i="161"/>
  <c r="D200" i="161"/>
  <c r="J200" i="161"/>
  <c r="E200" i="161"/>
  <c r="C200" i="161"/>
  <c r="I201" i="161"/>
  <c r="D201" i="161"/>
  <c r="J201" i="161"/>
  <c r="E201" i="161"/>
  <c r="C201" i="161"/>
  <c r="I202" i="161"/>
  <c r="D202" i="161"/>
  <c r="J202" i="161"/>
  <c r="E202" i="161"/>
  <c r="C202" i="161"/>
  <c r="I203" i="161"/>
  <c r="D203" i="161"/>
  <c r="J203" i="161"/>
  <c r="E203" i="161"/>
  <c r="C203" i="161"/>
  <c r="I204" i="161"/>
  <c r="D204" i="161"/>
  <c r="J204" i="161"/>
  <c r="E204" i="161"/>
  <c r="C204" i="161"/>
  <c r="I205" i="161"/>
  <c r="D205" i="161"/>
  <c r="J205" i="161"/>
  <c r="E205" i="161"/>
  <c r="C205" i="161"/>
  <c r="I206" i="161"/>
  <c r="D206" i="161"/>
  <c r="J206" i="161"/>
  <c r="E206" i="161"/>
  <c r="C206" i="161"/>
  <c r="I207" i="161"/>
  <c r="D207" i="161"/>
  <c r="J207" i="161"/>
  <c r="E207" i="161"/>
  <c r="C207" i="161"/>
  <c r="I208" i="161"/>
  <c r="D208" i="161"/>
  <c r="J208" i="161"/>
  <c r="E208" i="161"/>
  <c r="C208" i="161"/>
  <c r="I209" i="161"/>
  <c r="D209" i="161"/>
  <c r="J209" i="161"/>
  <c r="E209" i="161"/>
  <c r="C209" i="161"/>
  <c r="I210" i="161"/>
  <c r="D210" i="161"/>
  <c r="J210" i="161"/>
  <c r="E210" i="161"/>
  <c r="C210" i="161"/>
  <c r="I211" i="161"/>
  <c r="D211" i="161"/>
  <c r="J211" i="161"/>
  <c r="E211" i="161"/>
  <c r="C211" i="161"/>
  <c r="I212" i="161"/>
  <c r="D212" i="161"/>
  <c r="J212" i="161"/>
  <c r="E212" i="161"/>
  <c r="C212" i="161"/>
  <c r="I213" i="161"/>
  <c r="D213" i="161"/>
  <c r="J213" i="161"/>
  <c r="E213" i="161"/>
  <c r="C213" i="161"/>
  <c r="I214" i="161"/>
  <c r="D214" i="161"/>
  <c r="J214" i="161"/>
  <c r="E214" i="161"/>
  <c r="C214" i="161"/>
  <c r="I215" i="161"/>
  <c r="D215" i="161"/>
  <c r="J215" i="161"/>
  <c r="E215" i="161"/>
  <c r="C215" i="161"/>
  <c r="I216" i="161"/>
  <c r="D216" i="161"/>
  <c r="J216" i="161"/>
  <c r="E216" i="161"/>
  <c r="C216" i="161"/>
  <c r="I217" i="161"/>
  <c r="D217" i="161"/>
  <c r="J217" i="161"/>
  <c r="E217" i="161"/>
  <c r="C217" i="161"/>
  <c r="I218" i="161"/>
  <c r="D218" i="161"/>
  <c r="J218" i="161"/>
  <c r="E218" i="161"/>
  <c r="C218" i="161"/>
  <c r="I219" i="161"/>
  <c r="D219" i="161"/>
  <c r="J219" i="161"/>
  <c r="E219" i="161"/>
  <c r="C219" i="161"/>
  <c r="I220" i="161"/>
  <c r="D220" i="161"/>
  <c r="J220" i="161"/>
  <c r="E220" i="161"/>
  <c r="C220" i="161"/>
  <c r="I221" i="161"/>
  <c r="D221" i="161"/>
  <c r="J221" i="161"/>
  <c r="E221" i="161"/>
  <c r="C221" i="161"/>
  <c r="I222" i="161"/>
  <c r="D222" i="161"/>
  <c r="J222" i="161"/>
  <c r="E222" i="161"/>
  <c r="C222" i="161"/>
  <c r="I223" i="161"/>
  <c r="D223" i="161"/>
  <c r="J223" i="161"/>
  <c r="E223" i="161"/>
  <c r="C223" i="161"/>
  <c r="I224" i="161"/>
  <c r="D224" i="161"/>
  <c r="J224" i="161"/>
  <c r="E224" i="161"/>
  <c r="C224" i="161"/>
  <c r="I225" i="161"/>
  <c r="D225" i="161"/>
  <c r="J225" i="161"/>
  <c r="E225" i="161"/>
  <c r="C225" i="161"/>
  <c r="I226" i="161"/>
  <c r="D226" i="161"/>
  <c r="J226" i="161"/>
  <c r="E226" i="161"/>
  <c r="C226" i="161"/>
  <c r="I227" i="161"/>
  <c r="D227" i="161"/>
  <c r="J227" i="161"/>
  <c r="E227" i="161"/>
  <c r="C227" i="161"/>
  <c r="I228" i="161"/>
  <c r="D228" i="161"/>
  <c r="J228" i="161"/>
  <c r="E228" i="161"/>
  <c r="C228" i="161"/>
  <c r="I229" i="161"/>
  <c r="D229" i="161"/>
  <c r="J229" i="161"/>
  <c r="E229" i="161"/>
  <c r="C229" i="161"/>
  <c r="I230" i="161"/>
  <c r="D230" i="161"/>
  <c r="J230" i="161"/>
  <c r="E230" i="161"/>
  <c r="C230" i="161"/>
  <c r="I231" i="161"/>
  <c r="D231" i="161"/>
  <c r="J231" i="161"/>
  <c r="E231" i="161"/>
  <c r="C231" i="161"/>
  <c r="I232" i="161"/>
  <c r="D232" i="161"/>
  <c r="J232" i="161"/>
  <c r="E232" i="161"/>
  <c r="C232" i="161"/>
  <c r="I233" i="161"/>
  <c r="D233" i="161"/>
  <c r="J233" i="161"/>
  <c r="E233" i="161"/>
  <c r="C233" i="161"/>
  <c r="I234" i="161"/>
  <c r="D234" i="161"/>
  <c r="J234" i="161"/>
  <c r="E234" i="161"/>
  <c r="C234" i="161"/>
  <c r="I235" i="161"/>
  <c r="D235" i="161"/>
  <c r="J235" i="161"/>
  <c r="E235" i="161"/>
  <c r="C235" i="161"/>
  <c r="I236" i="161"/>
  <c r="D236" i="161"/>
  <c r="J236" i="161"/>
  <c r="E236" i="161"/>
  <c r="C236" i="161"/>
  <c r="I237" i="161"/>
  <c r="D237" i="161"/>
  <c r="J237" i="161"/>
  <c r="E237" i="161"/>
  <c r="C237" i="161"/>
  <c r="I238" i="161"/>
  <c r="D238" i="161"/>
  <c r="J238" i="161"/>
  <c r="E238" i="161"/>
  <c r="C238" i="161"/>
  <c r="I239" i="161"/>
  <c r="D239" i="161"/>
  <c r="J239" i="161"/>
  <c r="E239" i="161"/>
  <c r="C239" i="161"/>
  <c r="I240" i="161"/>
  <c r="D240" i="161"/>
  <c r="J240" i="161"/>
  <c r="E240" i="161"/>
  <c r="C240" i="161"/>
  <c r="I241" i="161"/>
  <c r="D241" i="161"/>
  <c r="J241" i="161"/>
  <c r="E241" i="161"/>
  <c r="C241" i="161"/>
  <c r="I242" i="161"/>
  <c r="D242" i="161"/>
  <c r="J242" i="161"/>
  <c r="E242" i="161"/>
  <c r="C242" i="161"/>
  <c r="I243" i="161"/>
  <c r="D243" i="161"/>
  <c r="J243" i="161"/>
  <c r="E243" i="161"/>
  <c r="C243" i="161"/>
  <c r="I244" i="161"/>
  <c r="D244" i="161"/>
  <c r="J244" i="161"/>
  <c r="E244" i="161"/>
  <c r="C244" i="161"/>
  <c r="I245" i="161"/>
  <c r="D245" i="161"/>
  <c r="J245" i="161"/>
  <c r="E245" i="161"/>
  <c r="C245" i="161"/>
  <c r="I246" i="161"/>
  <c r="D246" i="161"/>
  <c r="J246" i="161"/>
  <c r="E246" i="161"/>
  <c r="C246" i="161"/>
  <c r="I247" i="161"/>
  <c r="D247" i="161"/>
  <c r="J247" i="161"/>
  <c r="E247" i="161"/>
  <c r="C247" i="161"/>
  <c r="I248" i="161"/>
  <c r="D248" i="161"/>
  <c r="J248" i="161"/>
  <c r="E248" i="161"/>
  <c r="C248" i="161"/>
  <c r="I249" i="161"/>
  <c r="D249" i="161"/>
  <c r="J249" i="161"/>
  <c r="E249" i="161"/>
  <c r="C249" i="161"/>
  <c r="I250" i="161"/>
  <c r="D250" i="161"/>
  <c r="J250" i="161"/>
  <c r="E250" i="161"/>
  <c r="C250" i="161"/>
  <c r="I251" i="161"/>
  <c r="D251" i="161"/>
  <c r="J251" i="161"/>
  <c r="E251" i="161"/>
  <c r="C251" i="161"/>
  <c r="I252" i="161"/>
  <c r="D252" i="161"/>
  <c r="J252" i="161"/>
  <c r="E252" i="161"/>
  <c r="C252" i="161"/>
  <c r="I253" i="161"/>
  <c r="D253" i="161"/>
  <c r="J253" i="161"/>
  <c r="E253" i="161"/>
  <c r="C253" i="161"/>
  <c r="I254" i="161"/>
  <c r="D254" i="161"/>
  <c r="J254" i="161"/>
  <c r="E254" i="161"/>
  <c r="C254" i="161"/>
  <c r="I255" i="161"/>
  <c r="D255" i="161"/>
  <c r="J255" i="161"/>
  <c r="E255" i="161"/>
  <c r="C255" i="161"/>
  <c r="I256" i="161"/>
  <c r="D256" i="161"/>
  <c r="J256" i="161"/>
  <c r="E256" i="161"/>
  <c r="C256" i="161"/>
  <c r="I257" i="161"/>
  <c r="D257" i="161"/>
  <c r="J257" i="161"/>
  <c r="E257" i="161"/>
  <c r="C257" i="161"/>
  <c r="I258" i="161"/>
  <c r="D258" i="161"/>
  <c r="J258" i="161"/>
  <c r="E258" i="161"/>
  <c r="C258" i="161"/>
  <c r="I259" i="161"/>
  <c r="D259" i="161"/>
  <c r="J259" i="161"/>
  <c r="E259" i="161"/>
  <c r="C259" i="161"/>
  <c r="I260" i="161"/>
  <c r="D260" i="161"/>
  <c r="J260" i="161"/>
  <c r="E260" i="161"/>
  <c r="C260" i="161"/>
  <c r="I261" i="161"/>
  <c r="D261" i="161"/>
  <c r="J261" i="161"/>
  <c r="E261" i="161"/>
  <c r="C261" i="161"/>
  <c r="I262" i="161"/>
  <c r="D262" i="161"/>
  <c r="J262" i="161"/>
  <c r="E262" i="161"/>
  <c r="C262" i="161"/>
  <c r="I263" i="161"/>
  <c r="D263" i="161"/>
  <c r="J263" i="161"/>
  <c r="E263" i="161"/>
  <c r="C263" i="161"/>
  <c r="I264" i="161"/>
  <c r="D264" i="161"/>
  <c r="J264" i="161"/>
  <c r="E264" i="161"/>
  <c r="C264" i="161"/>
  <c r="I265" i="161"/>
  <c r="D265" i="161"/>
  <c r="J265" i="161"/>
  <c r="E265" i="161"/>
  <c r="C265" i="161"/>
  <c r="I266" i="161"/>
  <c r="D266" i="161"/>
  <c r="J266" i="161"/>
  <c r="E266" i="161"/>
  <c r="C266" i="161"/>
  <c r="I267" i="161"/>
  <c r="D267" i="161"/>
  <c r="J267" i="161"/>
  <c r="E267" i="161"/>
  <c r="C267" i="161"/>
  <c r="I268" i="161"/>
  <c r="D268" i="161"/>
  <c r="J268" i="161"/>
  <c r="E268" i="161"/>
  <c r="C268" i="161"/>
  <c r="I269" i="161"/>
  <c r="D269" i="161"/>
  <c r="J269" i="161"/>
  <c r="E269" i="161"/>
  <c r="C269" i="161"/>
  <c r="I270" i="161"/>
  <c r="D270" i="161"/>
  <c r="J270" i="161"/>
  <c r="E270" i="161"/>
  <c r="C270" i="161"/>
  <c r="I271" i="161"/>
  <c r="D271" i="161"/>
  <c r="J271" i="161"/>
  <c r="E271" i="161"/>
  <c r="C271" i="161"/>
  <c r="I272" i="161"/>
  <c r="D272" i="161"/>
  <c r="J272" i="161"/>
  <c r="E272" i="161"/>
  <c r="C272" i="161"/>
  <c r="I273" i="161"/>
  <c r="D273" i="161"/>
  <c r="J273" i="161"/>
  <c r="E273" i="161"/>
  <c r="C273" i="161"/>
  <c r="I274" i="161"/>
  <c r="D274" i="161"/>
  <c r="J274" i="161"/>
  <c r="E274" i="161"/>
  <c r="C274" i="161"/>
  <c r="I275" i="161"/>
  <c r="D275" i="161"/>
  <c r="J275" i="161"/>
  <c r="E275" i="161"/>
  <c r="C275" i="161"/>
  <c r="I276" i="161"/>
  <c r="D276" i="161"/>
  <c r="J276" i="161"/>
  <c r="E276" i="161"/>
  <c r="C276" i="161"/>
  <c r="I277" i="161"/>
  <c r="D277" i="161"/>
  <c r="J277" i="161"/>
  <c r="E277" i="161"/>
  <c r="C277" i="161"/>
  <c r="I278" i="161"/>
  <c r="D278" i="161"/>
  <c r="J278" i="161"/>
  <c r="E278" i="161"/>
  <c r="C278" i="161"/>
  <c r="I279" i="161"/>
  <c r="D279" i="161"/>
  <c r="J279" i="161"/>
  <c r="E279" i="161"/>
  <c r="C279" i="161"/>
  <c r="I280" i="161"/>
  <c r="D280" i="161"/>
  <c r="J280" i="161"/>
  <c r="E280" i="161"/>
  <c r="C280" i="161"/>
  <c r="I281" i="161"/>
  <c r="D281" i="161"/>
  <c r="J281" i="161"/>
  <c r="E281" i="161"/>
  <c r="C281" i="161"/>
  <c r="I282" i="161"/>
  <c r="D282" i="161"/>
  <c r="J282" i="161"/>
  <c r="E282" i="161"/>
  <c r="C282" i="161"/>
  <c r="I283" i="161"/>
  <c r="D283" i="161"/>
  <c r="J283" i="161"/>
  <c r="E283" i="161"/>
  <c r="C283" i="161"/>
  <c r="I284" i="161"/>
  <c r="D284" i="161"/>
  <c r="J284" i="161"/>
  <c r="E284" i="161"/>
  <c r="C284" i="161"/>
  <c r="I285" i="161"/>
  <c r="D285" i="161"/>
  <c r="J285" i="161"/>
  <c r="E285" i="161"/>
  <c r="C285" i="161"/>
  <c r="I286" i="161"/>
  <c r="D286" i="161"/>
  <c r="J286" i="161"/>
  <c r="E286" i="161"/>
  <c r="C286" i="161"/>
  <c r="I287" i="161"/>
  <c r="D287" i="161"/>
  <c r="J287" i="161"/>
  <c r="E287" i="161"/>
  <c r="C287" i="161"/>
  <c r="I288" i="161"/>
  <c r="D288" i="161"/>
  <c r="J288" i="161"/>
  <c r="E288" i="161"/>
  <c r="C288" i="161"/>
  <c r="I289" i="161"/>
  <c r="D289" i="161"/>
  <c r="J289" i="161"/>
  <c r="E289" i="161"/>
  <c r="C289" i="161"/>
  <c r="I290" i="161"/>
  <c r="D290" i="161"/>
  <c r="J290" i="161"/>
  <c r="E290" i="161"/>
  <c r="C290" i="161"/>
  <c r="I291" i="161"/>
  <c r="D291" i="161"/>
  <c r="J291" i="161"/>
  <c r="E291" i="161"/>
  <c r="C291" i="161"/>
  <c r="I292" i="161"/>
  <c r="D292" i="161"/>
  <c r="J292" i="161"/>
  <c r="E292" i="161"/>
  <c r="C292" i="161"/>
  <c r="I293" i="161"/>
  <c r="D293" i="161"/>
  <c r="J293" i="161"/>
  <c r="E293" i="161"/>
  <c r="C293" i="161"/>
  <c r="I294" i="161"/>
  <c r="D294" i="161"/>
  <c r="J294" i="161"/>
  <c r="E294" i="161"/>
  <c r="C294" i="161"/>
  <c r="I295" i="161"/>
  <c r="D295" i="161"/>
  <c r="J295" i="161"/>
  <c r="E295" i="161"/>
  <c r="C295" i="161"/>
  <c r="I296" i="161"/>
  <c r="D296" i="161"/>
  <c r="J296" i="161"/>
  <c r="E296" i="161"/>
  <c r="C296" i="161"/>
  <c r="I297" i="161"/>
  <c r="D297" i="161"/>
  <c r="J297" i="161"/>
  <c r="E297" i="161"/>
  <c r="C297" i="161"/>
  <c r="I298" i="161"/>
  <c r="D298" i="161"/>
  <c r="J298" i="161"/>
  <c r="E298" i="161"/>
  <c r="C298" i="161"/>
  <c r="I299" i="161"/>
  <c r="D299" i="161"/>
  <c r="J299" i="161"/>
  <c r="E299" i="161"/>
  <c r="C299" i="161"/>
  <c r="I300" i="161"/>
  <c r="D300" i="161"/>
  <c r="J300" i="161"/>
  <c r="E300" i="161"/>
  <c r="C300" i="161"/>
  <c r="I301" i="161"/>
  <c r="D301" i="161"/>
  <c r="J301" i="161"/>
  <c r="E301" i="161"/>
  <c r="C301" i="161"/>
  <c r="I302" i="161"/>
  <c r="D302" i="161"/>
  <c r="J302" i="161"/>
  <c r="E302" i="161"/>
  <c r="C302" i="161"/>
  <c r="I303" i="161"/>
  <c r="D303" i="161"/>
  <c r="J303" i="161"/>
  <c r="E303" i="161"/>
  <c r="C303" i="161"/>
  <c r="I304" i="161"/>
  <c r="D304" i="161"/>
  <c r="J304" i="161"/>
  <c r="E304" i="161"/>
  <c r="C304" i="161"/>
  <c r="I305" i="161"/>
  <c r="D305" i="161"/>
  <c r="J305" i="161"/>
  <c r="E305" i="161"/>
  <c r="C305" i="161"/>
  <c r="I306" i="161"/>
  <c r="D306" i="161"/>
  <c r="J306" i="161"/>
  <c r="E306" i="161"/>
  <c r="C306" i="161"/>
  <c r="I307" i="161"/>
  <c r="D307" i="161"/>
  <c r="J307" i="161"/>
  <c r="E307" i="161"/>
  <c r="C307" i="161"/>
  <c r="I308" i="161"/>
  <c r="D308" i="161"/>
  <c r="J308" i="161"/>
  <c r="E308" i="161"/>
  <c r="C308" i="161"/>
  <c r="I309" i="161"/>
  <c r="D309" i="161"/>
  <c r="J309" i="161"/>
  <c r="E309" i="161"/>
  <c r="C309" i="161"/>
  <c r="I310" i="161"/>
  <c r="D310" i="161"/>
  <c r="J310" i="161"/>
  <c r="E310" i="161"/>
  <c r="C310" i="161"/>
  <c r="I311" i="161"/>
  <c r="D311" i="161"/>
  <c r="J311" i="161"/>
  <c r="E311" i="161"/>
  <c r="C311" i="161"/>
  <c r="I312" i="161"/>
  <c r="D312" i="161"/>
  <c r="J312" i="161"/>
  <c r="E312" i="161"/>
  <c r="C312" i="161"/>
  <c r="I313" i="161"/>
  <c r="D313" i="161"/>
  <c r="J313" i="161"/>
  <c r="E313" i="161"/>
  <c r="C313" i="161"/>
  <c r="I314" i="161"/>
  <c r="D314" i="161"/>
  <c r="J314" i="161"/>
  <c r="E314" i="161"/>
  <c r="C314" i="161"/>
  <c r="I315" i="161"/>
  <c r="D315" i="161"/>
  <c r="J315" i="161"/>
  <c r="E315" i="161"/>
  <c r="C315" i="161"/>
  <c r="I316" i="161"/>
  <c r="D316" i="161"/>
  <c r="J316" i="161"/>
  <c r="E316" i="161"/>
  <c r="C316" i="161"/>
  <c r="I317" i="161"/>
  <c r="D317" i="161"/>
  <c r="J317" i="161"/>
  <c r="E317" i="161"/>
  <c r="C317" i="161"/>
  <c r="I318" i="161"/>
  <c r="D318" i="161"/>
  <c r="J318" i="161"/>
  <c r="E318" i="161"/>
  <c r="C318" i="161"/>
  <c r="I319" i="161"/>
  <c r="D319" i="161"/>
  <c r="J319" i="161"/>
  <c r="E319" i="161"/>
  <c r="C319" i="161"/>
  <c r="F5" i="160"/>
  <c r="F6" i="160"/>
  <c r="A36" i="160"/>
  <c r="E5" i="160"/>
  <c r="Q3" i="160"/>
  <c r="Q4" i="160"/>
  <c r="Q5" i="160"/>
  <c r="Q6" i="160"/>
  <c r="Q7" i="160"/>
  <c r="Q8" i="160"/>
  <c r="Q9" i="160"/>
  <c r="Q10" i="160"/>
  <c r="Q11" i="160"/>
  <c r="Q12" i="160"/>
  <c r="Q13" i="160"/>
  <c r="Q14" i="160"/>
  <c r="Q15" i="160"/>
  <c r="Q16" i="160"/>
  <c r="Q17" i="160"/>
  <c r="Q18" i="160"/>
  <c r="Q19" i="160"/>
  <c r="Q20" i="160"/>
  <c r="E29" i="160"/>
  <c r="B29" i="160"/>
  <c r="G29" i="160"/>
  <c r="H29" i="160"/>
  <c r="E6" i="160"/>
  <c r="E19" i="160"/>
  <c r="B19" i="160"/>
  <c r="E24" i="160"/>
  <c r="B24" i="160"/>
  <c r="B17" i="160"/>
  <c r="G17" i="160"/>
  <c r="E17" i="160"/>
  <c r="H17" i="160"/>
  <c r="E18" i="160"/>
  <c r="B18" i="160"/>
  <c r="G18" i="160"/>
  <c r="H18" i="160"/>
  <c r="G24" i="160"/>
  <c r="H24" i="160"/>
  <c r="E25" i="160"/>
  <c r="B25" i="160"/>
  <c r="G25" i="160"/>
  <c r="H25" i="160"/>
  <c r="E26" i="160"/>
  <c r="B26" i="160"/>
  <c r="G26" i="160"/>
  <c r="H26" i="160"/>
  <c r="G19" i="160"/>
  <c r="H19" i="160"/>
  <c r="E20" i="160"/>
  <c r="E21" i="160"/>
  <c r="E27" i="160"/>
  <c r="B27" i="160"/>
  <c r="G27" i="160"/>
  <c r="H27" i="160"/>
  <c r="E28" i="160"/>
  <c r="B28" i="160"/>
  <c r="G28" i="160"/>
  <c r="H28" i="160"/>
  <c r="E22" i="160"/>
  <c r="E23" i="160"/>
  <c r="B23" i="160"/>
  <c r="B22" i="160"/>
  <c r="G22" i="160"/>
  <c r="H22" i="160"/>
  <c r="G23" i="160"/>
  <c r="H23" i="160"/>
  <c r="P320" i="161"/>
  <c r="H321" i="161"/>
  <c r="K321" i="161"/>
  <c r="L321" i="161"/>
  <c r="M321" i="161"/>
  <c r="N321" i="161"/>
  <c r="P321" i="161"/>
  <c r="H322" i="161"/>
  <c r="K322" i="161"/>
  <c r="L322" i="161"/>
  <c r="M322" i="161"/>
  <c r="N322" i="161"/>
  <c r="P322" i="161"/>
  <c r="H323" i="161"/>
  <c r="K323" i="161"/>
  <c r="L323" i="161"/>
  <c r="M323" i="161"/>
  <c r="N323" i="161"/>
  <c r="P323" i="161"/>
  <c r="H324" i="161"/>
  <c r="K324" i="161"/>
  <c r="L324" i="161"/>
  <c r="M324" i="161"/>
  <c r="N324" i="161"/>
  <c r="P324" i="161"/>
  <c r="A320" i="161"/>
  <c r="A321" i="161"/>
  <c r="A322" i="161"/>
  <c r="A323" i="161"/>
  <c r="A324" i="161"/>
  <c r="I320" i="158"/>
  <c r="D320" i="158"/>
  <c r="J320" i="158"/>
  <c r="E320" i="158"/>
  <c r="F320" i="158"/>
  <c r="C320" i="158"/>
  <c r="H320" i="158"/>
  <c r="K320" i="158"/>
  <c r="L320" i="158"/>
  <c r="M320" i="158"/>
  <c r="N320" i="158"/>
  <c r="I321" i="158"/>
  <c r="D321" i="158"/>
  <c r="J321" i="158"/>
  <c r="E321" i="158"/>
  <c r="F321" i="158"/>
  <c r="C321" i="158"/>
  <c r="I322" i="158"/>
  <c r="D322" i="158"/>
  <c r="J322" i="158"/>
  <c r="E322" i="158"/>
  <c r="F322" i="158"/>
  <c r="C322" i="158"/>
  <c r="I323" i="158"/>
  <c r="D323" i="158"/>
  <c r="J323" i="158"/>
  <c r="E323" i="158"/>
  <c r="F323" i="158"/>
  <c r="C323" i="158"/>
  <c r="I324" i="158"/>
  <c r="D324" i="158"/>
  <c r="J324" i="158"/>
  <c r="E324" i="158"/>
  <c r="F324" i="158"/>
  <c r="C324" i="158"/>
  <c r="I2" i="158"/>
  <c r="D2" i="158"/>
  <c r="J2" i="158"/>
  <c r="E2" i="158"/>
  <c r="C2" i="158"/>
  <c r="I3" i="158"/>
  <c r="D3" i="158"/>
  <c r="J3" i="158"/>
  <c r="E3" i="158"/>
  <c r="C3" i="158"/>
  <c r="I4" i="158"/>
  <c r="D4" i="158"/>
  <c r="J4" i="158"/>
  <c r="E4" i="158"/>
  <c r="C4" i="158"/>
  <c r="I5" i="158"/>
  <c r="D5" i="158"/>
  <c r="J5" i="158"/>
  <c r="E5" i="158"/>
  <c r="C5" i="158"/>
  <c r="I6" i="158"/>
  <c r="D6" i="158"/>
  <c r="J6" i="158"/>
  <c r="E6" i="158"/>
  <c r="C6" i="158"/>
  <c r="I7" i="158"/>
  <c r="D7" i="158"/>
  <c r="J7" i="158"/>
  <c r="E7" i="158"/>
  <c r="C7" i="158"/>
  <c r="I8" i="158"/>
  <c r="D8" i="158"/>
  <c r="J8" i="158"/>
  <c r="E8" i="158"/>
  <c r="C8" i="158"/>
  <c r="I9" i="158"/>
  <c r="D9" i="158"/>
  <c r="J9" i="158"/>
  <c r="E9" i="158"/>
  <c r="C9" i="158"/>
  <c r="I10" i="158"/>
  <c r="D10" i="158"/>
  <c r="J10" i="158"/>
  <c r="E10" i="158"/>
  <c r="C10" i="158"/>
  <c r="I11" i="158"/>
  <c r="D11" i="158"/>
  <c r="J11" i="158"/>
  <c r="E11" i="158"/>
  <c r="C11" i="158"/>
  <c r="I12" i="158"/>
  <c r="D12" i="158"/>
  <c r="J12" i="158"/>
  <c r="E12" i="158"/>
  <c r="C12" i="158"/>
  <c r="I13" i="158"/>
  <c r="D13" i="158"/>
  <c r="J13" i="158"/>
  <c r="E13" i="158"/>
  <c r="C13" i="158"/>
  <c r="I14" i="158"/>
  <c r="D14" i="158"/>
  <c r="J14" i="158"/>
  <c r="E14" i="158"/>
  <c r="C14" i="158"/>
  <c r="I15" i="158"/>
  <c r="D15" i="158"/>
  <c r="J15" i="158"/>
  <c r="E15" i="158"/>
  <c r="C15" i="158"/>
  <c r="I16" i="158"/>
  <c r="D16" i="158"/>
  <c r="J16" i="158"/>
  <c r="E16" i="158"/>
  <c r="C16" i="158"/>
  <c r="I17" i="158"/>
  <c r="D17" i="158"/>
  <c r="J17" i="158"/>
  <c r="E17" i="158"/>
  <c r="C17" i="158"/>
  <c r="I18" i="158"/>
  <c r="D18" i="158"/>
  <c r="J18" i="158"/>
  <c r="E18" i="158"/>
  <c r="C18" i="158"/>
  <c r="I19" i="158"/>
  <c r="D19" i="158"/>
  <c r="J19" i="158"/>
  <c r="E19" i="158"/>
  <c r="C19" i="158"/>
  <c r="I20" i="158"/>
  <c r="D20" i="158"/>
  <c r="J20" i="158"/>
  <c r="E20" i="158"/>
  <c r="C20" i="158"/>
  <c r="I21" i="158"/>
  <c r="D21" i="158"/>
  <c r="J21" i="158"/>
  <c r="E21" i="158"/>
  <c r="C21" i="158"/>
  <c r="I22" i="158"/>
  <c r="D22" i="158"/>
  <c r="J22" i="158"/>
  <c r="E22" i="158"/>
  <c r="C22" i="158"/>
  <c r="I23" i="158"/>
  <c r="D23" i="158"/>
  <c r="J23" i="158"/>
  <c r="E23" i="158"/>
  <c r="C23" i="158"/>
  <c r="I24" i="158"/>
  <c r="D24" i="158"/>
  <c r="J24" i="158"/>
  <c r="E24" i="158"/>
  <c r="C24" i="158"/>
  <c r="I25" i="158"/>
  <c r="D25" i="158"/>
  <c r="J25" i="158"/>
  <c r="E25" i="158"/>
  <c r="C25" i="158"/>
  <c r="I26" i="158"/>
  <c r="D26" i="158"/>
  <c r="J26" i="158"/>
  <c r="E26" i="158"/>
  <c r="C26" i="158"/>
  <c r="I27" i="158"/>
  <c r="D27" i="158"/>
  <c r="J27" i="158"/>
  <c r="E27" i="158"/>
  <c r="C27" i="158"/>
  <c r="I28" i="158"/>
  <c r="D28" i="158"/>
  <c r="J28" i="158"/>
  <c r="E28" i="158"/>
  <c r="C28" i="158"/>
  <c r="I29" i="158"/>
  <c r="D29" i="158"/>
  <c r="J29" i="158"/>
  <c r="E29" i="158"/>
  <c r="C29" i="158"/>
  <c r="I30" i="158"/>
  <c r="D30" i="158"/>
  <c r="J30" i="158"/>
  <c r="E30" i="158"/>
  <c r="C30" i="158"/>
  <c r="I31" i="158"/>
  <c r="D31" i="158"/>
  <c r="J31" i="158"/>
  <c r="E31" i="158"/>
  <c r="C31" i="158"/>
  <c r="I32" i="158"/>
  <c r="D32" i="158"/>
  <c r="J32" i="158"/>
  <c r="E32" i="158"/>
  <c r="C32" i="158"/>
  <c r="I33" i="158"/>
  <c r="D33" i="158"/>
  <c r="J33" i="158"/>
  <c r="E33" i="158"/>
  <c r="C33" i="158"/>
  <c r="I34" i="158"/>
  <c r="D34" i="158"/>
  <c r="J34" i="158"/>
  <c r="E34" i="158"/>
  <c r="C34" i="158"/>
  <c r="I35" i="158"/>
  <c r="D35" i="158"/>
  <c r="J35" i="158"/>
  <c r="E35" i="158"/>
  <c r="C35" i="158"/>
  <c r="I36" i="158"/>
  <c r="D36" i="158"/>
  <c r="J36" i="158"/>
  <c r="E36" i="158"/>
  <c r="C36" i="158"/>
  <c r="I37" i="158"/>
  <c r="D37" i="158"/>
  <c r="J37" i="158"/>
  <c r="E37" i="158"/>
  <c r="C37" i="158"/>
  <c r="I38" i="158"/>
  <c r="D38" i="158"/>
  <c r="J38" i="158"/>
  <c r="E38" i="158"/>
  <c r="C38" i="158"/>
  <c r="I39" i="158"/>
  <c r="D39" i="158"/>
  <c r="J39" i="158"/>
  <c r="E39" i="158"/>
  <c r="C39" i="158"/>
  <c r="I40" i="158"/>
  <c r="D40" i="158"/>
  <c r="J40" i="158"/>
  <c r="E40" i="158"/>
  <c r="C40" i="158"/>
  <c r="I41" i="158"/>
  <c r="D41" i="158"/>
  <c r="J41" i="158"/>
  <c r="E41" i="158"/>
  <c r="C41" i="158"/>
  <c r="I42" i="158"/>
  <c r="D42" i="158"/>
  <c r="J42" i="158"/>
  <c r="E42" i="158"/>
  <c r="C42" i="158"/>
  <c r="I43" i="158"/>
  <c r="D43" i="158"/>
  <c r="J43" i="158"/>
  <c r="E43" i="158"/>
  <c r="C43" i="158"/>
  <c r="I44" i="158"/>
  <c r="D44" i="158"/>
  <c r="J44" i="158"/>
  <c r="E44" i="158"/>
  <c r="C44" i="158"/>
  <c r="I45" i="158"/>
  <c r="D45" i="158"/>
  <c r="J45" i="158"/>
  <c r="E45" i="158"/>
  <c r="C45" i="158"/>
  <c r="I46" i="158"/>
  <c r="D46" i="158"/>
  <c r="J46" i="158"/>
  <c r="E46" i="158"/>
  <c r="C46" i="158"/>
  <c r="I47" i="158"/>
  <c r="D47" i="158"/>
  <c r="J47" i="158"/>
  <c r="E47" i="158"/>
  <c r="C47" i="158"/>
  <c r="I48" i="158"/>
  <c r="D48" i="158"/>
  <c r="J48" i="158"/>
  <c r="E48" i="158"/>
  <c r="C48" i="158"/>
  <c r="I49" i="158"/>
  <c r="D49" i="158"/>
  <c r="J49" i="158"/>
  <c r="E49" i="158"/>
  <c r="C49" i="158"/>
  <c r="I50" i="158"/>
  <c r="D50" i="158"/>
  <c r="J50" i="158"/>
  <c r="E50" i="158"/>
  <c r="C50" i="158"/>
  <c r="I51" i="158"/>
  <c r="D51" i="158"/>
  <c r="J51" i="158"/>
  <c r="E51" i="158"/>
  <c r="C51" i="158"/>
  <c r="I52" i="158"/>
  <c r="D52" i="158"/>
  <c r="J52" i="158"/>
  <c r="E52" i="158"/>
  <c r="C52" i="158"/>
  <c r="I53" i="158"/>
  <c r="D53" i="158"/>
  <c r="J53" i="158"/>
  <c r="E53" i="158"/>
  <c r="C53" i="158"/>
  <c r="I54" i="158"/>
  <c r="D54" i="158"/>
  <c r="J54" i="158"/>
  <c r="E54" i="158"/>
  <c r="C54" i="158"/>
  <c r="I55" i="158"/>
  <c r="D55" i="158"/>
  <c r="J55" i="158"/>
  <c r="E55" i="158"/>
  <c r="C55" i="158"/>
  <c r="I56" i="158"/>
  <c r="D56" i="158"/>
  <c r="J56" i="158"/>
  <c r="E56" i="158"/>
  <c r="C56" i="158"/>
  <c r="I57" i="158"/>
  <c r="D57" i="158"/>
  <c r="J57" i="158"/>
  <c r="E57" i="158"/>
  <c r="C57" i="158"/>
  <c r="I58" i="158"/>
  <c r="D58" i="158"/>
  <c r="J58" i="158"/>
  <c r="E58" i="158"/>
  <c r="C58" i="158"/>
  <c r="I59" i="158"/>
  <c r="D59" i="158"/>
  <c r="J59" i="158"/>
  <c r="E59" i="158"/>
  <c r="C59" i="158"/>
  <c r="I60" i="158"/>
  <c r="D60" i="158"/>
  <c r="J60" i="158"/>
  <c r="E60" i="158"/>
  <c r="C60" i="158"/>
  <c r="I61" i="158"/>
  <c r="D61" i="158"/>
  <c r="J61" i="158"/>
  <c r="E61" i="158"/>
  <c r="C61" i="158"/>
  <c r="I62" i="158"/>
  <c r="D62" i="158"/>
  <c r="J62" i="158"/>
  <c r="E62" i="158"/>
  <c r="C62" i="158"/>
  <c r="I63" i="158"/>
  <c r="D63" i="158"/>
  <c r="J63" i="158"/>
  <c r="E63" i="158"/>
  <c r="C63" i="158"/>
  <c r="I64" i="158"/>
  <c r="D64" i="158"/>
  <c r="J64" i="158"/>
  <c r="E64" i="158"/>
  <c r="C64" i="158"/>
  <c r="I65" i="158"/>
  <c r="D65" i="158"/>
  <c r="J65" i="158"/>
  <c r="E65" i="158"/>
  <c r="C65" i="158"/>
  <c r="I66" i="158"/>
  <c r="D66" i="158"/>
  <c r="J66" i="158"/>
  <c r="E66" i="158"/>
  <c r="C66" i="158"/>
  <c r="I67" i="158"/>
  <c r="D67" i="158"/>
  <c r="J67" i="158"/>
  <c r="E67" i="158"/>
  <c r="C67" i="158"/>
  <c r="I68" i="158"/>
  <c r="D68" i="158"/>
  <c r="J68" i="158"/>
  <c r="E68" i="158"/>
  <c r="C68" i="158"/>
  <c r="I69" i="158"/>
  <c r="D69" i="158"/>
  <c r="J69" i="158"/>
  <c r="E69" i="158"/>
  <c r="C69" i="158"/>
  <c r="I70" i="158"/>
  <c r="D70" i="158"/>
  <c r="J70" i="158"/>
  <c r="E70" i="158"/>
  <c r="C70" i="158"/>
  <c r="I71" i="158"/>
  <c r="D71" i="158"/>
  <c r="J71" i="158"/>
  <c r="E71" i="158"/>
  <c r="C71" i="158"/>
  <c r="I72" i="158"/>
  <c r="D72" i="158"/>
  <c r="J72" i="158"/>
  <c r="E72" i="158"/>
  <c r="C72" i="158"/>
  <c r="I73" i="158"/>
  <c r="D73" i="158"/>
  <c r="J73" i="158"/>
  <c r="E73" i="158"/>
  <c r="C73" i="158"/>
  <c r="I74" i="158"/>
  <c r="D74" i="158"/>
  <c r="J74" i="158"/>
  <c r="E74" i="158"/>
  <c r="C74" i="158"/>
  <c r="I75" i="158"/>
  <c r="D75" i="158"/>
  <c r="J75" i="158"/>
  <c r="E75" i="158"/>
  <c r="C75" i="158"/>
  <c r="I76" i="158"/>
  <c r="D76" i="158"/>
  <c r="J76" i="158"/>
  <c r="E76" i="158"/>
  <c r="C76" i="158"/>
  <c r="I77" i="158"/>
  <c r="D77" i="158"/>
  <c r="J77" i="158"/>
  <c r="E77" i="158"/>
  <c r="C77" i="158"/>
  <c r="I78" i="158"/>
  <c r="D78" i="158"/>
  <c r="J78" i="158"/>
  <c r="E78" i="158"/>
  <c r="C78" i="158"/>
  <c r="I79" i="158"/>
  <c r="D79" i="158"/>
  <c r="J79" i="158"/>
  <c r="E79" i="158"/>
  <c r="C79" i="158"/>
  <c r="I80" i="158"/>
  <c r="D80" i="158"/>
  <c r="J80" i="158"/>
  <c r="E80" i="158"/>
  <c r="C80" i="158"/>
  <c r="I81" i="158"/>
  <c r="D81" i="158"/>
  <c r="J81" i="158"/>
  <c r="E81" i="158"/>
  <c r="C81" i="158"/>
  <c r="I82" i="158"/>
  <c r="D82" i="158"/>
  <c r="J82" i="158"/>
  <c r="E82" i="158"/>
  <c r="C82" i="158"/>
  <c r="I83" i="158"/>
  <c r="D83" i="158"/>
  <c r="J83" i="158"/>
  <c r="E83" i="158"/>
  <c r="C83" i="158"/>
  <c r="I84" i="158"/>
  <c r="D84" i="158"/>
  <c r="J84" i="158"/>
  <c r="E84" i="158"/>
  <c r="C84" i="158"/>
  <c r="I85" i="158"/>
  <c r="D85" i="158"/>
  <c r="J85" i="158"/>
  <c r="E85" i="158"/>
  <c r="C85" i="158"/>
  <c r="I86" i="158"/>
  <c r="D86" i="158"/>
  <c r="J86" i="158"/>
  <c r="E86" i="158"/>
  <c r="C86" i="158"/>
  <c r="I87" i="158"/>
  <c r="D87" i="158"/>
  <c r="J87" i="158"/>
  <c r="E87" i="158"/>
  <c r="C87" i="158"/>
  <c r="I88" i="158"/>
  <c r="D88" i="158"/>
  <c r="J88" i="158"/>
  <c r="E88" i="158"/>
  <c r="C88" i="158"/>
  <c r="I89" i="158"/>
  <c r="D89" i="158"/>
  <c r="J89" i="158"/>
  <c r="E89" i="158"/>
  <c r="C89" i="158"/>
  <c r="I90" i="158"/>
  <c r="D90" i="158"/>
  <c r="J90" i="158"/>
  <c r="E90" i="158"/>
  <c r="C90" i="158"/>
  <c r="I91" i="158"/>
  <c r="D91" i="158"/>
  <c r="J91" i="158"/>
  <c r="E91" i="158"/>
  <c r="C91" i="158"/>
  <c r="I92" i="158"/>
  <c r="D92" i="158"/>
  <c r="J92" i="158"/>
  <c r="E92" i="158"/>
  <c r="C92" i="158"/>
  <c r="I93" i="158"/>
  <c r="D93" i="158"/>
  <c r="J93" i="158"/>
  <c r="E93" i="158"/>
  <c r="C93" i="158"/>
  <c r="I94" i="158"/>
  <c r="D94" i="158"/>
  <c r="J94" i="158"/>
  <c r="E94" i="158"/>
  <c r="C94" i="158"/>
  <c r="I95" i="158"/>
  <c r="D95" i="158"/>
  <c r="J95" i="158"/>
  <c r="E95" i="158"/>
  <c r="C95" i="158"/>
  <c r="I96" i="158"/>
  <c r="D96" i="158"/>
  <c r="J96" i="158"/>
  <c r="E96" i="158"/>
  <c r="C96" i="158"/>
  <c r="I97" i="158"/>
  <c r="D97" i="158"/>
  <c r="J97" i="158"/>
  <c r="E97" i="158"/>
  <c r="C97" i="158"/>
  <c r="I98" i="158"/>
  <c r="D98" i="158"/>
  <c r="J98" i="158"/>
  <c r="E98" i="158"/>
  <c r="C98" i="158"/>
  <c r="I99" i="158"/>
  <c r="D99" i="158"/>
  <c r="J99" i="158"/>
  <c r="E99" i="158"/>
  <c r="C99" i="158"/>
  <c r="I100" i="158"/>
  <c r="D100" i="158"/>
  <c r="J100" i="158"/>
  <c r="E100" i="158"/>
  <c r="C100" i="158"/>
  <c r="I101" i="158"/>
  <c r="D101" i="158"/>
  <c r="J101" i="158"/>
  <c r="E101" i="158"/>
  <c r="C101" i="158"/>
  <c r="I102" i="158"/>
  <c r="D102" i="158"/>
  <c r="J102" i="158"/>
  <c r="E102" i="158"/>
  <c r="C102" i="158"/>
  <c r="I103" i="158"/>
  <c r="D103" i="158"/>
  <c r="J103" i="158"/>
  <c r="E103" i="158"/>
  <c r="C103" i="158"/>
  <c r="I104" i="158"/>
  <c r="D104" i="158"/>
  <c r="J104" i="158"/>
  <c r="E104" i="158"/>
  <c r="C104" i="158"/>
  <c r="I105" i="158"/>
  <c r="D105" i="158"/>
  <c r="J105" i="158"/>
  <c r="E105" i="158"/>
  <c r="C105" i="158"/>
  <c r="I106" i="158"/>
  <c r="D106" i="158"/>
  <c r="J106" i="158"/>
  <c r="E106" i="158"/>
  <c r="C106" i="158"/>
  <c r="I107" i="158"/>
  <c r="D107" i="158"/>
  <c r="J107" i="158"/>
  <c r="E107" i="158"/>
  <c r="C107" i="158"/>
  <c r="I108" i="158"/>
  <c r="D108" i="158"/>
  <c r="J108" i="158"/>
  <c r="E108" i="158"/>
  <c r="C108" i="158"/>
  <c r="I109" i="158"/>
  <c r="D109" i="158"/>
  <c r="J109" i="158"/>
  <c r="E109" i="158"/>
  <c r="C109" i="158"/>
  <c r="I110" i="158"/>
  <c r="D110" i="158"/>
  <c r="J110" i="158"/>
  <c r="E110" i="158"/>
  <c r="C110" i="158"/>
  <c r="I111" i="158"/>
  <c r="D111" i="158"/>
  <c r="J111" i="158"/>
  <c r="E111" i="158"/>
  <c r="C111" i="158"/>
  <c r="I112" i="158"/>
  <c r="D112" i="158"/>
  <c r="J112" i="158"/>
  <c r="E112" i="158"/>
  <c r="C112" i="158"/>
  <c r="I113" i="158"/>
  <c r="D113" i="158"/>
  <c r="J113" i="158"/>
  <c r="E113" i="158"/>
  <c r="C113" i="158"/>
  <c r="I114" i="158"/>
  <c r="D114" i="158"/>
  <c r="J114" i="158"/>
  <c r="E114" i="158"/>
  <c r="C114" i="158"/>
  <c r="I115" i="158"/>
  <c r="D115" i="158"/>
  <c r="J115" i="158"/>
  <c r="E115" i="158"/>
  <c r="C115" i="158"/>
  <c r="I116" i="158"/>
  <c r="D116" i="158"/>
  <c r="J116" i="158"/>
  <c r="E116" i="158"/>
  <c r="C116" i="158"/>
  <c r="I117" i="158"/>
  <c r="D117" i="158"/>
  <c r="J117" i="158"/>
  <c r="E117" i="158"/>
  <c r="C117" i="158"/>
  <c r="I118" i="158"/>
  <c r="D118" i="158"/>
  <c r="J118" i="158"/>
  <c r="E118" i="158"/>
  <c r="C118" i="158"/>
  <c r="I119" i="158"/>
  <c r="D119" i="158"/>
  <c r="J119" i="158"/>
  <c r="E119" i="158"/>
  <c r="C119" i="158"/>
  <c r="I120" i="158"/>
  <c r="D120" i="158"/>
  <c r="J120" i="158"/>
  <c r="E120" i="158"/>
  <c r="C120" i="158"/>
  <c r="I121" i="158"/>
  <c r="D121" i="158"/>
  <c r="J121" i="158"/>
  <c r="E121" i="158"/>
  <c r="C121" i="158"/>
  <c r="I122" i="158"/>
  <c r="D122" i="158"/>
  <c r="J122" i="158"/>
  <c r="E122" i="158"/>
  <c r="C122" i="158"/>
  <c r="I123" i="158"/>
  <c r="D123" i="158"/>
  <c r="J123" i="158"/>
  <c r="E123" i="158"/>
  <c r="C123" i="158"/>
  <c r="I124" i="158"/>
  <c r="D124" i="158"/>
  <c r="J124" i="158"/>
  <c r="E124" i="158"/>
  <c r="C124" i="158"/>
  <c r="I125" i="158"/>
  <c r="D125" i="158"/>
  <c r="J125" i="158"/>
  <c r="E125" i="158"/>
  <c r="C125" i="158"/>
  <c r="I126" i="158"/>
  <c r="D126" i="158"/>
  <c r="J126" i="158"/>
  <c r="E126" i="158"/>
  <c r="C126" i="158"/>
  <c r="I127" i="158"/>
  <c r="D127" i="158"/>
  <c r="J127" i="158"/>
  <c r="E127" i="158"/>
  <c r="C127" i="158"/>
  <c r="I128" i="158"/>
  <c r="D128" i="158"/>
  <c r="J128" i="158"/>
  <c r="E128" i="158"/>
  <c r="C128" i="158"/>
  <c r="I129" i="158"/>
  <c r="D129" i="158"/>
  <c r="J129" i="158"/>
  <c r="E129" i="158"/>
  <c r="C129" i="158"/>
  <c r="I130" i="158"/>
  <c r="D130" i="158"/>
  <c r="J130" i="158"/>
  <c r="E130" i="158"/>
  <c r="C130" i="158"/>
  <c r="I131" i="158"/>
  <c r="D131" i="158"/>
  <c r="J131" i="158"/>
  <c r="E131" i="158"/>
  <c r="C131" i="158"/>
  <c r="I132" i="158"/>
  <c r="D132" i="158"/>
  <c r="J132" i="158"/>
  <c r="E132" i="158"/>
  <c r="C132" i="158"/>
  <c r="I133" i="158"/>
  <c r="D133" i="158"/>
  <c r="J133" i="158"/>
  <c r="E133" i="158"/>
  <c r="C133" i="158"/>
  <c r="I134" i="158"/>
  <c r="D134" i="158"/>
  <c r="J134" i="158"/>
  <c r="E134" i="158"/>
  <c r="C134" i="158"/>
  <c r="I135" i="158"/>
  <c r="D135" i="158"/>
  <c r="J135" i="158"/>
  <c r="E135" i="158"/>
  <c r="C135" i="158"/>
  <c r="I136" i="158"/>
  <c r="D136" i="158"/>
  <c r="J136" i="158"/>
  <c r="E136" i="158"/>
  <c r="C136" i="158"/>
  <c r="I137" i="158"/>
  <c r="D137" i="158"/>
  <c r="J137" i="158"/>
  <c r="E137" i="158"/>
  <c r="C137" i="158"/>
  <c r="I138" i="158"/>
  <c r="D138" i="158"/>
  <c r="J138" i="158"/>
  <c r="E138" i="158"/>
  <c r="C138" i="158"/>
  <c r="I139" i="158"/>
  <c r="D139" i="158"/>
  <c r="J139" i="158"/>
  <c r="E139" i="158"/>
  <c r="C139" i="158"/>
  <c r="I140" i="158"/>
  <c r="D140" i="158"/>
  <c r="J140" i="158"/>
  <c r="E140" i="158"/>
  <c r="C140" i="158"/>
  <c r="I141" i="158"/>
  <c r="D141" i="158"/>
  <c r="J141" i="158"/>
  <c r="E141" i="158"/>
  <c r="C141" i="158"/>
  <c r="I142" i="158"/>
  <c r="D142" i="158"/>
  <c r="J142" i="158"/>
  <c r="E142" i="158"/>
  <c r="C142" i="158"/>
  <c r="I143" i="158"/>
  <c r="D143" i="158"/>
  <c r="J143" i="158"/>
  <c r="E143" i="158"/>
  <c r="C143" i="158"/>
  <c r="I144" i="158"/>
  <c r="D144" i="158"/>
  <c r="J144" i="158"/>
  <c r="E144" i="158"/>
  <c r="C144" i="158"/>
  <c r="I145" i="158"/>
  <c r="D145" i="158"/>
  <c r="J145" i="158"/>
  <c r="E145" i="158"/>
  <c r="C145" i="158"/>
  <c r="I146" i="158"/>
  <c r="D146" i="158"/>
  <c r="J146" i="158"/>
  <c r="E146" i="158"/>
  <c r="C146" i="158"/>
  <c r="I147" i="158"/>
  <c r="D147" i="158"/>
  <c r="J147" i="158"/>
  <c r="E147" i="158"/>
  <c r="C147" i="158"/>
  <c r="I148" i="158"/>
  <c r="D148" i="158"/>
  <c r="J148" i="158"/>
  <c r="E148" i="158"/>
  <c r="C148" i="158"/>
  <c r="I149" i="158"/>
  <c r="D149" i="158"/>
  <c r="J149" i="158"/>
  <c r="E149" i="158"/>
  <c r="C149" i="158"/>
  <c r="I150" i="158"/>
  <c r="D150" i="158"/>
  <c r="J150" i="158"/>
  <c r="E150" i="158"/>
  <c r="C150" i="158"/>
  <c r="I151" i="158"/>
  <c r="D151" i="158"/>
  <c r="J151" i="158"/>
  <c r="E151" i="158"/>
  <c r="C151" i="158"/>
  <c r="I152" i="158"/>
  <c r="D152" i="158"/>
  <c r="J152" i="158"/>
  <c r="E152" i="158"/>
  <c r="C152" i="158"/>
  <c r="I153" i="158"/>
  <c r="D153" i="158"/>
  <c r="J153" i="158"/>
  <c r="E153" i="158"/>
  <c r="C153" i="158"/>
  <c r="I154" i="158"/>
  <c r="D154" i="158"/>
  <c r="J154" i="158"/>
  <c r="E154" i="158"/>
  <c r="C154" i="158"/>
  <c r="I155" i="158"/>
  <c r="D155" i="158"/>
  <c r="J155" i="158"/>
  <c r="E155" i="158"/>
  <c r="C155" i="158"/>
  <c r="I156" i="158"/>
  <c r="D156" i="158"/>
  <c r="J156" i="158"/>
  <c r="E156" i="158"/>
  <c r="C156" i="158"/>
  <c r="I157" i="158"/>
  <c r="D157" i="158"/>
  <c r="J157" i="158"/>
  <c r="E157" i="158"/>
  <c r="C157" i="158"/>
  <c r="I158" i="158"/>
  <c r="D158" i="158"/>
  <c r="J158" i="158"/>
  <c r="E158" i="158"/>
  <c r="C158" i="158"/>
  <c r="I159" i="158"/>
  <c r="D159" i="158"/>
  <c r="J159" i="158"/>
  <c r="E159" i="158"/>
  <c r="C159" i="158"/>
  <c r="I160" i="158"/>
  <c r="D160" i="158"/>
  <c r="J160" i="158"/>
  <c r="E160" i="158"/>
  <c r="C160" i="158"/>
  <c r="I161" i="158"/>
  <c r="D161" i="158"/>
  <c r="J161" i="158"/>
  <c r="E161" i="158"/>
  <c r="C161" i="158"/>
  <c r="I162" i="158"/>
  <c r="D162" i="158"/>
  <c r="J162" i="158"/>
  <c r="E162" i="158"/>
  <c r="C162" i="158"/>
  <c r="I163" i="158"/>
  <c r="D163" i="158"/>
  <c r="J163" i="158"/>
  <c r="E163" i="158"/>
  <c r="C163" i="158"/>
  <c r="I164" i="158"/>
  <c r="D164" i="158"/>
  <c r="J164" i="158"/>
  <c r="E164" i="158"/>
  <c r="C164" i="158"/>
  <c r="I165" i="158"/>
  <c r="D165" i="158"/>
  <c r="J165" i="158"/>
  <c r="E165" i="158"/>
  <c r="C165" i="158"/>
  <c r="I166" i="158"/>
  <c r="D166" i="158"/>
  <c r="J166" i="158"/>
  <c r="E166" i="158"/>
  <c r="C166" i="158"/>
  <c r="I167" i="158"/>
  <c r="D167" i="158"/>
  <c r="J167" i="158"/>
  <c r="E167" i="158"/>
  <c r="C167" i="158"/>
  <c r="I168" i="158"/>
  <c r="D168" i="158"/>
  <c r="J168" i="158"/>
  <c r="E168" i="158"/>
  <c r="C168" i="158"/>
  <c r="I169" i="158"/>
  <c r="D169" i="158"/>
  <c r="J169" i="158"/>
  <c r="E169" i="158"/>
  <c r="C169" i="158"/>
  <c r="I170" i="158"/>
  <c r="D170" i="158"/>
  <c r="J170" i="158"/>
  <c r="E170" i="158"/>
  <c r="C170" i="158"/>
  <c r="I171" i="158"/>
  <c r="D171" i="158"/>
  <c r="J171" i="158"/>
  <c r="E171" i="158"/>
  <c r="C171" i="158"/>
  <c r="I172" i="158"/>
  <c r="D172" i="158"/>
  <c r="J172" i="158"/>
  <c r="E172" i="158"/>
  <c r="C172" i="158"/>
  <c r="I173" i="158"/>
  <c r="D173" i="158"/>
  <c r="J173" i="158"/>
  <c r="E173" i="158"/>
  <c r="C173" i="158"/>
  <c r="I174" i="158"/>
  <c r="D174" i="158"/>
  <c r="J174" i="158"/>
  <c r="E174" i="158"/>
  <c r="C174" i="158"/>
  <c r="I175" i="158"/>
  <c r="D175" i="158"/>
  <c r="J175" i="158"/>
  <c r="E175" i="158"/>
  <c r="C175" i="158"/>
  <c r="I176" i="158"/>
  <c r="D176" i="158"/>
  <c r="J176" i="158"/>
  <c r="E176" i="158"/>
  <c r="C176" i="158"/>
  <c r="I177" i="158"/>
  <c r="D177" i="158"/>
  <c r="J177" i="158"/>
  <c r="E177" i="158"/>
  <c r="C177" i="158"/>
  <c r="I178" i="158"/>
  <c r="D178" i="158"/>
  <c r="J178" i="158"/>
  <c r="E178" i="158"/>
  <c r="C178" i="158"/>
  <c r="I179" i="158"/>
  <c r="D179" i="158"/>
  <c r="J179" i="158"/>
  <c r="E179" i="158"/>
  <c r="C179" i="158"/>
  <c r="I180" i="158"/>
  <c r="D180" i="158"/>
  <c r="J180" i="158"/>
  <c r="E180" i="158"/>
  <c r="C180" i="158"/>
  <c r="I181" i="158"/>
  <c r="D181" i="158"/>
  <c r="J181" i="158"/>
  <c r="E181" i="158"/>
  <c r="C181" i="158"/>
  <c r="I182" i="158"/>
  <c r="D182" i="158"/>
  <c r="J182" i="158"/>
  <c r="E182" i="158"/>
  <c r="C182" i="158"/>
  <c r="I183" i="158"/>
  <c r="D183" i="158"/>
  <c r="J183" i="158"/>
  <c r="E183" i="158"/>
  <c r="C183" i="158"/>
  <c r="I184" i="158"/>
  <c r="D184" i="158"/>
  <c r="J184" i="158"/>
  <c r="E184" i="158"/>
  <c r="C184" i="158"/>
  <c r="I185" i="158"/>
  <c r="D185" i="158"/>
  <c r="J185" i="158"/>
  <c r="E185" i="158"/>
  <c r="C185" i="158"/>
  <c r="I186" i="158"/>
  <c r="D186" i="158"/>
  <c r="J186" i="158"/>
  <c r="E186" i="158"/>
  <c r="C186" i="158"/>
  <c r="I187" i="158"/>
  <c r="D187" i="158"/>
  <c r="J187" i="158"/>
  <c r="E187" i="158"/>
  <c r="C187" i="158"/>
  <c r="I188" i="158"/>
  <c r="D188" i="158"/>
  <c r="J188" i="158"/>
  <c r="E188" i="158"/>
  <c r="C188" i="158"/>
  <c r="I189" i="158"/>
  <c r="D189" i="158"/>
  <c r="J189" i="158"/>
  <c r="E189" i="158"/>
  <c r="C189" i="158"/>
  <c r="I190" i="158"/>
  <c r="D190" i="158"/>
  <c r="J190" i="158"/>
  <c r="E190" i="158"/>
  <c r="C190" i="158"/>
  <c r="I191" i="158"/>
  <c r="D191" i="158"/>
  <c r="J191" i="158"/>
  <c r="E191" i="158"/>
  <c r="C191" i="158"/>
  <c r="I192" i="158"/>
  <c r="D192" i="158"/>
  <c r="J192" i="158"/>
  <c r="E192" i="158"/>
  <c r="C192" i="158"/>
  <c r="I193" i="158"/>
  <c r="D193" i="158"/>
  <c r="J193" i="158"/>
  <c r="E193" i="158"/>
  <c r="C193" i="158"/>
  <c r="I194" i="158"/>
  <c r="D194" i="158"/>
  <c r="J194" i="158"/>
  <c r="E194" i="158"/>
  <c r="C194" i="158"/>
  <c r="I195" i="158"/>
  <c r="D195" i="158"/>
  <c r="J195" i="158"/>
  <c r="E195" i="158"/>
  <c r="C195" i="158"/>
  <c r="I196" i="158"/>
  <c r="D196" i="158"/>
  <c r="J196" i="158"/>
  <c r="E196" i="158"/>
  <c r="C196" i="158"/>
  <c r="I197" i="158"/>
  <c r="D197" i="158"/>
  <c r="J197" i="158"/>
  <c r="E197" i="158"/>
  <c r="C197" i="158"/>
  <c r="I198" i="158"/>
  <c r="D198" i="158"/>
  <c r="J198" i="158"/>
  <c r="E198" i="158"/>
  <c r="C198" i="158"/>
  <c r="I199" i="158"/>
  <c r="D199" i="158"/>
  <c r="J199" i="158"/>
  <c r="E199" i="158"/>
  <c r="C199" i="158"/>
  <c r="I200" i="158"/>
  <c r="D200" i="158"/>
  <c r="J200" i="158"/>
  <c r="E200" i="158"/>
  <c r="C200" i="158"/>
  <c r="I201" i="158"/>
  <c r="D201" i="158"/>
  <c r="J201" i="158"/>
  <c r="E201" i="158"/>
  <c r="C201" i="158"/>
  <c r="I202" i="158"/>
  <c r="D202" i="158"/>
  <c r="J202" i="158"/>
  <c r="E202" i="158"/>
  <c r="C202" i="158"/>
  <c r="I203" i="158"/>
  <c r="D203" i="158"/>
  <c r="J203" i="158"/>
  <c r="E203" i="158"/>
  <c r="C203" i="158"/>
  <c r="I204" i="158"/>
  <c r="D204" i="158"/>
  <c r="J204" i="158"/>
  <c r="E204" i="158"/>
  <c r="C204" i="158"/>
  <c r="I205" i="158"/>
  <c r="D205" i="158"/>
  <c r="J205" i="158"/>
  <c r="E205" i="158"/>
  <c r="C205" i="158"/>
  <c r="I206" i="158"/>
  <c r="D206" i="158"/>
  <c r="J206" i="158"/>
  <c r="E206" i="158"/>
  <c r="C206" i="158"/>
  <c r="I207" i="158"/>
  <c r="D207" i="158"/>
  <c r="J207" i="158"/>
  <c r="E207" i="158"/>
  <c r="C207" i="158"/>
  <c r="I208" i="158"/>
  <c r="D208" i="158"/>
  <c r="J208" i="158"/>
  <c r="E208" i="158"/>
  <c r="C208" i="158"/>
  <c r="I209" i="158"/>
  <c r="D209" i="158"/>
  <c r="J209" i="158"/>
  <c r="E209" i="158"/>
  <c r="C209" i="158"/>
  <c r="I210" i="158"/>
  <c r="D210" i="158"/>
  <c r="J210" i="158"/>
  <c r="E210" i="158"/>
  <c r="C210" i="158"/>
  <c r="I211" i="158"/>
  <c r="D211" i="158"/>
  <c r="J211" i="158"/>
  <c r="E211" i="158"/>
  <c r="C211" i="158"/>
  <c r="I212" i="158"/>
  <c r="D212" i="158"/>
  <c r="J212" i="158"/>
  <c r="E212" i="158"/>
  <c r="C212" i="158"/>
  <c r="I213" i="158"/>
  <c r="D213" i="158"/>
  <c r="J213" i="158"/>
  <c r="E213" i="158"/>
  <c r="C213" i="158"/>
  <c r="I214" i="158"/>
  <c r="D214" i="158"/>
  <c r="J214" i="158"/>
  <c r="E214" i="158"/>
  <c r="C214" i="158"/>
  <c r="I215" i="158"/>
  <c r="D215" i="158"/>
  <c r="J215" i="158"/>
  <c r="E215" i="158"/>
  <c r="C215" i="158"/>
  <c r="I216" i="158"/>
  <c r="D216" i="158"/>
  <c r="J216" i="158"/>
  <c r="E216" i="158"/>
  <c r="C216" i="158"/>
  <c r="I217" i="158"/>
  <c r="D217" i="158"/>
  <c r="J217" i="158"/>
  <c r="E217" i="158"/>
  <c r="C217" i="158"/>
  <c r="I218" i="158"/>
  <c r="D218" i="158"/>
  <c r="J218" i="158"/>
  <c r="E218" i="158"/>
  <c r="C218" i="158"/>
  <c r="I219" i="158"/>
  <c r="D219" i="158"/>
  <c r="J219" i="158"/>
  <c r="E219" i="158"/>
  <c r="C219" i="158"/>
  <c r="I220" i="158"/>
  <c r="D220" i="158"/>
  <c r="J220" i="158"/>
  <c r="E220" i="158"/>
  <c r="C220" i="158"/>
  <c r="I221" i="158"/>
  <c r="D221" i="158"/>
  <c r="J221" i="158"/>
  <c r="E221" i="158"/>
  <c r="C221" i="158"/>
  <c r="I222" i="158"/>
  <c r="D222" i="158"/>
  <c r="J222" i="158"/>
  <c r="E222" i="158"/>
  <c r="C222" i="158"/>
  <c r="I223" i="158"/>
  <c r="D223" i="158"/>
  <c r="J223" i="158"/>
  <c r="E223" i="158"/>
  <c r="C223" i="158"/>
  <c r="I224" i="158"/>
  <c r="D224" i="158"/>
  <c r="J224" i="158"/>
  <c r="E224" i="158"/>
  <c r="C224" i="158"/>
  <c r="I225" i="158"/>
  <c r="D225" i="158"/>
  <c r="J225" i="158"/>
  <c r="E225" i="158"/>
  <c r="C225" i="158"/>
  <c r="I226" i="158"/>
  <c r="D226" i="158"/>
  <c r="J226" i="158"/>
  <c r="E226" i="158"/>
  <c r="C226" i="158"/>
  <c r="I227" i="158"/>
  <c r="D227" i="158"/>
  <c r="J227" i="158"/>
  <c r="E227" i="158"/>
  <c r="C227" i="158"/>
  <c r="I228" i="158"/>
  <c r="D228" i="158"/>
  <c r="J228" i="158"/>
  <c r="E228" i="158"/>
  <c r="C228" i="158"/>
  <c r="I229" i="158"/>
  <c r="D229" i="158"/>
  <c r="J229" i="158"/>
  <c r="E229" i="158"/>
  <c r="C229" i="158"/>
  <c r="I230" i="158"/>
  <c r="D230" i="158"/>
  <c r="J230" i="158"/>
  <c r="E230" i="158"/>
  <c r="C230" i="158"/>
  <c r="I231" i="158"/>
  <c r="D231" i="158"/>
  <c r="J231" i="158"/>
  <c r="E231" i="158"/>
  <c r="C231" i="158"/>
  <c r="I232" i="158"/>
  <c r="D232" i="158"/>
  <c r="J232" i="158"/>
  <c r="E232" i="158"/>
  <c r="C232" i="158"/>
  <c r="I233" i="158"/>
  <c r="D233" i="158"/>
  <c r="J233" i="158"/>
  <c r="E233" i="158"/>
  <c r="C233" i="158"/>
  <c r="I234" i="158"/>
  <c r="D234" i="158"/>
  <c r="J234" i="158"/>
  <c r="E234" i="158"/>
  <c r="C234" i="158"/>
  <c r="I235" i="158"/>
  <c r="D235" i="158"/>
  <c r="J235" i="158"/>
  <c r="E235" i="158"/>
  <c r="C235" i="158"/>
  <c r="I236" i="158"/>
  <c r="D236" i="158"/>
  <c r="J236" i="158"/>
  <c r="E236" i="158"/>
  <c r="C236" i="158"/>
  <c r="I237" i="158"/>
  <c r="D237" i="158"/>
  <c r="J237" i="158"/>
  <c r="E237" i="158"/>
  <c r="C237" i="158"/>
  <c r="I238" i="158"/>
  <c r="D238" i="158"/>
  <c r="J238" i="158"/>
  <c r="E238" i="158"/>
  <c r="C238" i="158"/>
  <c r="I239" i="158"/>
  <c r="D239" i="158"/>
  <c r="J239" i="158"/>
  <c r="E239" i="158"/>
  <c r="C239" i="158"/>
  <c r="I240" i="158"/>
  <c r="D240" i="158"/>
  <c r="J240" i="158"/>
  <c r="E240" i="158"/>
  <c r="C240" i="158"/>
  <c r="I241" i="158"/>
  <c r="D241" i="158"/>
  <c r="J241" i="158"/>
  <c r="E241" i="158"/>
  <c r="C241" i="158"/>
  <c r="I242" i="158"/>
  <c r="D242" i="158"/>
  <c r="J242" i="158"/>
  <c r="E242" i="158"/>
  <c r="C242" i="158"/>
  <c r="I243" i="158"/>
  <c r="D243" i="158"/>
  <c r="J243" i="158"/>
  <c r="E243" i="158"/>
  <c r="C243" i="158"/>
  <c r="I244" i="158"/>
  <c r="D244" i="158"/>
  <c r="J244" i="158"/>
  <c r="E244" i="158"/>
  <c r="C244" i="158"/>
  <c r="I245" i="158"/>
  <c r="D245" i="158"/>
  <c r="J245" i="158"/>
  <c r="E245" i="158"/>
  <c r="C245" i="158"/>
  <c r="I246" i="158"/>
  <c r="D246" i="158"/>
  <c r="J246" i="158"/>
  <c r="E246" i="158"/>
  <c r="C246" i="158"/>
  <c r="I247" i="158"/>
  <c r="D247" i="158"/>
  <c r="J247" i="158"/>
  <c r="E247" i="158"/>
  <c r="C247" i="158"/>
  <c r="I248" i="158"/>
  <c r="D248" i="158"/>
  <c r="J248" i="158"/>
  <c r="E248" i="158"/>
  <c r="C248" i="158"/>
  <c r="I249" i="158"/>
  <c r="D249" i="158"/>
  <c r="J249" i="158"/>
  <c r="E249" i="158"/>
  <c r="C249" i="158"/>
  <c r="I250" i="158"/>
  <c r="D250" i="158"/>
  <c r="J250" i="158"/>
  <c r="E250" i="158"/>
  <c r="C250" i="158"/>
  <c r="I251" i="158"/>
  <c r="D251" i="158"/>
  <c r="J251" i="158"/>
  <c r="E251" i="158"/>
  <c r="C251" i="158"/>
  <c r="I252" i="158"/>
  <c r="D252" i="158"/>
  <c r="J252" i="158"/>
  <c r="E252" i="158"/>
  <c r="C252" i="158"/>
  <c r="I253" i="158"/>
  <c r="D253" i="158"/>
  <c r="J253" i="158"/>
  <c r="E253" i="158"/>
  <c r="C253" i="158"/>
  <c r="I254" i="158"/>
  <c r="D254" i="158"/>
  <c r="J254" i="158"/>
  <c r="E254" i="158"/>
  <c r="C254" i="158"/>
  <c r="I255" i="158"/>
  <c r="D255" i="158"/>
  <c r="J255" i="158"/>
  <c r="E255" i="158"/>
  <c r="C255" i="158"/>
  <c r="I256" i="158"/>
  <c r="D256" i="158"/>
  <c r="J256" i="158"/>
  <c r="E256" i="158"/>
  <c r="C256" i="158"/>
  <c r="I257" i="158"/>
  <c r="D257" i="158"/>
  <c r="J257" i="158"/>
  <c r="E257" i="158"/>
  <c r="C257" i="158"/>
  <c r="I258" i="158"/>
  <c r="D258" i="158"/>
  <c r="J258" i="158"/>
  <c r="E258" i="158"/>
  <c r="C258" i="158"/>
  <c r="I259" i="158"/>
  <c r="D259" i="158"/>
  <c r="J259" i="158"/>
  <c r="E259" i="158"/>
  <c r="C259" i="158"/>
  <c r="I260" i="158"/>
  <c r="D260" i="158"/>
  <c r="J260" i="158"/>
  <c r="E260" i="158"/>
  <c r="C260" i="158"/>
  <c r="I261" i="158"/>
  <c r="D261" i="158"/>
  <c r="J261" i="158"/>
  <c r="E261" i="158"/>
  <c r="C261" i="158"/>
  <c r="I262" i="158"/>
  <c r="D262" i="158"/>
  <c r="J262" i="158"/>
  <c r="E262" i="158"/>
  <c r="C262" i="158"/>
  <c r="I263" i="158"/>
  <c r="D263" i="158"/>
  <c r="J263" i="158"/>
  <c r="E263" i="158"/>
  <c r="C263" i="158"/>
  <c r="I264" i="158"/>
  <c r="D264" i="158"/>
  <c r="J264" i="158"/>
  <c r="E264" i="158"/>
  <c r="C264" i="158"/>
  <c r="I265" i="158"/>
  <c r="D265" i="158"/>
  <c r="J265" i="158"/>
  <c r="E265" i="158"/>
  <c r="C265" i="158"/>
  <c r="I266" i="158"/>
  <c r="D266" i="158"/>
  <c r="J266" i="158"/>
  <c r="E266" i="158"/>
  <c r="C266" i="158"/>
  <c r="I267" i="158"/>
  <c r="D267" i="158"/>
  <c r="J267" i="158"/>
  <c r="E267" i="158"/>
  <c r="C267" i="158"/>
  <c r="I268" i="158"/>
  <c r="D268" i="158"/>
  <c r="J268" i="158"/>
  <c r="E268" i="158"/>
  <c r="C268" i="158"/>
  <c r="I269" i="158"/>
  <c r="D269" i="158"/>
  <c r="J269" i="158"/>
  <c r="E269" i="158"/>
  <c r="C269" i="158"/>
  <c r="I270" i="158"/>
  <c r="D270" i="158"/>
  <c r="J270" i="158"/>
  <c r="E270" i="158"/>
  <c r="C270" i="158"/>
  <c r="I271" i="158"/>
  <c r="D271" i="158"/>
  <c r="J271" i="158"/>
  <c r="E271" i="158"/>
  <c r="C271" i="158"/>
  <c r="I272" i="158"/>
  <c r="D272" i="158"/>
  <c r="J272" i="158"/>
  <c r="E272" i="158"/>
  <c r="C272" i="158"/>
  <c r="I273" i="158"/>
  <c r="D273" i="158"/>
  <c r="J273" i="158"/>
  <c r="E273" i="158"/>
  <c r="C273" i="158"/>
  <c r="I274" i="158"/>
  <c r="D274" i="158"/>
  <c r="J274" i="158"/>
  <c r="E274" i="158"/>
  <c r="C274" i="158"/>
  <c r="I275" i="158"/>
  <c r="D275" i="158"/>
  <c r="J275" i="158"/>
  <c r="E275" i="158"/>
  <c r="C275" i="158"/>
  <c r="I276" i="158"/>
  <c r="D276" i="158"/>
  <c r="J276" i="158"/>
  <c r="E276" i="158"/>
  <c r="C276" i="158"/>
  <c r="I277" i="158"/>
  <c r="D277" i="158"/>
  <c r="J277" i="158"/>
  <c r="E277" i="158"/>
  <c r="C277" i="158"/>
  <c r="I278" i="158"/>
  <c r="D278" i="158"/>
  <c r="J278" i="158"/>
  <c r="E278" i="158"/>
  <c r="C278" i="158"/>
  <c r="I279" i="158"/>
  <c r="D279" i="158"/>
  <c r="J279" i="158"/>
  <c r="E279" i="158"/>
  <c r="C279" i="158"/>
  <c r="I280" i="158"/>
  <c r="D280" i="158"/>
  <c r="J280" i="158"/>
  <c r="E280" i="158"/>
  <c r="C280" i="158"/>
  <c r="I281" i="158"/>
  <c r="D281" i="158"/>
  <c r="J281" i="158"/>
  <c r="E281" i="158"/>
  <c r="C281" i="158"/>
  <c r="I282" i="158"/>
  <c r="D282" i="158"/>
  <c r="J282" i="158"/>
  <c r="E282" i="158"/>
  <c r="C282" i="158"/>
  <c r="I283" i="158"/>
  <c r="D283" i="158"/>
  <c r="J283" i="158"/>
  <c r="E283" i="158"/>
  <c r="C283" i="158"/>
  <c r="I284" i="158"/>
  <c r="D284" i="158"/>
  <c r="J284" i="158"/>
  <c r="E284" i="158"/>
  <c r="C284" i="158"/>
  <c r="I285" i="158"/>
  <c r="D285" i="158"/>
  <c r="J285" i="158"/>
  <c r="E285" i="158"/>
  <c r="C285" i="158"/>
  <c r="I286" i="158"/>
  <c r="D286" i="158"/>
  <c r="J286" i="158"/>
  <c r="E286" i="158"/>
  <c r="C286" i="158"/>
  <c r="I287" i="158"/>
  <c r="D287" i="158"/>
  <c r="J287" i="158"/>
  <c r="E287" i="158"/>
  <c r="C287" i="158"/>
  <c r="I288" i="158"/>
  <c r="D288" i="158"/>
  <c r="J288" i="158"/>
  <c r="E288" i="158"/>
  <c r="C288" i="158"/>
  <c r="I289" i="158"/>
  <c r="D289" i="158"/>
  <c r="J289" i="158"/>
  <c r="E289" i="158"/>
  <c r="C289" i="158"/>
  <c r="I290" i="158"/>
  <c r="D290" i="158"/>
  <c r="J290" i="158"/>
  <c r="E290" i="158"/>
  <c r="C290" i="158"/>
  <c r="I291" i="158"/>
  <c r="D291" i="158"/>
  <c r="J291" i="158"/>
  <c r="E291" i="158"/>
  <c r="C291" i="158"/>
  <c r="I292" i="158"/>
  <c r="D292" i="158"/>
  <c r="J292" i="158"/>
  <c r="E292" i="158"/>
  <c r="C292" i="158"/>
  <c r="I293" i="158"/>
  <c r="D293" i="158"/>
  <c r="J293" i="158"/>
  <c r="E293" i="158"/>
  <c r="C293" i="158"/>
  <c r="I294" i="158"/>
  <c r="D294" i="158"/>
  <c r="J294" i="158"/>
  <c r="E294" i="158"/>
  <c r="C294" i="158"/>
  <c r="I295" i="158"/>
  <c r="D295" i="158"/>
  <c r="J295" i="158"/>
  <c r="E295" i="158"/>
  <c r="C295" i="158"/>
  <c r="I296" i="158"/>
  <c r="D296" i="158"/>
  <c r="J296" i="158"/>
  <c r="E296" i="158"/>
  <c r="C296" i="158"/>
  <c r="I297" i="158"/>
  <c r="D297" i="158"/>
  <c r="J297" i="158"/>
  <c r="E297" i="158"/>
  <c r="C297" i="158"/>
  <c r="I298" i="158"/>
  <c r="D298" i="158"/>
  <c r="J298" i="158"/>
  <c r="E298" i="158"/>
  <c r="C298" i="158"/>
  <c r="I299" i="158"/>
  <c r="D299" i="158"/>
  <c r="J299" i="158"/>
  <c r="E299" i="158"/>
  <c r="C299" i="158"/>
  <c r="I300" i="158"/>
  <c r="D300" i="158"/>
  <c r="J300" i="158"/>
  <c r="E300" i="158"/>
  <c r="C300" i="158"/>
  <c r="I301" i="158"/>
  <c r="D301" i="158"/>
  <c r="J301" i="158"/>
  <c r="E301" i="158"/>
  <c r="C301" i="158"/>
  <c r="I302" i="158"/>
  <c r="D302" i="158"/>
  <c r="J302" i="158"/>
  <c r="E302" i="158"/>
  <c r="C302" i="158"/>
  <c r="I303" i="158"/>
  <c r="D303" i="158"/>
  <c r="J303" i="158"/>
  <c r="E303" i="158"/>
  <c r="C303" i="158"/>
  <c r="I304" i="158"/>
  <c r="D304" i="158"/>
  <c r="J304" i="158"/>
  <c r="E304" i="158"/>
  <c r="C304" i="158"/>
  <c r="I305" i="158"/>
  <c r="D305" i="158"/>
  <c r="J305" i="158"/>
  <c r="E305" i="158"/>
  <c r="C305" i="158"/>
  <c r="I306" i="158"/>
  <c r="D306" i="158"/>
  <c r="J306" i="158"/>
  <c r="E306" i="158"/>
  <c r="C306" i="158"/>
  <c r="I307" i="158"/>
  <c r="D307" i="158"/>
  <c r="J307" i="158"/>
  <c r="E307" i="158"/>
  <c r="C307" i="158"/>
  <c r="I308" i="158"/>
  <c r="D308" i="158"/>
  <c r="J308" i="158"/>
  <c r="E308" i="158"/>
  <c r="C308" i="158"/>
  <c r="I309" i="158"/>
  <c r="D309" i="158"/>
  <c r="J309" i="158"/>
  <c r="E309" i="158"/>
  <c r="C309" i="158"/>
  <c r="I310" i="158"/>
  <c r="D310" i="158"/>
  <c r="J310" i="158"/>
  <c r="E310" i="158"/>
  <c r="C310" i="158"/>
  <c r="I311" i="158"/>
  <c r="D311" i="158"/>
  <c r="J311" i="158"/>
  <c r="E311" i="158"/>
  <c r="C311" i="158"/>
  <c r="I312" i="158"/>
  <c r="D312" i="158"/>
  <c r="J312" i="158"/>
  <c r="E312" i="158"/>
  <c r="C312" i="158"/>
  <c r="I313" i="158"/>
  <c r="D313" i="158"/>
  <c r="J313" i="158"/>
  <c r="E313" i="158"/>
  <c r="C313" i="158"/>
  <c r="I314" i="158"/>
  <c r="D314" i="158"/>
  <c r="J314" i="158"/>
  <c r="E314" i="158"/>
  <c r="C314" i="158"/>
  <c r="I315" i="158"/>
  <c r="D315" i="158"/>
  <c r="J315" i="158"/>
  <c r="E315" i="158"/>
  <c r="C315" i="158"/>
  <c r="I316" i="158"/>
  <c r="D316" i="158"/>
  <c r="J316" i="158"/>
  <c r="E316" i="158"/>
  <c r="C316" i="158"/>
  <c r="I317" i="158"/>
  <c r="D317" i="158"/>
  <c r="J317" i="158"/>
  <c r="E317" i="158"/>
  <c r="C317" i="158"/>
  <c r="I318" i="158"/>
  <c r="D318" i="158"/>
  <c r="J318" i="158"/>
  <c r="E318" i="158"/>
  <c r="C318" i="158"/>
  <c r="I319" i="158"/>
  <c r="D319" i="158"/>
  <c r="J319" i="158"/>
  <c r="E319" i="158"/>
  <c r="C319" i="158"/>
  <c r="F5" i="157"/>
  <c r="F6" i="157"/>
  <c r="A36" i="157"/>
  <c r="Q3" i="157"/>
  <c r="Q4" i="157"/>
  <c r="Q5" i="157"/>
  <c r="Q6" i="157"/>
  <c r="Q7" i="157"/>
  <c r="Q8" i="157"/>
  <c r="Q9" i="157"/>
  <c r="Q10" i="157"/>
  <c r="Q11" i="157"/>
  <c r="Q12" i="157"/>
  <c r="Q13" i="157"/>
  <c r="Q14" i="157"/>
  <c r="Q15" i="157"/>
  <c r="Q16" i="157"/>
  <c r="Q17" i="157"/>
  <c r="Q18" i="157"/>
  <c r="Q19" i="157"/>
  <c r="Q20" i="157"/>
  <c r="E23" i="157"/>
  <c r="E6" i="157"/>
  <c r="B23" i="157"/>
  <c r="G23" i="157"/>
  <c r="H23" i="157"/>
  <c r="E5" i="157"/>
  <c r="E29" i="157"/>
  <c r="B29" i="157"/>
  <c r="G29" i="157"/>
  <c r="H29" i="157"/>
  <c r="E19" i="157"/>
  <c r="B19" i="157"/>
  <c r="E24" i="157"/>
  <c r="B24" i="157"/>
  <c r="B17" i="157"/>
  <c r="G17" i="157"/>
  <c r="E17" i="157"/>
  <c r="H17" i="157"/>
  <c r="E18" i="157"/>
  <c r="B18" i="157"/>
  <c r="G18" i="157"/>
  <c r="H18" i="157"/>
  <c r="G24" i="157"/>
  <c r="H24" i="157"/>
  <c r="E25" i="157"/>
  <c r="B25" i="157"/>
  <c r="G25" i="157"/>
  <c r="H25" i="157"/>
  <c r="E26" i="157"/>
  <c r="B26" i="157"/>
  <c r="G26" i="157"/>
  <c r="H26" i="157"/>
  <c r="G19" i="157"/>
  <c r="H19" i="157"/>
  <c r="E20" i="157"/>
  <c r="E28" i="157"/>
  <c r="B28" i="157"/>
  <c r="B21" i="157"/>
  <c r="G21" i="157"/>
  <c r="E21" i="157"/>
  <c r="H21" i="157"/>
  <c r="E27" i="157"/>
  <c r="B27" i="157"/>
  <c r="G27" i="157"/>
  <c r="H27" i="157"/>
  <c r="G28" i="157"/>
  <c r="H28" i="157"/>
  <c r="E22" i="157"/>
  <c r="B22" i="157"/>
  <c r="G22" i="157"/>
  <c r="H22" i="157"/>
  <c r="P320" i="158"/>
  <c r="H321" i="158"/>
  <c r="K321" i="158"/>
  <c r="L321" i="158"/>
  <c r="M321" i="158"/>
  <c r="N321" i="158"/>
  <c r="P321" i="158"/>
  <c r="H322" i="158"/>
  <c r="K322" i="158"/>
  <c r="L322" i="158"/>
  <c r="M322" i="158"/>
  <c r="N322" i="158"/>
  <c r="P322" i="158"/>
  <c r="H323" i="158"/>
  <c r="K323" i="158"/>
  <c r="L323" i="158"/>
  <c r="M323" i="158"/>
  <c r="N323" i="158"/>
  <c r="P323" i="158"/>
  <c r="H324" i="158"/>
  <c r="K324" i="158"/>
  <c r="L324" i="158"/>
  <c r="M324" i="158"/>
  <c r="N324" i="158"/>
  <c r="P324" i="158"/>
  <c r="A320" i="158"/>
  <c r="A321" i="158"/>
  <c r="A322" i="158"/>
  <c r="A323" i="158"/>
  <c r="A324" i="158"/>
  <c r="F315" i="154"/>
  <c r="H315" i="154"/>
  <c r="K315" i="154"/>
  <c r="L315" i="154"/>
  <c r="M315" i="154"/>
  <c r="N315" i="154"/>
  <c r="F316" i="154"/>
  <c r="F317" i="154"/>
  <c r="F318" i="154"/>
  <c r="F319" i="154"/>
  <c r="P315" i="154"/>
  <c r="H316" i="154"/>
  <c r="K316" i="154"/>
  <c r="L316" i="154"/>
  <c r="M316" i="154"/>
  <c r="N316" i="154"/>
  <c r="P316" i="154"/>
  <c r="H317" i="154"/>
  <c r="K317" i="154"/>
  <c r="L317" i="154"/>
  <c r="M317" i="154"/>
  <c r="N317" i="154"/>
  <c r="P317" i="154"/>
  <c r="H318" i="154"/>
  <c r="K318" i="154"/>
  <c r="L318" i="154"/>
  <c r="M318" i="154"/>
  <c r="N318" i="154"/>
  <c r="P318" i="154"/>
  <c r="H319" i="154"/>
  <c r="K319" i="154"/>
  <c r="L319" i="154"/>
  <c r="M319" i="154"/>
  <c r="N319" i="154"/>
  <c r="P319" i="154"/>
  <c r="A315" i="154"/>
  <c r="A316" i="154"/>
  <c r="A317" i="154"/>
  <c r="A318" i="154"/>
  <c r="A319" i="154"/>
  <c r="F315" i="161"/>
  <c r="H315" i="161"/>
  <c r="K315" i="161"/>
  <c r="L315" i="161"/>
  <c r="M315" i="161"/>
  <c r="N315" i="161"/>
  <c r="F316" i="161"/>
  <c r="F317" i="161"/>
  <c r="F318" i="161"/>
  <c r="F319" i="161"/>
  <c r="H316" i="161"/>
  <c r="K316" i="161"/>
  <c r="L316" i="161"/>
  <c r="M316" i="161"/>
  <c r="N316" i="161"/>
  <c r="H317" i="161"/>
  <c r="K317" i="161"/>
  <c r="L317" i="161"/>
  <c r="M317" i="161"/>
  <c r="N317" i="161"/>
  <c r="H318" i="161"/>
  <c r="K318" i="161"/>
  <c r="L318" i="161"/>
  <c r="M318" i="161"/>
  <c r="N318" i="161"/>
  <c r="H319" i="161"/>
  <c r="K319" i="161"/>
  <c r="L319" i="161"/>
  <c r="M319" i="161"/>
  <c r="N319" i="161"/>
  <c r="A315" i="161"/>
  <c r="A316" i="161"/>
  <c r="A317" i="161"/>
  <c r="A318" i="161"/>
  <c r="A319" i="161"/>
  <c r="F315" i="158"/>
  <c r="H315" i="158"/>
  <c r="K315" i="158"/>
  <c r="L315" i="158"/>
  <c r="M315" i="158"/>
  <c r="N315" i="158"/>
  <c r="F316" i="158"/>
  <c r="F317" i="158"/>
  <c r="F318" i="158"/>
  <c r="F319" i="158"/>
  <c r="P315" i="158"/>
  <c r="H316" i="158"/>
  <c r="K316" i="158"/>
  <c r="L316" i="158"/>
  <c r="M316" i="158"/>
  <c r="N316" i="158"/>
  <c r="P316" i="158"/>
  <c r="H317" i="158"/>
  <c r="K317" i="158"/>
  <c r="L317" i="158"/>
  <c r="M317" i="158"/>
  <c r="N317" i="158"/>
  <c r="P317" i="158"/>
  <c r="H318" i="158"/>
  <c r="K318" i="158"/>
  <c r="L318" i="158"/>
  <c r="M318" i="158"/>
  <c r="N318" i="158"/>
  <c r="P318" i="158"/>
  <c r="H319" i="158"/>
  <c r="K319" i="158"/>
  <c r="L319" i="158"/>
  <c r="M319" i="158"/>
  <c r="N319" i="158"/>
  <c r="P319" i="158"/>
  <c r="A315" i="158"/>
  <c r="A316" i="158"/>
  <c r="A317" i="158"/>
  <c r="A318" i="158"/>
  <c r="A319" i="158"/>
  <c r="F310" i="154"/>
  <c r="H310" i="154"/>
  <c r="K310" i="154"/>
  <c r="L310" i="154"/>
  <c r="M310" i="154"/>
  <c r="N310" i="154"/>
  <c r="F311" i="154"/>
  <c r="F312" i="154"/>
  <c r="F313" i="154"/>
  <c r="F314" i="154"/>
  <c r="P310" i="154"/>
  <c r="H311" i="154"/>
  <c r="K311" i="154"/>
  <c r="L311" i="154"/>
  <c r="M311" i="154"/>
  <c r="N311" i="154"/>
  <c r="P311" i="154"/>
  <c r="H312" i="154"/>
  <c r="K312" i="154"/>
  <c r="L312" i="154"/>
  <c r="M312" i="154"/>
  <c r="N312" i="154"/>
  <c r="P312" i="154"/>
  <c r="H313" i="154"/>
  <c r="K313" i="154"/>
  <c r="L313" i="154"/>
  <c r="M313" i="154"/>
  <c r="N313" i="154"/>
  <c r="P313" i="154"/>
  <c r="H314" i="154"/>
  <c r="K314" i="154"/>
  <c r="L314" i="154"/>
  <c r="M314" i="154"/>
  <c r="N314" i="154"/>
  <c r="P314" i="154"/>
  <c r="A310" i="154"/>
  <c r="A311" i="154"/>
  <c r="A312" i="154"/>
  <c r="A313" i="154"/>
  <c r="A314" i="154"/>
  <c r="F310" i="161"/>
  <c r="H310" i="161"/>
  <c r="K310" i="161"/>
  <c r="L310" i="161"/>
  <c r="M310" i="161"/>
  <c r="N310" i="161"/>
  <c r="F311" i="161"/>
  <c r="F312" i="161"/>
  <c r="F313" i="161"/>
  <c r="F314" i="161"/>
  <c r="H311" i="161"/>
  <c r="K311" i="161"/>
  <c r="L311" i="161"/>
  <c r="M311" i="161"/>
  <c r="N311" i="161"/>
  <c r="H312" i="161"/>
  <c r="K312" i="161"/>
  <c r="L312" i="161"/>
  <c r="M312" i="161"/>
  <c r="N312" i="161"/>
  <c r="H313" i="161"/>
  <c r="K313" i="161"/>
  <c r="L313" i="161"/>
  <c r="M313" i="161"/>
  <c r="N313" i="161"/>
  <c r="H314" i="161"/>
  <c r="K314" i="161"/>
  <c r="L314" i="161"/>
  <c r="M314" i="161"/>
  <c r="N314" i="161"/>
  <c r="A310" i="161"/>
  <c r="A311" i="161"/>
  <c r="A312" i="161"/>
  <c r="A313" i="161"/>
  <c r="A314" i="161"/>
  <c r="F310" i="158"/>
  <c r="H310" i="158"/>
  <c r="K310" i="158"/>
  <c r="L310" i="158"/>
  <c r="M310" i="158"/>
  <c r="N310" i="158"/>
  <c r="F311" i="158"/>
  <c r="F312" i="158"/>
  <c r="F313" i="158"/>
  <c r="F314" i="158"/>
  <c r="P310" i="158"/>
  <c r="H311" i="158"/>
  <c r="K311" i="158"/>
  <c r="L311" i="158"/>
  <c r="M311" i="158"/>
  <c r="N311" i="158"/>
  <c r="P311" i="158"/>
  <c r="H312" i="158"/>
  <c r="K312" i="158"/>
  <c r="L312" i="158"/>
  <c r="M312" i="158"/>
  <c r="N312" i="158"/>
  <c r="P312" i="158"/>
  <c r="H313" i="158"/>
  <c r="K313" i="158"/>
  <c r="L313" i="158"/>
  <c r="M313" i="158"/>
  <c r="N313" i="158"/>
  <c r="P313" i="158"/>
  <c r="H314" i="158"/>
  <c r="K314" i="158"/>
  <c r="L314" i="158"/>
  <c r="M314" i="158"/>
  <c r="N314" i="158"/>
  <c r="P314" i="158"/>
  <c r="A310" i="158"/>
  <c r="A311" i="158"/>
  <c r="A312" i="158"/>
  <c r="A313" i="158"/>
  <c r="A314" i="158"/>
  <c r="I3" i="159"/>
  <c r="D3" i="159"/>
  <c r="E3" i="159"/>
  <c r="I4" i="159"/>
  <c r="D4" i="159"/>
  <c r="E4" i="159"/>
  <c r="I5" i="159"/>
  <c r="D5" i="159"/>
  <c r="E5" i="159"/>
  <c r="I6" i="159"/>
  <c r="D6" i="159"/>
  <c r="E6" i="159"/>
  <c r="I2" i="159"/>
  <c r="E2" i="159"/>
  <c r="D2" i="159"/>
  <c r="A309" i="154"/>
  <c r="F309" i="154"/>
  <c r="H309" i="154"/>
  <c r="K309" i="154"/>
  <c r="L309" i="154"/>
  <c r="M309" i="154"/>
  <c r="N309" i="154"/>
  <c r="F305" i="154"/>
  <c r="F306" i="154"/>
  <c r="F307" i="154"/>
  <c r="F308" i="154"/>
  <c r="A305" i="154"/>
  <c r="H305" i="154"/>
  <c r="K305" i="154"/>
  <c r="L305" i="154"/>
  <c r="M305" i="154"/>
  <c r="N305" i="154"/>
  <c r="A306" i="154"/>
  <c r="H306" i="154"/>
  <c r="K306" i="154"/>
  <c r="L306" i="154"/>
  <c r="M306" i="154"/>
  <c r="N306" i="154"/>
  <c r="A307" i="154"/>
  <c r="H307" i="154"/>
  <c r="K307" i="154"/>
  <c r="L307" i="154"/>
  <c r="M307" i="154"/>
  <c r="N307" i="154"/>
  <c r="A308" i="154"/>
  <c r="H308" i="154"/>
  <c r="K308" i="154"/>
  <c r="L308" i="154"/>
  <c r="M308" i="154"/>
  <c r="N308" i="154"/>
  <c r="A304" i="154"/>
  <c r="A305" i="161"/>
  <c r="F305" i="161"/>
  <c r="H305" i="161"/>
  <c r="K305" i="161"/>
  <c r="L305" i="161"/>
  <c r="M305" i="161"/>
  <c r="N305" i="161"/>
  <c r="F306" i="161"/>
  <c r="F307" i="161"/>
  <c r="F308" i="161"/>
  <c r="F309" i="161"/>
  <c r="A306" i="161"/>
  <c r="H306" i="161"/>
  <c r="K306" i="161"/>
  <c r="L306" i="161"/>
  <c r="M306" i="161"/>
  <c r="N306" i="161"/>
  <c r="A307" i="161"/>
  <c r="H307" i="161"/>
  <c r="K307" i="161"/>
  <c r="L307" i="161"/>
  <c r="M307" i="161"/>
  <c r="N307" i="161"/>
  <c r="A308" i="161"/>
  <c r="H308" i="161"/>
  <c r="K308" i="161"/>
  <c r="L308" i="161"/>
  <c r="M308" i="161"/>
  <c r="N308" i="161"/>
  <c r="A309" i="161"/>
  <c r="H309" i="161"/>
  <c r="K309" i="161"/>
  <c r="L309" i="161"/>
  <c r="M309" i="161"/>
  <c r="N309" i="161"/>
  <c r="A305" i="158"/>
  <c r="F305" i="158"/>
  <c r="H305" i="158"/>
  <c r="K305" i="158"/>
  <c r="L305" i="158"/>
  <c r="M305" i="158"/>
  <c r="N305" i="158"/>
  <c r="F306" i="158"/>
  <c r="F307" i="158"/>
  <c r="F308" i="158"/>
  <c r="F309" i="158"/>
  <c r="P305" i="158"/>
  <c r="A306" i="158"/>
  <c r="H306" i="158"/>
  <c r="K306" i="158"/>
  <c r="L306" i="158"/>
  <c r="M306" i="158"/>
  <c r="N306" i="158"/>
  <c r="P306" i="158"/>
  <c r="A307" i="158"/>
  <c r="H307" i="158"/>
  <c r="K307" i="158"/>
  <c r="L307" i="158"/>
  <c r="M307" i="158"/>
  <c r="N307" i="158"/>
  <c r="P307" i="158"/>
  <c r="A308" i="158"/>
  <c r="H308" i="158"/>
  <c r="K308" i="158"/>
  <c r="L308" i="158"/>
  <c r="M308" i="158"/>
  <c r="N308" i="158"/>
  <c r="P308" i="158"/>
  <c r="A309" i="158"/>
  <c r="H309" i="158"/>
  <c r="K309" i="158"/>
  <c r="L309" i="158"/>
  <c r="M309" i="158"/>
  <c r="N309" i="158"/>
  <c r="P309" i="158"/>
  <c r="A304" i="161"/>
  <c r="A303" i="161"/>
  <c r="A302" i="161"/>
  <c r="A301" i="161"/>
  <c r="A300" i="161"/>
  <c r="A299" i="161"/>
  <c r="A298" i="161"/>
  <c r="A297" i="161"/>
  <c r="A296" i="161"/>
  <c r="A295" i="161"/>
  <c r="A294" i="161"/>
  <c r="A293" i="161"/>
  <c r="A292" i="161"/>
  <c r="A291" i="161"/>
  <c r="A290" i="161"/>
  <c r="A289" i="161"/>
  <c r="A288" i="161"/>
  <c r="A287" i="161"/>
  <c r="A286" i="161"/>
  <c r="A285" i="161"/>
  <c r="A284" i="161"/>
  <c r="A283" i="161"/>
  <c r="A282" i="161"/>
  <c r="A281" i="161"/>
  <c r="A280" i="161"/>
  <c r="A279" i="161"/>
  <c r="A278" i="161"/>
  <c r="A277" i="161"/>
  <c r="A276" i="161"/>
  <c r="A275" i="161"/>
  <c r="A274" i="161"/>
  <c r="A273" i="161"/>
  <c r="A272" i="161"/>
  <c r="A271" i="161"/>
  <c r="A270" i="161"/>
  <c r="A269" i="161"/>
  <c r="A268" i="161"/>
  <c r="A267" i="161"/>
  <c r="A266" i="161"/>
  <c r="A265" i="161"/>
  <c r="A264" i="161"/>
  <c r="A263" i="161"/>
  <c r="A262" i="161"/>
  <c r="A261" i="161"/>
  <c r="A260" i="161"/>
  <c r="A259" i="161"/>
  <c r="A258" i="161"/>
  <c r="A257" i="161"/>
  <c r="A256" i="161"/>
  <c r="A255" i="161"/>
  <c r="A254" i="161"/>
  <c r="A253" i="161"/>
  <c r="A252" i="161"/>
  <c r="A251" i="161"/>
  <c r="A250" i="161"/>
  <c r="A249" i="161"/>
  <c r="A248" i="161"/>
  <c r="A247" i="161"/>
  <c r="A246" i="161"/>
  <c r="A245" i="161"/>
  <c r="A244" i="161"/>
  <c r="A243" i="161"/>
  <c r="A242" i="161"/>
  <c r="A241" i="161"/>
  <c r="A240" i="161"/>
  <c r="A239" i="161"/>
  <c r="A238" i="161"/>
  <c r="A237" i="161"/>
  <c r="A236" i="161"/>
  <c r="A235" i="161"/>
  <c r="A234" i="161"/>
  <c r="A233" i="161"/>
  <c r="A232" i="161"/>
  <c r="A231" i="161"/>
  <c r="A230" i="161"/>
  <c r="A229" i="161"/>
  <c r="A228" i="161"/>
  <c r="A227" i="161"/>
  <c r="A226" i="161"/>
  <c r="A225" i="161"/>
  <c r="A224" i="161"/>
  <c r="A223" i="161"/>
  <c r="A222" i="161"/>
  <c r="A221" i="161"/>
  <c r="A220" i="161"/>
  <c r="A219" i="161"/>
  <c r="A218" i="161"/>
  <c r="A217" i="161"/>
  <c r="A216" i="161"/>
  <c r="A215" i="161"/>
  <c r="A214" i="161"/>
  <c r="A213" i="161"/>
  <c r="A212" i="161"/>
  <c r="A211" i="161"/>
  <c r="A210" i="161"/>
  <c r="A209" i="161"/>
  <c r="A208" i="161"/>
  <c r="A207" i="161"/>
  <c r="A206" i="161"/>
  <c r="A205" i="161"/>
  <c r="A204" i="161"/>
  <c r="A203" i="161"/>
  <c r="A202" i="161"/>
  <c r="A201" i="161"/>
  <c r="A200" i="161"/>
  <c r="A199" i="161"/>
  <c r="A198" i="161"/>
  <c r="A197" i="161"/>
  <c r="A196" i="161"/>
  <c r="A195" i="161"/>
  <c r="A194" i="161"/>
  <c r="A193" i="161"/>
  <c r="A192" i="161"/>
  <c r="A191" i="161"/>
  <c r="A190" i="161"/>
  <c r="A189" i="161"/>
  <c r="A188" i="161"/>
  <c r="A187" i="161"/>
  <c r="A186" i="161"/>
  <c r="A185" i="161"/>
  <c r="A184" i="161"/>
  <c r="A183" i="161"/>
  <c r="A182" i="161"/>
  <c r="A181" i="161"/>
  <c r="A180" i="161"/>
  <c r="A179" i="161"/>
  <c r="A178" i="161"/>
  <c r="A177" i="161"/>
  <c r="A176" i="161"/>
  <c r="A175" i="161"/>
  <c r="A174" i="161"/>
  <c r="A173" i="161"/>
  <c r="A172" i="161"/>
  <c r="A171" i="161"/>
  <c r="A170" i="161"/>
  <c r="A169" i="161"/>
  <c r="A168" i="161"/>
  <c r="A167" i="161"/>
  <c r="A166" i="161"/>
  <c r="A165" i="161"/>
  <c r="A164" i="161"/>
  <c r="A163" i="161"/>
  <c r="A162" i="161"/>
  <c r="A161" i="161"/>
  <c r="A160" i="161"/>
  <c r="A159" i="161"/>
  <c r="A158" i="161"/>
  <c r="A157" i="161"/>
  <c r="A156" i="161"/>
  <c r="A155" i="161"/>
  <c r="A154" i="161"/>
  <c r="A153" i="161"/>
  <c r="A152" i="161"/>
  <c r="A151" i="161"/>
  <c r="A150" i="161"/>
  <c r="A149" i="161"/>
  <c r="A148" i="161"/>
  <c r="A147" i="161"/>
  <c r="A146" i="161"/>
  <c r="A145" i="161"/>
  <c r="A144" i="161"/>
  <c r="A143" i="161"/>
  <c r="A142" i="161"/>
  <c r="A141" i="161"/>
  <c r="A140" i="161"/>
  <c r="A139" i="161"/>
  <c r="A138" i="161"/>
  <c r="A137" i="161"/>
  <c r="A136" i="161"/>
  <c r="A135" i="161"/>
  <c r="A134" i="161"/>
  <c r="A133" i="161"/>
  <c r="A132" i="161"/>
  <c r="A131" i="161"/>
  <c r="A130" i="161"/>
  <c r="A129" i="161"/>
  <c r="A128" i="161"/>
  <c r="A127" i="161"/>
  <c r="A126" i="161"/>
  <c r="A125" i="161"/>
  <c r="A124" i="161"/>
  <c r="A123" i="161"/>
  <c r="A122" i="161"/>
  <c r="A121" i="161"/>
  <c r="A120" i="161"/>
  <c r="A119" i="161"/>
  <c r="A118" i="161"/>
  <c r="A117" i="161"/>
  <c r="A116" i="161"/>
  <c r="A115" i="161"/>
  <c r="A114" i="161"/>
  <c r="A113" i="161"/>
  <c r="A112" i="161"/>
  <c r="A111" i="161"/>
  <c r="A110" i="161"/>
  <c r="A109" i="161"/>
  <c r="A108" i="161"/>
  <c r="A107" i="161"/>
  <c r="A106" i="161"/>
  <c r="A105" i="161"/>
  <c r="A104" i="161"/>
  <c r="A103" i="161"/>
  <c r="A102" i="161"/>
  <c r="A101" i="161"/>
  <c r="A100" i="161"/>
  <c r="A99" i="161"/>
  <c r="A98" i="161"/>
  <c r="A97" i="161"/>
  <c r="A96" i="161"/>
  <c r="A95" i="161"/>
  <c r="A94" i="161"/>
  <c r="A93" i="161"/>
  <c r="A92" i="161"/>
  <c r="A91" i="161"/>
  <c r="A90" i="161"/>
  <c r="A89" i="161"/>
  <c r="A88" i="161"/>
  <c r="A87" i="161"/>
  <c r="A86" i="161"/>
  <c r="A85" i="161"/>
  <c r="A84" i="161"/>
  <c r="A83" i="161"/>
  <c r="A82" i="161"/>
  <c r="A81" i="161"/>
  <c r="A80" i="161"/>
  <c r="A79" i="161"/>
  <c r="A78" i="161"/>
  <c r="A77" i="161"/>
  <c r="A76" i="161"/>
  <c r="A75" i="161"/>
  <c r="A74" i="161"/>
  <c r="A73" i="161"/>
  <c r="A72" i="161"/>
  <c r="A71" i="161"/>
  <c r="A70" i="161"/>
  <c r="A69" i="161"/>
  <c r="A68" i="161"/>
  <c r="A67" i="161"/>
  <c r="A66" i="161"/>
  <c r="A65" i="161"/>
  <c r="A64" i="161"/>
  <c r="A63" i="161"/>
  <c r="A62" i="161"/>
  <c r="A61" i="161"/>
  <c r="A60" i="161"/>
  <c r="A59" i="161"/>
  <c r="A58" i="161"/>
  <c r="A57" i="161"/>
  <c r="A56" i="161"/>
  <c r="A55" i="161"/>
  <c r="A54" i="161"/>
  <c r="A53" i="161"/>
  <c r="A52" i="161"/>
  <c r="A51" i="161"/>
  <c r="A50" i="161"/>
  <c r="A49" i="161"/>
  <c r="A48" i="161"/>
  <c r="A47" i="161"/>
  <c r="A46" i="161"/>
  <c r="A45" i="161"/>
  <c r="A44" i="161"/>
  <c r="A43" i="161"/>
  <c r="A42" i="161"/>
  <c r="A41" i="161"/>
  <c r="A40" i="161"/>
  <c r="A39" i="161"/>
  <c r="A38" i="161"/>
  <c r="A37" i="161"/>
  <c r="A36" i="161"/>
  <c r="A35" i="161"/>
  <c r="A34" i="161"/>
  <c r="A33" i="161"/>
  <c r="A32" i="161"/>
  <c r="A31" i="161"/>
  <c r="A30" i="161"/>
  <c r="A29" i="161"/>
  <c r="A28" i="161"/>
  <c r="A27" i="161"/>
  <c r="A26" i="161"/>
  <c r="A25" i="161"/>
  <c r="A24" i="161"/>
  <c r="A23" i="161"/>
  <c r="A22" i="161"/>
  <c r="A21" i="161"/>
  <c r="A20" i="161"/>
  <c r="A19" i="161"/>
  <c r="A18" i="161"/>
  <c r="A17" i="161"/>
  <c r="A16" i="161"/>
  <c r="A15" i="161"/>
  <c r="A14" i="161"/>
  <c r="A13" i="161"/>
  <c r="A12" i="161"/>
  <c r="A11" i="161"/>
  <c r="A10" i="161"/>
  <c r="A9" i="161"/>
  <c r="A8" i="161"/>
  <c r="A7" i="161"/>
  <c r="A6" i="161"/>
  <c r="A5" i="161"/>
  <c r="A4" i="161"/>
  <c r="A3" i="161"/>
  <c r="A2" i="161"/>
  <c r="C4" i="103"/>
  <c r="E4" i="103"/>
  <c r="B30" i="153"/>
  <c r="B30" i="160"/>
  <c r="B30" i="157"/>
  <c r="B46" i="160"/>
  <c r="B45" i="160"/>
  <c r="B43" i="160"/>
  <c r="B42" i="160"/>
  <c r="B41" i="160"/>
  <c r="F40" i="160"/>
  <c r="B40" i="160"/>
  <c r="E31" i="160"/>
  <c r="E30" i="160"/>
  <c r="F304" i="161"/>
  <c r="F2" i="161"/>
  <c r="F3" i="161"/>
  <c r="F4" i="161"/>
  <c r="F5" i="161"/>
  <c r="F6" i="161"/>
  <c r="F7" i="161"/>
  <c r="F8" i="161"/>
  <c r="F9" i="161"/>
  <c r="F10" i="161"/>
  <c r="F11" i="161"/>
  <c r="F12" i="161"/>
  <c r="F13" i="161"/>
  <c r="F14" i="161"/>
  <c r="F15" i="161"/>
  <c r="F16" i="161"/>
  <c r="F17" i="161"/>
  <c r="F18" i="161"/>
  <c r="F19" i="161"/>
  <c r="F20" i="161"/>
  <c r="F21" i="161"/>
  <c r="F22" i="161"/>
  <c r="F23" i="161"/>
  <c r="F24" i="161"/>
  <c r="F25" i="161"/>
  <c r="F26" i="161"/>
  <c r="F27" i="161"/>
  <c r="F28" i="161"/>
  <c r="F29" i="161"/>
  <c r="F30" i="161"/>
  <c r="F31" i="161"/>
  <c r="F32" i="161"/>
  <c r="F33" i="161"/>
  <c r="F34" i="161"/>
  <c r="F35" i="161"/>
  <c r="F36" i="161"/>
  <c r="F37" i="161"/>
  <c r="F38" i="161"/>
  <c r="F39" i="161"/>
  <c r="F40" i="161"/>
  <c r="F41" i="161"/>
  <c r="F42" i="161"/>
  <c r="F43" i="161"/>
  <c r="F44" i="161"/>
  <c r="F45" i="161"/>
  <c r="F46" i="161"/>
  <c r="F47" i="161"/>
  <c r="F48" i="161"/>
  <c r="F49" i="161"/>
  <c r="F50" i="161"/>
  <c r="F51" i="161"/>
  <c r="F52" i="161"/>
  <c r="F53" i="161"/>
  <c r="F54" i="161"/>
  <c r="F55" i="161"/>
  <c r="F56" i="161"/>
  <c r="F57" i="161"/>
  <c r="F58" i="161"/>
  <c r="F59" i="161"/>
  <c r="F60" i="161"/>
  <c r="F61" i="161"/>
  <c r="F62" i="161"/>
  <c r="F63" i="161"/>
  <c r="F64" i="161"/>
  <c r="F65" i="161"/>
  <c r="F66" i="161"/>
  <c r="F67" i="161"/>
  <c r="F68" i="161"/>
  <c r="F69" i="161"/>
  <c r="F70" i="161"/>
  <c r="F71" i="161"/>
  <c r="F72" i="161"/>
  <c r="F73" i="161"/>
  <c r="F74" i="161"/>
  <c r="F75" i="161"/>
  <c r="F76" i="161"/>
  <c r="F77" i="161"/>
  <c r="F78" i="161"/>
  <c r="F79" i="161"/>
  <c r="F80" i="161"/>
  <c r="F81" i="161"/>
  <c r="F82" i="161"/>
  <c r="F83" i="161"/>
  <c r="F84" i="161"/>
  <c r="F85" i="161"/>
  <c r="F86" i="161"/>
  <c r="F87" i="161"/>
  <c r="F88" i="161"/>
  <c r="F89" i="161"/>
  <c r="F90" i="161"/>
  <c r="F91" i="161"/>
  <c r="F92" i="161"/>
  <c r="F93" i="161"/>
  <c r="F94" i="161"/>
  <c r="F95" i="161"/>
  <c r="F96" i="161"/>
  <c r="F97" i="161"/>
  <c r="F98" i="161"/>
  <c r="F99" i="161"/>
  <c r="F100" i="161"/>
  <c r="F101" i="161"/>
  <c r="F102" i="161"/>
  <c r="F103" i="161"/>
  <c r="F104" i="161"/>
  <c r="F105" i="161"/>
  <c r="F106" i="161"/>
  <c r="F107" i="161"/>
  <c r="F108" i="161"/>
  <c r="F109" i="161"/>
  <c r="F110" i="161"/>
  <c r="F111" i="161"/>
  <c r="F112" i="161"/>
  <c r="F113" i="161"/>
  <c r="F114" i="161"/>
  <c r="F115" i="161"/>
  <c r="F116" i="161"/>
  <c r="F117" i="161"/>
  <c r="F118" i="161"/>
  <c r="F119" i="161"/>
  <c r="F120" i="161"/>
  <c r="F121" i="161"/>
  <c r="F122" i="161"/>
  <c r="F123" i="161"/>
  <c r="F124" i="161"/>
  <c r="F125" i="161"/>
  <c r="F126" i="161"/>
  <c r="F127" i="161"/>
  <c r="F128" i="161"/>
  <c r="F129" i="161"/>
  <c r="F130" i="161"/>
  <c r="F131" i="161"/>
  <c r="F132" i="161"/>
  <c r="F133" i="161"/>
  <c r="F134" i="161"/>
  <c r="F135" i="161"/>
  <c r="F136" i="161"/>
  <c r="F137" i="161"/>
  <c r="F138" i="161"/>
  <c r="F139" i="161"/>
  <c r="F140" i="161"/>
  <c r="F141" i="161"/>
  <c r="F142" i="161"/>
  <c r="F143" i="161"/>
  <c r="F144" i="161"/>
  <c r="F145" i="161"/>
  <c r="F146" i="161"/>
  <c r="F147" i="161"/>
  <c r="F148" i="161"/>
  <c r="F149" i="161"/>
  <c r="F150" i="161"/>
  <c r="F151" i="161"/>
  <c r="F152" i="161"/>
  <c r="F153" i="161"/>
  <c r="F154" i="161"/>
  <c r="F155" i="161"/>
  <c r="F156" i="161"/>
  <c r="F157" i="161"/>
  <c r="F158" i="161"/>
  <c r="F159" i="161"/>
  <c r="F160" i="161"/>
  <c r="F161" i="161"/>
  <c r="F162" i="161"/>
  <c r="F163" i="161"/>
  <c r="F164" i="161"/>
  <c r="F165" i="161"/>
  <c r="F166" i="161"/>
  <c r="F167" i="161"/>
  <c r="F168" i="161"/>
  <c r="F169" i="161"/>
  <c r="F170" i="161"/>
  <c r="F171" i="161"/>
  <c r="F172" i="161"/>
  <c r="F173" i="161"/>
  <c r="F174" i="161"/>
  <c r="F175" i="161"/>
  <c r="F176" i="161"/>
  <c r="F177" i="161"/>
  <c r="F178" i="161"/>
  <c r="F179" i="161"/>
  <c r="F180" i="161"/>
  <c r="F181" i="161"/>
  <c r="F182" i="161"/>
  <c r="F183" i="161"/>
  <c r="F184" i="161"/>
  <c r="F185" i="161"/>
  <c r="F186" i="161"/>
  <c r="F187" i="161"/>
  <c r="F188" i="161"/>
  <c r="F189" i="161"/>
  <c r="F190" i="161"/>
  <c r="F191" i="161"/>
  <c r="F192" i="161"/>
  <c r="F193" i="161"/>
  <c r="F194" i="161"/>
  <c r="F195" i="161"/>
  <c r="F196" i="161"/>
  <c r="F197" i="161"/>
  <c r="F198" i="161"/>
  <c r="F199" i="161"/>
  <c r="F200" i="161"/>
  <c r="F201" i="161"/>
  <c r="F202" i="161"/>
  <c r="F203" i="161"/>
  <c r="F204" i="161"/>
  <c r="F205" i="161"/>
  <c r="F206" i="161"/>
  <c r="F207" i="161"/>
  <c r="F208" i="161"/>
  <c r="F209" i="161"/>
  <c r="F210" i="161"/>
  <c r="F211" i="161"/>
  <c r="F212" i="161"/>
  <c r="F213" i="161"/>
  <c r="F214" i="161"/>
  <c r="F215" i="161"/>
  <c r="F216" i="161"/>
  <c r="F217" i="161"/>
  <c r="F218" i="161"/>
  <c r="F219" i="161"/>
  <c r="F220" i="161"/>
  <c r="F221" i="161"/>
  <c r="F222" i="161"/>
  <c r="F223" i="161"/>
  <c r="F224" i="161"/>
  <c r="F225" i="161"/>
  <c r="F226" i="161"/>
  <c r="F227" i="161"/>
  <c r="F228" i="161"/>
  <c r="F229" i="161"/>
  <c r="F230" i="161"/>
  <c r="F231" i="161"/>
  <c r="F232" i="161"/>
  <c r="F233" i="161"/>
  <c r="F234" i="161"/>
  <c r="F235" i="161"/>
  <c r="F236" i="161"/>
  <c r="F237" i="161"/>
  <c r="F238" i="161"/>
  <c r="F239" i="161"/>
  <c r="F240" i="161"/>
  <c r="F241" i="161"/>
  <c r="F242" i="161"/>
  <c r="F243" i="161"/>
  <c r="F244" i="161"/>
  <c r="F245" i="161"/>
  <c r="F246" i="161"/>
  <c r="F247" i="161"/>
  <c r="F248" i="161"/>
  <c r="F249" i="161"/>
  <c r="F250" i="161"/>
  <c r="F251" i="161"/>
  <c r="F252" i="161"/>
  <c r="F253" i="161"/>
  <c r="F254" i="161"/>
  <c r="F255" i="161"/>
  <c r="F256" i="161"/>
  <c r="F257" i="161"/>
  <c r="F258" i="161"/>
  <c r="F259" i="161"/>
  <c r="F260" i="161"/>
  <c r="F261" i="161"/>
  <c r="F262" i="161"/>
  <c r="F263" i="161"/>
  <c r="F264" i="161"/>
  <c r="F265" i="161"/>
  <c r="F266" i="161"/>
  <c r="F267" i="161"/>
  <c r="F268" i="161"/>
  <c r="F269" i="161"/>
  <c r="F270" i="161"/>
  <c r="F271" i="161"/>
  <c r="F272" i="161"/>
  <c r="F273" i="161"/>
  <c r="F274" i="161"/>
  <c r="F275" i="161"/>
  <c r="F276" i="161"/>
  <c r="F277" i="161"/>
  <c r="F278" i="161"/>
  <c r="F279" i="161"/>
  <c r="F280" i="161"/>
  <c r="F281" i="161"/>
  <c r="F282" i="161"/>
  <c r="F283" i="161"/>
  <c r="F284" i="161"/>
  <c r="F285" i="161"/>
  <c r="F286" i="161"/>
  <c r="F287" i="161"/>
  <c r="F288" i="161"/>
  <c r="F289" i="161"/>
  <c r="F290" i="161"/>
  <c r="F291" i="161"/>
  <c r="F292" i="161"/>
  <c r="F293" i="161"/>
  <c r="F294" i="161"/>
  <c r="F295" i="161"/>
  <c r="F296" i="161"/>
  <c r="F297" i="161"/>
  <c r="F298" i="161"/>
  <c r="F299" i="161"/>
  <c r="F300" i="161"/>
  <c r="F301" i="161"/>
  <c r="F302" i="161"/>
  <c r="F303" i="161"/>
  <c r="N304" i="161"/>
  <c r="M304" i="161"/>
  <c r="L304" i="161"/>
  <c r="K304" i="161"/>
  <c r="H304" i="161"/>
  <c r="N303" i="161"/>
  <c r="M303" i="161"/>
  <c r="L303" i="161"/>
  <c r="K303" i="161"/>
  <c r="H303" i="161"/>
  <c r="N302" i="161"/>
  <c r="M302" i="161"/>
  <c r="L302" i="161"/>
  <c r="K302" i="161"/>
  <c r="H302" i="161"/>
  <c r="N301" i="161"/>
  <c r="M301" i="161"/>
  <c r="L301" i="161"/>
  <c r="K301" i="161"/>
  <c r="H301" i="161"/>
  <c r="N300" i="161"/>
  <c r="M300" i="161"/>
  <c r="L300" i="161"/>
  <c r="K300" i="161"/>
  <c r="H300" i="161"/>
  <c r="N299" i="161"/>
  <c r="M299" i="161"/>
  <c r="L299" i="161"/>
  <c r="K299" i="161"/>
  <c r="H299" i="161"/>
  <c r="N298" i="161"/>
  <c r="M298" i="161"/>
  <c r="L298" i="161"/>
  <c r="K298" i="161"/>
  <c r="H298" i="161"/>
  <c r="N297" i="161"/>
  <c r="M297" i="161"/>
  <c r="L297" i="161"/>
  <c r="K297" i="161"/>
  <c r="H297" i="161"/>
  <c r="N296" i="161"/>
  <c r="M296" i="161"/>
  <c r="L296" i="161"/>
  <c r="K296" i="161"/>
  <c r="H296" i="161"/>
  <c r="N295" i="161"/>
  <c r="M295" i="161"/>
  <c r="L295" i="161"/>
  <c r="K295" i="161"/>
  <c r="H295" i="161"/>
  <c r="N294" i="161"/>
  <c r="M294" i="161"/>
  <c r="L294" i="161"/>
  <c r="K294" i="161"/>
  <c r="H294" i="161"/>
  <c r="N293" i="161"/>
  <c r="M293" i="161"/>
  <c r="L293" i="161"/>
  <c r="K293" i="161"/>
  <c r="H293" i="161"/>
  <c r="N292" i="161"/>
  <c r="M292" i="161"/>
  <c r="L292" i="161"/>
  <c r="K292" i="161"/>
  <c r="H292" i="161"/>
  <c r="N291" i="161"/>
  <c r="M291" i="161"/>
  <c r="L291" i="161"/>
  <c r="K291" i="161"/>
  <c r="H291" i="161"/>
  <c r="N290" i="161"/>
  <c r="M290" i="161"/>
  <c r="L290" i="161"/>
  <c r="K290" i="161"/>
  <c r="H290" i="161"/>
  <c r="N289" i="161"/>
  <c r="M289" i="161"/>
  <c r="L289" i="161"/>
  <c r="K289" i="161"/>
  <c r="H289" i="161"/>
  <c r="N288" i="161"/>
  <c r="M288" i="161"/>
  <c r="L288" i="161"/>
  <c r="K288" i="161"/>
  <c r="H288" i="161"/>
  <c r="N287" i="161"/>
  <c r="M287" i="161"/>
  <c r="L287" i="161"/>
  <c r="K287" i="161"/>
  <c r="H287" i="161"/>
  <c r="N286" i="161"/>
  <c r="M286" i="161"/>
  <c r="L286" i="161"/>
  <c r="K286" i="161"/>
  <c r="H286" i="161"/>
  <c r="N285" i="161"/>
  <c r="M285" i="161"/>
  <c r="L285" i="161"/>
  <c r="K285" i="161"/>
  <c r="H285" i="161"/>
  <c r="N284" i="161"/>
  <c r="M284" i="161"/>
  <c r="L284" i="161"/>
  <c r="K284" i="161"/>
  <c r="H284" i="161"/>
  <c r="N283" i="161"/>
  <c r="M283" i="161"/>
  <c r="L283" i="161"/>
  <c r="K283" i="161"/>
  <c r="H283" i="161"/>
  <c r="N282" i="161"/>
  <c r="M282" i="161"/>
  <c r="L282" i="161"/>
  <c r="K282" i="161"/>
  <c r="H282" i="161"/>
  <c r="N281" i="161"/>
  <c r="M281" i="161"/>
  <c r="L281" i="161"/>
  <c r="K281" i="161"/>
  <c r="H281" i="161"/>
  <c r="N280" i="161"/>
  <c r="M280" i="161"/>
  <c r="L280" i="161"/>
  <c r="K280" i="161"/>
  <c r="H280" i="161"/>
  <c r="N279" i="161"/>
  <c r="M279" i="161"/>
  <c r="L279" i="161"/>
  <c r="K279" i="161"/>
  <c r="H279" i="161"/>
  <c r="N278" i="161"/>
  <c r="M278" i="161"/>
  <c r="L278" i="161"/>
  <c r="K278" i="161"/>
  <c r="H278" i="161"/>
  <c r="N277" i="161"/>
  <c r="M277" i="161"/>
  <c r="L277" i="161"/>
  <c r="K277" i="161"/>
  <c r="H277" i="161"/>
  <c r="N276" i="161"/>
  <c r="M276" i="161"/>
  <c r="L276" i="161"/>
  <c r="K276" i="161"/>
  <c r="H276" i="161"/>
  <c r="N275" i="161"/>
  <c r="M275" i="161"/>
  <c r="L275" i="161"/>
  <c r="K275" i="161"/>
  <c r="H275" i="161"/>
  <c r="N274" i="161"/>
  <c r="M274" i="161"/>
  <c r="L274" i="161"/>
  <c r="K274" i="161"/>
  <c r="H274" i="161"/>
  <c r="N273" i="161"/>
  <c r="M273" i="161"/>
  <c r="L273" i="161"/>
  <c r="K273" i="161"/>
  <c r="H273" i="161"/>
  <c r="N272" i="161"/>
  <c r="M272" i="161"/>
  <c r="L272" i="161"/>
  <c r="K272" i="161"/>
  <c r="H272" i="161"/>
  <c r="N271" i="161"/>
  <c r="M271" i="161"/>
  <c r="L271" i="161"/>
  <c r="K271" i="161"/>
  <c r="H271" i="161"/>
  <c r="N270" i="161"/>
  <c r="M270" i="161"/>
  <c r="L270" i="161"/>
  <c r="K270" i="161"/>
  <c r="H270" i="161"/>
  <c r="N269" i="161"/>
  <c r="M269" i="161"/>
  <c r="L269" i="161"/>
  <c r="K269" i="161"/>
  <c r="H269" i="161"/>
  <c r="N268" i="161"/>
  <c r="M268" i="161"/>
  <c r="L268" i="161"/>
  <c r="K268" i="161"/>
  <c r="H268" i="161"/>
  <c r="N267" i="161"/>
  <c r="M267" i="161"/>
  <c r="L267" i="161"/>
  <c r="K267" i="161"/>
  <c r="H267" i="161"/>
  <c r="N266" i="161"/>
  <c r="M266" i="161"/>
  <c r="L266" i="161"/>
  <c r="K266" i="161"/>
  <c r="H266" i="161"/>
  <c r="N265" i="161"/>
  <c r="M265" i="161"/>
  <c r="L265" i="161"/>
  <c r="K265" i="161"/>
  <c r="H265" i="161"/>
  <c r="N264" i="161"/>
  <c r="M264" i="161"/>
  <c r="L264" i="161"/>
  <c r="K264" i="161"/>
  <c r="H264" i="161"/>
  <c r="N263" i="161"/>
  <c r="M263" i="161"/>
  <c r="L263" i="161"/>
  <c r="K263" i="161"/>
  <c r="H263" i="161"/>
  <c r="N262" i="161"/>
  <c r="M262" i="161"/>
  <c r="L262" i="161"/>
  <c r="K262" i="161"/>
  <c r="H262" i="161"/>
  <c r="N261" i="161"/>
  <c r="M261" i="161"/>
  <c r="L261" i="161"/>
  <c r="K261" i="161"/>
  <c r="H261" i="161"/>
  <c r="N260" i="161"/>
  <c r="M260" i="161"/>
  <c r="L260" i="161"/>
  <c r="K260" i="161"/>
  <c r="H260" i="161"/>
  <c r="N259" i="161"/>
  <c r="M259" i="161"/>
  <c r="L259" i="161"/>
  <c r="K259" i="161"/>
  <c r="H259" i="161"/>
  <c r="N258" i="161"/>
  <c r="M258" i="161"/>
  <c r="L258" i="161"/>
  <c r="K258" i="161"/>
  <c r="H258" i="161"/>
  <c r="N257" i="161"/>
  <c r="M257" i="161"/>
  <c r="L257" i="161"/>
  <c r="K257" i="161"/>
  <c r="H257" i="161"/>
  <c r="N256" i="161"/>
  <c r="M256" i="161"/>
  <c r="L256" i="161"/>
  <c r="K256" i="161"/>
  <c r="H256" i="161"/>
  <c r="N255" i="161"/>
  <c r="M255" i="161"/>
  <c r="L255" i="161"/>
  <c r="K255" i="161"/>
  <c r="H255" i="161"/>
  <c r="N254" i="161"/>
  <c r="M254" i="161"/>
  <c r="L254" i="161"/>
  <c r="K254" i="161"/>
  <c r="H254" i="161"/>
  <c r="N253" i="161"/>
  <c r="M253" i="161"/>
  <c r="L253" i="161"/>
  <c r="K253" i="161"/>
  <c r="H253" i="161"/>
  <c r="N252" i="161"/>
  <c r="M252" i="161"/>
  <c r="L252" i="161"/>
  <c r="K252" i="161"/>
  <c r="H252" i="161"/>
  <c r="N251" i="161"/>
  <c r="M251" i="161"/>
  <c r="L251" i="161"/>
  <c r="K251" i="161"/>
  <c r="H251" i="161"/>
  <c r="N250" i="161"/>
  <c r="M250" i="161"/>
  <c r="L250" i="161"/>
  <c r="K250" i="161"/>
  <c r="H250" i="161"/>
  <c r="N249" i="161"/>
  <c r="M249" i="161"/>
  <c r="L249" i="161"/>
  <c r="K249" i="161"/>
  <c r="H249" i="161"/>
  <c r="N248" i="161"/>
  <c r="M248" i="161"/>
  <c r="L248" i="161"/>
  <c r="K248" i="161"/>
  <c r="H248" i="161"/>
  <c r="N247" i="161"/>
  <c r="M247" i="161"/>
  <c r="L247" i="161"/>
  <c r="K247" i="161"/>
  <c r="H247" i="161"/>
  <c r="N246" i="161"/>
  <c r="M246" i="161"/>
  <c r="L246" i="161"/>
  <c r="K246" i="161"/>
  <c r="H246" i="161"/>
  <c r="N245" i="161"/>
  <c r="M245" i="161"/>
  <c r="L245" i="161"/>
  <c r="K245" i="161"/>
  <c r="H245" i="161"/>
  <c r="N244" i="161"/>
  <c r="M244" i="161"/>
  <c r="L244" i="161"/>
  <c r="K244" i="161"/>
  <c r="H244" i="161"/>
  <c r="N243" i="161"/>
  <c r="M243" i="161"/>
  <c r="L243" i="161"/>
  <c r="K243" i="161"/>
  <c r="H243" i="161"/>
  <c r="N242" i="161"/>
  <c r="M242" i="161"/>
  <c r="L242" i="161"/>
  <c r="K242" i="161"/>
  <c r="H242" i="161"/>
  <c r="N241" i="161"/>
  <c r="M241" i="161"/>
  <c r="L241" i="161"/>
  <c r="K241" i="161"/>
  <c r="H241" i="161"/>
  <c r="N240" i="161"/>
  <c r="M240" i="161"/>
  <c r="L240" i="161"/>
  <c r="K240" i="161"/>
  <c r="H240" i="161"/>
  <c r="N239" i="161"/>
  <c r="M239" i="161"/>
  <c r="L239" i="161"/>
  <c r="K239" i="161"/>
  <c r="H239" i="161"/>
  <c r="N238" i="161"/>
  <c r="M238" i="161"/>
  <c r="L238" i="161"/>
  <c r="K238" i="161"/>
  <c r="H238" i="161"/>
  <c r="N237" i="161"/>
  <c r="M237" i="161"/>
  <c r="L237" i="161"/>
  <c r="K237" i="161"/>
  <c r="H237" i="161"/>
  <c r="N236" i="161"/>
  <c r="M236" i="161"/>
  <c r="L236" i="161"/>
  <c r="K236" i="161"/>
  <c r="H236" i="161"/>
  <c r="N235" i="161"/>
  <c r="M235" i="161"/>
  <c r="L235" i="161"/>
  <c r="K235" i="161"/>
  <c r="H235" i="161"/>
  <c r="N234" i="161"/>
  <c r="M234" i="161"/>
  <c r="L234" i="161"/>
  <c r="K234" i="161"/>
  <c r="H234" i="161"/>
  <c r="N233" i="161"/>
  <c r="M233" i="161"/>
  <c r="L233" i="161"/>
  <c r="K233" i="161"/>
  <c r="H233" i="161"/>
  <c r="N232" i="161"/>
  <c r="M232" i="161"/>
  <c r="L232" i="161"/>
  <c r="K232" i="161"/>
  <c r="H232" i="161"/>
  <c r="N231" i="161"/>
  <c r="M231" i="161"/>
  <c r="L231" i="161"/>
  <c r="K231" i="161"/>
  <c r="H231" i="161"/>
  <c r="N230" i="161"/>
  <c r="M230" i="161"/>
  <c r="L230" i="161"/>
  <c r="K230" i="161"/>
  <c r="H230" i="161"/>
  <c r="N229" i="161"/>
  <c r="M229" i="161"/>
  <c r="L229" i="161"/>
  <c r="K229" i="161"/>
  <c r="H229" i="161"/>
  <c r="N228" i="161"/>
  <c r="M228" i="161"/>
  <c r="L228" i="161"/>
  <c r="K228" i="161"/>
  <c r="H228" i="161"/>
  <c r="N227" i="161"/>
  <c r="M227" i="161"/>
  <c r="L227" i="161"/>
  <c r="K227" i="161"/>
  <c r="H227" i="161"/>
  <c r="N226" i="161"/>
  <c r="M226" i="161"/>
  <c r="L226" i="161"/>
  <c r="K226" i="161"/>
  <c r="H226" i="161"/>
  <c r="N225" i="161"/>
  <c r="M225" i="161"/>
  <c r="L225" i="161"/>
  <c r="K225" i="161"/>
  <c r="H225" i="161"/>
  <c r="N224" i="161"/>
  <c r="M224" i="161"/>
  <c r="L224" i="161"/>
  <c r="K224" i="161"/>
  <c r="H224" i="161"/>
  <c r="N223" i="161"/>
  <c r="M223" i="161"/>
  <c r="L223" i="161"/>
  <c r="K223" i="161"/>
  <c r="H223" i="161"/>
  <c r="N222" i="161"/>
  <c r="M222" i="161"/>
  <c r="L222" i="161"/>
  <c r="K222" i="161"/>
  <c r="H222" i="161"/>
  <c r="N221" i="161"/>
  <c r="M221" i="161"/>
  <c r="L221" i="161"/>
  <c r="K221" i="161"/>
  <c r="H221" i="161"/>
  <c r="N220" i="161"/>
  <c r="M220" i="161"/>
  <c r="L220" i="161"/>
  <c r="K220" i="161"/>
  <c r="H220" i="161"/>
  <c r="N219" i="161"/>
  <c r="M219" i="161"/>
  <c r="L219" i="161"/>
  <c r="K219" i="161"/>
  <c r="H219" i="161"/>
  <c r="N218" i="161"/>
  <c r="M218" i="161"/>
  <c r="L218" i="161"/>
  <c r="K218" i="161"/>
  <c r="H218" i="161"/>
  <c r="N217" i="161"/>
  <c r="M217" i="161"/>
  <c r="L217" i="161"/>
  <c r="K217" i="161"/>
  <c r="H217" i="161"/>
  <c r="N216" i="161"/>
  <c r="M216" i="161"/>
  <c r="L216" i="161"/>
  <c r="K216" i="161"/>
  <c r="H216" i="161"/>
  <c r="N215" i="161"/>
  <c r="M215" i="161"/>
  <c r="L215" i="161"/>
  <c r="K215" i="161"/>
  <c r="H215" i="161"/>
  <c r="N214" i="161"/>
  <c r="M214" i="161"/>
  <c r="L214" i="161"/>
  <c r="K214" i="161"/>
  <c r="H214" i="161"/>
  <c r="N213" i="161"/>
  <c r="M213" i="161"/>
  <c r="L213" i="161"/>
  <c r="K213" i="161"/>
  <c r="H213" i="161"/>
  <c r="N212" i="161"/>
  <c r="M212" i="161"/>
  <c r="L212" i="161"/>
  <c r="K212" i="161"/>
  <c r="H212" i="161"/>
  <c r="N211" i="161"/>
  <c r="M211" i="161"/>
  <c r="L211" i="161"/>
  <c r="K211" i="161"/>
  <c r="H211" i="161"/>
  <c r="N210" i="161"/>
  <c r="M210" i="161"/>
  <c r="L210" i="161"/>
  <c r="K210" i="161"/>
  <c r="H210" i="161"/>
  <c r="N209" i="161"/>
  <c r="M209" i="161"/>
  <c r="L209" i="161"/>
  <c r="K209" i="161"/>
  <c r="H209" i="161"/>
  <c r="N208" i="161"/>
  <c r="M208" i="161"/>
  <c r="L208" i="161"/>
  <c r="K208" i="161"/>
  <c r="H208" i="161"/>
  <c r="N207" i="161"/>
  <c r="M207" i="161"/>
  <c r="L207" i="161"/>
  <c r="K207" i="161"/>
  <c r="H207" i="161"/>
  <c r="N206" i="161"/>
  <c r="M206" i="161"/>
  <c r="L206" i="161"/>
  <c r="K206" i="161"/>
  <c r="H206" i="161"/>
  <c r="N205" i="161"/>
  <c r="M205" i="161"/>
  <c r="L205" i="161"/>
  <c r="K205" i="161"/>
  <c r="H205" i="161"/>
  <c r="N204" i="161"/>
  <c r="M204" i="161"/>
  <c r="L204" i="161"/>
  <c r="K204" i="161"/>
  <c r="H204" i="161"/>
  <c r="N203" i="161"/>
  <c r="M203" i="161"/>
  <c r="L203" i="161"/>
  <c r="K203" i="161"/>
  <c r="H203" i="161"/>
  <c r="N202" i="161"/>
  <c r="M202" i="161"/>
  <c r="L202" i="161"/>
  <c r="K202" i="161"/>
  <c r="H202" i="161"/>
  <c r="N201" i="161"/>
  <c r="M201" i="161"/>
  <c r="L201" i="161"/>
  <c r="K201" i="161"/>
  <c r="H201" i="161"/>
  <c r="N200" i="161"/>
  <c r="M200" i="161"/>
  <c r="L200" i="161"/>
  <c r="K200" i="161"/>
  <c r="H200" i="161"/>
  <c r="N199" i="161"/>
  <c r="M199" i="161"/>
  <c r="L199" i="161"/>
  <c r="K199" i="161"/>
  <c r="H199" i="161"/>
  <c r="N198" i="161"/>
  <c r="M198" i="161"/>
  <c r="L198" i="161"/>
  <c r="K198" i="161"/>
  <c r="H198" i="161"/>
  <c r="N197" i="161"/>
  <c r="M197" i="161"/>
  <c r="L197" i="161"/>
  <c r="K197" i="161"/>
  <c r="H197" i="161"/>
  <c r="N196" i="161"/>
  <c r="M196" i="161"/>
  <c r="L196" i="161"/>
  <c r="K196" i="161"/>
  <c r="H196" i="161"/>
  <c r="N195" i="161"/>
  <c r="M195" i="161"/>
  <c r="L195" i="161"/>
  <c r="K195" i="161"/>
  <c r="H195" i="161"/>
  <c r="N194" i="161"/>
  <c r="M194" i="161"/>
  <c r="L194" i="161"/>
  <c r="K194" i="161"/>
  <c r="H194" i="161"/>
  <c r="N193" i="161"/>
  <c r="M193" i="161"/>
  <c r="L193" i="161"/>
  <c r="K193" i="161"/>
  <c r="H193" i="161"/>
  <c r="N192" i="161"/>
  <c r="M192" i="161"/>
  <c r="L192" i="161"/>
  <c r="K192" i="161"/>
  <c r="H192" i="161"/>
  <c r="N191" i="161"/>
  <c r="M191" i="161"/>
  <c r="L191" i="161"/>
  <c r="K191" i="161"/>
  <c r="H191" i="161"/>
  <c r="N190" i="161"/>
  <c r="M190" i="161"/>
  <c r="L190" i="161"/>
  <c r="K190" i="161"/>
  <c r="H190" i="161"/>
  <c r="N189" i="161"/>
  <c r="M189" i="161"/>
  <c r="L189" i="161"/>
  <c r="K189" i="161"/>
  <c r="H189" i="161"/>
  <c r="N188" i="161"/>
  <c r="M188" i="161"/>
  <c r="L188" i="161"/>
  <c r="K188" i="161"/>
  <c r="H188" i="161"/>
  <c r="N187" i="161"/>
  <c r="M187" i="161"/>
  <c r="L187" i="161"/>
  <c r="K187" i="161"/>
  <c r="H187" i="161"/>
  <c r="N186" i="161"/>
  <c r="M186" i="161"/>
  <c r="L186" i="161"/>
  <c r="K186" i="161"/>
  <c r="H186" i="161"/>
  <c r="N185" i="161"/>
  <c r="M185" i="161"/>
  <c r="L185" i="161"/>
  <c r="K185" i="161"/>
  <c r="H185" i="161"/>
  <c r="N184" i="161"/>
  <c r="M184" i="161"/>
  <c r="L184" i="161"/>
  <c r="K184" i="161"/>
  <c r="H184" i="161"/>
  <c r="N183" i="161"/>
  <c r="M183" i="161"/>
  <c r="L183" i="161"/>
  <c r="K183" i="161"/>
  <c r="H183" i="161"/>
  <c r="N182" i="161"/>
  <c r="M182" i="161"/>
  <c r="L182" i="161"/>
  <c r="K182" i="161"/>
  <c r="H182" i="161"/>
  <c r="N181" i="161"/>
  <c r="M181" i="161"/>
  <c r="L181" i="161"/>
  <c r="K181" i="161"/>
  <c r="H181" i="161"/>
  <c r="N180" i="161"/>
  <c r="M180" i="161"/>
  <c r="L180" i="161"/>
  <c r="K180" i="161"/>
  <c r="H180" i="161"/>
  <c r="N179" i="161"/>
  <c r="M179" i="161"/>
  <c r="L179" i="161"/>
  <c r="K179" i="161"/>
  <c r="H179" i="161"/>
  <c r="N178" i="161"/>
  <c r="M178" i="161"/>
  <c r="L178" i="161"/>
  <c r="K178" i="161"/>
  <c r="H178" i="161"/>
  <c r="N177" i="161"/>
  <c r="M177" i="161"/>
  <c r="L177" i="161"/>
  <c r="K177" i="161"/>
  <c r="H177" i="161"/>
  <c r="N176" i="161"/>
  <c r="M176" i="161"/>
  <c r="L176" i="161"/>
  <c r="K176" i="161"/>
  <c r="H176" i="161"/>
  <c r="N175" i="161"/>
  <c r="M175" i="161"/>
  <c r="L175" i="161"/>
  <c r="K175" i="161"/>
  <c r="H175" i="161"/>
  <c r="N174" i="161"/>
  <c r="M174" i="161"/>
  <c r="L174" i="161"/>
  <c r="K174" i="161"/>
  <c r="H174" i="161"/>
  <c r="N173" i="161"/>
  <c r="M173" i="161"/>
  <c r="L173" i="161"/>
  <c r="K173" i="161"/>
  <c r="H173" i="161"/>
  <c r="N172" i="161"/>
  <c r="M172" i="161"/>
  <c r="L172" i="161"/>
  <c r="K172" i="161"/>
  <c r="H172" i="161"/>
  <c r="N171" i="161"/>
  <c r="M171" i="161"/>
  <c r="L171" i="161"/>
  <c r="K171" i="161"/>
  <c r="H171" i="161"/>
  <c r="N170" i="161"/>
  <c r="M170" i="161"/>
  <c r="L170" i="161"/>
  <c r="K170" i="161"/>
  <c r="H170" i="161"/>
  <c r="N169" i="161"/>
  <c r="M169" i="161"/>
  <c r="L169" i="161"/>
  <c r="K169" i="161"/>
  <c r="H169" i="161"/>
  <c r="N168" i="161"/>
  <c r="M168" i="161"/>
  <c r="L168" i="161"/>
  <c r="K168" i="161"/>
  <c r="H168" i="161"/>
  <c r="N167" i="161"/>
  <c r="M167" i="161"/>
  <c r="L167" i="161"/>
  <c r="K167" i="161"/>
  <c r="H167" i="161"/>
  <c r="N166" i="161"/>
  <c r="M166" i="161"/>
  <c r="L166" i="161"/>
  <c r="K166" i="161"/>
  <c r="H166" i="161"/>
  <c r="N165" i="161"/>
  <c r="M165" i="161"/>
  <c r="L165" i="161"/>
  <c r="K165" i="161"/>
  <c r="H165" i="161"/>
  <c r="N164" i="161"/>
  <c r="M164" i="161"/>
  <c r="L164" i="161"/>
  <c r="K164" i="161"/>
  <c r="H164" i="161"/>
  <c r="N163" i="161"/>
  <c r="M163" i="161"/>
  <c r="L163" i="161"/>
  <c r="K163" i="161"/>
  <c r="H163" i="161"/>
  <c r="N162" i="161"/>
  <c r="M162" i="161"/>
  <c r="L162" i="161"/>
  <c r="K162" i="161"/>
  <c r="H162" i="161"/>
  <c r="N161" i="161"/>
  <c r="M161" i="161"/>
  <c r="L161" i="161"/>
  <c r="K161" i="161"/>
  <c r="H161" i="161"/>
  <c r="N160" i="161"/>
  <c r="M160" i="161"/>
  <c r="L160" i="161"/>
  <c r="K160" i="161"/>
  <c r="H160" i="161"/>
  <c r="N159" i="161"/>
  <c r="M159" i="161"/>
  <c r="L159" i="161"/>
  <c r="K159" i="161"/>
  <c r="H159" i="161"/>
  <c r="N158" i="161"/>
  <c r="M158" i="161"/>
  <c r="L158" i="161"/>
  <c r="K158" i="161"/>
  <c r="H158" i="161"/>
  <c r="N157" i="161"/>
  <c r="M157" i="161"/>
  <c r="L157" i="161"/>
  <c r="K157" i="161"/>
  <c r="H157" i="161"/>
  <c r="N156" i="161"/>
  <c r="M156" i="161"/>
  <c r="L156" i="161"/>
  <c r="K156" i="161"/>
  <c r="H156" i="161"/>
  <c r="N155" i="161"/>
  <c r="M155" i="161"/>
  <c r="L155" i="161"/>
  <c r="K155" i="161"/>
  <c r="H155" i="161"/>
  <c r="N154" i="161"/>
  <c r="M154" i="161"/>
  <c r="L154" i="161"/>
  <c r="K154" i="161"/>
  <c r="H154" i="161"/>
  <c r="N153" i="161"/>
  <c r="M153" i="161"/>
  <c r="L153" i="161"/>
  <c r="K153" i="161"/>
  <c r="H153" i="161"/>
  <c r="N152" i="161"/>
  <c r="M152" i="161"/>
  <c r="L152" i="161"/>
  <c r="K152" i="161"/>
  <c r="H152" i="161"/>
  <c r="N151" i="161"/>
  <c r="M151" i="161"/>
  <c r="L151" i="161"/>
  <c r="K151" i="161"/>
  <c r="H151" i="161"/>
  <c r="N150" i="161"/>
  <c r="M150" i="161"/>
  <c r="L150" i="161"/>
  <c r="K150" i="161"/>
  <c r="H150" i="161"/>
  <c r="N149" i="161"/>
  <c r="M149" i="161"/>
  <c r="L149" i="161"/>
  <c r="K149" i="161"/>
  <c r="H149" i="161"/>
  <c r="N148" i="161"/>
  <c r="M148" i="161"/>
  <c r="L148" i="161"/>
  <c r="K148" i="161"/>
  <c r="H148" i="161"/>
  <c r="N147" i="161"/>
  <c r="M147" i="161"/>
  <c r="L147" i="161"/>
  <c r="K147" i="161"/>
  <c r="H147" i="161"/>
  <c r="N146" i="161"/>
  <c r="M146" i="161"/>
  <c r="L146" i="161"/>
  <c r="K146" i="161"/>
  <c r="H146" i="161"/>
  <c r="N145" i="161"/>
  <c r="M145" i="161"/>
  <c r="L145" i="161"/>
  <c r="K145" i="161"/>
  <c r="H145" i="161"/>
  <c r="N144" i="161"/>
  <c r="M144" i="161"/>
  <c r="L144" i="161"/>
  <c r="K144" i="161"/>
  <c r="H144" i="161"/>
  <c r="N143" i="161"/>
  <c r="M143" i="161"/>
  <c r="L143" i="161"/>
  <c r="K143" i="161"/>
  <c r="H143" i="161"/>
  <c r="N142" i="161"/>
  <c r="M142" i="161"/>
  <c r="L142" i="161"/>
  <c r="K142" i="161"/>
  <c r="H142" i="161"/>
  <c r="N141" i="161"/>
  <c r="M141" i="161"/>
  <c r="L141" i="161"/>
  <c r="K141" i="161"/>
  <c r="H141" i="161"/>
  <c r="N140" i="161"/>
  <c r="M140" i="161"/>
  <c r="L140" i="161"/>
  <c r="K140" i="161"/>
  <c r="H140" i="161"/>
  <c r="N139" i="161"/>
  <c r="M139" i="161"/>
  <c r="L139" i="161"/>
  <c r="K139" i="161"/>
  <c r="H139" i="161"/>
  <c r="N138" i="161"/>
  <c r="M138" i="161"/>
  <c r="L138" i="161"/>
  <c r="K138" i="161"/>
  <c r="H138" i="161"/>
  <c r="N137" i="161"/>
  <c r="M137" i="161"/>
  <c r="L137" i="161"/>
  <c r="K137" i="161"/>
  <c r="H137" i="161"/>
  <c r="N136" i="161"/>
  <c r="M136" i="161"/>
  <c r="L136" i="161"/>
  <c r="K136" i="161"/>
  <c r="H136" i="161"/>
  <c r="N135" i="161"/>
  <c r="M135" i="161"/>
  <c r="L135" i="161"/>
  <c r="K135" i="161"/>
  <c r="H135" i="161"/>
  <c r="N134" i="161"/>
  <c r="M134" i="161"/>
  <c r="L134" i="161"/>
  <c r="K134" i="161"/>
  <c r="H134" i="161"/>
  <c r="N133" i="161"/>
  <c r="M133" i="161"/>
  <c r="L133" i="161"/>
  <c r="K133" i="161"/>
  <c r="H133" i="161"/>
  <c r="N132" i="161"/>
  <c r="M132" i="161"/>
  <c r="L132" i="161"/>
  <c r="K132" i="161"/>
  <c r="H132" i="161"/>
  <c r="N131" i="161"/>
  <c r="M131" i="161"/>
  <c r="L131" i="161"/>
  <c r="K131" i="161"/>
  <c r="H131" i="161"/>
  <c r="N130" i="161"/>
  <c r="M130" i="161"/>
  <c r="L130" i="161"/>
  <c r="K130" i="161"/>
  <c r="H130" i="161"/>
  <c r="N129" i="161"/>
  <c r="M129" i="161"/>
  <c r="L129" i="161"/>
  <c r="K129" i="161"/>
  <c r="H129" i="161"/>
  <c r="N128" i="161"/>
  <c r="M128" i="161"/>
  <c r="L128" i="161"/>
  <c r="K128" i="161"/>
  <c r="H128" i="161"/>
  <c r="N127" i="161"/>
  <c r="M127" i="161"/>
  <c r="L127" i="161"/>
  <c r="K127" i="161"/>
  <c r="H127" i="161"/>
  <c r="N126" i="161"/>
  <c r="M126" i="161"/>
  <c r="L126" i="161"/>
  <c r="K126" i="161"/>
  <c r="H126" i="161"/>
  <c r="N125" i="161"/>
  <c r="M125" i="161"/>
  <c r="L125" i="161"/>
  <c r="K125" i="161"/>
  <c r="H125" i="161"/>
  <c r="N124" i="161"/>
  <c r="M124" i="161"/>
  <c r="L124" i="161"/>
  <c r="K124" i="161"/>
  <c r="H124" i="161"/>
  <c r="N123" i="161"/>
  <c r="M123" i="161"/>
  <c r="L123" i="161"/>
  <c r="K123" i="161"/>
  <c r="H123" i="161"/>
  <c r="N122" i="161"/>
  <c r="M122" i="161"/>
  <c r="L122" i="161"/>
  <c r="K122" i="161"/>
  <c r="H122" i="161"/>
  <c r="N121" i="161"/>
  <c r="M121" i="161"/>
  <c r="L121" i="161"/>
  <c r="K121" i="161"/>
  <c r="H121" i="161"/>
  <c r="N120" i="161"/>
  <c r="M120" i="161"/>
  <c r="L120" i="161"/>
  <c r="K120" i="161"/>
  <c r="H120" i="161"/>
  <c r="N119" i="161"/>
  <c r="M119" i="161"/>
  <c r="L119" i="161"/>
  <c r="K119" i="161"/>
  <c r="H119" i="161"/>
  <c r="N118" i="161"/>
  <c r="M118" i="161"/>
  <c r="L118" i="161"/>
  <c r="K118" i="161"/>
  <c r="H118" i="161"/>
  <c r="N117" i="161"/>
  <c r="M117" i="161"/>
  <c r="L117" i="161"/>
  <c r="K117" i="161"/>
  <c r="H117" i="161"/>
  <c r="N116" i="161"/>
  <c r="M116" i="161"/>
  <c r="L116" i="161"/>
  <c r="K116" i="161"/>
  <c r="H116" i="161"/>
  <c r="N115" i="161"/>
  <c r="M115" i="161"/>
  <c r="L115" i="161"/>
  <c r="K115" i="161"/>
  <c r="H115" i="161"/>
  <c r="N114" i="161"/>
  <c r="M114" i="161"/>
  <c r="L114" i="161"/>
  <c r="K114" i="161"/>
  <c r="H114" i="161"/>
  <c r="N113" i="161"/>
  <c r="M113" i="161"/>
  <c r="L113" i="161"/>
  <c r="K113" i="161"/>
  <c r="H113" i="161"/>
  <c r="N112" i="161"/>
  <c r="M112" i="161"/>
  <c r="L112" i="161"/>
  <c r="K112" i="161"/>
  <c r="H112" i="161"/>
  <c r="N111" i="161"/>
  <c r="M111" i="161"/>
  <c r="L111" i="161"/>
  <c r="K111" i="161"/>
  <c r="H111" i="161"/>
  <c r="N110" i="161"/>
  <c r="M110" i="161"/>
  <c r="L110" i="161"/>
  <c r="K110" i="161"/>
  <c r="H110" i="161"/>
  <c r="N109" i="161"/>
  <c r="M109" i="161"/>
  <c r="L109" i="161"/>
  <c r="K109" i="161"/>
  <c r="H109" i="161"/>
  <c r="N108" i="161"/>
  <c r="M108" i="161"/>
  <c r="L108" i="161"/>
  <c r="K108" i="161"/>
  <c r="H108" i="161"/>
  <c r="N107" i="161"/>
  <c r="M107" i="161"/>
  <c r="L107" i="161"/>
  <c r="K107" i="161"/>
  <c r="H107" i="161"/>
  <c r="N106" i="161"/>
  <c r="M106" i="161"/>
  <c r="L106" i="161"/>
  <c r="K106" i="161"/>
  <c r="H106" i="161"/>
  <c r="N105" i="161"/>
  <c r="M105" i="161"/>
  <c r="L105" i="161"/>
  <c r="K105" i="161"/>
  <c r="H105" i="161"/>
  <c r="N104" i="161"/>
  <c r="M104" i="161"/>
  <c r="L104" i="161"/>
  <c r="K104" i="161"/>
  <c r="H104" i="161"/>
  <c r="N103" i="161"/>
  <c r="M103" i="161"/>
  <c r="L103" i="161"/>
  <c r="K103" i="161"/>
  <c r="H103" i="161"/>
  <c r="N102" i="161"/>
  <c r="M102" i="161"/>
  <c r="L102" i="161"/>
  <c r="K102" i="161"/>
  <c r="H102" i="161"/>
  <c r="N101" i="161"/>
  <c r="M101" i="161"/>
  <c r="L101" i="161"/>
  <c r="K101" i="161"/>
  <c r="H101" i="161"/>
  <c r="N100" i="161"/>
  <c r="M100" i="161"/>
  <c r="L100" i="161"/>
  <c r="K100" i="161"/>
  <c r="H100" i="161"/>
  <c r="N99" i="161"/>
  <c r="M99" i="161"/>
  <c r="L99" i="161"/>
  <c r="K99" i="161"/>
  <c r="H99" i="161"/>
  <c r="N98" i="161"/>
  <c r="M98" i="161"/>
  <c r="L98" i="161"/>
  <c r="K98" i="161"/>
  <c r="H98" i="161"/>
  <c r="N97" i="161"/>
  <c r="M97" i="161"/>
  <c r="L97" i="161"/>
  <c r="K97" i="161"/>
  <c r="H97" i="161"/>
  <c r="N96" i="161"/>
  <c r="M96" i="161"/>
  <c r="L96" i="161"/>
  <c r="K96" i="161"/>
  <c r="H96" i="161"/>
  <c r="N95" i="161"/>
  <c r="M95" i="161"/>
  <c r="L95" i="161"/>
  <c r="K95" i="161"/>
  <c r="H95" i="161"/>
  <c r="N94" i="161"/>
  <c r="M94" i="161"/>
  <c r="L94" i="161"/>
  <c r="K94" i="161"/>
  <c r="H94" i="161"/>
  <c r="N93" i="161"/>
  <c r="M93" i="161"/>
  <c r="L93" i="161"/>
  <c r="K93" i="161"/>
  <c r="H93" i="161"/>
  <c r="N92" i="161"/>
  <c r="M92" i="161"/>
  <c r="L92" i="161"/>
  <c r="K92" i="161"/>
  <c r="H92" i="161"/>
  <c r="N91" i="161"/>
  <c r="M91" i="161"/>
  <c r="L91" i="161"/>
  <c r="K91" i="161"/>
  <c r="H91" i="161"/>
  <c r="N90" i="161"/>
  <c r="M90" i="161"/>
  <c r="L90" i="161"/>
  <c r="K90" i="161"/>
  <c r="H90" i="161"/>
  <c r="N89" i="161"/>
  <c r="M89" i="161"/>
  <c r="L89" i="161"/>
  <c r="K89" i="161"/>
  <c r="H89" i="161"/>
  <c r="N88" i="161"/>
  <c r="M88" i="161"/>
  <c r="L88" i="161"/>
  <c r="K88" i="161"/>
  <c r="H88" i="161"/>
  <c r="N87" i="161"/>
  <c r="M87" i="161"/>
  <c r="L87" i="161"/>
  <c r="K87" i="161"/>
  <c r="H87" i="161"/>
  <c r="N86" i="161"/>
  <c r="M86" i="161"/>
  <c r="L86" i="161"/>
  <c r="K86" i="161"/>
  <c r="H86" i="161"/>
  <c r="N85" i="161"/>
  <c r="M85" i="161"/>
  <c r="L85" i="161"/>
  <c r="K85" i="161"/>
  <c r="H85" i="161"/>
  <c r="N84" i="161"/>
  <c r="M84" i="161"/>
  <c r="L84" i="161"/>
  <c r="K84" i="161"/>
  <c r="H84" i="161"/>
  <c r="N83" i="161"/>
  <c r="M83" i="161"/>
  <c r="L83" i="161"/>
  <c r="K83" i="161"/>
  <c r="H83" i="161"/>
  <c r="N82" i="161"/>
  <c r="M82" i="161"/>
  <c r="L82" i="161"/>
  <c r="K82" i="161"/>
  <c r="H82" i="161"/>
  <c r="N81" i="161"/>
  <c r="M81" i="161"/>
  <c r="L81" i="161"/>
  <c r="K81" i="161"/>
  <c r="H81" i="161"/>
  <c r="N80" i="161"/>
  <c r="M80" i="161"/>
  <c r="L80" i="161"/>
  <c r="K80" i="161"/>
  <c r="H80" i="161"/>
  <c r="N79" i="161"/>
  <c r="M79" i="161"/>
  <c r="L79" i="161"/>
  <c r="K79" i="161"/>
  <c r="H79" i="161"/>
  <c r="N78" i="161"/>
  <c r="M78" i="161"/>
  <c r="L78" i="161"/>
  <c r="K78" i="161"/>
  <c r="H78" i="161"/>
  <c r="N77" i="161"/>
  <c r="M77" i="161"/>
  <c r="L77" i="161"/>
  <c r="K77" i="161"/>
  <c r="H77" i="161"/>
  <c r="N76" i="161"/>
  <c r="M76" i="161"/>
  <c r="L76" i="161"/>
  <c r="K76" i="161"/>
  <c r="H76" i="161"/>
  <c r="N75" i="161"/>
  <c r="M75" i="161"/>
  <c r="L75" i="161"/>
  <c r="K75" i="161"/>
  <c r="H75" i="161"/>
  <c r="N74" i="161"/>
  <c r="M74" i="161"/>
  <c r="L74" i="161"/>
  <c r="K74" i="161"/>
  <c r="H74" i="161"/>
  <c r="N73" i="161"/>
  <c r="M73" i="161"/>
  <c r="L73" i="161"/>
  <c r="K73" i="161"/>
  <c r="H73" i="161"/>
  <c r="N72" i="161"/>
  <c r="M72" i="161"/>
  <c r="L72" i="161"/>
  <c r="K72" i="161"/>
  <c r="H72" i="161"/>
  <c r="N71" i="161"/>
  <c r="M71" i="161"/>
  <c r="L71" i="161"/>
  <c r="K71" i="161"/>
  <c r="H71" i="161"/>
  <c r="N70" i="161"/>
  <c r="M70" i="161"/>
  <c r="L70" i="161"/>
  <c r="K70" i="161"/>
  <c r="H70" i="161"/>
  <c r="N69" i="161"/>
  <c r="M69" i="161"/>
  <c r="L69" i="161"/>
  <c r="K69" i="161"/>
  <c r="H69" i="161"/>
  <c r="N68" i="161"/>
  <c r="M68" i="161"/>
  <c r="L68" i="161"/>
  <c r="K68" i="161"/>
  <c r="H68" i="161"/>
  <c r="N67" i="161"/>
  <c r="M67" i="161"/>
  <c r="L67" i="161"/>
  <c r="K67" i="161"/>
  <c r="H67" i="161"/>
  <c r="N66" i="161"/>
  <c r="M66" i="161"/>
  <c r="L66" i="161"/>
  <c r="K66" i="161"/>
  <c r="H66" i="161"/>
  <c r="N65" i="161"/>
  <c r="M65" i="161"/>
  <c r="L65" i="161"/>
  <c r="K65" i="161"/>
  <c r="H65" i="161"/>
  <c r="N64" i="161"/>
  <c r="M64" i="161"/>
  <c r="L64" i="161"/>
  <c r="K64" i="161"/>
  <c r="H64" i="161"/>
  <c r="N63" i="161"/>
  <c r="M63" i="161"/>
  <c r="L63" i="161"/>
  <c r="K63" i="161"/>
  <c r="H63" i="161"/>
  <c r="N62" i="161"/>
  <c r="M62" i="161"/>
  <c r="L62" i="161"/>
  <c r="K62" i="161"/>
  <c r="H62" i="161"/>
  <c r="N61" i="161"/>
  <c r="M61" i="161"/>
  <c r="L61" i="161"/>
  <c r="K61" i="161"/>
  <c r="H61" i="161"/>
  <c r="N60" i="161"/>
  <c r="M60" i="161"/>
  <c r="L60" i="161"/>
  <c r="K60" i="161"/>
  <c r="H60" i="161"/>
  <c r="N59" i="161"/>
  <c r="M59" i="161"/>
  <c r="L59" i="161"/>
  <c r="K59" i="161"/>
  <c r="H59" i="161"/>
  <c r="N58" i="161"/>
  <c r="M58" i="161"/>
  <c r="L58" i="161"/>
  <c r="K58" i="161"/>
  <c r="H58" i="161"/>
  <c r="N57" i="161"/>
  <c r="M57" i="161"/>
  <c r="L57" i="161"/>
  <c r="K57" i="161"/>
  <c r="H57" i="161"/>
  <c r="N56" i="161"/>
  <c r="M56" i="161"/>
  <c r="L56" i="161"/>
  <c r="K56" i="161"/>
  <c r="H56" i="161"/>
  <c r="N55" i="161"/>
  <c r="M55" i="161"/>
  <c r="L55" i="161"/>
  <c r="K55" i="161"/>
  <c r="H55" i="161"/>
  <c r="N54" i="161"/>
  <c r="M54" i="161"/>
  <c r="L54" i="161"/>
  <c r="K54" i="161"/>
  <c r="H54" i="161"/>
  <c r="N53" i="161"/>
  <c r="M53" i="161"/>
  <c r="L53" i="161"/>
  <c r="K53" i="161"/>
  <c r="H53" i="161"/>
  <c r="N52" i="161"/>
  <c r="M52" i="161"/>
  <c r="L52" i="161"/>
  <c r="K52" i="161"/>
  <c r="H52" i="161"/>
  <c r="N51" i="161"/>
  <c r="M51" i="161"/>
  <c r="L51" i="161"/>
  <c r="K51" i="161"/>
  <c r="H51" i="161"/>
  <c r="N50" i="161"/>
  <c r="M50" i="161"/>
  <c r="L50" i="161"/>
  <c r="K50" i="161"/>
  <c r="H50" i="161"/>
  <c r="N49" i="161"/>
  <c r="M49" i="161"/>
  <c r="L49" i="161"/>
  <c r="K49" i="161"/>
  <c r="H49" i="161"/>
  <c r="N48" i="161"/>
  <c r="M48" i="161"/>
  <c r="L48" i="161"/>
  <c r="K48" i="161"/>
  <c r="H48" i="161"/>
  <c r="N47" i="161"/>
  <c r="M47" i="161"/>
  <c r="L47" i="161"/>
  <c r="K47" i="161"/>
  <c r="H47" i="161"/>
  <c r="N46" i="161"/>
  <c r="M46" i="161"/>
  <c r="L46" i="161"/>
  <c r="K46" i="161"/>
  <c r="H46" i="161"/>
  <c r="N45" i="161"/>
  <c r="M45" i="161"/>
  <c r="L45" i="161"/>
  <c r="K45" i="161"/>
  <c r="H45" i="161"/>
  <c r="N44" i="161"/>
  <c r="M44" i="161"/>
  <c r="L44" i="161"/>
  <c r="K44" i="161"/>
  <c r="H44" i="161"/>
  <c r="N43" i="161"/>
  <c r="M43" i="161"/>
  <c r="L43" i="161"/>
  <c r="K43" i="161"/>
  <c r="H43" i="161"/>
  <c r="N42" i="161"/>
  <c r="M42" i="161"/>
  <c r="L42" i="161"/>
  <c r="K42" i="161"/>
  <c r="H42" i="161"/>
  <c r="N41" i="161"/>
  <c r="M41" i="161"/>
  <c r="L41" i="161"/>
  <c r="K41" i="161"/>
  <c r="H41" i="161"/>
  <c r="N40" i="161"/>
  <c r="M40" i="161"/>
  <c r="L40" i="161"/>
  <c r="K40" i="161"/>
  <c r="H40" i="161"/>
  <c r="N39" i="161"/>
  <c r="M39" i="161"/>
  <c r="L39" i="161"/>
  <c r="K39" i="161"/>
  <c r="H39" i="161"/>
  <c r="N38" i="161"/>
  <c r="M38" i="161"/>
  <c r="L38" i="161"/>
  <c r="K38" i="161"/>
  <c r="H38" i="161"/>
  <c r="N37" i="161"/>
  <c r="M37" i="161"/>
  <c r="L37" i="161"/>
  <c r="K37" i="161"/>
  <c r="H37" i="161"/>
  <c r="N36" i="161"/>
  <c r="M36" i="161"/>
  <c r="L36" i="161"/>
  <c r="K36" i="161"/>
  <c r="H36" i="161"/>
  <c r="N35" i="161"/>
  <c r="M35" i="161"/>
  <c r="L35" i="161"/>
  <c r="K35" i="161"/>
  <c r="H35" i="161"/>
  <c r="N34" i="161"/>
  <c r="M34" i="161"/>
  <c r="L34" i="161"/>
  <c r="K34" i="161"/>
  <c r="H34" i="161"/>
  <c r="N33" i="161"/>
  <c r="M33" i="161"/>
  <c r="L33" i="161"/>
  <c r="K33" i="161"/>
  <c r="H33" i="161"/>
  <c r="N32" i="161"/>
  <c r="M32" i="161"/>
  <c r="L32" i="161"/>
  <c r="K32" i="161"/>
  <c r="H32" i="161"/>
  <c r="N31" i="161"/>
  <c r="M31" i="161"/>
  <c r="L31" i="161"/>
  <c r="K31" i="161"/>
  <c r="H31" i="161"/>
  <c r="N30" i="161"/>
  <c r="M30" i="161"/>
  <c r="L30" i="161"/>
  <c r="K30" i="161"/>
  <c r="H30" i="161"/>
  <c r="N29" i="161"/>
  <c r="M29" i="161"/>
  <c r="L29" i="161"/>
  <c r="K29" i="161"/>
  <c r="H29" i="161"/>
  <c r="N28" i="161"/>
  <c r="M28" i="161"/>
  <c r="L28" i="161"/>
  <c r="K28" i="161"/>
  <c r="H28" i="161"/>
  <c r="N27" i="161"/>
  <c r="M27" i="161"/>
  <c r="L27" i="161"/>
  <c r="K27" i="161"/>
  <c r="H27" i="161"/>
  <c r="N26" i="161"/>
  <c r="M26" i="161"/>
  <c r="L26" i="161"/>
  <c r="K26" i="161"/>
  <c r="H26" i="161"/>
  <c r="N25" i="161"/>
  <c r="M25" i="161"/>
  <c r="L25" i="161"/>
  <c r="K25" i="161"/>
  <c r="H25" i="161"/>
  <c r="N24" i="161"/>
  <c r="M24" i="161"/>
  <c r="L24" i="161"/>
  <c r="K24" i="161"/>
  <c r="H24" i="161"/>
  <c r="N23" i="161"/>
  <c r="M23" i="161"/>
  <c r="L23" i="161"/>
  <c r="K23" i="161"/>
  <c r="H23" i="161"/>
  <c r="N22" i="161"/>
  <c r="M22" i="161"/>
  <c r="L22" i="161"/>
  <c r="K22" i="161"/>
  <c r="H22" i="161"/>
  <c r="N21" i="161"/>
  <c r="M21" i="161"/>
  <c r="L21" i="161"/>
  <c r="K21" i="161"/>
  <c r="H21" i="161"/>
  <c r="N20" i="161"/>
  <c r="M20" i="161"/>
  <c r="L20" i="161"/>
  <c r="K20" i="161"/>
  <c r="H20" i="161"/>
  <c r="N19" i="161"/>
  <c r="M19" i="161"/>
  <c r="L19" i="161"/>
  <c r="K19" i="161"/>
  <c r="H19" i="161"/>
  <c r="N18" i="161"/>
  <c r="M18" i="161"/>
  <c r="L18" i="161"/>
  <c r="K18" i="161"/>
  <c r="H18" i="161"/>
  <c r="N17" i="161"/>
  <c r="M17" i="161"/>
  <c r="L17" i="161"/>
  <c r="K17" i="161"/>
  <c r="H17" i="161"/>
  <c r="N16" i="161"/>
  <c r="M16" i="161"/>
  <c r="L16" i="161"/>
  <c r="K16" i="161"/>
  <c r="H16" i="161"/>
  <c r="N15" i="161"/>
  <c r="M15" i="161"/>
  <c r="L15" i="161"/>
  <c r="K15" i="161"/>
  <c r="H15" i="161"/>
  <c r="N14" i="161"/>
  <c r="M14" i="161"/>
  <c r="L14" i="161"/>
  <c r="K14" i="161"/>
  <c r="H14" i="161"/>
  <c r="N13" i="161"/>
  <c r="M13" i="161"/>
  <c r="L13" i="161"/>
  <c r="K13" i="161"/>
  <c r="H13" i="161"/>
  <c r="N12" i="161"/>
  <c r="M12" i="161"/>
  <c r="L12" i="161"/>
  <c r="K12" i="161"/>
  <c r="H12" i="161"/>
  <c r="N11" i="161"/>
  <c r="M11" i="161"/>
  <c r="L11" i="161"/>
  <c r="K11" i="161"/>
  <c r="H11" i="161"/>
  <c r="N10" i="161"/>
  <c r="M10" i="161"/>
  <c r="L10" i="161"/>
  <c r="K10" i="161"/>
  <c r="H10" i="161"/>
  <c r="N9" i="161"/>
  <c r="M9" i="161"/>
  <c r="L9" i="161"/>
  <c r="K9" i="161"/>
  <c r="H9" i="161"/>
  <c r="N8" i="161"/>
  <c r="M8" i="161"/>
  <c r="L8" i="161"/>
  <c r="K8" i="161"/>
  <c r="H8" i="161"/>
  <c r="N7" i="161"/>
  <c r="M7" i="161"/>
  <c r="L7" i="161"/>
  <c r="K7" i="161"/>
  <c r="H7" i="161"/>
  <c r="N6" i="161"/>
  <c r="M6" i="161"/>
  <c r="L6" i="161"/>
  <c r="K6" i="161"/>
  <c r="H6" i="161"/>
  <c r="N5" i="161"/>
  <c r="M5" i="161"/>
  <c r="L5" i="161"/>
  <c r="K5" i="161"/>
  <c r="H5" i="161"/>
  <c r="N4" i="161"/>
  <c r="M4" i="161"/>
  <c r="L4" i="161"/>
  <c r="K4" i="161"/>
  <c r="H4" i="161"/>
  <c r="N3" i="161"/>
  <c r="M3" i="161"/>
  <c r="L3" i="161"/>
  <c r="K3" i="161"/>
  <c r="H3" i="161"/>
  <c r="N2" i="161"/>
  <c r="M2" i="161"/>
  <c r="L2" i="161"/>
  <c r="K2" i="161"/>
  <c r="H2" i="161"/>
  <c r="P138" i="158"/>
  <c r="P139" i="158"/>
  <c r="P140" i="158"/>
  <c r="P141" i="158"/>
  <c r="P2" i="158"/>
  <c r="P3" i="158"/>
  <c r="P4" i="158"/>
  <c r="P5" i="158"/>
  <c r="P6" i="158"/>
  <c r="P7" i="158"/>
  <c r="P8" i="158"/>
  <c r="P9" i="158"/>
  <c r="P10" i="158"/>
  <c r="P11" i="158"/>
  <c r="P12" i="158"/>
  <c r="P13" i="158"/>
  <c r="P14" i="158"/>
  <c r="P15" i="158"/>
  <c r="P16" i="158"/>
  <c r="P17" i="158"/>
  <c r="P18" i="158"/>
  <c r="P19" i="158"/>
  <c r="P20" i="158"/>
  <c r="P21" i="158"/>
  <c r="P22" i="158"/>
  <c r="P23" i="158"/>
  <c r="P24" i="158"/>
  <c r="P25" i="158"/>
  <c r="P26" i="158"/>
  <c r="P27" i="158"/>
  <c r="P28" i="158"/>
  <c r="P29" i="158"/>
  <c r="P30" i="158"/>
  <c r="P31" i="158"/>
  <c r="P32" i="158"/>
  <c r="P33" i="158"/>
  <c r="P34" i="158"/>
  <c r="P35" i="158"/>
  <c r="P36" i="158"/>
  <c r="P37" i="158"/>
  <c r="P38" i="158"/>
  <c r="P39" i="158"/>
  <c r="P40" i="158"/>
  <c r="P41" i="158"/>
  <c r="P42" i="158"/>
  <c r="P43" i="158"/>
  <c r="P44" i="158"/>
  <c r="P45" i="158"/>
  <c r="P46" i="158"/>
  <c r="P47" i="158"/>
  <c r="P48" i="158"/>
  <c r="P49" i="158"/>
  <c r="P50" i="158"/>
  <c r="P51" i="158"/>
  <c r="P52" i="158"/>
  <c r="P53" i="158"/>
  <c r="P54" i="158"/>
  <c r="P55" i="158"/>
  <c r="P56" i="158"/>
  <c r="P57" i="158"/>
  <c r="P58" i="158"/>
  <c r="P59" i="158"/>
  <c r="P60" i="158"/>
  <c r="P61" i="158"/>
  <c r="P62" i="158"/>
  <c r="P63" i="158"/>
  <c r="P64" i="158"/>
  <c r="P65" i="158"/>
  <c r="P66" i="158"/>
  <c r="P67" i="158"/>
  <c r="P68" i="158"/>
  <c r="P69" i="158"/>
  <c r="P70" i="158"/>
  <c r="P71" i="158"/>
  <c r="P72" i="158"/>
  <c r="P73" i="158"/>
  <c r="P74" i="158"/>
  <c r="P75" i="158"/>
  <c r="P76" i="158"/>
  <c r="P77" i="158"/>
  <c r="P78" i="158"/>
  <c r="P79" i="158"/>
  <c r="P80" i="158"/>
  <c r="P81" i="158"/>
  <c r="P82" i="158"/>
  <c r="P83" i="158"/>
  <c r="P84" i="158"/>
  <c r="P85" i="158"/>
  <c r="P86" i="158"/>
  <c r="P87" i="158"/>
  <c r="P88" i="158"/>
  <c r="P89" i="158"/>
  <c r="P90" i="158"/>
  <c r="P91" i="158"/>
  <c r="P92" i="158"/>
  <c r="P93" i="158"/>
  <c r="P94" i="158"/>
  <c r="P95" i="158"/>
  <c r="P96" i="158"/>
  <c r="P97" i="158"/>
  <c r="P98" i="158"/>
  <c r="P99" i="158"/>
  <c r="P100" i="158"/>
  <c r="P101" i="158"/>
  <c r="P102" i="158"/>
  <c r="P103" i="158"/>
  <c r="P104" i="158"/>
  <c r="P105" i="158"/>
  <c r="P106" i="158"/>
  <c r="P107" i="158"/>
  <c r="P108" i="158"/>
  <c r="P109" i="158"/>
  <c r="P110" i="158"/>
  <c r="P111" i="158"/>
  <c r="P112" i="158"/>
  <c r="P113" i="158"/>
  <c r="P114" i="158"/>
  <c r="P115" i="158"/>
  <c r="P116" i="158"/>
  <c r="P117" i="158"/>
  <c r="P118" i="158"/>
  <c r="P119" i="158"/>
  <c r="P120" i="158"/>
  <c r="P121" i="158"/>
  <c r="P122" i="158"/>
  <c r="P123" i="158"/>
  <c r="P124" i="158"/>
  <c r="P125" i="158"/>
  <c r="P126" i="158"/>
  <c r="P127" i="158"/>
  <c r="P128" i="158"/>
  <c r="P129" i="158"/>
  <c r="P130" i="158"/>
  <c r="P131" i="158"/>
  <c r="P132" i="158"/>
  <c r="P133" i="158"/>
  <c r="P134" i="158"/>
  <c r="P135" i="158"/>
  <c r="P136" i="158"/>
  <c r="P137" i="158"/>
  <c r="P142" i="158"/>
  <c r="P143" i="158"/>
  <c r="P144" i="158"/>
  <c r="P145" i="158"/>
  <c r="P146" i="158"/>
  <c r="P147" i="158"/>
  <c r="P148" i="158"/>
  <c r="P149" i="158"/>
  <c r="P150" i="158"/>
  <c r="P151" i="158"/>
  <c r="P152" i="158"/>
  <c r="P153" i="158"/>
  <c r="P154" i="158"/>
  <c r="P155" i="158"/>
  <c r="P156" i="158"/>
  <c r="P157" i="158"/>
  <c r="P158" i="158"/>
  <c r="P159" i="158"/>
  <c r="P160" i="158"/>
  <c r="P161" i="158"/>
  <c r="P162" i="158"/>
  <c r="P163" i="158"/>
  <c r="P164" i="158"/>
  <c r="P165" i="158"/>
  <c r="P166" i="158"/>
  <c r="P167" i="158"/>
  <c r="P168" i="158"/>
  <c r="P169" i="158"/>
  <c r="P170" i="158"/>
  <c r="P171" i="158"/>
  <c r="P172" i="158"/>
  <c r="P173" i="158"/>
  <c r="P174" i="158"/>
  <c r="P175" i="158"/>
  <c r="P176" i="158"/>
  <c r="P177" i="158"/>
  <c r="P178" i="158"/>
  <c r="P179" i="158"/>
  <c r="P180" i="158"/>
  <c r="P181" i="158"/>
  <c r="P182" i="158"/>
  <c r="P183" i="158"/>
  <c r="P184" i="158"/>
  <c r="P185" i="158"/>
  <c r="P186" i="158"/>
  <c r="P187" i="158"/>
  <c r="P188" i="158"/>
  <c r="P189" i="158"/>
  <c r="P190" i="158"/>
  <c r="P191" i="158"/>
  <c r="P192" i="158"/>
  <c r="P193" i="158"/>
  <c r="P194" i="158"/>
  <c r="P195" i="158"/>
  <c r="P196" i="158"/>
  <c r="P197" i="158"/>
  <c r="P198" i="158"/>
  <c r="P199" i="158"/>
  <c r="P200" i="158"/>
  <c r="P201" i="158"/>
  <c r="P202" i="158"/>
  <c r="P203" i="158"/>
  <c r="P204" i="158"/>
  <c r="P205" i="158"/>
  <c r="P206" i="158"/>
  <c r="P207" i="158"/>
  <c r="P208" i="158"/>
  <c r="P209" i="158"/>
  <c r="P210" i="158"/>
  <c r="P211" i="158"/>
  <c r="P212" i="158"/>
  <c r="P213" i="158"/>
  <c r="P214" i="158"/>
  <c r="P215" i="158"/>
  <c r="P216" i="158"/>
  <c r="P217" i="158"/>
  <c r="P218" i="158"/>
  <c r="P219" i="158"/>
  <c r="P220" i="158"/>
  <c r="P221" i="158"/>
  <c r="P222" i="158"/>
  <c r="P223" i="158"/>
  <c r="P224" i="158"/>
  <c r="P225" i="158"/>
  <c r="P226" i="158"/>
  <c r="P227" i="158"/>
  <c r="P228" i="158"/>
  <c r="P229" i="158"/>
  <c r="P230" i="158"/>
  <c r="P231" i="158"/>
  <c r="P232" i="158"/>
  <c r="P233" i="158"/>
  <c r="P234" i="158"/>
  <c r="P235" i="158"/>
  <c r="P236" i="158"/>
  <c r="P237" i="158"/>
  <c r="P238" i="158"/>
  <c r="P239" i="158"/>
  <c r="P240" i="158"/>
  <c r="P241" i="158"/>
  <c r="P242" i="158"/>
  <c r="P243" i="158"/>
  <c r="P244" i="158"/>
  <c r="P245" i="158"/>
  <c r="P246" i="158"/>
  <c r="P247" i="158"/>
  <c r="P248" i="158"/>
  <c r="P249" i="158"/>
  <c r="P250" i="158"/>
  <c r="P251" i="158"/>
  <c r="P252" i="158"/>
  <c r="P253" i="158"/>
  <c r="P254" i="158"/>
  <c r="P255" i="158"/>
  <c r="P256" i="158"/>
  <c r="P257" i="158"/>
  <c r="P258" i="158"/>
  <c r="P259" i="158"/>
  <c r="P260" i="158"/>
  <c r="P261" i="158"/>
  <c r="P262" i="158"/>
  <c r="P263" i="158"/>
  <c r="P264" i="158"/>
  <c r="P265" i="158"/>
  <c r="P266" i="158"/>
  <c r="P267" i="158"/>
  <c r="P268" i="158"/>
  <c r="P269" i="158"/>
  <c r="P270" i="158"/>
  <c r="P271" i="158"/>
  <c r="P272" i="158"/>
  <c r="P273" i="158"/>
  <c r="P274" i="158"/>
  <c r="P275" i="158"/>
  <c r="P276" i="158"/>
  <c r="P277" i="158"/>
  <c r="P278" i="158"/>
  <c r="P279" i="158"/>
  <c r="P280" i="158"/>
  <c r="P281" i="158"/>
  <c r="P282" i="158"/>
  <c r="P283" i="158"/>
  <c r="P284" i="158"/>
  <c r="P285" i="158"/>
  <c r="P286" i="158"/>
  <c r="P287" i="158"/>
  <c r="P288" i="158"/>
  <c r="P289" i="158"/>
  <c r="P290" i="158"/>
  <c r="P291" i="158"/>
  <c r="P292" i="158"/>
  <c r="P293" i="158"/>
  <c r="P294" i="158"/>
  <c r="P295" i="158"/>
  <c r="P296" i="158"/>
  <c r="P297" i="158"/>
  <c r="P298" i="158"/>
  <c r="P299" i="158"/>
  <c r="P300" i="158"/>
  <c r="P301" i="158"/>
  <c r="P302" i="158"/>
  <c r="P303" i="158"/>
  <c r="P304" i="158"/>
  <c r="G40" i="160"/>
  <c r="B5" i="160"/>
  <c r="B10" i="160"/>
  <c r="B6" i="160"/>
  <c r="C19" i="160"/>
  <c r="C20" i="160"/>
  <c r="C21" i="160"/>
  <c r="C22" i="160"/>
  <c r="C23" i="160"/>
  <c r="C24" i="160"/>
  <c r="C25" i="160"/>
  <c r="C26" i="160"/>
  <c r="C27" i="160"/>
  <c r="C28" i="160"/>
  <c r="C29" i="160"/>
  <c r="C30" i="160"/>
  <c r="C31" i="160"/>
  <c r="C32" i="160"/>
  <c r="G31" i="160"/>
  <c r="H31" i="160"/>
  <c r="I31" i="160"/>
  <c r="J31" i="160"/>
  <c r="F31" i="160"/>
  <c r="D31" i="160"/>
  <c r="G30" i="160"/>
  <c r="H30" i="160"/>
  <c r="I30" i="160"/>
  <c r="J30" i="160"/>
  <c r="F30" i="160"/>
  <c r="D30" i="160"/>
  <c r="I29" i="160"/>
  <c r="J29" i="160"/>
  <c r="F29" i="160"/>
  <c r="D29" i="160"/>
  <c r="I28" i="160"/>
  <c r="J28" i="160"/>
  <c r="F28" i="160"/>
  <c r="D28" i="160"/>
  <c r="I27" i="160"/>
  <c r="J27" i="160"/>
  <c r="F27" i="160"/>
  <c r="D27" i="160"/>
  <c r="I26" i="160"/>
  <c r="J26" i="160"/>
  <c r="F26" i="160"/>
  <c r="D26" i="160"/>
  <c r="I25" i="160"/>
  <c r="J25" i="160"/>
  <c r="F25" i="160"/>
  <c r="D25" i="160"/>
  <c r="I24" i="160"/>
  <c r="J24" i="160"/>
  <c r="F24" i="160"/>
  <c r="D24" i="160"/>
  <c r="I23" i="160"/>
  <c r="J23" i="160"/>
  <c r="F23" i="160"/>
  <c r="D23" i="160"/>
  <c r="I22" i="160"/>
  <c r="J22" i="160"/>
  <c r="F22" i="160"/>
  <c r="D22" i="160"/>
  <c r="R20" i="160"/>
  <c r="P20" i="160"/>
  <c r="O20" i="160"/>
  <c r="M20" i="160"/>
  <c r="I20" i="160"/>
  <c r="J20" i="160"/>
  <c r="F20" i="160"/>
  <c r="D20" i="160"/>
  <c r="R19" i="160"/>
  <c r="P19" i="160"/>
  <c r="O19" i="160"/>
  <c r="M19" i="160"/>
  <c r="I19" i="160"/>
  <c r="J19" i="160"/>
  <c r="F19" i="160"/>
  <c r="D19" i="160"/>
  <c r="R18" i="160"/>
  <c r="P18" i="160"/>
  <c r="O18" i="160"/>
  <c r="M18" i="160"/>
  <c r="I18" i="160"/>
  <c r="J18" i="160"/>
  <c r="F18" i="160"/>
  <c r="C18" i="160"/>
  <c r="D18" i="160"/>
  <c r="R17" i="160"/>
  <c r="P17" i="160"/>
  <c r="O17" i="160"/>
  <c r="M17" i="160"/>
  <c r="I17" i="160"/>
  <c r="J17" i="160"/>
  <c r="F17" i="160"/>
  <c r="C17" i="160"/>
  <c r="D17" i="160"/>
  <c r="V16" i="160"/>
  <c r="R16" i="160"/>
  <c r="P16" i="160"/>
  <c r="O16" i="160"/>
  <c r="M16" i="160"/>
  <c r="V15" i="160"/>
  <c r="R15" i="160"/>
  <c r="P15" i="160"/>
  <c r="O15" i="160"/>
  <c r="M15" i="160"/>
  <c r="V14" i="160"/>
  <c r="R14" i="160"/>
  <c r="P14" i="160"/>
  <c r="O14" i="160"/>
  <c r="M14" i="160"/>
  <c r="V13" i="160"/>
  <c r="R13" i="160"/>
  <c r="P13" i="160"/>
  <c r="O13" i="160"/>
  <c r="M13" i="160"/>
  <c r="V12" i="160"/>
  <c r="R12" i="160"/>
  <c r="P12" i="160"/>
  <c r="O12" i="160"/>
  <c r="M12" i="160"/>
  <c r="V11" i="160"/>
  <c r="R11" i="160"/>
  <c r="P11" i="160"/>
  <c r="O11" i="160"/>
  <c r="M11" i="160"/>
  <c r="V10" i="160"/>
  <c r="R10" i="160"/>
  <c r="P10" i="160"/>
  <c r="O10" i="160"/>
  <c r="M10" i="160"/>
  <c r="V9" i="160"/>
  <c r="R9" i="160"/>
  <c r="P9" i="160"/>
  <c r="O9" i="160"/>
  <c r="M9" i="160"/>
  <c r="V8" i="160"/>
  <c r="R8" i="160"/>
  <c r="P8" i="160"/>
  <c r="O8" i="160"/>
  <c r="M8" i="160"/>
  <c r="V7" i="160"/>
  <c r="R7" i="160"/>
  <c r="P7" i="160"/>
  <c r="O7" i="160"/>
  <c r="M7" i="160"/>
  <c r="V6" i="160"/>
  <c r="R6" i="160"/>
  <c r="P6" i="160"/>
  <c r="O6" i="160"/>
  <c r="M6" i="160"/>
  <c r="V5" i="160"/>
  <c r="R5" i="160"/>
  <c r="P5" i="160"/>
  <c r="O5" i="160"/>
  <c r="M5" i="160"/>
  <c r="V4" i="160"/>
  <c r="R4" i="160"/>
  <c r="P4" i="160"/>
  <c r="O4" i="160"/>
  <c r="M4" i="160"/>
  <c r="V3" i="160"/>
  <c r="R3" i="160"/>
  <c r="P3" i="160"/>
  <c r="O3" i="160"/>
  <c r="M3" i="160"/>
  <c r="V2" i="160"/>
  <c r="O2" i="159"/>
  <c r="O3" i="159"/>
  <c r="P6" i="159"/>
  <c r="N6" i="159"/>
  <c r="M6" i="159"/>
  <c r="L6" i="159"/>
  <c r="K6" i="159"/>
  <c r="J6" i="159"/>
  <c r="H6" i="159"/>
  <c r="F6" i="159"/>
  <c r="C6" i="159"/>
  <c r="A6" i="159"/>
  <c r="P5" i="159"/>
  <c r="N5" i="159"/>
  <c r="M5" i="159"/>
  <c r="L5" i="159"/>
  <c r="K5" i="159"/>
  <c r="J5" i="159"/>
  <c r="H5" i="159"/>
  <c r="F5" i="159"/>
  <c r="C5" i="159"/>
  <c r="A5" i="159"/>
  <c r="P4" i="159"/>
  <c r="N4" i="159"/>
  <c r="M4" i="159"/>
  <c r="L4" i="159"/>
  <c r="K4" i="159"/>
  <c r="J4" i="159"/>
  <c r="H4" i="159"/>
  <c r="F4" i="159"/>
  <c r="C4" i="159"/>
  <c r="A4" i="159"/>
  <c r="P3" i="159"/>
  <c r="N3" i="159"/>
  <c r="M3" i="159"/>
  <c r="L3" i="159"/>
  <c r="K3" i="159"/>
  <c r="J3" i="159"/>
  <c r="H3" i="159"/>
  <c r="F3" i="159"/>
  <c r="C3" i="159"/>
  <c r="A3" i="159"/>
  <c r="P2" i="159"/>
  <c r="N2" i="159"/>
  <c r="M2" i="159"/>
  <c r="L2" i="159"/>
  <c r="K2" i="159"/>
  <c r="J2" i="159"/>
  <c r="H2" i="159"/>
  <c r="F2" i="159"/>
  <c r="C2" i="159"/>
  <c r="A2" i="159"/>
  <c r="A300" i="154"/>
  <c r="F300" i="154"/>
  <c r="H300" i="154"/>
  <c r="K300" i="154"/>
  <c r="L300" i="154"/>
  <c r="M300" i="154"/>
  <c r="N300" i="154"/>
  <c r="F301" i="154"/>
  <c r="F302" i="154"/>
  <c r="F303" i="154"/>
  <c r="F304" i="154"/>
  <c r="R5" i="153"/>
  <c r="R3" i="153"/>
  <c r="R4" i="153"/>
  <c r="R6" i="153"/>
  <c r="R7" i="153"/>
  <c r="A301" i="154"/>
  <c r="H301" i="154"/>
  <c r="K301" i="154"/>
  <c r="L301" i="154"/>
  <c r="M301" i="154"/>
  <c r="N301" i="154"/>
  <c r="A302" i="154"/>
  <c r="H302" i="154"/>
  <c r="K302" i="154"/>
  <c r="L302" i="154"/>
  <c r="M302" i="154"/>
  <c r="N302" i="154"/>
  <c r="A303" i="154"/>
  <c r="H303" i="154"/>
  <c r="K303" i="154"/>
  <c r="L303" i="154"/>
  <c r="M303" i="154"/>
  <c r="N303" i="154"/>
  <c r="H304" i="154"/>
  <c r="K304" i="154"/>
  <c r="L304" i="154"/>
  <c r="M304" i="154"/>
  <c r="N304" i="154"/>
  <c r="A300" i="158"/>
  <c r="F300" i="158"/>
  <c r="H300" i="158"/>
  <c r="K300" i="158"/>
  <c r="L300" i="158"/>
  <c r="M300" i="158"/>
  <c r="N300" i="158"/>
  <c r="F301" i="158"/>
  <c r="F302" i="158"/>
  <c r="F303" i="158"/>
  <c r="F304" i="158"/>
  <c r="R3" i="157"/>
  <c r="R4" i="157"/>
  <c r="R5" i="157"/>
  <c r="R6" i="157"/>
  <c r="R7" i="157"/>
  <c r="A301" i="158"/>
  <c r="H301" i="158"/>
  <c r="K301" i="158"/>
  <c r="L301" i="158"/>
  <c r="M301" i="158"/>
  <c r="N301" i="158"/>
  <c r="A302" i="158"/>
  <c r="H302" i="158"/>
  <c r="K302" i="158"/>
  <c r="L302" i="158"/>
  <c r="M302" i="158"/>
  <c r="N302" i="158"/>
  <c r="A303" i="158"/>
  <c r="H303" i="158"/>
  <c r="K303" i="158"/>
  <c r="L303" i="158"/>
  <c r="M303" i="158"/>
  <c r="N303" i="158"/>
  <c r="A304" i="158"/>
  <c r="H304" i="158"/>
  <c r="K304" i="158"/>
  <c r="L304" i="158"/>
  <c r="M304" i="158"/>
  <c r="N304" i="158"/>
  <c r="A295" i="154"/>
  <c r="F295" i="154"/>
  <c r="H295" i="154"/>
  <c r="K295" i="154"/>
  <c r="L295" i="154"/>
  <c r="M295" i="154"/>
  <c r="N295" i="154"/>
  <c r="F296" i="154"/>
  <c r="F297" i="154"/>
  <c r="F298" i="154"/>
  <c r="F299" i="154"/>
  <c r="A296" i="154"/>
  <c r="H296" i="154"/>
  <c r="K296" i="154"/>
  <c r="L296" i="154"/>
  <c r="M296" i="154"/>
  <c r="N296" i="154"/>
  <c r="A297" i="154"/>
  <c r="H297" i="154"/>
  <c r="K297" i="154"/>
  <c r="L297" i="154"/>
  <c r="M297" i="154"/>
  <c r="N297" i="154"/>
  <c r="A298" i="154"/>
  <c r="H298" i="154"/>
  <c r="K298" i="154"/>
  <c r="L298" i="154"/>
  <c r="M298" i="154"/>
  <c r="N298" i="154"/>
  <c r="A299" i="154"/>
  <c r="H299" i="154"/>
  <c r="K299" i="154"/>
  <c r="L299" i="154"/>
  <c r="M299" i="154"/>
  <c r="N299" i="154"/>
  <c r="A295" i="158"/>
  <c r="F295" i="158"/>
  <c r="H295" i="158"/>
  <c r="K295" i="158"/>
  <c r="L295" i="158"/>
  <c r="M295" i="158"/>
  <c r="N295" i="158"/>
  <c r="F296" i="158"/>
  <c r="F297" i="158"/>
  <c r="F298" i="158"/>
  <c r="F299" i="158"/>
  <c r="A296" i="158"/>
  <c r="H296" i="158"/>
  <c r="K296" i="158"/>
  <c r="L296" i="158"/>
  <c r="M296" i="158"/>
  <c r="N296" i="158"/>
  <c r="A297" i="158"/>
  <c r="H297" i="158"/>
  <c r="K297" i="158"/>
  <c r="L297" i="158"/>
  <c r="M297" i="158"/>
  <c r="N297" i="158"/>
  <c r="A298" i="158"/>
  <c r="H298" i="158"/>
  <c r="K298" i="158"/>
  <c r="L298" i="158"/>
  <c r="M298" i="158"/>
  <c r="N298" i="158"/>
  <c r="A299" i="158"/>
  <c r="H299" i="158"/>
  <c r="K299" i="158"/>
  <c r="L299" i="158"/>
  <c r="M299" i="158"/>
  <c r="N299" i="158"/>
  <c r="C19" i="157"/>
  <c r="C20" i="157"/>
  <c r="C21" i="157"/>
  <c r="C22" i="157"/>
  <c r="C23" i="157"/>
  <c r="C24" i="157"/>
  <c r="C25" i="157"/>
  <c r="C26" i="157"/>
  <c r="C27" i="157"/>
  <c r="C28" i="157"/>
  <c r="C29" i="157"/>
  <c r="C30" i="157"/>
  <c r="C31" i="157"/>
  <c r="C32" i="157"/>
  <c r="F2" i="154"/>
  <c r="F3" i="154"/>
  <c r="F4" i="154"/>
  <c r="F5" i="154"/>
  <c r="F6" i="154"/>
  <c r="F7" i="154"/>
  <c r="F8" i="154"/>
  <c r="F9" i="154"/>
  <c r="F10" i="154"/>
  <c r="F11" i="154"/>
  <c r="F12" i="154"/>
  <c r="F13" i="154"/>
  <c r="F14" i="154"/>
  <c r="F15" i="154"/>
  <c r="F16" i="154"/>
  <c r="F17" i="154"/>
  <c r="F18" i="154"/>
  <c r="F19" i="154"/>
  <c r="F20" i="154"/>
  <c r="F21" i="154"/>
  <c r="F22" i="154"/>
  <c r="F23" i="154"/>
  <c r="F24" i="154"/>
  <c r="F25" i="154"/>
  <c r="F26" i="154"/>
  <c r="F27" i="154"/>
  <c r="F28" i="154"/>
  <c r="F29" i="154"/>
  <c r="F30" i="154"/>
  <c r="F31" i="154"/>
  <c r="F32" i="154"/>
  <c r="F33" i="154"/>
  <c r="F34" i="154"/>
  <c r="F35" i="154"/>
  <c r="F36" i="154"/>
  <c r="F37" i="154"/>
  <c r="F38" i="154"/>
  <c r="F39" i="154"/>
  <c r="F40" i="154"/>
  <c r="F41" i="154"/>
  <c r="F42" i="154"/>
  <c r="F43" i="154"/>
  <c r="F44" i="154"/>
  <c r="F45" i="154"/>
  <c r="F46" i="154"/>
  <c r="F47" i="154"/>
  <c r="F48" i="154"/>
  <c r="F49" i="154"/>
  <c r="F50" i="154"/>
  <c r="F51" i="154"/>
  <c r="F52" i="154"/>
  <c r="F53" i="154"/>
  <c r="F54" i="154"/>
  <c r="F55" i="154"/>
  <c r="F56" i="154"/>
  <c r="F57" i="154"/>
  <c r="F58" i="154"/>
  <c r="F59" i="154"/>
  <c r="F60" i="154"/>
  <c r="F61" i="154"/>
  <c r="F62" i="154"/>
  <c r="F63" i="154"/>
  <c r="F64" i="154"/>
  <c r="F65" i="154"/>
  <c r="F66" i="154"/>
  <c r="F67" i="154"/>
  <c r="F68" i="154"/>
  <c r="F69" i="154"/>
  <c r="F70" i="154"/>
  <c r="F71" i="154"/>
  <c r="F72" i="154"/>
  <c r="F73" i="154"/>
  <c r="F74" i="154"/>
  <c r="F75" i="154"/>
  <c r="F76" i="154"/>
  <c r="F77" i="154"/>
  <c r="F78" i="154"/>
  <c r="F79" i="154"/>
  <c r="F80" i="154"/>
  <c r="F81" i="154"/>
  <c r="F82" i="154"/>
  <c r="F83" i="154"/>
  <c r="F84" i="154"/>
  <c r="F85" i="154"/>
  <c r="F86" i="154"/>
  <c r="F87" i="154"/>
  <c r="F88" i="154"/>
  <c r="F89" i="154"/>
  <c r="F90" i="154"/>
  <c r="F91" i="154"/>
  <c r="F92" i="154"/>
  <c r="F93" i="154"/>
  <c r="F94" i="154"/>
  <c r="F95" i="154"/>
  <c r="F96" i="154"/>
  <c r="F97" i="154"/>
  <c r="F98" i="154"/>
  <c r="F99" i="154"/>
  <c r="F100" i="154"/>
  <c r="F101" i="154"/>
  <c r="F102" i="154"/>
  <c r="F103" i="154"/>
  <c r="F104" i="154"/>
  <c r="F105" i="154"/>
  <c r="F106" i="154"/>
  <c r="F107" i="154"/>
  <c r="F108" i="154"/>
  <c r="F109" i="154"/>
  <c r="F110" i="154"/>
  <c r="F111" i="154"/>
  <c r="F112" i="154"/>
  <c r="F113" i="154"/>
  <c r="F114" i="154"/>
  <c r="F115" i="154"/>
  <c r="F116" i="154"/>
  <c r="F117" i="154"/>
  <c r="F118" i="154"/>
  <c r="F119" i="154"/>
  <c r="F120" i="154"/>
  <c r="F121" i="154"/>
  <c r="F122" i="154"/>
  <c r="F123" i="154"/>
  <c r="F124" i="154"/>
  <c r="F125" i="154"/>
  <c r="F126" i="154"/>
  <c r="F127" i="154"/>
  <c r="F128" i="154"/>
  <c r="F129" i="154"/>
  <c r="F130" i="154"/>
  <c r="F131" i="154"/>
  <c r="F132" i="154"/>
  <c r="F133" i="154"/>
  <c r="F134" i="154"/>
  <c r="F135" i="154"/>
  <c r="F136" i="154"/>
  <c r="F137" i="154"/>
  <c r="F138" i="154"/>
  <c r="F139" i="154"/>
  <c r="F140" i="154"/>
  <c r="F141" i="154"/>
  <c r="F142" i="154"/>
  <c r="F143" i="154"/>
  <c r="F144" i="154"/>
  <c r="F145" i="154"/>
  <c r="F146" i="154"/>
  <c r="F147" i="154"/>
  <c r="F148" i="154"/>
  <c r="F149" i="154"/>
  <c r="F150" i="154"/>
  <c r="F151" i="154"/>
  <c r="F152" i="154"/>
  <c r="F153" i="154"/>
  <c r="F154" i="154"/>
  <c r="F155" i="154"/>
  <c r="F156" i="154"/>
  <c r="F157" i="154"/>
  <c r="F158" i="154"/>
  <c r="F159" i="154"/>
  <c r="F160" i="154"/>
  <c r="F161" i="154"/>
  <c r="F162" i="154"/>
  <c r="F163" i="154"/>
  <c r="F164" i="154"/>
  <c r="F165" i="154"/>
  <c r="F166" i="154"/>
  <c r="F167" i="154"/>
  <c r="F168" i="154"/>
  <c r="F169" i="154"/>
  <c r="F170" i="154"/>
  <c r="F171" i="154"/>
  <c r="F172" i="154"/>
  <c r="F173" i="154"/>
  <c r="F174" i="154"/>
  <c r="F175" i="154"/>
  <c r="F176" i="154"/>
  <c r="F177" i="154"/>
  <c r="F178" i="154"/>
  <c r="F179" i="154"/>
  <c r="F180" i="154"/>
  <c r="F181" i="154"/>
  <c r="F182" i="154"/>
  <c r="F183" i="154"/>
  <c r="F184" i="154"/>
  <c r="F185" i="154"/>
  <c r="F186" i="154"/>
  <c r="F187" i="154"/>
  <c r="F188" i="154"/>
  <c r="F189" i="154"/>
  <c r="F190" i="154"/>
  <c r="F191" i="154"/>
  <c r="F192" i="154"/>
  <c r="F193" i="154"/>
  <c r="F194" i="154"/>
  <c r="F195" i="154"/>
  <c r="F196" i="154"/>
  <c r="F197" i="154"/>
  <c r="F198" i="154"/>
  <c r="F199" i="154"/>
  <c r="F200" i="154"/>
  <c r="F201" i="154"/>
  <c r="F202" i="154"/>
  <c r="F203" i="154"/>
  <c r="F204" i="154"/>
  <c r="F205" i="154"/>
  <c r="F206" i="154"/>
  <c r="F207" i="154"/>
  <c r="F208" i="154"/>
  <c r="F209" i="154"/>
  <c r="F210" i="154"/>
  <c r="F211" i="154"/>
  <c r="F212" i="154"/>
  <c r="F213" i="154"/>
  <c r="F214" i="154"/>
  <c r="F215" i="154"/>
  <c r="F216" i="154"/>
  <c r="F217" i="154"/>
  <c r="F218" i="154"/>
  <c r="F219" i="154"/>
  <c r="F220" i="154"/>
  <c r="F221" i="154"/>
  <c r="F222" i="154"/>
  <c r="F223" i="154"/>
  <c r="F224" i="154"/>
  <c r="F225" i="154"/>
  <c r="F226" i="154"/>
  <c r="F227" i="154"/>
  <c r="F228" i="154"/>
  <c r="F229" i="154"/>
  <c r="F230" i="154"/>
  <c r="F231" i="154"/>
  <c r="F232" i="154"/>
  <c r="F233" i="154"/>
  <c r="F234" i="154"/>
  <c r="F235" i="154"/>
  <c r="F236" i="154"/>
  <c r="F237" i="154"/>
  <c r="F238" i="154"/>
  <c r="F239" i="154"/>
  <c r="F240" i="154"/>
  <c r="F241" i="154"/>
  <c r="F242" i="154"/>
  <c r="F243" i="154"/>
  <c r="F244" i="154"/>
  <c r="F245" i="154"/>
  <c r="F246" i="154"/>
  <c r="F247" i="154"/>
  <c r="F248" i="154"/>
  <c r="F249" i="154"/>
  <c r="F250" i="154"/>
  <c r="F251" i="154"/>
  <c r="F252" i="154"/>
  <c r="F253" i="154"/>
  <c r="F254" i="154"/>
  <c r="F255" i="154"/>
  <c r="F256" i="154"/>
  <c r="F257" i="154"/>
  <c r="F258" i="154"/>
  <c r="F259" i="154"/>
  <c r="F260" i="154"/>
  <c r="F261" i="154"/>
  <c r="F262" i="154"/>
  <c r="F263" i="154"/>
  <c r="F264" i="154"/>
  <c r="F265" i="154"/>
  <c r="F266" i="154"/>
  <c r="F267" i="154"/>
  <c r="F268" i="154"/>
  <c r="F269" i="154"/>
  <c r="F270" i="154"/>
  <c r="F271" i="154"/>
  <c r="F272" i="154"/>
  <c r="F273" i="154"/>
  <c r="F274" i="154"/>
  <c r="F275" i="154"/>
  <c r="F276" i="154"/>
  <c r="F277" i="154"/>
  <c r="F278" i="154"/>
  <c r="F279" i="154"/>
  <c r="F280" i="154"/>
  <c r="F281" i="154"/>
  <c r="F282" i="154"/>
  <c r="F283" i="154"/>
  <c r="F284" i="154"/>
  <c r="F285" i="154"/>
  <c r="F286" i="154"/>
  <c r="F287" i="154"/>
  <c r="F288" i="154"/>
  <c r="F289" i="154"/>
  <c r="F290" i="154"/>
  <c r="F291" i="154"/>
  <c r="F292" i="154"/>
  <c r="F293" i="154"/>
  <c r="F294" i="154"/>
  <c r="F2" i="158"/>
  <c r="F3" i="158"/>
  <c r="F4" i="158"/>
  <c r="F5" i="158"/>
  <c r="F6" i="158"/>
  <c r="F7" i="158"/>
  <c r="F8" i="158"/>
  <c r="F9" i="158"/>
  <c r="F10" i="158"/>
  <c r="F11" i="158"/>
  <c r="F12" i="158"/>
  <c r="F13" i="158"/>
  <c r="F14" i="158"/>
  <c r="F15" i="158"/>
  <c r="F16" i="158"/>
  <c r="F17" i="158"/>
  <c r="F18" i="158"/>
  <c r="F19" i="158"/>
  <c r="F20" i="158"/>
  <c r="F21" i="158"/>
  <c r="F22" i="158"/>
  <c r="F23" i="158"/>
  <c r="F24" i="158"/>
  <c r="F25" i="158"/>
  <c r="F26" i="158"/>
  <c r="F27" i="158"/>
  <c r="F28" i="158"/>
  <c r="F29" i="158"/>
  <c r="F30" i="158"/>
  <c r="F31" i="158"/>
  <c r="F32" i="158"/>
  <c r="F33" i="158"/>
  <c r="F34" i="158"/>
  <c r="F35" i="158"/>
  <c r="F36" i="158"/>
  <c r="F37" i="158"/>
  <c r="F38" i="158"/>
  <c r="F39" i="158"/>
  <c r="F40" i="158"/>
  <c r="F41" i="158"/>
  <c r="F42" i="158"/>
  <c r="F43" i="158"/>
  <c r="F44" i="158"/>
  <c r="F45" i="158"/>
  <c r="F46" i="158"/>
  <c r="F47" i="158"/>
  <c r="F48" i="158"/>
  <c r="F49" i="158"/>
  <c r="F50" i="158"/>
  <c r="F51" i="158"/>
  <c r="F52" i="158"/>
  <c r="F53" i="158"/>
  <c r="F54" i="158"/>
  <c r="F55" i="158"/>
  <c r="F56" i="158"/>
  <c r="F57" i="158"/>
  <c r="F58" i="158"/>
  <c r="F59" i="158"/>
  <c r="F60" i="158"/>
  <c r="F61" i="158"/>
  <c r="F62" i="158"/>
  <c r="F63" i="158"/>
  <c r="F64" i="158"/>
  <c r="F65" i="158"/>
  <c r="F66" i="158"/>
  <c r="F67" i="158"/>
  <c r="F68" i="158"/>
  <c r="F69" i="158"/>
  <c r="F70" i="158"/>
  <c r="F71" i="158"/>
  <c r="F72" i="158"/>
  <c r="F73" i="158"/>
  <c r="F74" i="158"/>
  <c r="F75" i="158"/>
  <c r="F76" i="158"/>
  <c r="F77" i="158"/>
  <c r="F78" i="158"/>
  <c r="F79" i="158"/>
  <c r="F80" i="158"/>
  <c r="F81" i="158"/>
  <c r="F82" i="158"/>
  <c r="F83" i="158"/>
  <c r="F84" i="158"/>
  <c r="F85" i="158"/>
  <c r="F86" i="158"/>
  <c r="F87" i="158"/>
  <c r="F88" i="158"/>
  <c r="F89" i="158"/>
  <c r="F90" i="158"/>
  <c r="F91" i="158"/>
  <c r="F92" i="158"/>
  <c r="F93" i="158"/>
  <c r="F94" i="158"/>
  <c r="F95" i="158"/>
  <c r="F96" i="158"/>
  <c r="F97" i="158"/>
  <c r="F98" i="158"/>
  <c r="F99" i="158"/>
  <c r="F100" i="158"/>
  <c r="F101" i="158"/>
  <c r="F102" i="158"/>
  <c r="F103" i="158"/>
  <c r="F104" i="158"/>
  <c r="F105" i="158"/>
  <c r="F106" i="158"/>
  <c r="F107" i="158"/>
  <c r="F108" i="158"/>
  <c r="F109" i="158"/>
  <c r="F110" i="158"/>
  <c r="F111" i="158"/>
  <c r="F112" i="158"/>
  <c r="F113" i="158"/>
  <c r="F114" i="158"/>
  <c r="F115" i="158"/>
  <c r="F116" i="158"/>
  <c r="F117" i="158"/>
  <c r="F118" i="158"/>
  <c r="F119" i="158"/>
  <c r="F120" i="158"/>
  <c r="F121" i="158"/>
  <c r="F122" i="158"/>
  <c r="F123" i="158"/>
  <c r="F124" i="158"/>
  <c r="F125" i="158"/>
  <c r="F126" i="158"/>
  <c r="F127" i="158"/>
  <c r="F128" i="158"/>
  <c r="F129" i="158"/>
  <c r="F130" i="158"/>
  <c r="F131" i="158"/>
  <c r="F132" i="158"/>
  <c r="F133" i="158"/>
  <c r="F134" i="158"/>
  <c r="F135" i="158"/>
  <c r="F136" i="158"/>
  <c r="F137" i="158"/>
  <c r="F138" i="158"/>
  <c r="F139" i="158"/>
  <c r="F140" i="158"/>
  <c r="F141" i="158"/>
  <c r="F142" i="158"/>
  <c r="F143" i="158"/>
  <c r="F144" i="158"/>
  <c r="F145" i="158"/>
  <c r="F146" i="158"/>
  <c r="F147" i="158"/>
  <c r="F148" i="158"/>
  <c r="F149" i="158"/>
  <c r="F150" i="158"/>
  <c r="F151" i="158"/>
  <c r="F152" i="158"/>
  <c r="F153" i="158"/>
  <c r="F154" i="158"/>
  <c r="F155" i="158"/>
  <c r="F156" i="158"/>
  <c r="F157" i="158"/>
  <c r="F158" i="158"/>
  <c r="F159" i="158"/>
  <c r="F160" i="158"/>
  <c r="F161" i="158"/>
  <c r="F162" i="158"/>
  <c r="F163" i="158"/>
  <c r="F164" i="158"/>
  <c r="F165" i="158"/>
  <c r="F166" i="158"/>
  <c r="F167" i="158"/>
  <c r="F168" i="158"/>
  <c r="F169" i="158"/>
  <c r="F170" i="158"/>
  <c r="F171" i="158"/>
  <c r="F172" i="158"/>
  <c r="F173" i="158"/>
  <c r="F174" i="158"/>
  <c r="F175" i="158"/>
  <c r="F176" i="158"/>
  <c r="F177" i="158"/>
  <c r="F178" i="158"/>
  <c r="F179" i="158"/>
  <c r="F180" i="158"/>
  <c r="F181" i="158"/>
  <c r="F182" i="158"/>
  <c r="F183" i="158"/>
  <c r="F184" i="158"/>
  <c r="F185" i="158"/>
  <c r="F186" i="158"/>
  <c r="F187" i="158"/>
  <c r="F188" i="158"/>
  <c r="F189" i="158"/>
  <c r="F190" i="158"/>
  <c r="F191" i="158"/>
  <c r="F192" i="158"/>
  <c r="F193" i="158"/>
  <c r="F194" i="158"/>
  <c r="F195" i="158"/>
  <c r="F196" i="158"/>
  <c r="F197" i="158"/>
  <c r="F198" i="158"/>
  <c r="F199" i="158"/>
  <c r="F200" i="158"/>
  <c r="F201" i="158"/>
  <c r="F202" i="158"/>
  <c r="F203" i="158"/>
  <c r="F204" i="158"/>
  <c r="F205" i="158"/>
  <c r="F206" i="158"/>
  <c r="F207" i="158"/>
  <c r="F208" i="158"/>
  <c r="F209" i="158"/>
  <c r="F210" i="158"/>
  <c r="F211" i="158"/>
  <c r="F212" i="158"/>
  <c r="F213" i="158"/>
  <c r="F214" i="158"/>
  <c r="F215" i="158"/>
  <c r="F216" i="158"/>
  <c r="F217" i="158"/>
  <c r="F218" i="158"/>
  <c r="F219" i="158"/>
  <c r="F220" i="158"/>
  <c r="F221" i="158"/>
  <c r="F222" i="158"/>
  <c r="F223" i="158"/>
  <c r="F224" i="158"/>
  <c r="F225" i="158"/>
  <c r="F226" i="158"/>
  <c r="F227" i="158"/>
  <c r="F228" i="158"/>
  <c r="F229" i="158"/>
  <c r="F230" i="158"/>
  <c r="F231" i="158"/>
  <c r="F232" i="158"/>
  <c r="F233" i="158"/>
  <c r="F234" i="158"/>
  <c r="F235" i="158"/>
  <c r="F236" i="158"/>
  <c r="F237" i="158"/>
  <c r="F238" i="158"/>
  <c r="F239" i="158"/>
  <c r="F240" i="158"/>
  <c r="F241" i="158"/>
  <c r="F242" i="158"/>
  <c r="F243" i="158"/>
  <c r="F244" i="158"/>
  <c r="F245" i="158"/>
  <c r="F246" i="158"/>
  <c r="F247" i="158"/>
  <c r="F248" i="158"/>
  <c r="F249" i="158"/>
  <c r="F250" i="158"/>
  <c r="F251" i="158"/>
  <c r="F252" i="158"/>
  <c r="F253" i="158"/>
  <c r="F254" i="158"/>
  <c r="F255" i="158"/>
  <c r="F256" i="158"/>
  <c r="F257" i="158"/>
  <c r="F258" i="158"/>
  <c r="F259" i="158"/>
  <c r="F260" i="158"/>
  <c r="F261" i="158"/>
  <c r="F262" i="158"/>
  <c r="F263" i="158"/>
  <c r="F264" i="158"/>
  <c r="F265" i="158"/>
  <c r="F266" i="158"/>
  <c r="F267" i="158"/>
  <c r="F268" i="158"/>
  <c r="F269" i="158"/>
  <c r="F270" i="158"/>
  <c r="F271" i="158"/>
  <c r="F272" i="158"/>
  <c r="F273" i="158"/>
  <c r="F274" i="158"/>
  <c r="F275" i="158"/>
  <c r="F276" i="158"/>
  <c r="F277" i="158"/>
  <c r="F278" i="158"/>
  <c r="F279" i="158"/>
  <c r="F280" i="158"/>
  <c r="F281" i="158"/>
  <c r="F282" i="158"/>
  <c r="F283" i="158"/>
  <c r="F284" i="158"/>
  <c r="F285" i="158"/>
  <c r="F286" i="158"/>
  <c r="F287" i="158"/>
  <c r="F288" i="158"/>
  <c r="F289" i="158"/>
  <c r="F290" i="158"/>
  <c r="F291" i="158"/>
  <c r="F292" i="158"/>
  <c r="F293" i="158"/>
  <c r="F294" i="158"/>
  <c r="R8" i="153"/>
  <c r="R9" i="153"/>
  <c r="R10" i="153"/>
  <c r="R8" i="157"/>
  <c r="R9" i="157"/>
  <c r="R10" i="157"/>
  <c r="H290" i="158"/>
  <c r="K290" i="158"/>
  <c r="L290" i="158"/>
  <c r="M290" i="158"/>
  <c r="N290" i="158"/>
  <c r="B10" i="157"/>
  <c r="H291" i="158"/>
  <c r="K291" i="158"/>
  <c r="L291" i="158"/>
  <c r="M291" i="158"/>
  <c r="N291" i="158"/>
  <c r="H292" i="158"/>
  <c r="K292" i="158"/>
  <c r="L292" i="158"/>
  <c r="M292" i="158"/>
  <c r="N292" i="158"/>
  <c r="H293" i="158"/>
  <c r="K293" i="158"/>
  <c r="L293" i="158"/>
  <c r="M293" i="158"/>
  <c r="N293" i="158"/>
  <c r="H294" i="158"/>
  <c r="K294" i="158"/>
  <c r="L294" i="158"/>
  <c r="M294" i="158"/>
  <c r="N294" i="158"/>
  <c r="A290" i="158"/>
  <c r="A291" i="158"/>
  <c r="A292" i="158"/>
  <c r="A293" i="158"/>
  <c r="A294" i="158"/>
  <c r="A290" i="154"/>
  <c r="H290" i="154"/>
  <c r="K290" i="154"/>
  <c r="L290" i="154"/>
  <c r="M290" i="154"/>
  <c r="N290" i="154"/>
  <c r="B10" i="153"/>
  <c r="A291" i="154"/>
  <c r="H291" i="154"/>
  <c r="K291" i="154"/>
  <c r="L291" i="154"/>
  <c r="M291" i="154"/>
  <c r="N291" i="154"/>
  <c r="A292" i="154"/>
  <c r="H292" i="154"/>
  <c r="K292" i="154"/>
  <c r="L292" i="154"/>
  <c r="M292" i="154"/>
  <c r="N292" i="154"/>
  <c r="A293" i="154"/>
  <c r="H293" i="154"/>
  <c r="K293" i="154"/>
  <c r="L293" i="154"/>
  <c r="M293" i="154"/>
  <c r="N293" i="154"/>
  <c r="A294" i="154"/>
  <c r="H294" i="154"/>
  <c r="K294" i="154"/>
  <c r="L294" i="154"/>
  <c r="M294" i="154"/>
  <c r="N294" i="154"/>
  <c r="H287" i="154"/>
  <c r="K287" i="154"/>
  <c r="L287" i="154"/>
  <c r="M287" i="154"/>
  <c r="N287" i="154"/>
  <c r="H288" i="154"/>
  <c r="K288" i="154"/>
  <c r="L288" i="154"/>
  <c r="M288" i="154"/>
  <c r="N288" i="154"/>
  <c r="H289" i="154"/>
  <c r="K289" i="154"/>
  <c r="L289" i="154"/>
  <c r="M289" i="154"/>
  <c r="N289" i="154"/>
  <c r="A287" i="154"/>
  <c r="A288" i="154"/>
  <c r="A289" i="154"/>
  <c r="A285" i="158"/>
  <c r="H285" i="158"/>
  <c r="K285" i="158"/>
  <c r="L285" i="158"/>
  <c r="M285" i="158"/>
  <c r="N285" i="158"/>
  <c r="A286" i="158"/>
  <c r="H286" i="158"/>
  <c r="K286" i="158"/>
  <c r="L286" i="158"/>
  <c r="M286" i="158"/>
  <c r="N286" i="158"/>
  <c r="A287" i="158"/>
  <c r="H287" i="158"/>
  <c r="K287" i="158"/>
  <c r="L287" i="158"/>
  <c r="M287" i="158"/>
  <c r="N287" i="158"/>
  <c r="A288" i="158"/>
  <c r="H288" i="158"/>
  <c r="K288" i="158"/>
  <c r="L288" i="158"/>
  <c r="M288" i="158"/>
  <c r="N288" i="158"/>
  <c r="A289" i="158"/>
  <c r="H289" i="158"/>
  <c r="K289" i="158"/>
  <c r="L289" i="158"/>
  <c r="M289" i="158"/>
  <c r="N289" i="158"/>
  <c r="B6" i="157"/>
  <c r="B5" i="157"/>
  <c r="E31" i="157"/>
  <c r="G31" i="157"/>
  <c r="H31" i="157"/>
  <c r="E30" i="157"/>
  <c r="G30" i="157"/>
  <c r="H30" i="157"/>
  <c r="N284" i="158"/>
  <c r="M284" i="158"/>
  <c r="L284" i="158"/>
  <c r="K284" i="158"/>
  <c r="H284" i="158"/>
  <c r="A284" i="158"/>
  <c r="N283" i="158"/>
  <c r="M283" i="158"/>
  <c r="L283" i="158"/>
  <c r="K283" i="158"/>
  <c r="H283" i="158"/>
  <c r="A283" i="158"/>
  <c r="N282" i="158"/>
  <c r="M282" i="158"/>
  <c r="L282" i="158"/>
  <c r="K282" i="158"/>
  <c r="H282" i="158"/>
  <c r="A282" i="158"/>
  <c r="N281" i="158"/>
  <c r="M281" i="158"/>
  <c r="L281" i="158"/>
  <c r="K281" i="158"/>
  <c r="H281" i="158"/>
  <c r="A281" i="158"/>
  <c r="N280" i="158"/>
  <c r="M280" i="158"/>
  <c r="L280" i="158"/>
  <c r="K280" i="158"/>
  <c r="H280" i="158"/>
  <c r="A280" i="158"/>
  <c r="N279" i="158"/>
  <c r="M279" i="158"/>
  <c r="L279" i="158"/>
  <c r="K279" i="158"/>
  <c r="H279" i="158"/>
  <c r="A279" i="158"/>
  <c r="N278" i="158"/>
  <c r="M278" i="158"/>
  <c r="L278" i="158"/>
  <c r="K278" i="158"/>
  <c r="H278" i="158"/>
  <c r="A278" i="158"/>
  <c r="N277" i="158"/>
  <c r="M277" i="158"/>
  <c r="L277" i="158"/>
  <c r="K277" i="158"/>
  <c r="H277" i="158"/>
  <c r="A277" i="158"/>
  <c r="N276" i="158"/>
  <c r="M276" i="158"/>
  <c r="L276" i="158"/>
  <c r="K276" i="158"/>
  <c r="H276" i="158"/>
  <c r="A276" i="158"/>
  <c r="N275" i="158"/>
  <c r="M275" i="158"/>
  <c r="L275" i="158"/>
  <c r="K275" i="158"/>
  <c r="H275" i="158"/>
  <c r="A275" i="158"/>
  <c r="N274" i="158"/>
  <c r="M274" i="158"/>
  <c r="L274" i="158"/>
  <c r="K274" i="158"/>
  <c r="H274" i="158"/>
  <c r="A274" i="158"/>
  <c r="N273" i="158"/>
  <c r="M273" i="158"/>
  <c r="L273" i="158"/>
  <c r="K273" i="158"/>
  <c r="H273" i="158"/>
  <c r="A273" i="158"/>
  <c r="N272" i="158"/>
  <c r="M272" i="158"/>
  <c r="L272" i="158"/>
  <c r="K272" i="158"/>
  <c r="H272" i="158"/>
  <c r="A272" i="158"/>
  <c r="N271" i="158"/>
  <c r="M271" i="158"/>
  <c r="L271" i="158"/>
  <c r="K271" i="158"/>
  <c r="H271" i="158"/>
  <c r="A271" i="158"/>
  <c r="N270" i="158"/>
  <c r="M270" i="158"/>
  <c r="L270" i="158"/>
  <c r="K270" i="158"/>
  <c r="H270" i="158"/>
  <c r="A270" i="158"/>
  <c r="N269" i="158"/>
  <c r="M269" i="158"/>
  <c r="L269" i="158"/>
  <c r="K269" i="158"/>
  <c r="H269" i="158"/>
  <c r="A269" i="158"/>
  <c r="N268" i="158"/>
  <c r="M268" i="158"/>
  <c r="L268" i="158"/>
  <c r="K268" i="158"/>
  <c r="H268" i="158"/>
  <c r="A268" i="158"/>
  <c r="N267" i="158"/>
  <c r="M267" i="158"/>
  <c r="L267" i="158"/>
  <c r="K267" i="158"/>
  <c r="H267" i="158"/>
  <c r="A267" i="158"/>
  <c r="N266" i="158"/>
  <c r="M266" i="158"/>
  <c r="L266" i="158"/>
  <c r="K266" i="158"/>
  <c r="H266" i="158"/>
  <c r="A266" i="158"/>
  <c r="N265" i="158"/>
  <c r="M265" i="158"/>
  <c r="L265" i="158"/>
  <c r="K265" i="158"/>
  <c r="H265" i="158"/>
  <c r="A265" i="158"/>
  <c r="N264" i="158"/>
  <c r="M264" i="158"/>
  <c r="L264" i="158"/>
  <c r="K264" i="158"/>
  <c r="H264" i="158"/>
  <c r="A264" i="158"/>
  <c r="N263" i="158"/>
  <c r="M263" i="158"/>
  <c r="L263" i="158"/>
  <c r="K263" i="158"/>
  <c r="H263" i="158"/>
  <c r="A263" i="158"/>
  <c r="N262" i="158"/>
  <c r="M262" i="158"/>
  <c r="L262" i="158"/>
  <c r="K262" i="158"/>
  <c r="H262" i="158"/>
  <c r="A262" i="158"/>
  <c r="N261" i="158"/>
  <c r="M261" i="158"/>
  <c r="L261" i="158"/>
  <c r="K261" i="158"/>
  <c r="H261" i="158"/>
  <c r="A261" i="158"/>
  <c r="N260" i="158"/>
  <c r="M260" i="158"/>
  <c r="L260" i="158"/>
  <c r="K260" i="158"/>
  <c r="H260" i="158"/>
  <c r="A260" i="158"/>
  <c r="N259" i="158"/>
  <c r="M259" i="158"/>
  <c r="L259" i="158"/>
  <c r="K259" i="158"/>
  <c r="H259" i="158"/>
  <c r="A259" i="158"/>
  <c r="N258" i="158"/>
  <c r="M258" i="158"/>
  <c r="L258" i="158"/>
  <c r="K258" i="158"/>
  <c r="H258" i="158"/>
  <c r="A258" i="158"/>
  <c r="N257" i="158"/>
  <c r="M257" i="158"/>
  <c r="L257" i="158"/>
  <c r="K257" i="158"/>
  <c r="H257" i="158"/>
  <c r="A257" i="158"/>
  <c r="N256" i="158"/>
  <c r="M256" i="158"/>
  <c r="L256" i="158"/>
  <c r="K256" i="158"/>
  <c r="H256" i="158"/>
  <c r="A256" i="158"/>
  <c r="N255" i="158"/>
  <c r="M255" i="158"/>
  <c r="L255" i="158"/>
  <c r="K255" i="158"/>
  <c r="H255" i="158"/>
  <c r="A255" i="158"/>
  <c r="N254" i="158"/>
  <c r="M254" i="158"/>
  <c r="L254" i="158"/>
  <c r="K254" i="158"/>
  <c r="H254" i="158"/>
  <c r="A254" i="158"/>
  <c r="N253" i="158"/>
  <c r="M253" i="158"/>
  <c r="L253" i="158"/>
  <c r="K253" i="158"/>
  <c r="H253" i="158"/>
  <c r="A253" i="158"/>
  <c r="N252" i="158"/>
  <c r="M252" i="158"/>
  <c r="L252" i="158"/>
  <c r="K252" i="158"/>
  <c r="H252" i="158"/>
  <c r="A252" i="158"/>
  <c r="N251" i="158"/>
  <c r="M251" i="158"/>
  <c r="L251" i="158"/>
  <c r="K251" i="158"/>
  <c r="H251" i="158"/>
  <c r="A251" i="158"/>
  <c r="N250" i="158"/>
  <c r="M250" i="158"/>
  <c r="L250" i="158"/>
  <c r="K250" i="158"/>
  <c r="H250" i="158"/>
  <c r="A250" i="158"/>
  <c r="N249" i="158"/>
  <c r="M249" i="158"/>
  <c r="L249" i="158"/>
  <c r="K249" i="158"/>
  <c r="H249" i="158"/>
  <c r="A249" i="158"/>
  <c r="N248" i="158"/>
  <c r="M248" i="158"/>
  <c r="L248" i="158"/>
  <c r="K248" i="158"/>
  <c r="H248" i="158"/>
  <c r="A248" i="158"/>
  <c r="N247" i="158"/>
  <c r="M247" i="158"/>
  <c r="L247" i="158"/>
  <c r="K247" i="158"/>
  <c r="H247" i="158"/>
  <c r="A247" i="158"/>
  <c r="N246" i="158"/>
  <c r="M246" i="158"/>
  <c r="L246" i="158"/>
  <c r="K246" i="158"/>
  <c r="H246" i="158"/>
  <c r="A246" i="158"/>
  <c r="N245" i="158"/>
  <c r="M245" i="158"/>
  <c r="L245" i="158"/>
  <c r="K245" i="158"/>
  <c r="H245" i="158"/>
  <c r="A245" i="158"/>
  <c r="N244" i="158"/>
  <c r="M244" i="158"/>
  <c r="L244" i="158"/>
  <c r="K244" i="158"/>
  <c r="H244" i="158"/>
  <c r="A244" i="158"/>
  <c r="N243" i="158"/>
  <c r="M243" i="158"/>
  <c r="L243" i="158"/>
  <c r="K243" i="158"/>
  <c r="H243" i="158"/>
  <c r="A243" i="158"/>
  <c r="N242" i="158"/>
  <c r="M242" i="158"/>
  <c r="L242" i="158"/>
  <c r="K242" i="158"/>
  <c r="H242" i="158"/>
  <c r="A242" i="158"/>
  <c r="N241" i="158"/>
  <c r="M241" i="158"/>
  <c r="L241" i="158"/>
  <c r="K241" i="158"/>
  <c r="H241" i="158"/>
  <c r="A241" i="158"/>
  <c r="N240" i="158"/>
  <c r="M240" i="158"/>
  <c r="L240" i="158"/>
  <c r="K240" i="158"/>
  <c r="H240" i="158"/>
  <c r="A240" i="158"/>
  <c r="N239" i="158"/>
  <c r="M239" i="158"/>
  <c r="L239" i="158"/>
  <c r="K239" i="158"/>
  <c r="H239" i="158"/>
  <c r="A239" i="158"/>
  <c r="N238" i="158"/>
  <c r="M238" i="158"/>
  <c r="L238" i="158"/>
  <c r="K238" i="158"/>
  <c r="H238" i="158"/>
  <c r="A238" i="158"/>
  <c r="N237" i="158"/>
  <c r="M237" i="158"/>
  <c r="L237" i="158"/>
  <c r="K237" i="158"/>
  <c r="H237" i="158"/>
  <c r="A237" i="158"/>
  <c r="N236" i="158"/>
  <c r="M236" i="158"/>
  <c r="L236" i="158"/>
  <c r="K236" i="158"/>
  <c r="H236" i="158"/>
  <c r="A236" i="158"/>
  <c r="N235" i="158"/>
  <c r="M235" i="158"/>
  <c r="L235" i="158"/>
  <c r="K235" i="158"/>
  <c r="H235" i="158"/>
  <c r="A235" i="158"/>
  <c r="N234" i="158"/>
  <c r="M234" i="158"/>
  <c r="L234" i="158"/>
  <c r="K234" i="158"/>
  <c r="H234" i="158"/>
  <c r="A234" i="158"/>
  <c r="N233" i="158"/>
  <c r="M233" i="158"/>
  <c r="L233" i="158"/>
  <c r="K233" i="158"/>
  <c r="H233" i="158"/>
  <c r="A233" i="158"/>
  <c r="N232" i="158"/>
  <c r="M232" i="158"/>
  <c r="L232" i="158"/>
  <c r="K232" i="158"/>
  <c r="H232" i="158"/>
  <c r="A232" i="158"/>
  <c r="N231" i="158"/>
  <c r="M231" i="158"/>
  <c r="L231" i="158"/>
  <c r="K231" i="158"/>
  <c r="H231" i="158"/>
  <c r="A231" i="158"/>
  <c r="N230" i="158"/>
  <c r="M230" i="158"/>
  <c r="L230" i="158"/>
  <c r="K230" i="158"/>
  <c r="H230" i="158"/>
  <c r="A230" i="158"/>
  <c r="N229" i="158"/>
  <c r="M229" i="158"/>
  <c r="L229" i="158"/>
  <c r="K229" i="158"/>
  <c r="H229" i="158"/>
  <c r="A229" i="158"/>
  <c r="N228" i="158"/>
  <c r="M228" i="158"/>
  <c r="L228" i="158"/>
  <c r="K228" i="158"/>
  <c r="H228" i="158"/>
  <c r="A228" i="158"/>
  <c r="N227" i="158"/>
  <c r="M227" i="158"/>
  <c r="L227" i="158"/>
  <c r="K227" i="158"/>
  <c r="H227" i="158"/>
  <c r="A227" i="158"/>
  <c r="N226" i="158"/>
  <c r="M226" i="158"/>
  <c r="L226" i="158"/>
  <c r="K226" i="158"/>
  <c r="H226" i="158"/>
  <c r="A226" i="158"/>
  <c r="N225" i="158"/>
  <c r="M225" i="158"/>
  <c r="L225" i="158"/>
  <c r="K225" i="158"/>
  <c r="H225" i="158"/>
  <c r="A225" i="158"/>
  <c r="N224" i="158"/>
  <c r="M224" i="158"/>
  <c r="L224" i="158"/>
  <c r="K224" i="158"/>
  <c r="H224" i="158"/>
  <c r="A224" i="158"/>
  <c r="N223" i="158"/>
  <c r="M223" i="158"/>
  <c r="L223" i="158"/>
  <c r="K223" i="158"/>
  <c r="H223" i="158"/>
  <c r="A223" i="158"/>
  <c r="N222" i="158"/>
  <c r="M222" i="158"/>
  <c r="L222" i="158"/>
  <c r="K222" i="158"/>
  <c r="H222" i="158"/>
  <c r="A222" i="158"/>
  <c r="N221" i="158"/>
  <c r="M221" i="158"/>
  <c r="L221" i="158"/>
  <c r="K221" i="158"/>
  <c r="H221" i="158"/>
  <c r="A221" i="158"/>
  <c r="N220" i="158"/>
  <c r="M220" i="158"/>
  <c r="L220" i="158"/>
  <c r="K220" i="158"/>
  <c r="H220" i="158"/>
  <c r="A220" i="158"/>
  <c r="N219" i="158"/>
  <c r="M219" i="158"/>
  <c r="L219" i="158"/>
  <c r="K219" i="158"/>
  <c r="H219" i="158"/>
  <c r="A219" i="158"/>
  <c r="N218" i="158"/>
  <c r="M218" i="158"/>
  <c r="L218" i="158"/>
  <c r="K218" i="158"/>
  <c r="H218" i="158"/>
  <c r="A218" i="158"/>
  <c r="N217" i="158"/>
  <c r="M217" i="158"/>
  <c r="L217" i="158"/>
  <c r="K217" i="158"/>
  <c r="H217" i="158"/>
  <c r="A217" i="158"/>
  <c r="N216" i="158"/>
  <c r="M216" i="158"/>
  <c r="L216" i="158"/>
  <c r="K216" i="158"/>
  <c r="H216" i="158"/>
  <c r="A216" i="158"/>
  <c r="N215" i="158"/>
  <c r="M215" i="158"/>
  <c r="L215" i="158"/>
  <c r="K215" i="158"/>
  <c r="H215" i="158"/>
  <c r="A215" i="158"/>
  <c r="N214" i="158"/>
  <c r="M214" i="158"/>
  <c r="L214" i="158"/>
  <c r="K214" i="158"/>
  <c r="H214" i="158"/>
  <c r="A214" i="158"/>
  <c r="N213" i="158"/>
  <c r="M213" i="158"/>
  <c r="L213" i="158"/>
  <c r="K213" i="158"/>
  <c r="H213" i="158"/>
  <c r="A213" i="158"/>
  <c r="N212" i="158"/>
  <c r="M212" i="158"/>
  <c r="L212" i="158"/>
  <c r="K212" i="158"/>
  <c r="H212" i="158"/>
  <c r="A212" i="158"/>
  <c r="N211" i="158"/>
  <c r="M211" i="158"/>
  <c r="L211" i="158"/>
  <c r="K211" i="158"/>
  <c r="H211" i="158"/>
  <c r="A211" i="158"/>
  <c r="N210" i="158"/>
  <c r="M210" i="158"/>
  <c r="L210" i="158"/>
  <c r="K210" i="158"/>
  <c r="H210" i="158"/>
  <c r="A210" i="158"/>
  <c r="N209" i="158"/>
  <c r="M209" i="158"/>
  <c r="L209" i="158"/>
  <c r="K209" i="158"/>
  <c r="H209" i="158"/>
  <c r="A209" i="158"/>
  <c r="N208" i="158"/>
  <c r="M208" i="158"/>
  <c r="L208" i="158"/>
  <c r="K208" i="158"/>
  <c r="H208" i="158"/>
  <c r="A208" i="158"/>
  <c r="N207" i="158"/>
  <c r="M207" i="158"/>
  <c r="L207" i="158"/>
  <c r="K207" i="158"/>
  <c r="H207" i="158"/>
  <c r="A207" i="158"/>
  <c r="N206" i="158"/>
  <c r="M206" i="158"/>
  <c r="L206" i="158"/>
  <c r="K206" i="158"/>
  <c r="H206" i="158"/>
  <c r="A206" i="158"/>
  <c r="N205" i="158"/>
  <c r="M205" i="158"/>
  <c r="L205" i="158"/>
  <c r="K205" i="158"/>
  <c r="H205" i="158"/>
  <c r="A205" i="158"/>
  <c r="N204" i="158"/>
  <c r="M204" i="158"/>
  <c r="L204" i="158"/>
  <c r="K204" i="158"/>
  <c r="H204" i="158"/>
  <c r="A204" i="158"/>
  <c r="N203" i="158"/>
  <c r="M203" i="158"/>
  <c r="L203" i="158"/>
  <c r="K203" i="158"/>
  <c r="H203" i="158"/>
  <c r="A203" i="158"/>
  <c r="N202" i="158"/>
  <c r="M202" i="158"/>
  <c r="L202" i="158"/>
  <c r="K202" i="158"/>
  <c r="H202" i="158"/>
  <c r="A202" i="158"/>
  <c r="N201" i="158"/>
  <c r="M201" i="158"/>
  <c r="L201" i="158"/>
  <c r="K201" i="158"/>
  <c r="H201" i="158"/>
  <c r="A201" i="158"/>
  <c r="N200" i="158"/>
  <c r="M200" i="158"/>
  <c r="L200" i="158"/>
  <c r="K200" i="158"/>
  <c r="H200" i="158"/>
  <c r="A200" i="158"/>
  <c r="N199" i="158"/>
  <c r="M199" i="158"/>
  <c r="L199" i="158"/>
  <c r="K199" i="158"/>
  <c r="H199" i="158"/>
  <c r="A199" i="158"/>
  <c r="N198" i="158"/>
  <c r="M198" i="158"/>
  <c r="L198" i="158"/>
  <c r="K198" i="158"/>
  <c r="H198" i="158"/>
  <c r="A198" i="158"/>
  <c r="N197" i="158"/>
  <c r="M197" i="158"/>
  <c r="L197" i="158"/>
  <c r="K197" i="158"/>
  <c r="H197" i="158"/>
  <c r="A197" i="158"/>
  <c r="N196" i="158"/>
  <c r="M196" i="158"/>
  <c r="L196" i="158"/>
  <c r="K196" i="158"/>
  <c r="H196" i="158"/>
  <c r="A196" i="158"/>
  <c r="N195" i="158"/>
  <c r="M195" i="158"/>
  <c r="L195" i="158"/>
  <c r="K195" i="158"/>
  <c r="H195" i="158"/>
  <c r="A195" i="158"/>
  <c r="N194" i="158"/>
  <c r="M194" i="158"/>
  <c r="L194" i="158"/>
  <c r="K194" i="158"/>
  <c r="H194" i="158"/>
  <c r="A194" i="158"/>
  <c r="N193" i="158"/>
  <c r="M193" i="158"/>
  <c r="L193" i="158"/>
  <c r="K193" i="158"/>
  <c r="H193" i="158"/>
  <c r="A193" i="158"/>
  <c r="N192" i="158"/>
  <c r="M192" i="158"/>
  <c r="L192" i="158"/>
  <c r="K192" i="158"/>
  <c r="H192" i="158"/>
  <c r="A192" i="158"/>
  <c r="N191" i="158"/>
  <c r="M191" i="158"/>
  <c r="L191" i="158"/>
  <c r="K191" i="158"/>
  <c r="H191" i="158"/>
  <c r="A191" i="158"/>
  <c r="N190" i="158"/>
  <c r="M190" i="158"/>
  <c r="L190" i="158"/>
  <c r="K190" i="158"/>
  <c r="H190" i="158"/>
  <c r="A190" i="158"/>
  <c r="N189" i="158"/>
  <c r="M189" i="158"/>
  <c r="L189" i="158"/>
  <c r="K189" i="158"/>
  <c r="H189" i="158"/>
  <c r="A189" i="158"/>
  <c r="N188" i="158"/>
  <c r="M188" i="158"/>
  <c r="L188" i="158"/>
  <c r="K188" i="158"/>
  <c r="H188" i="158"/>
  <c r="A188" i="158"/>
  <c r="N187" i="158"/>
  <c r="M187" i="158"/>
  <c r="L187" i="158"/>
  <c r="K187" i="158"/>
  <c r="H187" i="158"/>
  <c r="A187" i="158"/>
  <c r="N186" i="158"/>
  <c r="M186" i="158"/>
  <c r="L186" i="158"/>
  <c r="K186" i="158"/>
  <c r="H186" i="158"/>
  <c r="A186" i="158"/>
  <c r="N185" i="158"/>
  <c r="M185" i="158"/>
  <c r="L185" i="158"/>
  <c r="K185" i="158"/>
  <c r="H185" i="158"/>
  <c r="A185" i="158"/>
  <c r="N184" i="158"/>
  <c r="M184" i="158"/>
  <c r="L184" i="158"/>
  <c r="K184" i="158"/>
  <c r="H184" i="158"/>
  <c r="A184" i="158"/>
  <c r="N183" i="158"/>
  <c r="M183" i="158"/>
  <c r="L183" i="158"/>
  <c r="K183" i="158"/>
  <c r="H183" i="158"/>
  <c r="A183" i="158"/>
  <c r="N182" i="158"/>
  <c r="M182" i="158"/>
  <c r="L182" i="158"/>
  <c r="K182" i="158"/>
  <c r="H182" i="158"/>
  <c r="A182" i="158"/>
  <c r="N181" i="158"/>
  <c r="M181" i="158"/>
  <c r="L181" i="158"/>
  <c r="K181" i="158"/>
  <c r="H181" i="158"/>
  <c r="A181" i="158"/>
  <c r="N180" i="158"/>
  <c r="M180" i="158"/>
  <c r="L180" i="158"/>
  <c r="K180" i="158"/>
  <c r="H180" i="158"/>
  <c r="A180" i="158"/>
  <c r="N179" i="158"/>
  <c r="M179" i="158"/>
  <c r="L179" i="158"/>
  <c r="K179" i="158"/>
  <c r="H179" i="158"/>
  <c r="A179" i="158"/>
  <c r="N178" i="158"/>
  <c r="M178" i="158"/>
  <c r="L178" i="158"/>
  <c r="K178" i="158"/>
  <c r="H178" i="158"/>
  <c r="A178" i="158"/>
  <c r="N177" i="158"/>
  <c r="M177" i="158"/>
  <c r="L177" i="158"/>
  <c r="K177" i="158"/>
  <c r="H177" i="158"/>
  <c r="A177" i="158"/>
  <c r="N176" i="158"/>
  <c r="M176" i="158"/>
  <c r="L176" i="158"/>
  <c r="K176" i="158"/>
  <c r="H176" i="158"/>
  <c r="A176" i="158"/>
  <c r="N175" i="158"/>
  <c r="M175" i="158"/>
  <c r="L175" i="158"/>
  <c r="K175" i="158"/>
  <c r="H175" i="158"/>
  <c r="A175" i="158"/>
  <c r="N174" i="158"/>
  <c r="M174" i="158"/>
  <c r="L174" i="158"/>
  <c r="K174" i="158"/>
  <c r="H174" i="158"/>
  <c r="A174" i="158"/>
  <c r="N173" i="158"/>
  <c r="M173" i="158"/>
  <c r="L173" i="158"/>
  <c r="K173" i="158"/>
  <c r="H173" i="158"/>
  <c r="A173" i="158"/>
  <c r="N172" i="158"/>
  <c r="M172" i="158"/>
  <c r="L172" i="158"/>
  <c r="K172" i="158"/>
  <c r="H172" i="158"/>
  <c r="A172" i="158"/>
  <c r="N171" i="158"/>
  <c r="M171" i="158"/>
  <c r="L171" i="158"/>
  <c r="K171" i="158"/>
  <c r="H171" i="158"/>
  <c r="A171" i="158"/>
  <c r="N170" i="158"/>
  <c r="M170" i="158"/>
  <c r="L170" i="158"/>
  <c r="K170" i="158"/>
  <c r="H170" i="158"/>
  <c r="A170" i="158"/>
  <c r="N169" i="158"/>
  <c r="M169" i="158"/>
  <c r="L169" i="158"/>
  <c r="K169" i="158"/>
  <c r="H169" i="158"/>
  <c r="A169" i="158"/>
  <c r="N168" i="158"/>
  <c r="M168" i="158"/>
  <c r="L168" i="158"/>
  <c r="K168" i="158"/>
  <c r="H168" i="158"/>
  <c r="A168" i="158"/>
  <c r="N167" i="158"/>
  <c r="M167" i="158"/>
  <c r="L167" i="158"/>
  <c r="K167" i="158"/>
  <c r="H167" i="158"/>
  <c r="A167" i="158"/>
  <c r="N166" i="158"/>
  <c r="M166" i="158"/>
  <c r="L166" i="158"/>
  <c r="K166" i="158"/>
  <c r="H166" i="158"/>
  <c r="A166" i="158"/>
  <c r="N165" i="158"/>
  <c r="M165" i="158"/>
  <c r="L165" i="158"/>
  <c r="K165" i="158"/>
  <c r="H165" i="158"/>
  <c r="A165" i="158"/>
  <c r="N164" i="158"/>
  <c r="M164" i="158"/>
  <c r="L164" i="158"/>
  <c r="K164" i="158"/>
  <c r="H164" i="158"/>
  <c r="A164" i="158"/>
  <c r="N163" i="158"/>
  <c r="M163" i="158"/>
  <c r="L163" i="158"/>
  <c r="K163" i="158"/>
  <c r="H163" i="158"/>
  <c r="A163" i="158"/>
  <c r="N162" i="158"/>
  <c r="M162" i="158"/>
  <c r="L162" i="158"/>
  <c r="K162" i="158"/>
  <c r="H162" i="158"/>
  <c r="A162" i="158"/>
  <c r="N161" i="158"/>
  <c r="M161" i="158"/>
  <c r="L161" i="158"/>
  <c r="K161" i="158"/>
  <c r="H161" i="158"/>
  <c r="A161" i="158"/>
  <c r="N160" i="158"/>
  <c r="M160" i="158"/>
  <c r="L160" i="158"/>
  <c r="K160" i="158"/>
  <c r="H160" i="158"/>
  <c r="A160" i="158"/>
  <c r="N159" i="158"/>
  <c r="M159" i="158"/>
  <c r="L159" i="158"/>
  <c r="K159" i="158"/>
  <c r="H159" i="158"/>
  <c r="A159" i="158"/>
  <c r="N158" i="158"/>
  <c r="M158" i="158"/>
  <c r="L158" i="158"/>
  <c r="K158" i="158"/>
  <c r="H158" i="158"/>
  <c r="A158" i="158"/>
  <c r="N157" i="158"/>
  <c r="M157" i="158"/>
  <c r="L157" i="158"/>
  <c r="K157" i="158"/>
  <c r="H157" i="158"/>
  <c r="A157" i="158"/>
  <c r="N156" i="158"/>
  <c r="M156" i="158"/>
  <c r="L156" i="158"/>
  <c r="K156" i="158"/>
  <c r="H156" i="158"/>
  <c r="A156" i="158"/>
  <c r="N155" i="158"/>
  <c r="M155" i="158"/>
  <c r="L155" i="158"/>
  <c r="K155" i="158"/>
  <c r="H155" i="158"/>
  <c r="A155" i="158"/>
  <c r="N154" i="158"/>
  <c r="M154" i="158"/>
  <c r="L154" i="158"/>
  <c r="K154" i="158"/>
  <c r="H154" i="158"/>
  <c r="A154" i="158"/>
  <c r="N153" i="158"/>
  <c r="M153" i="158"/>
  <c r="L153" i="158"/>
  <c r="K153" i="158"/>
  <c r="H153" i="158"/>
  <c r="A153" i="158"/>
  <c r="N152" i="158"/>
  <c r="M152" i="158"/>
  <c r="L152" i="158"/>
  <c r="K152" i="158"/>
  <c r="H152" i="158"/>
  <c r="A152" i="158"/>
  <c r="N151" i="158"/>
  <c r="M151" i="158"/>
  <c r="L151" i="158"/>
  <c r="K151" i="158"/>
  <c r="H151" i="158"/>
  <c r="A151" i="158"/>
  <c r="N150" i="158"/>
  <c r="M150" i="158"/>
  <c r="L150" i="158"/>
  <c r="K150" i="158"/>
  <c r="H150" i="158"/>
  <c r="A150" i="158"/>
  <c r="N149" i="158"/>
  <c r="M149" i="158"/>
  <c r="L149" i="158"/>
  <c r="K149" i="158"/>
  <c r="H149" i="158"/>
  <c r="A149" i="158"/>
  <c r="N148" i="158"/>
  <c r="M148" i="158"/>
  <c r="L148" i="158"/>
  <c r="K148" i="158"/>
  <c r="H148" i="158"/>
  <c r="A148" i="158"/>
  <c r="N147" i="158"/>
  <c r="M147" i="158"/>
  <c r="L147" i="158"/>
  <c r="K147" i="158"/>
  <c r="H147" i="158"/>
  <c r="A147" i="158"/>
  <c r="N146" i="158"/>
  <c r="M146" i="158"/>
  <c r="L146" i="158"/>
  <c r="K146" i="158"/>
  <c r="H146" i="158"/>
  <c r="A146" i="158"/>
  <c r="N145" i="158"/>
  <c r="M145" i="158"/>
  <c r="L145" i="158"/>
  <c r="K145" i="158"/>
  <c r="H145" i="158"/>
  <c r="A145" i="158"/>
  <c r="N144" i="158"/>
  <c r="M144" i="158"/>
  <c r="L144" i="158"/>
  <c r="K144" i="158"/>
  <c r="H144" i="158"/>
  <c r="A144" i="158"/>
  <c r="N143" i="158"/>
  <c r="M143" i="158"/>
  <c r="L143" i="158"/>
  <c r="K143" i="158"/>
  <c r="H143" i="158"/>
  <c r="A143" i="158"/>
  <c r="N142" i="158"/>
  <c r="M142" i="158"/>
  <c r="L142" i="158"/>
  <c r="K142" i="158"/>
  <c r="H142" i="158"/>
  <c r="A142" i="158"/>
  <c r="N141" i="158"/>
  <c r="M141" i="158"/>
  <c r="L141" i="158"/>
  <c r="K141" i="158"/>
  <c r="H141" i="158"/>
  <c r="A141" i="158"/>
  <c r="N140" i="158"/>
  <c r="M140" i="158"/>
  <c r="L140" i="158"/>
  <c r="K140" i="158"/>
  <c r="H140" i="158"/>
  <c r="A140" i="158"/>
  <c r="N139" i="158"/>
  <c r="M139" i="158"/>
  <c r="L139" i="158"/>
  <c r="K139" i="158"/>
  <c r="H139" i="158"/>
  <c r="A139" i="158"/>
  <c r="N138" i="158"/>
  <c r="M138" i="158"/>
  <c r="L138" i="158"/>
  <c r="K138" i="158"/>
  <c r="H138" i="158"/>
  <c r="A138" i="158"/>
  <c r="N137" i="158"/>
  <c r="M137" i="158"/>
  <c r="L137" i="158"/>
  <c r="K137" i="158"/>
  <c r="H137" i="158"/>
  <c r="A137" i="158"/>
  <c r="N136" i="158"/>
  <c r="M136" i="158"/>
  <c r="L136" i="158"/>
  <c r="K136" i="158"/>
  <c r="H136" i="158"/>
  <c r="A136" i="158"/>
  <c r="N135" i="158"/>
  <c r="M135" i="158"/>
  <c r="L135" i="158"/>
  <c r="K135" i="158"/>
  <c r="H135" i="158"/>
  <c r="A135" i="158"/>
  <c r="N134" i="158"/>
  <c r="M134" i="158"/>
  <c r="L134" i="158"/>
  <c r="K134" i="158"/>
  <c r="H134" i="158"/>
  <c r="A134" i="158"/>
  <c r="N133" i="158"/>
  <c r="M133" i="158"/>
  <c r="L133" i="158"/>
  <c r="K133" i="158"/>
  <c r="H133" i="158"/>
  <c r="A133" i="158"/>
  <c r="N132" i="158"/>
  <c r="M132" i="158"/>
  <c r="L132" i="158"/>
  <c r="K132" i="158"/>
  <c r="H132" i="158"/>
  <c r="A132" i="158"/>
  <c r="N131" i="158"/>
  <c r="M131" i="158"/>
  <c r="L131" i="158"/>
  <c r="K131" i="158"/>
  <c r="H131" i="158"/>
  <c r="A131" i="158"/>
  <c r="N130" i="158"/>
  <c r="M130" i="158"/>
  <c r="L130" i="158"/>
  <c r="K130" i="158"/>
  <c r="H130" i="158"/>
  <c r="A130" i="158"/>
  <c r="N129" i="158"/>
  <c r="M129" i="158"/>
  <c r="L129" i="158"/>
  <c r="K129" i="158"/>
  <c r="H129" i="158"/>
  <c r="A129" i="158"/>
  <c r="N128" i="158"/>
  <c r="M128" i="158"/>
  <c r="L128" i="158"/>
  <c r="K128" i="158"/>
  <c r="H128" i="158"/>
  <c r="A128" i="158"/>
  <c r="N127" i="158"/>
  <c r="M127" i="158"/>
  <c r="L127" i="158"/>
  <c r="K127" i="158"/>
  <c r="H127" i="158"/>
  <c r="A127" i="158"/>
  <c r="N126" i="158"/>
  <c r="M126" i="158"/>
  <c r="L126" i="158"/>
  <c r="K126" i="158"/>
  <c r="H126" i="158"/>
  <c r="A126" i="158"/>
  <c r="N125" i="158"/>
  <c r="M125" i="158"/>
  <c r="L125" i="158"/>
  <c r="K125" i="158"/>
  <c r="H125" i="158"/>
  <c r="A125" i="158"/>
  <c r="N124" i="158"/>
  <c r="M124" i="158"/>
  <c r="L124" i="158"/>
  <c r="K124" i="158"/>
  <c r="H124" i="158"/>
  <c r="A124" i="158"/>
  <c r="N123" i="158"/>
  <c r="M123" i="158"/>
  <c r="L123" i="158"/>
  <c r="K123" i="158"/>
  <c r="H123" i="158"/>
  <c r="A123" i="158"/>
  <c r="N122" i="158"/>
  <c r="M122" i="158"/>
  <c r="L122" i="158"/>
  <c r="K122" i="158"/>
  <c r="H122" i="158"/>
  <c r="A122" i="158"/>
  <c r="N121" i="158"/>
  <c r="M121" i="158"/>
  <c r="L121" i="158"/>
  <c r="K121" i="158"/>
  <c r="H121" i="158"/>
  <c r="A121" i="158"/>
  <c r="N120" i="158"/>
  <c r="M120" i="158"/>
  <c r="L120" i="158"/>
  <c r="K120" i="158"/>
  <c r="H120" i="158"/>
  <c r="A120" i="158"/>
  <c r="N119" i="158"/>
  <c r="M119" i="158"/>
  <c r="L119" i="158"/>
  <c r="K119" i="158"/>
  <c r="H119" i="158"/>
  <c r="A119" i="158"/>
  <c r="N118" i="158"/>
  <c r="M118" i="158"/>
  <c r="L118" i="158"/>
  <c r="K118" i="158"/>
  <c r="H118" i="158"/>
  <c r="A118" i="158"/>
  <c r="N117" i="158"/>
  <c r="M117" i="158"/>
  <c r="L117" i="158"/>
  <c r="K117" i="158"/>
  <c r="H117" i="158"/>
  <c r="A117" i="158"/>
  <c r="N116" i="158"/>
  <c r="M116" i="158"/>
  <c r="L116" i="158"/>
  <c r="K116" i="158"/>
  <c r="H116" i="158"/>
  <c r="A116" i="158"/>
  <c r="N115" i="158"/>
  <c r="M115" i="158"/>
  <c r="L115" i="158"/>
  <c r="K115" i="158"/>
  <c r="H115" i="158"/>
  <c r="A115" i="158"/>
  <c r="N114" i="158"/>
  <c r="M114" i="158"/>
  <c r="L114" i="158"/>
  <c r="K114" i="158"/>
  <c r="H114" i="158"/>
  <c r="A114" i="158"/>
  <c r="N113" i="158"/>
  <c r="M113" i="158"/>
  <c r="L113" i="158"/>
  <c r="K113" i="158"/>
  <c r="H113" i="158"/>
  <c r="A113" i="158"/>
  <c r="N112" i="158"/>
  <c r="M112" i="158"/>
  <c r="L112" i="158"/>
  <c r="K112" i="158"/>
  <c r="H112" i="158"/>
  <c r="A112" i="158"/>
  <c r="N111" i="158"/>
  <c r="M111" i="158"/>
  <c r="L111" i="158"/>
  <c r="K111" i="158"/>
  <c r="H111" i="158"/>
  <c r="A111" i="158"/>
  <c r="N110" i="158"/>
  <c r="M110" i="158"/>
  <c r="L110" i="158"/>
  <c r="K110" i="158"/>
  <c r="H110" i="158"/>
  <c r="A110" i="158"/>
  <c r="N109" i="158"/>
  <c r="M109" i="158"/>
  <c r="L109" i="158"/>
  <c r="K109" i="158"/>
  <c r="H109" i="158"/>
  <c r="A109" i="158"/>
  <c r="N108" i="158"/>
  <c r="M108" i="158"/>
  <c r="L108" i="158"/>
  <c r="K108" i="158"/>
  <c r="H108" i="158"/>
  <c r="A108" i="158"/>
  <c r="N107" i="158"/>
  <c r="M107" i="158"/>
  <c r="L107" i="158"/>
  <c r="K107" i="158"/>
  <c r="H107" i="158"/>
  <c r="A107" i="158"/>
  <c r="N106" i="158"/>
  <c r="M106" i="158"/>
  <c r="L106" i="158"/>
  <c r="K106" i="158"/>
  <c r="H106" i="158"/>
  <c r="A106" i="158"/>
  <c r="N105" i="158"/>
  <c r="M105" i="158"/>
  <c r="L105" i="158"/>
  <c r="K105" i="158"/>
  <c r="H105" i="158"/>
  <c r="A105" i="158"/>
  <c r="N104" i="158"/>
  <c r="M104" i="158"/>
  <c r="L104" i="158"/>
  <c r="K104" i="158"/>
  <c r="H104" i="158"/>
  <c r="A104" i="158"/>
  <c r="N103" i="158"/>
  <c r="M103" i="158"/>
  <c r="L103" i="158"/>
  <c r="K103" i="158"/>
  <c r="H103" i="158"/>
  <c r="A103" i="158"/>
  <c r="N102" i="158"/>
  <c r="M102" i="158"/>
  <c r="L102" i="158"/>
  <c r="K102" i="158"/>
  <c r="H102" i="158"/>
  <c r="A102" i="158"/>
  <c r="N101" i="158"/>
  <c r="M101" i="158"/>
  <c r="L101" i="158"/>
  <c r="K101" i="158"/>
  <c r="H101" i="158"/>
  <c r="A101" i="158"/>
  <c r="N100" i="158"/>
  <c r="M100" i="158"/>
  <c r="L100" i="158"/>
  <c r="K100" i="158"/>
  <c r="H100" i="158"/>
  <c r="A100" i="158"/>
  <c r="N99" i="158"/>
  <c r="M99" i="158"/>
  <c r="L99" i="158"/>
  <c r="K99" i="158"/>
  <c r="H99" i="158"/>
  <c r="A99" i="158"/>
  <c r="N98" i="158"/>
  <c r="M98" i="158"/>
  <c r="L98" i="158"/>
  <c r="K98" i="158"/>
  <c r="H98" i="158"/>
  <c r="A98" i="158"/>
  <c r="N97" i="158"/>
  <c r="M97" i="158"/>
  <c r="L97" i="158"/>
  <c r="K97" i="158"/>
  <c r="H97" i="158"/>
  <c r="A97" i="158"/>
  <c r="N96" i="158"/>
  <c r="M96" i="158"/>
  <c r="L96" i="158"/>
  <c r="K96" i="158"/>
  <c r="H96" i="158"/>
  <c r="A96" i="158"/>
  <c r="N95" i="158"/>
  <c r="M95" i="158"/>
  <c r="L95" i="158"/>
  <c r="K95" i="158"/>
  <c r="H95" i="158"/>
  <c r="A95" i="158"/>
  <c r="N94" i="158"/>
  <c r="M94" i="158"/>
  <c r="L94" i="158"/>
  <c r="K94" i="158"/>
  <c r="H94" i="158"/>
  <c r="A94" i="158"/>
  <c r="N93" i="158"/>
  <c r="M93" i="158"/>
  <c r="L93" i="158"/>
  <c r="K93" i="158"/>
  <c r="H93" i="158"/>
  <c r="A93" i="158"/>
  <c r="N92" i="158"/>
  <c r="M92" i="158"/>
  <c r="L92" i="158"/>
  <c r="K92" i="158"/>
  <c r="H92" i="158"/>
  <c r="A92" i="158"/>
  <c r="N91" i="158"/>
  <c r="M91" i="158"/>
  <c r="L91" i="158"/>
  <c r="K91" i="158"/>
  <c r="H91" i="158"/>
  <c r="A91" i="158"/>
  <c r="N90" i="158"/>
  <c r="M90" i="158"/>
  <c r="L90" i="158"/>
  <c r="K90" i="158"/>
  <c r="H90" i="158"/>
  <c r="A90" i="158"/>
  <c r="N89" i="158"/>
  <c r="M89" i="158"/>
  <c r="L89" i="158"/>
  <c r="K89" i="158"/>
  <c r="H89" i="158"/>
  <c r="A89" i="158"/>
  <c r="N88" i="158"/>
  <c r="M88" i="158"/>
  <c r="L88" i="158"/>
  <c r="K88" i="158"/>
  <c r="H88" i="158"/>
  <c r="A88" i="158"/>
  <c r="N87" i="158"/>
  <c r="M87" i="158"/>
  <c r="L87" i="158"/>
  <c r="K87" i="158"/>
  <c r="H87" i="158"/>
  <c r="A87" i="158"/>
  <c r="N86" i="158"/>
  <c r="M86" i="158"/>
  <c r="L86" i="158"/>
  <c r="K86" i="158"/>
  <c r="H86" i="158"/>
  <c r="A86" i="158"/>
  <c r="N85" i="158"/>
  <c r="M85" i="158"/>
  <c r="L85" i="158"/>
  <c r="K85" i="158"/>
  <c r="H85" i="158"/>
  <c r="A85" i="158"/>
  <c r="N84" i="158"/>
  <c r="M84" i="158"/>
  <c r="L84" i="158"/>
  <c r="K84" i="158"/>
  <c r="H84" i="158"/>
  <c r="A84" i="158"/>
  <c r="N83" i="158"/>
  <c r="M83" i="158"/>
  <c r="L83" i="158"/>
  <c r="K83" i="158"/>
  <c r="H83" i="158"/>
  <c r="A83" i="158"/>
  <c r="N82" i="158"/>
  <c r="M82" i="158"/>
  <c r="L82" i="158"/>
  <c r="K82" i="158"/>
  <c r="H82" i="158"/>
  <c r="A82" i="158"/>
  <c r="N81" i="158"/>
  <c r="M81" i="158"/>
  <c r="L81" i="158"/>
  <c r="K81" i="158"/>
  <c r="H81" i="158"/>
  <c r="A81" i="158"/>
  <c r="N80" i="158"/>
  <c r="M80" i="158"/>
  <c r="L80" i="158"/>
  <c r="K80" i="158"/>
  <c r="H80" i="158"/>
  <c r="A80" i="158"/>
  <c r="N79" i="158"/>
  <c r="M79" i="158"/>
  <c r="L79" i="158"/>
  <c r="K79" i="158"/>
  <c r="H79" i="158"/>
  <c r="A79" i="158"/>
  <c r="N78" i="158"/>
  <c r="M78" i="158"/>
  <c r="L78" i="158"/>
  <c r="K78" i="158"/>
  <c r="H78" i="158"/>
  <c r="A78" i="158"/>
  <c r="N77" i="158"/>
  <c r="M77" i="158"/>
  <c r="L77" i="158"/>
  <c r="K77" i="158"/>
  <c r="H77" i="158"/>
  <c r="A77" i="158"/>
  <c r="N76" i="158"/>
  <c r="M76" i="158"/>
  <c r="L76" i="158"/>
  <c r="K76" i="158"/>
  <c r="H76" i="158"/>
  <c r="A76" i="158"/>
  <c r="N75" i="158"/>
  <c r="M75" i="158"/>
  <c r="L75" i="158"/>
  <c r="K75" i="158"/>
  <c r="H75" i="158"/>
  <c r="A75" i="158"/>
  <c r="N74" i="158"/>
  <c r="M74" i="158"/>
  <c r="L74" i="158"/>
  <c r="K74" i="158"/>
  <c r="H74" i="158"/>
  <c r="A74" i="158"/>
  <c r="N73" i="158"/>
  <c r="M73" i="158"/>
  <c r="L73" i="158"/>
  <c r="K73" i="158"/>
  <c r="H73" i="158"/>
  <c r="A73" i="158"/>
  <c r="N72" i="158"/>
  <c r="M72" i="158"/>
  <c r="L72" i="158"/>
  <c r="K72" i="158"/>
  <c r="H72" i="158"/>
  <c r="A72" i="158"/>
  <c r="N71" i="158"/>
  <c r="M71" i="158"/>
  <c r="L71" i="158"/>
  <c r="K71" i="158"/>
  <c r="H71" i="158"/>
  <c r="A71" i="158"/>
  <c r="N70" i="158"/>
  <c r="M70" i="158"/>
  <c r="L70" i="158"/>
  <c r="K70" i="158"/>
  <c r="H70" i="158"/>
  <c r="A70" i="158"/>
  <c r="N69" i="158"/>
  <c r="M69" i="158"/>
  <c r="L69" i="158"/>
  <c r="K69" i="158"/>
  <c r="H69" i="158"/>
  <c r="A69" i="158"/>
  <c r="N68" i="158"/>
  <c r="M68" i="158"/>
  <c r="L68" i="158"/>
  <c r="K68" i="158"/>
  <c r="H68" i="158"/>
  <c r="A68" i="158"/>
  <c r="N67" i="158"/>
  <c r="M67" i="158"/>
  <c r="L67" i="158"/>
  <c r="K67" i="158"/>
  <c r="H67" i="158"/>
  <c r="A67" i="158"/>
  <c r="N66" i="158"/>
  <c r="M66" i="158"/>
  <c r="L66" i="158"/>
  <c r="K66" i="158"/>
  <c r="H66" i="158"/>
  <c r="A66" i="158"/>
  <c r="N65" i="158"/>
  <c r="M65" i="158"/>
  <c r="L65" i="158"/>
  <c r="K65" i="158"/>
  <c r="H65" i="158"/>
  <c r="A65" i="158"/>
  <c r="N64" i="158"/>
  <c r="M64" i="158"/>
  <c r="L64" i="158"/>
  <c r="K64" i="158"/>
  <c r="H64" i="158"/>
  <c r="A64" i="158"/>
  <c r="N63" i="158"/>
  <c r="M63" i="158"/>
  <c r="L63" i="158"/>
  <c r="K63" i="158"/>
  <c r="H63" i="158"/>
  <c r="A63" i="158"/>
  <c r="N62" i="158"/>
  <c r="M62" i="158"/>
  <c r="L62" i="158"/>
  <c r="K62" i="158"/>
  <c r="H62" i="158"/>
  <c r="A62" i="158"/>
  <c r="N61" i="158"/>
  <c r="M61" i="158"/>
  <c r="L61" i="158"/>
  <c r="K61" i="158"/>
  <c r="H61" i="158"/>
  <c r="A61" i="158"/>
  <c r="N60" i="158"/>
  <c r="M60" i="158"/>
  <c r="L60" i="158"/>
  <c r="K60" i="158"/>
  <c r="H60" i="158"/>
  <c r="A60" i="158"/>
  <c r="N59" i="158"/>
  <c r="M59" i="158"/>
  <c r="L59" i="158"/>
  <c r="K59" i="158"/>
  <c r="H59" i="158"/>
  <c r="A59" i="158"/>
  <c r="N58" i="158"/>
  <c r="M58" i="158"/>
  <c r="L58" i="158"/>
  <c r="K58" i="158"/>
  <c r="H58" i="158"/>
  <c r="A58" i="158"/>
  <c r="N57" i="158"/>
  <c r="M57" i="158"/>
  <c r="L57" i="158"/>
  <c r="K57" i="158"/>
  <c r="H57" i="158"/>
  <c r="A57" i="158"/>
  <c r="N56" i="158"/>
  <c r="M56" i="158"/>
  <c r="L56" i="158"/>
  <c r="K56" i="158"/>
  <c r="H56" i="158"/>
  <c r="A56" i="158"/>
  <c r="N55" i="158"/>
  <c r="M55" i="158"/>
  <c r="L55" i="158"/>
  <c r="K55" i="158"/>
  <c r="H55" i="158"/>
  <c r="A55" i="158"/>
  <c r="N54" i="158"/>
  <c r="M54" i="158"/>
  <c r="L54" i="158"/>
  <c r="K54" i="158"/>
  <c r="H54" i="158"/>
  <c r="A54" i="158"/>
  <c r="N53" i="158"/>
  <c r="M53" i="158"/>
  <c r="L53" i="158"/>
  <c r="K53" i="158"/>
  <c r="H53" i="158"/>
  <c r="A53" i="158"/>
  <c r="N52" i="158"/>
  <c r="M52" i="158"/>
  <c r="L52" i="158"/>
  <c r="K52" i="158"/>
  <c r="H52" i="158"/>
  <c r="A52" i="158"/>
  <c r="N51" i="158"/>
  <c r="M51" i="158"/>
  <c r="L51" i="158"/>
  <c r="K51" i="158"/>
  <c r="H51" i="158"/>
  <c r="A51" i="158"/>
  <c r="N50" i="158"/>
  <c r="M50" i="158"/>
  <c r="L50" i="158"/>
  <c r="K50" i="158"/>
  <c r="H50" i="158"/>
  <c r="A50" i="158"/>
  <c r="N49" i="158"/>
  <c r="M49" i="158"/>
  <c r="L49" i="158"/>
  <c r="K49" i="158"/>
  <c r="H49" i="158"/>
  <c r="A49" i="158"/>
  <c r="N48" i="158"/>
  <c r="M48" i="158"/>
  <c r="L48" i="158"/>
  <c r="K48" i="158"/>
  <c r="H48" i="158"/>
  <c r="A48" i="158"/>
  <c r="N47" i="158"/>
  <c r="M47" i="158"/>
  <c r="L47" i="158"/>
  <c r="K47" i="158"/>
  <c r="H47" i="158"/>
  <c r="A47" i="158"/>
  <c r="N46" i="158"/>
  <c r="M46" i="158"/>
  <c r="L46" i="158"/>
  <c r="K46" i="158"/>
  <c r="H46" i="158"/>
  <c r="A46" i="158"/>
  <c r="N45" i="158"/>
  <c r="M45" i="158"/>
  <c r="L45" i="158"/>
  <c r="K45" i="158"/>
  <c r="H45" i="158"/>
  <c r="A45" i="158"/>
  <c r="N44" i="158"/>
  <c r="M44" i="158"/>
  <c r="L44" i="158"/>
  <c r="K44" i="158"/>
  <c r="H44" i="158"/>
  <c r="A44" i="158"/>
  <c r="N43" i="158"/>
  <c r="M43" i="158"/>
  <c r="L43" i="158"/>
  <c r="K43" i="158"/>
  <c r="H43" i="158"/>
  <c r="A43" i="158"/>
  <c r="N42" i="158"/>
  <c r="M42" i="158"/>
  <c r="L42" i="158"/>
  <c r="K42" i="158"/>
  <c r="H42" i="158"/>
  <c r="A42" i="158"/>
  <c r="N41" i="158"/>
  <c r="M41" i="158"/>
  <c r="L41" i="158"/>
  <c r="K41" i="158"/>
  <c r="H41" i="158"/>
  <c r="A41" i="158"/>
  <c r="N40" i="158"/>
  <c r="M40" i="158"/>
  <c r="L40" i="158"/>
  <c r="K40" i="158"/>
  <c r="H40" i="158"/>
  <c r="A40" i="158"/>
  <c r="N39" i="158"/>
  <c r="M39" i="158"/>
  <c r="L39" i="158"/>
  <c r="K39" i="158"/>
  <c r="H39" i="158"/>
  <c r="A39" i="158"/>
  <c r="N38" i="158"/>
  <c r="M38" i="158"/>
  <c r="L38" i="158"/>
  <c r="K38" i="158"/>
  <c r="H38" i="158"/>
  <c r="A38" i="158"/>
  <c r="N37" i="158"/>
  <c r="M37" i="158"/>
  <c r="L37" i="158"/>
  <c r="K37" i="158"/>
  <c r="H37" i="158"/>
  <c r="A37" i="158"/>
  <c r="N36" i="158"/>
  <c r="M36" i="158"/>
  <c r="L36" i="158"/>
  <c r="K36" i="158"/>
  <c r="H36" i="158"/>
  <c r="A36" i="158"/>
  <c r="N35" i="158"/>
  <c r="M35" i="158"/>
  <c r="L35" i="158"/>
  <c r="K35" i="158"/>
  <c r="H35" i="158"/>
  <c r="A35" i="158"/>
  <c r="N34" i="158"/>
  <c r="M34" i="158"/>
  <c r="L34" i="158"/>
  <c r="K34" i="158"/>
  <c r="H34" i="158"/>
  <c r="A34" i="158"/>
  <c r="N33" i="158"/>
  <c r="M33" i="158"/>
  <c r="L33" i="158"/>
  <c r="K33" i="158"/>
  <c r="H33" i="158"/>
  <c r="A33" i="158"/>
  <c r="N32" i="158"/>
  <c r="M32" i="158"/>
  <c r="L32" i="158"/>
  <c r="K32" i="158"/>
  <c r="H32" i="158"/>
  <c r="A32" i="158"/>
  <c r="N31" i="158"/>
  <c r="M31" i="158"/>
  <c r="L31" i="158"/>
  <c r="K31" i="158"/>
  <c r="H31" i="158"/>
  <c r="A31" i="158"/>
  <c r="N30" i="158"/>
  <c r="M30" i="158"/>
  <c r="L30" i="158"/>
  <c r="K30" i="158"/>
  <c r="H30" i="158"/>
  <c r="A30" i="158"/>
  <c r="N29" i="158"/>
  <c r="M29" i="158"/>
  <c r="L29" i="158"/>
  <c r="K29" i="158"/>
  <c r="H29" i="158"/>
  <c r="A29" i="158"/>
  <c r="N28" i="158"/>
  <c r="M28" i="158"/>
  <c r="L28" i="158"/>
  <c r="K28" i="158"/>
  <c r="H28" i="158"/>
  <c r="A28" i="158"/>
  <c r="N27" i="158"/>
  <c r="M27" i="158"/>
  <c r="L27" i="158"/>
  <c r="K27" i="158"/>
  <c r="H27" i="158"/>
  <c r="A27" i="158"/>
  <c r="N26" i="158"/>
  <c r="M26" i="158"/>
  <c r="L26" i="158"/>
  <c r="K26" i="158"/>
  <c r="H26" i="158"/>
  <c r="A26" i="158"/>
  <c r="N25" i="158"/>
  <c r="M25" i="158"/>
  <c r="L25" i="158"/>
  <c r="K25" i="158"/>
  <c r="H25" i="158"/>
  <c r="A25" i="158"/>
  <c r="N24" i="158"/>
  <c r="M24" i="158"/>
  <c r="L24" i="158"/>
  <c r="K24" i="158"/>
  <c r="H24" i="158"/>
  <c r="A24" i="158"/>
  <c r="N23" i="158"/>
  <c r="M23" i="158"/>
  <c r="L23" i="158"/>
  <c r="K23" i="158"/>
  <c r="H23" i="158"/>
  <c r="A23" i="158"/>
  <c r="N22" i="158"/>
  <c r="M22" i="158"/>
  <c r="L22" i="158"/>
  <c r="K22" i="158"/>
  <c r="H22" i="158"/>
  <c r="A22" i="158"/>
  <c r="N21" i="158"/>
  <c r="M21" i="158"/>
  <c r="L21" i="158"/>
  <c r="K21" i="158"/>
  <c r="H21" i="158"/>
  <c r="A21" i="158"/>
  <c r="N20" i="158"/>
  <c r="M20" i="158"/>
  <c r="L20" i="158"/>
  <c r="K20" i="158"/>
  <c r="H20" i="158"/>
  <c r="A20" i="158"/>
  <c r="N19" i="158"/>
  <c r="M19" i="158"/>
  <c r="L19" i="158"/>
  <c r="K19" i="158"/>
  <c r="H19" i="158"/>
  <c r="A19" i="158"/>
  <c r="N18" i="158"/>
  <c r="M18" i="158"/>
  <c r="L18" i="158"/>
  <c r="K18" i="158"/>
  <c r="H18" i="158"/>
  <c r="A18" i="158"/>
  <c r="N17" i="158"/>
  <c r="M17" i="158"/>
  <c r="L17" i="158"/>
  <c r="K17" i="158"/>
  <c r="H17" i="158"/>
  <c r="A17" i="158"/>
  <c r="N16" i="158"/>
  <c r="M16" i="158"/>
  <c r="L16" i="158"/>
  <c r="K16" i="158"/>
  <c r="H16" i="158"/>
  <c r="A16" i="158"/>
  <c r="N15" i="158"/>
  <c r="M15" i="158"/>
  <c r="L15" i="158"/>
  <c r="K15" i="158"/>
  <c r="H15" i="158"/>
  <c r="A15" i="158"/>
  <c r="N14" i="158"/>
  <c r="M14" i="158"/>
  <c r="L14" i="158"/>
  <c r="K14" i="158"/>
  <c r="H14" i="158"/>
  <c r="A14" i="158"/>
  <c r="N13" i="158"/>
  <c r="M13" i="158"/>
  <c r="L13" i="158"/>
  <c r="K13" i="158"/>
  <c r="H13" i="158"/>
  <c r="A13" i="158"/>
  <c r="N12" i="158"/>
  <c r="M12" i="158"/>
  <c r="L12" i="158"/>
  <c r="K12" i="158"/>
  <c r="H12" i="158"/>
  <c r="A12" i="158"/>
  <c r="N11" i="158"/>
  <c r="M11" i="158"/>
  <c r="L11" i="158"/>
  <c r="K11" i="158"/>
  <c r="H11" i="158"/>
  <c r="A11" i="158"/>
  <c r="N10" i="158"/>
  <c r="M10" i="158"/>
  <c r="L10" i="158"/>
  <c r="K10" i="158"/>
  <c r="H10" i="158"/>
  <c r="A10" i="158"/>
  <c r="N9" i="158"/>
  <c r="M9" i="158"/>
  <c r="L9" i="158"/>
  <c r="K9" i="158"/>
  <c r="H9" i="158"/>
  <c r="A9" i="158"/>
  <c r="N8" i="158"/>
  <c r="M8" i="158"/>
  <c r="L8" i="158"/>
  <c r="K8" i="158"/>
  <c r="H8" i="158"/>
  <c r="A8" i="158"/>
  <c r="N7" i="158"/>
  <c r="M7" i="158"/>
  <c r="L7" i="158"/>
  <c r="K7" i="158"/>
  <c r="H7" i="158"/>
  <c r="A7" i="158"/>
  <c r="N6" i="158"/>
  <c r="M6" i="158"/>
  <c r="L6" i="158"/>
  <c r="K6" i="158"/>
  <c r="H6" i="158"/>
  <c r="A6" i="158"/>
  <c r="N5" i="158"/>
  <c r="M5" i="158"/>
  <c r="L5" i="158"/>
  <c r="K5" i="158"/>
  <c r="H5" i="158"/>
  <c r="A5" i="158"/>
  <c r="N4" i="158"/>
  <c r="M4" i="158"/>
  <c r="L4" i="158"/>
  <c r="K4" i="158"/>
  <c r="H4" i="158"/>
  <c r="A4" i="158"/>
  <c r="N3" i="158"/>
  <c r="M3" i="158"/>
  <c r="L3" i="158"/>
  <c r="K3" i="158"/>
  <c r="H3" i="158"/>
  <c r="A3" i="158"/>
  <c r="N2" i="158"/>
  <c r="M2" i="158"/>
  <c r="L2" i="158"/>
  <c r="K2" i="158"/>
  <c r="H2" i="158"/>
  <c r="A2" i="158"/>
  <c r="F48" i="157"/>
  <c r="F47" i="157"/>
  <c r="B40" i="157"/>
  <c r="B41" i="157"/>
  <c r="B42" i="157"/>
  <c r="B43" i="157"/>
  <c r="B44" i="157"/>
  <c r="B45" i="157"/>
  <c r="B46" i="157"/>
  <c r="B47" i="157"/>
  <c r="C40" i="157"/>
  <c r="C41" i="157"/>
  <c r="C42" i="157"/>
  <c r="C43" i="157"/>
  <c r="C44" i="157"/>
  <c r="C45" i="157"/>
  <c r="C46" i="157"/>
  <c r="C47" i="157"/>
  <c r="F46" i="157"/>
  <c r="F45" i="157"/>
  <c r="F42" i="157"/>
  <c r="G42" i="157"/>
  <c r="F40" i="157"/>
  <c r="G40" i="157"/>
  <c r="B32" i="157"/>
  <c r="D32" i="157"/>
  <c r="I31" i="157"/>
  <c r="J31" i="157"/>
  <c r="F31" i="157"/>
  <c r="D31" i="157"/>
  <c r="I30" i="157"/>
  <c r="J30" i="157"/>
  <c r="F30" i="157"/>
  <c r="D30" i="157"/>
  <c r="I29" i="157"/>
  <c r="J29" i="157"/>
  <c r="F29" i="157"/>
  <c r="D29" i="157"/>
  <c r="I28" i="157"/>
  <c r="J28" i="157"/>
  <c r="F28" i="157"/>
  <c r="D28" i="157"/>
  <c r="I27" i="157"/>
  <c r="J27" i="157"/>
  <c r="F27" i="157"/>
  <c r="D27" i="157"/>
  <c r="I26" i="157"/>
  <c r="J26" i="157"/>
  <c r="F26" i="157"/>
  <c r="D26" i="157"/>
  <c r="I25" i="157"/>
  <c r="J25" i="157"/>
  <c r="F25" i="157"/>
  <c r="D25" i="157"/>
  <c r="I24" i="157"/>
  <c r="J24" i="157"/>
  <c r="F24" i="157"/>
  <c r="D24" i="157"/>
  <c r="I23" i="157"/>
  <c r="J23" i="157"/>
  <c r="F23" i="157"/>
  <c r="D23" i="157"/>
  <c r="I22" i="157"/>
  <c r="J22" i="157"/>
  <c r="F22" i="157"/>
  <c r="D22" i="157"/>
  <c r="I21" i="157"/>
  <c r="J21" i="157"/>
  <c r="F21" i="157"/>
  <c r="D21" i="157"/>
  <c r="R20" i="157"/>
  <c r="P20" i="157"/>
  <c r="O20" i="157"/>
  <c r="M20" i="157"/>
  <c r="I20" i="157"/>
  <c r="J20" i="157"/>
  <c r="F20" i="157"/>
  <c r="D20" i="157"/>
  <c r="R19" i="157"/>
  <c r="P19" i="157"/>
  <c r="O19" i="157"/>
  <c r="M19" i="157"/>
  <c r="I19" i="157"/>
  <c r="J19" i="157"/>
  <c r="F19" i="157"/>
  <c r="D19" i="157"/>
  <c r="R18" i="157"/>
  <c r="P18" i="157"/>
  <c r="O18" i="157"/>
  <c r="M18" i="157"/>
  <c r="I18" i="157"/>
  <c r="J18" i="157"/>
  <c r="F18" i="157"/>
  <c r="C18" i="157"/>
  <c r="D18" i="157"/>
  <c r="R17" i="157"/>
  <c r="P17" i="157"/>
  <c r="O17" i="157"/>
  <c r="M17" i="157"/>
  <c r="I17" i="157"/>
  <c r="J17" i="157"/>
  <c r="F17" i="157"/>
  <c r="C17" i="157"/>
  <c r="D17" i="157"/>
  <c r="V16" i="157"/>
  <c r="R16" i="157"/>
  <c r="P16" i="157"/>
  <c r="O16" i="157"/>
  <c r="M16" i="157"/>
  <c r="V15" i="157"/>
  <c r="R15" i="157"/>
  <c r="P15" i="157"/>
  <c r="O15" i="157"/>
  <c r="M15" i="157"/>
  <c r="V14" i="157"/>
  <c r="R14" i="157"/>
  <c r="P14" i="157"/>
  <c r="O14" i="157"/>
  <c r="M14" i="157"/>
  <c r="V13" i="157"/>
  <c r="R13" i="157"/>
  <c r="P13" i="157"/>
  <c r="O13" i="157"/>
  <c r="M13" i="157"/>
  <c r="V12" i="157"/>
  <c r="R12" i="157"/>
  <c r="P12" i="157"/>
  <c r="O12" i="157"/>
  <c r="M12" i="157"/>
  <c r="V11" i="157"/>
  <c r="R11" i="157"/>
  <c r="P11" i="157"/>
  <c r="O11" i="157"/>
  <c r="M11" i="157"/>
  <c r="V10" i="157"/>
  <c r="P10" i="157"/>
  <c r="O10" i="157"/>
  <c r="M10" i="157"/>
  <c r="V9" i="157"/>
  <c r="P9" i="157"/>
  <c r="O9" i="157"/>
  <c r="M9" i="157"/>
  <c r="V8" i="157"/>
  <c r="P8" i="157"/>
  <c r="O8" i="157"/>
  <c r="M8" i="157"/>
  <c r="V7" i="157"/>
  <c r="P7" i="157"/>
  <c r="O7" i="157"/>
  <c r="M7" i="157"/>
  <c r="V6" i="157"/>
  <c r="P6" i="157"/>
  <c r="O6" i="157"/>
  <c r="M6" i="157"/>
  <c r="V5" i="157"/>
  <c r="P5" i="157"/>
  <c r="O5" i="157"/>
  <c r="M5" i="157"/>
  <c r="V4" i="157"/>
  <c r="P4" i="157"/>
  <c r="O4" i="157"/>
  <c r="M4" i="157"/>
  <c r="V3" i="157"/>
  <c r="P3" i="157"/>
  <c r="O3" i="157"/>
  <c r="M3" i="157"/>
  <c r="V2" i="157"/>
  <c r="A285" i="154"/>
  <c r="H285" i="154"/>
  <c r="K285" i="154"/>
  <c r="L285" i="154"/>
  <c r="M285" i="154"/>
  <c r="N285" i="154"/>
  <c r="G30" i="153"/>
  <c r="E30" i="153"/>
  <c r="H30" i="153"/>
  <c r="G31" i="153"/>
  <c r="E31" i="153"/>
  <c r="H31" i="153"/>
  <c r="A286" i="154"/>
  <c r="H286" i="154"/>
  <c r="K286" i="154"/>
  <c r="L286" i="154"/>
  <c r="M286" i="154"/>
  <c r="N286" i="154"/>
  <c r="A284" i="154"/>
  <c r="H284" i="154"/>
  <c r="K284" i="154"/>
  <c r="L284" i="154"/>
  <c r="M284" i="154"/>
  <c r="N284" i="154"/>
  <c r="C5" i="103"/>
  <c r="E5" i="103"/>
  <c r="C6" i="103"/>
  <c r="E6" i="103"/>
  <c r="C2" i="103"/>
  <c r="E2" i="103"/>
  <c r="N283" i="154"/>
  <c r="M283" i="154"/>
  <c r="L283" i="154"/>
  <c r="K283" i="154"/>
  <c r="H283" i="154"/>
  <c r="A283" i="154"/>
  <c r="N282" i="154"/>
  <c r="M282" i="154"/>
  <c r="L282" i="154"/>
  <c r="K282" i="154"/>
  <c r="H282" i="154"/>
  <c r="A282" i="154"/>
  <c r="N281" i="154"/>
  <c r="M281" i="154"/>
  <c r="L281" i="154"/>
  <c r="K281" i="154"/>
  <c r="H281" i="154"/>
  <c r="A281" i="154"/>
  <c r="N280" i="154"/>
  <c r="M280" i="154"/>
  <c r="L280" i="154"/>
  <c r="K280" i="154"/>
  <c r="H280" i="154"/>
  <c r="A280" i="154"/>
  <c r="N279" i="154"/>
  <c r="M279" i="154"/>
  <c r="L279" i="154"/>
  <c r="K279" i="154"/>
  <c r="H279" i="154"/>
  <c r="A279" i="154"/>
  <c r="N278" i="154"/>
  <c r="M278" i="154"/>
  <c r="L278" i="154"/>
  <c r="K278" i="154"/>
  <c r="H278" i="154"/>
  <c r="A278" i="154"/>
  <c r="N277" i="154"/>
  <c r="M277" i="154"/>
  <c r="L277" i="154"/>
  <c r="K277" i="154"/>
  <c r="H277" i="154"/>
  <c r="A277" i="154"/>
  <c r="N276" i="154"/>
  <c r="M276" i="154"/>
  <c r="L276" i="154"/>
  <c r="K276" i="154"/>
  <c r="H276" i="154"/>
  <c r="A276" i="154"/>
  <c r="N275" i="154"/>
  <c r="M275" i="154"/>
  <c r="L275" i="154"/>
  <c r="K275" i="154"/>
  <c r="H275" i="154"/>
  <c r="A275" i="154"/>
  <c r="N274" i="154"/>
  <c r="M274" i="154"/>
  <c r="L274" i="154"/>
  <c r="K274" i="154"/>
  <c r="H274" i="154"/>
  <c r="A274" i="154"/>
  <c r="N273" i="154"/>
  <c r="M273" i="154"/>
  <c r="L273" i="154"/>
  <c r="K273" i="154"/>
  <c r="H273" i="154"/>
  <c r="A273" i="154"/>
  <c r="N272" i="154"/>
  <c r="M272" i="154"/>
  <c r="L272" i="154"/>
  <c r="K272" i="154"/>
  <c r="H272" i="154"/>
  <c r="A272" i="154"/>
  <c r="N271" i="154"/>
  <c r="M271" i="154"/>
  <c r="L271" i="154"/>
  <c r="K271" i="154"/>
  <c r="H271" i="154"/>
  <c r="A271" i="154"/>
  <c r="N270" i="154"/>
  <c r="M270" i="154"/>
  <c r="L270" i="154"/>
  <c r="K270" i="154"/>
  <c r="H270" i="154"/>
  <c r="A270" i="154"/>
  <c r="N269" i="154"/>
  <c r="M269" i="154"/>
  <c r="L269" i="154"/>
  <c r="K269" i="154"/>
  <c r="H269" i="154"/>
  <c r="A269" i="154"/>
  <c r="N268" i="154"/>
  <c r="M268" i="154"/>
  <c r="L268" i="154"/>
  <c r="K268" i="154"/>
  <c r="H268" i="154"/>
  <c r="A268" i="154"/>
  <c r="N267" i="154"/>
  <c r="M267" i="154"/>
  <c r="L267" i="154"/>
  <c r="K267" i="154"/>
  <c r="H267" i="154"/>
  <c r="A267" i="154"/>
  <c r="N266" i="154"/>
  <c r="M266" i="154"/>
  <c r="L266" i="154"/>
  <c r="K266" i="154"/>
  <c r="H266" i="154"/>
  <c r="A266" i="154"/>
  <c r="N265" i="154"/>
  <c r="M265" i="154"/>
  <c r="L265" i="154"/>
  <c r="K265" i="154"/>
  <c r="H265" i="154"/>
  <c r="A265" i="154"/>
  <c r="N264" i="154"/>
  <c r="M264" i="154"/>
  <c r="L264" i="154"/>
  <c r="K264" i="154"/>
  <c r="H264" i="154"/>
  <c r="A264" i="154"/>
  <c r="N263" i="154"/>
  <c r="M263" i="154"/>
  <c r="L263" i="154"/>
  <c r="K263" i="154"/>
  <c r="H263" i="154"/>
  <c r="A263" i="154"/>
  <c r="N262" i="154"/>
  <c r="M262" i="154"/>
  <c r="L262" i="154"/>
  <c r="K262" i="154"/>
  <c r="H262" i="154"/>
  <c r="A262" i="154"/>
  <c r="N261" i="154"/>
  <c r="M261" i="154"/>
  <c r="L261" i="154"/>
  <c r="K261" i="154"/>
  <c r="H261" i="154"/>
  <c r="A261" i="154"/>
  <c r="N260" i="154"/>
  <c r="M260" i="154"/>
  <c r="L260" i="154"/>
  <c r="K260" i="154"/>
  <c r="H260" i="154"/>
  <c r="A260" i="154"/>
  <c r="N259" i="154"/>
  <c r="M259" i="154"/>
  <c r="L259" i="154"/>
  <c r="K259" i="154"/>
  <c r="H259" i="154"/>
  <c r="A259" i="154"/>
  <c r="N258" i="154"/>
  <c r="M258" i="154"/>
  <c r="L258" i="154"/>
  <c r="K258" i="154"/>
  <c r="H258" i="154"/>
  <c r="A258" i="154"/>
  <c r="N257" i="154"/>
  <c r="M257" i="154"/>
  <c r="L257" i="154"/>
  <c r="K257" i="154"/>
  <c r="H257" i="154"/>
  <c r="A257" i="154"/>
  <c r="N256" i="154"/>
  <c r="M256" i="154"/>
  <c r="L256" i="154"/>
  <c r="K256" i="154"/>
  <c r="H256" i="154"/>
  <c r="A256" i="154"/>
  <c r="N255" i="154"/>
  <c r="M255" i="154"/>
  <c r="L255" i="154"/>
  <c r="K255" i="154"/>
  <c r="H255" i="154"/>
  <c r="A255" i="154"/>
  <c r="N254" i="154"/>
  <c r="M254" i="154"/>
  <c r="L254" i="154"/>
  <c r="K254" i="154"/>
  <c r="H254" i="154"/>
  <c r="A254" i="154"/>
  <c r="N253" i="154"/>
  <c r="M253" i="154"/>
  <c r="L253" i="154"/>
  <c r="K253" i="154"/>
  <c r="H253" i="154"/>
  <c r="A253" i="154"/>
  <c r="N252" i="154"/>
  <c r="M252" i="154"/>
  <c r="L252" i="154"/>
  <c r="K252" i="154"/>
  <c r="H252" i="154"/>
  <c r="A252" i="154"/>
  <c r="N251" i="154"/>
  <c r="M251" i="154"/>
  <c r="L251" i="154"/>
  <c r="K251" i="154"/>
  <c r="H251" i="154"/>
  <c r="A251" i="154"/>
  <c r="N250" i="154"/>
  <c r="M250" i="154"/>
  <c r="L250" i="154"/>
  <c r="K250" i="154"/>
  <c r="H250" i="154"/>
  <c r="A250" i="154"/>
  <c r="N249" i="154"/>
  <c r="M249" i="154"/>
  <c r="L249" i="154"/>
  <c r="K249" i="154"/>
  <c r="H249" i="154"/>
  <c r="A249" i="154"/>
  <c r="N248" i="154"/>
  <c r="M248" i="154"/>
  <c r="L248" i="154"/>
  <c r="K248" i="154"/>
  <c r="H248" i="154"/>
  <c r="A248" i="154"/>
  <c r="N247" i="154"/>
  <c r="M247" i="154"/>
  <c r="L247" i="154"/>
  <c r="K247" i="154"/>
  <c r="H247" i="154"/>
  <c r="A247" i="154"/>
  <c r="N246" i="154"/>
  <c r="M246" i="154"/>
  <c r="L246" i="154"/>
  <c r="K246" i="154"/>
  <c r="H246" i="154"/>
  <c r="A246" i="154"/>
  <c r="N245" i="154"/>
  <c r="M245" i="154"/>
  <c r="L245" i="154"/>
  <c r="K245" i="154"/>
  <c r="H245" i="154"/>
  <c r="A245" i="154"/>
  <c r="N244" i="154"/>
  <c r="M244" i="154"/>
  <c r="L244" i="154"/>
  <c r="K244" i="154"/>
  <c r="H244" i="154"/>
  <c r="A244" i="154"/>
  <c r="N243" i="154"/>
  <c r="M243" i="154"/>
  <c r="L243" i="154"/>
  <c r="K243" i="154"/>
  <c r="H243" i="154"/>
  <c r="A243" i="154"/>
  <c r="N242" i="154"/>
  <c r="M242" i="154"/>
  <c r="L242" i="154"/>
  <c r="K242" i="154"/>
  <c r="H242" i="154"/>
  <c r="A242" i="154"/>
  <c r="N241" i="154"/>
  <c r="M241" i="154"/>
  <c r="L241" i="154"/>
  <c r="K241" i="154"/>
  <c r="H241" i="154"/>
  <c r="A241" i="154"/>
  <c r="N240" i="154"/>
  <c r="M240" i="154"/>
  <c r="L240" i="154"/>
  <c r="K240" i="154"/>
  <c r="H240" i="154"/>
  <c r="A240" i="154"/>
  <c r="N239" i="154"/>
  <c r="M239" i="154"/>
  <c r="L239" i="154"/>
  <c r="K239" i="154"/>
  <c r="H239" i="154"/>
  <c r="A239" i="154"/>
  <c r="N238" i="154"/>
  <c r="M238" i="154"/>
  <c r="L238" i="154"/>
  <c r="K238" i="154"/>
  <c r="H238" i="154"/>
  <c r="A238" i="154"/>
  <c r="N237" i="154"/>
  <c r="M237" i="154"/>
  <c r="L237" i="154"/>
  <c r="K237" i="154"/>
  <c r="H237" i="154"/>
  <c r="A237" i="154"/>
  <c r="N236" i="154"/>
  <c r="M236" i="154"/>
  <c r="L236" i="154"/>
  <c r="K236" i="154"/>
  <c r="H236" i="154"/>
  <c r="A236" i="154"/>
  <c r="N235" i="154"/>
  <c r="M235" i="154"/>
  <c r="L235" i="154"/>
  <c r="K235" i="154"/>
  <c r="H235" i="154"/>
  <c r="A235" i="154"/>
  <c r="N234" i="154"/>
  <c r="M234" i="154"/>
  <c r="L234" i="154"/>
  <c r="K234" i="154"/>
  <c r="H234" i="154"/>
  <c r="A234" i="154"/>
  <c r="N233" i="154"/>
  <c r="M233" i="154"/>
  <c r="L233" i="154"/>
  <c r="K233" i="154"/>
  <c r="H233" i="154"/>
  <c r="A233" i="154"/>
  <c r="N232" i="154"/>
  <c r="M232" i="154"/>
  <c r="L232" i="154"/>
  <c r="K232" i="154"/>
  <c r="H232" i="154"/>
  <c r="A232" i="154"/>
  <c r="N231" i="154"/>
  <c r="M231" i="154"/>
  <c r="L231" i="154"/>
  <c r="K231" i="154"/>
  <c r="H231" i="154"/>
  <c r="A231" i="154"/>
  <c r="N230" i="154"/>
  <c r="M230" i="154"/>
  <c r="L230" i="154"/>
  <c r="K230" i="154"/>
  <c r="H230" i="154"/>
  <c r="A230" i="154"/>
  <c r="N229" i="154"/>
  <c r="M229" i="154"/>
  <c r="L229" i="154"/>
  <c r="K229" i="154"/>
  <c r="H229" i="154"/>
  <c r="A229" i="154"/>
  <c r="N228" i="154"/>
  <c r="M228" i="154"/>
  <c r="L228" i="154"/>
  <c r="K228" i="154"/>
  <c r="H228" i="154"/>
  <c r="A228" i="154"/>
  <c r="N227" i="154"/>
  <c r="M227" i="154"/>
  <c r="L227" i="154"/>
  <c r="K227" i="154"/>
  <c r="H227" i="154"/>
  <c r="A227" i="154"/>
  <c r="N226" i="154"/>
  <c r="M226" i="154"/>
  <c r="L226" i="154"/>
  <c r="K226" i="154"/>
  <c r="H226" i="154"/>
  <c r="A226" i="154"/>
  <c r="N225" i="154"/>
  <c r="M225" i="154"/>
  <c r="L225" i="154"/>
  <c r="K225" i="154"/>
  <c r="H225" i="154"/>
  <c r="A225" i="154"/>
  <c r="N224" i="154"/>
  <c r="M224" i="154"/>
  <c r="L224" i="154"/>
  <c r="K224" i="154"/>
  <c r="H224" i="154"/>
  <c r="A224" i="154"/>
  <c r="N223" i="154"/>
  <c r="M223" i="154"/>
  <c r="L223" i="154"/>
  <c r="K223" i="154"/>
  <c r="H223" i="154"/>
  <c r="A223" i="154"/>
  <c r="N222" i="154"/>
  <c r="M222" i="154"/>
  <c r="L222" i="154"/>
  <c r="K222" i="154"/>
  <c r="H222" i="154"/>
  <c r="A222" i="154"/>
  <c r="N221" i="154"/>
  <c r="M221" i="154"/>
  <c r="L221" i="154"/>
  <c r="K221" i="154"/>
  <c r="H221" i="154"/>
  <c r="A221" i="154"/>
  <c r="N220" i="154"/>
  <c r="M220" i="154"/>
  <c r="L220" i="154"/>
  <c r="K220" i="154"/>
  <c r="H220" i="154"/>
  <c r="A220" i="154"/>
  <c r="N219" i="154"/>
  <c r="M219" i="154"/>
  <c r="L219" i="154"/>
  <c r="K219" i="154"/>
  <c r="H219" i="154"/>
  <c r="A219" i="154"/>
  <c r="N218" i="154"/>
  <c r="M218" i="154"/>
  <c r="L218" i="154"/>
  <c r="K218" i="154"/>
  <c r="H218" i="154"/>
  <c r="A218" i="154"/>
  <c r="N217" i="154"/>
  <c r="M217" i="154"/>
  <c r="L217" i="154"/>
  <c r="K217" i="154"/>
  <c r="H217" i="154"/>
  <c r="A217" i="154"/>
  <c r="N216" i="154"/>
  <c r="M216" i="154"/>
  <c r="L216" i="154"/>
  <c r="K216" i="154"/>
  <c r="H216" i="154"/>
  <c r="A216" i="154"/>
  <c r="N215" i="154"/>
  <c r="M215" i="154"/>
  <c r="L215" i="154"/>
  <c r="K215" i="154"/>
  <c r="H215" i="154"/>
  <c r="A215" i="154"/>
  <c r="N214" i="154"/>
  <c r="M214" i="154"/>
  <c r="L214" i="154"/>
  <c r="K214" i="154"/>
  <c r="H214" i="154"/>
  <c r="A214" i="154"/>
  <c r="N213" i="154"/>
  <c r="M213" i="154"/>
  <c r="L213" i="154"/>
  <c r="K213" i="154"/>
  <c r="H213" i="154"/>
  <c r="A213" i="154"/>
  <c r="N212" i="154"/>
  <c r="M212" i="154"/>
  <c r="L212" i="154"/>
  <c r="K212" i="154"/>
  <c r="H212" i="154"/>
  <c r="A212" i="154"/>
  <c r="N211" i="154"/>
  <c r="M211" i="154"/>
  <c r="L211" i="154"/>
  <c r="K211" i="154"/>
  <c r="H211" i="154"/>
  <c r="A211" i="154"/>
  <c r="N210" i="154"/>
  <c r="M210" i="154"/>
  <c r="L210" i="154"/>
  <c r="K210" i="154"/>
  <c r="H210" i="154"/>
  <c r="A210" i="154"/>
  <c r="N209" i="154"/>
  <c r="M209" i="154"/>
  <c r="L209" i="154"/>
  <c r="K209" i="154"/>
  <c r="H209" i="154"/>
  <c r="A209" i="154"/>
  <c r="N208" i="154"/>
  <c r="M208" i="154"/>
  <c r="L208" i="154"/>
  <c r="K208" i="154"/>
  <c r="H208" i="154"/>
  <c r="A208" i="154"/>
  <c r="N207" i="154"/>
  <c r="M207" i="154"/>
  <c r="L207" i="154"/>
  <c r="K207" i="154"/>
  <c r="H207" i="154"/>
  <c r="A207" i="154"/>
  <c r="N206" i="154"/>
  <c r="M206" i="154"/>
  <c r="L206" i="154"/>
  <c r="K206" i="154"/>
  <c r="H206" i="154"/>
  <c r="A206" i="154"/>
  <c r="N205" i="154"/>
  <c r="M205" i="154"/>
  <c r="L205" i="154"/>
  <c r="K205" i="154"/>
  <c r="H205" i="154"/>
  <c r="A205" i="154"/>
  <c r="N204" i="154"/>
  <c r="M204" i="154"/>
  <c r="L204" i="154"/>
  <c r="K204" i="154"/>
  <c r="H204" i="154"/>
  <c r="A204" i="154"/>
  <c r="N203" i="154"/>
  <c r="M203" i="154"/>
  <c r="L203" i="154"/>
  <c r="K203" i="154"/>
  <c r="H203" i="154"/>
  <c r="A203" i="154"/>
  <c r="N202" i="154"/>
  <c r="M202" i="154"/>
  <c r="L202" i="154"/>
  <c r="K202" i="154"/>
  <c r="H202" i="154"/>
  <c r="A202" i="154"/>
  <c r="N201" i="154"/>
  <c r="M201" i="154"/>
  <c r="L201" i="154"/>
  <c r="K201" i="154"/>
  <c r="H201" i="154"/>
  <c r="A201" i="154"/>
  <c r="N200" i="154"/>
  <c r="M200" i="154"/>
  <c r="L200" i="154"/>
  <c r="K200" i="154"/>
  <c r="H200" i="154"/>
  <c r="A200" i="154"/>
  <c r="N199" i="154"/>
  <c r="M199" i="154"/>
  <c r="L199" i="154"/>
  <c r="K199" i="154"/>
  <c r="H199" i="154"/>
  <c r="A199" i="154"/>
  <c r="N198" i="154"/>
  <c r="M198" i="154"/>
  <c r="L198" i="154"/>
  <c r="K198" i="154"/>
  <c r="H198" i="154"/>
  <c r="A198" i="154"/>
  <c r="N197" i="154"/>
  <c r="M197" i="154"/>
  <c r="L197" i="154"/>
  <c r="K197" i="154"/>
  <c r="H197" i="154"/>
  <c r="A197" i="154"/>
  <c r="N196" i="154"/>
  <c r="M196" i="154"/>
  <c r="L196" i="154"/>
  <c r="K196" i="154"/>
  <c r="H196" i="154"/>
  <c r="A196" i="154"/>
  <c r="N195" i="154"/>
  <c r="M195" i="154"/>
  <c r="L195" i="154"/>
  <c r="K195" i="154"/>
  <c r="H195" i="154"/>
  <c r="A195" i="154"/>
  <c r="N194" i="154"/>
  <c r="M194" i="154"/>
  <c r="L194" i="154"/>
  <c r="K194" i="154"/>
  <c r="H194" i="154"/>
  <c r="A194" i="154"/>
  <c r="N193" i="154"/>
  <c r="M193" i="154"/>
  <c r="L193" i="154"/>
  <c r="K193" i="154"/>
  <c r="H193" i="154"/>
  <c r="A193" i="154"/>
  <c r="N192" i="154"/>
  <c r="M192" i="154"/>
  <c r="L192" i="154"/>
  <c r="K192" i="154"/>
  <c r="H192" i="154"/>
  <c r="A192" i="154"/>
  <c r="N191" i="154"/>
  <c r="M191" i="154"/>
  <c r="L191" i="154"/>
  <c r="K191" i="154"/>
  <c r="H191" i="154"/>
  <c r="A191" i="154"/>
  <c r="N190" i="154"/>
  <c r="M190" i="154"/>
  <c r="L190" i="154"/>
  <c r="K190" i="154"/>
  <c r="H190" i="154"/>
  <c r="A190" i="154"/>
  <c r="N189" i="154"/>
  <c r="M189" i="154"/>
  <c r="L189" i="154"/>
  <c r="K189" i="154"/>
  <c r="H189" i="154"/>
  <c r="A189" i="154"/>
  <c r="N188" i="154"/>
  <c r="M188" i="154"/>
  <c r="L188" i="154"/>
  <c r="K188" i="154"/>
  <c r="H188" i="154"/>
  <c r="A188" i="154"/>
  <c r="N187" i="154"/>
  <c r="M187" i="154"/>
  <c r="L187" i="154"/>
  <c r="K187" i="154"/>
  <c r="H187" i="154"/>
  <c r="A187" i="154"/>
  <c r="N186" i="154"/>
  <c r="M186" i="154"/>
  <c r="L186" i="154"/>
  <c r="K186" i="154"/>
  <c r="H186" i="154"/>
  <c r="A186" i="154"/>
  <c r="N185" i="154"/>
  <c r="M185" i="154"/>
  <c r="L185" i="154"/>
  <c r="K185" i="154"/>
  <c r="H185" i="154"/>
  <c r="A185" i="154"/>
  <c r="N184" i="154"/>
  <c r="M184" i="154"/>
  <c r="L184" i="154"/>
  <c r="K184" i="154"/>
  <c r="H184" i="154"/>
  <c r="A184" i="154"/>
  <c r="N183" i="154"/>
  <c r="M183" i="154"/>
  <c r="L183" i="154"/>
  <c r="K183" i="154"/>
  <c r="H183" i="154"/>
  <c r="A183" i="154"/>
  <c r="N182" i="154"/>
  <c r="M182" i="154"/>
  <c r="L182" i="154"/>
  <c r="K182" i="154"/>
  <c r="H182" i="154"/>
  <c r="A182" i="154"/>
  <c r="N181" i="154"/>
  <c r="M181" i="154"/>
  <c r="L181" i="154"/>
  <c r="K181" i="154"/>
  <c r="H181" i="154"/>
  <c r="A181" i="154"/>
  <c r="N180" i="154"/>
  <c r="M180" i="154"/>
  <c r="L180" i="154"/>
  <c r="K180" i="154"/>
  <c r="H180" i="154"/>
  <c r="A180" i="154"/>
  <c r="N179" i="154"/>
  <c r="M179" i="154"/>
  <c r="L179" i="154"/>
  <c r="K179" i="154"/>
  <c r="H179" i="154"/>
  <c r="A179" i="154"/>
  <c r="N178" i="154"/>
  <c r="M178" i="154"/>
  <c r="L178" i="154"/>
  <c r="K178" i="154"/>
  <c r="H178" i="154"/>
  <c r="A178" i="154"/>
  <c r="N177" i="154"/>
  <c r="M177" i="154"/>
  <c r="L177" i="154"/>
  <c r="K177" i="154"/>
  <c r="H177" i="154"/>
  <c r="A177" i="154"/>
  <c r="N176" i="154"/>
  <c r="M176" i="154"/>
  <c r="L176" i="154"/>
  <c r="K176" i="154"/>
  <c r="H176" i="154"/>
  <c r="A176" i="154"/>
  <c r="N175" i="154"/>
  <c r="M175" i="154"/>
  <c r="L175" i="154"/>
  <c r="K175" i="154"/>
  <c r="H175" i="154"/>
  <c r="A175" i="154"/>
  <c r="N174" i="154"/>
  <c r="M174" i="154"/>
  <c r="L174" i="154"/>
  <c r="K174" i="154"/>
  <c r="H174" i="154"/>
  <c r="A174" i="154"/>
  <c r="N173" i="154"/>
  <c r="M173" i="154"/>
  <c r="L173" i="154"/>
  <c r="K173" i="154"/>
  <c r="H173" i="154"/>
  <c r="A173" i="154"/>
  <c r="N172" i="154"/>
  <c r="M172" i="154"/>
  <c r="L172" i="154"/>
  <c r="K172" i="154"/>
  <c r="H172" i="154"/>
  <c r="A172" i="154"/>
  <c r="N171" i="154"/>
  <c r="M171" i="154"/>
  <c r="L171" i="154"/>
  <c r="K171" i="154"/>
  <c r="H171" i="154"/>
  <c r="A171" i="154"/>
  <c r="N170" i="154"/>
  <c r="M170" i="154"/>
  <c r="L170" i="154"/>
  <c r="K170" i="154"/>
  <c r="H170" i="154"/>
  <c r="A170" i="154"/>
  <c r="N169" i="154"/>
  <c r="M169" i="154"/>
  <c r="L169" i="154"/>
  <c r="K169" i="154"/>
  <c r="H169" i="154"/>
  <c r="A169" i="154"/>
  <c r="N168" i="154"/>
  <c r="M168" i="154"/>
  <c r="L168" i="154"/>
  <c r="K168" i="154"/>
  <c r="H168" i="154"/>
  <c r="A168" i="154"/>
  <c r="N167" i="154"/>
  <c r="M167" i="154"/>
  <c r="L167" i="154"/>
  <c r="K167" i="154"/>
  <c r="H167" i="154"/>
  <c r="A167" i="154"/>
  <c r="N166" i="154"/>
  <c r="M166" i="154"/>
  <c r="L166" i="154"/>
  <c r="K166" i="154"/>
  <c r="H166" i="154"/>
  <c r="A166" i="154"/>
  <c r="N165" i="154"/>
  <c r="M165" i="154"/>
  <c r="L165" i="154"/>
  <c r="K165" i="154"/>
  <c r="H165" i="154"/>
  <c r="A165" i="154"/>
  <c r="N164" i="154"/>
  <c r="M164" i="154"/>
  <c r="L164" i="154"/>
  <c r="K164" i="154"/>
  <c r="H164" i="154"/>
  <c r="A164" i="154"/>
  <c r="N163" i="154"/>
  <c r="M163" i="154"/>
  <c r="L163" i="154"/>
  <c r="K163" i="154"/>
  <c r="H163" i="154"/>
  <c r="A163" i="154"/>
  <c r="N162" i="154"/>
  <c r="M162" i="154"/>
  <c r="L162" i="154"/>
  <c r="K162" i="154"/>
  <c r="H162" i="154"/>
  <c r="A162" i="154"/>
  <c r="N161" i="154"/>
  <c r="M161" i="154"/>
  <c r="L161" i="154"/>
  <c r="K161" i="154"/>
  <c r="H161" i="154"/>
  <c r="A161" i="154"/>
  <c r="N160" i="154"/>
  <c r="M160" i="154"/>
  <c r="L160" i="154"/>
  <c r="K160" i="154"/>
  <c r="H160" i="154"/>
  <c r="A160" i="154"/>
  <c r="N159" i="154"/>
  <c r="M159" i="154"/>
  <c r="L159" i="154"/>
  <c r="K159" i="154"/>
  <c r="H159" i="154"/>
  <c r="A159" i="154"/>
  <c r="N158" i="154"/>
  <c r="M158" i="154"/>
  <c r="L158" i="154"/>
  <c r="K158" i="154"/>
  <c r="H158" i="154"/>
  <c r="A158" i="154"/>
  <c r="N157" i="154"/>
  <c r="M157" i="154"/>
  <c r="L157" i="154"/>
  <c r="K157" i="154"/>
  <c r="H157" i="154"/>
  <c r="A157" i="154"/>
  <c r="N156" i="154"/>
  <c r="M156" i="154"/>
  <c r="L156" i="154"/>
  <c r="K156" i="154"/>
  <c r="H156" i="154"/>
  <c r="A156" i="154"/>
  <c r="N155" i="154"/>
  <c r="M155" i="154"/>
  <c r="L155" i="154"/>
  <c r="K155" i="154"/>
  <c r="H155" i="154"/>
  <c r="A155" i="154"/>
  <c r="N154" i="154"/>
  <c r="M154" i="154"/>
  <c r="L154" i="154"/>
  <c r="K154" i="154"/>
  <c r="H154" i="154"/>
  <c r="A154" i="154"/>
  <c r="N153" i="154"/>
  <c r="M153" i="154"/>
  <c r="L153" i="154"/>
  <c r="K153" i="154"/>
  <c r="H153" i="154"/>
  <c r="A153" i="154"/>
  <c r="N152" i="154"/>
  <c r="M152" i="154"/>
  <c r="L152" i="154"/>
  <c r="K152" i="154"/>
  <c r="H152" i="154"/>
  <c r="A152" i="154"/>
  <c r="N151" i="154"/>
  <c r="M151" i="154"/>
  <c r="L151" i="154"/>
  <c r="K151" i="154"/>
  <c r="H151" i="154"/>
  <c r="A151" i="154"/>
  <c r="N150" i="154"/>
  <c r="M150" i="154"/>
  <c r="L150" i="154"/>
  <c r="K150" i="154"/>
  <c r="H150" i="154"/>
  <c r="A150" i="154"/>
  <c r="N149" i="154"/>
  <c r="M149" i="154"/>
  <c r="L149" i="154"/>
  <c r="K149" i="154"/>
  <c r="H149" i="154"/>
  <c r="A149" i="154"/>
  <c r="N148" i="154"/>
  <c r="M148" i="154"/>
  <c r="L148" i="154"/>
  <c r="K148" i="154"/>
  <c r="H148" i="154"/>
  <c r="A148" i="154"/>
  <c r="N147" i="154"/>
  <c r="M147" i="154"/>
  <c r="L147" i="154"/>
  <c r="K147" i="154"/>
  <c r="H147" i="154"/>
  <c r="A147" i="154"/>
  <c r="N146" i="154"/>
  <c r="M146" i="154"/>
  <c r="L146" i="154"/>
  <c r="K146" i="154"/>
  <c r="H146" i="154"/>
  <c r="A146" i="154"/>
  <c r="N145" i="154"/>
  <c r="M145" i="154"/>
  <c r="L145" i="154"/>
  <c r="K145" i="154"/>
  <c r="H145" i="154"/>
  <c r="A145" i="154"/>
  <c r="N144" i="154"/>
  <c r="M144" i="154"/>
  <c r="L144" i="154"/>
  <c r="K144" i="154"/>
  <c r="H144" i="154"/>
  <c r="A144" i="154"/>
  <c r="N143" i="154"/>
  <c r="M143" i="154"/>
  <c r="L143" i="154"/>
  <c r="K143" i="154"/>
  <c r="H143" i="154"/>
  <c r="A143" i="154"/>
  <c r="N142" i="154"/>
  <c r="M142" i="154"/>
  <c r="L142" i="154"/>
  <c r="K142" i="154"/>
  <c r="H142" i="154"/>
  <c r="A142" i="154"/>
  <c r="N141" i="154"/>
  <c r="M141" i="154"/>
  <c r="L141" i="154"/>
  <c r="K141" i="154"/>
  <c r="H141" i="154"/>
  <c r="A141" i="154"/>
  <c r="N140" i="154"/>
  <c r="M140" i="154"/>
  <c r="L140" i="154"/>
  <c r="K140" i="154"/>
  <c r="H140" i="154"/>
  <c r="A140" i="154"/>
  <c r="N139" i="154"/>
  <c r="M139" i="154"/>
  <c r="L139" i="154"/>
  <c r="K139" i="154"/>
  <c r="H139" i="154"/>
  <c r="A139" i="154"/>
  <c r="N138" i="154"/>
  <c r="M138" i="154"/>
  <c r="L138" i="154"/>
  <c r="K138" i="154"/>
  <c r="H138" i="154"/>
  <c r="A138" i="154"/>
  <c r="N137" i="154"/>
  <c r="M137" i="154"/>
  <c r="L137" i="154"/>
  <c r="K137" i="154"/>
  <c r="H137" i="154"/>
  <c r="A137" i="154"/>
  <c r="N136" i="154"/>
  <c r="M136" i="154"/>
  <c r="L136" i="154"/>
  <c r="K136" i="154"/>
  <c r="H136" i="154"/>
  <c r="A136" i="154"/>
  <c r="N135" i="154"/>
  <c r="M135" i="154"/>
  <c r="L135" i="154"/>
  <c r="K135" i="154"/>
  <c r="H135" i="154"/>
  <c r="A135" i="154"/>
  <c r="N134" i="154"/>
  <c r="M134" i="154"/>
  <c r="L134" i="154"/>
  <c r="K134" i="154"/>
  <c r="H134" i="154"/>
  <c r="A134" i="154"/>
  <c r="N133" i="154"/>
  <c r="M133" i="154"/>
  <c r="L133" i="154"/>
  <c r="K133" i="154"/>
  <c r="H133" i="154"/>
  <c r="A133" i="154"/>
  <c r="N132" i="154"/>
  <c r="M132" i="154"/>
  <c r="L132" i="154"/>
  <c r="K132" i="154"/>
  <c r="H132" i="154"/>
  <c r="A132" i="154"/>
  <c r="N131" i="154"/>
  <c r="M131" i="154"/>
  <c r="L131" i="154"/>
  <c r="K131" i="154"/>
  <c r="H131" i="154"/>
  <c r="A131" i="154"/>
  <c r="N130" i="154"/>
  <c r="M130" i="154"/>
  <c r="L130" i="154"/>
  <c r="K130" i="154"/>
  <c r="H130" i="154"/>
  <c r="A130" i="154"/>
  <c r="N129" i="154"/>
  <c r="M129" i="154"/>
  <c r="L129" i="154"/>
  <c r="K129" i="154"/>
  <c r="H129" i="154"/>
  <c r="A129" i="154"/>
  <c r="N128" i="154"/>
  <c r="M128" i="154"/>
  <c r="L128" i="154"/>
  <c r="K128" i="154"/>
  <c r="H128" i="154"/>
  <c r="A128" i="154"/>
  <c r="N127" i="154"/>
  <c r="M127" i="154"/>
  <c r="L127" i="154"/>
  <c r="K127" i="154"/>
  <c r="H127" i="154"/>
  <c r="A127" i="154"/>
  <c r="N126" i="154"/>
  <c r="M126" i="154"/>
  <c r="L126" i="154"/>
  <c r="K126" i="154"/>
  <c r="H126" i="154"/>
  <c r="A126" i="154"/>
  <c r="N125" i="154"/>
  <c r="M125" i="154"/>
  <c r="L125" i="154"/>
  <c r="K125" i="154"/>
  <c r="H125" i="154"/>
  <c r="A125" i="154"/>
  <c r="N124" i="154"/>
  <c r="M124" i="154"/>
  <c r="L124" i="154"/>
  <c r="K124" i="154"/>
  <c r="H124" i="154"/>
  <c r="A124" i="154"/>
  <c r="N123" i="154"/>
  <c r="M123" i="154"/>
  <c r="L123" i="154"/>
  <c r="K123" i="154"/>
  <c r="H123" i="154"/>
  <c r="A123" i="154"/>
  <c r="N122" i="154"/>
  <c r="M122" i="154"/>
  <c r="L122" i="154"/>
  <c r="K122" i="154"/>
  <c r="H122" i="154"/>
  <c r="A122" i="154"/>
  <c r="N121" i="154"/>
  <c r="M121" i="154"/>
  <c r="L121" i="154"/>
  <c r="K121" i="154"/>
  <c r="H121" i="154"/>
  <c r="A121" i="154"/>
  <c r="N120" i="154"/>
  <c r="M120" i="154"/>
  <c r="L120" i="154"/>
  <c r="K120" i="154"/>
  <c r="H120" i="154"/>
  <c r="A120" i="154"/>
  <c r="N119" i="154"/>
  <c r="M119" i="154"/>
  <c r="L119" i="154"/>
  <c r="K119" i="154"/>
  <c r="H119" i="154"/>
  <c r="A119" i="154"/>
  <c r="N118" i="154"/>
  <c r="M118" i="154"/>
  <c r="L118" i="154"/>
  <c r="K118" i="154"/>
  <c r="H118" i="154"/>
  <c r="A118" i="154"/>
  <c r="N117" i="154"/>
  <c r="M117" i="154"/>
  <c r="L117" i="154"/>
  <c r="K117" i="154"/>
  <c r="H117" i="154"/>
  <c r="A117" i="154"/>
  <c r="N116" i="154"/>
  <c r="M116" i="154"/>
  <c r="L116" i="154"/>
  <c r="K116" i="154"/>
  <c r="H116" i="154"/>
  <c r="A116" i="154"/>
  <c r="N115" i="154"/>
  <c r="M115" i="154"/>
  <c r="L115" i="154"/>
  <c r="K115" i="154"/>
  <c r="H115" i="154"/>
  <c r="A115" i="154"/>
  <c r="N114" i="154"/>
  <c r="M114" i="154"/>
  <c r="L114" i="154"/>
  <c r="K114" i="154"/>
  <c r="H114" i="154"/>
  <c r="A114" i="154"/>
  <c r="N113" i="154"/>
  <c r="M113" i="154"/>
  <c r="L113" i="154"/>
  <c r="K113" i="154"/>
  <c r="H113" i="154"/>
  <c r="A113" i="154"/>
  <c r="N112" i="154"/>
  <c r="M112" i="154"/>
  <c r="L112" i="154"/>
  <c r="K112" i="154"/>
  <c r="H112" i="154"/>
  <c r="A112" i="154"/>
  <c r="N111" i="154"/>
  <c r="M111" i="154"/>
  <c r="L111" i="154"/>
  <c r="K111" i="154"/>
  <c r="H111" i="154"/>
  <c r="A111" i="154"/>
  <c r="N110" i="154"/>
  <c r="M110" i="154"/>
  <c r="L110" i="154"/>
  <c r="K110" i="154"/>
  <c r="H110" i="154"/>
  <c r="A110" i="154"/>
  <c r="N109" i="154"/>
  <c r="M109" i="154"/>
  <c r="L109" i="154"/>
  <c r="K109" i="154"/>
  <c r="H109" i="154"/>
  <c r="A109" i="154"/>
  <c r="N108" i="154"/>
  <c r="M108" i="154"/>
  <c r="L108" i="154"/>
  <c r="K108" i="154"/>
  <c r="H108" i="154"/>
  <c r="A108" i="154"/>
  <c r="N107" i="154"/>
  <c r="M107" i="154"/>
  <c r="L107" i="154"/>
  <c r="K107" i="154"/>
  <c r="H107" i="154"/>
  <c r="A107" i="154"/>
  <c r="N106" i="154"/>
  <c r="M106" i="154"/>
  <c r="L106" i="154"/>
  <c r="K106" i="154"/>
  <c r="H106" i="154"/>
  <c r="A106" i="154"/>
  <c r="N105" i="154"/>
  <c r="M105" i="154"/>
  <c r="L105" i="154"/>
  <c r="K105" i="154"/>
  <c r="H105" i="154"/>
  <c r="A105" i="154"/>
  <c r="N104" i="154"/>
  <c r="M104" i="154"/>
  <c r="L104" i="154"/>
  <c r="K104" i="154"/>
  <c r="H104" i="154"/>
  <c r="A104" i="154"/>
  <c r="N103" i="154"/>
  <c r="M103" i="154"/>
  <c r="L103" i="154"/>
  <c r="K103" i="154"/>
  <c r="H103" i="154"/>
  <c r="A103" i="154"/>
  <c r="N102" i="154"/>
  <c r="M102" i="154"/>
  <c r="L102" i="154"/>
  <c r="K102" i="154"/>
  <c r="H102" i="154"/>
  <c r="A102" i="154"/>
  <c r="N101" i="154"/>
  <c r="M101" i="154"/>
  <c r="L101" i="154"/>
  <c r="K101" i="154"/>
  <c r="H101" i="154"/>
  <c r="A101" i="154"/>
  <c r="N100" i="154"/>
  <c r="M100" i="154"/>
  <c r="L100" i="154"/>
  <c r="K100" i="154"/>
  <c r="H100" i="154"/>
  <c r="A100" i="154"/>
  <c r="N99" i="154"/>
  <c r="M99" i="154"/>
  <c r="L99" i="154"/>
  <c r="K99" i="154"/>
  <c r="H99" i="154"/>
  <c r="A99" i="154"/>
  <c r="N98" i="154"/>
  <c r="M98" i="154"/>
  <c r="L98" i="154"/>
  <c r="K98" i="154"/>
  <c r="H98" i="154"/>
  <c r="A98" i="154"/>
  <c r="N97" i="154"/>
  <c r="M97" i="154"/>
  <c r="L97" i="154"/>
  <c r="K97" i="154"/>
  <c r="H97" i="154"/>
  <c r="A97" i="154"/>
  <c r="N96" i="154"/>
  <c r="M96" i="154"/>
  <c r="L96" i="154"/>
  <c r="K96" i="154"/>
  <c r="H96" i="154"/>
  <c r="A96" i="154"/>
  <c r="N95" i="154"/>
  <c r="M95" i="154"/>
  <c r="L95" i="154"/>
  <c r="K95" i="154"/>
  <c r="H95" i="154"/>
  <c r="A95" i="154"/>
  <c r="N94" i="154"/>
  <c r="M94" i="154"/>
  <c r="L94" i="154"/>
  <c r="K94" i="154"/>
  <c r="H94" i="154"/>
  <c r="A94" i="154"/>
  <c r="N93" i="154"/>
  <c r="M93" i="154"/>
  <c r="L93" i="154"/>
  <c r="K93" i="154"/>
  <c r="H93" i="154"/>
  <c r="A93" i="154"/>
  <c r="N92" i="154"/>
  <c r="M92" i="154"/>
  <c r="L92" i="154"/>
  <c r="K92" i="154"/>
  <c r="H92" i="154"/>
  <c r="A92" i="154"/>
  <c r="N91" i="154"/>
  <c r="M91" i="154"/>
  <c r="L91" i="154"/>
  <c r="K91" i="154"/>
  <c r="H91" i="154"/>
  <c r="A91" i="154"/>
  <c r="N90" i="154"/>
  <c r="M90" i="154"/>
  <c r="L90" i="154"/>
  <c r="K90" i="154"/>
  <c r="H90" i="154"/>
  <c r="A90" i="154"/>
  <c r="N89" i="154"/>
  <c r="M89" i="154"/>
  <c r="L89" i="154"/>
  <c r="K89" i="154"/>
  <c r="H89" i="154"/>
  <c r="A89" i="154"/>
  <c r="N88" i="154"/>
  <c r="M88" i="154"/>
  <c r="L88" i="154"/>
  <c r="K88" i="154"/>
  <c r="H88" i="154"/>
  <c r="A88" i="154"/>
  <c r="N87" i="154"/>
  <c r="M87" i="154"/>
  <c r="L87" i="154"/>
  <c r="K87" i="154"/>
  <c r="H87" i="154"/>
  <c r="A87" i="154"/>
  <c r="N86" i="154"/>
  <c r="M86" i="154"/>
  <c r="L86" i="154"/>
  <c r="K86" i="154"/>
  <c r="H86" i="154"/>
  <c r="A86" i="154"/>
  <c r="N85" i="154"/>
  <c r="M85" i="154"/>
  <c r="L85" i="154"/>
  <c r="K85" i="154"/>
  <c r="H85" i="154"/>
  <c r="A85" i="154"/>
  <c r="N84" i="154"/>
  <c r="M84" i="154"/>
  <c r="L84" i="154"/>
  <c r="K84" i="154"/>
  <c r="H84" i="154"/>
  <c r="A84" i="154"/>
  <c r="N83" i="154"/>
  <c r="M83" i="154"/>
  <c r="L83" i="154"/>
  <c r="K83" i="154"/>
  <c r="H83" i="154"/>
  <c r="A83" i="154"/>
  <c r="N82" i="154"/>
  <c r="M82" i="154"/>
  <c r="L82" i="154"/>
  <c r="K82" i="154"/>
  <c r="H82" i="154"/>
  <c r="A82" i="154"/>
  <c r="N81" i="154"/>
  <c r="M81" i="154"/>
  <c r="L81" i="154"/>
  <c r="K81" i="154"/>
  <c r="H81" i="154"/>
  <c r="A81" i="154"/>
  <c r="N80" i="154"/>
  <c r="M80" i="154"/>
  <c r="L80" i="154"/>
  <c r="K80" i="154"/>
  <c r="H80" i="154"/>
  <c r="A80" i="154"/>
  <c r="N79" i="154"/>
  <c r="M79" i="154"/>
  <c r="L79" i="154"/>
  <c r="K79" i="154"/>
  <c r="H79" i="154"/>
  <c r="A79" i="154"/>
  <c r="N78" i="154"/>
  <c r="M78" i="154"/>
  <c r="L78" i="154"/>
  <c r="K78" i="154"/>
  <c r="H78" i="154"/>
  <c r="A78" i="154"/>
  <c r="N77" i="154"/>
  <c r="M77" i="154"/>
  <c r="L77" i="154"/>
  <c r="K77" i="154"/>
  <c r="H77" i="154"/>
  <c r="A77" i="154"/>
  <c r="N76" i="154"/>
  <c r="M76" i="154"/>
  <c r="L76" i="154"/>
  <c r="K76" i="154"/>
  <c r="H76" i="154"/>
  <c r="A76" i="154"/>
  <c r="N75" i="154"/>
  <c r="M75" i="154"/>
  <c r="L75" i="154"/>
  <c r="K75" i="154"/>
  <c r="H75" i="154"/>
  <c r="A75" i="154"/>
  <c r="N74" i="154"/>
  <c r="M74" i="154"/>
  <c r="L74" i="154"/>
  <c r="K74" i="154"/>
  <c r="H74" i="154"/>
  <c r="A74" i="154"/>
  <c r="N73" i="154"/>
  <c r="M73" i="154"/>
  <c r="L73" i="154"/>
  <c r="K73" i="154"/>
  <c r="H73" i="154"/>
  <c r="A73" i="154"/>
  <c r="N72" i="154"/>
  <c r="M72" i="154"/>
  <c r="L72" i="154"/>
  <c r="K72" i="154"/>
  <c r="H72" i="154"/>
  <c r="A72" i="154"/>
  <c r="N71" i="154"/>
  <c r="M71" i="154"/>
  <c r="L71" i="154"/>
  <c r="K71" i="154"/>
  <c r="H71" i="154"/>
  <c r="A71" i="154"/>
  <c r="N70" i="154"/>
  <c r="M70" i="154"/>
  <c r="L70" i="154"/>
  <c r="K70" i="154"/>
  <c r="H70" i="154"/>
  <c r="A70" i="154"/>
  <c r="N69" i="154"/>
  <c r="M69" i="154"/>
  <c r="L69" i="154"/>
  <c r="K69" i="154"/>
  <c r="H69" i="154"/>
  <c r="A69" i="154"/>
  <c r="N68" i="154"/>
  <c r="M68" i="154"/>
  <c r="L68" i="154"/>
  <c r="K68" i="154"/>
  <c r="H68" i="154"/>
  <c r="A68" i="154"/>
  <c r="N67" i="154"/>
  <c r="M67" i="154"/>
  <c r="L67" i="154"/>
  <c r="K67" i="154"/>
  <c r="H67" i="154"/>
  <c r="A67" i="154"/>
  <c r="N66" i="154"/>
  <c r="M66" i="154"/>
  <c r="L66" i="154"/>
  <c r="K66" i="154"/>
  <c r="H66" i="154"/>
  <c r="A66" i="154"/>
  <c r="N65" i="154"/>
  <c r="M65" i="154"/>
  <c r="L65" i="154"/>
  <c r="K65" i="154"/>
  <c r="H65" i="154"/>
  <c r="A65" i="154"/>
  <c r="N64" i="154"/>
  <c r="M64" i="154"/>
  <c r="L64" i="154"/>
  <c r="K64" i="154"/>
  <c r="H64" i="154"/>
  <c r="A64" i="154"/>
  <c r="N63" i="154"/>
  <c r="M63" i="154"/>
  <c r="L63" i="154"/>
  <c r="K63" i="154"/>
  <c r="H63" i="154"/>
  <c r="A63" i="154"/>
  <c r="N62" i="154"/>
  <c r="M62" i="154"/>
  <c r="L62" i="154"/>
  <c r="K62" i="154"/>
  <c r="H62" i="154"/>
  <c r="A62" i="154"/>
  <c r="N61" i="154"/>
  <c r="M61" i="154"/>
  <c r="L61" i="154"/>
  <c r="K61" i="154"/>
  <c r="H61" i="154"/>
  <c r="A61" i="154"/>
  <c r="N60" i="154"/>
  <c r="M60" i="154"/>
  <c r="L60" i="154"/>
  <c r="K60" i="154"/>
  <c r="H60" i="154"/>
  <c r="A60" i="154"/>
  <c r="N59" i="154"/>
  <c r="M59" i="154"/>
  <c r="L59" i="154"/>
  <c r="K59" i="154"/>
  <c r="H59" i="154"/>
  <c r="A59" i="154"/>
  <c r="N58" i="154"/>
  <c r="M58" i="154"/>
  <c r="L58" i="154"/>
  <c r="K58" i="154"/>
  <c r="H58" i="154"/>
  <c r="A58" i="154"/>
  <c r="N57" i="154"/>
  <c r="M57" i="154"/>
  <c r="L57" i="154"/>
  <c r="K57" i="154"/>
  <c r="H57" i="154"/>
  <c r="A57" i="154"/>
  <c r="N56" i="154"/>
  <c r="M56" i="154"/>
  <c r="L56" i="154"/>
  <c r="K56" i="154"/>
  <c r="H56" i="154"/>
  <c r="A56" i="154"/>
  <c r="N55" i="154"/>
  <c r="M55" i="154"/>
  <c r="L55" i="154"/>
  <c r="K55" i="154"/>
  <c r="H55" i="154"/>
  <c r="A55" i="154"/>
  <c r="N54" i="154"/>
  <c r="M54" i="154"/>
  <c r="L54" i="154"/>
  <c r="K54" i="154"/>
  <c r="H54" i="154"/>
  <c r="A54" i="154"/>
  <c r="N53" i="154"/>
  <c r="M53" i="154"/>
  <c r="L53" i="154"/>
  <c r="K53" i="154"/>
  <c r="H53" i="154"/>
  <c r="A53" i="154"/>
  <c r="N52" i="154"/>
  <c r="M52" i="154"/>
  <c r="L52" i="154"/>
  <c r="K52" i="154"/>
  <c r="H52" i="154"/>
  <c r="A52" i="154"/>
  <c r="N51" i="154"/>
  <c r="M51" i="154"/>
  <c r="L51" i="154"/>
  <c r="K51" i="154"/>
  <c r="H51" i="154"/>
  <c r="A51" i="154"/>
  <c r="N50" i="154"/>
  <c r="M50" i="154"/>
  <c r="L50" i="154"/>
  <c r="K50" i="154"/>
  <c r="H50" i="154"/>
  <c r="A50" i="154"/>
  <c r="N49" i="154"/>
  <c r="M49" i="154"/>
  <c r="L49" i="154"/>
  <c r="K49" i="154"/>
  <c r="H49" i="154"/>
  <c r="A49" i="154"/>
  <c r="N48" i="154"/>
  <c r="M48" i="154"/>
  <c r="L48" i="154"/>
  <c r="K48" i="154"/>
  <c r="H48" i="154"/>
  <c r="A48" i="154"/>
  <c r="N47" i="154"/>
  <c r="M47" i="154"/>
  <c r="L47" i="154"/>
  <c r="K47" i="154"/>
  <c r="H47" i="154"/>
  <c r="A47" i="154"/>
  <c r="N46" i="154"/>
  <c r="M46" i="154"/>
  <c r="L46" i="154"/>
  <c r="K46" i="154"/>
  <c r="H46" i="154"/>
  <c r="A46" i="154"/>
  <c r="N45" i="154"/>
  <c r="M45" i="154"/>
  <c r="L45" i="154"/>
  <c r="K45" i="154"/>
  <c r="H45" i="154"/>
  <c r="A45" i="154"/>
  <c r="N44" i="154"/>
  <c r="M44" i="154"/>
  <c r="L44" i="154"/>
  <c r="K44" i="154"/>
  <c r="H44" i="154"/>
  <c r="A44" i="154"/>
  <c r="N43" i="154"/>
  <c r="M43" i="154"/>
  <c r="L43" i="154"/>
  <c r="K43" i="154"/>
  <c r="H43" i="154"/>
  <c r="A43" i="154"/>
  <c r="N42" i="154"/>
  <c r="M42" i="154"/>
  <c r="L42" i="154"/>
  <c r="K42" i="154"/>
  <c r="H42" i="154"/>
  <c r="A42" i="154"/>
  <c r="N41" i="154"/>
  <c r="M41" i="154"/>
  <c r="L41" i="154"/>
  <c r="K41" i="154"/>
  <c r="H41" i="154"/>
  <c r="A41" i="154"/>
  <c r="N40" i="154"/>
  <c r="M40" i="154"/>
  <c r="L40" i="154"/>
  <c r="K40" i="154"/>
  <c r="H40" i="154"/>
  <c r="A40" i="154"/>
  <c r="N39" i="154"/>
  <c r="M39" i="154"/>
  <c r="L39" i="154"/>
  <c r="K39" i="154"/>
  <c r="H39" i="154"/>
  <c r="A39" i="154"/>
  <c r="N38" i="154"/>
  <c r="M38" i="154"/>
  <c r="L38" i="154"/>
  <c r="K38" i="154"/>
  <c r="H38" i="154"/>
  <c r="A38" i="154"/>
  <c r="N37" i="154"/>
  <c r="M37" i="154"/>
  <c r="L37" i="154"/>
  <c r="K37" i="154"/>
  <c r="H37" i="154"/>
  <c r="A37" i="154"/>
  <c r="N36" i="154"/>
  <c r="M36" i="154"/>
  <c r="L36" i="154"/>
  <c r="K36" i="154"/>
  <c r="H36" i="154"/>
  <c r="A36" i="154"/>
  <c r="N35" i="154"/>
  <c r="M35" i="154"/>
  <c r="L35" i="154"/>
  <c r="K35" i="154"/>
  <c r="H35" i="154"/>
  <c r="A35" i="154"/>
  <c r="N34" i="154"/>
  <c r="M34" i="154"/>
  <c r="L34" i="154"/>
  <c r="K34" i="154"/>
  <c r="H34" i="154"/>
  <c r="A34" i="154"/>
  <c r="N33" i="154"/>
  <c r="M33" i="154"/>
  <c r="L33" i="154"/>
  <c r="K33" i="154"/>
  <c r="H33" i="154"/>
  <c r="A33" i="154"/>
  <c r="N32" i="154"/>
  <c r="M32" i="154"/>
  <c r="L32" i="154"/>
  <c r="K32" i="154"/>
  <c r="H32" i="154"/>
  <c r="A32" i="154"/>
  <c r="N31" i="154"/>
  <c r="M31" i="154"/>
  <c r="L31" i="154"/>
  <c r="K31" i="154"/>
  <c r="H31" i="154"/>
  <c r="A31" i="154"/>
  <c r="N30" i="154"/>
  <c r="M30" i="154"/>
  <c r="L30" i="154"/>
  <c r="K30" i="154"/>
  <c r="H30" i="154"/>
  <c r="A30" i="154"/>
  <c r="N29" i="154"/>
  <c r="M29" i="154"/>
  <c r="L29" i="154"/>
  <c r="K29" i="154"/>
  <c r="H29" i="154"/>
  <c r="A29" i="154"/>
  <c r="N28" i="154"/>
  <c r="M28" i="154"/>
  <c r="L28" i="154"/>
  <c r="K28" i="154"/>
  <c r="H28" i="154"/>
  <c r="A28" i="154"/>
  <c r="N27" i="154"/>
  <c r="M27" i="154"/>
  <c r="L27" i="154"/>
  <c r="K27" i="154"/>
  <c r="H27" i="154"/>
  <c r="A27" i="154"/>
  <c r="N26" i="154"/>
  <c r="M26" i="154"/>
  <c r="L26" i="154"/>
  <c r="K26" i="154"/>
  <c r="H26" i="154"/>
  <c r="A26" i="154"/>
  <c r="N25" i="154"/>
  <c r="M25" i="154"/>
  <c r="L25" i="154"/>
  <c r="K25" i="154"/>
  <c r="H25" i="154"/>
  <c r="A25" i="154"/>
  <c r="N24" i="154"/>
  <c r="M24" i="154"/>
  <c r="L24" i="154"/>
  <c r="K24" i="154"/>
  <c r="H24" i="154"/>
  <c r="A24" i="154"/>
  <c r="N23" i="154"/>
  <c r="M23" i="154"/>
  <c r="L23" i="154"/>
  <c r="K23" i="154"/>
  <c r="H23" i="154"/>
  <c r="A23" i="154"/>
  <c r="N22" i="154"/>
  <c r="M22" i="154"/>
  <c r="L22" i="154"/>
  <c r="K22" i="154"/>
  <c r="H22" i="154"/>
  <c r="A22" i="154"/>
  <c r="N21" i="154"/>
  <c r="M21" i="154"/>
  <c r="L21" i="154"/>
  <c r="K21" i="154"/>
  <c r="H21" i="154"/>
  <c r="A21" i="154"/>
  <c r="N20" i="154"/>
  <c r="M20" i="154"/>
  <c r="L20" i="154"/>
  <c r="K20" i="154"/>
  <c r="H20" i="154"/>
  <c r="A20" i="154"/>
  <c r="N19" i="154"/>
  <c r="M19" i="154"/>
  <c r="L19" i="154"/>
  <c r="K19" i="154"/>
  <c r="H19" i="154"/>
  <c r="A19" i="154"/>
  <c r="N18" i="154"/>
  <c r="M18" i="154"/>
  <c r="L18" i="154"/>
  <c r="K18" i="154"/>
  <c r="H18" i="154"/>
  <c r="A18" i="154"/>
  <c r="N17" i="154"/>
  <c r="M17" i="154"/>
  <c r="L17" i="154"/>
  <c r="K17" i="154"/>
  <c r="H17" i="154"/>
  <c r="A17" i="154"/>
  <c r="N16" i="154"/>
  <c r="M16" i="154"/>
  <c r="L16" i="154"/>
  <c r="K16" i="154"/>
  <c r="H16" i="154"/>
  <c r="A16" i="154"/>
  <c r="N15" i="154"/>
  <c r="M15" i="154"/>
  <c r="L15" i="154"/>
  <c r="K15" i="154"/>
  <c r="H15" i="154"/>
  <c r="A15" i="154"/>
  <c r="N14" i="154"/>
  <c r="M14" i="154"/>
  <c r="L14" i="154"/>
  <c r="K14" i="154"/>
  <c r="H14" i="154"/>
  <c r="A14" i="154"/>
  <c r="N13" i="154"/>
  <c r="M13" i="154"/>
  <c r="L13" i="154"/>
  <c r="K13" i="154"/>
  <c r="H13" i="154"/>
  <c r="A13" i="154"/>
  <c r="N12" i="154"/>
  <c r="M12" i="154"/>
  <c r="L12" i="154"/>
  <c r="K12" i="154"/>
  <c r="H12" i="154"/>
  <c r="A12" i="154"/>
  <c r="N11" i="154"/>
  <c r="M11" i="154"/>
  <c r="L11" i="154"/>
  <c r="K11" i="154"/>
  <c r="H11" i="154"/>
  <c r="A11" i="154"/>
  <c r="N10" i="154"/>
  <c r="M10" i="154"/>
  <c r="L10" i="154"/>
  <c r="K10" i="154"/>
  <c r="H10" i="154"/>
  <c r="A10" i="154"/>
  <c r="N9" i="154"/>
  <c r="M9" i="154"/>
  <c r="L9" i="154"/>
  <c r="K9" i="154"/>
  <c r="H9" i="154"/>
  <c r="A9" i="154"/>
  <c r="N8" i="154"/>
  <c r="M8" i="154"/>
  <c r="L8" i="154"/>
  <c r="K8" i="154"/>
  <c r="H8" i="154"/>
  <c r="A8" i="154"/>
  <c r="N7" i="154"/>
  <c r="M7" i="154"/>
  <c r="L7" i="154"/>
  <c r="K7" i="154"/>
  <c r="H7" i="154"/>
  <c r="A7" i="154"/>
  <c r="N6" i="154"/>
  <c r="M6" i="154"/>
  <c r="L6" i="154"/>
  <c r="K6" i="154"/>
  <c r="H6" i="154"/>
  <c r="A6" i="154"/>
  <c r="N5" i="154"/>
  <c r="M5" i="154"/>
  <c r="L5" i="154"/>
  <c r="K5" i="154"/>
  <c r="H5" i="154"/>
  <c r="A5" i="154"/>
  <c r="N4" i="154"/>
  <c r="M4" i="154"/>
  <c r="L4" i="154"/>
  <c r="K4" i="154"/>
  <c r="H4" i="154"/>
  <c r="A4" i="154"/>
  <c r="N3" i="154"/>
  <c r="M3" i="154"/>
  <c r="L3" i="154"/>
  <c r="K3" i="154"/>
  <c r="H3" i="154"/>
  <c r="A3" i="154"/>
  <c r="N2" i="154"/>
  <c r="M2" i="154"/>
  <c r="L2" i="154"/>
  <c r="K2" i="154"/>
  <c r="H2" i="154"/>
  <c r="A2" i="154"/>
  <c r="B40" i="153"/>
  <c r="B42" i="153"/>
  <c r="B43" i="153"/>
  <c r="B44" i="153"/>
  <c r="B45" i="153"/>
  <c r="B46" i="153"/>
  <c r="F42" i="153"/>
  <c r="G42" i="153"/>
  <c r="F40" i="153"/>
  <c r="G40" i="153"/>
  <c r="C19" i="153"/>
  <c r="C20" i="153"/>
  <c r="C21" i="153"/>
  <c r="C22" i="153"/>
  <c r="C23" i="153"/>
  <c r="C24" i="153"/>
  <c r="C25" i="153"/>
  <c r="C26" i="153"/>
  <c r="C27" i="153"/>
  <c r="C28" i="153"/>
  <c r="C29" i="153"/>
  <c r="C30" i="153"/>
  <c r="C31" i="153"/>
  <c r="C32" i="153"/>
  <c r="I31" i="153"/>
  <c r="J31" i="153"/>
  <c r="F31" i="153"/>
  <c r="D31" i="153"/>
  <c r="I30" i="153"/>
  <c r="J30" i="153"/>
  <c r="F30" i="153"/>
  <c r="D30" i="153"/>
  <c r="I29" i="153"/>
  <c r="J29" i="153"/>
  <c r="F29" i="153"/>
  <c r="D29" i="153"/>
  <c r="I28" i="153"/>
  <c r="J28" i="153"/>
  <c r="F28" i="153"/>
  <c r="D28" i="153"/>
  <c r="I27" i="153"/>
  <c r="J27" i="153"/>
  <c r="F27" i="153"/>
  <c r="D27" i="153"/>
  <c r="I26" i="153"/>
  <c r="J26" i="153"/>
  <c r="F26" i="153"/>
  <c r="D26" i="153"/>
  <c r="I25" i="153"/>
  <c r="J25" i="153"/>
  <c r="F25" i="153"/>
  <c r="D25" i="153"/>
  <c r="I24" i="153"/>
  <c r="J24" i="153"/>
  <c r="F24" i="153"/>
  <c r="D24" i="153"/>
  <c r="I23" i="153"/>
  <c r="J23" i="153"/>
  <c r="F23" i="153"/>
  <c r="D23" i="153"/>
  <c r="I22" i="153"/>
  <c r="J22" i="153"/>
  <c r="F22" i="153"/>
  <c r="D22" i="153"/>
  <c r="I21" i="153"/>
  <c r="J21" i="153"/>
  <c r="F21" i="153"/>
  <c r="D21" i="153"/>
  <c r="R20" i="153"/>
  <c r="P20" i="153"/>
  <c r="O20" i="153"/>
  <c r="M20" i="153"/>
  <c r="R19" i="153"/>
  <c r="P19" i="153"/>
  <c r="O19" i="153"/>
  <c r="M19" i="153"/>
  <c r="I19" i="153"/>
  <c r="J19" i="153"/>
  <c r="F19" i="153"/>
  <c r="D19" i="153"/>
  <c r="R18" i="153"/>
  <c r="P18" i="153"/>
  <c r="O18" i="153"/>
  <c r="M18" i="153"/>
  <c r="I18" i="153"/>
  <c r="J18" i="153"/>
  <c r="F18" i="153"/>
  <c r="C18" i="153"/>
  <c r="D18" i="153"/>
  <c r="R17" i="153"/>
  <c r="P17" i="153"/>
  <c r="O17" i="153"/>
  <c r="M17" i="153"/>
  <c r="I17" i="153"/>
  <c r="J17" i="153"/>
  <c r="F17" i="153"/>
  <c r="C17" i="153"/>
  <c r="D17" i="153"/>
  <c r="V16" i="153"/>
  <c r="R16" i="153"/>
  <c r="P16" i="153"/>
  <c r="O16" i="153"/>
  <c r="M16" i="153"/>
  <c r="V15" i="153"/>
  <c r="R15" i="153"/>
  <c r="P15" i="153"/>
  <c r="O15" i="153"/>
  <c r="M15" i="153"/>
  <c r="V14" i="153"/>
  <c r="R14" i="153"/>
  <c r="P14" i="153"/>
  <c r="O14" i="153"/>
  <c r="M14" i="153"/>
  <c r="V13" i="153"/>
  <c r="R13" i="153"/>
  <c r="P13" i="153"/>
  <c r="O13" i="153"/>
  <c r="M13" i="153"/>
  <c r="V12" i="153"/>
  <c r="R12" i="153"/>
  <c r="P12" i="153"/>
  <c r="O12" i="153"/>
  <c r="M12" i="153"/>
  <c r="V11" i="153"/>
  <c r="R11" i="153"/>
  <c r="P11" i="153"/>
  <c r="O11" i="153"/>
  <c r="M11" i="153"/>
  <c r="V10" i="153"/>
  <c r="P10" i="153"/>
  <c r="O10" i="153"/>
  <c r="M10" i="153"/>
  <c r="V9" i="153"/>
  <c r="P9" i="153"/>
  <c r="O9" i="153"/>
  <c r="M9" i="153"/>
  <c r="V8" i="153"/>
  <c r="P8" i="153"/>
  <c r="O8" i="153"/>
  <c r="M8" i="153"/>
  <c r="V7" i="153"/>
  <c r="P7" i="153"/>
  <c r="O7" i="153"/>
  <c r="M7" i="153"/>
  <c r="V6" i="153"/>
  <c r="P6" i="153"/>
  <c r="O6" i="153"/>
  <c r="M6" i="153"/>
  <c r="V5" i="153"/>
  <c r="P5" i="153"/>
  <c r="O5" i="153"/>
  <c r="M5" i="153"/>
  <c r="V4" i="153"/>
  <c r="P4" i="153"/>
  <c r="O4" i="153"/>
  <c r="M4" i="153"/>
  <c r="V3" i="153"/>
  <c r="P3" i="153"/>
  <c r="O3" i="153"/>
  <c r="M3" i="153"/>
  <c r="V2" i="153"/>
  <c r="C7" i="103"/>
  <c r="E7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3" i="103"/>
  <c r="E10" i="103"/>
  <c r="E9" i="103"/>
  <c r="E8" i="103"/>
  <c r="E3" i="103"/>
  <c r="D20" i="153"/>
  <c r="F20" i="153"/>
  <c r="I20" i="153"/>
  <c r="J20" i="153"/>
  <c r="B32" i="153"/>
  <c r="D32" i="153"/>
  <c r="P2" i="154"/>
  <c r="P3" i="154"/>
  <c r="P4" i="154"/>
  <c r="P5" i="154"/>
  <c r="P6" i="154"/>
  <c r="P7" i="154"/>
  <c r="P8" i="154"/>
  <c r="P9" i="154"/>
  <c r="P10" i="154"/>
  <c r="P11" i="154"/>
  <c r="P12" i="154"/>
  <c r="P13" i="154"/>
  <c r="P14" i="154"/>
  <c r="P15" i="154"/>
  <c r="P16" i="154"/>
  <c r="P17" i="154"/>
  <c r="P18" i="154"/>
  <c r="P19" i="154"/>
  <c r="P20" i="154"/>
  <c r="P21" i="154"/>
  <c r="P22" i="154"/>
  <c r="P23" i="154"/>
  <c r="P24" i="154"/>
  <c r="P25" i="154"/>
  <c r="P26" i="154"/>
  <c r="P27" i="154"/>
  <c r="P28" i="154"/>
  <c r="P29" i="154"/>
  <c r="P30" i="154"/>
  <c r="P31" i="154"/>
  <c r="P32" i="154"/>
  <c r="P33" i="154"/>
  <c r="P34" i="154"/>
  <c r="P35" i="154"/>
  <c r="P36" i="154"/>
  <c r="P37" i="154"/>
  <c r="P38" i="154"/>
  <c r="P39" i="154"/>
  <c r="P40" i="154"/>
  <c r="P41" i="154"/>
  <c r="P42" i="154"/>
  <c r="P43" i="154"/>
  <c r="P44" i="154"/>
  <c r="P45" i="154"/>
  <c r="P46" i="154"/>
  <c r="P47" i="154"/>
  <c r="P48" i="154"/>
  <c r="P49" i="154"/>
  <c r="P50" i="154"/>
  <c r="P51" i="154"/>
  <c r="P52" i="154"/>
  <c r="P53" i="154"/>
  <c r="P54" i="154"/>
  <c r="P55" i="154"/>
  <c r="P56" i="154"/>
  <c r="P57" i="154"/>
  <c r="P58" i="154"/>
  <c r="P59" i="154"/>
  <c r="P60" i="154"/>
  <c r="P61" i="154"/>
  <c r="P62" i="154"/>
  <c r="P63" i="154"/>
  <c r="P64" i="154"/>
  <c r="P65" i="154"/>
  <c r="P66" i="154"/>
  <c r="P67" i="154"/>
  <c r="P68" i="154"/>
  <c r="P69" i="154"/>
  <c r="P70" i="154"/>
  <c r="P71" i="154"/>
  <c r="P72" i="154"/>
  <c r="P73" i="154"/>
  <c r="P74" i="154"/>
  <c r="P75" i="154"/>
  <c r="P76" i="154"/>
  <c r="P77" i="154"/>
  <c r="P78" i="154"/>
  <c r="P79" i="154"/>
  <c r="P80" i="154"/>
  <c r="P81" i="154"/>
  <c r="P82" i="154"/>
  <c r="P83" i="154"/>
  <c r="P84" i="154"/>
  <c r="P85" i="154"/>
  <c r="P86" i="154"/>
  <c r="P87" i="154"/>
  <c r="P88" i="154"/>
  <c r="P89" i="154"/>
  <c r="P90" i="154"/>
  <c r="P91" i="154"/>
  <c r="P92" i="154"/>
  <c r="P93" i="154"/>
  <c r="P94" i="154"/>
  <c r="P95" i="154"/>
  <c r="P96" i="154"/>
  <c r="P97" i="154"/>
  <c r="P98" i="154"/>
  <c r="P99" i="154"/>
  <c r="P100" i="154"/>
  <c r="P101" i="154"/>
  <c r="P102" i="154"/>
  <c r="P103" i="154"/>
  <c r="P104" i="154"/>
  <c r="P105" i="154"/>
  <c r="P106" i="154"/>
  <c r="P107" i="154"/>
  <c r="P108" i="154"/>
  <c r="P109" i="154"/>
  <c r="P110" i="154"/>
  <c r="P111" i="154"/>
  <c r="P112" i="154"/>
  <c r="P113" i="154"/>
  <c r="P114" i="154"/>
  <c r="P115" i="154"/>
  <c r="P116" i="154"/>
  <c r="P117" i="154"/>
  <c r="P118" i="154"/>
  <c r="P119" i="154"/>
  <c r="P120" i="154"/>
  <c r="P121" i="154"/>
  <c r="P122" i="154"/>
  <c r="P123" i="154"/>
  <c r="P124" i="154"/>
  <c r="P125" i="154"/>
  <c r="P126" i="154"/>
  <c r="P127" i="154"/>
  <c r="P128" i="154"/>
  <c r="P129" i="154"/>
  <c r="P130" i="154"/>
  <c r="P131" i="154"/>
  <c r="P132" i="154"/>
  <c r="P133" i="154"/>
  <c r="P134" i="154"/>
  <c r="P135" i="154"/>
  <c r="P136" i="154"/>
  <c r="P137" i="154"/>
  <c r="P138" i="154"/>
  <c r="P139" i="154"/>
  <c r="P140" i="154"/>
  <c r="P141" i="154"/>
  <c r="P142" i="154"/>
  <c r="P143" i="154"/>
  <c r="P144" i="154"/>
  <c r="P145" i="154"/>
  <c r="P146" i="154"/>
  <c r="P147" i="154"/>
  <c r="P148" i="154"/>
  <c r="P149" i="154"/>
  <c r="P150" i="154"/>
  <c r="P151" i="154"/>
  <c r="P152" i="154"/>
  <c r="P153" i="154"/>
  <c r="P154" i="154"/>
  <c r="P155" i="154"/>
  <c r="P156" i="154"/>
  <c r="P157" i="154"/>
  <c r="P158" i="154"/>
  <c r="P159" i="154"/>
  <c r="P160" i="154"/>
  <c r="P161" i="154"/>
  <c r="P162" i="154"/>
  <c r="P163" i="154"/>
  <c r="P164" i="154"/>
  <c r="P165" i="154"/>
  <c r="P166" i="154"/>
  <c r="P167" i="154"/>
  <c r="P168" i="154"/>
  <c r="P169" i="154"/>
  <c r="P170" i="154"/>
  <c r="P171" i="154"/>
  <c r="P172" i="154"/>
  <c r="P173" i="154"/>
  <c r="P174" i="154"/>
  <c r="P175" i="154"/>
  <c r="P176" i="154"/>
  <c r="P177" i="154"/>
  <c r="P178" i="154"/>
  <c r="P179" i="154"/>
  <c r="P180" i="154"/>
  <c r="P181" i="154"/>
  <c r="P182" i="154"/>
  <c r="P183" i="154"/>
  <c r="P184" i="154"/>
  <c r="P185" i="154"/>
  <c r="P186" i="154"/>
  <c r="P187" i="154"/>
  <c r="P188" i="154"/>
  <c r="P189" i="154"/>
  <c r="P190" i="154"/>
  <c r="P191" i="154"/>
  <c r="P192" i="154"/>
  <c r="P193" i="154"/>
  <c r="P194" i="154"/>
  <c r="P195" i="154"/>
  <c r="P196" i="154"/>
  <c r="P197" i="154"/>
  <c r="P198" i="154"/>
  <c r="P199" i="154"/>
  <c r="P200" i="154"/>
  <c r="P201" i="154"/>
  <c r="P202" i="154"/>
  <c r="P203" i="154"/>
  <c r="P204" i="154"/>
  <c r="P205" i="154"/>
  <c r="P206" i="154"/>
  <c r="P207" i="154"/>
  <c r="P208" i="154"/>
  <c r="P209" i="154"/>
  <c r="P210" i="154"/>
  <c r="P211" i="154"/>
  <c r="P212" i="154"/>
  <c r="P213" i="154"/>
  <c r="P214" i="154"/>
  <c r="P215" i="154"/>
  <c r="P216" i="154"/>
  <c r="P217" i="154"/>
  <c r="P218" i="154"/>
  <c r="P219" i="154"/>
  <c r="P220" i="154"/>
  <c r="P221" i="154"/>
  <c r="P222" i="154"/>
  <c r="P223" i="154"/>
  <c r="P224" i="154"/>
  <c r="P225" i="154"/>
  <c r="P226" i="154"/>
  <c r="P227" i="154"/>
  <c r="P228" i="154"/>
  <c r="P229" i="154"/>
  <c r="P230" i="154"/>
  <c r="P231" i="154"/>
  <c r="P232" i="154"/>
  <c r="P233" i="154"/>
  <c r="P234" i="154"/>
  <c r="P235" i="154"/>
  <c r="P236" i="154"/>
  <c r="P237" i="154"/>
  <c r="P238" i="154"/>
  <c r="P239" i="154"/>
  <c r="P240" i="154"/>
  <c r="P241" i="154"/>
  <c r="P242" i="154"/>
  <c r="P243" i="154"/>
  <c r="P244" i="154"/>
  <c r="P245" i="154"/>
  <c r="P246" i="154"/>
  <c r="P247" i="154"/>
  <c r="P248" i="154"/>
  <c r="P249" i="154"/>
  <c r="P250" i="154"/>
  <c r="P251" i="154"/>
  <c r="P252" i="154"/>
  <c r="P253" i="154"/>
  <c r="P254" i="154"/>
  <c r="P255" i="154"/>
  <c r="P256" i="154"/>
  <c r="P257" i="154"/>
  <c r="P258" i="154"/>
  <c r="P259" i="154"/>
  <c r="P260" i="154"/>
  <c r="P261" i="154"/>
  <c r="P262" i="154"/>
  <c r="P263" i="154"/>
  <c r="P264" i="154"/>
  <c r="P265" i="154"/>
  <c r="P266" i="154"/>
  <c r="P267" i="154"/>
  <c r="P268" i="154"/>
  <c r="P269" i="154"/>
  <c r="P270" i="154"/>
  <c r="P271" i="154"/>
  <c r="P272" i="154"/>
  <c r="P273" i="154"/>
  <c r="P274" i="154"/>
  <c r="P275" i="154"/>
  <c r="P276" i="154"/>
  <c r="P277" i="154"/>
  <c r="P278" i="154"/>
  <c r="P279" i="154"/>
  <c r="P280" i="154"/>
  <c r="P281" i="154"/>
  <c r="P282" i="154"/>
  <c r="P283" i="154"/>
  <c r="P284" i="154"/>
  <c r="P285" i="154"/>
  <c r="P286" i="154"/>
  <c r="P287" i="154"/>
  <c r="P288" i="154"/>
  <c r="P289" i="154"/>
  <c r="P290" i="154"/>
  <c r="P291" i="154"/>
  <c r="P292" i="154"/>
  <c r="P293" i="154"/>
  <c r="P294" i="154"/>
  <c r="P295" i="154"/>
  <c r="P296" i="154"/>
  <c r="P297" i="154"/>
  <c r="P298" i="154"/>
  <c r="P299" i="154"/>
  <c r="P300" i="154"/>
  <c r="P301" i="154"/>
  <c r="P302" i="154"/>
  <c r="P303" i="154"/>
  <c r="P304" i="154"/>
  <c r="P305" i="154"/>
  <c r="P306" i="154"/>
  <c r="P307" i="154"/>
  <c r="P308" i="154"/>
  <c r="P309" i="154"/>
  <c r="F45" i="153"/>
  <c r="F46" i="153"/>
  <c r="B41" i="153"/>
  <c r="B47" i="153"/>
  <c r="C40" i="153"/>
  <c r="C41" i="153"/>
  <c r="C42" i="153"/>
  <c r="C43" i="153"/>
  <c r="C44" i="153"/>
  <c r="C45" i="153"/>
  <c r="C46" i="153"/>
  <c r="C47" i="153"/>
  <c r="F47" i="153"/>
  <c r="F48" i="153"/>
  <c r="F41" i="153"/>
  <c r="G41" i="153"/>
  <c r="P138" i="161"/>
  <c r="P139" i="161"/>
  <c r="P140" i="161"/>
  <c r="P141" i="161"/>
  <c r="P2" i="161"/>
  <c r="P3" i="161"/>
  <c r="P4" i="161"/>
  <c r="P5" i="161"/>
  <c r="P6" i="161"/>
  <c r="P7" i="161"/>
  <c r="P8" i="161"/>
  <c r="P9" i="161"/>
  <c r="P10" i="161"/>
  <c r="P11" i="161"/>
  <c r="P12" i="161"/>
  <c r="P13" i="161"/>
  <c r="P14" i="161"/>
  <c r="P15" i="161"/>
  <c r="P16" i="161"/>
  <c r="P17" i="161"/>
  <c r="P18" i="161"/>
  <c r="P19" i="161"/>
  <c r="P20" i="161"/>
  <c r="P21" i="161"/>
  <c r="P22" i="161"/>
  <c r="P23" i="161"/>
  <c r="P24" i="161"/>
  <c r="P25" i="161"/>
  <c r="P26" i="161"/>
  <c r="P27" i="161"/>
  <c r="P28" i="161"/>
  <c r="P29" i="161"/>
  <c r="P30" i="161"/>
  <c r="P31" i="161"/>
  <c r="P32" i="161"/>
  <c r="P33" i="161"/>
  <c r="P34" i="161"/>
  <c r="P35" i="161"/>
  <c r="P36" i="161"/>
  <c r="P37" i="161"/>
  <c r="P38" i="161"/>
  <c r="P39" i="161"/>
  <c r="P40" i="161"/>
  <c r="P41" i="161"/>
  <c r="P42" i="161"/>
  <c r="P43" i="161"/>
  <c r="P44" i="161"/>
  <c r="P45" i="161"/>
  <c r="P46" i="161"/>
  <c r="P47" i="161"/>
  <c r="P48" i="161"/>
  <c r="P49" i="161"/>
  <c r="P50" i="161"/>
  <c r="P51" i="161"/>
  <c r="P52" i="161"/>
  <c r="P53" i="161"/>
  <c r="P54" i="161"/>
  <c r="P55" i="161"/>
  <c r="P56" i="161"/>
  <c r="P57" i="161"/>
  <c r="P58" i="161"/>
  <c r="P59" i="161"/>
  <c r="P60" i="161"/>
  <c r="P61" i="161"/>
  <c r="P62" i="161"/>
  <c r="P63" i="161"/>
  <c r="P64" i="161"/>
  <c r="P65" i="161"/>
  <c r="P66" i="161"/>
  <c r="P67" i="161"/>
  <c r="P68" i="161"/>
  <c r="P69" i="161"/>
  <c r="P70" i="161"/>
  <c r="P71" i="161"/>
  <c r="P72" i="161"/>
  <c r="P73" i="161"/>
  <c r="P74" i="161"/>
  <c r="P75" i="161"/>
  <c r="P76" i="161"/>
  <c r="P77" i="161"/>
  <c r="P78" i="161"/>
  <c r="P79" i="161"/>
  <c r="P80" i="161"/>
  <c r="P81" i="161"/>
  <c r="P82" i="161"/>
  <c r="P83" i="161"/>
  <c r="P84" i="161"/>
  <c r="P85" i="161"/>
  <c r="P86" i="161"/>
  <c r="P87" i="161"/>
  <c r="P88" i="161"/>
  <c r="P89" i="161"/>
  <c r="P90" i="161"/>
  <c r="P91" i="161"/>
  <c r="P92" i="161"/>
  <c r="P93" i="161"/>
  <c r="P94" i="161"/>
  <c r="P95" i="161"/>
  <c r="P96" i="161"/>
  <c r="P97" i="161"/>
  <c r="P98" i="161"/>
  <c r="P99" i="161"/>
  <c r="P100" i="161"/>
  <c r="P101" i="161"/>
  <c r="P102" i="161"/>
  <c r="P103" i="161"/>
  <c r="P104" i="161"/>
  <c r="P105" i="161"/>
  <c r="P106" i="161"/>
  <c r="P107" i="161"/>
  <c r="P108" i="161"/>
  <c r="P109" i="161"/>
  <c r="P110" i="161"/>
  <c r="P111" i="161"/>
  <c r="P112" i="161"/>
  <c r="P113" i="161"/>
  <c r="P114" i="161"/>
  <c r="P115" i="161"/>
  <c r="P116" i="161"/>
  <c r="P117" i="161"/>
  <c r="P118" i="161"/>
  <c r="P119" i="161"/>
  <c r="P120" i="161"/>
  <c r="P121" i="161"/>
  <c r="P122" i="161"/>
  <c r="P123" i="161"/>
  <c r="P124" i="161"/>
  <c r="P125" i="161"/>
  <c r="P126" i="161"/>
  <c r="P127" i="161"/>
  <c r="P128" i="161"/>
  <c r="P129" i="161"/>
  <c r="P130" i="161"/>
  <c r="P131" i="161"/>
  <c r="P132" i="161"/>
  <c r="P133" i="161"/>
  <c r="P134" i="161"/>
  <c r="P135" i="161"/>
  <c r="P136" i="161"/>
  <c r="P137" i="161"/>
  <c r="P142" i="161"/>
  <c r="P143" i="161"/>
  <c r="P144" i="161"/>
  <c r="P145" i="161"/>
  <c r="P146" i="161"/>
  <c r="P147" i="161"/>
  <c r="P148" i="161"/>
  <c r="P149" i="161"/>
  <c r="P150" i="161"/>
  <c r="P151" i="161"/>
  <c r="P152" i="161"/>
  <c r="P153" i="161"/>
  <c r="P154" i="161"/>
  <c r="P155" i="161"/>
  <c r="P156" i="161"/>
  <c r="P157" i="161"/>
  <c r="P158" i="161"/>
  <c r="P159" i="161"/>
  <c r="P160" i="161"/>
  <c r="P161" i="161"/>
  <c r="P162" i="161"/>
  <c r="P163" i="161"/>
  <c r="P164" i="161"/>
  <c r="P165" i="161"/>
  <c r="P166" i="161"/>
  <c r="P167" i="161"/>
  <c r="P168" i="161"/>
  <c r="P169" i="161"/>
  <c r="P170" i="161"/>
  <c r="P171" i="161"/>
  <c r="P172" i="161"/>
  <c r="P173" i="161"/>
  <c r="P174" i="161"/>
  <c r="P175" i="161"/>
  <c r="P176" i="161"/>
  <c r="P177" i="161"/>
  <c r="P178" i="161"/>
  <c r="P179" i="161"/>
  <c r="P180" i="161"/>
  <c r="P181" i="161"/>
  <c r="P182" i="161"/>
  <c r="P183" i="161"/>
  <c r="P184" i="161"/>
  <c r="P185" i="161"/>
  <c r="P186" i="161"/>
  <c r="P187" i="161"/>
  <c r="P188" i="161"/>
  <c r="P189" i="161"/>
  <c r="P190" i="161"/>
  <c r="P191" i="161"/>
  <c r="P192" i="161"/>
  <c r="P193" i="161"/>
  <c r="P194" i="161"/>
  <c r="P195" i="161"/>
  <c r="P196" i="161"/>
  <c r="P197" i="161"/>
  <c r="P198" i="161"/>
  <c r="P199" i="161"/>
  <c r="P200" i="161"/>
  <c r="P201" i="161"/>
  <c r="P202" i="161"/>
  <c r="P203" i="161"/>
  <c r="P204" i="161"/>
  <c r="P205" i="161"/>
  <c r="P206" i="161"/>
  <c r="P207" i="161"/>
  <c r="P208" i="161"/>
  <c r="P209" i="161"/>
  <c r="P210" i="161"/>
  <c r="P211" i="161"/>
  <c r="P212" i="161"/>
  <c r="P213" i="161"/>
  <c r="P214" i="161"/>
  <c r="P215" i="161"/>
  <c r="P216" i="161"/>
  <c r="P217" i="161"/>
  <c r="P218" i="161"/>
  <c r="P219" i="161"/>
  <c r="P220" i="161"/>
  <c r="P221" i="161"/>
  <c r="P222" i="161"/>
  <c r="P223" i="161"/>
  <c r="P224" i="161"/>
  <c r="P225" i="161"/>
  <c r="P226" i="161"/>
  <c r="P227" i="161"/>
  <c r="P228" i="161"/>
  <c r="P229" i="161"/>
  <c r="P230" i="161"/>
  <c r="P231" i="161"/>
  <c r="P232" i="161"/>
  <c r="P233" i="161"/>
  <c r="P234" i="161"/>
  <c r="P235" i="161"/>
  <c r="P236" i="161"/>
  <c r="P237" i="161"/>
  <c r="P238" i="161"/>
  <c r="P239" i="161"/>
  <c r="P240" i="161"/>
  <c r="P241" i="161"/>
  <c r="P242" i="161"/>
  <c r="P243" i="161"/>
  <c r="P244" i="161"/>
  <c r="P245" i="161"/>
  <c r="P246" i="161"/>
  <c r="P247" i="161"/>
  <c r="P248" i="161"/>
  <c r="P249" i="161"/>
  <c r="P250" i="161"/>
  <c r="P251" i="161"/>
  <c r="P252" i="161"/>
  <c r="P253" i="161"/>
  <c r="P254" i="161"/>
  <c r="P255" i="161"/>
  <c r="P256" i="161"/>
  <c r="P257" i="161"/>
  <c r="P258" i="161"/>
  <c r="P259" i="161"/>
  <c r="P260" i="161"/>
  <c r="P261" i="161"/>
  <c r="P262" i="161"/>
  <c r="P263" i="161"/>
  <c r="P264" i="161"/>
  <c r="P265" i="161"/>
  <c r="P266" i="161"/>
  <c r="P267" i="161"/>
  <c r="P268" i="161"/>
  <c r="P269" i="161"/>
  <c r="P270" i="161"/>
  <c r="P271" i="161"/>
  <c r="P272" i="161"/>
  <c r="P273" i="161"/>
  <c r="P274" i="161"/>
  <c r="P275" i="161"/>
  <c r="P276" i="161"/>
  <c r="P277" i="161"/>
  <c r="P278" i="161"/>
  <c r="P279" i="161"/>
  <c r="P280" i="161"/>
  <c r="P281" i="161"/>
  <c r="P282" i="161"/>
  <c r="P283" i="161"/>
  <c r="P284" i="161"/>
  <c r="P285" i="161"/>
  <c r="P286" i="161"/>
  <c r="P287" i="161"/>
  <c r="P288" i="161"/>
  <c r="P289" i="161"/>
  <c r="P290" i="161"/>
  <c r="P291" i="161"/>
  <c r="P292" i="161"/>
  <c r="P293" i="161"/>
  <c r="P294" i="161"/>
  <c r="P295" i="161"/>
  <c r="P296" i="161"/>
  <c r="P297" i="161"/>
  <c r="P298" i="161"/>
  <c r="P299" i="161"/>
  <c r="P300" i="161"/>
  <c r="P301" i="161"/>
  <c r="P302" i="161"/>
  <c r="P303" i="161"/>
  <c r="P304" i="161"/>
  <c r="P305" i="161"/>
  <c r="P306" i="161"/>
  <c r="P307" i="161"/>
  <c r="P308" i="161"/>
  <c r="P309" i="161"/>
  <c r="P310" i="161"/>
  <c r="P311" i="161"/>
  <c r="P312" i="161"/>
  <c r="P313" i="161"/>
  <c r="P314" i="161"/>
  <c r="P315" i="161"/>
  <c r="P316" i="161"/>
  <c r="P317" i="161"/>
  <c r="P318" i="161"/>
  <c r="P319" i="161"/>
  <c r="F48" i="160"/>
  <c r="F47" i="160"/>
  <c r="F46" i="160"/>
  <c r="F45" i="160"/>
  <c r="B44" i="160"/>
  <c r="B47" i="160"/>
  <c r="C40" i="160"/>
  <c r="C41" i="160"/>
  <c r="C42" i="160"/>
  <c r="C43" i="160"/>
  <c r="C44" i="160"/>
  <c r="C45" i="160"/>
  <c r="C46" i="160"/>
  <c r="C47" i="160"/>
  <c r="B32" i="160"/>
  <c r="D32" i="160"/>
  <c r="I21" i="160"/>
  <c r="J21" i="160"/>
  <c r="F21" i="160"/>
  <c r="D21" i="160"/>
  <c r="F42" i="160"/>
  <c r="G42" i="160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4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5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<sst xmlns="http://schemas.openxmlformats.org/spreadsheetml/2006/main" count="646" uniqueCount="253">
  <si>
    <t>character_id</t>
  </si>
  <si>
    <t>character_id</t>
    <phoneticPr fontId="22"/>
  </si>
  <si>
    <t>weight</t>
    <phoneticPr fontId="22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</si>
  <si>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</si>
  <si>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</si>
  <si>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</si>
  <si>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</si>
  <si>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</si>
  <si>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</si>
  <si>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</si>
  <si>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2"/>
  </si>
  <si>
    <t>bonus_table_no</t>
    <phoneticPr fontId="22"/>
  </si>
  <si>
    <t>weight</t>
    <phoneticPr fontId="22"/>
  </si>
  <si>
    <t>gift_id</t>
    <phoneticPr fontId="22"/>
  </si>
  <si>
    <t>gift_id</t>
    <phoneticPr fontId="22"/>
  </si>
  <si>
    <t>gift_type</t>
    <phoneticPr fontId="22"/>
  </si>
  <si>
    <t>gift_value</t>
    <phoneticPr fontId="22"/>
  </si>
  <si>
    <t>gift_count</t>
    <phoneticPr fontId="22"/>
  </si>
  <si>
    <t>language</t>
    <phoneticPr fontId="22"/>
  </si>
  <si>
    <t>title</t>
    <phoneticPr fontId="22"/>
  </si>
  <si>
    <t>detail</t>
    <phoneticPr fontId="22"/>
  </si>
  <si>
    <t>message</t>
    <phoneticPr fontId="22"/>
  </si>
  <si>
    <t>gift_id</t>
    <phoneticPr fontId="22"/>
  </si>
  <si>
    <t>gift_value</t>
    <phoneticPr fontId="22"/>
  </si>
  <si>
    <t>gift_value</t>
    <phoneticPr fontId="22"/>
  </si>
  <si>
    <t>gift_count</t>
    <phoneticPr fontId="22"/>
  </si>
  <si>
    <t>language</t>
    <phoneticPr fontId="22"/>
  </si>
  <si>
    <t>title</t>
    <phoneticPr fontId="22"/>
  </si>
  <si>
    <t>detail</t>
    <phoneticPr fontId="22"/>
  </si>
  <si>
    <t>message</t>
    <phoneticPr fontId="22"/>
  </si>
  <si>
    <t>gift_type</t>
    <phoneticPr fontId="22"/>
  </si>
  <si>
    <t>備考</t>
    <rPh sb="0" eb="2">
      <t>ビコウ</t>
    </rPh>
    <phoneticPr fontId="22"/>
  </si>
  <si>
    <t>character_id</t>
    <phoneticPr fontId="22"/>
  </si>
  <si>
    <t>name</t>
    <phoneticPr fontId="22"/>
  </si>
  <si>
    <t>drop_label</t>
    <phoneticPr fontId="22"/>
  </si>
  <si>
    <t>rare</t>
    <phoneticPr fontId="22"/>
  </si>
  <si>
    <t>character_type_id</t>
    <phoneticPr fontId="22"/>
  </si>
  <si>
    <t>character_tribe_id</t>
    <phoneticPr fontId="22"/>
  </si>
  <si>
    <t>unit_level</t>
    <phoneticPr fontId="22"/>
  </si>
  <si>
    <t>接頭語</t>
    <rPh sb="0" eb="3">
      <t>セットウゴ</t>
    </rPh>
    <phoneticPr fontId="55"/>
  </si>
  <si>
    <t>識別子</t>
    <rPh sb="0" eb="3">
      <t>シキベツシ</t>
    </rPh>
    <phoneticPr fontId="55"/>
  </si>
  <si>
    <t>形式</t>
    <rPh sb="0" eb="2">
      <t>ケイシキ</t>
    </rPh>
    <phoneticPr fontId="55"/>
  </si>
  <si>
    <t>出力ファイル名</t>
    <rPh sb="0" eb="2">
      <t>シュツリョク</t>
    </rPh>
    <rPh sb="6" eb="7">
      <t>メイ</t>
    </rPh>
    <phoneticPr fontId="55"/>
  </si>
  <si>
    <t>入力シート名</t>
    <rPh sb="0" eb="2">
      <t>ニュウリョク</t>
    </rPh>
    <rPh sb="5" eb="6">
      <t>メイ</t>
    </rPh>
    <phoneticPr fontId="55"/>
  </si>
  <si>
    <t>出力データ</t>
    <rPh sb="0" eb="2">
      <t>シュツリョク</t>
    </rPh>
    <phoneticPr fontId="55"/>
  </si>
  <si>
    <t>.tmp</t>
    <phoneticPr fontId="55"/>
  </si>
  <si>
    <t>.tmp</t>
    <phoneticPr fontId="55"/>
  </si>
  <si>
    <t>gacha_bonus_tables</t>
    <phoneticPr fontId="55"/>
  </si>
  <si>
    <t>gifts_tmp_</t>
    <phoneticPr fontId="22"/>
  </si>
  <si>
    <t>gifts_i18n_</t>
    <phoneticPr fontId="22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</si>
  <si>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2"/>
  </si>
  <si>
    <t>出力flg</t>
    <rPh sb="0" eb="2">
      <t>シュツリョク</t>
    </rPh>
    <phoneticPr fontId="55"/>
  </si>
  <si>
    <t>color</t>
    <phoneticPr fontId="22"/>
  </si>
  <si>
    <t>レアリティ別確率</t>
    <rPh sb="5" eb="6">
      <t>ベツ</t>
    </rPh>
    <rPh sb="6" eb="8">
      <t>カクリツ</t>
    </rPh>
    <phoneticPr fontId="22"/>
  </si>
  <si>
    <t>ラベル別確率</t>
    <rPh sb="3" eb="4">
      <t>ベツ</t>
    </rPh>
    <rPh sb="4" eb="6">
      <t>カクリツ</t>
    </rPh>
    <phoneticPr fontId="22"/>
  </si>
  <si>
    <t>SSS</t>
    <phoneticPr fontId="22"/>
  </si>
  <si>
    <t>SS</t>
    <phoneticPr fontId="22"/>
  </si>
  <si>
    <t>ラベル*レアリティ標準確率</t>
    <rPh sb="9" eb="11">
      <t>ヒョウジュン</t>
    </rPh>
    <rPh sb="11" eb="13">
      <t>カクリツ</t>
    </rPh>
    <phoneticPr fontId="22"/>
  </si>
  <si>
    <t>性別</t>
    <rPh sb="0" eb="2">
      <t>セイベツ</t>
    </rPh>
    <phoneticPr fontId="22"/>
  </si>
  <si>
    <t>合計</t>
    <rPh sb="0" eb="2">
      <t>ゴウケイ</t>
    </rPh>
    <phoneticPr fontId="22"/>
  </si>
  <si>
    <t>グループ</t>
    <phoneticPr fontId="22"/>
  </si>
  <si>
    <t>ピックアップ確率</t>
    <rPh sb="6" eb="8">
      <t>カクリツ</t>
    </rPh>
    <phoneticPr fontId="22"/>
  </si>
  <si>
    <t>残り確率</t>
    <rPh sb="0" eb="1">
      <t>ノコ</t>
    </rPh>
    <rPh sb="2" eb="4">
      <t>カクリツ</t>
    </rPh>
    <phoneticPr fontId="22"/>
  </si>
  <si>
    <t>確率</t>
    <rPh sb="0" eb="2">
      <t>カクリツ</t>
    </rPh>
    <phoneticPr fontId="22"/>
  </si>
  <si>
    <t>所属グループ</t>
    <rPh sb="0" eb="2">
      <t>ショゾク</t>
    </rPh>
    <phoneticPr fontId="22"/>
  </si>
  <si>
    <t>名前</t>
    <rPh sb="0" eb="2">
      <t>ナマエ</t>
    </rPh>
    <phoneticPr fontId="22"/>
  </si>
  <si>
    <t>レアリティ</t>
    <phoneticPr fontId="22"/>
  </si>
  <si>
    <t>ラベル</t>
    <phoneticPr fontId="22"/>
  </si>
  <si>
    <t>R3</t>
    <phoneticPr fontId="22"/>
  </si>
  <si>
    <t>R4</t>
    <phoneticPr fontId="22"/>
  </si>
  <si>
    <t>R5</t>
    <phoneticPr fontId="22"/>
  </si>
  <si>
    <t>個別確率</t>
    <rPh sb="0" eb="4">
      <t>コベツカクリツ</t>
    </rPh>
    <phoneticPr fontId="22"/>
  </si>
  <si>
    <t>該当数(ピックアップ除く)</t>
    <rPh sb="0" eb="2">
      <t>ガイトウ</t>
    </rPh>
    <rPh sb="2" eb="3">
      <t>スウ</t>
    </rPh>
    <rPh sb="10" eb="11">
      <t>ノゾ</t>
    </rPh>
    <phoneticPr fontId="22"/>
  </si>
  <si>
    <t>個別weight</t>
    <rPh sb="0" eb="2">
      <t>コベツ</t>
    </rPh>
    <phoneticPr fontId="22"/>
  </si>
  <si>
    <t>グループweight</t>
    <phoneticPr fontId="22"/>
  </si>
  <si>
    <t>端数</t>
    <rPh sb="0" eb="2">
      <t>ハスウ</t>
    </rPh>
    <phoneticPr fontId="22"/>
  </si>
  <si>
    <t>--検算用--</t>
    <rPh sb="3" eb="6">
      <t>ケンザンヨウ</t>
    </rPh>
    <phoneticPr fontId="22"/>
  </si>
  <si>
    <t>端数逆数</t>
    <rPh sb="0" eb="2">
      <t>ハスウ</t>
    </rPh>
    <rPh sb="2" eb="4">
      <t>ギャクスウ</t>
    </rPh>
    <phoneticPr fontId="22"/>
  </si>
  <si>
    <t>テーブルを増やしたい場合</t>
    <rPh sb="5" eb="6">
      <t>フ</t>
    </rPh>
    <rPh sb="10" eb="12">
      <t>バアイ</t>
    </rPh>
    <phoneticPr fontId="22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</si>
  <si>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2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</si>
  <si>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2"/>
  </si>
  <si>
    <t>３．outputシートで２で作ったtablesを指定する</t>
    <rPh sb="14" eb="15">
      <t>ツク</t>
    </rPh>
    <rPh sb="24" eb="26">
      <t>シテイ</t>
    </rPh>
    <phoneticPr fontId="22"/>
  </si>
  <si>
    <t>テーブルid</t>
    <phoneticPr fontId="22"/>
  </si>
  <si>
    <t>→ピックアップの確率は右のほうにいます</t>
    <rPh sb="8" eb="10">
      <t>カクリツ</t>
    </rPh>
    <rPh sb="11" eb="12">
      <t>ミギ</t>
    </rPh>
    <phoneticPr fontId="22"/>
  </si>
  <si>
    <t>table_no</t>
    <phoneticPr fontId="22"/>
  </si>
  <si>
    <t>table_no</t>
    <phoneticPr fontId="22"/>
  </si>
  <si>
    <t>skill_level</t>
  </si>
  <si>
    <t>level</t>
  </si>
  <si>
    <t>hp_plus</t>
    <phoneticPr fontId="55"/>
  </si>
  <si>
    <t>attack_plus</t>
    <phoneticPr fontId="55"/>
  </si>
  <si>
    <t>heal_plus</t>
    <phoneticPr fontId="55"/>
  </si>
  <si>
    <t>defense_plus</t>
    <phoneticPr fontId="55"/>
  </si>
  <si>
    <t>level</t>
    <phoneticPr fontId="55"/>
  </si>
  <si>
    <t>skill_level</t>
    <phoneticPr fontId="55"/>
  </si>
  <si>
    <t>bug</t>
    <phoneticPr fontId="55"/>
  </si>
  <si>
    <t>drop_label2</t>
    <phoneticPr fontId="22"/>
  </si>
  <si>
    <t>Premium</t>
    <phoneticPr fontId="22"/>
  </si>
  <si>
    <t>Premium3</t>
    <phoneticPr fontId="22"/>
  </si>
  <si>
    <t>Premium4</t>
    <phoneticPr fontId="22"/>
  </si>
  <si>
    <t>Premium5</t>
    <phoneticPr fontId="22"/>
  </si>
  <si>
    <t>グループ確率</t>
    <rPh sb="4" eb="6">
      <t>カクリツ</t>
    </rPh>
    <phoneticPr fontId="22"/>
  </si>
  <si>
    <t>レア度別確率</t>
    <rPh sb="2" eb="4">
      <t>ドベツ</t>
    </rPh>
    <rPh sb="4" eb="6">
      <t>カクリツ</t>
    </rPh>
    <phoneticPr fontId="22"/>
  </si>
  <si>
    <t>color2</t>
    <phoneticPr fontId="22"/>
  </si>
  <si>
    <t>Premium3</t>
  </si>
  <si>
    <t>Premium4</t>
  </si>
  <si>
    <t>Premium5</t>
  </si>
  <si>
    <t>PremiumSS4</t>
    <phoneticPr fontId="22"/>
  </si>
  <si>
    <t>PremiumSS5</t>
    <phoneticPr fontId="22"/>
  </si>
  <si>
    <t>PremiumSSS5</t>
    <phoneticPr fontId="22"/>
  </si>
  <si>
    <t>PremiumSSS4</t>
    <phoneticPr fontId="22"/>
  </si>
  <si>
    <t>gacha_select_tables_</t>
    <phoneticPr fontId="22"/>
  </si>
  <si>
    <t>ラベル確率で考えましょう</t>
    <rPh sb="6" eb="7">
      <t>カンガエマショウ</t>
    </rPh>
    <phoneticPr fontId="55"/>
  </si>
  <si>
    <t>ラベル</t>
    <phoneticPr fontId="55"/>
  </si>
  <si>
    <t>レアリティ</t>
    <phoneticPr fontId="55"/>
  </si>
  <si>
    <t>{W}</t>
    <phoneticPr fontId="55"/>
  </si>
  <si>
    <t>{N,S}</t>
    <phoneticPr fontId="55"/>
  </si>
  <si>
    <t>{N,S}R3less</t>
    <phoneticPr fontId="55"/>
  </si>
  <si>
    <t>{N,S}R6release</t>
    <phoneticPr fontId="55"/>
  </si>
  <si>
    <t>{SS}</t>
    <phoneticPr fontId="55"/>
  </si>
  <si>
    <t>{SS}R6only</t>
    <phoneticPr fontId="55"/>
  </si>
  <si>
    <t>小計</t>
    <rPh sb="0" eb="2">
      <t>ショウケイ</t>
    </rPh>
    <phoneticPr fontId="55"/>
  </si>
  <si>
    <t>A</t>
    <phoneticPr fontId="55"/>
  </si>
  <si>
    <t>C</t>
    <phoneticPr fontId="55"/>
  </si>
  <si>
    <t>H</t>
    <phoneticPr fontId="55"/>
  </si>
  <si>
    <t>B</t>
    <phoneticPr fontId="55"/>
  </si>
  <si>
    <t>D</t>
    <phoneticPr fontId="55"/>
  </si>
  <si>
    <t>F</t>
    <phoneticPr fontId="55"/>
  </si>
  <si>
    <t>I</t>
    <phoneticPr fontId="55"/>
  </si>
  <si>
    <t>K</t>
    <phoneticPr fontId="55"/>
  </si>
  <si>
    <t>E</t>
    <phoneticPr fontId="55"/>
  </si>
  <si>
    <t>G</t>
    <phoneticPr fontId="55"/>
  </si>
  <si>
    <t>J</t>
    <phoneticPr fontId="55"/>
  </si>
  <si>
    <t>L</t>
    <phoneticPr fontId="55"/>
  </si>
  <si>
    <t>M</t>
    <phoneticPr fontId="55"/>
  </si>
  <si>
    <t>→</t>
    <phoneticPr fontId="55"/>
  </si>
  <si>
    <t>1-SS率</t>
    <rPh sb="4" eb="5">
      <t>リツ</t>
    </rPh>
    <phoneticPr fontId="55"/>
  </si>
  <si>
    <t>SS率</t>
    <rPh sb="2" eb="3">
      <t>リツ</t>
    </rPh>
    <phoneticPr fontId="55"/>
  </si>
  <si>
    <t>考え方を変える</t>
    <rPh sb="0" eb="1">
      <t>カンガエカタ</t>
    </rPh>
    <rPh sb="4" eb="5">
      <t>カエル</t>
    </rPh>
    <phoneticPr fontId="55"/>
  </si>
  <si>
    <t>SS4%は確定事項</t>
    <rPh sb="5" eb="7">
      <t>カクテイ</t>
    </rPh>
    <rPh sb="7" eb="9">
      <t>ジコウ</t>
    </rPh>
    <phoneticPr fontId="55"/>
  </si>
  <si>
    <t>当たりは分配</t>
    <rPh sb="0" eb="1">
      <t>アタリ</t>
    </rPh>
    <rPh sb="4" eb="6">
      <t>ブンパイ</t>
    </rPh>
    <phoneticPr fontId="55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</si>
  <si>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5"/>
  </si>
  <si>
    <t>=</t>
    <phoneticPr fontId="55"/>
  </si>
  <si>
    <t>X*{SS R5only}</t>
    <phoneticPr fontId="55"/>
  </si>
  <si>
    <t>K</t>
    <phoneticPr fontId="55"/>
  </si>
  <si>
    <t>=</t>
    <phoneticPr fontId="55"/>
  </si>
  <si>
    <t>X*{SS}*(R3率+R4率)</t>
    <rPh sb="10" eb="11">
      <t>リツ</t>
    </rPh>
    <rPh sb="14" eb="15">
      <t>リツ</t>
    </rPh>
    <phoneticPr fontId="55"/>
  </si>
  <si>
    <t>L</t>
    <phoneticPr fontId="55"/>
  </si>
  <si>
    <t>X*{SS}*R5率</t>
    <rPh sb="9" eb="10">
      <t>リツ</t>
    </rPh>
    <phoneticPr fontId="55"/>
  </si>
  <si>
    <t>X*{R6release}*R3率</t>
    <rPh sb="16" eb="17">
      <t>リツ</t>
    </rPh>
    <phoneticPr fontId="55"/>
  </si>
  <si>
    <t>X*{R6release}*R4率</t>
    <rPh sb="16" eb="17">
      <t>リツ</t>
    </rPh>
    <phoneticPr fontId="55"/>
  </si>
  <si>
    <t>J</t>
    <phoneticPr fontId="55"/>
  </si>
  <si>
    <t>X*{R6release}*R5率</t>
    <rPh sb="16" eb="17">
      <t>リツ</t>
    </rPh>
    <phoneticPr fontId="55"/>
  </si>
  <si>
    <t>ハズレで確率を整える</t>
    <rPh sb="4" eb="6">
      <t>カクリツ</t>
    </rPh>
    <rPh sb="7" eb="8">
      <t>トトノエル</t>
    </rPh>
    <phoneticPr fontId="55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</si>
  <si>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5"/>
  </si>
  <si>
    <t>A + C</t>
    <phoneticPr fontId="55"/>
  </si>
  <si>
    <t>=</t>
    <phoneticPr fontId="55"/>
  </si>
  <si>
    <t>50%-H</t>
    <phoneticPr fontId="55"/>
  </si>
  <si>
    <t>①</t>
    <phoneticPr fontId="55"/>
  </si>
  <si>
    <t>B + D + F</t>
    <phoneticPr fontId="55"/>
  </si>
  <si>
    <t>45%-I-K</t>
    <phoneticPr fontId="55"/>
  </si>
  <si>
    <t>②</t>
    <phoneticPr fontId="55"/>
  </si>
  <si>
    <t>E+G</t>
    <phoneticPr fontId="55"/>
  </si>
  <si>
    <t>5%-J-L-M</t>
    <phoneticPr fontId="55"/>
  </si>
  <si>
    <t>③</t>
    <phoneticPr fontId="55"/>
  </si>
  <si>
    <t>A+B</t>
    <phoneticPr fontId="55"/>
  </si>
  <si>
    <t>Y*{W}</t>
    <phoneticPr fontId="55"/>
  </si>
  <si>
    <t>④</t>
    <phoneticPr fontId="55"/>
  </si>
  <si>
    <t>C+D+E</t>
    <phoneticPr fontId="55"/>
  </si>
  <si>
    <t>Y*{N,S}</t>
    <phoneticPr fontId="55"/>
  </si>
  <si>
    <t>⑤</t>
    <phoneticPr fontId="55"/>
  </si>
  <si>
    <t>F+G</t>
    <phoneticPr fontId="55"/>
  </si>
  <si>
    <t>Y*{N,S R3less}</t>
    <phoneticPr fontId="55"/>
  </si>
  <si>
    <t>⑥</t>
    <phoneticPr fontId="55"/>
  </si>
  <si>
    <t>A+B+C+D+E+F+G</t>
    <phoneticPr fontId="55"/>
  </si>
  <si>
    <t>⑦</t>
    <phoneticPr fontId="55"/>
  </si>
  <si>
    <t>←これは4,5,6で作れるのでダメだわ</t>
    <rPh sb="10" eb="11">
      <t>ツクレル</t>
    </rPh>
    <phoneticPr fontId="55"/>
  </si>
  <si>
    <t>E*R3率/R5率</t>
    <rPh sb="4" eb="5">
      <t>リツ</t>
    </rPh>
    <rPh sb="8" eb="9">
      <t>リツ</t>
    </rPh>
    <phoneticPr fontId="55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</si>
  <si>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5"/>
  </si>
  <si>
    <t>E*R4率/R5率</t>
    <rPh sb="4" eb="5">
      <t>リツ</t>
    </rPh>
    <rPh sb="8" eb="9">
      <t>リツ</t>
    </rPh>
    <phoneticPr fontId="55"/>
  </si>
  <si>
    <t>∴</t>
    <phoneticPr fontId="55"/>
  </si>
  <si>
    <t>E</t>
    <phoneticPr fontId="55"/>
  </si>
  <si>
    <t>Y*{N,S}*R5率</t>
    <rPh sb="10" eb="11">
      <t>リツ</t>
    </rPh>
    <phoneticPr fontId="55"/>
  </si>
  <si>
    <t>Y*{N,S}*R4率</t>
    <rPh sb="10" eb="11">
      <t>リツ</t>
    </rPh>
    <phoneticPr fontId="55"/>
  </si>
  <si>
    <t>Y*{N,S}*R3率</t>
    <rPh sb="10" eb="11">
      <t>リツ</t>
    </rPh>
    <phoneticPr fontId="55"/>
  </si>
  <si>
    <t>50%-H-C</t>
    <phoneticPr fontId="55"/>
  </si>
  <si>
    <t>Y*{W}-A</t>
    <phoneticPr fontId="55"/>
  </si>
  <si>
    <t>5%-J-L-M-E</t>
    <phoneticPr fontId="55"/>
  </si>
  <si>
    <t>Y*{N,S R3less} - G</t>
    <phoneticPr fontId="55"/>
  </si>
  <si>
    <t>R6境界前後</t>
    <rPh sb="2" eb="4">
      <t>キョウカイ</t>
    </rPh>
    <rPh sb="4" eb="6">
      <t>ゼンゴ</t>
    </rPh>
    <phoneticPr fontId="22"/>
  </si>
  <si>
    <t>R6事後開放N,S</t>
    <rPh sb="2" eb="6">
      <t>ジゴカイホウ</t>
    </rPh>
    <phoneticPr fontId="22"/>
  </si>
  <si>
    <t>PremiumW3</t>
    <phoneticPr fontId="22"/>
  </si>
  <si>
    <t>PremiumW4</t>
    <phoneticPr fontId="22"/>
  </si>
  <si>
    <t>ラベル確率</t>
    <rPh sb="3" eb="5">
      <t>カクリツ</t>
    </rPh>
    <phoneticPr fontId="22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</si>
  <si>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</si>
  <si>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</si>
  <si>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</si>
  <si>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</si>
  <si>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</si>
  <si>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22"/>
  </si>
  <si>
    <t>PremiumSS5R5only</t>
  </si>
  <si>
    <t>計算用中間データ</t>
    <rPh sb="0" eb="3">
      <t>ケイサンヨウ</t>
    </rPh>
    <rPh sb="3" eb="5">
      <t>チュウカン</t>
    </rPh>
    <phoneticPr fontId="22"/>
  </si>
  <si>
    <t>X</t>
    <phoneticPr fontId="22"/>
  </si>
  <si>
    <t>Y</t>
    <phoneticPr fontId="22"/>
  </si>
  <si>
    <t>対象数</t>
    <rPh sb="0" eb="3">
      <t>タイショウスウ</t>
    </rPh>
    <phoneticPr fontId="22"/>
  </si>
  <si>
    <t>PremiumW</t>
    <phoneticPr fontId="22"/>
  </si>
  <si>
    <t>PremiumN</t>
    <phoneticPr fontId="22"/>
  </si>
  <si>
    <t>PremiumS</t>
    <phoneticPr fontId="22"/>
  </si>
  <si>
    <t>PremiumSS</t>
    <phoneticPr fontId="22"/>
  </si>
  <si>
    <t>←R6分はここから差し引く</t>
    <rPh sb="3" eb="4">
      <t>ブン</t>
    </rPh>
    <rPh sb="9" eb="10">
      <t>サシヒク</t>
    </rPh>
    <phoneticPr fontId="22"/>
  </si>
  <si>
    <t>除外確率</t>
    <rPh sb="0" eb="2">
      <t>ジョガイ</t>
    </rPh>
    <rPh sb="2" eb="4">
      <t>カクリツ</t>
    </rPh>
    <phoneticPr fontId="22"/>
  </si>
  <si>
    <t>除外数</t>
    <rPh sb="0" eb="3">
      <t>ジョガイスウ</t>
    </rPh>
    <phoneticPr fontId="22"/>
  </si>
  <si>
    <t>もうここは手で入れよう…</t>
    <rPh sb="5" eb="6">
      <t>テ</t>
    </rPh>
    <rPh sb="7" eb="8">
      <t>イレヨウ</t>
    </rPh>
    <phoneticPr fontId="22"/>
  </si>
  <si>
    <t>通常weight</t>
    <rPh sb="0" eb="2">
      <t>ツウジョウ</t>
    </rPh>
    <phoneticPr fontId="22"/>
  </si>
  <si>
    <t>A</t>
    <phoneticPr fontId="22"/>
  </si>
  <si>
    <t>B</t>
    <phoneticPr fontId="22"/>
  </si>
  <si>
    <t>PremiumW4</t>
    <phoneticPr fontId="22"/>
  </si>
  <si>
    <t>C</t>
    <phoneticPr fontId="22"/>
  </si>
  <si>
    <t>Premium3</t>
    <phoneticPr fontId="22"/>
  </si>
  <si>
    <t>D</t>
    <phoneticPr fontId="22"/>
  </si>
  <si>
    <t>Premium4</t>
    <phoneticPr fontId="22"/>
  </si>
  <si>
    <t>E</t>
    <phoneticPr fontId="22"/>
  </si>
  <si>
    <t>Premium5</t>
    <phoneticPr fontId="22"/>
  </si>
  <si>
    <t>F</t>
    <phoneticPr fontId="22"/>
  </si>
  <si>
    <t>Premium4R3less</t>
    <phoneticPr fontId="22"/>
  </si>
  <si>
    <t>G</t>
    <phoneticPr fontId="22"/>
  </si>
  <si>
    <t>Premium5R3less</t>
    <phoneticPr fontId="22"/>
  </si>
  <si>
    <t>H</t>
    <phoneticPr fontId="22"/>
  </si>
  <si>
    <t>I</t>
    <phoneticPr fontId="22"/>
  </si>
  <si>
    <t>J</t>
    <phoneticPr fontId="22"/>
  </si>
  <si>
    <t>K</t>
    <phoneticPr fontId="22"/>
  </si>
  <si>
    <t>Premium3R6release</t>
    <phoneticPr fontId="22"/>
  </si>
  <si>
    <t>Premium4R6release</t>
    <phoneticPr fontId="22"/>
  </si>
  <si>
    <t>Premium5R6release</t>
    <phoneticPr fontId="22"/>
  </si>
  <si>
    <t>PremiumSS4</t>
    <phoneticPr fontId="22"/>
  </si>
  <si>
    <t>PremiumSS5</t>
    <phoneticPr fontId="22"/>
  </si>
  <si>
    <t>L</t>
    <phoneticPr fontId="22"/>
  </si>
  <si>
    <t>M</t>
    <phoneticPr fontId="22"/>
  </si>
  <si>
    <t>PremiumSS5R5only</t>
    <phoneticPr fontId="22"/>
  </si>
  <si>
    <t>50% - H - C</t>
    <phoneticPr fontId="22"/>
  </si>
  <si>
    <t>PremiumSSS4R3less</t>
    <phoneticPr fontId="22"/>
  </si>
  <si>
    <t>PremiumSSS5R3less</t>
    <phoneticPr fontId="22"/>
  </si>
  <si>
    <t>skip</t>
    <phoneticPr fontId="22"/>
  </si>
  <si>
    <t>通常確率</t>
    <phoneticPr fontId="22"/>
  </si>
  <si>
    <t>通常確率</t>
    <phoneticPr fontId="22"/>
  </si>
  <si>
    <t>tables_363104</t>
    <phoneticPr fontId="22"/>
  </si>
  <si>
    <t>tables_363105</t>
    <phoneticPr fontId="22"/>
  </si>
  <si>
    <t>tables_363100</t>
    <phoneticPr fontId="22"/>
  </si>
  <si>
    <t>old</t>
    <phoneticPr fontId="22"/>
  </si>
  <si>
    <t>old</t>
    <phoneticPr fontId="22"/>
  </si>
  <si>
    <t>gacha_select_tables_</t>
    <phoneticPr fontId="22"/>
  </si>
  <si>
    <t>tables_429100</t>
  </si>
  <si>
    <t>tables_429010</t>
  </si>
  <si>
    <t>tables_429011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</si>
</sst>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  <numFmt numFmtId="183" formatCode="0.00000000000000%"/>
  </numFmts>
  <fonts count="60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4">
    <xf numFmtId="0" fontId="0" fillId="0" borderId="0"/>
    <xf numFmtId="0" fontId="21" fillId="0" borderId="0"/>
    <xf numFmtId="0" fontId="25" fillId="0" borderId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0" fillId="0" borderId="0"/>
    <xf numFmtId="0" fontId="32" fillId="5" borderId="2" applyNumberFormat="0" applyAlignment="0" applyProtection="0"/>
    <xf numFmtId="0" fontId="33" fillId="6" borderId="0" applyNumberFormat="0" applyBorder="0" applyAlignment="0" applyProtection="0"/>
    <xf numFmtId="0" fontId="34" fillId="7" borderId="3" applyNumberFormat="0" applyAlignment="0" applyProtection="0"/>
    <xf numFmtId="0" fontId="35" fillId="0" borderId="0" applyNumberFormat="0" applyFill="0" applyBorder="0" applyAlignment="0" applyProtection="0"/>
    <xf numFmtId="0" fontId="36" fillId="8" borderId="0" applyNumberFormat="0" applyBorder="0" applyAlignment="0" applyProtection="0"/>
    <xf numFmtId="0" fontId="37" fillId="9" borderId="4" applyNumberFormat="0" applyAlignment="0" applyProtection="0"/>
    <xf numFmtId="0" fontId="38" fillId="0" borderId="0" applyNumberFormat="0" applyFill="0" applyBorder="0" applyAlignment="0" applyProtection="0"/>
    <xf numFmtId="0" fontId="39" fillId="0" borderId="5" applyNumberFormat="0" applyFill="0" applyAlignment="0" applyProtection="0"/>
    <xf numFmtId="0" fontId="40" fillId="0" borderId="6" applyNumberFormat="0" applyFill="0" applyAlignment="0" applyProtection="0"/>
    <xf numFmtId="0" fontId="41" fillId="0" borderId="7" applyNumberFormat="0" applyFill="0" applyAlignment="0" applyProtection="0"/>
    <xf numFmtId="0" fontId="41" fillId="0" borderId="0" applyNumberFormat="0" applyFill="0" applyBorder="0" applyAlignment="0" applyProtection="0"/>
    <xf numFmtId="0" fontId="42" fillId="7" borderId="0" applyNumberFormat="0" applyBorder="0" applyAlignment="0" applyProtection="0"/>
    <xf numFmtId="0" fontId="42" fillId="6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1" borderId="0" applyNumberFormat="0" applyBorder="0" applyAlignment="0" applyProtection="0"/>
    <xf numFmtId="0" fontId="42" fillId="5" borderId="0" applyNumberFormat="0" applyBorder="0" applyAlignment="0" applyProtection="0"/>
    <xf numFmtId="0" fontId="42" fillId="7" borderId="0" applyNumberFormat="0" applyBorder="0" applyAlignment="0" applyProtection="0"/>
    <xf numFmtId="0" fontId="42" fillId="12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3" borderId="0" applyNumberFormat="0" applyBorder="0" applyAlignment="0" applyProtection="0"/>
    <xf numFmtId="0" fontId="42" fillId="6" borderId="0" applyNumberFormat="0" applyBorder="0" applyAlignment="0" applyProtection="0"/>
    <xf numFmtId="0" fontId="43" fillId="14" borderId="0" applyNumberFormat="0" applyBorder="0" applyAlignment="0" applyProtection="0"/>
    <xf numFmtId="0" fontId="43" fillId="12" borderId="0" applyNumberFormat="0" applyBorder="0" applyAlignment="0" applyProtection="0"/>
    <xf numFmtId="0" fontId="43" fillId="10" borderId="0" applyNumberFormat="0" applyBorder="0" applyAlignment="0" applyProtection="0"/>
    <xf numFmtId="0" fontId="43" fillId="7" borderId="0" applyNumberFormat="0" applyBorder="0" applyAlignment="0" applyProtection="0"/>
    <xf numFmtId="0" fontId="43" fillId="14" borderId="0" applyNumberFormat="0" applyBorder="0" applyAlignment="0" applyProtection="0"/>
    <xf numFmtId="0" fontId="43" fillId="6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14" borderId="0" applyNumberFormat="0" applyBorder="0" applyAlignment="0" applyProtection="0"/>
    <xf numFmtId="0" fontId="43" fillId="15" borderId="0" applyNumberFormat="0" applyBorder="0" applyAlignment="0" applyProtection="0"/>
    <xf numFmtId="0" fontId="43" fillId="10" borderId="0" applyNumberFormat="0" applyBorder="0" applyAlignment="0" applyProtection="0"/>
    <xf numFmtId="0" fontId="43" fillId="16" borderId="0" applyNumberFormat="0" applyBorder="0" applyAlignment="0" applyProtection="0"/>
    <xf numFmtId="0" fontId="43" fillId="14" borderId="0" applyNumberFormat="0" applyBorder="0" applyAlignment="0" applyProtection="0"/>
    <xf numFmtId="0" fontId="43" fillId="12" borderId="0" applyNumberFormat="0" applyBorder="0" applyAlignment="0" applyProtection="0"/>
    <xf numFmtId="0" fontId="44" fillId="17" borderId="0" applyNumberFormat="0" applyBorder="0" applyAlignment="0" applyProtection="0"/>
    <xf numFmtId="0" fontId="33" fillId="6" borderId="0" applyNumberFormat="0" applyBorder="0" applyAlignment="0" applyProtection="0"/>
    <xf numFmtId="0" fontId="45" fillId="0" borderId="8" applyNumberFormat="0" applyFill="0" applyAlignment="0" applyProtection="0"/>
    <xf numFmtId="0" fontId="46" fillId="7" borderId="9" applyNumberFormat="0" applyAlignment="0" applyProtection="0"/>
    <xf numFmtId="0" fontId="46" fillId="18" borderId="9" applyNumberFormat="0" applyAlignment="0" applyProtection="0"/>
    <xf numFmtId="0" fontId="34" fillId="6" borderId="3" applyNumberFormat="0" applyAlignment="0" applyProtection="0"/>
    <xf numFmtId="0" fontId="47" fillId="0" borderId="10" applyNumberFormat="0" applyFill="0" applyAlignment="0" applyProtection="0"/>
    <xf numFmtId="0" fontId="48" fillId="18" borderId="3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11" applyNumberFormat="0" applyFill="0" applyAlignment="0" applyProtection="0"/>
    <xf numFmtId="38" fontId="20" fillId="0" borderId="0" applyFont="0" applyFill="0" applyBorder="0" applyAlignment="0" applyProtection="0">
      <alignment vertical="center"/>
    </xf>
    <xf numFmtId="0" fontId="51" fillId="19" borderId="0" applyNumberFormat="0" applyBorder="0" applyAlignment="0" applyProtection="0"/>
    <xf numFmtId="0" fontId="52" fillId="20" borderId="0" applyNumberFormat="0" applyBorder="0" applyAlignment="0" applyProtection="0"/>
    <xf numFmtId="0" fontId="20" fillId="0" borderId="0"/>
    <xf numFmtId="0" fontId="53" fillId="20" borderId="0" applyNumberFormat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/>
    <xf numFmtId="0" fontId="56" fillId="0" borderId="0">
      <alignment vertical="center"/>
    </xf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3" fillId="0" borderId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9" fontId="57" fillId="0" borderId="0" applyFon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9" fillId="0" borderId="0"/>
    <xf numFmtId="38" fontId="57" fillId="0" borderId="0" applyFont="0" applyFill="0" applyBorder="0" applyAlignment="0" applyProtection="0"/>
  </cellStyleXfs>
  <cellXfs count="100">
    <xf numFmtId="0" fontId="0" fillId="0" borderId="0" xfId="0"/>
    <xf numFmtId="0" fontId="27" fillId="0" borderId="0" xfId="2" applyFont="1" applyAlignment="1">
      <alignment vertical="center"/>
    </xf>
    <xf numFmtId="0" fontId="27" fillId="0" borderId="1" xfId="2" applyFont="1" applyBorder="1" applyAlignment="1">
      <alignment vertical="center"/>
    </xf>
    <xf numFmtId="0" fontId="27" fillId="3" borderId="1" xfId="2" applyFont="1" applyFill="1" applyBorder="1" applyAlignment="1">
      <alignment horizontal="center" vertical="center"/>
    </xf>
    <xf numFmtId="0" fontId="27" fillId="0" borderId="0" xfId="2" applyFont="1" applyAlignment="1">
      <alignment horizontal="center" vertical="center"/>
    </xf>
    <xf numFmtId="0" fontId="27" fillId="4" borderId="1" xfId="2" applyFont="1" applyFill="1" applyBorder="1" applyAlignment="1">
      <alignment vertical="center"/>
    </xf>
    <xf numFmtId="0" fontId="26" fillId="4" borderId="1" xfId="0" applyFont="1" applyFill="1" applyBorder="1" applyAlignment="1">
      <alignment horizontal="right" vertical="center"/>
    </xf>
    <xf numFmtId="0" fontId="27" fillId="3" borderId="1" xfId="2" applyFont="1" applyFill="1" applyBorder="1" applyAlignment="1">
      <alignment vertical="center"/>
    </xf>
    <xf numFmtId="0" fontId="28" fillId="4" borderId="1" xfId="0" applyFont="1" applyFill="1" applyBorder="1" applyAlignment="1">
      <alignment vertical="center"/>
    </xf>
    <xf numFmtId="0" fontId="27" fillId="0" borderId="13" xfId="2" applyFont="1" applyBorder="1" applyAlignment="1">
      <alignment vertical="center"/>
    </xf>
    <xf numFmtId="0" fontId="26" fillId="4" borderId="12" xfId="0" applyFont="1" applyFill="1" applyBorder="1" applyAlignment="1">
      <alignment horizontal="right" vertical="center"/>
    </xf>
    <xf numFmtId="0" fontId="26" fillId="4" borderId="14" xfId="0" applyFont="1" applyFill="1" applyBorder="1" applyAlignment="1">
      <alignment horizontal="right" vertical="center"/>
    </xf>
    <xf numFmtId="0" fontId="27" fillId="0" borderId="15" xfId="2" applyFont="1" applyBorder="1" applyAlignment="1">
      <alignment vertical="center"/>
    </xf>
    <xf numFmtId="0" fontId="27" fillId="2" borderId="1" xfId="2" applyFont="1" applyFill="1" applyBorder="1" applyAlignment="1">
      <alignment horizontal="left" vertical="center"/>
    </xf>
    <xf numFmtId="0" fontId="54" fillId="21" borderId="1" xfId="0" applyFont="1" applyFill="1" applyBorder="1" applyAlignment="1">
      <alignment horizontal="left" vertical="center"/>
    </xf>
    <xf numFmtId="0" fontId="27" fillId="2" borderId="1" xfId="2" applyFont="1" applyFill="1" applyBorder="1" applyAlignment="1">
      <alignment horizontal="center" vertical="center"/>
    </xf>
    <xf numFmtId="0" fontId="29" fillId="22" borderId="1" xfId="2978" applyFont="1" applyFill="1" applyBorder="1"/>
    <xf numFmtId="0" fontId="15" fillId="22" borderId="1" xfId="2978" applyFill="1" applyBorder="1"/>
    <xf numFmtId="0" fontId="15" fillId="0" borderId="0" xfId="2978"/>
    <xf numFmtId="0" fontId="15" fillId="0" borderId="1" xfId="2978" applyBorder="1"/>
    <xf numFmtId="0" fontId="15" fillId="2" borderId="1" xfId="2978" applyFill="1" applyBorder="1"/>
    <xf numFmtId="0" fontId="19" fillId="2" borderId="1" xfId="19" applyFont="1" applyFill="1" applyBorder="1"/>
    <xf numFmtId="0" fontId="20" fillId="2" borderId="1" xfId="19" applyFill="1" applyBorder="1"/>
    <xf numFmtId="0" fontId="18" fillId="2" borderId="1" xfId="19" applyFont="1" applyFill="1" applyBorder="1"/>
    <xf numFmtId="0" fontId="16" fillId="2" borderId="1" xfId="19" applyFont="1" applyFill="1" applyBorder="1"/>
    <xf numFmtId="0" fontId="17" fillId="2" borderId="1" xfId="19" applyFont="1" applyFill="1" applyBorder="1"/>
    <xf numFmtId="0" fontId="15" fillId="2" borderId="1" xfId="19" applyFont="1" applyFill="1" applyBorder="1"/>
    <xf numFmtId="0" fontId="14" fillId="0" borderId="1" xfId="2978" applyFont="1" applyBorder="1"/>
    <xf numFmtId="0" fontId="29" fillId="22" borderId="1" xfId="0" applyFont="1" applyFill="1" applyBorder="1"/>
    <xf numFmtId="0" fontId="54" fillId="23" borderId="1" xfId="0" applyFont="1" applyFill="1" applyBorder="1" applyAlignment="1">
      <alignment horizontal="center" vertical="center"/>
    </xf>
    <xf numFmtId="0" fontId="54" fillId="3" borderId="1" xfId="0" applyFont="1" applyFill="1" applyBorder="1" applyAlignment="1">
      <alignment vertical="center"/>
    </xf>
    <xf numFmtId="0" fontId="0" fillId="4" borderId="0" xfId="0" applyFill="1"/>
    <xf numFmtId="0" fontId="12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11" fillId="2" borderId="1" xfId="19" applyFont="1" applyFill="1" applyBorder="1"/>
    <xf numFmtId="0" fontId="11" fillId="4" borderId="1" xfId="2978" applyFont="1" applyFill="1" applyBorder="1"/>
    <xf numFmtId="0" fontId="0" fillId="2" borderId="0" xfId="0" applyFill="1"/>
    <xf numFmtId="0" fontId="54" fillId="30" borderId="1" xfId="0" applyFont="1" applyFill="1" applyBorder="1" applyAlignment="1">
      <alignment horizontal="left" vertical="center"/>
    </xf>
    <xf numFmtId="0" fontId="27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6" fillId="25" borderId="1" xfId="0" applyFont="1" applyFill="1" applyBorder="1" applyAlignment="1">
      <alignment horizontal="right" vertical="center"/>
    </xf>
    <xf numFmtId="0" fontId="10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9" fillId="0" borderId="0" xfId="3662"/>
    <xf numFmtId="0" fontId="9" fillId="4" borderId="0" xfId="3662" applyFill="1"/>
    <xf numFmtId="9" fontId="9" fillId="0" borderId="0" xfId="3662" applyNumberFormat="1"/>
    <xf numFmtId="0" fontId="9" fillId="0" borderId="0" xfId="3662" applyFill="1"/>
    <xf numFmtId="9" fontId="9" fillId="0" borderId="0" xfId="3662" applyNumberFormat="1" applyAlignment="1"/>
    <xf numFmtId="0" fontId="9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8" fillId="0" borderId="0" xfId="0" applyFont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178" fontId="59" fillId="32" borderId="1" xfId="0" applyNumberFormat="1" applyFont="1" applyFill="1" applyBorder="1"/>
    <xf numFmtId="38" fontId="27" fillId="4" borderId="1" xfId="3663" quotePrefix="1" applyFont="1" applyFill="1" applyBorder="1" applyAlignment="1">
      <alignment vertical="center"/>
    </xf>
    <xf numFmtId="0" fontId="54" fillId="0" borderId="1" xfId="0" applyFont="1" applyBorder="1" applyAlignment="1">
      <alignment vertical="center"/>
    </xf>
    <xf numFmtId="0" fontId="54" fillId="0" borderId="1" xfId="0" applyFont="1" applyBorder="1" applyAlignment="1">
      <alignment vertical="center" wrapText="1"/>
    </xf>
    <xf numFmtId="0" fontId="27" fillId="25" borderId="1" xfId="2" applyFont="1" applyFill="1" applyBorder="1" applyAlignment="1">
      <alignment vertical="center"/>
    </xf>
    <xf numFmtId="182" fontId="0" fillId="4" borderId="1" xfId="0" applyNumberFormat="1" applyFill="1" applyBorder="1"/>
    <xf numFmtId="0" fontId="8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27" fillId="0" borderId="0" xfId="2" applyFont="1" applyFill="1" applyBorder="1" applyAlignment="1">
      <alignment vertical="center"/>
    </xf>
    <xf numFmtId="0" fontId="7" fillId="0" borderId="1" xfId="3036" applyFont="1" applyBorder="1"/>
    <xf numFmtId="0" fontId="26" fillId="25" borderId="0" xfId="0" applyFont="1" applyFill="1" applyBorder="1" applyAlignment="1">
      <alignment horizontal="right" vertical="center"/>
    </xf>
    <xf numFmtId="10" fontId="0" fillId="4" borderId="0" xfId="0" applyNumberFormat="1" applyFill="1"/>
    <xf numFmtId="0" fontId="6" fillId="4" borderId="1" xfId="2978" applyFont="1" applyFill="1" applyBorder="1"/>
    <xf numFmtId="0" fontId="27" fillId="33" borderId="1" xfId="2" applyFont="1" applyFill="1" applyBorder="1" applyAlignment="1">
      <alignment vertical="center"/>
    </xf>
    <xf numFmtId="0" fontId="6" fillId="0" borderId="1" xfId="3036" applyFont="1" applyBorder="1"/>
    <xf numFmtId="0" fontId="5" fillId="0" borderId="1" xfId="3036" applyFont="1" applyBorder="1"/>
    <xf numFmtId="0" fontId="28" fillId="25" borderId="1" xfId="0" applyFont="1" applyFill="1" applyBorder="1" applyAlignment="1">
      <alignment vertical="center"/>
    </xf>
    <xf numFmtId="183" fontId="0" fillId="4" borderId="1" xfId="0" applyNumberFormat="1" applyFill="1" applyBorder="1"/>
    <xf numFmtId="0" fontId="4" fillId="0" borderId="1" xfId="3036" applyFont="1" applyBorder="1"/>
    <xf numFmtId="0" fontId="3" fillId="0" borderId="1" xfId="2978" applyFont="1" applyBorder="1"/>
    <xf numFmtId="180" fontId="0" fillId="4" borderId="1" xfId="0" applyNumberFormat="1" applyFill="1" applyBorder="1"/>
    <xf numFmtId="0" fontId="2" fillId="4" borderId="1" xfId="2978" applyFont="1" applyFill="1" applyBorder="1"/>
  </cellXfs>
  <cellStyles count="3664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externalLink" Target="externalLinks/externalLink1.xml"/><Relationship Id="rId15" Type="http://schemas.openxmlformats.org/officeDocument/2006/relationships/theme" Target="theme/theme1.xml"/><Relationship Id="rId16" Type="http://schemas.openxmlformats.org/officeDocument/2006/relationships/styles" Target="styles.xml"/><Relationship Id="rId17" Type="http://schemas.openxmlformats.org/officeDocument/2006/relationships/sharedStrings" Target="sharedStrings.xml"/><Relationship Id="rId18" Type="http://schemas.openxmlformats.org/officeDocument/2006/relationships/calcChain" Target="calcChain.xml"/><Relationship Id="rId19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未定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technical</v>
          </cell>
          <cell r="L565" t="str">
            <v>テクニカルタイプ</v>
          </cell>
          <cell r="M565" t="str">
            <v>unknown</v>
          </cell>
        </row>
        <row r="566">
          <cell r="A566">
            <v>565</v>
          </cell>
          <cell r="B566" t="str">
            <v>ja</v>
          </cell>
          <cell r="C566" t="str">
            <v>未定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technical</v>
          </cell>
          <cell r="L566" t="str">
            <v>テクニカルタイプ</v>
          </cell>
          <cell r="M566" t="str">
            <v>unknown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academia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未定</v>
          </cell>
          <cell r="E570" t="str">
            <v>執行者</v>
          </cell>
          <cell r="F570" t="str">
            <v>格好いい</v>
          </cell>
          <cell r="G570" t="str">
            <v>不明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未定</v>
          </cell>
          <cell r="E571" t="str">
            <v>執行者</v>
          </cell>
          <cell r="F571" t="str">
            <v>格好いい</v>
          </cell>
          <cell r="G571" t="str">
            <v>不明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6</v>
          </cell>
          <cell r="J630" t="str">
            <v>DropWizS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5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BA_Unit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red</v>
          </cell>
          <cell r="I783">
            <v>6</v>
          </cell>
          <cell r="J783" t="str">
            <v>PremiumN</v>
          </cell>
          <cell r="K783" t="str">
            <v>attack</v>
          </cell>
          <cell r="L783" t="str">
            <v>攻撃タイプ</v>
          </cell>
          <cell r="M783" t="str">
            <v>god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IA_Unit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yellow</v>
          </cell>
          <cell r="I786">
            <v>6</v>
          </cell>
          <cell r="J786" t="str">
            <v>PremiumN</v>
          </cell>
          <cell r="K786" t="str">
            <v>attack</v>
          </cell>
          <cell r="L786" t="str">
            <v>攻撃タイプ</v>
          </cell>
          <cell r="M786" t="str">
            <v>god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超大型巨人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red</v>
          </cell>
          <cell r="I883">
            <v>5</v>
          </cell>
          <cell r="J883" t="str">
            <v>DropWizS</v>
          </cell>
          <cell r="K883" t="str">
            <v>hp</v>
          </cell>
          <cell r="L883" t="str">
            <v>体力タイプ</v>
          </cell>
          <cell r="M883" t="str">
            <v>unknown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Drop2N</v>
          </cell>
          <cell r="K946" t="str">
            <v>attack</v>
          </cell>
          <cell r="L946" t="str">
            <v>攻撃タイプ</v>
          </cell>
          <cell r="M946" t="str">
            <v>human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Drop2N</v>
          </cell>
          <cell r="K947" t="str">
            <v>attack</v>
          </cell>
          <cell r="L947" t="str">
            <v>攻撃タイプ</v>
          </cell>
          <cell r="M947" t="str">
            <v>human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マクローリン超覚醒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demon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blue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animal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human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human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human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Drop2N</v>
          </cell>
          <cell r="K1084" t="str">
            <v>balance</v>
          </cell>
          <cell r="L1084" t="str">
            <v>バランスタイプ</v>
          </cell>
          <cell r="M1084" t="str">
            <v>unknown</v>
          </cell>
        </row>
        <row r="1085">
          <cell r="A1085">
            <v>1084</v>
          </cell>
          <cell r="B1085" t="str">
            <v>ja</v>
          </cell>
          <cell r="C1085" t="str">
            <v>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Drop2N</v>
          </cell>
          <cell r="K1085" t="str">
            <v>balance</v>
          </cell>
          <cell r="L1085" t="str">
            <v>バランスタイプ</v>
          </cell>
          <cell r="M1085" t="str">
            <v>unknown</v>
          </cell>
        </row>
        <row r="1086">
          <cell r="A1086">
            <v>1085</v>
          </cell>
          <cell r="B1086" t="str">
            <v>ja</v>
          </cell>
          <cell r="C1086" t="str">
            <v>マジシャン_分岐覚醒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yellow</v>
          </cell>
          <cell r="I1086">
            <v>6</v>
          </cell>
          <cell r="J1086" t="str">
            <v>DropWizSSS</v>
          </cell>
          <cell r="K1086" t="str">
            <v>balance</v>
          </cell>
          <cell r="L1086" t="str">
            <v>バランスタイプ</v>
          </cell>
          <cell r="M1086" t="str">
            <v>unknown</v>
          </cell>
        </row>
        <row r="1087">
          <cell r="A1087">
            <v>1086</v>
          </cell>
          <cell r="B1087" t="str">
            <v>ja</v>
          </cell>
          <cell r="C1087" t="str">
            <v>コードレッド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red</v>
          </cell>
          <cell r="I1087">
            <v>5</v>
          </cell>
          <cell r="J1087" t="str">
            <v>DropWizSS</v>
          </cell>
          <cell r="K1087" t="str">
            <v>balance</v>
          </cell>
          <cell r="L1087" t="str">
            <v>バランスタイプ</v>
          </cell>
          <cell r="M1087" t="str">
            <v>unknown</v>
          </cell>
        </row>
        <row r="1088">
          <cell r="A1088">
            <v>1087</v>
          </cell>
          <cell r="B1088" t="str">
            <v>ja</v>
          </cell>
          <cell r="C1088" t="str">
            <v>コードレッド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red</v>
          </cell>
          <cell r="I1088">
            <v>6</v>
          </cell>
          <cell r="J1088" t="str">
            <v>DropWizSS</v>
          </cell>
          <cell r="K1088" t="str">
            <v>balance</v>
          </cell>
          <cell r="L1088" t="str">
            <v>バランスタイプ</v>
          </cell>
          <cell r="M1088" t="str">
            <v>unknown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未定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blue</v>
          </cell>
          <cell r="I1091">
            <v>5</v>
          </cell>
          <cell r="J1091" t="str">
            <v>DropWizS</v>
          </cell>
          <cell r="K1091" t="str">
            <v>attack</v>
          </cell>
          <cell r="L1091" t="str">
            <v>攻撃タイプ</v>
          </cell>
          <cell r="M1091" t="str">
            <v>unknown</v>
          </cell>
        </row>
        <row r="1092">
          <cell r="A1092">
            <v>1091</v>
          </cell>
          <cell r="B1092" t="str">
            <v>ja</v>
          </cell>
          <cell r="C1092" t="str">
            <v>未定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blue</v>
          </cell>
          <cell r="I1092">
            <v>6</v>
          </cell>
          <cell r="J1092" t="str">
            <v>DropWizS</v>
          </cell>
          <cell r="K1092" t="str">
            <v>attack</v>
          </cell>
          <cell r="L1092" t="str">
            <v>攻撃タイプ</v>
          </cell>
          <cell r="M1092" t="str">
            <v>unknown</v>
          </cell>
        </row>
        <row r="1093">
          <cell r="A1093">
            <v>1092</v>
          </cell>
          <cell r="B1093" t="str">
            <v>ja</v>
          </cell>
          <cell r="C1093" t="str">
            <v>未定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yellow</v>
          </cell>
          <cell r="I1093">
            <v>5</v>
          </cell>
          <cell r="J1093" t="str">
            <v>DropWizS</v>
          </cell>
          <cell r="K1093" t="str">
            <v>attack</v>
          </cell>
          <cell r="L1093" t="str">
            <v>攻撃タイプ</v>
          </cell>
          <cell r="M1093" t="str">
            <v>unknown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未定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5</v>
          </cell>
          <cell r="J1109" t="str">
            <v>PremiumS</v>
          </cell>
          <cell r="K1109" t="str">
            <v>technical</v>
          </cell>
          <cell r="L1109" t="str">
            <v>テクニカルタイプ</v>
          </cell>
          <cell r="M1109" t="str">
            <v>unknown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balance</v>
          </cell>
          <cell r="L1126" t="str">
            <v>バランスタイプ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balance</v>
          </cell>
          <cell r="L1128" t="str">
            <v>バランスタイプ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balance</v>
          </cell>
          <cell r="L1129" t="str">
            <v>バランスタイプ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ラクシュミ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</v>
          </cell>
          <cell r="K1160" t="str">
            <v>attack</v>
          </cell>
          <cell r="L1160" t="str">
            <v>攻撃タイプ</v>
          </cell>
          <cell r="M1160" t="str">
            <v>god</v>
          </cell>
        </row>
        <row r="1161">
          <cell r="A1161">
            <v>1160</v>
          </cell>
          <cell r="B1161" t="str">
            <v>ja</v>
          </cell>
          <cell r="C1161" t="str">
            <v>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</v>
          </cell>
          <cell r="K1161" t="str">
            <v>attack</v>
          </cell>
          <cell r="L1161" t="str">
            <v>攻撃タイプ</v>
          </cell>
          <cell r="M1161" t="str">
            <v>god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</v>
          </cell>
          <cell r="K1162" t="str">
            <v>attack</v>
          </cell>
          <cell r="L1162" t="str">
            <v>攻撃タイプ</v>
          </cell>
          <cell r="M1162" t="str">
            <v>god</v>
          </cell>
        </row>
        <row r="1163">
          <cell r="A1163">
            <v>1162</v>
          </cell>
          <cell r="B1163" t="str">
            <v>ja</v>
          </cell>
          <cell r="C1163" t="str">
            <v>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</v>
          </cell>
          <cell r="K1163" t="str">
            <v>attack</v>
          </cell>
          <cell r="L1163" t="str">
            <v>攻撃タイプ</v>
          </cell>
          <cell r="M1163" t="str">
            <v>god</v>
          </cell>
        </row>
        <row r="1164">
          <cell r="A1164">
            <v>1163</v>
          </cell>
          <cell r="B1164" t="str">
            <v>ja</v>
          </cell>
          <cell r="C1164" t="str">
            <v>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</v>
          </cell>
          <cell r="K1164" t="str">
            <v>attack</v>
          </cell>
          <cell r="L1164" t="str">
            <v>攻撃タイプ</v>
          </cell>
          <cell r="M1164" t="str">
            <v>god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PremiumSS</v>
          </cell>
          <cell r="K1165" t="str">
            <v>attack</v>
          </cell>
          <cell r="L1165" t="str">
            <v>攻撃タイプ</v>
          </cell>
          <cell r="M1165" t="str">
            <v>god</v>
          </cell>
        </row>
        <row r="1166">
          <cell r="A1166">
            <v>1165</v>
          </cell>
          <cell r="B1166" t="str">
            <v>ja</v>
          </cell>
          <cell r="C1166" t="str">
            <v>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PremiumSS</v>
          </cell>
          <cell r="K1166" t="str">
            <v>attack</v>
          </cell>
          <cell r="L1166" t="str">
            <v>攻撃タイプ</v>
          </cell>
          <cell r="M1166" t="str">
            <v>god</v>
          </cell>
        </row>
        <row r="1167">
          <cell r="A1167">
            <v>1166</v>
          </cell>
          <cell r="B1167" t="str">
            <v>ja</v>
          </cell>
          <cell r="C1167" t="str">
            <v>降妖宝杖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PremiumSS</v>
          </cell>
          <cell r="K1167" t="str">
            <v>attack</v>
          </cell>
          <cell r="L1167" t="str">
            <v>攻撃タイプ</v>
          </cell>
          <cell r="M1167" t="str">
            <v>god</v>
          </cell>
        </row>
        <row r="1168">
          <cell r="A1168">
            <v>1167</v>
          </cell>
          <cell r="B1168" t="str">
            <v>ja</v>
          </cell>
          <cell r="C1168" t="str">
            <v>降妖宝杖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PremiumSS</v>
          </cell>
          <cell r="K1168" t="str">
            <v>attack</v>
          </cell>
          <cell r="L1168" t="str">
            <v>攻撃タイプ</v>
          </cell>
          <cell r="M1168" t="str">
            <v>god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PremiumSS</v>
          </cell>
          <cell r="K1169" t="str">
            <v>attack</v>
          </cell>
          <cell r="L1169" t="str">
            <v>攻撃タイプ</v>
          </cell>
          <cell r="M1169" t="str">
            <v>god</v>
          </cell>
        </row>
        <row r="1170">
          <cell r="A1170">
            <v>1169</v>
          </cell>
          <cell r="B1170" t="str">
            <v>ja</v>
          </cell>
          <cell r="C1170" t="str">
            <v>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PremiumSS</v>
          </cell>
          <cell r="K1170" t="str">
            <v>attack</v>
          </cell>
          <cell r="L1170" t="str">
            <v>攻撃タイプ</v>
          </cell>
          <cell r="M1170" t="str">
            <v>god</v>
          </cell>
        </row>
        <row r="1171">
          <cell r="A1171">
            <v>1170</v>
          </cell>
          <cell r="B1171" t="str">
            <v>ja</v>
          </cell>
          <cell r="C1171" t="str">
            <v>ヘイウェイ_超覚醒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5</v>
          </cell>
          <cell r="J1171" t="str">
            <v>PremiumSS</v>
          </cell>
          <cell r="K1171" t="str">
            <v>attack</v>
          </cell>
          <cell r="L1171" t="str">
            <v>攻撃タイプ</v>
          </cell>
          <cell r="M1171" t="str">
            <v>god</v>
          </cell>
        </row>
        <row r="1172">
          <cell r="A1172">
            <v>1171</v>
          </cell>
          <cell r="B1172" t="str">
            <v>ja</v>
          </cell>
          <cell r="C1172" t="str">
            <v>ポアソン_超覚醒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</v>
          </cell>
          <cell r="K1172" t="str">
            <v>attack</v>
          </cell>
          <cell r="L1172" t="str">
            <v>攻撃タイプ</v>
          </cell>
          <cell r="M1172" t="str">
            <v>god</v>
          </cell>
        </row>
        <row r="1173">
          <cell r="A1173">
            <v>1172</v>
          </cell>
          <cell r="B1173" t="str">
            <v>ja</v>
          </cell>
          <cell r="C1173" t="str">
            <v>クロネッカー_超覚醒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</v>
          </cell>
          <cell r="K1173" t="str">
            <v>attack</v>
          </cell>
          <cell r="L1173" t="str">
            <v>攻撃タイプ</v>
          </cell>
          <cell r="M1173" t="str">
            <v>god</v>
          </cell>
        </row>
        <row r="1174">
          <cell r="A1174">
            <v>1173</v>
          </cell>
          <cell r="B1174" t="str">
            <v>ja</v>
          </cell>
          <cell r="C1174" t="str">
            <v>ファータR6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PremiumSS</v>
          </cell>
          <cell r="K1174" t="str">
            <v>attack</v>
          </cell>
          <cell r="L1174" t="str">
            <v>攻撃タイプ</v>
          </cell>
          <cell r="M1174" t="str">
            <v>god</v>
          </cell>
        </row>
        <row r="1175">
          <cell r="A1175">
            <v>1174</v>
          </cell>
          <cell r="B1175" t="str">
            <v>ja</v>
          </cell>
          <cell r="C1175" t="str">
            <v>バルドルR6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アーサー_超覚醒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PremiumSS</v>
          </cell>
          <cell r="K1176" t="str">
            <v>attack</v>
          </cell>
          <cell r="L1176" t="str">
            <v>攻撃タイプ</v>
          </cell>
          <cell r="M1176" t="str">
            <v>god</v>
          </cell>
        </row>
        <row r="1177">
          <cell r="A1177">
            <v>1176</v>
          </cell>
          <cell r="B1177" t="str">
            <v>ja</v>
          </cell>
          <cell r="C1177" t="str">
            <v>フロイト_超覚醒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</v>
          </cell>
          <cell r="K1177" t="str">
            <v>attack</v>
          </cell>
          <cell r="L1177" t="str">
            <v>攻撃タイプ</v>
          </cell>
          <cell r="M1177" t="str">
            <v>god</v>
          </cell>
        </row>
        <row r="1178">
          <cell r="A1178">
            <v>1177</v>
          </cell>
          <cell r="B1178" t="str">
            <v>ja</v>
          </cell>
          <cell r="C1178" t="str">
            <v>オズ_超覚醒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PremiumSS</v>
          </cell>
          <cell r="K1178" t="str">
            <v>attack</v>
          </cell>
          <cell r="L1178" t="str">
            <v>攻撃タイプ</v>
          </cell>
          <cell r="M1178" t="str">
            <v>god</v>
          </cell>
        </row>
        <row r="1179">
          <cell r="A1179">
            <v>1178</v>
          </cell>
          <cell r="B1179" t="str">
            <v>ja</v>
          </cell>
          <cell r="C1179" t="str">
            <v>グリム_超覚醒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PremiumSS</v>
          </cell>
          <cell r="K1179" t="str">
            <v>attack</v>
          </cell>
          <cell r="L1179" t="str">
            <v>攻撃タイプ</v>
          </cell>
          <cell r="M1179" t="str">
            <v>god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オーディン_超覚醒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PremiumSSS</v>
          </cell>
          <cell r="K1181" t="str">
            <v>attack</v>
          </cell>
          <cell r="L1181" t="str">
            <v>攻撃タイプ</v>
          </cell>
          <cell r="M1181" t="str">
            <v>academia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フィボナッチ_超覚醒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Gスターチルドレン(旧子供)_超覚醒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PremiumSSS</v>
          </cell>
          <cell r="K1184" t="str">
            <v>balance</v>
          </cell>
          <cell r="L1184" t="str">
            <v>バランスタイプ</v>
          </cell>
          <cell r="M1184" t="str">
            <v>academia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フェルマー_超覚醒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attack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ポチ_ハロウィン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attack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ジョー_ハロウィン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ジェリー_ハロウィン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heal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エレキポッド_ハロウィン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オリジナル_ウィザード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オリジナル_ウィザード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ランスロット_ハロウィン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balance</v>
          </cell>
          <cell r="L1194" t="str">
            <v>バランスタイプ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オリジナル_ガチャあたり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attack</v>
          </cell>
          <cell r="L1195" t="str">
            <v>攻撃タイプ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オリジナル_ガチャあたり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attack</v>
          </cell>
          <cell r="L1196" t="str">
            <v>攻撃タイプ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ラプンツェル_ハロウィン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attack</v>
          </cell>
          <cell r="L1197" t="str">
            <v>攻撃タイプ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バフォメット_ハロウィン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balance</v>
          </cell>
          <cell r="L1198" t="str">
            <v>バランスタイプ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ピノキオ_ハロウィン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attack</v>
          </cell>
          <cell r="L1199" t="str">
            <v>攻撃タイプ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ケルベロス_ハロウィン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attack</v>
          </cell>
          <cell r="M1201" t="str">
            <v>god</v>
          </cell>
        </row>
        <row r="1202">
          <cell r="A1202">
            <v>1201</v>
          </cell>
          <cell r="B1202" t="str">
            <v>ja</v>
          </cell>
          <cell r="C1202" t="str">
            <v>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attack</v>
          </cell>
          <cell r="M1202" t="str">
            <v>god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attack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attack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ヘラ(旧パスツール)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attack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ヘラ(旧パスツール)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attack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attack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attack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attack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attack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attack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attack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梶井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attack</v>
          </cell>
          <cell r="M1219" t="str">
            <v>human</v>
          </cell>
        </row>
        <row r="1220">
          <cell r="A1220">
            <v>1219</v>
          </cell>
          <cell r="B1220" t="str">
            <v>ja</v>
          </cell>
          <cell r="C1220" t="str">
            <v>太宰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attack</v>
          </cell>
          <cell r="M1220" t="str">
            <v>human</v>
          </cell>
        </row>
        <row r="1221">
          <cell r="A1221">
            <v>1220</v>
          </cell>
          <cell r="B1221" t="str">
            <v>ja</v>
          </cell>
          <cell r="C1221" t="str">
            <v>トルストイ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attack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トルストイ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attack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attack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attack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ミゲル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ミゲル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シェイクスピア</v>
          </cell>
          <cell r="H1227" t="str">
            <v>green</v>
          </cell>
          <cell r="I1227">
            <v>5</v>
          </cell>
          <cell r="J1227" t="str">
            <v>PremiumSSw</v>
          </cell>
          <cell r="K1227" t="str">
            <v>attack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シェイクスピア</v>
          </cell>
          <cell r="H1228" t="str">
            <v>green</v>
          </cell>
          <cell r="I1228">
            <v>6</v>
          </cell>
          <cell r="J1228" t="str">
            <v>PremiumSSw</v>
          </cell>
          <cell r="K1228" t="str">
            <v>attack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</v>
          </cell>
          <cell r="H1229" t="str">
            <v>blue</v>
          </cell>
          <cell r="I1229">
            <v>4</v>
          </cell>
          <cell r="J1229" t="str">
            <v>PremiumSS</v>
          </cell>
          <cell r="K1229" t="str">
            <v>attack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芥川</v>
          </cell>
          <cell r="H1230" t="str">
            <v>blue</v>
          </cell>
          <cell r="I1230">
            <v>5</v>
          </cell>
          <cell r="J1230" t="str">
            <v>PremiumSS</v>
          </cell>
          <cell r="K1230" t="str">
            <v>attack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attack</v>
          </cell>
          <cell r="M1231" t="str">
            <v>human</v>
          </cell>
        </row>
        <row r="1232">
          <cell r="A1232">
            <v>1231</v>
          </cell>
          <cell r="B1232" t="str">
            <v>ja</v>
          </cell>
          <cell r="C1232" t="str">
            <v>夏目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attack</v>
          </cell>
          <cell r="M1232" t="str">
            <v>human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attack</v>
          </cell>
          <cell r="M1237" t="str">
            <v>human</v>
          </cell>
        </row>
        <row r="1238">
          <cell r="A1238">
            <v>1237</v>
          </cell>
          <cell r="B1238" t="str">
            <v>ja</v>
          </cell>
          <cell r="C1238" t="str">
            <v>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attack</v>
          </cell>
          <cell r="M1238" t="str">
            <v>human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attack</v>
          </cell>
          <cell r="M1239" t="str">
            <v>human</v>
          </cell>
        </row>
        <row r="1240">
          <cell r="A1240">
            <v>1239</v>
          </cell>
          <cell r="B1240" t="str">
            <v>ja</v>
          </cell>
          <cell r="C1240" t="str">
            <v>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attack</v>
          </cell>
          <cell r="M1240" t="str">
            <v>human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attack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attack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attack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attack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attack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attack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attack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attack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真田幸村(超あたり)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真田幸村(超あたり)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attack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attack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attack</v>
          </cell>
          <cell r="M1255" t="str">
            <v>god</v>
          </cell>
        </row>
        <row r="1256">
          <cell r="A1256">
            <v>1255</v>
          </cell>
          <cell r="B1256" t="str">
            <v>ja</v>
          </cell>
          <cell r="C1256" t="str">
            <v>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attack</v>
          </cell>
          <cell r="M1256" t="str">
            <v>god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attack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attack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attack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attack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トール(超あたり)</v>
          </cell>
          <cell r="H1261" t="str">
            <v>red</v>
          </cell>
          <cell r="I1261">
            <v>5</v>
          </cell>
          <cell r="J1261" t="str">
            <v>PremiumSSw</v>
          </cell>
          <cell r="K1261" t="str">
            <v>attack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トール(超あたり)</v>
          </cell>
          <cell r="H1262" t="str">
            <v>red</v>
          </cell>
          <cell r="I1262">
            <v>6</v>
          </cell>
          <cell r="J1262" t="str">
            <v>PremiumSSw</v>
          </cell>
          <cell r="K1262" t="str">
            <v>attack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</v>
          </cell>
          <cell r="K1263" t="str">
            <v>attack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イズン</v>
          </cell>
          <cell r="H1264" t="str">
            <v>green</v>
          </cell>
          <cell r="I1264">
            <v>6</v>
          </cell>
          <cell r="J1264" t="str">
            <v>PremiumSS</v>
          </cell>
          <cell r="K1264" t="str">
            <v>attack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attack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attack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attack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attack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コードレッド</v>
          </cell>
          <cell r="H1269" t="str">
            <v>red</v>
          </cell>
          <cell r="I1269">
            <v>6</v>
          </cell>
          <cell r="J1269" t="str">
            <v>PremiumSSS</v>
          </cell>
          <cell r="K1269" t="str">
            <v>attack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コードレッド</v>
          </cell>
          <cell r="H1270" t="str">
            <v>red</v>
          </cell>
          <cell r="I1270">
            <v>6</v>
          </cell>
          <cell r="J1270" t="str">
            <v>PremiumSSS</v>
          </cell>
          <cell r="K1270" t="str">
            <v>attack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沖田</v>
          </cell>
          <cell r="H1272" t="str">
            <v>blue</v>
          </cell>
          <cell r="I1272">
            <v>6</v>
          </cell>
          <cell r="J1272" t="str">
            <v>PremiumSS</v>
          </cell>
          <cell r="K1272" t="str">
            <v>attack</v>
          </cell>
          <cell r="M1272" t="str">
            <v>human</v>
          </cell>
        </row>
        <row r="1273">
          <cell r="A1273">
            <v>1272</v>
          </cell>
          <cell r="B1273" t="str">
            <v>ja</v>
          </cell>
          <cell r="C1273" t="str">
            <v>親指</v>
          </cell>
          <cell r="H1273" t="str">
            <v>red</v>
          </cell>
          <cell r="I1273">
            <v>6</v>
          </cell>
          <cell r="J1273" t="str">
            <v>PremiumSS</v>
          </cell>
          <cell r="K1273" t="str">
            <v>attack</v>
          </cell>
          <cell r="M1273" t="str">
            <v>human</v>
          </cell>
        </row>
        <row r="1274">
          <cell r="A1274">
            <v>1273</v>
          </cell>
          <cell r="B1274" t="str">
            <v>ja</v>
          </cell>
          <cell r="C1274" t="str">
            <v>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attack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マリアR6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attack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R６サンタベリアル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M1276" t="str">
            <v>demon</v>
          </cell>
        </row>
        <row r="1277">
          <cell r="A1277">
            <v>1276</v>
          </cell>
          <cell r="B1277" t="str">
            <v>ja</v>
          </cell>
          <cell r="C1277" t="str">
            <v>R６サンタオセ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M1277" t="str">
            <v>demon</v>
          </cell>
        </row>
        <row r="1278">
          <cell r="A1278">
            <v>1277</v>
          </cell>
          <cell r="B1278" t="str">
            <v>ja</v>
          </cell>
          <cell r="C1278" t="str">
            <v>R６サンタミカエル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オリジナルガチャ当たり(サンタ)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attack</v>
          </cell>
          <cell r="M1279" t="str">
            <v>human</v>
          </cell>
        </row>
        <row r="1280">
          <cell r="A1280">
            <v>1279</v>
          </cell>
          <cell r="B1280" t="str">
            <v>ja</v>
          </cell>
          <cell r="C1280" t="str">
            <v>オリジナルガチャ当たり(サンタ)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attack</v>
          </cell>
          <cell r="M1280" t="str">
            <v>human</v>
          </cell>
        </row>
        <row r="1281">
          <cell r="A1281">
            <v>1280</v>
          </cell>
          <cell r="B1281" t="str">
            <v>ja</v>
          </cell>
          <cell r="C1281" t="str">
            <v>きせかえR5_卑弥呼</v>
          </cell>
          <cell r="H1281" t="str">
            <v>blue</v>
          </cell>
          <cell r="I1281">
            <v>5</v>
          </cell>
          <cell r="J1281" t="str">
            <v>PremiumN</v>
          </cell>
          <cell r="K1281" t="str">
            <v>attack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きせかえR5_ダイダラorトリスタン</v>
          </cell>
          <cell r="H1282" t="str">
            <v>green</v>
          </cell>
          <cell r="I1282">
            <v>5</v>
          </cell>
          <cell r="J1282" t="str">
            <v>PremiumN</v>
          </cell>
          <cell r="K1282" t="str">
            <v>attack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ポーラ&amp;ダニー(マリア対抗ウィザード)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attack</v>
          </cell>
          <cell r="M1283" t="str">
            <v>human</v>
          </cell>
        </row>
        <row r="1284">
          <cell r="A1284">
            <v>1283</v>
          </cell>
          <cell r="B1284" t="str">
            <v>ja</v>
          </cell>
          <cell r="C1284" t="str">
            <v>ポーラ&amp;ダニー(マリア対抗ウィザード)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attack</v>
          </cell>
          <cell r="M1284" t="str">
            <v>human</v>
          </cell>
        </row>
        <row r="1285">
          <cell r="A1285">
            <v>1284</v>
          </cell>
          <cell r="B1285" t="str">
            <v>ja</v>
          </cell>
          <cell r="C1285" t="str">
            <v>スノーマン(ガチャ当たり対抗ウィザード)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attack</v>
          </cell>
          <cell r="M1285" t="str">
            <v>human</v>
          </cell>
        </row>
        <row r="1286">
          <cell r="A1286">
            <v>1285</v>
          </cell>
          <cell r="B1286" t="str">
            <v>ja</v>
          </cell>
          <cell r="C1286" t="str">
            <v>スノーマン(ガチャ当たり対抗ウィザード)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attack</v>
          </cell>
          <cell r="M1286" t="str">
            <v>human</v>
          </cell>
        </row>
        <row r="1287">
          <cell r="A1287">
            <v>1286</v>
          </cell>
          <cell r="B1287" t="str">
            <v>ja</v>
          </cell>
          <cell r="C1287" t="str">
            <v>マリアランキング対抗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attack</v>
          </cell>
          <cell r="M1287" t="str">
            <v>human</v>
          </cell>
        </row>
        <row r="1288">
          <cell r="A1288">
            <v>1287</v>
          </cell>
          <cell r="B1288" t="str">
            <v>ja</v>
          </cell>
          <cell r="C1288" t="str">
            <v>マリアランキング対抗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attack</v>
          </cell>
          <cell r="M1288" t="str">
            <v>human</v>
          </cell>
        </row>
        <row r="1289">
          <cell r="A1289">
            <v>1288</v>
          </cell>
          <cell r="B1289" t="str">
            <v>ja</v>
          </cell>
          <cell r="C1289" t="str">
            <v>マリアランキング対抗超覚醒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attack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クリスマス報酬1</v>
          </cell>
          <cell r="H1290" t="str">
            <v>blue</v>
          </cell>
          <cell r="I1290">
            <v>6</v>
          </cell>
          <cell r="J1290" t="str">
            <v>DropWozSSS</v>
          </cell>
          <cell r="K1290" t="str">
            <v>attack</v>
          </cell>
          <cell r="M1290" t="str">
            <v>human</v>
          </cell>
        </row>
        <row r="1291">
          <cell r="A1291">
            <v>1290</v>
          </cell>
          <cell r="B1291" t="str">
            <v>ja</v>
          </cell>
          <cell r="C1291" t="str">
            <v>クリスマス報酬2</v>
          </cell>
          <cell r="H1291" t="str">
            <v>blue</v>
          </cell>
          <cell r="I1291">
            <v>6</v>
          </cell>
          <cell r="J1291" t="str">
            <v>DropWozSSS</v>
          </cell>
          <cell r="K1291" t="str">
            <v>attack</v>
          </cell>
          <cell r="M1291" t="str">
            <v>human</v>
          </cell>
        </row>
        <row r="1292">
          <cell r="A1292">
            <v>1291</v>
          </cell>
          <cell r="B1292" t="str">
            <v>ja</v>
          </cell>
          <cell r="C1292" t="str">
            <v>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attack</v>
          </cell>
          <cell r="M1292" t="str">
            <v>human</v>
          </cell>
        </row>
        <row r="1293">
          <cell r="A1293">
            <v>1292</v>
          </cell>
          <cell r="B1293" t="str">
            <v>ja</v>
          </cell>
          <cell r="C1293" t="str">
            <v>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attack</v>
          </cell>
          <cell r="M1293" t="str">
            <v>human</v>
          </cell>
        </row>
        <row r="1294">
          <cell r="A1294">
            <v>1293</v>
          </cell>
          <cell r="B1294" t="str">
            <v>ja</v>
          </cell>
          <cell r="C1294" t="str">
            <v>鶏ウィザード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attack</v>
          </cell>
          <cell r="M1294" t="str">
            <v>human</v>
          </cell>
        </row>
        <row r="1295">
          <cell r="A1295">
            <v>1294</v>
          </cell>
          <cell r="B1295" t="str">
            <v>ja</v>
          </cell>
          <cell r="C1295" t="str">
            <v>鶏ウィザード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attack</v>
          </cell>
          <cell r="M1295" t="str">
            <v>human</v>
          </cell>
        </row>
        <row r="1296">
          <cell r="A1296">
            <v>6001</v>
          </cell>
          <cell r="B1296" t="str">
            <v>ja</v>
          </cell>
          <cell r="C1296" t="str">
            <v>ジェリー</v>
          </cell>
          <cell r="D1296" t="str">
            <v>ノーマルクエスト</v>
          </cell>
          <cell r="E1296" t="str">
            <v>QoH</v>
          </cell>
          <cell r="F1296" t="str">
            <v>世界観</v>
          </cell>
          <cell r="G1296" t="str">
            <v>不明</v>
          </cell>
          <cell r="H1296" t="str">
            <v>red</v>
          </cell>
          <cell r="I1296">
            <v>1</v>
          </cell>
          <cell r="J1296" t="str">
            <v>Drop1T</v>
          </cell>
          <cell r="K1296" t="str">
            <v>ra</v>
          </cell>
          <cell r="L1296" t="str">
            <v>ラグランジュチャレンジ</v>
          </cell>
          <cell r="M1296" t="str">
            <v>unknown</v>
          </cell>
        </row>
        <row r="1297">
          <cell r="A1297">
            <v>6002</v>
          </cell>
          <cell r="B1297" t="str">
            <v>ja</v>
          </cell>
          <cell r="C1297" t="str">
            <v>ヨシタカ</v>
          </cell>
          <cell r="D1297" t="str">
            <v>ノーマルクエスト</v>
          </cell>
          <cell r="E1297" t="str">
            <v>アバター</v>
          </cell>
          <cell r="F1297" t="str">
            <v>世界観</v>
          </cell>
          <cell r="G1297" t="str">
            <v>男性</v>
          </cell>
          <cell r="H1297" t="str">
            <v>red</v>
          </cell>
          <cell r="I1297">
            <v>2</v>
          </cell>
          <cell r="J1297" t="str">
            <v>Drop1N</v>
          </cell>
          <cell r="K1297" t="str">
            <v>ra</v>
          </cell>
          <cell r="L1297" t="str">
            <v>ラグランジュチャレンジ</v>
          </cell>
          <cell r="M1297" t="str">
            <v>human</v>
          </cell>
        </row>
        <row r="1298">
          <cell r="A1298">
            <v>6003</v>
          </cell>
          <cell r="B1298" t="str">
            <v>ja</v>
          </cell>
          <cell r="C1298" t="str">
            <v>朱雀</v>
          </cell>
          <cell r="D1298" t="str">
            <v>リンクガチャ:4神</v>
          </cell>
          <cell r="E1298" t="str">
            <v>守護神</v>
          </cell>
          <cell r="F1298" t="str">
            <v>格好いい</v>
          </cell>
          <cell r="G1298" t="str">
            <v>不明</v>
          </cell>
          <cell r="H1298" t="str">
            <v>red</v>
          </cell>
          <cell r="I1298">
            <v>3</v>
          </cell>
          <cell r="J1298" t="str">
            <v>Drop2N</v>
          </cell>
          <cell r="K1298" t="str">
            <v>ra</v>
          </cell>
          <cell r="L1298" t="str">
            <v>ラグランジュチャレンジ</v>
          </cell>
          <cell r="M1298" t="str">
            <v>animal</v>
          </cell>
        </row>
        <row r="1299">
          <cell r="A1299">
            <v>6004</v>
          </cell>
          <cell r="B1299" t="str">
            <v>ja</v>
          </cell>
          <cell r="C1299" t="str">
            <v>ブレット</v>
          </cell>
          <cell r="D1299" t="str">
            <v>ノーマルクエスト</v>
          </cell>
          <cell r="E1299" t="str">
            <v>アバター</v>
          </cell>
          <cell r="F1299" t="str">
            <v>世界観</v>
          </cell>
          <cell r="G1299" t="str">
            <v>不明</v>
          </cell>
          <cell r="H1299" t="str">
            <v>red</v>
          </cell>
          <cell r="I1299">
            <v>1</v>
          </cell>
          <cell r="J1299" t="str">
            <v>Drop1W</v>
          </cell>
          <cell r="K1299" t="str">
            <v>ra</v>
          </cell>
          <cell r="L1299" t="str">
            <v>ラグランジュチャレンジ</v>
          </cell>
          <cell r="M1299" t="str">
            <v>animal</v>
          </cell>
        </row>
        <row r="1300">
          <cell r="A1300">
            <v>6005</v>
          </cell>
          <cell r="B1300" t="str">
            <v>ja</v>
          </cell>
          <cell r="C1300" t="str">
            <v>孤神 テティス</v>
          </cell>
          <cell r="D1300" t="str">
            <v>初期ガチャ</v>
          </cell>
          <cell r="E1300" t="str">
            <v>管理者</v>
          </cell>
          <cell r="F1300" t="str">
            <v>美しい</v>
          </cell>
          <cell r="G1300" t="str">
            <v>女性</v>
          </cell>
          <cell r="H1300" t="str">
            <v>blue</v>
          </cell>
          <cell r="I1300">
            <v>4</v>
          </cell>
          <cell r="J1300" t="str">
            <v>PremiumN</v>
          </cell>
          <cell r="K1300" t="str">
            <v>ra</v>
          </cell>
          <cell r="L1300" t="str">
            <v>ラグランジュチャレンジ</v>
          </cell>
          <cell r="M1300" t="str">
            <v>god</v>
          </cell>
        </row>
        <row r="1301">
          <cell r="A1301">
            <v>6006</v>
          </cell>
          <cell r="B1301" t="str">
            <v>ja</v>
          </cell>
          <cell r="C1301" t="str">
            <v>海底の孤高神 テティス</v>
          </cell>
          <cell r="D1301" t="str">
            <v>初期ガチャ</v>
          </cell>
          <cell r="E1301" t="str">
            <v>管理者</v>
          </cell>
          <cell r="F1301" t="str">
            <v>美しい</v>
          </cell>
          <cell r="G1301" t="str">
            <v>女性</v>
          </cell>
          <cell r="H1301" t="str">
            <v>blue</v>
          </cell>
          <cell r="I1301">
            <v>5</v>
          </cell>
          <cell r="J1301" t="str">
            <v>PremiumN</v>
          </cell>
          <cell r="K1301" t="str">
            <v>ra</v>
          </cell>
          <cell r="L1301" t="str">
            <v>ラグランジュチャレンジ</v>
          </cell>
          <cell r="M1301" t="str">
            <v>god</v>
          </cell>
        </row>
        <row r="1302">
          <cell r="A1302">
            <v>6007</v>
          </cell>
          <cell r="B1302" t="str">
            <v>ja</v>
          </cell>
          <cell r="C1302" t="str">
            <v>番犬 ケルベロス</v>
          </cell>
          <cell r="D1302" t="str">
            <v>初期ガチャ</v>
          </cell>
          <cell r="E1302" t="str">
            <v>破界者</v>
          </cell>
          <cell r="F1302" t="str">
            <v>可愛い</v>
          </cell>
          <cell r="G1302" t="str">
            <v>女性</v>
          </cell>
          <cell r="H1302" t="str">
            <v>red</v>
          </cell>
          <cell r="I1302">
            <v>4</v>
          </cell>
          <cell r="J1302" t="str">
            <v>PremiumN</v>
          </cell>
          <cell r="K1302" t="str">
            <v>ra</v>
          </cell>
          <cell r="L1302" t="str">
            <v>ラグランジュチャレンジ</v>
          </cell>
          <cell r="M1302" t="str">
            <v>animal</v>
          </cell>
        </row>
        <row r="1303">
          <cell r="A1303">
            <v>6008</v>
          </cell>
          <cell r="B1303" t="str">
            <v>ja</v>
          </cell>
          <cell r="C1303" t="str">
            <v>焔神 プロメテウス</v>
          </cell>
          <cell r="D1303" t="str">
            <v>初期ガチャ</v>
          </cell>
          <cell r="E1303" t="str">
            <v>管理者</v>
          </cell>
          <cell r="F1303" t="str">
            <v>格好いい</v>
          </cell>
          <cell r="G1303" t="str">
            <v>男性</v>
          </cell>
          <cell r="H1303" t="str">
            <v>red</v>
          </cell>
          <cell r="I1303">
            <v>4</v>
          </cell>
          <cell r="J1303" t="str">
            <v>PremiumN</v>
          </cell>
          <cell r="K1303" t="str">
            <v>ra</v>
          </cell>
          <cell r="L1303" t="str">
            <v>ラグランジュチャレンジ</v>
          </cell>
          <cell r="M1303" t="str">
            <v>god</v>
          </cell>
        </row>
        <row r="1304">
          <cell r="A1304">
            <v>6009</v>
          </cell>
          <cell r="B1304" t="str">
            <v>ja</v>
          </cell>
          <cell r="C1304" t="str">
            <v>超越自我 ラグランジュ</v>
          </cell>
          <cell r="D1304" t="str">
            <v>ガチャ:フィーバーフェス02</v>
          </cell>
          <cell r="E1304" t="str">
            <v>執行者</v>
          </cell>
          <cell r="F1304" t="str">
            <v>格好いい</v>
          </cell>
          <cell r="G1304" t="str">
            <v>女性</v>
          </cell>
          <cell r="H1304" t="str">
            <v>red</v>
          </cell>
          <cell r="I1304">
            <v>5</v>
          </cell>
          <cell r="J1304" t="str">
            <v>PremiumSSS</v>
          </cell>
          <cell r="K1304" t="str">
            <v>ra</v>
          </cell>
          <cell r="L1304" t="str">
            <v>ラグランジュチャレンジ</v>
          </cell>
          <cell r="M1304" t="str">
            <v>human</v>
          </cell>
        </row>
        <row r="1305">
          <cell r="A1305">
            <v>6010</v>
          </cell>
          <cell r="B1305" t="str">
            <v>ja</v>
          </cell>
          <cell r="C1305" t="str">
            <v>超越凌駕 ラグランジュ</v>
          </cell>
          <cell r="D1305" t="str">
            <v>ガチャ:フィーバーフェス02</v>
          </cell>
          <cell r="E1305" t="str">
            <v>執行者</v>
          </cell>
          <cell r="F1305" t="str">
            <v>格好いい</v>
          </cell>
          <cell r="G1305" t="str">
            <v>女性</v>
          </cell>
          <cell r="H1305" t="str">
            <v>red</v>
          </cell>
          <cell r="I1305">
            <v>6</v>
          </cell>
          <cell r="J1305" t="str">
            <v>PremiumSSS</v>
          </cell>
          <cell r="K1305" t="str">
            <v>ra</v>
          </cell>
          <cell r="L1305" t="str">
            <v>ラグランジュチャレンジ</v>
          </cell>
          <cell r="M1305" t="str">
            <v>human</v>
          </cell>
        </row>
        <row r="1306">
          <cell r="A1306">
            <v>6011</v>
          </cell>
          <cell r="B1306" t="str">
            <v>ja</v>
          </cell>
          <cell r="C1306" t="str">
            <v>パトドッグリーダー ポチ</v>
          </cell>
          <cell r="D1306" t="str">
            <v>ガチャ:フィーバーフェス02</v>
          </cell>
          <cell r="E1306" t="str">
            <v>執行者</v>
          </cell>
          <cell r="F1306" t="str">
            <v>格好いい</v>
          </cell>
          <cell r="G1306" t="str">
            <v>男性</v>
          </cell>
          <cell r="H1306" t="str">
            <v>blue</v>
          </cell>
          <cell r="I1306">
            <v>2</v>
          </cell>
          <cell r="J1306" t="str">
            <v>Drop1T</v>
          </cell>
          <cell r="K1306" t="str">
            <v>ra002</v>
          </cell>
          <cell r="L1306" t="str">
            <v>ユークリッドチャレンジ</v>
          </cell>
          <cell r="M1306" t="str">
            <v>unknown</v>
          </cell>
        </row>
        <row r="1307">
          <cell r="A1307">
            <v>6012</v>
          </cell>
          <cell r="B1307" t="str">
            <v>ja</v>
          </cell>
          <cell r="C1307" t="str">
            <v>ミミ</v>
          </cell>
          <cell r="D1307" t="str">
            <v>ガチャ:フィーバーフェス02</v>
          </cell>
          <cell r="E1307" t="str">
            <v>執行者</v>
          </cell>
          <cell r="F1307" t="str">
            <v>格好いい</v>
          </cell>
          <cell r="G1307" t="str">
            <v>男性</v>
          </cell>
          <cell r="H1307" t="str">
            <v>yellow</v>
          </cell>
          <cell r="I1307">
            <v>1</v>
          </cell>
          <cell r="J1307" t="str">
            <v>Drop1W</v>
          </cell>
          <cell r="K1307" t="str">
            <v>ra002</v>
          </cell>
          <cell r="L1307" t="str">
            <v>ユークリッドチャレンジ</v>
          </cell>
          <cell r="M1307" t="str">
            <v>animal</v>
          </cell>
        </row>
        <row r="1308">
          <cell r="A1308">
            <v>6013</v>
          </cell>
          <cell r="B1308" t="str">
            <v>ja</v>
          </cell>
          <cell r="C1308" t="str">
            <v>護衛機人 スケアクロウ</v>
          </cell>
          <cell r="D1308" t="str">
            <v>ガチャ:フィーバーフェス02</v>
          </cell>
          <cell r="E1308" t="str">
            <v>執行者</v>
          </cell>
          <cell r="F1308" t="str">
            <v>格好いい</v>
          </cell>
          <cell r="G1308" t="str">
            <v>男性</v>
          </cell>
          <cell r="H1308" t="str">
            <v>blue</v>
          </cell>
          <cell r="I1308">
            <v>2</v>
          </cell>
          <cell r="J1308" t="str">
            <v>Drop1N</v>
          </cell>
          <cell r="K1308" t="str">
            <v>ra002</v>
          </cell>
          <cell r="L1308" t="str">
            <v>ユークリッドチャレンジ</v>
          </cell>
          <cell r="M1308" t="str">
            <v>machine</v>
          </cell>
        </row>
        <row r="1309">
          <cell r="A1309">
            <v>6014</v>
          </cell>
          <cell r="B1309" t="str">
            <v>ja</v>
          </cell>
          <cell r="C1309" t="str">
            <v>月下の人狼 ローレンス</v>
          </cell>
          <cell r="D1309" t="str">
            <v>ガチャ:フィーバーフェス02</v>
          </cell>
          <cell r="E1309" t="str">
            <v>執行者</v>
          </cell>
          <cell r="F1309" t="str">
            <v>格好いい</v>
          </cell>
          <cell r="G1309" t="str">
            <v>男性</v>
          </cell>
          <cell r="H1309" t="str">
            <v>blue</v>
          </cell>
          <cell r="I1309">
            <v>4</v>
          </cell>
          <cell r="J1309" t="str">
            <v>PremiumW</v>
          </cell>
          <cell r="K1309" t="str">
            <v>ra002</v>
          </cell>
          <cell r="L1309" t="str">
            <v>ユークリッドチャレンジ</v>
          </cell>
          <cell r="M1309" t="str">
            <v>animal</v>
          </cell>
        </row>
        <row r="1310">
          <cell r="A1310">
            <v>6015</v>
          </cell>
          <cell r="B1310" t="str">
            <v>ja</v>
          </cell>
          <cell r="C1310" t="str">
            <v>フレイヤ</v>
          </cell>
          <cell r="D1310" t="str">
            <v>ガチャ:フィーバーフェス02</v>
          </cell>
          <cell r="E1310" t="str">
            <v>執行者</v>
          </cell>
          <cell r="F1310" t="str">
            <v>格好いい</v>
          </cell>
          <cell r="G1310" t="str">
            <v>男性</v>
          </cell>
          <cell r="H1310" t="str">
            <v>blue</v>
          </cell>
          <cell r="I1310">
            <v>4</v>
          </cell>
          <cell r="J1310" t="str">
            <v>PremiumSS</v>
          </cell>
          <cell r="K1310" t="str">
            <v>ra002</v>
          </cell>
          <cell r="L1310" t="str">
            <v>ユークリッドチャレンジ</v>
          </cell>
          <cell r="M1310" t="str">
            <v>animal</v>
          </cell>
        </row>
        <row r="1311">
          <cell r="A1311">
            <v>6016</v>
          </cell>
          <cell r="B1311" t="str">
            <v>ja</v>
          </cell>
          <cell r="C1311" t="str">
            <v>根原論理 ユークリッド</v>
          </cell>
          <cell r="D1311" t="str">
            <v>ガチャ:フィーバーフェス02</v>
          </cell>
          <cell r="E1311" t="str">
            <v>執行者</v>
          </cell>
          <cell r="F1311" t="str">
            <v>格好いい</v>
          </cell>
          <cell r="G1311" t="str">
            <v>男性</v>
          </cell>
          <cell r="H1311" t="str">
            <v>blue</v>
          </cell>
          <cell r="I1311">
            <v>5</v>
          </cell>
          <cell r="J1311" t="str">
            <v>PremiumSSS</v>
          </cell>
          <cell r="K1311" t="str">
            <v>ra002</v>
          </cell>
          <cell r="L1311" t="str">
            <v>ユークリッドチャレンジ</v>
          </cell>
          <cell r="M1311" t="str">
            <v>human</v>
          </cell>
        </row>
        <row r="1312">
          <cell r="A1312">
            <v>6017</v>
          </cell>
          <cell r="B1312" t="str">
            <v>ja</v>
          </cell>
          <cell r="C1312" t="str">
            <v>不朽の極論 ユークリッド</v>
          </cell>
          <cell r="D1312" t="str">
            <v>ガチャ:フィーバーフェス02</v>
          </cell>
          <cell r="E1312" t="str">
            <v>執行者</v>
          </cell>
          <cell r="F1312" t="str">
            <v>格好いい</v>
          </cell>
          <cell r="G1312" t="str">
            <v>男性</v>
          </cell>
          <cell r="H1312" t="str">
            <v>blue</v>
          </cell>
          <cell r="I1312">
            <v>6</v>
          </cell>
          <cell r="J1312" t="str">
            <v>PremiumSSS</v>
          </cell>
          <cell r="K1312" t="str">
            <v>ra002</v>
          </cell>
          <cell r="L1312" t="str">
            <v>ユークリッドチャレンジ</v>
          </cell>
          <cell r="M1312" t="str">
            <v>human</v>
          </cell>
        </row>
        <row r="1313">
          <cell r="A1313">
            <v>6018</v>
          </cell>
          <cell r="B1313" t="str">
            <v>ja</v>
          </cell>
          <cell r="C1313" t="str">
            <v>ハヅル</v>
          </cell>
          <cell r="D1313" t="str">
            <v>ガチャ:フィーバーフェス02</v>
          </cell>
          <cell r="E1313" t="str">
            <v>執行者</v>
          </cell>
          <cell r="F1313" t="str">
            <v>格好いい</v>
          </cell>
          <cell r="G1313" t="str">
            <v>男性</v>
          </cell>
          <cell r="H1313" t="str">
            <v>red</v>
          </cell>
          <cell r="I1313">
            <v>4</v>
          </cell>
          <cell r="J1313" t="str">
            <v>PremiumSS</v>
          </cell>
          <cell r="K1313" t="str">
            <v>ra002</v>
          </cell>
          <cell r="L1313" t="str">
            <v>ユークリッドチャレンジ</v>
          </cell>
          <cell r="M1313" t="str">
            <v>animal</v>
          </cell>
        </row>
        <row r="1314">
          <cell r="A1314">
            <v>6019</v>
          </cell>
          <cell r="B1314" t="str">
            <v>ja</v>
          </cell>
          <cell r="C1314" t="str">
            <v>天織羽鶴 ハヅル</v>
          </cell>
          <cell r="D1314" t="str">
            <v>ガチャ:フィーバーフェス02</v>
          </cell>
          <cell r="E1314" t="str">
            <v>執行者</v>
          </cell>
          <cell r="F1314" t="str">
            <v>格好いい</v>
          </cell>
          <cell r="G1314" t="str">
            <v>男性</v>
          </cell>
          <cell r="H1314" t="str">
            <v>red</v>
          </cell>
          <cell r="I1314">
            <v>5</v>
          </cell>
          <cell r="J1314" t="str">
            <v>PremiumSS</v>
          </cell>
          <cell r="K1314" t="str">
            <v>ra002</v>
          </cell>
          <cell r="L1314" t="str">
            <v>ユークリッドチャレンジ</v>
          </cell>
          <cell r="M1314" t="str">
            <v>animal</v>
          </cell>
        </row>
        <row r="1315">
          <cell r="A1315">
            <v>6020</v>
          </cell>
          <cell r="B1315" t="str">
            <v>ja</v>
          </cell>
          <cell r="C1315" t="str">
            <v>ミズチ</v>
          </cell>
          <cell r="D1315" t="str">
            <v>ガチャ:フィーバーフェス02</v>
          </cell>
          <cell r="E1315" t="str">
            <v>執行者</v>
          </cell>
          <cell r="F1315" t="str">
            <v>格好いい</v>
          </cell>
          <cell r="G1315" t="str">
            <v>男性</v>
          </cell>
          <cell r="H1315" t="str">
            <v>blue</v>
          </cell>
          <cell r="I1315">
            <v>4</v>
          </cell>
          <cell r="J1315" t="str">
            <v>PremiumS</v>
          </cell>
          <cell r="K1315" t="str">
            <v>ra002</v>
          </cell>
          <cell r="L1315" t="str">
            <v>ユークリッドチャレンジ</v>
          </cell>
          <cell r="M1315" t="str">
            <v>dragon</v>
          </cell>
        </row>
        <row r="1316">
          <cell r="A1316">
            <v>8001</v>
          </cell>
          <cell r="B1316" t="str">
            <v>ja</v>
          </cell>
          <cell r="C1316" t="str">
            <v>媽祖</v>
          </cell>
          <cell r="D1316" t="str">
            <v>イベント:ミクコラボ01</v>
          </cell>
          <cell r="E1316" t="str">
            <v>執行者</v>
          </cell>
          <cell r="F1316" t="str">
            <v>格好いい</v>
          </cell>
          <cell r="G1316" t="str">
            <v>女性</v>
          </cell>
          <cell r="H1316" t="str">
            <v>yellow</v>
          </cell>
          <cell r="I1316">
            <v>5</v>
          </cell>
          <cell r="J1316" t="str">
            <v>PremiumSS</v>
          </cell>
          <cell r="K1316" t="str">
            <v>attack</v>
          </cell>
          <cell r="L1316" t="str">
            <v>攻撃タイプ</v>
          </cell>
          <cell r="M1316" t="str">
            <v>god</v>
          </cell>
        </row>
        <row r="1317">
          <cell r="A1317">
            <v>8002</v>
          </cell>
          <cell r="B1317" t="str">
            <v>ja</v>
          </cell>
          <cell r="C1317" t="str">
            <v>天后 媽祖</v>
          </cell>
          <cell r="D1317" t="str">
            <v>イベント:ミクコラボ01</v>
          </cell>
          <cell r="E1317" t="str">
            <v>執行者</v>
          </cell>
          <cell r="F1317" t="str">
            <v>格好いい</v>
          </cell>
          <cell r="G1317" t="str">
            <v>女性</v>
          </cell>
          <cell r="H1317" t="str">
            <v>yellow</v>
          </cell>
          <cell r="I1317">
            <v>6</v>
          </cell>
          <cell r="J1317" t="str">
            <v>PremiumSS</v>
          </cell>
          <cell r="K1317" t="str">
            <v>attack</v>
          </cell>
          <cell r="L1317" t="str">
            <v>攻撃タイプ</v>
          </cell>
          <cell r="M1317" t="str">
            <v>god</v>
          </cell>
        </row>
        <row r="1318">
          <cell r="A1318">
            <v>8003</v>
          </cell>
          <cell r="B1318" t="str">
            <v>ja</v>
          </cell>
          <cell r="C1318" t="str">
            <v>蛟龍</v>
          </cell>
          <cell r="D1318" t="str">
            <v>イベント:ミクコラボ01</v>
          </cell>
          <cell r="E1318" t="str">
            <v>執行者</v>
          </cell>
          <cell r="F1318" t="str">
            <v>格好いい</v>
          </cell>
          <cell r="G1318" t="str">
            <v>不明</v>
          </cell>
          <cell r="H1318" t="str">
            <v>blue</v>
          </cell>
          <cell r="I1318">
            <v>5</v>
          </cell>
          <cell r="J1318" t="str">
            <v>DropWizS</v>
          </cell>
          <cell r="K1318" t="str">
            <v>hp</v>
          </cell>
          <cell r="L1318" t="str">
            <v>体力タイプ</v>
          </cell>
          <cell r="M1318" t="str">
            <v>dragon</v>
          </cell>
        </row>
        <row r="1319">
          <cell r="A1319">
            <v>8004</v>
          </cell>
          <cell r="B1319" t="str">
            <v>ja</v>
          </cell>
          <cell r="C1319" t="str">
            <v>深海蛟龍怪‧晏公</v>
          </cell>
          <cell r="D1319" t="str">
            <v>イベント:ミクコラボ01</v>
          </cell>
          <cell r="E1319" t="str">
            <v>執行者</v>
          </cell>
          <cell r="F1319" t="str">
            <v>格好いい</v>
          </cell>
          <cell r="G1319" t="str">
            <v>不明</v>
          </cell>
          <cell r="H1319" t="str">
            <v>blue</v>
          </cell>
          <cell r="I1319">
            <v>6</v>
          </cell>
          <cell r="J1319" t="str">
            <v>DropWizS</v>
          </cell>
          <cell r="K1319" t="str">
            <v>hp</v>
          </cell>
          <cell r="L1319" t="str">
            <v>体力タイプ</v>
          </cell>
          <cell r="M1319" t="str">
            <v>dragon</v>
          </cell>
        </row>
        <row r="1320">
          <cell r="A1320">
            <v>8005</v>
          </cell>
          <cell r="B1320" t="str">
            <v>ja</v>
          </cell>
          <cell r="C1320" t="str">
            <v>三蔵法師</v>
          </cell>
          <cell r="D1320" t="str">
            <v>イベント:ミクコラボ01</v>
          </cell>
          <cell r="E1320" t="str">
            <v>執行者</v>
          </cell>
          <cell r="F1320" t="str">
            <v>格好いい</v>
          </cell>
          <cell r="G1320" t="str">
            <v>不明</v>
          </cell>
          <cell r="H1320" t="str">
            <v>blue</v>
          </cell>
          <cell r="I1320">
            <v>5</v>
          </cell>
          <cell r="J1320" t="str">
            <v>PremiumSS</v>
          </cell>
          <cell r="K1320" t="str">
            <v>balance</v>
          </cell>
          <cell r="L1320" t="str">
            <v>バランスタイプ</v>
          </cell>
          <cell r="M1320" t="str">
            <v>human</v>
          </cell>
        </row>
        <row r="1321">
          <cell r="A1321">
            <v>8006</v>
          </cell>
          <cell r="B1321" t="str">
            <v>ja</v>
          </cell>
          <cell r="C1321" t="str">
            <v>三蔵法師</v>
          </cell>
          <cell r="D1321" t="str">
            <v>イベント:ミクコラボ01</v>
          </cell>
          <cell r="E1321" t="str">
            <v>執行者</v>
          </cell>
          <cell r="F1321" t="str">
            <v>格好いい</v>
          </cell>
          <cell r="G1321" t="str">
            <v>不明</v>
          </cell>
          <cell r="H1321" t="str">
            <v>blue</v>
          </cell>
          <cell r="I1321">
            <v>6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human</v>
          </cell>
        </row>
        <row r="1322">
          <cell r="A1322">
            <v>8007</v>
          </cell>
          <cell r="B1322" t="str">
            <v>ja</v>
          </cell>
          <cell r="C1322" t="str">
            <v>孫悟空</v>
          </cell>
          <cell r="D1322" t="str">
            <v>イベント:ミクコラボ01</v>
          </cell>
          <cell r="E1322" t="str">
            <v>執行者</v>
          </cell>
          <cell r="F1322" t="str">
            <v>格好いい</v>
          </cell>
          <cell r="G1322" t="str">
            <v>不明</v>
          </cell>
          <cell r="H1322" t="str">
            <v>red</v>
          </cell>
          <cell r="I1322">
            <v>5</v>
          </cell>
          <cell r="J1322" t="str">
            <v>DropWizS</v>
          </cell>
          <cell r="K1322" t="str">
            <v>attack</v>
          </cell>
          <cell r="L1322" t="str">
            <v>攻撃タイプ</v>
          </cell>
          <cell r="M1322" t="str">
            <v>animal</v>
          </cell>
        </row>
        <row r="1323">
          <cell r="A1323">
            <v>8008</v>
          </cell>
          <cell r="B1323" t="str">
            <v>ja</v>
          </cell>
          <cell r="C1323" t="str">
            <v>孫悟空</v>
          </cell>
          <cell r="D1323" t="str">
            <v>イベント:ミクコラボ01</v>
          </cell>
          <cell r="E1323" t="str">
            <v>執行者</v>
          </cell>
          <cell r="F1323" t="str">
            <v>格好いい</v>
          </cell>
          <cell r="G1323" t="str">
            <v>不明</v>
          </cell>
          <cell r="H1323" t="str">
            <v>red</v>
          </cell>
          <cell r="I1323">
            <v>6</v>
          </cell>
          <cell r="J1323" t="str">
            <v>DropWizS</v>
          </cell>
          <cell r="K1323" t="str">
            <v>attack</v>
          </cell>
          <cell r="L1323" t="str">
            <v>攻撃タイプ</v>
          </cell>
          <cell r="M1323" t="str">
            <v>animal</v>
          </cell>
        </row>
        <row r="1324">
          <cell r="A1324">
            <v>8009</v>
          </cell>
          <cell r="B1324" t="str">
            <v>ja</v>
          </cell>
          <cell r="C1324" t="str">
            <v>西王娘娘</v>
          </cell>
          <cell r="D1324" t="str">
            <v>イベント:ミクコラボ01</v>
          </cell>
          <cell r="E1324" t="str">
            <v>執行者</v>
          </cell>
          <cell r="F1324" t="str">
            <v>格好いい</v>
          </cell>
          <cell r="G1324" t="str">
            <v>不明</v>
          </cell>
          <cell r="H1324" t="str">
            <v>green</v>
          </cell>
          <cell r="I1324">
            <v>5</v>
          </cell>
          <cell r="J1324" t="str">
            <v>PremiumSS</v>
          </cell>
          <cell r="K1324" t="str">
            <v>attack</v>
          </cell>
          <cell r="L1324" t="str">
            <v>攻撃タイプ</v>
          </cell>
          <cell r="M1324" t="str">
            <v>god</v>
          </cell>
        </row>
        <row r="1325">
          <cell r="A1325">
            <v>8010</v>
          </cell>
          <cell r="B1325" t="str">
            <v>ja</v>
          </cell>
          <cell r="C1325" t="str">
            <v>西王娘娘</v>
          </cell>
          <cell r="D1325" t="str">
            <v>イベント:ミクコラボ01</v>
          </cell>
          <cell r="E1325" t="str">
            <v>執行者</v>
          </cell>
          <cell r="F1325" t="str">
            <v>格好いい</v>
          </cell>
          <cell r="G1325" t="str">
            <v>不明</v>
          </cell>
          <cell r="H1325" t="str">
            <v>green</v>
          </cell>
          <cell r="I1325">
            <v>6</v>
          </cell>
          <cell r="J1325" t="str">
            <v>PremiumSS</v>
          </cell>
          <cell r="K1325" t="str">
            <v>attack</v>
          </cell>
          <cell r="L1325" t="str">
            <v>攻撃タイプ</v>
          </cell>
          <cell r="M1325" t="str">
            <v>god</v>
          </cell>
        </row>
        <row r="1326">
          <cell r="A1326">
            <v>8011</v>
          </cell>
          <cell r="B1326" t="str">
            <v>ja</v>
          </cell>
          <cell r="C1326" t="str">
            <v>月下老人</v>
          </cell>
          <cell r="D1326" t="str">
            <v>イベント:ミクコラボ01</v>
          </cell>
          <cell r="E1326" t="str">
            <v>執行者</v>
          </cell>
          <cell r="F1326" t="str">
            <v>格好いい</v>
          </cell>
          <cell r="G1326" t="str">
            <v>女性</v>
          </cell>
          <cell r="H1326" t="str">
            <v>yellow</v>
          </cell>
          <cell r="I1326">
            <v>5</v>
          </cell>
          <cell r="J1326" t="str">
            <v>DropWizS</v>
          </cell>
          <cell r="K1326" t="str">
            <v>balance</v>
          </cell>
          <cell r="L1326" t="str">
            <v>バランスタイプ</v>
          </cell>
          <cell r="M1326" t="str">
            <v>god</v>
          </cell>
        </row>
        <row r="1327">
          <cell r="A1327">
            <v>8012</v>
          </cell>
          <cell r="B1327" t="str">
            <v>ja</v>
          </cell>
          <cell r="C1327" t="str">
            <v>良緣祈福 月下老人</v>
          </cell>
          <cell r="D1327" t="str">
            <v>イベント:ミクコラボ01</v>
          </cell>
          <cell r="E1327" t="str">
            <v>執行者</v>
          </cell>
          <cell r="F1327" t="str">
            <v>格好いい</v>
          </cell>
          <cell r="G1327" t="str">
            <v>女性</v>
          </cell>
          <cell r="H1327" t="str">
            <v>yellow</v>
          </cell>
          <cell r="I1327">
            <v>6</v>
          </cell>
          <cell r="J1327" t="str">
            <v>DropWizS</v>
          </cell>
          <cell r="K1327" t="str">
            <v>balance</v>
          </cell>
          <cell r="L1327" t="str">
            <v>バランスタイプ</v>
          </cell>
          <cell r="M1327" t="str">
            <v>god</v>
          </cell>
        </row>
        <row r="1328">
          <cell r="A1328">
            <v>8013</v>
          </cell>
          <cell r="B1328" t="str">
            <v>ja</v>
          </cell>
          <cell r="C1328" t="str">
            <v>初音ミクV3</v>
          </cell>
          <cell r="D1328" t="str">
            <v>初音ミクV3</v>
          </cell>
          <cell r="E1328" t="str">
            <v>執行者</v>
          </cell>
          <cell r="F1328" t="str">
            <v>格好いい</v>
          </cell>
          <cell r="G1328" t="str">
            <v>女性</v>
          </cell>
          <cell r="H1328" t="str">
            <v>yellow</v>
          </cell>
          <cell r="I1328">
            <v>4</v>
          </cell>
          <cell r="J1328" t="str">
            <v>DropWizS</v>
          </cell>
          <cell r="K1328" t="str">
            <v>balance</v>
          </cell>
          <cell r="L1328" t="str">
            <v>バランスタイプ</v>
          </cell>
          <cell r="M1328" t="str">
            <v>unknown</v>
          </cell>
        </row>
        <row r="1329">
          <cell r="A1329">
            <v>8014</v>
          </cell>
          <cell r="B1329" t="str">
            <v>ja</v>
          </cell>
          <cell r="C1329" t="str">
            <v>初音ミクV3</v>
          </cell>
          <cell r="D1329" t="str">
            <v>初音ミクV3</v>
          </cell>
          <cell r="E1329" t="str">
            <v>執行者</v>
          </cell>
          <cell r="F1329" t="str">
            <v>格好いい</v>
          </cell>
          <cell r="G1329" t="str">
            <v>女性</v>
          </cell>
          <cell r="H1329" t="str">
            <v>yellow</v>
          </cell>
          <cell r="I1329">
            <v>5</v>
          </cell>
          <cell r="J1329" t="str">
            <v>DropWizS</v>
          </cell>
          <cell r="K1329" t="str">
            <v>balance</v>
          </cell>
          <cell r="L1329" t="str">
            <v>バランスタイプ</v>
          </cell>
          <cell r="M1329" t="str">
            <v>unknown</v>
          </cell>
        </row>
        <row r="1330">
          <cell r="A1330">
            <v>8015</v>
          </cell>
          <cell r="B1330" t="str">
            <v>ja</v>
          </cell>
          <cell r="C1330" t="str">
            <v>初音ミク・アペンド</v>
          </cell>
          <cell r="D1330" t="str">
            <v>初音ミク・アペンド</v>
          </cell>
          <cell r="E1330" t="str">
            <v>執行者</v>
          </cell>
          <cell r="F1330" t="str">
            <v>格好いい</v>
          </cell>
          <cell r="G1330" t="str">
            <v>女性</v>
          </cell>
          <cell r="H1330" t="str">
            <v>green</v>
          </cell>
          <cell r="I1330">
            <v>4</v>
          </cell>
          <cell r="J1330" t="str">
            <v>PremiumSSS</v>
          </cell>
          <cell r="K1330" t="str">
            <v>technical</v>
          </cell>
          <cell r="L1330" t="str">
            <v>テクニカルタイプ</v>
          </cell>
          <cell r="M1330" t="str">
            <v>unknown</v>
          </cell>
        </row>
        <row r="1331">
          <cell r="A1331">
            <v>8016</v>
          </cell>
          <cell r="B1331" t="str">
            <v>ja</v>
          </cell>
          <cell r="C1331" t="str">
            <v>初音ミク・アペンド</v>
          </cell>
          <cell r="D1331" t="str">
            <v>初音ミク・アペンド</v>
          </cell>
          <cell r="E1331" t="str">
            <v>執行者</v>
          </cell>
          <cell r="F1331" t="str">
            <v>格好いい</v>
          </cell>
          <cell r="G1331" t="str">
            <v>女性</v>
          </cell>
          <cell r="H1331" t="str">
            <v>green</v>
          </cell>
          <cell r="I1331">
            <v>5</v>
          </cell>
          <cell r="J1331" t="str">
            <v>PremiumSSS</v>
          </cell>
          <cell r="K1331" t="str">
            <v>technical</v>
          </cell>
          <cell r="L1331" t="str">
            <v>テクニカルタイプ</v>
          </cell>
          <cell r="M1331" t="str">
            <v>unknown</v>
          </cell>
        </row>
        <row r="1332">
          <cell r="A1332">
            <v>8017</v>
          </cell>
          <cell r="B1332" t="str">
            <v>ja</v>
          </cell>
          <cell r="C1332" t="str">
            <v>初音ミク</v>
          </cell>
          <cell r="D1332" t="str">
            <v>初音ミク</v>
          </cell>
          <cell r="E1332" t="str">
            <v>執行者</v>
          </cell>
          <cell r="F1332" t="str">
            <v>格好いい</v>
          </cell>
          <cell r="G1332" t="str">
            <v>女性</v>
          </cell>
          <cell r="H1332" t="str">
            <v>green</v>
          </cell>
          <cell r="I1332">
            <v>4</v>
          </cell>
          <cell r="J1332" t="str">
            <v>PremiumSSS</v>
          </cell>
          <cell r="K1332" t="str">
            <v>balance</v>
          </cell>
          <cell r="L1332" t="str">
            <v>バランスタイプ</v>
          </cell>
          <cell r="M1332" t="str">
            <v>unknown</v>
          </cell>
        </row>
        <row r="1333">
          <cell r="A1333">
            <v>8018</v>
          </cell>
          <cell r="B1333" t="str">
            <v>ja</v>
          </cell>
          <cell r="C1333" t="str">
            <v>初音ミク</v>
          </cell>
          <cell r="D1333" t="str">
            <v>初音ミク</v>
          </cell>
          <cell r="E1333" t="str">
            <v>執行者</v>
          </cell>
          <cell r="F1333" t="str">
            <v>格好いい</v>
          </cell>
          <cell r="G1333" t="str">
            <v>女性</v>
          </cell>
          <cell r="H1333" t="str">
            <v>green</v>
          </cell>
          <cell r="I1333">
            <v>5</v>
          </cell>
          <cell r="J1333" t="str">
            <v>PremiumSSS</v>
          </cell>
          <cell r="K1333" t="str">
            <v>balance</v>
          </cell>
          <cell r="L1333" t="str">
            <v>バランスタイプ</v>
          </cell>
          <cell r="M1333" t="str">
            <v>unknown</v>
          </cell>
        </row>
        <row r="1334">
          <cell r="A1334">
            <v>8019</v>
          </cell>
          <cell r="B1334" t="str">
            <v>ja</v>
          </cell>
          <cell r="C1334" t="str">
            <v>鏡音リン</v>
          </cell>
          <cell r="D1334" t="str">
            <v>鏡音リン</v>
          </cell>
          <cell r="E1334" t="str">
            <v>執行者</v>
          </cell>
          <cell r="F1334" t="str">
            <v>格好いい</v>
          </cell>
          <cell r="G1334" t="str">
            <v>男性</v>
          </cell>
          <cell r="H1334" t="str">
            <v>yellow</v>
          </cell>
          <cell r="I1334">
            <v>4</v>
          </cell>
          <cell r="J1334" t="str">
            <v>PremiumSS</v>
          </cell>
          <cell r="K1334" t="str">
            <v>balance</v>
          </cell>
          <cell r="L1334" t="str">
            <v>バランスタイプ</v>
          </cell>
          <cell r="M1334" t="str">
            <v>unknown</v>
          </cell>
        </row>
        <row r="1335">
          <cell r="A1335">
            <v>8020</v>
          </cell>
          <cell r="B1335" t="str">
            <v>ja</v>
          </cell>
          <cell r="C1335" t="str">
            <v>鏡音リン</v>
          </cell>
          <cell r="D1335" t="str">
            <v>鏡音リン</v>
          </cell>
          <cell r="E1335" t="str">
            <v>執行者</v>
          </cell>
          <cell r="F1335" t="str">
            <v>格好いい</v>
          </cell>
          <cell r="G1335" t="str">
            <v>男性</v>
          </cell>
          <cell r="H1335" t="str">
            <v>yellow</v>
          </cell>
          <cell r="I1335">
            <v>5</v>
          </cell>
          <cell r="J1335" t="str">
            <v>PremiumSS</v>
          </cell>
          <cell r="K1335" t="str">
            <v>balance</v>
          </cell>
          <cell r="L1335" t="str">
            <v>バランスタイプ</v>
          </cell>
          <cell r="M1335" t="str">
            <v>unknown</v>
          </cell>
        </row>
        <row r="1336">
          <cell r="A1336">
            <v>8021</v>
          </cell>
          <cell r="B1336" t="str">
            <v>ja</v>
          </cell>
          <cell r="C1336" t="str">
            <v>鏡音レン</v>
          </cell>
          <cell r="D1336" t="str">
            <v>鏡音レン</v>
          </cell>
          <cell r="E1336" t="str">
            <v>執行者</v>
          </cell>
          <cell r="F1336" t="str">
            <v>格好いい</v>
          </cell>
          <cell r="G1336" t="str">
            <v>女性</v>
          </cell>
          <cell r="H1336" t="str">
            <v>yellow</v>
          </cell>
          <cell r="I1336">
            <v>4</v>
          </cell>
          <cell r="J1336" t="str">
            <v>PremiumSS</v>
          </cell>
          <cell r="K1336" t="str">
            <v>heal</v>
          </cell>
          <cell r="L1336" t="str">
            <v>回復タイプ</v>
          </cell>
          <cell r="M1336" t="str">
            <v>unknown</v>
          </cell>
        </row>
        <row r="1337">
          <cell r="A1337">
            <v>8022</v>
          </cell>
          <cell r="B1337" t="str">
            <v>ja</v>
          </cell>
          <cell r="C1337" t="str">
            <v>鏡音レン</v>
          </cell>
          <cell r="D1337" t="str">
            <v>鏡音レン</v>
          </cell>
          <cell r="E1337" t="str">
            <v>執行者</v>
          </cell>
          <cell r="F1337" t="str">
            <v>格好いい</v>
          </cell>
          <cell r="G1337" t="str">
            <v>女性</v>
          </cell>
          <cell r="H1337" t="str">
            <v>yellow</v>
          </cell>
          <cell r="I1337">
            <v>5</v>
          </cell>
          <cell r="J1337" t="str">
            <v>PremiumSS</v>
          </cell>
          <cell r="K1337" t="str">
            <v>heal</v>
          </cell>
          <cell r="L1337" t="str">
            <v>回復タイプ</v>
          </cell>
          <cell r="M1337" t="str">
            <v>unknown</v>
          </cell>
        </row>
        <row r="1338">
          <cell r="A1338">
            <v>8023</v>
          </cell>
          <cell r="B1338" t="str">
            <v>ja</v>
          </cell>
          <cell r="C1338" t="str">
            <v>巡音ルカ</v>
          </cell>
          <cell r="D1338" t="str">
            <v>巡音ルカ</v>
          </cell>
          <cell r="E1338" t="str">
            <v>執行者</v>
          </cell>
          <cell r="F1338" t="str">
            <v>格好いい</v>
          </cell>
          <cell r="G1338" t="str">
            <v>女性</v>
          </cell>
          <cell r="H1338" t="str">
            <v>red</v>
          </cell>
          <cell r="I1338">
            <v>3</v>
          </cell>
          <cell r="J1338" t="str">
            <v>PremiumS</v>
          </cell>
          <cell r="K1338" t="str">
            <v>attack</v>
          </cell>
          <cell r="L1338" t="str">
            <v>攻撃タイプ</v>
          </cell>
          <cell r="M1338" t="str">
            <v>unknown</v>
          </cell>
        </row>
        <row r="1339">
          <cell r="A1339">
            <v>8024</v>
          </cell>
          <cell r="B1339" t="str">
            <v>ja</v>
          </cell>
          <cell r="C1339" t="str">
            <v>巡音ルカ</v>
          </cell>
          <cell r="D1339" t="str">
            <v>巡音ルカ</v>
          </cell>
          <cell r="E1339" t="str">
            <v>執行者</v>
          </cell>
          <cell r="F1339" t="str">
            <v>格好いい</v>
          </cell>
          <cell r="G1339" t="str">
            <v>女性</v>
          </cell>
          <cell r="H1339" t="str">
            <v>red</v>
          </cell>
          <cell r="I1339">
            <v>4</v>
          </cell>
          <cell r="J1339" t="str">
            <v>PremiumS</v>
          </cell>
          <cell r="K1339" t="str">
            <v>attack</v>
          </cell>
          <cell r="L1339" t="str">
            <v>攻撃タイプ</v>
          </cell>
          <cell r="M1339" t="str">
            <v>unknown</v>
          </cell>
        </row>
        <row r="1340">
          <cell r="A1340">
            <v>8025</v>
          </cell>
          <cell r="B1340" t="str">
            <v>ja</v>
          </cell>
          <cell r="C1340" t="str">
            <v>MEIKO</v>
          </cell>
          <cell r="D1340" t="str">
            <v>MEIKO</v>
          </cell>
          <cell r="E1340" t="str">
            <v>執行者</v>
          </cell>
          <cell r="F1340" t="str">
            <v>格好いい</v>
          </cell>
          <cell r="G1340" t="str">
            <v>男性</v>
          </cell>
          <cell r="H1340" t="str">
            <v>red</v>
          </cell>
          <cell r="I1340">
            <v>3</v>
          </cell>
          <cell r="J1340" t="str">
            <v>PremiumS</v>
          </cell>
          <cell r="K1340" t="str">
            <v>hp</v>
          </cell>
          <cell r="L1340" t="str">
            <v>体力タイプ</v>
          </cell>
          <cell r="M1340" t="str">
            <v>unknown</v>
          </cell>
        </row>
        <row r="1341">
          <cell r="A1341">
            <v>8026</v>
          </cell>
          <cell r="B1341" t="str">
            <v>ja</v>
          </cell>
          <cell r="C1341" t="str">
            <v>MEIKO</v>
          </cell>
          <cell r="D1341" t="str">
            <v>MEIKO</v>
          </cell>
          <cell r="E1341" t="str">
            <v>執行者</v>
          </cell>
          <cell r="F1341" t="str">
            <v>格好いい</v>
          </cell>
          <cell r="G1341" t="str">
            <v>男性</v>
          </cell>
          <cell r="H1341" t="str">
            <v>red</v>
          </cell>
          <cell r="I1341">
            <v>4</v>
          </cell>
          <cell r="J1341" t="str">
            <v>PremiumS</v>
          </cell>
          <cell r="K1341" t="str">
            <v>hp</v>
          </cell>
          <cell r="L1341" t="str">
            <v>体力タイプ</v>
          </cell>
          <cell r="M1341" t="str">
            <v>unknown</v>
          </cell>
        </row>
        <row r="1342">
          <cell r="A1342">
            <v>8027</v>
          </cell>
          <cell r="B1342" t="str">
            <v>ja</v>
          </cell>
          <cell r="C1342" t="str">
            <v>KAITO</v>
          </cell>
          <cell r="D1342" t="str">
            <v>KAITO</v>
          </cell>
          <cell r="E1342" t="str">
            <v>執行者</v>
          </cell>
          <cell r="F1342" t="str">
            <v>格好いい</v>
          </cell>
          <cell r="G1342" t="str">
            <v>女性</v>
          </cell>
          <cell r="H1342" t="str">
            <v>blue</v>
          </cell>
          <cell r="I1342">
            <v>3</v>
          </cell>
          <cell r="J1342" t="str">
            <v>PremiumS</v>
          </cell>
          <cell r="K1342" t="str">
            <v>technical</v>
          </cell>
          <cell r="L1342" t="str">
            <v>テクニカルタイプ</v>
          </cell>
          <cell r="M1342" t="str">
            <v>unknown</v>
          </cell>
        </row>
        <row r="1343">
          <cell r="A1343">
            <v>8028</v>
          </cell>
          <cell r="B1343" t="str">
            <v>ja</v>
          </cell>
          <cell r="C1343" t="str">
            <v>KAITO</v>
          </cell>
          <cell r="D1343" t="str">
            <v>KAITO</v>
          </cell>
          <cell r="E1343" t="str">
            <v>執行者</v>
          </cell>
          <cell r="F1343" t="str">
            <v>格好いい</v>
          </cell>
          <cell r="G1343" t="str">
            <v>女性</v>
          </cell>
          <cell r="H1343" t="str">
            <v>blue</v>
          </cell>
          <cell r="I1343">
            <v>4</v>
          </cell>
          <cell r="J1343" t="str">
            <v>PremiumS</v>
          </cell>
          <cell r="K1343" t="str">
            <v>technical</v>
          </cell>
          <cell r="L1343" t="str">
            <v>テクニカルタイプ</v>
          </cell>
          <cell r="M1343" t="str">
            <v>unknown</v>
          </cell>
        </row>
        <row r="1344">
          <cell r="A1344">
            <v>8029</v>
          </cell>
          <cell r="B1344" t="str">
            <v>ja</v>
          </cell>
          <cell r="C1344" t="str">
            <v>Expoミク</v>
          </cell>
          <cell r="D1344" t="str">
            <v>Expoミク</v>
          </cell>
          <cell r="E1344" t="str">
            <v>執行者</v>
          </cell>
          <cell r="F1344" t="str">
            <v>格好いい</v>
          </cell>
          <cell r="G1344" t="str">
            <v>女性</v>
          </cell>
          <cell r="H1344" t="str">
            <v>blue</v>
          </cell>
          <cell r="I1344">
            <v>4</v>
          </cell>
          <cell r="J1344" t="str">
            <v>Drop2N</v>
          </cell>
          <cell r="K1344" t="str">
            <v>heal</v>
          </cell>
          <cell r="L1344" t="str">
            <v>回復タイプ</v>
          </cell>
          <cell r="M1344" t="str">
            <v>unknown</v>
          </cell>
        </row>
        <row r="1345">
          <cell r="A1345">
            <v>8030</v>
          </cell>
          <cell r="B1345" t="str">
            <v>ja</v>
          </cell>
          <cell r="C1345" t="str">
            <v>Expoミク</v>
          </cell>
          <cell r="D1345" t="str">
            <v>Expoミク</v>
          </cell>
          <cell r="E1345" t="str">
            <v>執行者</v>
          </cell>
          <cell r="F1345" t="str">
            <v>格好いい</v>
          </cell>
          <cell r="G1345" t="str">
            <v>女性</v>
          </cell>
          <cell r="H1345" t="str">
            <v>blue</v>
          </cell>
          <cell r="I1345">
            <v>4</v>
          </cell>
          <cell r="J1345" t="str">
            <v>Drop2N</v>
          </cell>
          <cell r="K1345" t="str">
            <v>heal</v>
          </cell>
          <cell r="L1345" t="str">
            <v>回復タイプ</v>
          </cell>
          <cell r="M1345" t="str">
            <v>unknown</v>
          </cell>
        </row>
        <row r="1346">
          <cell r="A1346">
            <v>8031</v>
          </cell>
          <cell r="B1346" t="str">
            <v>ja</v>
          </cell>
          <cell r="C1346" t="str">
            <v>閻羅王</v>
          </cell>
          <cell r="D1346" t="str">
            <v>Expoミク</v>
          </cell>
          <cell r="E1346" t="str">
            <v>執行者</v>
          </cell>
          <cell r="F1346" t="str">
            <v>格好いい</v>
          </cell>
          <cell r="G1346" t="str">
            <v>女性</v>
          </cell>
          <cell r="H1346" t="str">
            <v>red</v>
          </cell>
          <cell r="I1346">
            <v>5</v>
          </cell>
          <cell r="J1346" t="str">
            <v>PremiumSS</v>
          </cell>
          <cell r="K1346" t="str">
            <v>balance</v>
          </cell>
          <cell r="L1346" t="str">
            <v>バランスタイプ</v>
          </cell>
          <cell r="M1346" t="str">
            <v>god</v>
          </cell>
        </row>
        <row r="1347">
          <cell r="A1347">
            <v>8032</v>
          </cell>
          <cell r="B1347" t="str">
            <v>ja</v>
          </cell>
          <cell r="C1347" t="str">
            <v>十殿閻羅王</v>
          </cell>
          <cell r="D1347" t="str">
            <v>Expoミク</v>
          </cell>
          <cell r="E1347" t="str">
            <v>執行者</v>
          </cell>
          <cell r="F1347" t="str">
            <v>格好いい</v>
          </cell>
          <cell r="G1347" t="str">
            <v>女性</v>
          </cell>
          <cell r="H1347" t="str">
            <v>red</v>
          </cell>
          <cell r="I1347">
            <v>6</v>
          </cell>
          <cell r="J1347" t="str">
            <v>PremiumSS</v>
          </cell>
          <cell r="K1347" t="str">
            <v>balance</v>
          </cell>
          <cell r="L1347" t="str">
            <v>バランスタイプ</v>
          </cell>
          <cell r="M1347" t="str">
            <v>god</v>
          </cell>
        </row>
        <row r="1348">
          <cell r="A1348">
            <v>8033</v>
          </cell>
          <cell r="B1348" t="str">
            <v>ja</v>
          </cell>
          <cell r="C1348" t="str">
            <v>牛頭馬面</v>
          </cell>
          <cell r="D1348" t="str">
            <v>Expoミク</v>
          </cell>
          <cell r="E1348" t="str">
            <v>執行者</v>
          </cell>
          <cell r="F1348" t="str">
            <v>格好いい</v>
          </cell>
          <cell r="G1348" t="str">
            <v>女性</v>
          </cell>
          <cell r="H1348" t="str">
            <v>green</v>
          </cell>
          <cell r="I1348">
            <v>5</v>
          </cell>
          <cell r="J1348" t="str">
            <v>DropWizS</v>
          </cell>
          <cell r="K1348" t="str">
            <v>attack</v>
          </cell>
          <cell r="L1348" t="str">
            <v>攻撃タイプ</v>
          </cell>
          <cell r="M1348" t="str">
            <v>god</v>
          </cell>
        </row>
        <row r="1349">
          <cell r="A1349">
            <v>8034</v>
          </cell>
          <cell r="B1349" t="str">
            <v>ja</v>
          </cell>
          <cell r="C1349" t="str">
            <v>牛頭馬面</v>
          </cell>
          <cell r="D1349" t="str">
            <v>Expoミク</v>
          </cell>
          <cell r="E1349" t="str">
            <v>執行者</v>
          </cell>
          <cell r="F1349" t="str">
            <v>格好いい</v>
          </cell>
          <cell r="G1349" t="str">
            <v>女性</v>
          </cell>
          <cell r="H1349" t="str">
            <v>green</v>
          </cell>
          <cell r="I1349">
            <v>6</v>
          </cell>
          <cell r="J1349" t="str">
            <v>DropWizS</v>
          </cell>
          <cell r="K1349" t="str">
            <v>attack</v>
          </cell>
          <cell r="L1349" t="str">
            <v>攻撃タイプ</v>
          </cell>
          <cell r="M1349" t="str">
            <v>god</v>
          </cell>
        </row>
        <row r="1350">
          <cell r="A1350">
            <v>8035</v>
          </cell>
          <cell r="B1350" t="str">
            <v>ja</v>
          </cell>
          <cell r="C1350" t="str">
            <v>嫦娥</v>
          </cell>
          <cell r="D1350" t="str">
            <v>Expoミク</v>
          </cell>
          <cell r="E1350" t="str">
            <v>執行者</v>
          </cell>
          <cell r="F1350" t="str">
            <v>格好いい</v>
          </cell>
          <cell r="G1350" t="str">
            <v>女性</v>
          </cell>
          <cell r="H1350" t="str">
            <v>blue</v>
          </cell>
          <cell r="I1350">
            <v>4</v>
          </cell>
          <cell r="J1350" t="str">
            <v>Drop2N</v>
          </cell>
          <cell r="K1350" t="str">
            <v>heal</v>
          </cell>
          <cell r="L1350" t="str">
            <v>回復タイプ</v>
          </cell>
          <cell r="M1350" t="str">
            <v>unknown</v>
          </cell>
        </row>
        <row r="1351">
          <cell r="A1351">
            <v>8036</v>
          </cell>
          <cell r="B1351" t="str">
            <v>ja</v>
          </cell>
          <cell r="C1351" t="str">
            <v>嫦娥</v>
          </cell>
          <cell r="D1351" t="str">
            <v>Expoミク</v>
          </cell>
          <cell r="E1351" t="str">
            <v>執行者</v>
          </cell>
          <cell r="F1351" t="str">
            <v>格好いい</v>
          </cell>
          <cell r="G1351" t="str">
            <v>女性</v>
          </cell>
          <cell r="H1351" t="str">
            <v>blue</v>
          </cell>
          <cell r="I1351">
            <v>4</v>
          </cell>
          <cell r="J1351" t="str">
            <v>Drop2N</v>
          </cell>
          <cell r="K1351" t="str">
            <v>heal</v>
          </cell>
          <cell r="L1351" t="str">
            <v>回復タイプ</v>
          </cell>
          <cell r="M1351" t="str">
            <v>unknown</v>
          </cell>
        </row>
        <row r="1352">
          <cell r="A1352">
            <v>8037</v>
          </cell>
          <cell r="B1352" t="str">
            <v>ja</v>
          </cell>
          <cell r="C1352" t="str">
            <v>后羿</v>
          </cell>
          <cell r="D1352" t="str">
            <v>Expoミク</v>
          </cell>
          <cell r="E1352" t="str">
            <v>執行者</v>
          </cell>
          <cell r="F1352" t="str">
            <v>格好いい</v>
          </cell>
          <cell r="G1352" t="str">
            <v>女性</v>
          </cell>
          <cell r="H1352" t="str">
            <v>blue</v>
          </cell>
          <cell r="I1352">
            <v>4</v>
          </cell>
          <cell r="J1352" t="str">
            <v>Drop2N</v>
          </cell>
          <cell r="K1352" t="str">
            <v>heal</v>
          </cell>
          <cell r="L1352" t="str">
            <v>回復タイプ</v>
          </cell>
          <cell r="M1352" t="str">
            <v>unknown</v>
          </cell>
        </row>
        <row r="1353">
          <cell r="A1353">
            <v>8038</v>
          </cell>
          <cell r="B1353" t="str">
            <v>ja</v>
          </cell>
          <cell r="C1353" t="str">
            <v>后羿</v>
          </cell>
          <cell r="D1353" t="str">
            <v>Expoミク</v>
          </cell>
          <cell r="E1353" t="str">
            <v>執行者</v>
          </cell>
          <cell r="F1353" t="str">
            <v>格好いい</v>
          </cell>
          <cell r="G1353" t="str">
            <v>女性</v>
          </cell>
          <cell r="H1353" t="str">
            <v>blue</v>
          </cell>
          <cell r="I1353">
            <v>4</v>
          </cell>
          <cell r="J1353" t="str">
            <v>Drop2N</v>
          </cell>
          <cell r="K1353" t="str">
            <v>heal</v>
          </cell>
          <cell r="L1353" t="str">
            <v>回復タイプ</v>
          </cell>
          <cell r="M1353" t="str">
            <v>unknown</v>
          </cell>
        </row>
        <row r="1354">
          <cell r="A1354">
            <v>8039</v>
          </cell>
          <cell r="B1354" t="str">
            <v>ja</v>
          </cell>
          <cell r="C1354" t="str">
            <v>何仙姑</v>
          </cell>
          <cell r="D1354" t="str">
            <v>Expoミク</v>
          </cell>
          <cell r="E1354" t="str">
            <v>執行者</v>
          </cell>
          <cell r="F1354" t="str">
            <v>格好いい</v>
          </cell>
          <cell r="G1354" t="str">
            <v>女性</v>
          </cell>
          <cell r="H1354" t="str">
            <v>blue</v>
          </cell>
          <cell r="I1354">
            <v>4</v>
          </cell>
          <cell r="J1354" t="str">
            <v>Drop2N</v>
          </cell>
          <cell r="K1354" t="str">
            <v>heal</v>
          </cell>
          <cell r="L1354" t="str">
            <v>回復タイプ</v>
          </cell>
          <cell r="M1354" t="str">
            <v>unknown</v>
          </cell>
        </row>
        <row r="1355">
          <cell r="A1355">
            <v>8040</v>
          </cell>
          <cell r="B1355" t="str">
            <v>ja</v>
          </cell>
          <cell r="C1355" t="str">
            <v>何仙姑</v>
          </cell>
          <cell r="D1355" t="str">
            <v>Expoミク</v>
          </cell>
          <cell r="E1355" t="str">
            <v>執行者</v>
          </cell>
          <cell r="F1355" t="str">
            <v>格好いい</v>
          </cell>
          <cell r="G1355" t="str">
            <v>女性</v>
          </cell>
          <cell r="H1355" t="str">
            <v>blue</v>
          </cell>
          <cell r="I1355">
            <v>4</v>
          </cell>
          <cell r="J1355" t="str">
            <v>Drop2N</v>
          </cell>
          <cell r="K1355" t="str">
            <v>heal</v>
          </cell>
          <cell r="L1355" t="str">
            <v>回復タイプ</v>
          </cell>
          <cell r="M1355" t="str">
            <v>unknown</v>
          </cell>
        </row>
        <row r="1356">
          <cell r="A1356">
            <v>8041</v>
          </cell>
          <cell r="B1356" t="str">
            <v>ja</v>
          </cell>
          <cell r="C1356" t="str">
            <v>藍采和</v>
          </cell>
          <cell r="D1356" t="str">
            <v>Expoミク</v>
          </cell>
          <cell r="E1356" t="str">
            <v>執行者</v>
          </cell>
          <cell r="F1356" t="str">
            <v>格好いい</v>
          </cell>
          <cell r="G1356" t="str">
            <v>女性</v>
          </cell>
          <cell r="H1356" t="str">
            <v>blue</v>
          </cell>
          <cell r="I1356">
            <v>4</v>
          </cell>
          <cell r="J1356" t="str">
            <v>Drop2N</v>
          </cell>
          <cell r="K1356" t="str">
            <v>heal</v>
          </cell>
          <cell r="L1356" t="str">
            <v>回復タイプ</v>
          </cell>
          <cell r="M1356" t="str">
            <v>unknown</v>
          </cell>
        </row>
        <row r="1357">
          <cell r="A1357">
            <v>8042</v>
          </cell>
          <cell r="B1357" t="str">
            <v>ja</v>
          </cell>
          <cell r="C1357" t="str">
            <v>藍采和</v>
          </cell>
          <cell r="D1357" t="str">
            <v>Expoミク</v>
          </cell>
          <cell r="E1357" t="str">
            <v>執行者</v>
          </cell>
          <cell r="F1357" t="str">
            <v>格好いい</v>
          </cell>
          <cell r="G1357" t="str">
            <v>女性</v>
          </cell>
          <cell r="H1357" t="str">
            <v>blue</v>
          </cell>
          <cell r="I1357">
            <v>4</v>
          </cell>
          <cell r="J1357" t="str">
            <v>Drop2N</v>
          </cell>
          <cell r="K1357" t="str">
            <v>heal</v>
          </cell>
          <cell r="L1357" t="str">
            <v>回復タイプ</v>
          </cell>
          <cell r="M1357" t="str">
            <v>unknown</v>
          </cell>
        </row>
        <row r="1358">
          <cell r="A1358">
            <v>8043</v>
          </cell>
          <cell r="B1358" t="str">
            <v>ja</v>
          </cell>
          <cell r="C1358" t="str">
            <v>サンリオキャラ大集合+アザゼル</v>
          </cell>
          <cell r="D1358" t="str">
            <v>サンリオキャラ大集合+アザゼル</v>
          </cell>
          <cell r="E1358" t="str">
            <v>執行者</v>
          </cell>
          <cell r="F1358" t="str">
            <v>格好いい</v>
          </cell>
          <cell r="G1358" t="str">
            <v>女性</v>
          </cell>
          <cell r="H1358" t="str">
            <v>green</v>
          </cell>
          <cell r="I1358">
            <v>5</v>
          </cell>
          <cell r="J1358" t="str">
            <v>DropWizS</v>
          </cell>
          <cell r="K1358" t="str">
            <v>technical</v>
          </cell>
          <cell r="L1358" t="str">
            <v>テクニカルタイプ</v>
          </cell>
          <cell r="M1358" t="str">
            <v>ss</v>
          </cell>
        </row>
        <row r="1359">
          <cell r="A1359">
            <v>8044</v>
          </cell>
          <cell r="B1359" t="str">
            <v>ja</v>
          </cell>
          <cell r="C1359" t="str">
            <v>サンリオキャラ大集合+アザゼル</v>
          </cell>
          <cell r="D1359" t="str">
            <v>サンリオキャラ大集合+アザゼル</v>
          </cell>
          <cell r="E1359" t="str">
            <v>執行者</v>
          </cell>
          <cell r="F1359" t="str">
            <v>格好いい</v>
          </cell>
          <cell r="G1359" t="str">
            <v>女性</v>
          </cell>
          <cell r="H1359" t="str">
            <v>green</v>
          </cell>
          <cell r="I1359">
            <v>6</v>
          </cell>
          <cell r="J1359" t="str">
            <v>DropWizS</v>
          </cell>
          <cell r="K1359" t="str">
            <v>technical</v>
          </cell>
          <cell r="L1359" t="str">
            <v>テクニカルタイプ</v>
          </cell>
          <cell r="M1359" t="str">
            <v>ss</v>
          </cell>
        </row>
        <row r="1360">
          <cell r="A1360">
            <v>8045</v>
          </cell>
          <cell r="B1360" t="str">
            <v>ja</v>
          </cell>
          <cell r="C1360" t="str">
            <v>ニムダ_サンリオキャラ混じり</v>
          </cell>
          <cell r="D1360" t="str">
            <v>ニムダ_サンリオキャラ混じり</v>
          </cell>
          <cell r="E1360" t="str">
            <v>執行者</v>
          </cell>
          <cell r="F1360" t="str">
            <v>格好いい</v>
          </cell>
          <cell r="G1360" t="str">
            <v>女性</v>
          </cell>
          <cell r="H1360" t="str">
            <v>yellow</v>
          </cell>
          <cell r="I1360">
            <v>4</v>
          </cell>
          <cell r="J1360" t="str">
            <v>Drop2N</v>
          </cell>
          <cell r="K1360" t="str">
            <v>technical</v>
          </cell>
          <cell r="L1360" t="str">
            <v>テクニカルタイプ</v>
          </cell>
          <cell r="M1360" t="str">
            <v>ss</v>
          </cell>
        </row>
        <row r="1361">
          <cell r="A1361">
            <v>8046</v>
          </cell>
          <cell r="B1361" t="str">
            <v>ja</v>
          </cell>
          <cell r="C1361" t="str">
            <v>ニムダ_サンリオキャラ混じり</v>
          </cell>
          <cell r="D1361" t="str">
            <v>ニムダ_サンリオキャラ混じり</v>
          </cell>
          <cell r="E1361" t="str">
            <v>執行者</v>
          </cell>
          <cell r="F1361" t="str">
            <v>格好いい</v>
          </cell>
          <cell r="G1361" t="str">
            <v>女性</v>
          </cell>
          <cell r="H1361" t="str">
            <v>yellow</v>
          </cell>
          <cell r="I1361">
            <v>5</v>
          </cell>
          <cell r="J1361" t="str">
            <v>Drop2N</v>
          </cell>
          <cell r="K1361" t="str">
            <v>technical</v>
          </cell>
          <cell r="L1361" t="str">
            <v>テクニカルタイプ</v>
          </cell>
          <cell r="M1361" t="str">
            <v>ss</v>
          </cell>
        </row>
        <row r="1362">
          <cell r="A1362">
            <v>8047</v>
          </cell>
          <cell r="B1362" t="str">
            <v>ja</v>
          </cell>
          <cell r="C1362" t="str">
            <v>ハローキティ</v>
          </cell>
          <cell r="D1362" t="str">
            <v>ハローキティ</v>
          </cell>
          <cell r="E1362" t="str">
            <v>執行者</v>
          </cell>
          <cell r="F1362" t="str">
            <v>格好いい</v>
          </cell>
          <cell r="G1362" t="str">
            <v>女性</v>
          </cell>
          <cell r="H1362" t="str">
            <v>red</v>
          </cell>
          <cell r="I1362">
            <v>4</v>
          </cell>
          <cell r="J1362" t="str">
            <v>Drop2N</v>
          </cell>
          <cell r="K1362" t="str">
            <v>balance</v>
          </cell>
          <cell r="L1362" t="str">
            <v>バランスタイプ</v>
          </cell>
          <cell r="M1362" t="str">
            <v>ss</v>
          </cell>
        </row>
        <row r="1363">
          <cell r="A1363">
            <v>8048</v>
          </cell>
          <cell r="B1363" t="str">
            <v>ja</v>
          </cell>
          <cell r="C1363" t="str">
            <v>ハローキティ</v>
          </cell>
          <cell r="D1363" t="str">
            <v>ハローキティ</v>
          </cell>
          <cell r="E1363" t="str">
            <v>執行者</v>
          </cell>
          <cell r="F1363" t="str">
            <v>格好いい</v>
          </cell>
          <cell r="G1363" t="str">
            <v>女性</v>
          </cell>
          <cell r="H1363" t="str">
            <v>red</v>
          </cell>
          <cell r="I1363">
            <v>5</v>
          </cell>
          <cell r="J1363" t="str">
            <v>Drop2N</v>
          </cell>
          <cell r="K1363" t="str">
            <v>balance</v>
          </cell>
          <cell r="L1363" t="str">
            <v>バランスタイプ</v>
          </cell>
          <cell r="M1363" t="str">
            <v>ss</v>
          </cell>
        </row>
        <row r="1364">
          <cell r="A1364">
            <v>8049</v>
          </cell>
          <cell r="B1364" t="str">
            <v>ja</v>
          </cell>
          <cell r="C1364" t="str">
            <v>KIRIMIちゃん</v>
          </cell>
          <cell r="D1364" t="str">
            <v>KIRIMIちゃん</v>
          </cell>
          <cell r="E1364" t="str">
            <v>執行者</v>
          </cell>
          <cell r="F1364" t="str">
            <v>格好いい</v>
          </cell>
          <cell r="G1364" t="str">
            <v>女性</v>
          </cell>
          <cell r="H1364" t="str">
            <v>red</v>
          </cell>
          <cell r="I1364">
            <v>4</v>
          </cell>
          <cell r="J1364" t="str">
            <v>Drop2N</v>
          </cell>
          <cell r="K1364" t="str">
            <v>hp</v>
          </cell>
          <cell r="L1364" t="str">
            <v>体力タイプ</v>
          </cell>
          <cell r="M1364" t="str">
            <v>ss</v>
          </cell>
        </row>
        <row r="1365">
          <cell r="A1365">
            <v>8050</v>
          </cell>
          <cell r="B1365" t="str">
            <v>ja</v>
          </cell>
          <cell r="C1365" t="str">
            <v>KIRIMIちゃん</v>
          </cell>
          <cell r="D1365" t="str">
            <v>KIRIMIちゃん</v>
          </cell>
          <cell r="E1365" t="str">
            <v>執行者</v>
          </cell>
          <cell r="F1365" t="str">
            <v>格好いい</v>
          </cell>
          <cell r="G1365" t="str">
            <v>女性</v>
          </cell>
          <cell r="H1365" t="str">
            <v>red</v>
          </cell>
          <cell r="I1365">
            <v>5</v>
          </cell>
          <cell r="J1365" t="str">
            <v>Drop2N</v>
          </cell>
          <cell r="K1365" t="str">
            <v>hp</v>
          </cell>
          <cell r="L1365" t="str">
            <v>体力タイプ</v>
          </cell>
          <cell r="M1365" t="str">
            <v>ss</v>
          </cell>
        </row>
        <row r="1366">
          <cell r="A1366">
            <v>8051</v>
          </cell>
          <cell r="B1366" t="str">
            <v>ja</v>
          </cell>
          <cell r="C1366" t="str">
            <v>ハローキティのリボン</v>
          </cell>
          <cell r="D1366" t="str">
            <v>ハローキティのリボン</v>
          </cell>
          <cell r="E1366" t="str">
            <v>執行者</v>
          </cell>
          <cell r="F1366" t="str">
            <v>格好いい</v>
          </cell>
          <cell r="G1366" t="str">
            <v>女性</v>
          </cell>
          <cell r="H1366" t="str">
            <v>red</v>
          </cell>
          <cell r="I1366">
            <v>5</v>
          </cell>
          <cell r="J1366" t="str">
            <v>Drop2N</v>
          </cell>
          <cell r="K1366" t="str">
            <v>evolution</v>
          </cell>
          <cell r="L1366" t="str">
            <v>覚醒素材タイプ</v>
          </cell>
          <cell r="M1366" t="str">
            <v>ss</v>
          </cell>
        </row>
        <row r="1367">
          <cell r="A1367">
            <v>8052</v>
          </cell>
          <cell r="B1367" t="str">
            <v>ja</v>
          </cell>
          <cell r="C1367" t="str">
            <v>ママの作ったアップルパイ</v>
          </cell>
          <cell r="D1367" t="str">
            <v>ママの作ったアップルパイ</v>
          </cell>
          <cell r="E1367" t="str">
            <v>執行者</v>
          </cell>
          <cell r="F1367" t="str">
            <v>格好いい</v>
          </cell>
          <cell r="G1367" t="str">
            <v>女性</v>
          </cell>
          <cell r="H1367" t="str">
            <v>red</v>
          </cell>
          <cell r="I1367">
            <v>4</v>
          </cell>
          <cell r="J1367" t="str">
            <v>Drop2N</v>
          </cell>
          <cell r="K1367" t="str">
            <v>evolution</v>
          </cell>
          <cell r="L1367" t="str">
            <v>覚醒素材タイプ</v>
          </cell>
          <cell r="M1367" t="str">
            <v>ss</v>
          </cell>
        </row>
        <row r="1368">
          <cell r="A1368">
            <v>8053</v>
          </cell>
          <cell r="B1368" t="str">
            <v>ja</v>
          </cell>
          <cell r="C1368" t="str">
            <v>D.R.T.H__キティコスプレ</v>
          </cell>
          <cell r="D1368" t="str">
            <v>D.R.T.H__キティコスプレ</v>
          </cell>
          <cell r="E1368" t="str">
            <v>執行者</v>
          </cell>
          <cell r="F1368" t="str">
            <v>格好いい</v>
          </cell>
          <cell r="G1368" t="str">
            <v>女性</v>
          </cell>
          <cell r="H1368" t="str">
            <v>red</v>
          </cell>
          <cell r="I1368">
            <v>5</v>
          </cell>
          <cell r="J1368" t="str">
            <v>PremiumSS</v>
          </cell>
          <cell r="K1368" t="str">
            <v>balance</v>
          </cell>
          <cell r="L1368" t="str">
            <v>バランスタイプ</v>
          </cell>
          <cell r="M1368" t="str">
            <v>ss</v>
          </cell>
        </row>
        <row r="1369">
          <cell r="A1369">
            <v>8054</v>
          </cell>
          <cell r="B1369" t="str">
            <v>ja</v>
          </cell>
          <cell r="C1369" t="str">
            <v>D.R.T.H__キティコスプレ</v>
          </cell>
          <cell r="D1369" t="str">
            <v>D.R.T.H__キティコスプレ</v>
          </cell>
          <cell r="E1369" t="str">
            <v>執行者</v>
          </cell>
          <cell r="F1369" t="str">
            <v>格好いい</v>
          </cell>
          <cell r="G1369" t="str">
            <v>女性</v>
          </cell>
          <cell r="H1369" t="str">
            <v>red</v>
          </cell>
          <cell r="I1369">
            <v>6</v>
          </cell>
          <cell r="J1369" t="str">
            <v>PremiumSS</v>
          </cell>
          <cell r="K1369" t="str">
            <v>balance</v>
          </cell>
          <cell r="L1369" t="str">
            <v>バランスタイプ</v>
          </cell>
          <cell r="M1369" t="str">
            <v>ss</v>
          </cell>
        </row>
        <row r="1370">
          <cell r="A1370">
            <v>8055</v>
          </cell>
          <cell r="B1370" t="str">
            <v>ja</v>
          </cell>
          <cell r="C1370" t="str">
            <v>マイメロディ</v>
          </cell>
          <cell r="D1370" t="str">
            <v>マイメロディ</v>
          </cell>
          <cell r="E1370" t="str">
            <v>執行者</v>
          </cell>
          <cell r="F1370" t="str">
            <v>格好いい</v>
          </cell>
          <cell r="G1370" t="str">
            <v>女性</v>
          </cell>
          <cell r="H1370" t="str">
            <v>red</v>
          </cell>
          <cell r="I1370">
            <v>4</v>
          </cell>
          <cell r="J1370" t="str">
            <v>PremiumS</v>
          </cell>
          <cell r="K1370" t="str">
            <v>attack</v>
          </cell>
          <cell r="L1370" t="str">
            <v>攻撃タイプ</v>
          </cell>
          <cell r="M1370" t="str">
            <v>ss</v>
          </cell>
        </row>
        <row r="1371">
          <cell r="A1371">
            <v>8056</v>
          </cell>
          <cell r="B1371" t="str">
            <v>ja</v>
          </cell>
          <cell r="C1371" t="str">
            <v>マイメロディ</v>
          </cell>
          <cell r="D1371" t="str">
            <v>マイメロディ</v>
          </cell>
          <cell r="E1371" t="str">
            <v>執行者</v>
          </cell>
          <cell r="F1371" t="str">
            <v>格好いい</v>
          </cell>
          <cell r="G1371" t="str">
            <v>女性</v>
          </cell>
          <cell r="H1371" t="str">
            <v>red</v>
          </cell>
          <cell r="I1371">
            <v>5</v>
          </cell>
          <cell r="J1371" t="str">
            <v>PremiumS</v>
          </cell>
          <cell r="K1371" t="str">
            <v>attack</v>
          </cell>
          <cell r="L1371" t="str">
            <v>攻撃タイプ</v>
          </cell>
          <cell r="M1371" t="str">
            <v>ss</v>
          </cell>
        </row>
        <row r="1372">
          <cell r="A1372">
            <v>8057</v>
          </cell>
          <cell r="B1372" t="str">
            <v>ja</v>
          </cell>
          <cell r="C1372" t="str">
            <v>ニーベルゲン_シナモロールコスプレ</v>
          </cell>
          <cell r="D1372" t="str">
            <v>ニーベルゲン_シナモロールコスプレ</v>
          </cell>
          <cell r="E1372" t="str">
            <v>執行者</v>
          </cell>
          <cell r="F1372" t="str">
            <v>格好いい</v>
          </cell>
          <cell r="G1372" t="str">
            <v>女性</v>
          </cell>
          <cell r="H1372" t="str">
            <v>green</v>
          </cell>
          <cell r="I1372">
            <v>4</v>
          </cell>
          <cell r="J1372" t="str">
            <v>PremiumS</v>
          </cell>
          <cell r="K1372" t="str">
            <v>balance</v>
          </cell>
          <cell r="L1372" t="str">
            <v>バランスタイプ</v>
          </cell>
          <cell r="M1372" t="str">
            <v>ss</v>
          </cell>
        </row>
        <row r="1373">
          <cell r="A1373">
            <v>8058</v>
          </cell>
          <cell r="B1373" t="str">
            <v>ja</v>
          </cell>
          <cell r="C1373" t="str">
            <v>ニーベルゲン_シナモロールコスプレ</v>
          </cell>
          <cell r="D1373" t="str">
            <v>ニーベルゲン_シナモロールコスプレ</v>
          </cell>
          <cell r="E1373" t="str">
            <v>執行者</v>
          </cell>
          <cell r="F1373" t="str">
            <v>格好いい</v>
          </cell>
          <cell r="G1373" t="str">
            <v>女性</v>
          </cell>
          <cell r="H1373" t="str">
            <v>green</v>
          </cell>
          <cell r="I1373">
            <v>5</v>
          </cell>
          <cell r="J1373" t="str">
            <v>PremiumS</v>
          </cell>
          <cell r="K1373" t="str">
            <v>balance</v>
          </cell>
          <cell r="L1373" t="str">
            <v>バランスタイプ</v>
          </cell>
          <cell r="M1373" t="str">
            <v>ss</v>
          </cell>
        </row>
        <row r="1374">
          <cell r="A1374">
            <v>8059</v>
          </cell>
          <cell r="B1374" t="str">
            <v>ja</v>
          </cell>
          <cell r="C1374" t="str">
            <v>カカシ_マイメロディコスプレ</v>
          </cell>
          <cell r="D1374" t="str">
            <v>カカシ_マイメロディコスプレ</v>
          </cell>
          <cell r="E1374" t="str">
            <v>執行者</v>
          </cell>
          <cell r="F1374" t="str">
            <v>格好いい</v>
          </cell>
          <cell r="G1374" t="str">
            <v>女性</v>
          </cell>
          <cell r="H1374" t="str">
            <v>green</v>
          </cell>
          <cell r="I1374">
            <v>4</v>
          </cell>
          <cell r="J1374" t="str">
            <v>PremiumS</v>
          </cell>
          <cell r="K1374" t="str">
            <v>technical</v>
          </cell>
          <cell r="L1374" t="str">
            <v>テクニカルタイプ</v>
          </cell>
          <cell r="M1374" t="str">
            <v>ss</v>
          </cell>
        </row>
        <row r="1375">
          <cell r="A1375">
            <v>8060</v>
          </cell>
          <cell r="B1375" t="str">
            <v>ja</v>
          </cell>
          <cell r="C1375" t="str">
            <v>カカシ_マイメロディコスプレ</v>
          </cell>
          <cell r="D1375" t="str">
            <v>カカシ_マイメロディコスプレ</v>
          </cell>
          <cell r="E1375" t="str">
            <v>執行者</v>
          </cell>
          <cell r="F1375" t="str">
            <v>格好いい</v>
          </cell>
          <cell r="G1375" t="str">
            <v>女性</v>
          </cell>
          <cell r="H1375" t="str">
            <v>green</v>
          </cell>
          <cell r="I1375">
            <v>5</v>
          </cell>
          <cell r="J1375" t="str">
            <v>PremiumS</v>
          </cell>
          <cell r="K1375" t="str">
            <v>technical</v>
          </cell>
          <cell r="L1375" t="str">
            <v>テクニカルタイプ</v>
          </cell>
          <cell r="M1375" t="str">
            <v>ss</v>
          </cell>
        </row>
        <row r="1376">
          <cell r="A1376">
            <v>8061</v>
          </cell>
          <cell r="B1376" t="str">
            <v>ja</v>
          </cell>
          <cell r="C1376" t="str">
            <v>ケロケロけろっぴ</v>
          </cell>
          <cell r="D1376" t="str">
            <v>ケロケロけろっぴ</v>
          </cell>
          <cell r="E1376" t="str">
            <v>執行者</v>
          </cell>
          <cell r="F1376" t="str">
            <v>格好いい</v>
          </cell>
          <cell r="G1376" t="str">
            <v>女性</v>
          </cell>
          <cell r="H1376" t="str">
            <v>green</v>
          </cell>
          <cell r="I1376">
            <v>3</v>
          </cell>
          <cell r="J1376" t="str">
            <v>PremiumS</v>
          </cell>
          <cell r="K1376" t="str">
            <v>balance</v>
          </cell>
          <cell r="L1376" t="str">
            <v>バランスタイプ</v>
          </cell>
          <cell r="M1376" t="str">
            <v>ss</v>
          </cell>
        </row>
        <row r="1377">
          <cell r="A1377">
            <v>8062</v>
          </cell>
          <cell r="B1377" t="str">
            <v>ja</v>
          </cell>
          <cell r="C1377" t="str">
            <v>ケロケロけろっぴ</v>
          </cell>
          <cell r="D1377" t="str">
            <v>ケロケロけろっぴ</v>
          </cell>
          <cell r="E1377" t="str">
            <v>執行者</v>
          </cell>
          <cell r="F1377" t="str">
            <v>格好いい</v>
          </cell>
          <cell r="G1377" t="str">
            <v>女性</v>
          </cell>
          <cell r="H1377" t="str">
            <v>green</v>
          </cell>
          <cell r="I1377">
            <v>4</v>
          </cell>
          <cell r="J1377" t="str">
            <v>PremiumS</v>
          </cell>
          <cell r="K1377" t="str">
            <v>balance</v>
          </cell>
          <cell r="L1377" t="str">
            <v>バランスタイプ</v>
          </cell>
          <cell r="M1377" t="str">
            <v>ss</v>
          </cell>
        </row>
        <row r="1378">
          <cell r="A1378">
            <v>8063</v>
          </cell>
          <cell r="B1378" t="str">
            <v>ja</v>
          </cell>
          <cell r="C1378" t="str">
            <v>モルドレッド_ポムポムプリンコスプレ</v>
          </cell>
          <cell r="D1378" t="str">
            <v>モルドレッド_ポムポムプリンコスプレ</v>
          </cell>
          <cell r="E1378" t="str">
            <v>執行者</v>
          </cell>
          <cell r="F1378" t="str">
            <v>格好いい</v>
          </cell>
          <cell r="G1378" t="str">
            <v>女性</v>
          </cell>
          <cell r="H1378" t="str">
            <v>blue</v>
          </cell>
          <cell r="I1378">
            <v>5</v>
          </cell>
          <cell r="J1378" t="str">
            <v>PremiumSS</v>
          </cell>
          <cell r="K1378" t="str">
            <v>heal</v>
          </cell>
          <cell r="L1378" t="str">
            <v>回復タイプ</v>
          </cell>
          <cell r="M1378" t="str">
            <v>ss</v>
          </cell>
        </row>
        <row r="1379">
          <cell r="A1379">
            <v>8064</v>
          </cell>
          <cell r="B1379" t="str">
            <v>ja</v>
          </cell>
          <cell r="C1379" t="str">
            <v>モルドレッド_ポムポムプリンコスプレ</v>
          </cell>
          <cell r="D1379" t="str">
            <v>モルドレッド_ポムポムプリンコスプレ</v>
          </cell>
          <cell r="E1379" t="str">
            <v>執行者</v>
          </cell>
          <cell r="F1379" t="str">
            <v>格好いい</v>
          </cell>
          <cell r="G1379" t="str">
            <v>女性</v>
          </cell>
          <cell r="H1379" t="str">
            <v>blue</v>
          </cell>
          <cell r="I1379">
            <v>6</v>
          </cell>
          <cell r="J1379" t="str">
            <v>PremiumSS</v>
          </cell>
          <cell r="K1379" t="str">
            <v>heal</v>
          </cell>
          <cell r="L1379" t="str">
            <v>回復タイプ</v>
          </cell>
          <cell r="M1379" t="str">
            <v>ss</v>
          </cell>
        </row>
        <row r="1380">
          <cell r="A1380">
            <v>8065</v>
          </cell>
          <cell r="B1380" t="str">
            <v>ja</v>
          </cell>
          <cell r="C1380" t="str">
            <v>クロミ</v>
          </cell>
          <cell r="D1380" t="str">
            <v>クロミ</v>
          </cell>
          <cell r="E1380" t="str">
            <v>執行者</v>
          </cell>
          <cell r="F1380" t="str">
            <v>格好いい</v>
          </cell>
          <cell r="G1380" t="str">
            <v>女性</v>
          </cell>
          <cell r="H1380" t="str">
            <v>blue</v>
          </cell>
          <cell r="I1380">
            <v>3</v>
          </cell>
          <cell r="J1380" t="str">
            <v>PremiumS</v>
          </cell>
          <cell r="K1380" t="str">
            <v>technical</v>
          </cell>
          <cell r="L1380" t="str">
            <v>テクニカルタイプ</v>
          </cell>
          <cell r="M1380" t="str">
            <v>ss</v>
          </cell>
        </row>
        <row r="1381">
          <cell r="A1381">
            <v>8066</v>
          </cell>
          <cell r="B1381" t="str">
            <v>ja</v>
          </cell>
          <cell r="C1381" t="str">
            <v>クロミ</v>
          </cell>
          <cell r="D1381" t="str">
            <v>クロミ</v>
          </cell>
          <cell r="E1381" t="str">
            <v>執行者</v>
          </cell>
          <cell r="F1381" t="str">
            <v>格好いい</v>
          </cell>
          <cell r="G1381" t="str">
            <v>女性</v>
          </cell>
          <cell r="H1381" t="str">
            <v>blue</v>
          </cell>
          <cell r="I1381">
            <v>4</v>
          </cell>
          <cell r="J1381" t="str">
            <v>PremiumS</v>
          </cell>
          <cell r="K1381" t="str">
            <v>technical</v>
          </cell>
          <cell r="L1381" t="str">
            <v>テクニカルタイプ</v>
          </cell>
          <cell r="M1381" t="str">
            <v>ss</v>
          </cell>
        </row>
        <row r="1382">
          <cell r="A1382">
            <v>8067</v>
          </cell>
          <cell r="B1382" t="str">
            <v>ja</v>
          </cell>
          <cell r="C1382" t="str">
            <v>バッドばつ丸</v>
          </cell>
          <cell r="D1382" t="str">
            <v>バッドばつ丸</v>
          </cell>
          <cell r="E1382" t="str">
            <v>執行者</v>
          </cell>
          <cell r="F1382" t="str">
            <v>格好いい</v>
          </cell>
          <cell r="G1382" t="str">
            <v>女性</v>
          </cell>
          <cell r="H1382" t="str">
            <v>blue</v>
          </cell>
          <cell r="I1382">
            <v>3</v>
          </cell>
          <cell r="J1382" t="str">
            <v>PremiumS</v>
          </cell>
          <cell r="K1382" t="str">
            <v>attack</v>
          </cell>
          <cell r="L1382" t="str">
            <v>攻撃タイプ</v>
          </cell>
          <cell r="M1382" t="str">
            <v>ss</v>
          </cell>
        </row>
        <row r="1383">
          <cell r="A1383">
            <v>8068</v>
          </cell>
          <cell r="B1383" t="str">
            <v>ja</v>
          </cell>
          <cell r="C1383" t="str">
            <v>バッドばつ丸</v>
          </cell>
          <cell r="D1383" t="str">
            <v>バッドばつ丸</v>
          </cell>
          <cell r="E1383" t="str">
            <v>執行者</v>
          </cell>
          <cell r="F1383" t="str">
            <v>格好いい</v>
          </cell>
          <cell r="G1383" t="str">
            <v>女性</v>
          </cell>
          <cell r="H1383" t="str">
            <v>blue</v>
          </cell>
          <cell r="I1383">
            <v>4</v>
          </cell>
          <cell r="J1383" t="str">
            <v>PremiumS</v>
          </cell>
          <cell r="K1383" t="str">
            <v>attack</v>
          </cell>
          <cell r="L1383" t="str">
            <v>攻撃タイプ</v>
          </cell>
          <cell r="M1383" t="str">
            <v>ss</v>
          </cell>
        </row>
        <row r="1384">
          <cell r="A1384">
            <v>8069</v>
          </cell>
          <cell r="B1384" t="str">
            <v>ja</v>
          </cell>
          <cell r="C1384" t="str">
            <v>シナモロール</v>
          </cell>
          <cell r="D1384" t="str">
            <v>シナモロール</v>
          </cell>
          <cell r="E1384" t="str">
            <v>執行者</v>
          </cell>
          <cell r="F1384" t="str">
            <v>格好いい</v>
          </cell>
          <cell r="G1384" t="str">
            <v>女性</v>
          </cell>
          <cell r="H1384" t="str">
            <v>yellow</v>
          </cell>
          <cell r="I1384">
            <v>4</v>
          </cell>
          <cell r="J1384" t="str">
            <v>PremiumS</v>
          </cell>
          <cell r="K1384" t="str">
            <v>heal</v>
          </cell>
          <cell r="L1384" t="str">
            <v>回復タイプ</v>
          </cell>
          <cell r="M1384" t="str">
            <v>ss</v>
          </cell>
        </row>
        <row r="1385">
          <cell r="A1385">
            <v>8070</v>
          </cell>
          <cell r="B1385" t="str">
            <v>ja</v>
          </cell>
          <cell r="C1385" t="str">
            <v>シナモロール</v>
          </cell>
          <cell r="D1385" t="str">
            <v>シナモロール</v>
          </cell>
          <cell r="E1385" t="str">
            <v>執行者</v>
          </cell>
          <cell r="F1385" t="str">
            <v>格好いい</v>
          </cell>
          <cell r="G1385" t="str">
            <v>女性</v>
          </cell>
          <cell r="H1385" t="str">
            <v>yellow</v>
          </cell>
          <cell r="I1385">
            <v>5</v>
          </cell>
          <cell r="J1385" t="str">
            <v>PremiumS</v>
          </cell>
          <cell r="K1385" t="str">
            <v>heal</v>
          </cell>
          <cell r="L1385" t="str">
            <v>回復タイプ</v>
          </cell>
          <cell r="M1385" t="str">
            <v>ss</v>
          </cell>
        </row>
        <row r="1386">
          <cell r="A1386">
            <v>8071</v>
          </cell>
          <cell r="B1386" t="str">
            <v>ja</v>
          </cell>
          <cell r="C1386" t="str">
            <v>ポムポムプリン</v>
          </cell>
          <cell r="D1386" t="str">
            <v>ポムポムプリン</v>
          </cell>
          <cell r="E1386" t="str">
            <v>執行者</v>
          </cell>
          <cell r="F1386" t="str">
            <v>格好いい</v>
          </cell>
          <cell r="G1386" t="str">
            <v>女性</v>
          </cell>
          <cell r="H1386" t="str">
            <v>yellow</v>
          </cell>
          <cell r="I1386">
            <v>3</v>
          </cell>
          <cell r="J1386" t="str">
            <v>PremiumS</v>
          </cell>
          <cell r="K1386" t="str">
            <v>hp</v>
          </cell>
          <cell r="L1386" t="str">
            <v>体力タイプ</v>
          </cell>
          <cell r="M1386" t="str">
            <v>ss</v>
          </cell>
        </row>
        <row r="1387">
          <cell r="A1387">
            <v>8072</v>
          </cell>
          <cell r="B1387" t="str">
            <v>ja</v>
          </cell>
          <cell r="C1387" t="str">
            <v>ポムポムプリン</v>
          </cell>
          <cell r="D1387" t="str">
            <v>ポムポムプリン</v>
          </cell>
          <cell r="E1387" t="str">
            <v>執行者</v>
          </cell>
          <cell r="F1387" t="str">
            <v>格好いい</v>
          </cell>
          <cell r="G1387" t="str">
            <v>女性</v>
          </cell>
          <cell r="H1387" t="str">
            <v>yellow</v>
          </cell>
          <cell r="I1387">
            <v>4</v>
          </cell>
          <cell r="J1387" t="str">
            <v>PremiumS</v>
          </cell>
          <cell r="K1387" t="str">
            <v>hp</v>
          </cell>
          <cell r="L1387" t="str">
            <v>体力タイプ</v>
          </cell>
          <cell r="M1387" t="str">
            <v>ss</v>
          </cell>
        </row>
        <row r="1388">
          <cell r="A1388">
            <v>8077</v>
          </cell>
          <cell r="B1388" t="str">
            <v>ja</v>
          </cell>
          <cell r="C1388" t="str">
            <v>鄭成功</v>
          </cell>
          <cell r="D1388" t="str">
            <v>ポムポムプリン</v>
          </cell>
          <cell r="E1388" t="str">
            <v>執行者</v>
          </cell>
          <cell r="F1388" t="str">
            <v>格好いい</v>
          </cell>
          <cell r="G1388" t="str">
            <v>女性</v>
          </cell>
          <cell r="H1388" t="str">
            <v>blue</v>
          </cell>
          <cell r="I1388">
            <v>5</v>
          </cell>
          <cell r="J1388" t="str">
            <v>PremiumSS</v>
          </cell>
          <cell r="K1388" t="str">
            <v>attack</v>
          </cell>
          <cell r="L1388" t="str">
            <v>攻撃タイプ</v>
          </cell>
          <cell r="M1388" t="str">
            <v>human</v>
          </cell>
        </row>
        <row r="1389">
          <cell r="A1389">
            <v>8078</v>
          </cell>
          <cell r="B1389" t="str">
            <v>ja</v>
          </cell>
          <cell r="C1389" t="str">
            <v>レア６鄭成功</v>
          </cell>
          <cell r="D1389" t="str">
            <v>ポムポムプリン</v>
          </cell>
          <cell r="E1389" t="str">
            <v>執行者</v>
          </cell>
          <cell r="F1389" t="str">
            <v>格好いい</v>
          </cell>
          <cell r="G1389" t="str">
            <v>女性</v>
          </cell>
          <cell r="H1389" t="str">
            <v>blue</v>
          </cell>
          <cell r="I1389">
            <v>6</v>
          </cell>
          <cell r="J1389" t="str">
            <v>PremiumSS</v>
          </cell>
          <cell r="K1389" t="str">
            <v>attack</v>
          </cell>
          <cell r="L1389" t="str">
            <v>攻撃タイプ</v>
          </cell>
          <cell r="M1389" t="str">
            <v>human</v>
          </cell>
        </row>
        <row r="1390">
          <cell r="A1390">
            <v>8079</v>
          </cell>
          <cell r="B1390" t="str">
            <v>ja</v>
          </cell>
          <cell r="C1390" t="str">
            <v>赤鬼</v>
          </cell>
          <cell r="D1390" t="str">
            <v>ポムポムプリン</v>
          </cell>
          <cell r="E1390" t="str">
            <v>執行者</v>
          </cell>
          <cell r="F1390" t="str">
            <v>格好いい</v>
          </cell>
          <cell r="G1390" t="str">
            <v>女性</v>
          </cell>
          <cell r="H1390" t="str">
            <v>red</v>
          </cell>
          <cell r="I1390">
            <v>5</v>
          </cell>
          <cell r="J1390" t="str">
            <v>PremiumSS</v>
          </cell>
          <cell r="K1390" t="str">
            <v>hp</v>
          </cell>
          <cell r="L1390" t="str">
            <v>体力タイプ</v>
          </cell>
          <cell r="M1390" t="str">
            <v>dragon</v>
          </cell>
        </row>
        <row r="1391">
          <cell r="A1391">
            <v>8080</v>
          </cell>
          <cell r="B1391" t="str">
            <v>ja</v>
          </cell>
          <cell r="C1391" t="str">
            <v>レア６赤鬼</v>
          </cell>
          <cell r="D1391" t="str">
            <v>ポムポムプリン</v>
          </cell>
          <cell r="E1391" t="str">
            <v>執行者</v>
          </cell>
          <cell r="F1391" t="str">
            <v>格好いい</v>
          </cell>
          <cell r="G1391" t="str">
            <v>女性</v>
          </cell>
          <cell r="H1391" t="str">
            <v>red</v>
          </cell>
          <cell r="I1391">
            <v>6</v>
          </cell>
          <cell r="J1391" t="str">
            <v>PremiumSS</v>
          </cell>
          <cell r="K1391" t="str">
            <v>hp</v>
          </cell>
          <cell r="L1391" t="str">
            <v>体力タイプ</v>
          </cell>
          <cell r="M1391" t="str">
            <v>dragon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B9" sqref="B9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111</v>
      </c>
      <c r="B1" s="64" t="s">
        <v>112</v>
      </c>
    </row>
    <row r="2" spans="1:13" x14ac:dyDescent="0.15">
      <c r="A2" s="64" t="s">
        <v>113</v>
      </c>
      <c r="B2" s="64" t="s">
        <v>114</v>
      </c>
      <c r="C2" s="64" t="s">
        <v>115</v>
      </c>
      <c r="D2" s="64" t="s">
        <v>116</v>
      </c>
      <c r="E2" s="64" t="s">
        <v>117</v>
      </c>
      <c r="F2" s="64" t="s">
        <v>118</v>
      </c>
      <c r="G2" s="64" t="s">
        <v>119</v>
      </c>
      <c r="H2" s="64" t="s">
        <v>120</v>
      </c>
    </row>
    <row r="3" spans="1:13" x14ac:dyDescent="0.15">
      <c r="A3" s="64">
        <v>3</v>
      </c>
      <c r="B3" s="65" t="s">
        <v>121</v>
      </c>
      <c r="C3" s="65" t="s">
        <v>122</v>
      </c>
      <c r="D3" s="64">
        <v>0</v>
      </c>
      <c r="E3" s="65" t="s">
        <v>123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124</v>
      </c>
      <c r="C4" s="65" t="s">
        <v>125</v>
      </c>
      <c r="D4" s="65" t="s">
        <v>126</v>
      </c>
      <c r="E4" s="65" t="s">
        <v>127</v>
      </c>
      <c r="F4" s="65" t="s">
        <v>128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129</v>
      </c>
      <c r="D5" s="65" t="s">
        <v>130</v>
      </c>
      <c r="E5" s="65" t="s">
        <v>131</v>
      </c>
      <c r="F5" s="65" t="s">
        <v>132</v>
      </c>
      <c r="G5" s="65" t="s">
        <v>133</v>
      </c>
      <c r="H5" s="66">
        <v>0.05</v>
      </c>
    </row>
    <row r="6" spans="1:13" x14ac:dyDescent="0.15">
      <c r="B6" s="66" t="s">
        <v>134</v>
      </c>
      <c r="C6" s="66" t="s">
        <v>134</v>
      </c>
      <c r="D6" s="66" t="s">
        <v>135</v>
      </c>
      <c r="E6" s="66" t="s">
        <v>134</v>
      </c>
      <c r="F6" s="66" t="s">
        <v>134</v>
      </c>
      <c r="G6" s="68" t="s">
        <v>136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137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138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139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140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133</v>
      </c>
      <c r="B12" s="66" t="s">
        <v>141</v>
      </c>
      <c r="C12" s="66" t="s">
        <v>142</v>
      </c>
      <c r="D12" s="66"/>
      <c r="E12" s="66"/>
      <c r="F12" s="66"/>
      <c r="G12" s="68"/>
      <c r="H12" s="66"/>
    </row>
    <row r="13" spans="1:13" x14ac:dyDescent="0.15">
      <c r="A13" s="64" t="s">
        <v>143</v>
      </c>
      <c r="B13" s="64" t="s">
        <v>144</v>
      </c>
      <c r="C13" s="64" t="s">
        <v>145</v>
      </c>
    </row>
    <row r="14" spans="1:13" x14ac:dyDescent="0.15">
      <c r="A14" s="64" t="s">
        <v>146</v>
      </c>
      <c r="B14" s="64" t="s">
        <v>141</v>
      </c>
      <c r="C14" s="67" t="s">
        <v>147</v>
      </c>
      <c r="E14" s="67"/>
      <c r="F14" s="67"/>
      <c r="M14" s="66"/>
    </row>
    <row r="15" spans="1:13" x14ac:dyDescent="0.15">
      <c r="A15" s="64" t="s">
        <v>123</v>
      </c>
      <c r="B15" s="66" t="s">
        <v>141</v>
      </c>
      <c r="C15" s="66" t="s">
        <v>148</v>
      </c>
      <c r="H15" s="69"/>
      <c r="M15" s="66"/>
    </row>
    <row r="16" spans="1:13" x14ac:dyDescent="0.15">
      <c r="A16" s="64" t="s">
        <v>127</v>
      </c>
      <c r="B16" s="66" t="s">
        <v>141</v>
      </c>
      <c r="C16" s="66" t="s">
        <v>149</v>
      </c>
      <c r="M16" s="66"/>
    </row>
    <row r="17" spans="1:13" x14ac:dyDescent="0.15">
      <c r="A17" s="64" t="s">
        <v>150</v>
      </c>
      <c r="B17" s="66" t="s">
        <v>141</v>
      </c>
      <c r="C17" s="66" t="s">
        <v>151</v>
      </c>
      <c r="M17" s="66"/>
    </row>
    <row r="18" spans="1:13" x14ac:dyDescent="0.15">
      <c r="B18" s="66"/>
      <c r="C18" s="66"/>
    </row>
    <row r="19" spans="1:13" x14ac:dyDescent="0.15">
      <c r="A19" s="64" t="s">
        <v>152</v>
      </c>
    </row>
    <row r="20" spans="1:13" x14ac:dyDescent="0.15">
      <c r="A20" s="64" t="s">
        <v>153</v>
      </c>
      <c r="B20" s="66"/>
      <c r="C20" s="66"/>
    </row>
    <row r="21" spans="1:13" x14ac:dyDescent="0.15">
      <c r="A21" s="64" t="s">
        <v>154</v>
      </c>
      <c r="B21" s="66" t="s">
        <v>155</v>
      </c>
      <c r="C21" s="66" t="s">
        <v>156</v>
      </c>
      <c r="D21" s="64" t="s">
        <v>157</v>
      </c>
    </row>
    <row r="22" spans="1:13" x14ac:dyDescent="0.15">
      <c r="A22" s="64" t="s">
        <v>158</v>
      </c>
      <c r="B22" s="66" t="s">
        <v>141</v>
      </c>
      <c r="C22" s="66" t="s">
        <v>159</v>
      </c>
      <c r="D22" s="64" t="s">
        <v>160</v>
      </c>
    </row>
    <row r="23" spans="1:13" x14ac:dyDescent="0.15">
      <c r="A23" s="64" t="s">
        <v>161</v>
      </c>
      <c r="B23" s="66" t="s">
        <v>141</v>
      </c>
      <c r="C23" s="64" t="s">
        <v>162</v>
      </c>
      <c r="D23" s="64" t="s">
        <v>163</v>
      </c>
    </row>
    <row r="24" spans="1:13" x14ac:dyDescent="0.15">
      <c r="A24" s="64" t="s">
        <v>164</v>
      </c>
      <c r="B24" s="66" t="s">
        <v>141</v>
      </c>
      <c r="C24" s="66" t="s">
        <v>165</v>
      </c>
      <c r="D24" s="64" t="s">
        <v>166</v>
      </c>
    </row>
    <row r="25" spans="1:13" x14ac:dyDescent="0.15">
      <c r="A25" s="64" t="s">
        <v>167</v>
      </c>
      <c r="B25" s="66" t="s">
        <v>141</v>
      </c>
      <c r="C25" s="66" t="s">
        <v>168</v>
      </c>
      <c r="D25" s="64" t="s">
        <v>169</v>
      </c>
    </row>
    <row r="26" spans="1:13" x14ac:dyDescent="0.15">
      <c r="A26" s="64" t="s">
        <v>170</v>
      </c>
      <c r="B26" s="66" t="s">
        <v>141</v>
      </c>
      <c r="C26" s="66" t="s">
        <v>171</v>
      </c>
      <c r="D26" s="64" t="s">
        <v>172</v>
      </c>
    </row>
    <row r="27" spans="1:13" x14ac:dyDescent="0.15">
      <c r="A27" s="64" t="s">
        <v>173</v>
      </c>
      <c r="B27" s="66" t="s">
        <v>141</v>
      </c>
      <c r="C27" s="66" t="s">
        <v>135</v>
      </c>
      <c r="D27" s="64" t="s">
        <v>174</v>
      </c>
      <c r="E27" s="64" t="s">
        <v>175</v>
      </c>
    </row>
    <row r="28" spans="1:13" x14ac:dyDescent="0.15">
      <c r="A28" s="64" t="s">
        <v>122</v>
      </c>
      <c r="B28" s="66" t="s">
        <v>141</v>
      </c>
      <c r="C28" s="66" t="s">
        <v>176</v>
      </c>
      <c r="E28" s="64" t="s">
        <v>177</v>
      </c>
    </row>
    <row r="29" spans="1:13" x14ac:dyDescent="0.15">
      <c r="A29" s="64" t="s">
        <v>125</v>
      </c>
      <c r="B29" s="66" t="s">
        <v>141</v>
      </c>
      <c r="C29" s="66" t="s">
        <v>178</v>
      </c>
    </row>
    <row r="30" spans="1:13" x14ac:dyDescent="0.15">
      <c r="B30" s="66"/>
    </row>
    <row r="31" spans="1:13" x14ac:dyDescent="0.15">
      <c r="A31" s="64" t="s">
        <v>179</v>
      </c>
    </row>
    <row r="32" spans="1:13" x14ac:dyDescent="0.15">
      <c r="A32" s="64" t="s">
        <v>180</v>
      </c>
      <c r="B32" s="66" t="s">
        <v>141</v>
      </c>
      <c r="C32" s="66" t="s">
        <v>181</v>
      </c>
    </row>
    <row r="33" spans="1:13" x14ac:dyDescent="0.15">
      <c r="A33" s="64" t="s">
        <v>125</v>
      </c>
      <c r="B33" s="66" t="s">
        <v>141</v>
      </c>
      <c r="C33" s="66" t="s">
        <v>182</v>
      </c>
    </row>
    <row r="34" spans="1:13" x14ac:dyDescent="0.15">
      <c r="A34" s="64" t="s">
        <v>122</v>
      </c>
      <c r="B34" s="66" t="s">
        <v>141</v>
      </c>
      <c r="C34" s="66" t="s">
        <v>183</v>
      </c>
    </row>
    <row r="35" spans="1:13" x14ac:dyDescent="0.15">
      <c r="A35" s="64" t="s">
        <v>121</v>
      </c>
      <c r="B35" s="66" t="s">
        <v>141</v>
      </c>
      <c r="C35" s="66" t="s">
        <v>184</v>
      </c>
    </row>
    <row r="36" spans="1:13" x14ac:dyDescent="0.15">
      <c r="A36" s="64" t="s">
        <v>124</v>
      </c>
      <c r="B36" s="66" t="s">
        <v>141</v>
      </c>
      <c r="C36" s="66" t="s">
        <v>185</v>
      </c>
    </row>
    <row r="37" spans="1:13" x14ac:dyDescent="0.15">
      <c r="A37" s="64" t="s">
        <v>130</v>
      </c>
      <c r="B37" s="66" t="s">
        <v>141</v>
      </c>
      <c r="C37" s="66" t="s">
        <v>186</v>
      </c>
    </row>
    <row r="38" spans="1:13" x14ac:dyDescent="0.15">
      <c r="A38" s="64" t="s">
        <v>126</v>
      </c>
      <c r="B38" s="66" t="s">
        <v>141</v>
      </c>
      <c r="C38" s="66" t="s">
        <v>187</v>
      </c>
    </row>
    <row r="40" spans="1:13" x14ac:dyDescent="0.15">
      <c r="J40" s="83" t="s">
        <v>213</v>
      </c>
      <c r="K40" s="83" t="s">
        <v>190</v>
      </c>
      <c r="M40" s="83" t="s">
        <v>238</v>
      </c>
    </row>
    <row r="41" spans="1:13" x14ac:dyDescent="0.15">
      <c r="J41" s="83" t="s">
        <v>214</v>
      </c>
      <c r="K41" s="83" t="s">
        <v>215</v>
      </c>
      <c r="M41" s="66" t="s">
        <v>185</v>
      </c>
    </row>
    <row r="42" spans="1:13" x14ac:dyDescent="0.15">
      <c r="J42" s="83" t="s">
        <v>216</v>
      </c>
      <c r="K42" s="83" t="s">
        <v>217</v>
      </c>
    </row>
    <row r="43" spans="1:13" x14ac:dyDescent="0.15">
      <c r="J43" s="83" t="s">
        <v>218</v>
      </c>
      <c r="K43" s="83" t="s">
        <v>219</v>
      </c>
    </row>
    <row r="44" spans="1:13" x14ac:dyDescent="0.15">
      <c r="J44" s="83" t="s">
        <v>220</v>
      </c>
      <c r="K44" s="83" t="s">
        <v>221</v>
      </c>
    </row>
    <row r="45" spans="1:13" x14ac:dyDescent="0.15">
      <c r="J45" s="83" t="s">
        <v>222</v>
      </c>
      <c r="K45" s="83" t="s">
        <v>223</v>
      </c>
    </row>
    <row r="46" spans="1:13" x14ac:dyDescent="0.15">
      <c r="J46" s="83" t="s">
        <v>224</v>
      </c>
      <c r="K46" s="83" t="s">
        <v>225</v>
      </c>
    </row>
    <row r="47" spans="1:13" x14ac:dyDescent="0.15">
      <c r="J47" s="83" t="s">
        <v>226</v>
      </c>
      <c r="K47" s="83" t="s">
        <v>230</v>
      </c>
    </row>
    <row r="48" spans="1:13" x14ac:dyDescent="0.15">
      <c r="J48" s="83" t="s">
        <v>227</v>
      </c>
      <c r="K48" s="83" t="s">
        <v>231</v>
      </c>
    </row>
    <row r="49" spans="10:11" x14ac:dyDescent="0.15">
      <c r="J49" s="83" t="s">
        <v>228</v>
      </c>
      <c r="K49" s="83" t="s">
        <v>232</v>
      </c>
    </row>
    <row r="50" spans="10:11" x14ac:dyDescent="0.15">
      <c r="J50" s="83" t="s">
        <v>229</v>
      </c>
      <c r="K50" s="83" t="s">
        <v>233</v>
      </c>
    </row>
    <row r="51" spans="10:11" x14ac:dyDescent="0.15">
      <c r="J51" s="83" t="s">
        <v>235</v>
      </c>
      <c r="K51" s="83" t="s">
        <v>234</v>
      </c>
    </row>
    <row r="52" spans="10:11" x14ac:dyDescent="0.15">
      <c r="J52" s="83" t="s">
        <v>236</v>
      </c>
      <c r="K52" s="83" t="s">
        <v>237</v>
      </c>
    </row>
    <row r="53" spans="10:11" x14ac:dyDescent="0.15">
      <c r="J53" s="83"/>
    </row>
  </sheetData>
  <phoneticPr fontId="22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E33" sqref="E33"/>
    </sheetView>
  </sheetViews>
  <sheetFormatPr baseColWidth="12" defaultRowHeight="14" x14ac:dyDescent="0.15"/>
  <sheetData>
    <row r="1" spans="1:1" x14ac:dyDescent="0.15">
      <c r="A1" t="s">
        <v>78</v>
      </c>
    </row>
    <row r="2" spans="1:1" x14ac:dyDescent="0.15">
      <c r="A2" t="s">
        <v>79</v>
      </c>
    </row>
    <row r="3" spans="1:1" x14ac:dyDescent="0.15">
      <c r="A3" t="s">
        <v>80</v>
      </c>
    </row>
    <row r="4" spans="1:1" x14ac:dyDescent="0.15">
      <c r="A4" t="s">
        <v>81</v>
      </c>
    </row>
  </sheetData>
  <phoneticPr fontId="2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0"/>
  <sheetViews>
    <sheetView workbookViewId="0">
      <selection activeCell="F40" sqref="F40"/>
    </sheetView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51</v>
      </c>
      <c r="B1" s="16" t="s">
        <v>39</v>
      </c>
      <c r="C1" s="16" t="s">
        <v>40</v>
      </c>
      <c r="D1" s="16" t="s">
        <v>41</v>
      </c>
      <c r="E1" s="16" t="s">
        <v>42</v>
      </c>
      <c r="F1" s="16" t="s">
        <v>43</v>
      </c>
      <c r="G1" s="16" t="s">
        <v>44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92" t="s">
        <v>247</v>
      </c>
      <c r="B2" s="61" t="s">
        <v>110</v>
      </c>
      <c r="C2" s="50" t="str">
        <f t="shared" ref="C2" si="0">RIGHT(F2,6)</f>
        <v>429100</v>
      </c>
      <c r="D2" s="19" t="s">
        <v>45</v>
      </c>
      <c r="E2" s="17" t="str">
        <f t="shared" ref="E2" si="1">B2&amp;C2&amp;D2</f>
        <v>gacha_select_tables_429100.tmp</v>
      </c>
      <c r="F2" s="99" t="s">
        <v>250</v>
      </c>
      <c r="G2" s="49" t="s">
        <v>85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93" t="s">
        <v>247</v>
      </c>
      <c r="B3" s="61" t="s">
        <v>110</v>
      </c>
      <c r="C3" s="50" t="str">
        <f t="shared" ref="C3:C7" si="2">RIGHT(F3,6)</f>
        <v>429010</v>
      </c>
      <c r="D3" s="19" t="s">
        <v>45</v>
      </c>
      <c r="E3" s="17" t="str">
        <f t="shared" ref="E3:E10" si="3">B3&amp;C3&amp;D3</f>
        <v>gacha_select_tables_429010.tmp</v>
      </c>
      <c r="F3" s="99" t="s">
        <v>251</v>
      </c>
      <c r="G3" s="49" t="s">
        <v>85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96" t="s">
        <v>248</v>
      </c>
      <c r="B4" s="97" t="s">
        <v>249</v>
      </c>
      <c r="C4" s="50" t="str">
        <f>RIGHT(F4,6)</f>
        <v>429011</v>
      </c>
      <c r="D4" s="19" t="s">
        <v>45</v>
      </c>
      <c r="E4" s="17" t="str">
        <f>B4&amp;C4&amp;D4</f>
        <v>gacha_select_tables_429011.tmp</v>
      </c>
      <c r="F4" s="99" t="s">
        <v>252</v>
      </c>
      <c r="G4" s="49" t="s">
        <v>85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87" t="s">
        <v>241</v>
      </c>
      <c r="B5" s="61" t="s">
        <v>110</v>
      </c>
      <c r="C5" s="50" t="str">
        <f t="shared" si="2"/>
        <v>363104</v>
      </c>
      <c r="D5" s="19" t="s">
        <v>45</v>
      </c>
      <c r="E5" s="17" t="str">
        <f t="shared" ref="E5:E7" si="4">B5&amp;C5&amp;D5</f>
        <v>gacha_select_tables_363104.tmp</v>
      </c>
      <c r="F5" s="90" t="s">
        <v>244</v>
      </c>
      <c r="G5" s="49" t="s">
        <v>84</v>
      </c>
      <c r="H5" s="22" t="s">
        <v>0</v>
      </c>
      <c r="I5" s="22" t="s">
        <v>3</v>
      </c>
      <c r="J5" s="22" t="s">
        <v>4</v>
      </c>
      <c r="K5" s="22" t="s">
        <v>5</v>
      </c>
      <c r="L5" s="22" t="s">
        <v>6</v>
      </c>
      <c r="M5" s="22" t="s">
        <v>7</v>
      </c>
      <c r="N5" s="22" t="s">
        <v>8</v>
      </c>
      <c r="O5" s="22" t="s">
        <v>9</v>
      </c>
    </row>
    <row r="6" spans="1:21" x14ac:dyDescent="0.15">
      <c r="A6" s="87" t="s">
        <v>241</v>
      </c>
      <c r="B6" s="61" t="s">
        <v>110</v>
      </c>
      <c r="C6" s="50" t="str">
        <f t="shared" ref="C6" si="5">RIGHT(F6,6)</f>
        <v>363105</v>
      </c>
      <c r="D6" s="19" t="s">
        <v>45</v>
      </c>
      <c r="E6" s="17" t="str">
        <f t="shared" ref="E6" si="6">B6&amp;C6&amp;D6</f>
        <v>gacha_select_tables_363105.tmp</v>
      </c>
      <c r="F6" s="90" t="s">
        <v>245</v>
      </c>
      <c r="G6" s="49" t="s">
        <v>84</v>
      </c>
      <c r="H6" s="22" t="s">
        <v>0</v>
      </c>
      <c r="I6" s="22" t="s">
        <v>3</v>
      </c>
      <c r="J6" s="22" t="s">
        <v>4</v>
      </c>
      <c r="K6" s="22" t="s">
        <v>5</v>
      </c>
      <c r="L6" s="22" t="s">
        <v>6</v>
      </c>
      <c r="M6" s="22" t="s">
        <v>7</v>
      </c>
      <c r="N6" s="22" t="s">
        <v>8</v>
      </c>
      <c r="O6" s="22" t="s">
        <v>9</v>
      </c>
    </row>
    <row r="7" spans="1:21" x14ac:dyDescent="0.15">
      <c r="A7" s="87" t="s">
        <v>241</v>
      </c>
      <c r="B7" s="61" t="s">
        <v>110</v>
      </c>
      <c r="C7" s="50" t="str">
        <f t="shared" si="2"/>
        <v>363100</v>
      </c>
      <c r="D7" s="19" t="s">
        <v>45</v>
      </c>
      <c r="E7" s="17" t="str">
        <f t="shared" si="4"/>
        <v>gacha_select_tables_363100.tmp</v>
      </c>
      <c r="F7" s="90" t="s">
        <v>246</v>
      </c>
      <c r="G7" s="49" t="s">
        <v>84</v>
      </c>
      <c r="H7" s="22" t="s">
        <v>0</v>
      </c>
      <c r="I7" s="22" t="s">
        <v>3</v>
      </c>
      <c r="J7" s="22" t="s">
        <v>4</v>
      </c>
      <c r="K7" s="22" t="s">
        <v>5</v>
      </c>
      <c r="L7" s="22" t="s">
        <v>6</v>
      </c>
      <c r="M7" s="22" t="s">
        <v>7</v>
      </c>
      <c r="N7" s="22" t="s">
        <v>8</v>
      </c>
      <c r="O7" s="22" t="s">
        <v>9</v>
      </c>
    </row>
    <row r="8" spans="1:21" x14ac:dyDescent="0.15">
      <c r="A8" s="87" t="s">
        <v>241</v>
      </c>
      <c r="B8" s="27" t="s">
        <v>50</v>
      </c>
      <c r="C8" s="32">
        <v>363</v>
      </c>
      <c r="D8" s="19" t="s">
        <v>46</v>
      </c>
      <c r="E8" s="17" t="str">
        <f t="shared" si="3"/>
        <v>gacha_bonus_tables_363.tmp</v>
      </c>
      <c r="F8" s="19" t="s">
        <v>47</v>
      </c>
      <c r="G8" s="21" t="s">
        <v>11</v>
      </c>
      <c r="H8" s="23" t="s">
        <v>14</v>
      </c>
      <c r="I8" s="21" t="s">
        <v>12</v>
      </c>
      <c r="J8" s="20"/>
      <c r="K8" s="20"/>
      <c r="L8" s="20"/>
      <c r="M8" s="20"/>
      <c r="N8" s="20"/>
      <c r="O8" s="20"/>
    </row>
    <row r="9" spans="1:21" x14ac:dyDescent="0.15">
      <c r="A9" s="87" t="s">
        <v>241</v>
      </c>
      <c r="B9" s="19" t="s">
        <v>48</v>
      </c>
      <c r="C9" s="32">
        <v>363</v>
      </c>
      <c r="D9" s="19" t="s">
        <v>46</v>
      </c>
      <c r="E9" s="17" t="str">
        <f t="shared" si="3"/>
        <v>gifts_tmp_363.tmp</v>
      </c>
      <c r="F9" s="19" t="s">
        <v>47</v>
      </c>
      <c r="G9" s="23" t="s">
        <v>22</v>
      </c>
      <c r="H9" s="24" t="s">
        <v>30</v>
      </c>
      <c r="I9" s="23" t="s">
        <v>23</v>
      </c>
      <c r="J9" s="23" t="s">
        <v>24</v>
      </c>
      <c r="K9" s="23" t="s">
        <v>24</v>
      </c>
      <c r="L9" s="23" t="s">
        <v>25</v>
      </c>
      <c r="M9" s="23" t="s">
        <v>25</v>
      </c>
      <c r="N9" s="23" t="s">
        <v>25</v>
      </c>
      <c r="O9" s="51" t="s">
        <v>7</v>
      </c>
      <c r="P9" s="51" t="s">
        <v>9</v>
      </c>
      <c r="Q9" s="51" t="s">
        <v>6</v>
      </c>
      <c r="R9" s="51" t="s">
        <v>86</v>
      </c>
      <c r="S9" s="51" t="s">
        <v>8</v>
      </c>
      <c r="T9" s="51" t="s">
        <v>87</v>
      </c>
      <c r="U9" s="51" t="s">
        <v>5</v>
      </c>
    </row>
    <row r="10" spans="1:21" x14ac:dyDescent="0.15">
      <c r="A10" s="87" t="s">
        <v>241</v>
      </c>
      <c r="B10" s="19" t="s">
        <v>49</v>
      </c>
      <c r="C10" s="32">
        <v>363</v>
      </c>
      <c r="D10" s="19" t="s">
        <v>46</v>
      </c>
      <c r="E10" s="17" t="str">
        <f t="shared" si="3"/>
        <v>gifts_i18n_363.tmp</v>
      </c>
      <c r="F10" s="19" t="s">
        <v>47</v>
      </c>
      <c r="G10" s="23" t="s">
        <v>13</v>
      </c>
      <c r="H10" s="25" t="s">
        <v>26</v>
      </c>
      <c r="I10" s="25" t="s">
        <v>27</v>
      </c>
      <c r="J10" s="25" t="s">
        <v>28</v>
      </c>
      <c r="K10" s="25" t="s">
        <v>29</v>
      </c>
      <c r="L10" s="26"/>
      <c r="M10" s="23"/>
      <c r="N10" s="23"/>
      <c r="O10" s="19"/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48"/>
  <sheetViews>
    <sheetView workbookViewId="0">
      <selection activeCell="E34" sqref="E34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429010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VLOOKUP(L3,tables_429010!B:C,2,FALSE)</f>
        <v>#N/A</v>
      </c>
      <c r="R3" s="62">
        <f t="shared" ref="R3:R20" si="1">N3*A$36</f>
        <v>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VLOOKUP(L4,tables_429010!B:C,2,FALSE)</f>
        <v>#N/A</v>
      </c>
      <c r="R4" s="62">
        <f t="shared" si="1"/>
        <v>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f>50%</f>
        <v>0.5</v>
      </c>
      <c r="D5" t="s">
        <v>201</v>
      </c>
      <c r="E5" s="43">
        <f>(B11-H5)/(F5-I5)</f>
        <v>8.7719298245614037E-4</v>
      </c>
      <c r="F5">
        <f>(COUNTIF(tables_429010!C:C,input_429010!A28)+COUNTIF(tables_429010!C:C,input_429010!A29))</f>
        <v>57</v>
      </c>
      <c r="H5" s="84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VLOOKUP(L5,tables_429010!B:C,2,FALSE)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f>1-B5-B7</f>
        <v>0.45</v>
      </c>
      <c r="D6" t="s">
        <v>202</v>
      </c>
      <c r="E6" s="76">
        <f>(B10-H6)/(F6-I6)</f>
        <v>1.0439560439560439E-2</v>
      </c>
      <c r="F6">
        <f>(COUNTIF(tables_429010!C:C,input_429010!A25)+COUNTIF(tables_429010!C:C,input_429010!A18)+COUNTIF(tables_429010!C:C,input_429010!A20)+COUNTIF(tables_429010!C:C,input_429010!A22))</f>
        <v>91</v>
      </c>
      <c r="H6" s="89">
        <v>0</v>
      </c>
      <c r="I6" s="31">
        <v>0</v>
      </c>
      <c r="L6" s="94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VLOOKUP(L6,tables_429010!B:C,2,FALSE)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0.05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VLOOKUP(L7,tables_429010!B:C,2,FALSE)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VLOOKUP(L8,tables_429010!B:C,2,FALSE)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8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VLOOKUP(L9,tables_429010!B:C,2,FALSE)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0.95</v>
      </c>
      <c r="C10" t="s">
        <v>208</v>
      </c>
      <c r="L10" s="88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VLOOKUP(L10,tables_429010!B:C,2,FALSE)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0.05</v>
      </c>
      <c r="C11" t="s">
        <v>243</v>
      </c>
      <c r="L11" s="88"/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VLOOKUP(L11,tables_429010!B:C,2,FALSE)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VLOOKUP(L12,tables_429010!B:C,2,FALSE)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VLOOKUP(L13,tables_429010!B:C,2,FALSE)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VLOOKUP(L14,tables_429010!B:C,2,FALSE)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VLOOKUP(L15,tables_429010!B:C,2,FALSE)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VLOOKUP(L16,tables_429010!B:C,2,FALSE)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</f>
        <v>0.2076923076923077</v>
      </c>
      <c r="C17" s="85">
        <f t="shared" ref="C17:C31" si="2">SUMIF(Q:Q,A17,N:N)</f>
        <v>0</v>
      </c>
      <c r="D17" s="74">
        <f t="shared" ref="D17:D32" si="3">B17-C17</f>
        <v>0.2076923076923077</v>
      </c>
      <c r="E17">
        <f>COUNTIF(tables_429010!C:C,input_429010!A17)-COUNTIF(Q:Q,A17)</f>
        <v>20</v>
      </c>
      <c r="F17" s="43">
        <f>IFERROR(B17/E17,0)</f>
        <v>1.0384615384615384E-2</v>
      </c>
      <c r="G17">
        <f t="shared" ref="G17:G31" si="4">A$36*B17</f>
        <v>21546000</v>
      </c>
      <c r="H17">
        <f t="shared" ref="H17:H31" si="5">IFERROR(ROUND(G17/E17,5),0)</f>
        <v>1077300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VLOOKUP(L17,tables_429010!B:C,2,FALSE)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E$6*E18-B17</f>
        <v>1.0989010989010672E-3</v>
      </c>
      <c r="C18" s="85">
        <f t="shared" si="2"/>
        <v>0</v>
      </c>
      <c r="D18" s="74">
        <f t="shared" si="3"/>
        <v>1.0989010989010672E-3</v>
      </c>
      <c r="E18">
        <f>COUNTIF(tables_429010!C:C,input_429010!A18)-COUNTIF(Q:Q,A18)</f>
        <v>20</v>
      </c>
      <c r="F18" s="43">
        <f>IFERROR(B18/E18,0)</f>
        <v>5.4945054945053359E-5</v>
      </c>
      <c r="G18">
        <f t="shared" si="4"/>
        <v>113999.99999999671</v>
      </c>
      <c r="H18">
        <f t="shared" si="5"/>
        <v>5700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VLOOKUP(L18,tables_429010!B:C,2,FALSE)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0.27142857142857141</v>
      </c>
      <c r="C19" s="85">
        <f t="shared" si="2"/>
        <v>0</v>
      </c>
      <c r="D19" s="74">
        <f t="shared" si="3"/>
        <v>0.27142857142857141</v>
      </c>
      <c r="E19">
        <f>COUNTIF(tables_429010!C:C,input_429010!A19)-COUNTIF(Q:Q,A19)</f>
        <v>52</v>
      </c>
      <c r="F19" s="43">
        <f t="shared" ref="F19:F31" si="8">IFERROR(B19/E19,0)</f>
        <v>5.2197802197802195E-3</v>
      </c>
      <c r="G19">
        <f t="shared" si="4"/>
        <v>28157999.999999996</v>
      </c>
      <c r="H19">
        <f t="shared" si="5"/>
        <v>541500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VLOOKUP(L19,tables_429010!B:C,2,FALSE)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5">
        <f>E$6*E20*B$6+E34</f>
        <v>0.25801282051282048</v>
      </c>
      <c r="C20" s="85">
        <f t="shared" si="2"/>
        <v>0</v>
      </c>
      <c r="D20" s="74">
        <f t="shared" si="3"/>
        <v>0.25801282051282048</v>
      </c>
      <c r="E20">
        <f>COUNTIF(tables_429010!C:C,input_429010!A20)-COUNTIF(Q:Q,A20)</f>
        <v>52</v>
      </c>
      <c r="F20" s="43">
        <f t="shared" si="8"/>
        <v>4.9617850098619323E-3</v>
      </c>
      <c r="G20">
        <f t="shared" si="4"/>
        <v>26766249.999999996</v>
      </c>
      <c r="H20">
        <f t="shared" si="5"/>
        <v>514735.57692000002</v>
      </c>
      <c r="I20">
        <f t="shared" si="6"/>
        <v>0.57692000002134591</v>
      </c>
      <c r="J20">
        <f t="shared" si="7"/>
        <v>1.7333425777629485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VLOOKUP(L20,tables_429010!B:C,2,FALSE)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</f>
        <v>1.341575091575092E-2</v>
      </c>
      <c r="C21" s="85">
        <f t="shared" si="2"/>
        <v>0</v>
      </c>
      <c r="D21" s="74">
        <f t="shared" si="3"/>
        <v>1.341575091575092E-2</v>
      </c>
      <c r="E21">
        <f>COUNTIF(tables_429010!C:C,input_429010!A21)-COUNTIF(Q:Q,A21)</f>
        <v>52</v>
      </c>
      <c r="F21" s="43">
        <f t="shared" si="8"/>
        <v>2.5799520991828692E-4</v>
      </c>
      <c r="G21">
        <f t="shared" si="4"/>
        <v>1391750.0000000005</v>
      </c>
      <c r="H21">
        <f t="shared" si="5"/>
        <v>26764.42308</v>
      </c>
      <c r="I21">
        <f t="shared" si="6"/>
        <v>0.42308000000048196</v>
      </c>
      <c r="J21">
        <f t="shared" si="7"/>
        <v>2.3636191736760441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0.14876373626373626</v>
      </c>
      <c r="C22" s="85">
        <f t="shared" si="2"/>
        <v>0</v>
      </c>
      <c r="D22" s="74">
        <f t="shared" si="3"/>
        <v>0.14876373626373626</v>
      </c>
      <c r="E22">
        <f>COUNTIF(tables_429010!C:C,input_429010!A22)-COUNTIF(Q:Q,A22)</f>
        <v>15</v>
      </c>
      <c r="F22" s="43">
        <f t="shared" si="8"/>
        <v>9.9175824175824177E-3</v>
      </c>
      <c r="G22">
        <f t="shared" si="4"/>
        <v>15432750</v>
      </c>
      <c r="H22">
        <f t="shared" si="5"/>
        <v>1028850</v>
      </c>
      <c r="I22">
        <f t="shared" si="6"/>
        <v>0</v>
      </c>
      <c r="J22">
        <f t="shared" si="7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7.8296703296703296E-3</v>
      </c>
      <c r="C23" s="85">
        <f t="shared" si="2"/>
        <v>0</v>
      </c>
      <c r="D23" s="74">
        <f t="shared" si="3"/>
        <v>7.8296703296703296E-3</v>
      </c>
      <c r="E23">
        <f>COUNTIF(tables_429010!C:C,input_429010!A23)-COUNTIF(Q:Q,A23)</f>
        <v>15</v>
      </c>
      <c r="F23" s="43">
        <f t="shared" si="8"/>
        <v>5.2197802197802192E-4</v>
      </c>
      <c r="G23">
        <f t="shared" si="4"/>
        <v>812250</v>
      </c>
      <c r="H23">
        <f t="shared" si="5"/>
        <v>54150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2.0879120879120878E-2</v>
      </c>
      <c r="C24" s="85">
        <f t="shared" si="2"/>
        <v>0</v>
      </c>
      <c r="D24" s="74">
        <f t="shared" si="3"/>
        <v>2.0879120879120878E-2</v>
      </c>
      <c r="E24">
        <f>COUNTIF(tables_429010!C:C,input_429010!A24)-COUNTIF(Q:Q,A24)</f>
        <v>4</v>
      </c>
      <c r="F24" s="43">
        <f t="shared" si="8"/>
        <v>5.2197802197802195E-3</v>
      </c>
      <c r="G24">
        <f t="shared" si="4"/>
        <v>2166000</v>
      </c>
      <c r="H24">
        <f t="shared" si="5"/>
        <v>541500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1.879120879120879E-2</v>
      </c>
      <c r="C25" s="85">
        <f t="shared" si="2"/>
        <v>0</v>
      </c>
      <c r="D25" s="74">
        <f t="shared" si="3"/>
        <v>1.879120879120879E-2</v>
      </c>
      <c r="E25">
        <f>COUNTIF(tables_429010!C:C,input_429010!A25)-COUNTIF(Q:Q,A25)</f>
        <v>4</v>
      </c>
      <c r="F25" s="43">
        <f t="shared" si="8"/>
        <v>4.6978021978021974E-3</v>
      </c>
      <c r="G25">
        <f t="shared" si="4"/>
        <v>1949399.9999999998</v>
      </c>
      <c r="H25">
        <f t="shared" si="5"/>
        <v>487350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2.0879120879120877E-3</v>
      </c>
      <c r="C26" s="85">
        <f t="shared" si="2"/>
        <v>0</v>
      </c>
      <c r="D26" s="74">
        <f t="shared" si="3"/>
        <v>2.0879120879120877E-3</v>
      </c>
      <c r="E26">
        <f>COUNTIF(tables_429010!C:C,input_429010!A26)-COUNTIF(Q:Q,A26)</f>
        <v>4</v>
      </c>
      <c r="F26" s="43">
        <f t="shared" si="8"/>
        <v>5.2197802197802192E-4</v>
      </c>
      <c r="G26">
        <f t="shared" si="4"/>
        <v>216599.99999999997</v>
      </c>
      <c r="H26">
        <f t="shared" si="5"/>
        <v>54150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2.3333333333333331E-2</v>
      </c>
      <c r="C27" s="85">
        <f t="shared" si="2"/>
        <v>0</v>
      </c>
      <c r="D27" s="74">
        <f t="shared" si="3"/>
        <v>2.3333333333333331E-2</v>
      </c>
      <c r="E27">
        <f>COUNTIF(tables_429010!C:C,input_429010!A27)-COUNTIF(Q:Q,A27)</f>
        <v>28</v>
      </c>
      <c r="F27" s="43">
        <f>IFERROR(B27/E27,0)</f>
        <v>8.3333333333333328E-4</v>
      </c>
      <c r="G27">
        <f t="shared" si="4"/>
        <v>2420599.9999999995</v>
      </c>
      <c r="H27">
        <f t="shared" si="5"/>
        <v>86450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1.2280701754385965E-3</v>
      </c>
      <c r="C28" s="85">
        <f t="shared" si="2"/>
        <v>0</v>
      </c>
      <c r="D28" s="74">
        <f t="shared" si="3"/>
        <v>1.2280701754385965E-3</v>
      </c>
      <c r="E28">
        <f>COUNTIF(tables_429010!C:C,input_429010!A28)-COUNTIF(Q:Q,A28)</f>
        <v>28</v>
      </c>
      <c r="F28" s="43">
        <f t="shared" si="8"/>
        <v>4.3859649122807021E-5</v>
      </c>
      <c r="G28">
        <f t="shared" si="4"/>
        <v>127400</v>
      </c>
      <c r="H28">
        <f t="shared" si="5"/>
        <v>4550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2.5438596491228069E-2</v>
      </c>
      <c r="C29" s="85">
        <f t="shared" si="2"/>
        <v>0</v>
      </c>
      <c r="D29" s="74">
        <f t="shared" si="3"/>
        <v>2.5438596491228069E-2</v>
      </c>
      <c r="E29">
        <f>COUNTIF(tables_429010!C:C,input_429010!A29)-COUNTIF(Q:Q,A29)</f>
        <v>29</v>
      </c>
      <c r="F29" s="43">
        <f t="shared" si="8"/>
        <v>8.7719298245614037E-4</v>
      </c>
      <c r="G29">
        <f t="shared" si="4"/>
        <v>2639000</v>
      </c>
      <c r="H29">
        <f t="shared" si="5"/>
        <v>91000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5">
        <f t="shared" si="2"/>
        <v>0</v>
      </c>
      <c r="D30" s="74">
        <f t="shared" si="3"/>
        <v>0</v>
      </c>
      <c r="E30">
        <f>COUNTIF(tables_429010!C:C,input_429010!A30)-COUNTIF(Q:Q,A30)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5">
        <f t="shared" si="2"/>
        <v>0</v>
      </c>
      <c r="D31" s="74">
        <f t="shared" si="3"/>
        <v>0</v>
      </c>
      <c r="E31">
        <f>COUNTIF(tables_429010!C:C,input_429010!A31)-COUNTIF(Q:Q,A31)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0.99999999999999978</v>
      </c>
      <c r="C32" s="41">
        <f>SUM(C19:C31)</f>
        <v>0</v>
      </c>
      <c r="D32" s="42">
        <f t="shared" si="3"/>
        <v>0.99999999999999978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>
        <v>1.3727106227106212E-2</v>
      </c>
    </row>
    <row r="35" spans="1:7" x14ac:dyDescent="0.15">
      <c r="A35" t="s">
        <v>73</v>
      </c>
    </row>
    <row r="36" spans="1:7" x14ac:dyDescent="0.15">
      <c r="A36" s="31">
        <f>LCM(F5-I5,F6-I6)*1000*2*2*5</f>
        <v>103740000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SUMIF(tables_429010!C:C,input_429010!A40,tables_429010!O:O)</f>
        <v>28158000</v>
      </c>
      <c r="C40" s="54">
        <f t="shared" ref="C40:C46" ca="1" si="9">B40/B$47</f>
        <v>0.47835689045936403</v>
      </c>
      <c r="E40">
        <v>3</v>
      </c>
      <c r="F40">
        <f ca="1">SUMIF(tables_429010!J:J,input_429010!E40,tables_429010!O:O)</f>
        <v>51870000</v>
      </c>
      <c r="G40">
        <f ca="1">F40/A36</f>
        <v>0.5</v>
      </c>
    </row>
    <row r="41" spans="1:7" x14ac:dyDescent="0.15">
      <c r="A41" s="33" t="s">
        <v>104</v>
      </c>
      <c r="B41">
        <f ca="1">SUMIF(tables_429010!C:C,input_429010!A41,tables_429010!O:O)</f>
        <v>26766249.999839991</v>
      </c>
      <c r="C41" s="54">
        <f t="shared" ca="1" si="9"/>
        <v>0.45471340717314479</v>
      </c>
      <c r="E41">
        <v>4</v>
      </c>
      <c r="F41">
        <f ca="1">SUMIF(tables_429010!J:J,input_429010!E41,tables_429010!O:O)</f>
        <v>46682999.999839984</v>
      </c>
      <c r="G41">
        <f ca="1">F41/A36</f>
        <v>0.44999999999845752</v>
      </c>
    </row>
    <row r="42" spans="1:7" x14ac:dyDescent="0.15">
      <c r="A42" s="33" t="s">
        <v>106</v>
      </c>
      <c r="B42">
        <f ca="1">SUMIF(tables_429010!C:C,input_429010!A42,tables_429010!O:O)</f>
        <v>2420600</v>
      </c>
      <c r="C42" s="54">
        <f t="shared" ca="1" si="9"/>
        <v>4.1121908127208485E-2</v>
      </c>
      <c r="E42">
        <v>5</v>
      </c>
      <c r="F42">
        <f ca="1">SUMIF(tables_429010!J:J,input_429010!E42,tables_429010!O:O)</f>
        <v>5187000.0001600012</v>
      </c>
      <c r="G42">
        <f ca="1">F42/A36</f>
        <v>5.0000000001542332E-2</v>
      </c>
    </row>
    <row r="43" spans="1:7" x14ac:dyDescent="0.15">
      <c r="A43" s="33" t="s">
        <v>109</v>
      </c>
      <c r="B43">
        <f>SUMIF(tables_429010!C:C,input_429010!A43,tables_429010!O:O)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SUMIF(tables_429010!C:C,input_429010!A44,tables_429010!O:O)</f>
        <v>1391750.0001600005</v>
      </c>
      <c r="C44" s="54">
        <f t="shared" ca="1" si="9"/>
        <v>2.3643483286219093E-2</v>
      </c>
      <c r="E44" t="s">
        <v>54</v>
      </c>
      <c r="F44" s="55"/>
    </row>
    <row r="45" spans="1:7" x14ac:dyDescent="0.15">
      <c r="A45" s="33" t="s">
        <v>107</v>
      </c>
      <c r="B45">
        <f ca="1">SUMIF(tables_429010!C:C,input_429010!A45,tables_429010!O:O)</f>
        <v>127400</v>
      </c>
      <c r="C45" s="54">
        <f t="shared" ca="1" si="9"/>
        <v>2.1643109540636046E-3</v>
      </c>
      <c r="E45" t="s">
        <v>204</v>
      </c>
      <c r="F45" s="55">
        <f ca="1">SUMIF(tables_429010!I:I,input_429010!E45,tables_429010!P:P)</f>
        <v>0.20879120879120869</v>
      </c>
    </row>
    <row r="46" spans="1:7" x14ac:dyDescent="0.15">
      <c r="A46" s="33" t="s">
        <v>108</v>
      </c>
      <c r="B46">
        <f>SUMIF(tables_429010!C:C,input_429010!A46,tables_429010!O:O)</f>
        <v>0</v>
      </c>
      <c r="C46" s="54">
        <f t="shared" ca="1" si="9"/>
        <v>0</v>
      </c>
      <c r="E46" t="s">
        <v>205</v>
      </c>
      <c r="F46" s="55">
        <f ca="1">SUMIF(tables_429010!I:I,input_429010!E46,tables_429010!P:P)</f>
        <v>0.20879120879120891</v>
      </c>
    </row>
    <row r="47" spans="1:7" x14ac:dyDescent="0.15">
      <c r="A47" s="39" t="s">
        <v>59</v>
      </c>
      <c r="B47">
        <f ca="1">SUM(B40:B46)</f>
        <v>58863999.999999993</v>
      </c>
      <c r="C47" s="55">
        <f ca="1">SUM(C40:C46)</f>
        <v>1</v>
      </c>
      <c r="E47" t="s">
        <v>206</v>
      </c>
      <c r="F47" s="55">
        <f ca="1">SUMIF(tables_429010!I:I,input_429010!E47,tables_429010!P:P)</f>
        <v>0.53241758241758275</v>
      </c>
    </row>
    <row r="48" spans="1:7" x14ac:dyDescent="0.15">
      <c r="E48" t="s">
        <v>207</v>
      </c>
      <c r="F48" s="55">
        <f ca="1">SUMIF(tables_429010!I:I,input_429010!E48,tables_429010!P:P)</f>
        <v>4.6491228070175479E-2</v>
      </c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 enableFormatConditionsCalculation="0">
    <tabColor theme="5"/>
  </sheetPr>
  <dimension ref="A1:V48"/>
  <sheetViews>
    <sheetView workbookViewId="0">
      <selection activeCell="F37" sqref="F37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429011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VLOOKUP(L3,tables_429011!B:C,2,FALSE)</f>
        <v>#N/A</v>
      </c>
      <c r="R3" s="62">
        <f t="shared" ref="R3:R20" si="1">N3*A$36</f>
        <v>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VLOOKUP(L4,tables_429011!B:C,2,FALSE)</f>
        <v>#N/A</v>
      </c>
      <c r="R4" s="62">
        <f t="shared" si="1"/>
        <v>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f>50%</f>
        <v>0.5</v>
      </c>
      <c r="D5" t="s">
        <v>201</v>
      </c>
      <c r="E5" s="43">
        <f>(B11-H5)/(F5-I5)</f>
        <v>5.263157894736842E-4</v>
      </c>
      <c r="F5">
        <f>(COUNTIF(tables_429011!C:C,input_429011!A28)+COUNTIF(tables_429011!C:C,input_429011!A29))</f>
        <v>57</v>
      </c>
      <c r="H5" s="84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VLOOKUP(L5,tables_429011!B:C,2,FALSE)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f>1-B5-B7</f>
        <v>0.45</v>
      </c>
      <c r="D6" t="s">
        <v>202</v>
      </c>
      <c r="E6" s="76">
        <f>(B10-H6)/(F6-I6)</f>
        <v>1.0659340659340658E-2</v>
      </c>
      <c r="F6">
        <f>(COUNTIF(tables_429011!C:C,input_429011!A25)+COUNTIF(tables_429011!C:C,input_429011!A18)+COUNTIF(tables_429011!C:C,input_429011!A20)+COUNTIF(tables_429011!C:C,input_429011!A22))</f>
        <v>91</v>
      </c>
      <c r="H6" s="89">
        <v>0</v>
      </c>
      <c r="I6" s="31">
        <v>0</v>
      </c>
      <c r="L6" s="94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VLOOKUP(L6,tables_429011!B:C,2,FALSE)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0.05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VLOOKUP(L7,tables_429011!B:C,2,FALSE)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VLOOKUP(L8,tables_429011!B:C,2,FALSE)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8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VLOOKUP(L9,tables_429011!B:C,2,FALSE)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0.97</v>
      </c>
      <c r="C10" t="s">
        <v>208</v>
      </c>
      <c r="L10" s="88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VLOOKUP(L10,tables_429011!B:C,2,FALSE)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0.03</v>
      </c>
      <c r="C11" t="s">
        <v>243</v>
      </c>
      <c r="L11" s="88"/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VLOOKUP(L11,tables_429011!B:C,2,FALSE)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VLOOKUP(L12,tables_429011!B:C,2,FALSE)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VLOOKUP(L13,tables_429011!B:C,2,FALSE)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VLOOKUP(L14,tables_429011!B:C,2,FALSE)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VLOOKUP(L15,tables_429011!B:C,2,FALSE)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VLOOKUP(L16,tables_429011!B:C,2,FALSE)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</f>
        <v>0.20153846153846156</v>
      </c>
      <c r="C17" s="85">
        <f t="shared" ref="C17:C31" si="2">SUMIF(Q:Q,A17,N:N)</f>
        <v>0</v>
      </c>
      <c r="D17" s="74">
        <f t="shared" ref="D17:D32" si="3">B17-C17</f>
        <v>0.20153846153846156</v>
      </c>
      <c r="E17">
        <f>COUNTIF(tables_429011!C:C,input_429011!A17)-COUNTIF(Q:Q,A17)</f>
        <v>20</v>
      </c>
      <c r="F17" s="43">
        <f>IFERROR(B17/E17,0)</f>
        <v>1.0076923076923077E-2</v>
      </c>
      <c r="G17">
        <f t="shared" ref="G17:G31" si="4">A$36*B17</f>
        <v>20907600</v>
      </c>
      <c r="H17">
        <f t="shared" ref="H17:H31" si="5">IFERROR(ROUND(G17/E17,5),0)</f>
        <v>1045380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VLOOKUP(L17,tables_429011!B:C,2,FALSE)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E$6*E18-B17</f>
        <v>1.1648351648351596E-2</v>
      </c>
      <c r="C18" s="85">
        <f t="shared" si="2"/>
        <v>0</v>
      </c>
      <c r="D18" s="74">
        <f t="shared" si="3"/>
        <v>1.1648351648351596E-2</v>
      </c>
      <c r="E18">
        <f>COUNTIF(tables_429011!C:C,input_429011!A18)-COUNTIF(Q:Q,A18)</f>
        <v>20</v>
      </c>
      <c r="F18" s="43">
        <f>IFERROR(B18/E18,0)</f>
        <v>5.8241758241757977E-4</v>
      </c>
      <c r="G18">
        <f t="shared" si="4"/>
        <v>1208399.9999999946</v>
      </c>
      <c r="H18">
        <f t="shared" si="5"/>
        <v>60420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VLOOKUP(L18,tables_429011!B:C,2,FALSE)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0.27714285714285714</v>
      </c>
      <c r="C19" s="85">
        <f t="shared" si="2"/>
        <v>0</v>
      </c>
      <c r="D19" s="74">
        <f t="shared" si="3"/>
        <v>0.27714285714285714</v>
      </c>
      <c r="E19">
        <f>COUNTIF(tables_429011!C:C,input_429011!A19)-COUNTIF(Q:Q,A19)</f>
        <v>52</v>
      </c>
      <c r="F19" s="43">
        <f t="shared" ref="F19:F31" si="8">IFERROR(B19/E19,0)</f>
        <v>5.3296703296703291E-3</v>
      </c>
      <c r="G19">
        <f t="shared" si="4"/>
        <v>28750800</v>
      </c>
      <c r="H19">
        <f t="shared" si="5"/>
        <v>552900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VLOOKUP(L19,tables_429011!B:C,2,FALSE)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82">
        <f>E$6*E20*B$6+E34</f>
        <v>0.2532692307692308</v>
      </c>
      <c r="C20" s="85">
        <f t="shared" si="2"/>
        <v>0</v>
      </c>
      <c r="D20" s="74">
        <f t="shared" si="3"/>
        <v>0.2532692307692308</v>
      </c>
      <c r="E20">
        <f>COUNTIF(tables_429011!C:C,input_429011!A20)-COUNTIF(Q:Q,A20)</f>
        <v>52</v>
      </c>
      <c r="F20" s="43">
        <f t="shared" si="8"/>
        <v>4.8705621301775156E-3</v>
      </c>
      <c r="G20">
        <f t="shared" si="4"/>
        <v>26274150.000000004</v>
      </c>
      <c r="H20">
        <f t="shared" si="5"/>
        <v>505272.11537999997</v>
      </c>
      <c r="I20">
        <f t="shared" si="6"/>
        <v>0.11537999997381121</v>
      </c>
      <c r="J20">
        <f t="shared" si="7"/>
        <v>8.6670133491677817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VLOOKUP(L20,tables_429011!B:C,2,FALSE)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98">
        <f>E$6*E21*B$7-E34</f>
        <v>2.3873626373626358E-2</v>
      </c>
      <c r="C21" s="85">
        <f t="shared" si="2"/>
        <v>0</v>
      </c>
      <c r="D21" s="74">
        <f t="shared" si="3"/>
        <v>2.3873626373626358E-2</v>
      </c>
      <c r="E21">
        <f>COUNTIF(tables_429011!C:C,input_429011!A21)-COUNTIF(Q:Q,A21)</f>
        <v>52</v>
      </c>
      <c r="F21" s="43">
        <f t="shared" si="8"/>
        <v>4.5910819949281458E-4</v>
      </c>
      <c r="G21">
        <f t="shared" si="4"/>
        <v>2476649.9999999981</v>
      </c>
      <c r="H21">
        <f t="shared" si="5"/>
        <v>47627.884619999997</v>
      </c>
      <c r="I21">
        <f t="shared" si="6"/>
        <v>0.88461999999708496</v>
      </c>
      <c r="J21">
        <f t="shared" si="7"/>
        <v>1.1304288847225874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0.15189560439560437</v>
      </c>
      <c r="C22" s="85">
        <f t="shared" si="2"/>
        <v>0</v>
      </c>
      <c r="D22" s="74">
        <f t="shared" si="3"/>
        <v>0.15189560439560437</v>
      </c>
      <c r="E22">
        <f>COUNTIF(tables_429011!C:C,input_429011!A22)-COUNTIF(Q:Q,A22)</f>
        <v>15</v>
      </c>
      <c r="F22" s="43">
        <f t="shared" si="8"/>
        <v>1.0126373626373624E-2</v>
      </c>
      <c r="G22">
        <f t="shared" si="4"/>
        <v>15757649.999999998</v>
      </c>
      <c r="H22">
        <f t="shared" si="5"/>
        <v>1050510</v>
      </c>
      <c r="I22">
        <f t="shared" si="6"/>
        <v>0</v>
      </c>
      <c r="J22">
        <f t="shared" si="7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7.9945054945054946E-3</v>
      </c>
      <c r="C23" s="85">
        <f t="shared" si="2"/>
        <v>0</v>
      </c>
      <c r="D23" s="74">
        <f t="shared" si="3"/>
        <v>7.9945054945054946E-3</v>
      </c>
      <c r="E23">
        <f>COUNTIF(tables_429011!C:C,input_429011!A23)-COUNTIF(Q:Q,A23)</f>
        <v>15</v>
      </c>
      <c r="F23" s="43">
        <f t="shared" si="8"/>
        <v>5.3296703296703293E-4</v>
      </c>
      <c r="G23">
        <f t="shared" si="4"/>
        <v>829350</v>
      </c>
      <c r="H23">
        <f t="shared" si="5"/>
        <v>55290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2.1318681318681316E-2</v>
      </c>
      <c r="C24" s="85">
        <f t="shared" si="2"/>
        <v>0</v>
      </c>
      <c r="D24" s="74">
        <f t="shared" si="3"/>
        <v>2.1318681318681316E-2</v>
      </c>
      <c r="E24">
        <f>COUNTIF(tables_429011!C:C,input_429011!A24)-COUNTIF(Q:Q,A24)</f>
        <v>4</v>
      </c>
      <c r="F24" s="43">
        <f t="shared" si="8"/>
        <v>5.3296703296703291E-3</v>
      </c>
      <c r="G24">
        <f t="shared" si="4"/>
        <v>2211600</v>
      </c>
      <c r="H24">
        <f t="shared" si="5"/>
        <v>552900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1.9186813186813187E-2</v>
      </c>
      <c r="C25" s="85">
        <f t="shared" si="2"/>
        <v>0</v>
      </c>
      <c r="D25" s="74">
        <f t="shared" si="3"/>
        <v>1.9186813186813187E-2</v>
      </c>
      <c r="E25">
        <f>COUNTIF(tables_429011!C:C,input_429011!A25)-COUNTIF(Q:Q,A25)</f>
        <v>4</v>
      </c>
      <c r="F25" s="43">
        <f t="shared" si="8"/>
        <v>4.7967032967032967E-3</v>
      </c>
      <c r="G25">
        <f t="shared" si="4"/>
        <v>1990440</v>
      </c>
      <c r="H25">
        <f t="shared" si="5"/>
        <v>497610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2.1318681318681317E-3</v>
      </c>
      <c r="C26" s="85">
        <f t="shared" si="2"/>
        <v>0</v>
      </c>
      <c r="D26" s="74">
        <f t="shared" si="3"/>
        <v>2.1318681318681317E-3</v>
      </c>
      <c r="E26">
        <f>COUNTIF(tables_429011!C:C,input_429011!A26)-COUNTIF(Q:Q,A26)</f>
        <v>4</v>
      </c>
      <c r="F26" s="43">
        <f t="shared" si="8"/>
        <v>5.3296703296703293E-4</v>
      </c>
      <c r="G26">
        <f t="shared" si="4"/>
        <v>221160</v>
      </c>
      <c r="H26">
        <f t="shared" si="5"/>
        <v>55290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1.3999999999999999E-2</v>
      </c>
      <c r="C27" s="85">
        <f t="shared" si="2"/>
        <v>0</v>
      </c>
      <c r="D27" s="74">
        <f t="shared" si="3"/>
        <v>1.3999999999999999E-2</v>
      </c>
      <c r="E27">
        <f>COUNTIF(tables_429011!C:C,input_429011!A27)-COUNTIF(Q:Q,A27)</f>
        <v>28</v>
      </c>
      <c r="F27" s="43">
        <f>IFERROR(B27/E27,0)</f>
        <v>4.999999999999999E-4</v>
      </c>
      <c r="G27">
        <f t="shared" si="4"/>
        <v>1452359.9999999998</v>
      </c>
      <c r="H27">
        <f t="shared" si="5"/>
        <v>51870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7.3684210526315792E-4</v>
      </c>
      <c r="C28" s="85">
        <f t="shared" si="2"/>
        <v>0</v>
      </c>
      <c r="D28" s="74">
        <f t="shared" si="3"/>
        <v>7.3684210526315792E-4</v>
      </c>
      <c r="E28">
        <f>COUNTIF(tables_429011!C:C,input_429011!A28)-COUNTIF(Q:Q,A28)</f>
        <v>28</v>
      </c>
      <c r="F28" s="43">
        <f t="shared" si="8"/>
        <v>2.6315789473684212E-5</v>
      </c>
      <c r="G28">
        <f t="shared" si="4"/>
        <v>76440</v>
      </c>
      <c r="H28">
        <f t="shared" si="5"/>
        <v>2730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1.5263157894736841E-2</v>
      </c>
      <c r="C29" s="85">
        <f t="shared" si="2"/>
        <v>0</v>
      </c>
      <c r="D29" s="74">
        <f t="shared" si="3"/>
        <v>1.5263157894736841E-2</v>
      </c>
      <c r="E29">
        <f>COUNTIF(tables_429011!C:C,input_429011!A29)-COUNTIF(Q:Q,A29)</f>
        <v>29</v>
      </c>
      <c r="F29" s="43">
        <f t="shared" si="8"/>
        <v>5.263157894736842E-4</v>
      </c>
      <c r="G29">
        <f t="shared" si="4"/>
        <v>1583400</v>
      </c>
      <c r="H29">
        <f t="shared" si="5"/>
        <v>54600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5">
        <f t="shared" si="2"/>
        <v>0</v>
      </c>
      <c r="D30" s="74">
        <f t="shared" si="3"/>
        <v>0</v>
      </c>
      <c r="E30">
        <f>COUNTIF(tables_429011!C:C,input_429011!A30)-COUNTIF(Q:Q,A30)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5">
        <f t="shared" si="2"/>
        <v>0</v>
      </c>
      <c r="D31" s="74">
        <f t="shared" si="3"/>
        <v>0</v>
      </c>
      <c r="E31">
        <f>COUNTIF(tables_429011!C:C,input_429011!A31)-COUNTIF(Q:Q,A31)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0.99999999999999989</v>
      </c>
      <c r="C32" s="41">
        <f>SUM(C19:C31)</f>
        <v>0</v>
      </c>
      <c r="D32" s="42">
        <f t="shared" si="3"/>
        <v>0.99999999999999989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>
        <v>3.8406593406593581E-3</v>
      </c>
    </row>
    <row r="35" spans="1:7" x14ac:dyDescent="0.15">
      <c r="A35" t="s">
        <v>73</v>
      </c>
    </row>
    <row r="36" spans="1:7" x14ac:dyDescent="0.15">
      <c r="A36" s="31">
        <f>LCM(F5-I5,F6-I6)*1000*2*2*5</f>
        <v>103740000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SUMIF(tables_429011!C:C,input_429011!A40,tables_429011!O:O)</f>
        <v>28750800</v>
      </c>
      <c r="C40" s="54">
        <f t="shared" ref="C40:C46" ca="1" si="9">B40/B$47</f>
        <v>0.48705073995771658</v>
      </c>
      <c r="E40">
        <v>3</v>
      </c>
      <c r="F40">
        <f ca="1">SUMIF(tables_429011!J:J,input_429011!E40,tables_429011!O:O)</f>
        <v>51870000</v>
      </c>
      <c r="G40">
        <f ca="1">F40/A36</f>
        <v>0.5</v>
      </c>
    </row>
    <row r="41" spans="1:7" x14ac:dyDescent="0.15">
      <c r="A41" s="33" t="s">
        <v>104</v>
      </c>
      <c r="B41">
        <f ca="1">SUMIF(tables_429011!C:C,input_429011!A41,tables_429011!O:O)</f>
        <v>26274149.999760013</v>
      </c>
      <c r="C41" s="54">
        <f t="shared" ca="1" si="9"/>
        <v>0.44509523905919673</v>
      </c>
      <c r="E41">
        <v>4</v>
      </c>
      <c r="F41">
        <f ca="1">SUMIF(tables_429011!J:J,input_429011!E41,tables_429011!O:O)</f>
        <v>46682999.999760017</v>
      </c>
      <c r="G41">
        <f ca="1">F41/A36</f>
        <v>0.44999999999768669</v>
      </c>
    </row>
    <row r="42" spans="1:7" x14ac:dyDescent="0.15">
      <c r="A42" s="33" t="s">
        <v>106</v>
      </c>
      <c r="B42">
        <f ca="1">SUMIF(tables_429011!C:C,input_429011!A42,tables_429011!O:O)</f>
        <v>1452360</v>
      </c>
      <c r="C42" s="54">
        <f t="shared" ca="1" si="9"/>
        <v>2.460359408033826E-2</v>
      </c>
      <c r="E42">
        <v>5</v>
      </c>
      <c r="F42">
        <f ca="1">SUMIF(tables_429011!J:J,input_429011!E42,tables_429011!O:O)</f>
        <v>5187000.00024</v>
      </c>
      <c r="G42">
        <f ca="1">F42/A36</f>
        <v>5.0000000002313479E-2</v>
      </c>
    </row>
    <row r="43" spans="1:7" x14ac:dyDescent="0.15">
      <c r="A43" s="33" t="s">
        <v>109</v>
      </c>
      <c r="B43">
        <f>SUMIF(tables_429011!C:C,input_429011!A43,tables_429011!O:O)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SUMIF(tables_429011!C:C,input_429011!A44,tables_429011!O:O)</f>
        <v>2476650.0002399995</v>
      </c>
      <c r="C44" s="54">
        <f t="shared" ca="1" si="9"/>
        <v>4.1955500898520064E-2</v>
      </c>
      <c r="E44" t="s">
        <v>54</v>
      </c>
      <c r="F44" s="55"/>
    </row>
    <row r="45" spans="1:7" x14ac:dyDescent="0.15">
      <c r="A45" s="33" t="s">
        <v>107</v>
      </c>
      <c r="B45">
        <f ca="1">SUMIF(tables_429011!C:C,input_429011!A45,tables_429011!O:O)</f>
        <v>76440</v>
      </c>
      <c r="C45" s="54">
        <f t="shared" ca="1" si="9"/>
        <v>1.2949260042283296E-3</v>
      </c>
      <c r="E45" t="s">
        <v>204</v>
      </c>
      <c r="F45" s="55">
        <f ca="1">SUMIF(tables_429011!I:I,input_429011!E45,tables_429011!P:P)</f>
        <v>0.21318681318681318</v>
      </c>
    </row>
    <row r="46" spans="1:7" x14ac:dyDescent="0.15">
      <c r="A46" s="33" t="s">
        <v>108</v>
      </c>
      <c r="B46">
        <f>SUMIF(tables_429011!C:C,input_429011!A46,tables_429011!O:O)</f>
        <v>0</v>
      </c>
      <c r="C46" s="54">
        <f t="shared" ca="1" si="9"/>
        <v>0</v>
      </c>
      <c r="E46" t="s">
        <v>205</v>
      </c>
      <c r="F46" s="55">
        <f ca="1">SUMIF(tables_429011!I:I,input_429011!E46,tables_429011!P:P)</f>
        <v>0.21318681318681315</v>
      </c>
    </row>
    <row r="47" spans="1:7" x14ac:dyDescent="0.15">
      <c r="A47" s="39" t="s">
        <v>59</v>
      </c>
      <c r="B47">
        <f ca="1">SUM(B40:B46)</f>
        <v>59030400.000000015</v>
      </c>
      <c r="C47" s="55">
        <f ca="1">SUM(C40:C46)</f>
        <v>1</v>
      </c>
      <c r="E47" t="s">
        <v>206</v>
      </c>
      <c r="F47" s="55">
        <f ca="1">SUMIF(tables_429011!I:I,input_429011!E47,tables_429011!P:P)</f>
        <v>0.54362637362637389</v>
      </c>
    </row>
    <row r="48" spans="1:7" x14ac:dyDescent="0.15">
      <c r="E48" t="s">
        <v>207</v>
      </c>
      <c r="F48" s="55">
        <f ca="1">SUMIF(tables_429011!I:I,input_429011!E48,tables_429011!P:P)</f>
        <v>2.7894736842105264E-2</v>
      </c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>
    <tabColor rgb="FF0000FF"/>
    <outlinePr summaryBelow="0" summaryRight="0"/>
  </sheetPr>
  <dimension ref="A1:V324"/>
  <sheetViews>
    <sheetView showGridLines="0" zoomScale="75" zoomScaleNormal="75" zoomScalePageLayoutView="75" workbookViewId="0">
      <pane ySplit="1" topLeftCell="A291" activePane="bottomLeft" state="frozen"/>
      <selection activeCell="H276" sqref="H276"/>
      <selection pane="bottomLeft" activeCell="B320" sqref="B320:B324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input_429010!A$2</f>
        <v>429010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IF(OR(I2="PremiumSS",I2="PremiumSSw"),"PremiumSS",IF(I2="PremiumSSS",I2,IF(I2="PremiumW",I2,"Premium")))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IFERROR(VLOOKUP(B2,input_429010!L:R,7,FALSE),VLOOKUP(tables_429010!C2,input_429010!A:H,8,FALSE))</f>
        <v>1077300</v>
      </c>
      <c r="P2" s="46">
        <f t="shared" ref="P2:P65" ca="1" si="1">O2/SUM(O:O)</f>
        <v>1.0384615384615384E-2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input_429010!A$2</f>
        <v>429010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IF(OR(I3="PremiumSS",I3="PremiumSSw"),"PremiumSS",IF(I3="PremiumSSS",I3,IF(I3="PremiumW",I3,"Premium")))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IFERROR(VLOOKUP(B3,input_429010!L:R,7,FALSE),VLOOKUP(tables_429010!C3,input_429010!A:H,8,FALSE))</f>
        <v>5700</v>
      </c>
      <c r="P3" s="46">
        <f t="shared" ca="1" si="1"/>
        <v>5.4945054945054945E-5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input_429010!A$2</f>
        <v>429010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IFERROR(VLOOKUP(B4,input_429010!L:R,7,FALSE),VLOOKUP(tables_429010!C4,input_429010!A:H,8,FALSE))</f>
        <v>1077300</v>
      </c>
      <c r="P4" s="46">
        <f t="shared" ca="1" si="1"/>
        <v>1.0384615384615384E-2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input_429010!A$2</f>
        <v>429010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IFERROR(VLOOKUP(B5,input_429010!L:R,7,FALSE),VLOOKUP(tables_429010!C5,input_429010!A:H,8,FALSE))</f>
        <v>5700</v>
      </c>
      <c r="P5" s="46">
        <f t="shared" ca="1" si="1"/>
        <v>5.4945054945054945E-5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input_429010!A$2</f>
        <v>429010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IFERROR(VLOOKUP(B6,input_429010!L:R,7,FALSE),VLOOKUP(tables_429010!C6,input_429010!A:H,8,FALSE))</f>
        <v>1077300</v>
      </c>
      <c r="P6" s="46">
        <f t="shared" ca="1" si="1"/>
        <v>1.0384615384615384E-2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input_429010!A$2</f>
        <v>429010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IFERROR(VLOOKUP(B7,input_429010!L:R,7,FALSE),VLOOKUP(tables_429010!C7,input_429010!A:H,8,FALSE))</f>
        <v>5700</v>
      </c>
      <c r="P7" s="46">
        <f t="shared" ca="1" si="1"/>
        <v>5.4945054945054945E-5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input_429010!A$2</f>
        <v>429010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IFERROR(VLOOKUP(B8,input_429010!L:R,7,FALSE),VLOOKUP(tables_429010!C8,input_429010!A:H,8,FALSE))</f>
        <v>1077300</v>
      </c>
      <c r="P8" s="46">
        <f t="shared" ca="1" si="1"/>
        <v>1.0384615384615384E-2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input_429010!A$2</f>
        <v>429010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IFERROR(VLOOKUP(B9,input_429010!L:R,7,FALSE),VLOOKUP(tables_429010!C9,input_429010!A:H,8,FALSE))</f>
        <v>5700</v>
      </c>
      <c r="P9" s="46">
        <f t="shared" ca="1" si="1"/>
        <v>5.4945054945054945E-5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input_429010!A$2</f>
        <v>429010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IFERROR(VLOOKUP(B10,input_429010!L:R,7,FALSE),VLOOKUP(tables_429010!C10,input_429010!A:H,8,FALSE))</f>
        <v>1077300</v>
      </c>
      <c r="P10" s="46">
        <f t="shared" ca="1" si="1"/>
        <v>1.0384615384615384E-2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input_429010!A$2</f>
        <v>429010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IFERROR(VLOOKUP(B11,input_429010!L:R,7,FALSE),VLOOKUP(tables_429010!C11,input_429010!A:H,8,FALSE))</f>
        <v>5700</v>
      </c>
      <c r="P11" s="46">
        <f t="shared" ca="1" si="1"/>
        <v>5.4945054945054945E-5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input_429010!A$2</f>
        <v>429010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IFERROR(VLOOKUP(B12,input_429010!L:R,7,FALSE),VLOOKUP(tables_429010!C12,input_429010!A:H,8,FALSE))</f>
        <v>1077300</v>
      </c>
      <c r="P12" s="46">
        <f t="shared" ca="1" si="1"/>
        <v>1.0384615384615384E-2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input_429010!A$2</f>
        <v>429010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IFERROR(VLOOKUP(B13,input_429010!L:R,7,FALSE),VLOOKUP(tables_429010!C13,input_429010!A:H,8,FALSE))</f>
        <v>5700</v>
      </c>
      <c r="P13" s="46">
        <f t="shared" ca="1" si="1"/>
        <v>5.4945054945054945E-5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input_429010!A$2</f>
        <v>429010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IFERROR(VLOOKUP(B14,input_429010!L:R,7,FALSE),VLOOKUP(tables_429010!C14,input_429010!A:H,8,FALSE))</f>
        <v>1077300</v>
      </c>
      <c r="P14" s="46">
        <f t="shared" ca="1" si="1"/>
        <v>1.0384615384615384E-2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input_429010!A$2</f>
        <v>429010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IFERROR(VLOOKUP(B15,input_429010!L:R,7,FALSE),VLOOKUP(tables_429010!C15,input_429010!A:H,8,FALSE))</f>
        <v>5700</v>
      </c>
      <c r="P15" s="46">
        <f t="shared" ca="1" si="1"/>
        <v>5.4945054945054945E-5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input_429010!A$2</f>
        <v>429010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IFERROR(VLOOKUP(B16,input_429010!L:R,7,FALSE),VLOOKUP(tables_429010!C16,input_429010!A:H,8,FALSE))</f>
        <v>1077300</v>
      </c>
      <c r="P16" s="46">
        <f t="shared" ca="1" si="1"/>
        <v>1.0384615384615384E-2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input_429010!A$2</f>
        <v>429010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IFERROR(VLOOKUP(B17,input_429010!L:R,7,FALSE),VLOOKUP(tables_429010!C17,input_429010!A:H,8,FALSE))</f>
        <v>5700</v>
      </c>
      <c r="P17" s="46">
        <f t="shared" ca="1" si="1"/>
        <v>5.4945054945054945E-5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input_429010!A$2</f>
        <v>429010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IFERROR(VLOOKUP(B18,input_429010!L:R,7,FALSE),VLOOKUP(tables_429010!C18,input_429010!A:H,8,FALSE))</f>
        <v>1077300</v>
      </c>
      <c r="P18" s="46">
        <f t="shared" ca="1" si="1"/>
        <v>1.0384615384615384E-2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input_429010!A$2</f>
        <v>429010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IFERROR(VLOOKUP(B19,input_429010!L:R,7,FALSE),VLOOKUP(tables_429010!C19,input_429010!A:H,8,FALSE))</f>
        <v>5700</v>
      </c>
      <c r="P19" s="46">
        <f t="shared" ca="1" si="1"/>
        <v>5.4945054945054945E-5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input_429010!A$2</f>
        <v>429010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IFERROR(VLOOKUP(B20,input_429010!L:R,7,FALSE),VLOOKUP(tables_429010!C20,input_429010!A:H,8,FALSE))</f>
        <v>1077300</v>
      </c>
      <c r="P20" s="46">
        <f t="shared" ca="1" si="1"/>
        <v>1.0384615384615384E-2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input_429010!A$2</f>
        <v>429010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IFERROR(VLOOKUP(B21,input_429010!L:R,7,FALSE),VLOOKUP(tables_429010!C21,input_429010!A:H,8,FALSE))</f>
        <v>5700</v>
      </c>
      <c r="P21" s="46">
        <f t="shared" ca="1" si="1"/>
        <v>5.4945054945054945E-5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input_429010!A$2</f>
        <v>429010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IFERROR(VLOOKUP(B22,input_429010!L:R,7,FALSE),VLOOKUP(tables_429010!C22,input_429010!A:H,8,FALSE))</f>
        <v>1077300</v>
      </c>
      <c r="P22" s="46">
        <f t="shared" ca="1" si="1"/>
        <v>1.0384615384615384E-2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input_429010!A$2</f>
        <v>429010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IFERROR(VLOOKUP(B23,input_429010!L:R,7,FALSE),VLOOKUP(tables_429010!C23,input_429010!A:H,8,FALSE))</f>
        <v>5700</v>
      </c>
      <c r="P23" s="46">
        <f t="shared" ca="1" si="1"/>
        <v>5.4945054945054945E-5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input_429010!A$2</f>
        <v>429010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IFERROR(VLOOKUP(B24,input_429010!L:R,7,FALSE),VLOOKUP(tables_429010!C24,input_429010!A:H,8,FALSE))</f>
        <v>1077300</v>
      </c>
      <c r="P24" s="46">
        <f t="shared" ca="1" si="1"/>
        <v>1.0384615384615384E-2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input_429010!A$2</f>
        <v>429010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IFERROR(VLOOKUP(B25,input_429010!L:R,7,FALSE),VLOOKUP(tables_429010!C25,input_429010!A:H,8,FALSE))</f>
        <v>5700</v>
      </c>
      <c r="P25" s="46">
        <f t="shared" ca="1" si="1"/>
        <v>5.4945054945054945E-5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input_429010!A$2</f>
        <v>429010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IFERROR(VLOOKUP(B26,input_429010!L:R,7,FALSE),VLOOKUP(tables_429010!C26,input_429010!A:H,8,FALSE))</f>
        <v>1077300</v>
      </c>
      <c r="P26" s="46">
        <f t="shared" ca="1" si="1"/>
        <v>1.0384615384615384E-2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input_429010!A$2</f>
        <v>429010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IFERROR(VLOOKUP(B27,input_429010!L:R,7,FALSE),VLOOKUP(tables_429010!C27,input_429010!A:H,8,FALSE))</f>
        <v>5700</v>
      </c>
      <c r="P27" s="46">
        <f t="shared" ca="1" si="1"/>
        <v>5.4945054945054945E-5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input_429010!A$2</f>
        <v>429010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IFERROR(VLOOKUP(B28,input_429010!L:R,7,FALSE),VLOOKUP(tables_429010!C28,input_429010!A:H,8,FALSE))</f>
        <v>1077300</v>
      </c>
      <c r="P28" s="46">
        <f t="shared" ca="1" si="1"/>
        <v>1.0384615384615384E-2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input_429010!A$2</f>
        <v>429010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IFERROR(VLOOKUP(B29,input_429010!L:R,7,FALSE),VLOOKUP(tables_429010!C29,input_429010!A:H,8,FALSE))</f>
        <v>5700</v>
      </c>
      <c r="P29" s="46">
        <f t="shared" ca="1" si="1"/>
        <v>5.4945054945054945E-5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input_429010!A$2</f>
        <v>429010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IFERROR(VLOOKUP(B30,input_429010!L:R,7,FALSE),VLOOKUP(tables_429010!C30,input_429010!A:H,8,FALSE))</f>
        <v>1077300</v>
      </c>
      <c r="P30" s="46">
        <f t="shared" ca="1" si="1"/>
        <v>1.0384615384615384E-2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input_429010!A$2</f>
        <v>429010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IFERROR(VLOOKUP(B31,input_429010!L:R,7,FALSE),VLOOKUP(tables_429010!C31,input_429010!A:H,8,FALSE))</f>
        <v>5700</v>
      </c>
      <c r="P31" s="46">
        <f t="shared" ca="1" si="1"/>
        <v>5.4945054945054945E-5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input_429010!A$2</f>
        <v>429010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IFERROR(VLOOKUP(B32,input_429010!L:R,7,FALSE),VLOOKUP(tables_429010!C32,input_429010!A:H,8,FALSE))</f>
        <v>1077300</v>
      </c>
      <c r="P32" s="46">
        <f t="shared" ca="1" si="1"/>
        <v>1.0384615384615384E-2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input_429010!A$2</f>
        <v>429010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IFERROR(VLOOKUP(B33,input_429010!L:R,7,FALSE),VLOOKUP(tables_429010!C33,input_429010!A:H,8,FALSE))</f>
        <v>5700</v>
      </c>
      <c r="P33" s="46">
        <f t="shared" ca="1" si="1"/>
        <v>5.4945054945054945E-5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input_429010!A$2</f>
        <v>429010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IFERROR(VLOOKUP(B34,input_429010!L:R,7,FALSE),VLOOKUP(tables_429010!C34,input_429010!A:H,8,FALSE))</f>
        <v>1077300</v>
      </c>
      <c r="P34" s="46">
        <f t="shared" ca="1" si="1"/>
        <v>1.0384615384615384E-2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input_429010!A$2</f>
        <v>429010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IFERROR(VLOOKUP(B35,input_429010!L:R,7,FALSE),VLOOKUP(tables_429010!C35,input_429010!A:H,8,FALSE))</f>
        <v>5700</v>
      </c>
      <c r="P35" s="46">
        <f t="shared" ca="1" si="1"/>
        <v>5.4945054945054945E-5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input_429010!A$2</f>
        <v>429010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IFERROR(VLOOKUP(B36,input_429010!L:R,7,FALSE),VLOOKUP(tables_429010!C36,input_429010!A:H,8,FALSE))</f>
        <v>1077300</v>
      </c>
      <c r="P36" s="46">
        <f t="shared" ca="1" si="1"/>
        <v>1.0384615384615384E-2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input_429010!A$2</f>
        <v>429010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IFERROR(VLOOKUP(B37,input_429010!L:R,7,FALSE),VLOOKUP(tables_429010!C37,input_429010!A:H,8,FALSE))</f>
        <v>5700</v>
      </c>
      <c r="P37" s="46">
        <f t="shared" ca="1" si="1"/>
        <v>5.4945054945054945E-5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input_429010!A$2</f>
        <v>429010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IFERROR(VLOOKUP(B38,input_429010!L:R,7,FALSE),VLOOKUP(tables_429010!C38,input_429010!A:H,8,FALSE))</f>
        <v>1077300</v>
      </c>
      <c r="P38" s="46">
        <f t="shared" ca="1" si="1"/>
        <v>1.0384615384615384E-2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input_429010!A$2</f>
        <v>429010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IFERROR(VLOOKUP(B39,input_429010!L:R,7,FALSE),VLOOKUP(tables_429010!C39,input_429010!A:H,8,FALSE))</f>
        <v>5700</v>
      </c>
      <c r="P39" s="46">
        <f t="shared" ca="1" si="1"/>
        <v>5.4945054945054945E-5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input_429010!A$2</f>
        <v>429010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IFERROR(VLOOKUP(B40,input_429010!L:R,7,FALSE),VLOOKUP(tables_429010!C40,input_429010!A:H,8,FALSE))</f>
        <v>1077300</v>
      </c>
      <c r="P40" s="46">
        <f t="shared" ca="1" si="1"/>
        <v>1.0384615384615384E-2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input_429010!A$2</f>
        <v>429010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IFERROR(VLOOKUP(B41,input_429010!L:R,7,FALSE),VLOOKUP(tables_429010!C41,input_429010!A:H,8,FALSE))</f>
        <v>5700</v>
      </c>
      <c r="P41" s="46">
        <f t="shared" ca="1" si="1"/>
        <v>5.4945054945054945E-5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input_429010!A$2</f>
        <v>429010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IFERROR(VLOOKUP(B42,input_429010!L:R,7,FALSE),VLOOKUP(tables_429010!C42,input_429010!A:H,8,FALSE))</f>
        <v>541500</v>
      </c>
      <c r="P42" s="46">
        <f t="shared" ca="1" si="1"/>
        <v>5.2197802197802195E-3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input_429010!A$2</f>
        <v>429010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IFERROR(VLOOKUP(B43,input_429010!L:R,7,FALSE),VLOOKUP(tables_429010!C43,input_429010!A:H,8,FALSE))</f>
        <v>487350</v>
      </c>
      <c r="P43" s="46">
        <f t="shared" ca="1" si="1"/>
        <v>4.6978021978021974E-3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input_429010!A$2</f>
        <v>429010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IFERROR(VLOOKUP(B44,input_429010!L:R,7,FALSE),VLOOKUP(tables_429010!C44,input_429010!A:H,8,FALSE))</f>
        <v>54150</v>
      </c>
      <c r="P44" s="46">
        <f t="shared" ca="1" si="1"/>
        <v>5.2197802197802203E-4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input_429010!A$2</f>
        <v>429010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IFERROR(VLOOKUP(B45,input_429010!L:R,7,FALSE),VLOOKUP(tables_429010!C45,input_429010!A:H,8,FALSE))</f>
        <v>541500</v>
      </c>
      <c r="P45" s="46">
        <f t="shared" ca="1" si="1"/>
        <v>5.2197802197802195E-3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input_429010!A$2</f>
        <v>429010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IFERROR(VLOOKUP(B46,input_429010!L:R,7,FALSE),VLOOKUP(tables_429010!C46,input_429010!A:H,8,FALSE))</f>
        <v>487350</v>
      </c>
      <c r="P46" s="46">
        <f t="shared" ca="1" si="1"/>
        <v>4.6978021978021974E-3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input_429010!A$2</f>
        <v>429010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IFERROR(VLOOKUP(B47,input_429010!L:R,7,FALSE),VLOOKUP(tables_429010!C47,input_429010!A:H,8,FALSE))</f>
        <v>54150</v>
      </c>
      <c r="P47" s="46">
        <f t="shared" ca="1" si="1"/>
        <v>5.2197802197802203E-4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input_429010!A$2</f>
        <v>429010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IFERROR(VLOOKUP(B48,input_429010!L:R,7,FALSE),VLOOKUP(tables_429010!C48,input_429010!A:H,8,FALSE))</f>
        <v>541500</v>
      </c>
      <c r="P48" s="46">
        <f t="shared" ca="1" si="1"/>
        <v>5.2197802197802195E-3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input_429010!A$2</f>
        <v>429010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IFERROR(VLOOKUP(B49,input_429010!L:R,7,FALSE),VLOOKUP(tables_429010!C49,input_429010!A:H,8,FALSE))</f>
        <v>487350</v>
      </c>
      <c r="P49" s="46">
        <f t="shared" ca="1" si="1"/>
        <v>4.6978021978021974E-3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input_429010!A$2</f>
        <v>429010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IFERROR(VLOOKUP(B50,input_429010!L:R,7,FALSE),VLOOKUP(tables_429010!C50,input_429010!A:H,8,FALSE))</f>
        <v>54150</v>
      </c>
      <c r="P50" s="46">
        <f t="shared" ca="1" si="1"/>
        <v>5.2197802197802203E-4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input_429010!A$2</f>
        <v>429010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IFERROR(VLOOKUP(B51,input_429010!L:R,7,FALSE),VLOOKUP(tables_429010!C51,input_429010!A:H,8,FALSE))</f>
        <v>541500</v>
      </c>
      <c r="P51" s="46">
        <f t="shared" ca="1" si="1"/>
        <v>5.2197802197802195E-3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input_429010!A$2</f>
        <v>429010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IFERROR(VLOOKUP(B52,input_429010!L:R,7,FALSE),VLOOKUP(tables_429010!C52,input_429010!A:H,8,FALSE))</f>
        <v>514735.57692000002</v>
      </c>
      <c r="P52" s="46">
        <f t="shared" ca="1" si="1"/>
        <v>4.9617850098322728E-3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input_429010!A$2</f>
        <v>429010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IFERROR(VLOOKUP(B53,input_429010!L:R,7,FALSE),VLOOKUP(tables_429010!C53,input_429010!A:H,8,FALSE))</f>
        <v>26764.42308</v>
      </c>
      <c r="P53" s="46">
        <f t="shared" ca="1" si="1"/>
        <v>2.5799520994794679E-4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input_429010!A$2</f>
        <v>429010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IFERROR(VLOOKUP(B54,input_429010!L:R,7,FALSE),VLOOKUP(tables_429010!C54,input_429010!A:H,8,FALSE))</f>
        <v>541500</v>
      </c>
      <c r="P54" s="46">
        <f t="shared" ca="1" si="1"/>
        <v>5.2197802197802195E-3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input_429010!A$2</f>
        <v>429010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IFERROR(VLOOKUP(B55,input_429010!L:R,7,FALSE),VLOOKUP(tables_429010!C55,input_429010!A:H,8,FALSE))</f>
        <v>514735.57692000002</v>
      </c>
      <c r="P55" s="46">
        <f t="shared" ca="1" si="1"/>
        <v>4.9617850098322728E-3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input_429010!A$2</f>
        <v>429010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IFERROR(VLOOKUP(B56,input_429010!L:R,7,FALSE),VLOOKUP(tables_429010!C56,input_429010!A:H,8,FALSE))</f>
        <v>26764.42308</v>
      </c>
      <c r="P56" s="46">
        <f t="shared" ca="1" si="1"/>
        <v>2.5799520994794679E-4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input_429010!A$2</f>
        <v>429010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IFERROR(VLOOKUP(B57,input_429010!L:R,7,FALSE),VLOOKUP(tables_429010!C57,input_429010!A:H,8,FALSE))</f>
        <v>541500</v>
      </c>
      <c r="P57" s="46">
        <f t="shared" ca="1" si="1"/>
        <v>5.2197802197802195E-3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input_429010!A$2</f>
        <v>429010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IFERROR(VLOOKUP(B58,input_429010!L:R,7,FALSE),VLOOKUP(tables_429010!C58,input_429010!A:H,8,FALSE))</f>
        <v>514735.57692000002</v>
      </c>
      <c r="P58" s="46">
        <f t="shared" ca="1" si="1"/>
        <v>4.9617850098322728E-3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input_429010!A$2</f>
        <v>429010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IFERROR(VLOOKUP(B59,input_429010!L:R,7,FALSE),VLOOKUP(tables_429010!C59,input_429010!A:H,8,FALSE))</f>
        <v>26764.42308</v>
      </c>
      <c r="P59" s="46">
        <f t="shared" ca="1" si="1"/>
        <v>2.5799520994794679E-4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input_429010!A$2</f>
        <v>429010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IFERROR(VLOOKUP(B60,input_429010!L:R,7,FALSE),VLOOKUP(tables_429010!C60,input_429010!A:H,8,FALSE))</f>
        <v>541500</v>
      </c>
      <c r="P60" s="46">
        <f t="shared" ca="1" si="1"/>
        <v>5.2197802197802195E-3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input_429010!A$2</f>
        <v>429010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IFERROR(VLOOKUP(B61,input_429010!L:R,7,FALSE),VLOOKUP(tables_429010!C61,input_429010!A:H,8,FALSE))</f>
        <v>514735.57692000002</v>
      </c>
      <c r="P61" s="46">
        <f t="shared" ca="1" si="1"/>
        <v>4.9617850098322728E-3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input_429010!A$2</f>
        <v>429010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IFERROR(VLOOKUP(B62,input_429010!L:R,7,FALSE),VLOOKUP(tables_429010!C62,input_429010!A:H,8,FALSE))</f>
        <v>26764.42308</v>
      </c>
      <c r="P62" s="46">
        <f t="shared" ca="1" si="1"/>
        <v>2.5799520994794679E-4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input_429010!A$2</f>
        <v>429010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IFERROR(VLOOKUP(B63,input_429010!L:R,7,FALSE),VLOOKUP(tables_429010!C63,input_429010!A:H,8,FALSE))</f>
        <v>541500</v>
      </c>
      <c r="P63" s="46">
        <f t="shared" ca="1" si="1"/>
        <v>5.2197802197802195E-3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input_429010!A$2</f>
        <v>429010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IFERROR(VLOOKUP(B64,input_429010!L:R,7,FALSE),VLOOKUP(tables_429010!C64,input_429010!A:H,8,FALSE))</f>
        <v>514735.57692000002</v>
      </c>
      <c r="P64" s="46">
        <f t="shared" ca="1" si="1"/>
        <v>4.9617850098322728E-3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input_429010!A$2</f>
        <v>429010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IFERROR(VLOOKUP(B65,input_429010!L:R,7,FALSE),VLOOKUP(tables_429010!C65,input_429010!A:H,8,FALSE))</f>
        <v>26764.42308</v>
      </c>
      <c r="P65" s="46">
        <f t="shared" ca="1" si="1"/>
        <v>2.5799520994794679E-4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input_429010!A$2</f>
        <v>429010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IFERROR(VLOOKUP(B66,input_429010!L:R,7,FALSE),VLOOKUP(tables_429010!C66,input_429010!A:H,8,FALSE))</f>
        <v>541500</v>
      </c>
      <c r="P66" s="46">
        <f t="shared" ref="P66:P129" ca="1" si="4">O66/SUM(O:O)</f>
        <v>5.2197802197802195E-3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input_429010!A$2</f>
        <v>429010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IF(OR(I67="PremiumSS",I67="PremiumSSw"),"PremiumSS",IF(I67="PremiumSSS",I67,IF(I67="PremiumW",I67,"Premium")))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IFERROR(VLOOKUP(B67,input_429010!L:R,7,FALSE),VLOOKUP(tables_429010!C67,input_429010!A:H,8,FALSE))</f>
        <v>514735.57692000002</v>
      </c>
      <c r="P67" s="46">
        <f t="shared" ca="1" si="4"/>
        <v>4.9617850098322728E-3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input_429010!A$2</f>
        <v>429010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IFERROR(VLOOKUP(B68,input_429010!L:R,7,FALSE),VLOOKUP(tables_429010!C68,input_429010!A:H,8,FALSE))</f>
        <v>26764.42308</v>
      </c>
      <c r="P68" s="46">
        <f t="shared" ca="1" si="4"/>
        <v>2.5799520994794679E-4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input_429010!A$2</f>
        <v>429010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IFERROR(VLOOKUP(B69,input_429010!L:R,7,FALSE),VLOOKUP(tables_429010!C69,input_429010!A:H,8,FALSE))</f>
        <v>541500</v>
      </c>
      <c r="P69" s="46">
        <f t="shared" ca="1" si="4"/>
        <v>5.2197802197802195E-3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input_429010!A$2</f>
        <v>429010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IFERROR(VLOOKUP(B70,input_429010!L:R,7,FALSE),VLOOKUP(tables_429010!C70,input_429010!A:H,8,FALSE))</f>
        <v>514735.57692000002</v>
      </c>
      <c r="P70" s="46">
        <f t="shared" ca="1" si="4"/>
        <v>4.9617850098322728E-3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input_429010!A$2</f>
        <v>429010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IFERROR(VLOOKUP(B71,input_429010!L:R,7,FALSE),VLOOKUP(tables_429010!C71,input_429010!A:H,8,FALSE))</f>
        <v>26764.42308</v>
      </c>
      <c r="P71" s="46">
        <f t="shared" ca="1" si="4"/>
        <v>2.5799520994794679E-4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input_429010!A$2</f>
        <v>429010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IFERROR(VLOOKUP(B72,input_429010!L:R,7,FALSE),VLOOKUP(tables_429010!C72,input_429010!A:H,8,FALSE))</f>
        <v>541500</v>
      </c>
      <c r="P72" s="46">
        <f t="shared" ca="1" si="4"/>
        <v>5.2197802197802195E-3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input_429010!A$2</f>
        <v>429010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IFERROR(VLOOKUP(B73,input_429010!L:R,7,FALSE),VLOOKUP(tables_429010!C73,input_429010!A:H,8,FALSE))</f>
        <v>514735.57692000002</v>
      </c>
      <c r="P73" s="46">
        <f t="shared" ca="1" si="4"/>
        <v>4.9617850098322728E-3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input_429010!A$2</f>
        <v>429010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IFERROR(VLOOKUP(B74,input_429010!L:R,7,FALSE),VLOOKUP(tables_429010!C74,input_429010!A:H,8,FALSE))</f>
        <v>26764.42308</v>
      </c>
      <c r="P74" s="46">
        <f t="shared" ca="1" si="4"/>
        <v>2.5799520994794679E-4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input_429010!A$2</f>
        <v>429010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IFERROR(VLOOKUP(B75,input_429010!L:R,7,FALSE),VLOOKUP(tables_429010!C75,input_429010!A:H,8,FALSE))</f>
        <v>541500</v>
      </c>
      <c r="P75" s="46">
        <f t="shared" ca="1" si="4"/>
        <v>5.2197802197802195E-3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input_429010!A$2</f>
        <v>429010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IFERROR(VLOOKUP(B76,input_429010!L:R,7,FALSE),VLOOKUP(tables_429010!C76,input_429010!A:H,8,FALSE))</f>
        <v>514735.57692000002</v>
      </c>
      <c r="P76" s="46">
        <f t="shared" ca="1" si="4"/>
        <v>4.9617850098322728E-3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input_429010!A$2</f>
        <v>429010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IFERROR(VLOOKUP(B77,input_429010!L:R,7,FALSE),VLOOKUP(tables_429010!C77,input_429010!A:H,8,FALSE))</f>
        <v>26764.42308</v>
      </c>
      <c r="P77" s="46">
        <f t="shared" ca="1" si="4"/>
        <v>2.5799520994794679E-4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input_429010!A$2</f>
        <v>429010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IFERROR(VLOOKUP(B78,input_429010!L:R,7,FALSE),VLOOKUP(tables_429010!C78,input_429010!A:H,8,FALSE))</f>
        <v>541500</v>
      </c>
      <c r="P78" s="46">
        <f t="shared" ca="1" si="4"/>
        <v>5.2197802197802195E-3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input_429010!A$2</f>
        <v>429010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IFERROR(VLOOKUP(B79,input_429010!L:R,7,FALSE),VLOOKUP(tables_429010!C79,input_429010!A:H,8,FALSE))</f>
        <v>514735.57692000002</v>
      </c>
      <c r="P79" s="46">
        <f t="shared" ca="1" si="4"/>
        <v>4.9617850098322728E-3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input_429010!A$2</f>
        <v>429010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IFERROR(VLOOKUP(B80,input_429010!L:R,7,FALSE),VLOOKUP(tables_429010!C80,input_429010!A:H,8,FALSE))</f>
        <v>26764.42308</v>
      </c>
      <c r="P80" s="46">
        <f t="shared" ca="1" si="4"/>
        <v>2.5799520994794679E-4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input_429010!A$2</f>
        <v>429010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IFERROR(VLOOKUP(B81,input_429010!L:R,7,FALSE),VLOOKUP(tables_429010!C81,input_429010!A:H,8,FALSE))</f>
        <v>541500</v>
      </c>
      <c r="P81" s="46">
        <f t="shared" ca="1" si="4"/>
        <v>5.2197802197802195E-3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input_429010!A$2</f>
        <v>429010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IFERROR(VLOOKUP(B82,input_429010!L:R,7,FALSE),VLOOKUP(tables_429010!C82,input_429010!A:H,8,FALSE))</f>
        <v>514735.57692000002</v>
      </c>
      <c r="P82" s="46">
        <f t="shared" ca="1" si="4"/>
        <v>4.9617850098322728E-3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input_429010!A$2</f>
        <v>429010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IFERROR(VLOOKUP(B83,input_429010!L:R,7,FALSE),VLOOKUP(tables_429010!C83,input_429010!A:H,8,FALSE))</f>
        <v>26764.42308</v>
      </c>
      <c r="P83" s="46">
        <f t="shared" ca="1" si="4"/>
        <v>2.5799520994794679E-4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input_429010!A$2</f>
        <v>429010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IFERROR(VLOOKUP(B84,input_429010!L:R,7,FALSE),VLOOKUP(tables_429010!C84,input_429010!A:H,8,FALSE))</f>
        <v>541500</v>
      </c>
      <c r="P84" s="46">
        <f t="shared" ca="1" si="4"/>
        <v>5.2197802197802195E-3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input_429010!A$2</f>
        <v>429010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IFERROR(VLOOKUP(B85,input_429010!L:R,7,FALSE),VLOOKUP(tables_429010!C85,input_429010!A:H,8,FALSE))</f>
        <v>514735.57692000002</v>
      </c>
      <c r="P85" s="46">
        <f t="shared" ca="1" si="4"/>
        <v>4.9617850098322728E-3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input_429010!A$2</f>
        <v>429010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IFERROR(VLOOKUP(B86,input_429010!L:R,7,FALSE),VLOOKUP(tables_429010!C86,input_429010!A:H,8,FALSE))</f>
        <v>26764.42308</v>
      </c>
      <c r="P86" s="46">
        <f t="shared" ca="1" si="4"/>
        <v>2.5799520994794679E-4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input_429010!A$2</f>
        <v>429010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IFERROR(VLOOKUP(B87,input_429010!L:R,7,FALSE),VLOOKUP(tables_429010!C87,input_429010!A:H,8,FALSE))</f>
        <v>541500</v>
      </c>
      <c r="P87" s="46">
        <f t="shared" ca="1" si="4"/>
        <v>5.2197802197802195E-3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input_429010!A$2</f>
        <v>429010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IFERROR(VLOOKUP(B88,input_429010!L:R,7,FALSE),VLOOKUP(tables_429010!C88,input_429010!A:H,8,FALSE))</f>
        <v>514735.57692000002</v>
      </c>
      <c r="P88" s="46">
        <f t="shared" ca="1" si="4"/>
        <v>4.9617850098322728E-3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input_429010!A$2</f>
        <v>429010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IFERROR(VLOOKUP(B89,input_429010!L:R,7,FALSE),VLOOKUP(tables_429010!C89,input_429010!A:H,8,FALSE))</f>
        <v>26764.42308</v>
      </c>
      <c r="P89" s="46">
        <f t="shared" ca="1" si="4"/>
        <v>2.5799520994794679E-4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input_429010!A$2</f>
        <v>429010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IFERROR(VLOOKUP(B90,input_429010!L:R,7,FALSE),VLOOKUP(tables_429010!C90,input_429010!A:H,8,FALSE))</f>
        <v>541500</v>
      </c>
      <c r="P90" s="46">
        <f t="shared" ca="1" si="4"/>
        <v>5.2197802197802195E-3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input_429010!A$2</f>
        <v>429010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IFERROR(VLOOKUP(B91,input_429010!L:R,7,FALSE),VLOOKUP(tables_429010!C91,input_429010!A:H,8,FALSE))</f>
        <v>514735.57692000002</v>
      </c>
      <c r="P91" s="46">
        <f t="shared" ca="1" si="4"/>
        <v>4.9617850098322728E-3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input_429010!A$2</f>
        <v>429010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IFERROR(VLOOKUP(B92,input_429010!L:R,7,FALSE),VLOOKUP(tables_429010!C92,input_429010!A:H,8,FALSE))</f>
        <v>26764.42308</v>
      </c>
      <c r="P92" s="46">
        <f t="shared" ca="1" si="4"/>
        <v>2.5799520994794679E-4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input_429010!A$2</f>
        <v>429010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IFERROR(VLOOKUP(B93,input_429010!L:R,7,FALSE),VLOOKUP(tables_429010!C93,input_429010!A:H,8,FALSE))</f>
        <v>541500</v>
      </c>
      <c r="P93" s="46">
        <f t="shared" ca="1" si="4"/>
        <v>5.2197802197802195E-3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input_429010!A$2</f>
        <v>429010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IFERROR(VLOOKUP(B94,input_429010!L:R,7,FALSE),VLOOKUP(tables_429010!C94,input_429010!A:H,8,FALSE))</f>
        <v>514735.57692000002</v>
      </c>
      <c r="P94" s="46">
        <f t="shared" ca="1" si="4"/>
        <v>4.9617850098322728E-3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input_429010!A$2</f>
        <v>429010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IFERROR(VLOOKUP(B95,input_429010!L:R,7,FALSE),VLOOKUP(tables_429010!C95,input_429010!A:H,8,FALSE))</f>
        <v>26764.42308</v>
      </c>
      <c r="P95" s="46">
        <f t="shared" ca="1" si="4"/>
        <v>2.5799520994794679E-4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input_429010!A$2</f>
        <v>429010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IFERROR(VLOOKUP(B96,input_429010!L:R,7,FALSE),VLOOKUP(tables_429010!C96,input_429010!A:H,8,FALSE))</f>
        <v>541500</v>
      </c>
      <c r="P96" s="46">
        <f t="shared" ca="1" si="4"/>
        <v>5.2197802197802195E-3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input_429010!A$2</f>
        <v>429010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IFERROR(VLOOKUP(B97,input_429010!L:R,7,FALSE),VLOOKUP(tables_429010!C97,input_429010!A:H,8,FALSE))</f>
        <v>514735.57692000002</v>
      </c>
      <c r="P97" s="46">
        <f t="shared" ca="1" si="4"/>
        <v>4.9617850098322728E-3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input_429010!A$2</f>
        <v>429010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IFERROR(VLOOKUP(B98,input_429010!L:R,7,FALSE),VLOOKUP(tables_429010!C98,input_429010!A:H,8,FALSE))</f>
        <v>26764.42308</v>
      </c>
      <c r="P98" s="46">
        <f t="shared" ca="1" si="4"/>
        <v>2.5799520994794679E-4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input_429010!A$2</f>
        <v>429010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IFERROR(VLOOKUP(B99,input_429010!L:R,7,FALSE),VLOOKUP(tables_429010!C99,input_429010!A:H,8,FALSE))</f>
        <v>541500</v>
      </c>
      <c r="P99" s="46">
        <f t="shared" ca="1" si="4"/>
        <v>5.2197802197802195E-3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input_429010!A$2</f>
        <v>429010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IFERROR(VLOOKUP(B100,input_429010!L:R,7,FALSE),VLOOKUP(tables_429010!C100,input_429010!A:H,8,FALSE))</f>
        <v>514735.57692000002</v>
      </c>
      <c r="P100" s="46">
        <f t="shared" ca="1" si="4"/>
        <v>4.9617850098322728E-3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input_429010!A$2</f>
        <v>429010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IFERROR(VLOOKUP(B101,input_429010!L:R,7,FALSE),VLOOKUP(tables_429010!C101,input_429010!A:H,8,FALSE))</f>
        <v>26764.42308</v>
      </c>
      <c r="P101" s="46">
        <f t="shared" ca="1" si="4"/>
        <v>2.5799520994794679E-4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input_429010!A$2</f>
        <v>429010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IFERROR(VLOOKUP(B102,input_429010!L:R,7,FALSE),VLOOKUP(tables_429010!C102,input_429010!A:H,8,FALSE))</f>
        <v>541500</v>
      </c>
      <c r="P102" s="46">
        <f t="shared" ca="1" si="4"/>
        <v>5.2197802197802195E-3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input_429010!A$2</f>
        <v>429010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IFERROR(VLOOKUP(B103,input_429010!L:R,7,FALSE),VLOOKUP(tables_429010!C103,input_429010!A:H,8,FALSE))</f>
        <v>514735.57692000002</v>
      </c>
      <c r="P103" s="46">
        <f t="shared" ca="1" si="4"/>
        <v>4.9617850098322728E-3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input_429010!A$2</f>
        <v>429010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IFERROR(VLOOKUP(B104,input_429010!L:R,7,FALSE),VLOOKUP(tables_429010!C104,input_429010!A:H,8,FALSE))</f>
        <v>26764.42308</v>
      </c>
      <c r="P104" s="46">
        <f t="shared" ca="1" si="4"/>
        <v>2.5799520994794679E-4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input_429010!A$2</f>
        <v>429010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IFERROR(VLOOKUP(B105,input_429010!L:R,7,FALSE),VLOOKUP(tables_429010!C105,input_429010!A:H,8,FALSE))</f>
        <v>541500</v>
      </c>
      <c r="P105" s="46">
        <f t="shared" ca="1" si="4"/>
        <v>5.2197802197802195E-3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input_429010!A$2</f>
        <v>429010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IFERROR(VLOOKUP(B106,input_429010!L:R,7,FALSE),VLOOKUP(tables_429010!C106,input_429010!A:H,8,FALSE))</f>
        <v>514735.57692000002</v>
      </c>
      <c r="P106" s="46">
        <f t="shared" ca="1" si="4"/>
        <v>4.9617850098322728E-3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input_429010!A$2</f>
        <v>429010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IFERROR(VLOOKUP(B107,input_429010!L:R,7,FALSE),VLOOKUP(tables_429010!C107,input_429010!A:H,8,FALSE))</f>
        <v>26764.42308</v>
      </c>
      <c r="P107" s="46">
        <f t="shared" ca="1" si="4"/>
        <v>2.5799520994794679E-4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input_429010!A$2</f>
        <v>429010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IFERROR(VLOOKUP(B108,input_429010!L:R,7,FALSE),VLOOKUP(tables_429010!C108,input_429010!A:H,8,FALSE))</f>
        <v>541500</v>
      </c>
      <c r="P108" s="46">
        <f t="shared" ca="1" si="4"/>
        <v>5.2197802197802195E-3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input_429010!A$2</f>
        <v>429010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IFERROR(VLOOKUP(B109,input_429010!L:R,7,FALSE),VLOOKUP(tables_429010!C109,input_429010!A:H,8,FALSE))</f>
        <v>514735.57692000002</v>
      </c>
      <c r="P109" s="46">
        <f t="shared" ca="1" si="4"/>
        <v>4.9617850098322728E-3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input_429010!A$2</f>
        <v>429010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IFERROR(VLOOKUP(B110,input_429010!L:R,7,FALSE),VLOOKUP(tables_429010!C110,input_429010!A:H,8,FALSE))</f>
        <v>26764.42308</v>
      </c>
      <c r="P110" s="46">
        <f t="shared" ca="1" si="4"/>
        <v>2.5799520994794679E-4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input_429010!A$2</f>
        <v>429010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IFERROR(VLOOKUP(B111,input_429010!L:R,7,FALSE),VLOOKUP(tables_429010!C111,input_429010!A:H,8,FALSE))</f>
        <v>541500</v>
      </c>
      <c r="P111" s="46">
        <f t="shared" ca="1" si="4"/>
        <v>5.2197802197802195E-3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input_429010!A$2</f>
        <v>429010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IFERROR(VLOOKUP(B112,input_429010!L:R,7,FALSE),VLOOKUP(tables_429010!C112,input_429010!A:H,8,FALSE))</f>
        <v>487350</v>
      </c>
      <c r="P112" s="46">
        <f t="shared" ca="1" si="4"/>
        <v>4.6978021978021974E-3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input_429010!A$2</f>
        <v>429010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IFERROR(VLOOKUP(B113,input_429010!L:R,7,FALSE),VLOOKUP(tables_429010!C113,input_429010!A:H,8,FALSE))</f>
        <v>54150</v>
      </c>
      <c r="P113" s="46">
        <f t="shared" ca="1" si="4"/>
        <v>5.2197802197802203E-4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input_429010!A$2</f>
        <v>429010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IFERROR(VLOOKUP(B114,input_429010!L:R,7,FALSE),VLOOKUP(tables_429010!C114,input_429010!A:H,8,FALSE))</f>
        <v>541500</v>
      </c>
      <c r="P114" s="46">
        <f t="shared" ca="1" si="4"/>
        <v>5.2197802197802195E-3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input_429010!A$2</f>
        <v>429010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IFERROR(VLOOKUP(B115,input_429010!L:R,7,FALSE),VLOOKUP(tables_429010!C115,input_429010!A:H,8,FALSE))</f>
        <v>514735.57692000002</v>
      </c>
      <c r="P115" s="46">
        <f t="shared" ca="1" si="4"/>
        <v>4.9617850098322728E-3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input_429010!A$2</f>
        <v>429010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IFERROR(VLOOKUP(B116,input_429010!L:R,7,FALSE),VLOOKUP(tables_429010!C116,input_429010!A:H,8,FALSE))</f>
        <v>26764.42308</v>
      </c>
      <c r="P116" s="46">
        <f t="shared" ca="1" si="4"/>
        <v>2.5799520994794679E-4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input_429010!A$2</f>
        <v>429010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IFERROR(VLOOKUP(B117,input_429010!L:R,7,FALSE),VLOOKUP(tables_429010!C117,input_429010!A:H,8,FALSE))</f>
        <v>541500</v>
      </c>
      <c r="P117" s="46">
        <f t="shared" ca="1" si="4"/>
        <v>5.2197802197802195E-3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input_429010!A$2</f>
        <v>429010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IFERROR(VLOOKUP(B118,input_429010!L:R,7,FALSE),VLOOKUP(tables_429010!C118,input_429010!A:H,8,FALSE))</f>
        <v>514735.57692000002</v>
      </c>
      <c r="P118" s="46">
        <f t="shared" ca="1" si="4"/>
        <v>4.9617850098322728E-3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input_429010!A$2</f>
        <v>429010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IFERROR(VLOOKUP(B119,input_429010!L:R,7,FALSE),VLOOKUP(tables_429010!C119,input_429010!A:H,8,FALSE))</f>
        <v>26764.42308</v>
      </c>
      <c r="P119" s="46">
        <f t="shared" ca="1" si="4"/>
        <v>2.5799520994794679E-4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input_429010!A$2</f>
        <v>429010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IFERROR(VLOOKUP(B120,input_429010!L:R,7,FALSE),VLOOKUP(tables_429010!C120,input_429010!A:H,8,FALSE))</f>
        <v>541500</v>
      </c>
      <c r="P120" s="46">
        <f t="shared" ca="1" si="4"/>
        <v>5.2197802197802195E-3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input_429010!A$2</f>
        <v>429010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IFERROR(VLOOKUP(B121,input_429010!L:R,7,FALSE),VLOOKUP(tables_429010!C121,input_429010!A:H,8,FALSE))</f>
        <v>514735.57692000002</v>
      </c>
      <c r="P121" s="46">
        <f t="shared" ca="1" si="4"/>
        <v>4.9617850098322728E-3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input_429010!A$2</f>
        <v>429010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IFERROR(VLOOKUP(B122,input_429010!L:R,7,FALSE),VLOOKUP(tables_429010!C122,input_429010!A:H,8,FALSE))</f>
        <v>26764.42308</v>
      </c>
      <c r="P122" s="46">
        <f t="shared" ca="1" si="4"/>
        <v>2.5799520994794679E-4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input_429010!A$2</f>
        <v>429010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IFERROR(VLOOKUP(B123,input_429010!L:R,7,FALSE),VLOOKUP(tables_429010!C123,input_429010!A:H,8,FALSE))</f>
        <v>541500</v>
      </c>
      <c r="P123" s="46">
        <f t="shared" ca="1" si="4"/>
        <v>5.2197802197802195E-3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input_429010!A$2</f>
        <v>429010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IFERROR(VLOOKUP(B124,input_429010!L:R,7,FALSE),VLOOKUP(tables_429010!C124,input_429010!A:H,8,FALSE))</f>
        <v>514735.57692000002</v>
      </c>
      <c r="P124" s="46">
        <f t="shared" ca="1" si="4"/>
        <v>4.9617850098322728E-3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input_429010!A$2</f>
        <v>429010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IFERROR(VLOOKUP(B125,input_429010!L:R,7,FALSE),VLOOKUP(tables_429010!C125,input_429010!A:H,8,FALSE))</f>
        <v>26764.42308</v>
      </c>
      <c r="P125" s="46">
        <f t="shared" ca="1" si="4"/>
        <v>2.5799520994794679E-4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input_429010!A$2</f>
        <v>429010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IFERROR(VLOOKUP(B126,input_429010!L:R,7,FALSE),VLOOKUP(tables_429010!C126,input_429010!A:H,8,FALSE))</f>
        <v>541500</v>
      </c>
      <c r="P126" s="46">
        <f t="shared" ca="1" si="4"/>
        <v>5.2197802197802195E-3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input_429010!A$2</f>
        <v>429010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IFERROR(VLOOKUP(B127,input_429010!L:R,7,FALSE),VLOOKUP(tables_429010!C127,input_429010!A:H,8,FALSE))</f>
        <v>514735.57692000002</v>
      </c>
      <c r="P127" s="46">
        <f t="shared" ca="1" si="4"/>
        <v>4.9617850098322728E-3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input_429010!A$2</f>
        <v>429010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IFERROR(VLOOKUP(B128,input_429010!L:R,7,FALSE),VLOOKUP(tables_429010!C128,input_429010!A:H,8,FALSE))</f>
        <v>26764.42308</v>
      </c>
      <c r="P128" s="46">
        <f t="shared" ca="1" si="4"/>
        <v>2.5799520994794679E-4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input_429010!A$2</f>
        <v>429010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IFERROR(VLOOKUP(B129,input_429010!L:R,7,FALSE),VLOOKUP(tables_429010!C129,input_429010!A:H,8,FALSE))</f>
        <v>541500</v>
      </c>
      <c r="P129" s="46">
        <f t="shared" ca="1" si="4"/>
        <v>5.2197802197802195E-3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input_429010!A$2</f>
        <v>429010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IFERROR(VLOOKUP(B130,input_429010!L:R,7,FALSE),VLOOKUP(tables_429010!C130,input_429010!A:H,8,FALSE))</f>
        <v>514735.57692000002</v>
      </c>
      <c r="P130" s="46">
        <f t="shared" ref="P130:P193" ca="1" si="7">O130/SUM(O:O)</f>
        <v>4.9617850098322728E-3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input_429010!A$2</f>
        <v>429010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IF(OR(I131="PremiumSS",I131="PremiumSSw"),"PremiumSS",IF(I131="PremiumSSS",I131,IF(I131="PremiumW",I131,"Premium")))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IFERROR(VLOOKUP(B131,input_429010!L:R,7,FALSE),VLOOKUP(tables_429010!C131,input_429010!A:H,8,FALSE))</f>
        <v>26764.42308</v>
      </c>
      <c r="P131" s="46">
        <f t="shared" ca="1" si="7"/>
        <v>2.5799520994794679E-4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input_429010!A$2</f>
        <v>429010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IFERROR(VLOOKUP(B132,input_429010!L:R,7,FALSE),VLOOKUP(tables_429010!C132,input_429010!A:H,8,FALSE))</f>
        <v>541500</v>
      </c>
      <c r="P132" s="46">
        <f t="shared" ca="1" si="7"/>
        <v>5.2197802197802195E-3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input_429010!A$2</f>
        <v>429010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IFERROR(VLOOKUP(B133,input_429010!L:R,7,FALSE),VLOOKUP(tables_429010!C133,input_429010!A:H,8,FALSE))</f>
        <v>514735.57692000002</v>
      </c>
      <c r="P133" s="46">
        <f t="shared" ca="1" si="7"/>
        <v>4.9617850098322728E-3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input_429010!A$2</f>
        <v>429010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IFERROR(VLOOKUP(B134,input_429010!L:R,7,FALSE),VLOOKUP(tables_429010!C134,input_429010!A:H,8,FALSE))</f>
        <v>26764.42308</v>
      </c>
      <c r="P134" s="46">
        <f t="shared" ca="1" si="7"/>
        <v>2.5799520994794679E-4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input_429010!A$2</f>
        <v>429010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IFERROR(VLOOKUP(B135,input_429010!L:R,7,FALSE),VLOOKUP(tables_429010!C135,input_429010!A:H,8,FALSE))</f>
        <v>541500</v>
      </c>
      <c r="P135" s="46">
        <f t="shared" ca="1" si="7"/>
        <v>5.2197802197802195E-3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input_429010!A$2</f>
        <v>429010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IFERROR(VLOOKUP(B136,input_429010!L:R,7,FALSE),VLOOKUP(tables_429010!C136,input_429010!A:H,8,FALSE))</f>
        <v>514735.57692000002</v>
      </c>
      <c r="P136" s="46">
        <f t="shared" ca="1" si="7"/>
        <v>4.9617850098322728E-3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input_429010!A$2</f>
        <v>429010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IFERROR(VLOOKUP(B137,input_429010!L:R,7,FALSE),VLOOKUP(tables_429010!C137,input_429010!A:H,8,FALSE))</f>
        <v>26764.42308</v>
      </c>
      <c r="P137" s="46">
        <f t="shared" ca="1" si="7"/>
        <v>2.5799520994794679E-4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input_429010!A$2</f>
        <v>429010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IFERROR(VLOOKUP(B138,input_429010!L:R,7,FALSE),VLOOKUP(tables_429010!C138,input_429010!A:H,8,FALSE))</f>
        <v>86450</v>
      </c>
      <c r="P138" s="46">
        <f t="shared" ca="1" si="7"/>
        <v>8.3333333333333339E-4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input_429010!A$2</f>
        <v>429010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IFERROR(VLOOKUP(B139,input_429010!L:R,7,FALSE),VLOOKUP(tables_429010!C139,input_429010!A:H,8,FALSE))</f>
        <v>4550</v>
      </c>
      <c r="P139" s="46">
        <f t="shared" ca="1" si="7"/>
        <v>4.3859649122807014E-5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input_429010!A$2</f>
        <v>429010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IFERROR(VLOOKUP(B140,input_429010!L:R,7,FALSE),VLOOKUP(tables_429010!C140,input_429010!A:H,8,FALSE))</f>
        <v>86450</v>
      </c>
      <c r="P140" s="46">
        <f t="shared" ca="1" si="7"/>
        <v>8.3333333333333339E-4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input_429010!A$2</f>
        <v>429010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IFERROR(VLOOKUP(B141,input_429010!L:R,7,FALSE),VLOOKUP(tables_429010!C141,input_429010!A:H,8,FALSE))</f>
        <v>4550</v>
      </c>
      <c r="P141" s="46">
        <f t="shared" ca="1" si="7"/>
        <v>4.3859649122807014E-5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input_429010!A$2</f>
        <v>429010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IFERROR(VLOOKUP(B142,input_429010!L:R,7,FALSE),VLOOKUP(tables_429010!C142,input_429010!A:H,8,FALSE))</f>
        <v>86450</v>
      </c>
      <c r="P142" s="46">
        <f t="shared" ca="1" si="7"/>
        <v>8.3333333333333339E-4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input_429010!A$2</f>
        <v>429010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IFERROR(VLOOKUP(B143,input_429010!L:R,7,FALSE),VLOOKUP(tables_429010!C143,input_429010!A:H,8,FALSE))</f>
        <v>4550</v>
      </c>
      <c r="P143" s="46">
        <f t="shared" ca="1" si="7"/>
        <v>4.3859649122807014E-5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input_429010!A$2</f>
        <v>429010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IFERROR(VLOOKUP(B144,input_429010!L:R,7,FALSE),VLOOKUP(tables_429010!C144,input_429010!A:H,8,FALSE))</f>
        <v>86450</v>
      </c>
      <c r="P144" s="46">
        <f t="shared" ca="1" si="7"/>
        <v>8.3333333333333339E-4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input_429010!A$2</f>
        <v>429010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IFERROR(VLOOKUP(B145,input_429010!L:R,7,FALSE),VLOOKUP(tables_429010!C145,input_429010!A:H,8,FALSE))</f>
        <v>4550</v>
      </c>
      <c r="P145" s="46">
        <f t="shared" ca="1" si="7"/>
        <v>4.3859649122807014E-5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input_429010!A$2</f>
        <v>429010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IFERROR(VLOOKUP(B146,input_429010!L:R,7,FALSE),VLOOKUP(tables_429010!C146,input_429010!A:H,8,FALSE))</f>
        <v>541500</v>
      </c>
      <c r="P146" s="46">
        <f t="shared" ca="1" si="7"/>
        <v>5.2197802197802195E-3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input_429010!A$2</f>
        <v>429010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IFERROR(VLOOKUP(B147,input_429010!L:R,7,FALSE),VLOOKUP(tables_429010!C147,input_429010!A:H,8,FALSE))</f>
        <v>514735.57692000002</v>
      </c>
      <c r="P147" s="46">
        <f t="shared" ca="1" si="7"/>
        <v>4.9617850098322728E-3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input_429010!A$2</f>
        <v>429010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IFERROR(VLOOKUP(B148,input_429010!L:R,7,FALSE),VLOOKUP(tables_429010!C148,input_429010!A:H,8,FALSE))</f>
        <v>26764.42308</v>
      </c>
      <c r="P148" s="46">
        <f t="shared" ca="1" si="7"/>
        <v>2.5799520994794679E-4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input_429010!A$2</f>
        <v>429010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IFERROR(VLOOKUP(B149,input_429010!L:R,7,FALSE),VLOOKUP(tables_429010!C149,input_429010!A:H,8,FALSE))</f>
        <v>86450</v>
      </c>
      <c r="P149" s="46">
        <f t="shared" ca="1" si="7"/>
        <v>8.3333333333333339E-4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input_429010!A$2</f>
        <v>429010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IFERROR(VLOOKUP(B150,input_429010!L:R,7,FALSE),VLOOKUP(tables_429010!C150,input_429010!A:H,8,FALSE))</f>
        <v>4550</v>
      </c>
      <c r="P150" s="46">
        <f t="shared" ca="1" si="7"/>
        <v>4.3859649122807014E-5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input_429010!A$2</f>
        <v>429010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IFERROR(VLOOKUP(B151,input_429010!L:R,7,FALSE),VLOOKUP(tables_429010!C151,input_429010!A:H,8,FALSE))</f>
        <v>86450</v>
      </c>
      <c r="P151" s="46">
        <f t="shared" ca="1" si="7"/>
        <v>8.3333333333333339E-4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input_429010!A$2</f>
        <v>429010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IFERROR(VLOOKUP(B152,input_429010!L:R,7,FALSE),VLOOKUP(tables_429010!C152,input_429010!A:H,8,FALSE))</f>
        <v>4550</v>
      </c>
      <c r="P152" s="46">
        <f t="shared" ca="1" si="7"/>
        <v>4.3859649122807014E-5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input_429010!A$2</f>
        <v>429010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IFERROR(VLOOKUP(B153,input_429010!L:R,7,FALSE),VLOOKUP(tables_429010!C153,input_429010!A:H,8,FALSE))</f>
        <v>541500</v>
      </c>
      <c r="P153" s="46">
        <f t="shared" ca="1" si="7"/>
        <v>5.2197802197802195E-3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input_429010!A$2</f>
        <v>429010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IFERROR(VLOOKUP(B154,input_429010!L:R,7,FALSE),VLOOKUP(tables_429010!C154,input_429010!A:H,8,FALSE))</f>
        <v>514735.57692000002</v>
      </c>
      <c r="P154" s="46">
        <f t="shared" ca="1" si="7"/>
        <v>4.9617850098322728E-3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input_429010!A$2</f>
        <v>429010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IFERROR(VLOOKUP(B155,input_429010!L:R,7,FALSE),VLOOKUP(tables_429010!C155,input_429010!A:H,8,FALSE))</f>
        <v>26764.42308</v>
      </c>
      <c r="P155" s="46">
        <f t="shared" ca="1" si="7"/>
        <v>2.5799520994794679E-4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input_429010!A$2</f>
        <v>429010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IFERROR(VLOOKUP(B156,input_429010!L:R,7,FALSE),VLOOKUP(tables_429010!C156,input_429010!A:H,8,FALSE))</f>
        <v>86450</v>
      </c>
      <c r="P156" s="46">
        <f t="shared" ca="1" si="7"/>
        <v>8.3333333333333339E-4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input_429010!A$2</f>
        <v>429010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IFERROR(VLOOKUP(B157,input_429010!L:R,7,FALSE),VLOOKUP(tables_429010!C157,input_429010!A:H,8,FALSE))</f>
        <v>4550</v>
      </c>
      <c r="P157" s="46">
        <f t="shared" ca="1" si="7"/>
        <v>4.3859649122807014E-5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input_429010!A$2</f>
        <v>429010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IFERROR(VLOOKUP(B158,input_429010!L:R,7,FALSE),VLOOKUP(tables_429010!C158,input_429010!A:H,8,FALSE))</f>
        <v>541500</v>
      </c>
      <c r="P158" s="46">
        <f t="shared" ca="1" si="7"/>
        <v>5.2197802197802195E-3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input_429010!A$2</f>
        <v>429010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IFERROR(VLOOKUP(B159,input_429010!L:R,7,FALSE),VLOOKUP(tables_429010!C159,input_429010!A:H,8,FALSE))</f>
        <v>514735.57692000002</v>
      </c>
      <c r="P159" s="46">
        <f t="shared" ca="1" si="7"/>
        <v>4.9617850098322728E-3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input_429010!A$2</f>
        <v>429010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IFERROR(VLOOKUP(B160,input_429010!L:R,7,FALSE),VLOOKUP(tables_429010!C160,input_429010!A:H,8,FALSE))</f>
        <v>26764.42308</v>
      </c>
      <c r="P160" s="46">
        <f t="shared" ca="1" si="7"/>
        <v>2.5799520994794679E-4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input_429010!A$2</f>
        <v>429010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IFERROR(VLOOKUP(B161,input_429010!L:R,7,FALSE),VLOOKUP(tables_429010!C161,input_429010!A:H,8,FALSE))</f>
        <v>541500</v>
      </c>
      <c r="P161" s="46">
        <f t="shared" ca="1" si="7"/>
        <v>5.2197802197802195E-3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input_429010!A$2</f>
        <v>429010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IFERROR(VLOOKUP(B162,input_429010!L:R,7,FALSE),VLOOKUP(tables_429010!C162,input_429010!A:H,8,FALSE))</f>
        <v>514735.57692000002</v>
      </c>
      <c r="P162" s="46">
        <f t="shared" ca="1" si="7"/>
        <v>4.9617850098322728E-3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input_429010!A$2</f>
        <v>429010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IFERROR(VLOOKUP(B163,input_429010!L:R,7,FALSE),VLOOKUP(tables_429010!C163,input_429010!A:H,8,FALSE))</f>
        <v>26764.42308</v>
      </c>
      <c r="P163" s="46">
        <f t="shared" ca="1" si="7"/>
        <v>2.5799520994794679E-4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input_429010!A$2</f>
        <v>429010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IFERROR(VLOOKUP(B164,input_429010!L:R,7,FALSE),VLOOKUP(tables_429010!C164,input_429010!A:H,8,FALSE))</f>
        <v>86450</v>
      </c>
      <c r="P164" s="46">
        <f t="shared" ca="1" si="7"/>
        <v>8.3333333333333339E-4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input_429010!A$2</f>
        <v>429010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IFERROR(VLOOKUP(B165,input_429010!L:R,7,FALSE),VLOOKUP(tables_429010!C165,input_429010!A:H,8,FALSE))</f>
        <v>4550</v>
      </c>
      <c r="P165" s="46">
        <f t="shared" ca="1" si="7"/>
        <v>4.3859649122807014E-5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input_429010!A$2</f>
        <v>429010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IFERROR(VLOOKUP(B166,input_429010!L:R,7,FALSE),VLOOKUP(tables_429010!C166,input_429010!A:H,8,FALSE))</f>
        <v>541500</v>
      </c>
      <c r="P166" s="46">
        <f t="shared" ca="1" si="7"/>
        <v>5.2197802197802195E-3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input_429010!A$2</f>
        <v>429010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IFERROR(VLOOKUP(B167,input_429010!L:R,7,FALSE),VLOOKUP(tables_429010!C167,input_429010!A:H,8,FALSE))</f>
        <v>514735.57692000002</v>
      </c>
      <c r="P167" s="46">
        <f t="shared" ca="1" si="7"/>
        <v>4.9617850098322728E-3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input_429010!A$2</f>
        <v>429010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IFERROR(VLOOKUP(B168,input_429010!L:R,7,FALSE),VLOOKUP(tables_429010!C168,input_429010!A:H,8,FALSE))</f>
        <v>26764.42308</v>
      </c>
      <c r="P168" s="46">
        <f t="shared" ca="1" si="7"/>
        <v>2.5799520994794679E-4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input_429010!A$2</f>
        <v>429010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IFERROR(VLOOKUP(B169,input_429010!L:R,7,FALSE),VLOOKUP(tables_429010!C169,input_429010!A:H,8,FALSE))</f>
        <v>86450</v>
      </c>
      <c r="P169" s="46">
        <f t="shared" ca="1" si="7"/>
        <v>8.3333333333333339E-4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input_429010!A$2</f>
        <v>429010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IFERROR(VLOOKUP(B170,input_429010!L:R,7,FALSE),VLOOKUP(tables_429010!C170,input_429010!A:H,8,FALSE))</f>
        <v>4550</v>
      </c>
      <c r="P170" s="46">
        <f t="shared" ca="1" si="7"/>
        <v>4.3859649122807014E-5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input_429010!A$2</f>
        <v>429010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IFERROR(VLOOKUP(B171,input_429010!L:R,7,FALSE),VLOOKUP(tables_429010!C171,input_429010!A:H,8,FALSE))</f>
        <v>541500</v>
      </c>
      <c r="P171" s="46">
        <f t="shared" ca="1" si="7"/>
        <v>5.2197802197802195E-3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input_429010!A$2</f>
        <v>429010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IFERROR(VLOOKUP(B172,input_429010!L:R,7,FALSE),VLOOKUP(tables_429010!C172,input_429010!A:H,8,FALSE))</f>
        <v>514735.57692000002</v>
      </c>
      <c r="P172" s="46">
        <f t="shared" ca="1" si="7"/>
        <v>4.9617850098322728E-3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input_429010!A$2</f>
        <v>429010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IFERROR(VLOOKUP(B173,input_429010!L:R,7,FALSE),VLOOKUP(tables_429010!C173,input_429010!A:H,8,FALSE))</f>
        <v>26764.42308</v>
      </c>
      <c r="P173" s="46">
        <f t="shared" ca="1" si="7"/>
        <v>2.5799520994794679E-4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input_429010!A$2</f>
        <v>429010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IFERROR(VLOOKUP(B174,input_429010!L:R,7,FALSE),VLOOKUP(tables_429010!C174,input_429010!A:H,8,FALSE))</f>
        <v>86450</v>
      </c>
      <c r="P174" s="46">
        <f t="shared" ca="1" si="7"/>
        <v>8.3333333333333339E-4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input_429010!A$2</f>
        <v>429010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IFERROR(VLOOKUP(B175,input_429010!L:R,7,FALSE),VLOOKUP(tables_429010!C175,input_429010!A:H,8,FALSE))</f>
        <v>4550</v>
      </c>
      <c r="P175" s="46">
        <f t="shared" ca="1" si="7"/>
        <v>4.3859649122807014E-5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input_429010!A$2</f>
        <v>429010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IFERROR(VLOOKUP(B176,input_429010!L:R,7,FALSE),VLOOKUP(tables_429010!C176,input_429010!A:H,8,FALSE))</f>
        <v>86450</v>
      </c>
      <c r="P176" s="46">
        <f t="shared" ca="1" si="7"/>
        <v>8.3333333333333339E-4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input_429010!A$2</f>
        <v>429010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IFERROR(VLOOKUP(B177,input_429010!L:R,7,FALSE),VLOOKUP(tables_429010!C177,input_429010!A:H,8,FALSE))</f>
        <v>4550</v>
      </c>
      <c r="P177" s="46">
        <f t="shared" ca="1" si="7"/>
        <v>4.3859649122807014E-5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input_429010!A$2</f>
        <v>429010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IFERROR(VLOOKUP(B178,input_429010!L:R,7,FALSE),VLOOKUP(tables_429010!C178,input_429010!A:H,8,FALSE))</f>
        <v>541500</v>
      </c>
      <c r="P178" s="46">
        <f t="shared" ca="1" si="7"/>
        <v>5.2197802197802195E-3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input_429010!A$2</f>
        <v>429010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IFERROR(VLOOKUP(B179,input_429010!L:R,7,FALSE),VLOOKUP(tables_429010!C179,input_429010!A:H,8,FALSE))</f>
        <v>514735.57692000002</v>
      </c>
      <c r="P179" s="46">
        <f t="shared" ca="1" si="7"/>
        <v>4.9617850098322728E-3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input_429010!A$2</f>
        <v>429010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IFERROR(VLOOKUP(B180,input_429010!L:R,7,FALSE),VLOOKUP(tables_429010!C180,input_429010!A:H,8,FALSE))</f>
        <v>26764.42308</v>
      </c>
      <c r="P180" s="46">
        <f t="shared" ca="1" si="7"/>
        <v>2.5799520994794679E-4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input_429010!A$2</f>
        <v>429010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IFERROR(VLOOKUP(B181,input_429010!L:R,7,FALSE),VLOOKUP(tables_429010!C181,input_429010!A:H,8,FALSE))</f>
        <v>541500</v>
      </c>
      <c r="P181" s="46">
        <f t="shared" ca="1" si="7"/>
        <v>5.2197802197802195E-3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input_429010!A$2</f>
        <v>429010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IFERROR(VLOOKUP(B182,input_429010!L:R,7,FALSE),VLOOKUP(tables_429010!C182,input_429010!A:H,8,FALSE))</f>
        <v>514735.57692000002</v>
      </c>
      <c r="P182" s="46">
        <f t="shared" ca="1" si="7"/>
        <v>4.9617850098322728E-3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input_429010!A$2</f>
        <v>429010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IFERROR(VLOOKUP(B183,input_429010!L:R,7,FALSE),VLOOKUP(tables_429010!C183,input_429010!A:H,8,FALSE))</f>
        <v>26764.42308</v>
      </c>
      <c r="P183" s="46">
        <f t="shared" ca="1" si="7"/>
        <v>2.5799520994794679E-4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input_429010!A$2</f>
        <v>429010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IFERROR(VLOOKUP(B184,input_429010!L:R,7,FALSE),VLOOKUP(tables_429010!C184,input_429010!A:H,8,FALSE))</f>
        <v>86450</v>
      </c>
      <c r="P184" s="46">
        <f t="shared" ca="1" si="7"/>
        <v>8.3333333333333339E-4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input_429010!A$2</f>
        <v>429010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IFERROR(VLOOKUP(B185,input_429010!L:R,7,FALSE),VLOOKUP(tables_429010!C185,input_429010!A:H,8,FALSE))</f>
        <v>4550</v>
      </c>
      <c r="P185" s="46">
        <f t="shared" ca="1" si="7"/>
        <v>4.3859649122807014E-5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input_429010!A$2</f>
        <v>429010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IFERROR(VLOOKUP(B186,input_429010!L:R,7,FALSE),VLOOKUP(tables_429010!C186,input_429010!A:H,8,FALSE))</f>
        <v>541500</v>
      </c>
      <c r="P186" s="46">
        <f t="shared" ca="1" si="7"/>
        <v>5.2197802197802195E-3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input_429010!A$2</f>
        <v>429010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IFERROR(VLOOKUP(B187,input_429010!L:R,7,FALSE),VLOOKUP(tables_429010!C187,input_429010!A:H,8,FALSE))</f>
        <v>514735.57692000002</v>
      </c>
      <c r="P187" s="46">
        <f t="shared" ca="1" si="7"/>
        <v>4.9617850098322728E-3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input_429010!A$2</f>
        <v>429010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IFERROR(VLOOKUP(B188,input_429010!L:R,7,FALSE),VLOOKUP(tables_429010!C188,input_429010!A:H,8,FALSE))</f>
        <v>26764.42308</v>
      </c>
      <c r="P188" s="46">
        <f t="shared" ca="1" si="7"/>
        <v>2.5799520994794679E-4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input_429010!A$2</f>
        <v>429010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IFERROR(VLOOKUP(B189,input_429010!L:R,7,FALSE),VLOOKUP(tables_429010!C189,input_429010!A:H,8,FALSE))</f>
        <v>86450</v>
      </c>
      <c r="P189" s="46">
        <f t="shared" ca="1" si="7"/>
        <v>8.3333333333333339E-4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input_429010!A$2</f>
        <v>429010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IFERROR(VLOOKUP(B190,input_429010!L:R,7,FALSE),VLOOKUP(tables_429010!C190,input_429010!A:H,8,FALSE))</f>
        <v>4550</v>
      </c>
      <c r="P190" s="46">
        <f t="shared" ca="1" si="7"/>
        <v>4.3859649122807014E-5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input_429010!A$2</f>
        <v>429010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IFERROR(VLOOKUP(B191,input_429010!L:R,7,FALSE),VLOOKUP(tables_429010!C191,input_429010!A:H,8,FALSE))</f>
        <v>86450</v>
      </c>
      <c r="P191" s="46">
        <f t="shared" ca="1" si="7"/>
        <v>8.3333333333333339E-4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input_429010!A$2</f>
        <v>429010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IFERROR(VLOOKUP(B192,input_429010!L:R,7,FALSE),VLOOKUP(tables_429010!C192,input_429010!A:H,8,FALSE))</f>
        <v>4550</v>
      </c>
      <c r="P192" s="46">
        <f t="shared" ca="1" si="7"/>
        <v>4.3859649122807014E-5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input_429010!A$2</f>
        <v>429010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IFERROR(VLOOKUP(B193,input_429010!L:R,7,FALSE),VLOOKUP(tables_429010!C193,input_429010!A:H,8,FALSE))</f>
        <v>541500</v>
      </c>
      <c r="P193" s="46">
        <f t="shared" ca="1" si="7"/>
        <v>5.2197802197802195E-3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input_429010!A$2</f>
        <v>429010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IFERROR(VLOOKUP(B194,input_429010!L:R,7,FALSE),VLOOKUP(tables_429010!C194,input_429010!A:H,8,FALSE))</f>
        <v>514735.57692000002</v>
      </c>
      <c r="P194" s="46">
        <f t="shared" ref="P194:P257" ca="1" si="10">O194/SUM(O:O)</f>
        <v>4.9617850098322728E-3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input_429010!A$2</f>
        <v>429010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IF(OR(I195="PremiumSS",I195="PremiumSSw"),"PremiumSS",IF(I195="PremiumSSS",I195,IF(I195="PremiumW",I195,"Premium")))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IFERROR(VLOOKUP(B195,input_429010!L:R,7,FALSE),VLOOKUP(tables_429010!C195,input_429010!A:H,8,FALSE))</f>
        <v>26764.42308</v>
      </c>
      <c r="P195" s="46">
        <f t="shared" ca="1" si="10"/>
        <v>2.5799520994794679E-4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input_429010!A$2</f>
        <v>429010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IFERROR(VLOOKUP(B196,input_429010!L:R,7,FALSE),VLOOKUP(tables_429010!C196,input_429010!A:H,8,FALSE))</f>
        <v>86450</v>
      </c>
      <c r="P196" s="46">
        <f t="shared" ca="1" si="10"/>
        <v>8.3333333333333339E-4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input_429010!A$2</f>
        <v>429010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IFERROR(VLOOKUP(B197,input_429010!L:R,7,FALSE),VLOOKUP(tables_429010!C197,input_429010!A:H,8,FALSE))</f>
        <v>4550</v>
      </c>
      <c r="P197" s="46">
        <f t="shared" ca="1" si="10"/>
        <v>4.3859649122807014E-5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input_429010!A$2</f>
        <v>429010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IFERROR(VLOOKUP(B198,input_429010!L:R,7,FALSE),VLOOKUP(tables_429010!C198,input_429010!A:H,8,FALSE))</f>
        <v>541500</v>
      </c>
      <c r="P198" s="46">
        <f t="shared" ca="1" si="10"/>
        <v>5.2197802197802195E-3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input_429010!A$2</f>
        <v>429010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IFERROR(VLOOKUP(B199,input_429010!L:R,7,FALSE),VLOOKUP(tables_429010!C199,input_429010!A:H,8,FALSE))</f>
        <v>514735.57692000002</v>
      </c>
      <c r="P199" s="46">
        <f t="shared" ca="1" si="10"/>
        <v>4.9617850098322728E-3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input_429010!A$2</f>
        <v>429010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IFERROR(VLOOKUP(B200,input_429010!L:R,7,FALSE),VLOOKUP(tables_429010!C200,input_429010!A:H,8,FALSE))</f>
        <v>26764.42308</v>
      </c>
      <c r="P200" s="46">
        <f t="shared" ca="1" si="10"/>
        <v>2.5799520994794679E-4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input_429010!A$2</f>
        <v>429010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IFERROR(VLOOKUP(B201,input_429010!L:R,7,FALSE),VLOOKUP(tables_429010!C201,input_429010!A:H,8,FALSE))</f>
        <v>86450</v>
      </c>
      <c r="P201" s="46">
        <f t="shared" ca="1" si="10"/>
        <v>8.3333333333333339E-4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input_429010!A$2</f>
        <v>429010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IFERROR(VLOOKUP(B202,input_429010!L:R,7,FALSE),VLOOKUP(tables_429010!C202,input_429010!A:H,8,FALSE))</f>
        <v>4550</v>
      </c>
      <c r="P202" s="46">
        <f t="shared" ca="1" si="10"/>
        <v>4.3859649122807014E-5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input_429010!A$2</f>
        <v>429010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IFERROR(VLOOKUP(B203,input_429010!L:R,7,FALSE),VLOOKUP(tables_429010!C203,input_429010!A:H,8,FALSE))</f>
        <v>541500</v>
      </c>
      <c r="P203" s="46">
        <f t="shared" ca="1" si="10"/>
        <v>5.2197802197802195E-3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input_429010!A$2</f>
        <v>429010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IFERROR(VLOOKUP(B204,input_429010!L:R,7,FALSE),VLOOKUP(tables_429010!C204,input_429010!A:H,8,FALSE))</f>
        <v>514735.57692000002</v>
      </c>
      <c r="P204" s="46">
        <f t="shared" ca="1" si="10"/>
        <v>4.9617850098322728E-3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input_429010!A$2</f>
        <v>429010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IFERROR(VLOOKUP(B205,input_429010!L:R,7,FALSE),VLOOKUP(tables_429010!C205,input_429010!A:H,8,FALSE))</f>
        <v>26764.42308</v>
      </c>
      <c r="P205" s="46">
        <f t="shared" ca="1" si="10"/>
        <v>2.5799520994794679E-4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input_429010!A$2</f>
        <v>429010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IFERROR(VLOOKUP(B206,input_429010!L:R,7,FALSE),VLOOKUP(tables_429010!C206,input_429010!A:H,8,FALSE))</f>
        <v>86450</v>
      </c>
      <c r="P206" s="46">
        <f t="shared" ca="1" si="10"/>
        <v>8.3333333333333339E-4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input_429010!A$2</f>
        <v>429010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IFERROR(VLOOKUP(B207,input_429010!L:R,7,FALSE),VLOOKUP(tables_429010!C207,input_429010!A:H,8,FALSE))</f>
        <v>4550</v>
      </c>
      <c r="P207" s="46">
        <f t="shared" ca="1" si="10"/>
        <v>4.3859649122807014E-5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input_429010!A$2</f>
        <v>429010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IFERROR(VLOOKUP(B208,input_429010!L:R,7,FALSE),VLOOKUP(tables_429010!C208,input_429010!A:H,8,FALSE))</f>
        <v>86450</v>
      </c>
      <c r="P208" s="46">
        <f t="shared" ca="1" si="10"/>
        <v>8.3333333333333339E-4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input_429010!A$2</f>
        <v>429010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IFERROR(VLOOKUP(B209,input_429010!L:R,7,FALSE),VLOOKUP(tables_429010!C209,input_429010!A:H,8,FALSE))</f>
        <v>4550</v>
      </c>
      <c r="P209" s="46">
        <f t="shared" ca="1" si="10"/>
        <v>4.3859649122807014E-5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input_429010!A$2</f>
        <v>429010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IFERROR(VLOOKUP(B210,input_429010!L:R,7,FALSE),VLOOKUP(tables_429010!C210,input_429010!A:H,8,FALSE))</f>
        <v>541500</v>
      </c>
      <c r="P210" s="46">
        <f t="shared" ca="1" si="10"/>
        <v>5.2197802197802195E-3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input_429010!A$2</f>
        <v>429010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IFERROR(VLOOKUP(B211,input_429010!L:R,7,FALSE),VLOOKUP(tables_429010!C211,input_429010!A:H,8,FALSE))</f>
        <v>514735.57692000002</v>
      </c>
      <c r="P211" s="46">
        <f t="shared" ca="1" si="10"/>
        <v>4.9617850098322728E-3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input_429010!A$2</f>
        <v>429010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IFERROR(VLOOKUP(B212,input_429010!L:R,7,FALSE),VLOOKUP(tables_429010!C212,input_429010!A:H,8,FALSE))</f>
        <v>26764.42308</v>
      </c>
      <c r="P212" s="46">
        <f t="shared" ca="1" si="10"/>
        <v>2.5799520994794679E-4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input_429010!A$2</f>
        <v>429010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IFERROR(VLOOKUP(B213,input_429010!L:R,7,FALSE),VLOOKUP(tables_429010!C213,input_429010!A:H,8,FALSE))</f>
        <v>86450</v>
      </c>
      <c r="P213" s="46">
        <f t="shared" ca="1" si="10"/>
        <v>8.3333333333333339E-4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input_429010!A$2</f>
        <v>429010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IFERROR(VLOOKUP(B214,input_429010!L:R,7,FALSE),VLOOKUP(tables_429010!C214,input_429010!A:H,8,FALSE))</f>
        <v>4550</v>
      </c>
      <c r="P214" s="46">
        <f t="shared" ca="1" si="10"/>
        <v>4.3859649122807014E-5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input_429010!A$2</f>
        <v>429010</v>
      </c>
      <c r="B215" s="6">
        <v>586</v>
      </c>
      <c r="C215" s="7" t="str">
        <f t="shared" si="9"/>
        <v>PremiumSS4</v>
      </c>
      <c r="D215" s="7" t="str">
        <f t="shared" si="11"/>
        <v>PremiumSS</v>
      </c>
      <c r="E215" s="7" t="str">
        <f>IF(COUNTIF('R6追加前'!A:A,B215)=0,IF(OR(I215="PremiumSS",I215="PremiumSSw"),"R5only","R3less"),"")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5">
        <f ca="1">IFERROR(VLOOKUP(B215,input_429010!L:R,7,FALSE),VLOOKUP(tables_429010!C215,input_429010!A:H,8,FALSE))</f>
        <v>86450</v>
      </c>
      <c r="P215" s="46">
        <f t="shared" ca="1" si="10"/>
        <v>8.3333333333333339E-4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input_429010!A$2</f>
        <v>429010</v>
      </c>
      <c r="B216" s="6">
        <v>587</v>
      </c>
      <c r="C216" s="7" t="str">
        <f t="shared" si="9"/>
        <v>PremiumSS5</v>
      </c>
      <c r="D216" s="7" t="str">
        <f t="shared" si="11"/>
        <v>PremiumSS</v>
      </c>
      <c r="E216" s="7" t="str">
        <f>IF(COUNTIF('R6追加前'!A:A,B216)=0,IF(OR(I216="PremiumSS",I216="PremiumSSw"),"R5only","R3less"),"")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5">
        <f ca="1">IFERROR(VLOOKUP(B216,input_429010!L:R,7,FALSE),VLOOKUP(tables_429010!C216,input_429010!A:H,8,FALSE))</f>
        <v>4550</v>
      </c>
      <c r="P216" s="46">
        <f t="shared" ca="1" si="10"/>
        <v>4.3859649122807014E-5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input_429010!A$2</f>
        <v>429010</v>
      </c>
      <c r="B217" s="6">
        <v>588</v>
      </c>
      <c r="C217" s="7" t="str">
        <f t="shared" si="9"/>
        <v>Premium3</v>
      </c>
      <c r="D217" s="7" t="str">
        <f t="shared" si="11"/>
        <v>Premium</v>
      </c>
      <c r="E217" s="7" t="str">
        <f>IF(COUNTIF('R6追加前'!A:A,B217)=0,IF(OR(I217="PremiumSS",I217="PremiumSSw"),"R5only","R3less"),"")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5">
        <f ca="1">IFERROR(VLOOKUP(B217,input_429010!L:R,7,FALSE),VLOOKUP(tables_429010!C217,input_429010!A:H,8,FALSE))</f>
        <v>541500</v>
      </c>
      <c r="P217" s="46">
        <f t="shared" ca="1" si="10"/>
        <v>5.2197802197802195E-3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input_429010!A$2</f>
        <v>429010</v>
      </c>
      <c r="B218" s="6">
        <v>589</v>
      </c>
      <c r="C218" s="7" t="str">
        <f t="shared" si="9"/>
        <v>Premium4</v>
      </c>
      <c r="D218" s="7" t="str">
        <f t="shared" si="11"/>
        <v>Premium</v>
      </c>
      <c r="E218" s="7" t="str">
        <f>IF(COUNTIF('R6追加前'!A:A,B218)=0,IF(OR(I218="PremiumSS",I218="PremiumSSw"),"R5only","R3less"),"")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5">
        <f ca="1">IFERROR(VLOOKUP(B218,input_429010!L:R,7,FALSE),VLOOKUP(tables_429010!C218,input_429010!A:H,8,FALSE))</f>
        <v>514735.57692000002</v>
      </c>
      <c r="P218" s="46">
        <f t="shared" ca="1" si="10"/>
        <v>4.9617850098322728E-3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input_429010!A$2</f>
        <v>429010</v>
      </c>
      <c r="B219" s="6">
        <v>590</v>
      </c>
      <c r="C219" s="7" t="str">
        <f t="shared" si="9"/>
        <v>Premium5</v>
      </c>
      <c r="D219" s="7" t="str">
        <f t="shared" si="11"/>
        <v>Premium</v>
      </c>
      <c r="E219" s="7" t="str">
        <f>IF(COUNTIF('R6追加前'!A:A,B219)=0,IF(OR(I219="PremiumSS",I219="PremiumSSw"),"R5only","R3less"),"")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5">
        <f ca="1">IFERROR(VLOOKUP(B219,input_429010!L:R,7,FALSE),VLOOKUP(tables_429010!C219,input_429010!A:H,8,FALSE))</f>
        <v>26764.42308</v>
      </c>
      <c r="P219" s="46">
        <f t="shared" ca="1" si="10"/>
        <v>2.5799520994794679E-4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input_429010!A$2</f>
        <v>429010</v>
      </c>
      <c r="B220" s="6">
        <v>591</v>
      </c>
      <c r="C220" s="7" t="str">
        <f t="shared" si="9"/>
        <v>Premium3</v>
      </c>
      <c r="D220" s="7" t="str">
        <f t="shared" si="11"/>
        <v>Premium</v>
      </c>
      <c r="E220" s="7" t="str">
        <f>IF(COUNTIF('R6追加前'!A:A,B220)=0,IF(OR(I220="PremiumSS",I220="PremiumSSw"),"R5only","R3less"),"")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5">
        <f ca="1">IFERROR(VLOOKUP(B220,input_429010!L:R,7,FALSE),VLOOKUP(tables_429010!C220,input_429010!A:H,8,FALSE))</f>
        <v>541500</v>
      </c>
      <c r="P220" s="46">
        <f t="shared" ca="1" si="10"/>
        <v>5.2197802197802195E-3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input_429010!A$2</f>
        <v>429010</v>
      </c>
      <c r="B221" s="6">
        <v>592</v>
      </c>
      <c r="C221" s="7" t="str">
        <f t="shared" si="9"/>
        <v>Premium4</v>
      </c>
      <c r="D221" s="7" t="str">
        <f t="shared" si="11"/>
        <v>Premium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5">
        <f ca="1">IFERROR(VLOOKUP(B221,input_429010!L:R,7,FALSE),VLOOKUP(tables_429010!C221,input_429010!A:H,8,FALSE))</f>
        <v>514735.57692000002</v>
      </c>
      <c r="P221" s="46">
        <f t="shared" ca="1" si="10"/>
        <v>4.9617850098322728E-3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input_429010!A$2</f>
        <v>429010</v>
      </c>
      <c r="B222" s="6">
        <v>593</v>
      </c>
      <c r="C222" s="7" t="str">
        <f t="shared" si="9"/>
        <v>Premium5</v>
      </c>
      <c r="D222" s="7" t="str">
        <f t="shared" si="11"/>
        <v>Premium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5">
        <f ca="1">IFERROR(VLOOKUP(B222,input_429010!L:R,7,FALSE),VLOOKUP(tables_429010!C222,input_429010!A:H,8,FALSE))</f>
        <v>26764.42308</v>
      </c>
      <c r="P222" s="46">
        <f t="shared" ca="1" si="10"/>
        <v>2.5799520994794679E-4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input_429010!A$2</f>
        <v>429010</v>
      </c>
      <c r="B223" s="6">
        <v>594</v>
      </c>
      <c r="C223" s="7" t="str">
        <f t="shared" si="9"/>
        <v>PremiumSS4</v>
      </c>
      <c r="D223" s="7" t="str">
        <f t="shared" si="11"/>
        <v>PremiumSS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5">
        <f ca="1">IFERROR(VLOOKUP(B223,input_429010!L:R,7,FALSE),VLOOKUP(tables_429010!C223,input_429010!A:H,8,FALSE))</f>
        <v>86450</v>
      </c>
      <c r="P223" s="46">
        <f t="shared" ca="1" si="10"/>
        <v>8.3333333333333339E-4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input_429010!A$2</f>
        <v>429010</v>
      </c>
      <c r="B224" s="6">
        <v>595</v>
      </c>
      <c r="C224" s="7" t="str">
        <f t="shared" si="9"/>
        <v>PremiumSS5</v>
      </c>
      <c r="D224" s="7" t="str">
        <f t="shared" si="11"/>
        <v>PremiumSS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5">
        <f ca="1">IFERROR(VLOOKUP(B224,input_429010!L:R,7,FALSE),VLOOKUP(tables_429010!C224,input_429010!A:H,8,FALSE))</f>
        <v>4550</v>
      </c>
      <c r="P224" s="46">
        <f t="shared" ca="1" si="10"/>
        <v>4.3859649122807014E-5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input_429010!A$2</f>
        <v>429010</v>
      </c>
      <c r="B225" s="6">
        <v>596</v>
      </c>
      <c r="C225" s="7" t="str">
        <f t="shared" si="9"/>
        <v>Premium3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5">
        <f ca="1">IFERROR(VLOOKUP(B225,input_429010!L:R,7,FALSE),VLOOKUP(tables_429010!C225,input_429010!A:H,8,FALSE))</f>
        <v>541500</v>
      </c>
      <c r="P225" s="46">
        <f t="shared" ca="1" si="10"/>
        <v>5.2197802197802195E-3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input_429010!A$2</f>
        <v>429010</v>
      </c>
      <c r="B226" s="6">
        <v>597</v>
      </c>
      <c r="C226" s="7" t="str">
        <f t="shared" si="9"/>
        <v>Premium4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5">
        <f ca="1">IFERROR(VLOOKUP(B226,input_429010!L:R,7,FALSE),VLOOKUP(tables_429010!C226,input_429010!A:H,8,FALSE))</f>
        <v>514735.57692000002</v>
      </c>
      <c r="P226" s="46">
        <f t="shared" ca="1" si="10"/>
        <v>4.9617850098322728E-3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input_429010!A$2</f>
        <v>429010</v>
      </c>
      <c r="B227" s="6">
        <v>598</v>
      </c>
      <c r="C227" s="7" t="str">
        <f t="shared" si="9"/>
        <v>Premium5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5">
        <f ca="1">IFERROR(VLOOKUP(B227,input_429010!L:R,7,FALSE),VLOOKUP(tables_429010!C227,input_429010!A:H,8,FALSE))</f>
        <v>26764.42308</v>
      </c>
      <c r="P227" s="46">
        <f t="shared" ca="1" si="10"/>
        <v>2.5799520994794679E-4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input_429010!A$2</f>
        <v>429010</v>
      </c>
      <c r="B228" s="6">
        <v>599</v>
      </c>
      <c r="C228" s="7" t="str">
        <f t="shared" si="9"/>
        <v>Premium3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IFERROR(VLOOKUP(B228,input_429010!L:R,7,FALSE),VLOOKUP(tables_429010!C228,input_429010!A:H,8,FALSE))</f>
        <v>541500</v>
      </c>
      <c r="P228" s="46">
        <f t="shared" ca="1" si="10"/>
        <v>5.2197802197802195E-3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input_429010!A$2</f>
        <v>429010</v>
      </c>
      <c r="B229" s="6">
        <v>600</v>
      </c>
      <c r="C229" s="7" t="str">
        <f t="shared" si="9"/>
        <v>Premium4</v>
      </c>
      <c r="D229" s="7" t="str">
        <f t="shared" si="11"/>
        <v>Premium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IFERROR(VLOOKUP(B229,input_429010!L:R,7,FALSE),VLOOKUP(tables_429010!C229,input_429010!A:H,8,FALSE))</f>
        <v>514735.57692000002</v>
      </c>
      <c r="P229" s="46">
        <f t="shared" ca="1" si="10"/>
        <v>4.9617850098322728E-3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input_429010!A$2</f>
        <v>429010</v>
      </c>
      <c r="B230" s="6">
        <v>601</v>
      </c>
      <c r="C230" s="7" t="str">
        <f t="shared" si="9"/>
        <v>Premium5</v>
      </c>
      <c r="D230" s="7" t="str">
        <f t="shared" si="11"/>
        <v>Premium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IFERROR(VLOOKUP(B230,input_429010!L:R,7,FALSE),VLOOKUP(tables_429010!C230,input_429010!A:H,8,FALSE))</f>
        <v>26764.42308</v>
      </c>
      <c r="P230" s="46">
        <f t="shared" ca="1" si="10"/>
        <v>2.5799520994794679E-4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input_429010!A$2</f>
        <v>429010</v>
      </c>
      <c r="B231" s="6">
        <v>602</v>
      </c>
      <c r="C231" s="7" t="str">
        <f t="shared" si="9"/>
        <v>PremiumSS4</v>
      </c>
      <c r="D231" s="7" t="str">
        <f t="shared" si="11"/>
        <v>PremiumSS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5">
        <f ca="1">IFERROR(VLOOKUP(B231,input_429010!L:R,7,FALSE),VLOOKUP(tables_429010!C231,input_429010!A:H,8,FALSE))</f>
        <v>86450</v>
      </c>
      <c r="P231" s="46">
        <f t="shared" ca="1" si="10"/>
        <v>8.3333333333333339E-4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input_429010!A$2</f>
        <v>429010</v>
      </c>
      <c r="B232" s="6">
        <v>603</v>
      </c>
      <c r="C232" s="7" t="str">
        <f t="shared" si="9"/>
        <v>PremiumSS5</v>
      </c>
      <c r="D232" s="7" t="str">
        <f t="shared" si="11"/>
        <v>PremiumSS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5">
        <f ca="1">IFERROR(VLOOKUP(B232,input_429010!L:R,7,FALSE),VLOOKUP(tables_429010!C232,input_429010!A:H,8,FALSE))</f>
        <v>4550</v>
      </c>
      <c r="P232" s="46">
        <f t="shared" ca="1" si="10"/>
        <v>4.3859649122807014E-5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input_429010!A$2</f>
        <v>429010</v>
      </c>
      <c r="B233" s="6">
        <v>604</v>
      </c>
      <c r="C233" s="7" t="str">
        <f t="shared" si="9"/>
        <v>Premium3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5">
        <f ca="1">IFERROR(VLOOKUP(B233,input_429010!L:R,7,FALSE),VLOOKUP(tables_429010!C233,input_429010!A:H,8,FALSE))</f>
        <v>541500</v>
      </c>
      <c r="P233" s="46">
        <f t="shared" ca="1" si="10"/>
        <v>5.2197802197802195E-3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input_429010!A$2</f>
        <v>429010</v>
      </c>
      <c r="B234" s="6">
        <v>605</v>
      </c>
      <c r="C234" s="7" t="str">
        <f t="shared" si="9"/>
        <v>Premium4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5">
        <f ca="1">IFERROR(VLOOKUP(B234,input_429010!L:R,7,FALSE),VLOOKUP(tables_429010!C234,input_429010!A:H,8,FALSE))</f>
        <v>514735.57692000002</v>
      </c>
      <c r="P234" s="46">
        <f t="shared" ca="1" si="10"/>
        <v>4.9617850098322728E-3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input_429010!A$2</f>
        <v>429010</v>
      </c>
      <c r="B235" s="6">
        <v>606</v>
      </c>
      <c r="C235" s="7" t="str">
        <f t="shared" si="9"/>
        <v>Premium5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5">
        <f ca="1">IFERROR(VLOOKUP(B235,input_429010!L:R,7,FALSE),VLOOKUP(tables_429010!C235,input_429010!A:H,8,FALSE))</f>
        <v>26764.42308</v>
      </c>
      <c r="P235" s="46">
        <f t="shared" ca="1" si="10"/>
        <v>2.5799520994794679E-4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input_429010!A$2</f>
        <v>429010</v>
      </c>
      <c r="B236" s="6">
        <v>658</v>
      </c>
      <c r="C236" s="7" t="str">
        <f t="shared" si="9"/>
        <v>PremiumSS4</v>
      </c>
      <c r="D236" s="7" t="str">
        <f t="shared" si="11"/>
        <v>PremiumSS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5">
        <f ca="1">IFERROR(VLOOKUP(B236,input_429010!L:R,7,FALSE),VLOOKUP(tables_429010!C236,input_429010!A:H,8,FALSE))</f>
        <v>86450</v>
      </c>
      <c r="P236" s="46">
        <f t="shared" ca="1" si="10"/>
        <v>8.3333333333333339E-4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input_429010!A$2</f>
        <v>429010</v>
      </c>
      <c r="B237" s="6">
        <v>659</v>
      </c>
      <c r="C237" s="7" t="str">
        <f t="shared" si="9"/>
        <v>PremiumSS5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IFERROR(VLOOKUP(B237,input_429010!L:R,7,FALSE),VLOOKUP(tables_429010!C237,input_429010!A:H,8,FALSE))</f>
        <v>4550</v>
      </c>
      <c r="P237" s="46">
        <f t="shared" ca="1" si="10"/>
        <v>4.3859649122807014E-5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input_429010!A$2</f>
        <v>429010</v>
      </c>
      <c r="B238" s="6">
        <v>660</v>
      </c>
      <c r="C238" s="7" t="str">
        <f t="shared" si="9"/>
        <v>PremiumSS4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5">
        <f ca="1">IFERROR(VLOOKUP(B238,input_429010!L:R,7,FALSE),VLOOKUP(tables_429010!C238,input_429010!A:H,8,FALSE))</f>
        <v>86450</v>
      </c>
      <c r="P238" s="46">
        <f t="shared" ca="1" si="10"/>
        <v>8.3333333333333339E-4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input_429010!A$2</f>
        <v>429010</v>
      </c>
      <c r="B239" s="6">
        <v>661</v>
      </c>
      <c r="C239" s="7" t="str">
        <f t="shared" si="9"/>
        <v>PremiumSS5</v>
      </c>
      <c r="D239" s="7" t="str">
        <f t="shared" si="11"/>
        <v>PremiumSS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5">
        <f ca="1">IFERROR(VLOOKUP(B239,input_429010!L:R,7,FALSE),VLOOKUP(tables_429010!C239,input_429010!A:H,8,FALSE))</f>
        <v>4550</v>
      </c>
      <c r="P239" s="46">
        <f t="shared" ca="1" si="10"/>
        <v>4.3859649122807014E-5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input_429010!A$2</f>
        <v>429010</v>
      </c>
      <c r="B240" s="6">
        <v>662</v>
      </c>
      <c r="C240" s="7" t="str">
        <f t="shared" si="9"/>
        <v>Premium3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5">
        <f ca="1">IFERROR(VLOOKUP(B240,input_429010!L:R,7,FALSE),VLOOKUP(tables_429010!C240,input_429010!A:H,8,FALSE))</f>
        <v>541500</v>
      </c>
      <c r="P240" s="46">
        <f t="shared" ca="1" si="10"/>
        <v>5.2197802197802195E-3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input_429010!A$2</f>
        <v>429010</v>
      </c>
      <c r="B241" s="6">
        <v>663</v>
      </c>
      <c r="C241" s="7" t="str">
        <f t="shared" si="9"/>
        <v>Premium4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5">
        <f ca="1">IFERROR(VLOOKUP(B241,input_429010!L:R,7,FALSE),VLOOKUP(tables_429010!C241,input_429010!A:H,8,FALSE))</f>
        <v>514735.57692000002</v>
      </c>
      <c r="P241" s="46">
        <f t="shared" ca="1" si="10"/>
        <v>4.9617850098322728E-3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input_429010!A$2</f>
        <v>429010</v>
      </c>
      <c r="B242" s="6">
        <v>664</v>
      </c>
      <c r="C242" s="7" t="str">
        <f t="shared" si="9"/>
        <v>Premium5</v>
      </c>
      <c r="D242" s="7" t="str">
        <f t="shared" si="11"/>
        <v>Premium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5">
        <f ca="1">IFERROR(VLOOKUP(B242,input_429010!L:R,7,FALSE),VLOOKUP(tables_429010!C242,input_429010!A:H,8,FALSE))</f>
        <v>26764.42308</v>
      </c>
      <c r="P242" s="46">
        <f t="shared" ca="1" si="10"/>
        <v>2.5799520994794679E-4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input_429010!A$2</f>
        <v>429010</v>
      </c>
      <c r="B243" s="6">
        <v>665</v>
      </c>
      <c r="C243" s="7" t="str">
        <f t="shared" si="9"/>
        <v>Premium3</v>
      </c>
      <c r="D243" s="7" t="str">
        <f t="shared" si="11"/>
        <v>Premium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5">
        <f ca="1">IFERROR(VLOOKUP(B243,input_429010!L:R,7,FALSE),VLOOKUP(tables_429010!C243,input_429010!A:H,8,FALSE))</f>
        <v>541500</v>
      </c>
      <c r="P243" s="46">
        <f t="shared" ca="1" si="10"/>
        <v>5.2197802197802195E-3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input_429010!A$2</f>
        <v>429010</v>
      </c>
      <c r="B244" s="6">
        <v>666</v>
      </c>
      <c r="C244" s="7" t="str">
        <f t="shared" si="9"/>
        <v>Premium4</v>
      </c>
      <c r="D244" s="7" t="str">
        <f t="shared" si="11"/>
        <v>Premium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5">
        <f ca="1">IFERROR(VLOOKUP(B244,input_429010!L:R,7,FALSE),VLOOKUP(tables_429010!C244,input_429010!A:H,8,FALSE))</f>
        <v>514735.57692000002</v>
      </c>
      <c r="P244" s="46">
        <f t="shared" ca="1" si="10"/>
        <v>4.9617850098322728E-3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input_429010!A$2</f>
        <v>429010</v>
      </c>
      <c r="B245" s="6">
        <v>667</v>
      </c>
      <c r="C245" s="7" t="str">
        <f t="shared" si="9"/>
        <v>Premium5</v>
      </c>
      <c r="D245" s="7" t="str">
        <f t="shared" si="11"/>
        <v>Premium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5">
        <f ca="1">IFERROR(VLOOKUP(B245,input_429010!L:R,7,FALSE),VLOOKUP(tables_429010!C245,input_429010!A:H,8,FALSE))</f>
        <v>26764.42308</v>
      </c>
      <c r="P245" s="46">
        <f t="shared" ca="1" si="10"/>
        <v>2.5799520994794679E-4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input_429010!A$2</f>
        <v>429010</v>
      </c>
      <c r="B246" s="60">
        <v>668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5">
        <f ca="1">IFERROR(VLOOKUP(B246,input_429010!L:R,7,FALSE),VLOOKUP(tables_429010!C246,input_429010!A:H,8,FALSE))</f>
        <v>541500</v>
      </c>
      <c r="P246" s="46">
        <f t="shared" ca="1" si="10"/>
        <v>5.2197802197802195E-3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input_429010!A$2</f>
        <v>429010</v>
      </c>
      <c r="B247" s="60">
        <v>669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5">
        <f ca="1">IFERROR(VLOOKUP(B247,input_429010!L:R,7,FALSE),VLOOKUP(tables_429010!C247,input_429010!A:H,8,FALSE))</f>
        <v>514735.57692000002</v>
      </c>
      <c r="P247" s="46">
        <f t="shared" ca="1" si="10"/>
        <v>4.9617850098322728E-3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input_429010!A$2</f>
        <v>429010</v>
      </c>
      <c r="B248" s="60">
        <v>670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5">
        <f ca="1">IFERROR(VLOOKUP(B248,input_429010!L:R,7,FALSE),VLOOKUP(tables_429010!C248,input_429010!A:H,8,FALSE))</f>
        <v>26764.42308</v>
      </c>
      <c r="P248" s="46">
        <f t="shared" ca="1" si="10"/>
        <v>2.5799520994794679E-4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input_429010!A$2</f>
        <v>429010</v>
      </c>
      <c r="B249" s="60">
        <v>671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5">
        <f ca="1">IFERROR(VLOOKUP(B249,input_429010!L:R,7,FALSE),VLOOKUP(tables_429010!C249,input_429010!A:H,8,FALSE))</f>
        <v>541500</v>
      </c>
      <c r="P249" s="46">
        <f t="shared" ca="1" si="10"/>
        <v>5.2197802197802195E-3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input_429010!A$2</f>
        <v>429010</v>
      </c>
      <c r="B250" s="60">
        <v>672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5">
        <f ca="1">IFERROR(VLOOKUP(B250,input_429010!L:R,7,FALSE),VLOOKUP(tables_429010!C250,input_429010!A:H,8,FALSE))</f>
        <v>514735.57692000002</v>
      </c>
      <c r="P250" s="46">
        <f t="shared" ca="1" si="10"/>
        <v>4.9617850098322728E-3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input_429010!A$2</f>
        <v>429010</v>
      </c>
      <c r="B251" s="60">
        <v>673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5">
        <f ca="1">IFERROR(VLOOKUP(B251,input_429010!L:R,7,FALSE),VLOOKUP(tables_429010!C251,input_429010!A:H,8,FALSE))</f>
        <v>26764.42308</v>
      </c>
      <c r="P251" s="46">
        <f t="shared" ca="1" si="10"/>
        <v>2.5799520994794679E-4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input_429010!A$2</f>
        <v>429010</v>
      </c>
      <c r="B252" s="60">
        <v>674</v>
      </c>
      <c r="C252" s="7" t="str">
        <f t="shared" si="9"/>
        <v>PremiumSS4</v>
      </c>
      <c r="D252" s="7" t="str">
        <f t="shared" si="11"/>
        <v>PremiumSS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5">
        <f ca="1">IFERROR(VLOOKUP(B252,input_429010!L:R,7,FALSE),VLOOKUP(tables_429010!C252,input_429010!A:H,8,FALSE))</f>
        <v>86450</v>
      </c>
      <c r="P252" s="46">
        <f t="shared" ca="1" si="10"/>
        <v>8.3333333333333339E-4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input_429010!A$2</f>
        <v>429010</v>
      </c>
      <c r="B253" s="60">
        <v>675</v>
      </c>
      <c r="C253" s="7" t="str">
        <f t="shared" si="9"/>
        <v>PremiumSS5</v>
      </c>
      <c r="D253" s="7" t="str">
        <f t="shared" si="11"/>
        <v>PremiumSS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5">
        <f ca="1">IFERROR(VLOOKUP(B253,input_429010!L:R,7,FALSE),VLOOKUP(tables_429010!C253,input_429010!A:H,8,FALSE))</f>
        <v>4550</v>
      </c>
      <c r="P253" s="46">
        <f t="shared" ca="1" si="10"/>
        <v>4.3859649122807014E-5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input_429010!A$2</f>
        <v>429010</v>
      </c>
      <c r="B254" s="60">
        <v>676</v>
      </c>
      <c r="C254" s="7" t="str">
        <f t="shared" si="9"/>
        <v>PremiumSS4</v>
      </c>
      <c r="D254" s="7" t="str">
        <f t="shared" si="11"/>
        <v>PremiumSS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5">
        <f ca="1">IFERROR(VLOOKUP(B254,input_429010!L:R,7,FALSE),VLOOKUP(tables_429010!C254,input_429010!A:H,8,FALSE))</f>
        <v>86450</v>
      </c>
      <c r="P254" s="46">
        <f t="shared" ca="1" si="10"/>
        <v>8.3333333333333339E-4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input_429010!A$2</f>
        <v>429010</v>
      </c>
      <c r="B255" s="60">
        <v>677</v>
      </c>
      <c r="C255" s="7" t="str">
        <f t="shared" si="9"/>
        <v>PremiumSS5</v>
      </c>
      <c r="D255" s="7" t="str">
        <f t="shared" si="11"/>
        <v>PremiumSS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5">
        <f ca="1">IFERROR(VLOOKUP(B255,input_429010!L:R,7,FALSE),VLOOKUP(tables_429010!C255,input_429010!A:H,8,FALSE))</f>
        <v>4550</v>
      </c>
      <c r="P255" s="46">
        <f t="shared" ca="1" si="10"/>
        <v>4.3859649122807014E-5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input_429010!A$2</f>
        <v>429010</v>
      </c>
      <c r="B256" s="60">
        <v>728</v>
      </c>
      <c r="C256" s="7" t="str">
        <f t="shared" si="9"/>
        <v>Premium4R3less</v>
      </c>
      <c r="D256" s="7" t="str">
        <f t="shared" si="11"/>
        <v>Premium</v>
      </c>
      <c r="E256" s="7" t="str">
        <f>IF(COUNTIF('R6追加前'!A:A,B256)=0,IF(OR(I256="PremiumSS",I256="PremiumSSw"),"R5only","R3less"),"")</f>
        <v>R3less</v>
      </c>
      <c r="F256" s="7" t="str">
        <f>IF(COUNTIF('R6開放'!A:A,B256)&gt;0,"R6release","")</f>
        <v/>
      </c>
      <c r="G256" s="7"/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5">
        <f ca="1">IFERROR(VLOOKUP(B256,input_429010!L:R,7,FALSE),VLOOKUP(tables_429010!C256,input_429010!A:H,8,FALSE))</f>
        <v>1028850</v>
      </c>
      <c r="P256" s="46">
        <f t="shared" ca="1" si="10"/>
        <v>9.9175824175824177E-3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input_429010!A$2</f>
        <v>429010</v>
      </c>
      <c r="B257" s="60">
        <v>729</v>
      </c>
      <c r="C257" s="7" t="str">
        <f t="shared" si="9"/>
        <v>Premium5R3less</v>
      </c>
      <c r="D257" s="7" t="str">
        <f t="shared" si="11"/>
        <v>Premium</v>
      </c>
      <c r="E257" s="7" t="str">
        <f>IF(COUNTIF('R6追加前'!A:A,B257)=0,IF(OR(I257="PremiumSS",I257="PremiumSSw"),"R5only","R3less"),"")</f>
        <v>R3less</v>
      </c>
      <c r="F257" s="7" t="str">
        <f>IF(COUNTIF('R6開放'!A:A,B257)&gt;0,"R6release","")</f>
        <v/>
      </c>
      <c r="G257" s="7"/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5">
        <f ca="1">IFERROR(VLOOKUP(B257,input_429010!L:R,7,FALSE),VLOOKUP(tables_429010!C257,input_429010!A:H,8,FALSE))</f>
        <v>54150</v>
      </c>
      <c r="P257" s="46">
        <f t="shared" ca="1" si="10"/>
        <v>5.2197802197802203E-4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input_429010!A$2</f>
        <v>429010</v>
      </c>
      <c r="B258" s="60">
        <v>730</v>
      </c>
      <c r="C258" s="7" t="str">
        <f t="shared" ref="C258:C284" si="12">D258&amp;J258&amp;E258&amp;F258&amp;G258</f>
        <v>Premium4R3less</v>
      </c>
      <c r="D258" s="7" t="str">
        <f t="shared" si="11"/>
        <v>Premium</v>
      </c>
      <c r="E258" s="7" t="str">
        <f>IF(COUNTIF('R6追加前'!A:A,B258)=0,IF(OR(I258="PremiumSS",I258="PremiumSSw"),"R5only","R3less"),"")</f>
        <v>R3less</v>
      </c>
      <c r="F258" s="7" t="str">
        <f>IF(COUNTIF('R6開放'!A:A,B258)&gt;0,"R6release","")</f>
        <v/>
      </c>
      <c r="G258" s="7"/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5">
        <f ca="1">IFERROR(VLOOKUP(B258,input_429010!L:R,7,FALSE),VLOOKUP(tables_429010!C258,input_429010!A:H,8,FALSE))</f>
        <v>1028850</v>
      </c>
      <c r="P258" s="46">
        <f t="shared" ref="P258:P294" ca="1" si="13">O258/SUM(O:O)</f>
        <v>9.9175824175824177E-3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input_429010!A$2</f>
        <v>429010</v>
      </c>
      <c r="B259" s="60">
        <v>731</v>
      </c>
      <c r="C259" s="7" t="str">
        <f t="shared" si="12"/>
        <v>Premium5R3less</v>
      </c>
      <c r="D259" s="7" t="str">
        <f t="shared" ref="D259:D309" si="14">IF(OR(I259="PremiumSS",I259="PremiumSSw"),"PremiumSS",IF(I259="PremiumSSS",I259,IF(I259="PremiumW",I259,"Premium")))</f>
        <v>Premium</v>
      </c>
      <c r="E259" s="7" t="str">
        <f>IF(COUNTIF('R6追加前'!A:A,B259)=0,IF(OR(I259="PremiumSS",I259="PremiumSSw"),"R5only","R3less"),"")</f>
        <v>R3less</v>
      </c>
      <c r="F259" s="7" t="str">
        <f>IF(COUNTIF('R6開放'!A:A,B259)&gt;0,"R6release","")</f>
        <v/>
      </c>
      <c r="G259" s="7"/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5">
        <f ca="1">IFERROR(VLOOKUP(B259,input_429010!L:R,7,FALSE),VLOOKUP(tables_429010!C259,input_429010!A:H,8,FALSE))</f>
        <v>54150</v>
      </c>
      <c r="P259" s="46">
        <f t="shared" ca="1" si="13"/>
        <v>5.2197802197802203E-4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input_429010!A$2</f>
        <v>429010</v>
      </c>
      <c r="B260" s="60">
        <v>732</v>
      </c>
      <c r="C260" s="7" t="str">
        <f t="shared" si="12"/>
        <v>PremiumSS5R5only</v>
      </c>
      <c r="D260" s="7" t="str">
        <f t="shared" si="14"/>
        <v>PremiumSS</v>
      </c>
      <c r="E260" s="7" t="str">
        <f>IF(COUNTIF('R6追加前'!A:A,B260)=0,IF(OR(I260="PremiumSS",I260="PremiumSSw"),"R5only","R3less"),"")</f>
        <v>R5only</v>
      </c>
      <c r="F260" s="7" t="str">
        <f>IF(COUNTIF('R6開放'!A:A,B260)&gt;0,"R6release","")</f>
        <v/>
      </c>
      <c r="G260" s="7"/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5">
        <f ca="1">IFERROR(VLOOKUP(B260,input_429010!L:R,7,FALSE),VLOOKUP(tables_429010!C260,input_429010!A:H,8,FALSE))</f>
        <v>91000</v>
      </c>
      <c r="P260" s="46">
        <f t="shared" ca="1" si="13"/>
        <v>8.7719298245614037E-4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input_429010!A$2</f>
        <v>429010</v>
      </c>
      <c r="B261" s="60">
        <v>734</v>
      </c>
      <c r="C261" s="7" t="str">
        <f t="shared" si="12"/>
        <v>PremiumSS5R5only</v>
      </c>
      <c r="D261" s="7" t="str">
        <f t="shared" si="14"/>
        <v>PremiumSS</v>
      </c>
      <c r="E261" s="7" t="str">
        <f>IF(COUNTIF('R6追加前'!A:A,B261)=0,IF(OR(I261="PremiumSS",I261="PremiumSSw"),"R5only","R3less"),"")</f>
        <v>R5only</v>
      </c>
      <c r="F261" s="7" t="str">
        <f>IF(COUNTIF('R6開放'!A:A,B261)&gt;0,"R6release","")</f>
        <v/>
      </c>
      <c r="G261" s="7"/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5">
        <f ca="1">IFERROR(VLOOKUP(B261,input_429010!L:R,7,FALSE),VLOOKUP(tables_429010!C261,input_429010!A:H,8,FALSE))</f>
        <v>91000</v>
      </c>
      <c r="P261" s="46">
        <f t="shared" ca="1" si="13"/>
        <v>8.7719298245614037E-4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input_429010!A$2</f>
        <v>429010</v>
      </c>
      <c r="B262" s="60">
        <v>770</v>
      </c>
      <c r="C262" s="7" t="str">
        <f t="shared" si="12"/>
        <v>PremiumSS4</v>
      </c>
      <c r="D262" s="7" t="str">
        <f t="shared" si="14"/>
        <v>PremiumSS</v>
      </c>
      <c r="E262" s="7" t="str">
        <f>IF(COUNTIF('R6追加前'!A:A,B262)=0,IF(OR(I262="PremiumSS",I262="PremiumSSw"),"R5only","R3less"),"")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5">
        <f ca="1">IFERROR(VLOOKUP(B262,input_429010!L:R,7,FALSE),VLOOKUP(tables_429010!C262,input_429010!A:H,8,FALSE))</f>
        <v>86450</v>
      </c>
      <c r="P262" s="46">
        <f t="shared" ca="1" si="13"/>
        <v>8.3333333333333339E-4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input_429010!A$2</f>
        <v>429010</v>
      </c>
      <c r="B263" s="60">
        <v>771</v>
      </c>
      <c r="C263" s="7" t="str">
        <f t="shared" si="12"/>
        <v>PremiumSS5</v>
      </c>
      <c r="D263" s="7" t="str">
        <f t="shared" si="14"/>
        <v>PremiumSS</v>
      </c>
      <c r="E263" s="7" t="str">
        <f>IF(COUNTIF('R6追加前'!A:A,B263)=0,IF(OR(I263="PremiumSS",I263="PremiumSSw"),"R5only","R3less"),"")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5">
        <f ca="1">IFERROR(VLOOKUP(B263,input_429010!L:R,7,FALSE),VLOOKUP(tables_429010!C263,input_429010!A:H,8,FALSE))</f>
        <v>4550</v>
      </c>
      <c r="P263" s="46">
        <f t="shared" ca="1" si="13"/>
        <v>4.3859649122807014E-5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input_429010!A$2</f>
        <v>429010</v>
      </c>
      <c r="B264" s="60">
        <v>772</v>
      </c>
      <c r="C264" s="7" t="str">
        <f t="shared" si="12"/>
        <v>PremiumSS4</v>
      </c>
      <c r="D264" s="7" t="str">
        <f t="shared" si="14"/>
        <v>PremiumSS</v>
      </c>
      <c r="E264" s="7" t="str">
        <f>IF(COUNTIF('R6追加前'!A:A,B264)=0,IF(OR(I264="PremiumSS",I264="PremiumSSw"),"R5only","R3less"),"")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5">
        <f ca="1">IFERROR(VLOOKUP(B264,input_429010!L:R,7,FALSE),VLOOKUP(tables_429010!C264,input_429010!A:H,8,FALSE))</f>
        <v>86450</v>
      </c>
      <c r="P264" s="46">
        <f t="shared" ca="1" si="13"/>
        <v>8.3333333333333339E-4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input_429010!A$2</f>
        <v>429010</v>
      </c>
      <c r="B265" s="60">
        <v>773</v>
      </c>
      <c r="C265" s="7" t="str">
        <f t="shared" si="12"/>
        <v>PremiumSS5</v>
      </c>
      <c r="D265" s="7" t="str">
        <f t="shared" si="14"/>
        <v>PremiumSS</v>
      </c>
      <c r="E265" s="7" t="str">
        <f>IF(COUNTIF('R6追加前'!A:A,B265)=0,IF(OR(I265="PremiumSS",I265="PremiumSSw"),"R5only","R3less"),"")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5">
        <f ca="1">IFERROR(VLOOKUP(B265,input_429010!L:R,7,FALSE),VLOOKUP(tables_429010!C265,input_429010!A:H,8,FALSE))</f>
        <v>4550</v>
      </c>
      <c r="P265" s="46">
        <f t="shared" ca="1" si="13"/>
        <v>4.3859649122807014E-5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input_429010!A$2</f>
        <v>429010</v>
      </c>
      <c r="B266" s="60">
        <v>774</v>
      </c>
      <c r="C266" s="7" t="str">
        <f t="shared" si="12"/>
        <v>Premium3</v>
      </c>
      <c r="D266" s="7" t="str">
        <f t="shared" si="14"/>
        <v>Premium</v>
      </c>
      <c r="E266" s="7" t="str">
        <f>IF(COUNTIF('R6追加前'!A:A,B266)=0,IF(OR(I266="PremiumSS",I266="PremiumSSw"),"R5only","R3less"),"")</f>
        <v/>
      </c>
      <c r="F266" s="7" t="str">
        <f>IF(COUNTIF('R6開放'!A:A,B266)&gt;0,"R6release","")</f>
        <v/>
      </c>
      <c r="G266" s="7"/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5">
        <f ca="1">IFERROR(VLOOKUP(B266,input_429010!L:R,7,FALSE),VLOOKUP(tables_429010!C266,input_429010!A:H,8,FALSE))</f>
        <v>541500</v>
      </c>
      <c r="P266" s="46">
        <f t="shared" ca="1" si="13"/>
        <v>5.2197802197802195E-3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input_429010!A$2</f>
        <v>429010</v>
      </c>
      <c r="B267" s="60">
        <v>775</v>
      </c>
      <c r="C267" s="7" t="str">
        <f t="shared" si="12"/>
        <v>Premium4</v>
      </c>
      <c r="D267" s="7" t="str">
        <f t="shared" si="14"/>
        <v>Premium</v>
      </c>
      <c r="E267" s="7" t="str">
        <f>IF(COUNTIF('R6追加前'!A:A,B267)=0,IF(OR(I267="PremiumSS",I267="PremiumSSw"),"R5only","R3less"),"")</f>
        <v/>
      </c>
      <c r="F267" s="7" t="str">
        <f>IF(COUNTIF('R6開放'!A:A,B267)&gt;0,"R6release","")</f>
        <v/>
      </c>
      <c r="G267" s="7"/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5">
        <f ca="1">IFERROR(VLOOKUP(B267,input_429010!L:R,7,FALSE),VLOOKUP(tables_429010!C267,input_429010!A:H,8,FALSE))</f>
        <v>514735.57692000002</v>
      </c>
      <c r="P267" s="46">
        <f t="shared" ca="1" si="13"/>
        <v>4.9617850098322728E-3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input_429010!A$2</f>
        <v>429010</v>
      </c>
      <c r="B268" s="60">
        <v>776</v>
      </c>
      <c r="C268" s="7" t="str">
        <f t="shared" si="12"/>
        <v>Premium5</v>
      </c>
      <c r="D268" s="7" t="str">
        <f t="shared" si="14"/>
        <v>Premium</v>
      </c>
      <c r="E268" s="7" t="str">
        <f>IF(COUNTIF('R6追加前'!A:A,B268)=0,IF(OR(I268="PremiumSS",I268="PremiumSSw"),"R5only","R3less"),"")</f>
        <v/>
      </c>
      <c r="F268" s="7" t="str">
        <f>IF(COUNTIF('R6開放'!A:A,B268)&gt;0,"R6release","")</f>
        <v/>
      </c>
      <c r="G268" s="7"/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5">
        <f ca="1">IFERROR(VLOOKUP(B268,input_429010!L:R,7,FALSE),VLOOKUP(tables_429010!C268,input_429010!A:H,8,FALSE))</f>
        <v>26764.42308</v>
      </c>
      <c r="P268" s="46">
        <f t="shared" ca="1" si="13"/>
        <v>2.5799520994794679E-4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input_429010!A$2</f>
        <v>429010</v>
      </c>
      <c r="B269" s="60">
        <v>777</v>
      </c>
      <c r="C269" s="7" t="str">
        <f t="shared" si="12"/>
        <v>Premium3</v>
      </c>
      <c r="D269" s="7" t="str">
        <f t="shared" si="14"/>
        <v>Premium</v>
      </c>
      <c r="E269" s="7" t="str">
        <f>IF(COUNTIF('R6追加前'!A:A,B269)=0,IF(OR(I269="PremiumSS",I269="PremiumSSw"),"R5only","R3less"),"")</f>
        <v/>
      </c>
      <c r="F269" s="7" t="str">
        <f>IF(COUNTIF('R6開放'!A:A,B269)&gt;0,"R6release","")</f>
        <v/>
      </c>
      <c r="G269" s="7"/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5">
        <f ca="1">IFERROR(VLOOKUP(B269,input_429010!L:R,7,FALSE),VLOOKUP(tables_429010!C269,input_429010!A:H,8,FALSE))</f>
        <v>541500</v>
      </c>
      <c r="P269" s="46">
        <f t="shared" ca="1" si="13"/>
        <v>5.2197802197802195E-3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input_429010!A$2</f>
        <v>429010</v>
      </c>
      <c r="B270" s="60">
        <v>778</v>
      </c>
      <c r="C270" s="7" t="str">
        <f t="shared" si="12"/>
        <v>Premium4</v>
      </c>
      <c r="D270" s="7" t="str">
        <f t="shared" si="14"/>
        <v>Premium</v>
      </c>
      <c r="E270" s="7" t="str">
        <f>IF(COUNTIF('R6追加前'!A:A,B270)=0,IF(OR(I270="PremiumSS",I270="PremiumSSw"),"R5only","R3less"),"")</f>
        <v/>
      </c>
      <c r="F270" s="7" t="str">
        <f>IF(COUNTIF('R6開放'!A:A,B270)&gt;0,"R6release","")</f>
        <v/>
      </c>
      <c r="G270" s="7"/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5">
        <f ca="1">IFERROR(VLOOKUP(B270,input_429010!L:R,7,FALSE),VLOOKUP(tables_429010!C270,input_429010!A:H,8,FALSE))</f>
        <v>514735.57692000002</v>
      </c>
      <c r="P270" s="46">
        <f t="shared" ca="1" si="13"/>
        <v>4.9617850098322728E-3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input_429010!A$2</f>
        <v>429010</v>
      </c>
      <c r="B271" s="60">
        <v>779</v>
      </c>
      <c r="C271" s="7" t="str">
        <f t="shared" si="12"/>
        <v>Premium5</v>
      </c>
      <c r="D271" s="7" t="str">
        <f t="shared" si="14"/>
        <v>Premium</v>
      </c>
      <c r="E271" s="7" t="str">
        <f>IF(COUNTIF('R6追加前'!A:A,B271)=0,IF(OR(I271="PremiumSS",I271="PremiumSSw"),"R5only","R3less"),"")</f>
        <v/>
      </c>
      <c r="F271" s="7" t="str">
        <f>IF(COUNTIF('R6開放'!A:A,B271)&gt;0,"R6release","")</f>
        <v/>
      </c>
      <c r="G271" s="7"/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5">
        <f ca="1">IFERROR(VLOOKUP(B271,input_429010!L:R,7,FALSE),VLOOKUP(tables_429010!C271,input_429010!A:H,8,FALSE))</f>
        <v>26764.42308</v>
      </c>
      <c r="P271" s="46">
        <f t="shared" ca="1" si="13"/>
        <v>2.5799520994794679E-4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input_429010!A$2</f>
        <v>429010</v>
      </c>
      <c r="B272" s="81">
        <v>848</v>
      </c>
      <c r="C272" s="7" t="str">
        <f t="shared" si="12"/>
        <v>PremiumSS5R5only</v>
      </c>
      <c r="D272" s="7" t="str">
        <f t="shared" si="14"/>
        <v>PremiumSS</v>
      </c>
      <c r="E272" s="7" t="str">
        <f>IF(COUNTIF('R6追加前'!A:A,B272)=0,IF(OR(I272="PremiumSS",I272="PremiumSSw"),"R5only","R3less"),"")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5">
        <f ca="1">IFERROR(VLOOKUP(B272,input_429010!L:R,7,FALSE),VLOOKUP(tables_429010!C272,input_429010!A:H,8,FALSE))</f>
        <v>91000</v>
      </c>
      <c r="P272" s="46">
        <f t="shared" ca="1" si="13"/>
        <v>8.7719298245614037E-4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input_429010!A$2</f>
        <v>429010</v>
      </c>
      <c r="B273" s="81">
        <v>850</v>
      </c>
      <c r="C273" s="7" t="str">
        <f t="shared" si="12"/>
        <v>PremiumSS5R5only</v>
      </c>
      <c r="D273" s="7" t="str">
        <f t="shared" si="14"/>
        <v>PremiumSS</v>
      </c>
      <c r="E273" s="7" t="str">
        <f>IF(COUNTIF('R6追加前'!A:A,B273)=0,IF(OR(I273="PremiumSS",I273="PremiumSSw"),"R5only","R3less"),"")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5">
        <f ca="1">IFERROR(VLOOKUP(B273,input_429010!L:R,7,FALSE),VLOOKUP(tables_429010!C273,input_429010!A:H,8,FALSE))</f>
        <v>91000</v>
      </c>
      <c r="P273" s="46">
        <f t="shared" ca="1" si="13"/>
        <v>8.7719298245614037E-4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input_429010!A$2</f>
        <v>429010</v>
      </c>
      <c r="B274" s="81">
        <v>852</v>
      </c>
      <c r="C274" s="7" t="str">
        <f t="shared" si="12"/>
        <v>Premium4R3less</v>
      </c>
      <c r="D274" s="7" t="str">
        <f t="shared" si="14"/>
        <v>Premium</v>
      </c>
      <c r="E274" s="7" t="str">
        <f>IF(COUNTIF('R6追加前'!A:A,B274)=0,IF(OR(I274="PremiumSS",I274="PremiumSSw"),"R5only","R3less"),"")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5">
        <f ca="1">IFERROR(VLOOKUP(B274,input_429010!L:R,7,FALSE),VLOOKUP(tables_429010!C274,input_429010!A:H,8,FALSE))</f>
        <v>1028850</v>
      </c>
      <c r="P274" s="46">
        <f t="shared" ca="1" si="13"/>
        <v>9.9175824175824177E-3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input_429010!A$2</f>
        <v>429010</v>
      </c>
      <c r="B275" s="81">
        <v>853</v>
      </c>
      <c r="C275" s="7" t="str">
        <f t="shared" si="12"/>
        <v>Premium5R3less</v>
      </c>
      <c r="D275" s="7" t="str">
        <f t="shared" si="14"/>
        <v>Premium</v>
      </c>
      <c r="E275" s="7" t="str">
        <f>IF(COUNTIF('R6追加前'!A:A,B275)=0,IF(OR(I275="PremiumSS",I275="PremiumSSw"),"R5only","R3less"),"")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5">
        <f ca="1">IFERROR(VLOOKUP(B275,input_429010!L:R,7,FALSE),VLOOKUP(tables_429010!C275,input_429010!A:H,8,FALSE))</f>
        <v>54150</v>
      </c>
      <c r="P275" s="46">
        <f t="shared" ca="1" si="13"/>
        <v>5.2197802197802203E-4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input_429010!A$2</f>
        <v>429010</v>
      </c>
      <c r="B276" s="81">
        <v>854</v>
      </c>
      <c r="C276" s="7" t="str">
        <f t="shared" si="12"/>
        <v>Premium4R3less</v>
      </c>
      <c r="D276" s="7" t="str">
        <f t="shared" si="14"/>
        <v>Premium</v>
      </c>
      <c r="E276" s="7" t="str">
        <f>IF(COUNTIF('R6追加前'!A:A,B276)=0,IF(OR(I276="PremiumSS",I276="PremiumSSw"),"R5only","R3less"),"")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5">
        <f ca="1">IFERROR(VLOOKUP(B276,input_429010!L:R,7,FALSE),VLOOKUP(tables_429010!C276,input_429010!A:H,8,FALSE))</f>
        <v>1028850</v>
      </c>
      <c r="P276" s="46">
        <f t="shared" ca="1" si="13"/>
        <v>9.9175824175824177E-3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input_429010!A$2</f>
        <v>429010</v>
      </c>
      <c r="B277" s="81">
        <v>855</v>
      </c>
      <c r="C277" s="7" t="str">
        <f t="shared" si="12"/>
        <v>Premium5R3less</v>
      </c>
      <c r="D277" s="7" t="str">
        <f t="shared" si="14"/>
        <v>Premium</v>
      </c>
      <c r="E277" s="7" t="str">
        <f>IF(COUNTIF('R6追加前'!A:A,B277)=0,IF(OR(I277="PremiumSS",I277="PremiumSSw"),"R5only","R3less"),"")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5">
        <f ca="1">IFERROR(VLOOKUP(B277,input_429010!L:R,7,FALSE),VLOOKUP(tables_429010!C277,input_429010!A:H,8,FALSE))</f>
        <v>54150</v>
      </c>
      <c r="P277" s="46">
        <f t="shared" ca="1" si="13"/>
        <v>5.2197802197802203E-4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input_429010!A$2</f>
        <v>429010</v>
      </c>
      <c r="B278" s="81">
        <v>862</v>
      </c>
      <c r="C278" s="7" t="str">
        <f t="shared" si="12"/>
        <v>Premium4R3less</v>
      </c>
      <c r="D278" s="7" t="str">
        <f t="shared" si="14"/>
        <v>Premium</v>
      </c>
      <c r="E278" s="7" t="str">
        <f>IF(COUNTIF('R6追加前'!A:A,B278)=0,IF(OR(I278="PremiumSS",I278="PremiumSSw"),"R5only","R3less"),"")</f>
        <v>R3less</v>
      </c>
      <c r="F278" s="7" t="str">
        <f>IF(COUNTIF('R6開放'!A:A,B278)&gt;0,"R6release","")</f>
        <v/>
      </c>
      <c r="G278" s="7"/>
      <c r="H278" s="7" t="str">
        <f>VLOOKUP(B278,[1]characters!$A:$C,3,FALSE)</f>
        <v>ブレーメン</v>
      </c>
      <c r="I278" s="7" t="str">
        <f>VLOOKUP(B278,[1]characters!$A:$J,10,FALSE)</f>
        <v>PremiumS</v>
      </c>
      <c r="J278" s="7">
        <f>VLOOKUP(B278,[1]characters!$A:$I,9,FALSE)</f>
        <v>4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5">
        <f ca="1">IFERROR(VLOOKUP(B278,input_429010!L:R,7,FALSE),VLOOKUP(tables_429010!C278,input_429010!A:H,8,FALSE))</f>
        <v>1028850</v>
      </c>
      <c r="P278" s="46">
        <f t="shared" ca="1" si="13"/>
        <v>9.9175824175824177E-3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input_429010!A$2</f>
        <v>429010</v>
      </c>
      <c r="B279" s="81">
        <v>863</v>
      </c>
      <c r="C279" s="7" t="str">
        <f t="shared" si="12"/>
        <v>Premium5R3less</v>
      </c>
      <c r="D279" s="7" t="str">
        <f t="shared" si="14"/>
        <v>Premium</v>
      </c>
      <c r="E279" s="7" t="str">
        <f>IF(COUNTIF('R6追加前'!A:A,B279)=0,IF(OR(I279="PremiumSS",I279="PremiumSSw"),"R5only","R3less"),"")</f>
        <v>R3less</v>
      </c>
      <c r="F279" s="7" t="str">
        <f>IF(COUNTIF('R6開放'!A:A,B279)&gt;0,"R6release","")</f>
        <v/>
      </c>
      <c r="G279" s="7"/>
      <c r="H279" s="7" t="str">
        <f>VLOOKUP(B279,[1]characters!$A:$C,3,FALSE)</f>
        <v>歓揮の楽団長 ブレーメン</v>
      </c>
      <c r="I279" s="7" t="str">
        <f>VLOOKUP(B279,[1]characters!$A:$J,10,FALSE)</f>
        <v>PremiumS</v>
      </c>
      <c r="J279" s="7">
        <f>VLOOKUP(B279,[1]characters!$A:$I,9,FALSE)</f>
        <v>5</v>
      </c>
      <c r="K279" s="7" t="str">
        <f>VLOOKUP(B279,[1]characters!$A:$H,8,FALSE)</f>
        <v>red</v>
      </c>
      <c r="L279" s="7" t="str">
        <f>VLOOKUP(B279,[1]characters!$A:$K,11,FALSE)</f>
        <v>balance</v>
      </c>
      <c r="M279" s="7" t="str">
        <f>VLOOKUP(B279,[1]characters!$A:$M,13,FALSE)</f>
        <v>animal</v>
      </c>
      <c r="N279" s="7" t="str">
        <f>VLOOKUP(B279,[1]characters!$A:$G,7,FALSE)</f>
        <v>男性</v>
      </c>
      <c r="O279" s="45">
        <f ca="1">IFERROR(VLOOKUP(B279,input_429010!L:R,7,FALSE),VLOOKUP(tables_429010!C279,input_429010!A:H,8,FALSE))</f>
        <v>54150</v>
      </c>
      <c r="P279" s="46">
        <f t="shared" ca="1" si="13"/>
        <v>5.2197802197802203E-4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input_429010!A$2</f>
        <v>429010</v>
      </c>
      <c r="B280" s="81">
        <v>864</v>
      </c>
      <c r="C280" s="7" t="str">
        <f t="shared" si="12"/>
        <v>Premium4R3less</v>
      </c>
      <c r="D280" s="7" t="str">
        <f t="shared" si="14"/>
        <v>Premium</v>
      </c>
      <c r="E280" s="7" t="str">
        <f>IF(COUNTIF('R6追加前'!A:A,B280)=0,IF(OR(I280="PremiumSS",I280="PremiumSSw"),"R5only","R3less"),"")</f>
        <v>R3less</v>
      </c>
      <c r="F280" s="7" t="str">
        <f>IF(COUNTIF('R6開放'!A:A,B280)&gt;0,"R6release","")</f>
        <v/>
      </c>
      <c r="G280" s="7"/>
      <c r="H280" s="7" t="str">
        <f>VLOOKUP(B280,[1]characters!$A:$C,3,FALSE)</f>
        <v>ピノキオ</v>
      </c>
      <c r="I280" s="7" t="str">
        <f>VLOOKUP(B280,[1]characters!$A:$J,10,FALSE)</f>
        <v>PremiumS</v>
      </c>
      <c r="J280" s="7">
        <f>VLOOKUP(B280,[1]characters!$A:$I,9,FALSE)</f>
        <v>4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5">
        <f ca="1">IFERROR(VLOOKUP(B280,input_429010!L:R,7,FALSE),VLOOKUP(tables_429010!C280,input_429010!A:H,8,FALSE))</f>
        <v>1028850</v>
      </c>
      <c r="P280" s="46">
        <f t="shared" ca="1" si="13"/>
        <v>9.9175824175824177E-3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input_429010!A$2</f>
        <v>429010</v>
      </c>
      <c r="B281" s="81">
        <v>865</v>
      </c>
      <c r="C281" s="7" t="str">
        <f t="shared" si="12"/>
        <v>Premium5R3less</v>
      </c>
      <c r="D281" s="7" t="str">
        <f t="shared" si="14"/>
        <v>Premium</v>
      </c>
      <c r="E281" s="7" t="str">
        <f>IF(COUNTIF('R6追加前'!A:A,B281)=0,IF(OR(I281="PremiumSS",I281="PremiumSSw"),"R5only","R3less"),"")</f>
        <v>R3less</v>
      </c>
      <c r="F281" s="7" t="str">
        <f>IF(COUNTIF('R6開放'!A:A,B281)&gt;0,"R6release","")</f>
        <v/>
      </c>
      <c r="G281" s="7"/>
      <c r="H281" s="7" t="str">
        <f>VLOOKUP(B281,[1]characters!$A:$C,3,FALSE)</f>
        <v>無情の感線 ピノキオ</v>
      </c>
      <c r="I281" s="7" t="str">
        <f>VLOOKUP(B281,[1]characters!$A:$J,10,FALSE)</f>
        <v>PremiumS</v>
      </c>
      <c r="J281" s="7">
        <f>VLOOKUP(B281,[1]characters!$A:$I,9,FALSE)</f>
        <v>5</v>
      </c>
      <c r="K281" s="7" t="str">
        <f>VLOOKUP(B281,[1]characters!$A:$H,8,FALSE)</f>
        <v>green</v>
      </c>
      <c r="L281" s="7" t="str">
        <f>VLOOKUP(B281,[1]characters!$A:$K,11,FALSE)</f>
        <v>attack</v>
      </c>
      <c r="M281" s="7" t="str">
        <f>VLOOKUP(B281,[1]characters!$A:$M,13,FALSE)</f>
        <v>machine</v>
      </c>
      <c r="N281" s="7" t="str">
        <f>VLOOKUP(B281,[1]characters!$A:$G,7,FALSE)</f>
        <v>男性</v>
      </c>
      <c r="O281" s="45">
        <f ca="1">IFERROR(VLOOKUP(B281,input_429010!L:R,7,FALSE),VLOOKUP(tables_429010!C281,input_429010!A:H,8,FALSE))</f>
        <v>54150</v>
      </c>
      <c r="P281" s="46">
        <f t="shared" ca="1" si="13"/>
        <v>5.2197802197802203E-4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input_429010!A$2</f>
        <v>429010</v>
      </c>
      <c r="B282" s="81">
        <v>866</v>
      </c>
      <c r="C282" s="7" t="str">
        <f t="shared" si="12"/>
        <v>PremiumSS5R5only</v>
      </c>
      <c r="D282" s="7" t="str">
        <f t="shared" si="14"/>
        <v>PremiumSS</v>
      </c>
      <c r="E282" s="7" t="str">
        <f>IF(COUNTIF('R6追加前'!A:A,B282)=0,IF(OR(I282="PremiumSS",I282="PremiumSSw"),"R5only","R3less"),"")</f>
        <v>R5only</v>
      </c>
      <c r="F282" s="7" t="str">
        <f>IF(COUNTIF('R6開放'!A:A,B282)&gt;0,"R6release","")</f>
        <v/>
      </c>
      <c r="G282" s="7"/>
      <c r="H282" s="7" t="str">
        <f>VLOOKUP(B282,[1]characters!$A:$C,3,FALSE)</f>
        <v>無敗の司令姫 白雪姫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blue</v>
      </c>
      <c r="L282" s="7" t="str">
        <f>VLOOKUP(B282,[1]characters!$A:$K,11,FALSE)</f>
        <v>balance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5">
        <f ca="1">IFERROR(VLOOKUP(B282,input_429010!L:R,7,FALSE),VLOOKUP(tables_429010!C282,input_429010!A:H,8,FALSE))</f>
        <v>91000</v>
      </c>
      <c r="P282" s="46">
        <f t="shared" ca="1" si="13"/>
        <v>8.7719298245614037E-4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input_429010!A$2</f>
        <v>429010</v>
      </c>
      <c r="B283" s="81">
        <v>868</v>
      </c>
      <c r="C283" s="7" t="str">
        <f t="shared" si="12"/>
        <v>PremiumSS5R5only</v>
      </c>
      <c r="D283" s="7" t="str">
        <f t="shared" si="14"/>
        <v>PremiumSS</v>
      </c>
      <c r="E283" s="7" t="str">
        <f>IF(COUNTIF('R6追加前'!A:A,B283)=0,IF(OR(I283="PremiumSS",I283="PremiumSSw"),"R5only","R3less"),"")</f>
        <v>R5only</v>
      </c>
      <c r="F283" s="7" t="str">
        <f>IF(COUNTIF('R6開放'!A:A,B283)&gt;0,"R6release","")</f>
        <v/>
      </c>
      <c r="G283" s="7"/>
      <c r="H283" s="7" t="str">
        <f>VLOOKUP(B283,[1]characters!$A:$C,3,FALSE)</f>
        <v>アラジンと殲滅機兵LAMP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human</v>
      </c>
      <c r="N283" s="7" t="str">
        <f>VLOOKUP(B283,[1]characters!$A:$G,7,FALSE)</f>
        <v>男性</v>
      </c>
      <c r="O283" s="45">
        <f ca="1">IFERROR(VLOOKUP(B283,input_429010!L:R,7,FALSE),VLOOKUP(tables_429010!C283,input_429010!A:H,8,FALSE))</f>
        <v>91000</v>
      </c>
      <c r="P283" s="46">
        <f t="shared" ca="1" si="13"/>
        <v>8.7719298245614037E-4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input_429010!A$2</f>
        <v>429010</v>
      </c>
      <c r="B284" s="5">
        <v>742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アポロン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attack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IFERROR(VLOOKUP(B284,input_429010!L:R,7,FALSE),VLOOKUP(tables_429010!C284,input_429010!A:H,8,FALSE))</f>
        <v>91000</v>
      </c>
      <c r="P284" s="46">
        <f t="shared" ca="1" si="13"/>
        <v>8.7719298245614037E-4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input_429010!A$2</f>
        <v>429010</v>
      </c>
      <c r="B285" s="5">
        <v>744</v>
      </c>
      <c r="C285" s="7" t="str">
        <f t="shared" ref="C285:C289" si="15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ヘルメス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IFERROR(VLOOKUP(B285,input_429010!L:R,7,FALSE),VLOOKUP(tables_429010!C285,input_429010!A:H,8,FALSE))</f>
        <v>91000</v>
      </c>
      <c r="P285" s="46">
        <f t="shared" ca="1" si="13"/>
        <v>8.7719298245614037E-4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input_429010!A$2</f>
        <v>429010</v>
      </c>
      <c r="B286" s="5">
        <v>746</v>
      </c>
      <c r="C286" s="7" t="str">
        <f t="shared" si="15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ノルン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balance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IFERROR(VLOOKUP(B286,input_429010!L:R,7,FALSE),VLOOKUP(tables_429010!C286,input_429010!A:H,8,FALSE))</f>
        <v>1028850</v>
      </c>
      <c r="P286" s="46">
        <f t="shared" ca="1" si="13"/>
        <v>9.9175824175824177E-3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input_429010!A$2</f>
        <v>429010</v>
      </c>
      <c r="B287" s="5">
        <v>747</v>
      </c>
      <c r="C287" s="7" t="str">
        <f t="shared" si="15"/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潔碧の巡励神 ノルン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balance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IFERROR(VLOOKUP(B287,input_429010!L:R,7,FALSE),VLOOKUP(tables_429010!C287,input_429010!A:H,8,FALSE))</f>
        <v>54150</v>
      </c>
      <c r="P287" s="46">
        <f t="shared" ca="1" si="13"/>
        <v>5.2197802197802203E-4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input_429010!A$2</f>
        <v>429010</v>
      </c>
      <c r="B288" s="5">
        <v>748</v>
      </c>
      <c r="C288" s="7" t="str">
        <f t="shared" si="15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パーン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heal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IFERROR(VLOOKUP(B288,input_429010!L:R,7,FALSE),VLOOKUP(tables_429010!C288,input_429010!A:H,8,FALSE))</f>
        <v>1028850</v>
      </c>
      <c r="P288" s="46">
        <f t="shared" ca="1" si="13"/>
        <v>9.9175824175824177E-3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input_429010!A$2</f>
        <v>429010</v>
      </c>
      <c r="B289" s="5">
        <v>749</v>
      </c>
      <c r="C289" s="7" t="str">
        <f t="shared" si="15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光喜の牧童 パーン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heal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IFERROR(VLOOKUP(B289,input_429010!L:R,7,FALSE),VLOOKUP(tables_429010!C289,input_429010!A:H,8,FALSE))</f>
        <v>54150</v>
      </c>
      <c r="P289" s="46">
        <f t="shared" ca="1" si="13"/>
        <v>5.2197802197802203E-4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input_429010!A$2</f>
        <v>429010</v>
      </c>
      <c r="B290" s="5">
        <v>937</v>
      </c>
      <c r="C290" s="7" t="str">
        <f t="shared" ref="C290:C294" si="16">D290&amp;J290&amp;E290&amp;F290&amp;G290</f>
        <v>PremiumSS5R5only</v>
      </c>
      <c r="D290" s="7" t="str">
        <f t="shared" si="14"/>
        <v>PremiumSS</v>
      </c>
      <c r="E290" s="7" t="str">
        <f>IF(COUNTIF('R6追加前'!A:A,B290)=0,IF(OR(I290="PremiumSS",I290="PremiumSSw"),"R5only","R3less"),"")</f>
        <v>R5only</v>
      </c>
      <c r="F290" s="7" t="str">
        <f>IF(COUNTIF('R6開放'!A:A,B290)&gt;0,"R6release","")</f>
        <v/>
      </c>
      <c r="G290" s="7"/>
      <c r="H290" s="7" t="str">
        <f>VLOOKUP(B290,[1]characters!$A:$C,3,FALSE)</f>
        <v>ナポレオン</v>
      </c>
      <c r="I290" s="7" t="str">
        <f>VLOOKUP(B290,[1]characters!$A:$J,10,FALSE)</f>
        <v>PremiumSS</v>
      </c>
      <c r="J290" s="7">
        <f>VLOOKUP(B290,[1]characters!$A:$I,9,FALSE)</f>
        <v>5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human</v>
      </c>
      <c r="N290" s="7" t="str">
        <f>VLOOKUP(B290,[1]characters!$A:$G,7,FALSE)</f>
        <v>男性</v>
      </c>
      <c r="O290" s="45">
        <f ca="1">IFERROR(VLOOKUP(B290,input_429010!L:R,7,FALSE),VLOOKUP(tables_429010!C290,input_429010!A:H,8,FALSE))</f>
        <v>91000</v>
      </c>
      <c r="P290" s="46">
        <f t="shared" ca="1" si="13"/>
        <v>8.7719298245614037E-4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input_429010!A$2</f>
        <v>429010</v>
      </c>
      <c r="B291" s="5">
        <v>939</v>
      </c>
      <c r="C291" s="7" t="str">
        <f t="shared" si="16"/>
        <v>Premium4R3less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バスティーユ</v>
      </c>
      <c r="I291" s="7" t="str">
        <f>VLOOKUP(B291,[1]characters!$A:$J,10,FALSE)</f>
        <v>PremiumS</v>
      </c>
      <c r="J291" s="7">
        <f>VLOOKUP(B291,[1]characters!$A:$I,9,FALSE)</f>
        <v>4</v>
      </c>
      <c r="K291" s="7" t="str">
        <f>VLOOKUP(B291,[1]characters!$A:$H,8,FALSE)</f>
        <v>green</v>
      </c>
      <c r="L291" s="7" t="str">
        <f>VLOOKUP(B291,[1]characters!$A:$K,11,FALSE)</f>
        <v>hp</v>
      </c>
      <c r="M291" s="7" t="str">
        <f>VLOOKUP(B291,[1]characters!$A:$M,13,FALSE)</f>
        <v>unknown</v>
      </c>
      <c r="N291" s="7" t="str">
        <f>VLOOKUP(B291,[1]characters!$A:$G,7,FALSE)</f>
        <v>男性</v>
      </c>
      <c r="O291" s="45">
        <f ca="1">IFERROR(VLOOKUP(B291,input_429010!L:R,7,FALSE),VLOOKUP(tables_429010!C291,input_429010!A:H,8,FALSE))</f>
        <v>1028850</v>
      </c>
      <c r="P291" s="46">
        <f t="shared" ca="1" si="13"/>
        <v>9.9175824175824177E-3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input_429010!A$2</f>
        <v>429010</v>
      </c>
      <c r="B292" s="5">
        <v>940</v>
      </c>
      <c r="C292" s="7" t="str">
        <f t="shared" si="16"/>
        <v>Premium5R3less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不壊の大要塞 バスティーユ</v>
      </c>
      <c r="I292" s="7" t="str">
        <f>VLOOKUP(B292,[1]characters!$A:$J,10,FALSE)</f>
        <v>PremiumS</v>
      </c>
      <c r="J292" s="7">
        <f>VLOOKUP(B292,[1]characters!$A:$I,9,FALSE)</f>
        <v>5</v>
      </c>
      <c r="K292" s="7" t="str">
        <f>VLOOKUP(B292,[1]characters!$A:$H,8,FALSE)</f>
        <v>green</v>
      </c>
      <c r="L292" s="7" t="str">
        <f>VLOOKUP(B292,[1]characters!$A:$K,11,FALSE)</f>
        <v>hp</v>
      </c>
      <c r="M292" s="7" t="str">
        <f>VLOOKUP(B292,[1]characters!$A:$M,13,FALSE)</f>
        <v>unknown</v>
      </c>
      <c r="N292" s="7" t="str">
        <f>VLOOKUP(B292,[1]characters!$A:$G,7,FALSE)</f>
        <v>男性</v>
      </c>
      <c r="O292" s="45">
        <f ca="1">IFERROR(VLOOKUP(B292,input_429010!L:R,7,FALSE),VLOOKUP(tables_429010!C292,input_429010!A:H,8,FALSE))</f>
        <v>54150</v>
      </c>
      <c r="P292" s="46">
        <f t="shared" ca="1" si="13"/>
        <v>5.2197802197802203E-4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input_429010!A$2</f>
        <v>429010</v>
      </c>
      <c r="B293" s="5">
        <v>941</v>
      </c>
      <c r="C293" s="7" t="str">
        <f t="shared" si="16"/>
        <v>PremiumSS5R5only</v>
      </c>
      <c r="D293" s="7" t="str">
        <f t="shared" si="14"/>
        <v>PremiumSS</v>
      </c>
      <c r="E293" s="7" t="str">
        <f>IF(COUNTIF('R6追加前'!A:A,B293)=0,IF(OR(I293="PremiumSS",I293="PremiumSSw"),"R5only","R3less"),"")</f>
        <v>R5only</v>
      </c>
      <c r="F293" s="7" t="str">
        <f>IF(COUNTIF('R6開放'!A:A,B293)&gt;0,"R6release","")</f>
        <v/>
      </c>
      <c r="G293" s="7"/>
      <c r="H293" s="7" t="str">
        <f>VLOOKUP(B293,[1]characters!$A:$C,3,FALSE)</f>
        <v>アントワネット</v>
      </c>
      <c r="I293" s="7" t="str">
        <f>VLOOKUP(B293,[1]characters!$A:$J,10,FALSE)</f>
        <v>PremiumSS</v>
      </c>
      <c r="J293" s="7">
        <f>VLOOKUP(B293,[1]characters!$A:$I,9,FALSE)</f>
        <v>5</v>
      </c>
      <c r="K293" s="7" t="str">
        <f>VLOOKUP(B293,[1]characters!$A:$H,8,FALSE)</f>
        <v>blue</v>
      </c>
      <c r="L293" s="7" t="str">
        <f>VLOOKUP(B293,[1]characters!$A:$K,11,FALSE)</f>
        <v>technical</v>
      </c>
      <c r="M293" s="7" t="str">
        <f>VLOOKUP(B293,[1]characters!$A:$M,13,FALSE)</f>
        <v>human</v>
      </c>
      <c r="N293" s="7" t="str">
        <f>VLOOKUP(B293,[1]characters!$A:$G,7,FALSE)</f>
        <v>男性</v>
      </c>
      <c r="O293" s="45">
        <f ca="1">IFERROR(VLOOKUP(B293,input_429010!L:R,7,FALSE),VLOOKUP(tables_429010!C293,input_429010!A:H,8,FALSE))</f>
        <v>91000</v>
      </c>
      <c r="P293" s="46">
        <f t="shared" ca="1" si="13"/>
        <v>8.7719298245614037E-4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input_429010!A$2</f>
        <v>429010</v>
      </c>
      <c r="B294" s="5">
        <v>943</v>
      </c>
      <c r="C294" s="7" t="str">
        <f t="shared" si="16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サンソン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yellow</v>
      </c>
      <c r="L294" s="7" t="str">
        <f>VLOOKUP(B294,[1]characters!$A:$K,11,FALSE)</f>
        <v>attack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IFERROR(VLOOKUP(B294,input_429010!L:R,7,FALSE),VLOOKUP(tables_429010!C294,input_429010!A:H,8,FALSE))</f>
        <v>91000</v>
      </c>
      <c r="P294" s="46">
        <f t="shared" ca="1" si="13"/>
        <v>8.7719298245614037E-4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input_429010!A$2</f>
        <v>429010</v>
      </c>
      <c r="B295" s="5">
        <v>1012</v>
      </c>
      <c r="C295" s="7" t="str">
        <f t="shared" ref="C295:C299" si="17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ラー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red</v>
      </c>
      <c r="L295" s="7" t="str">
        <f>VLOOKUP(B295,[1]characters!$A:$K,11,FALSE)</f>
        <v>balance</v>
      </c>
      <c r="M295" s="7" t="str">
        <f>VLOOKUP(B295,[1]characters!$A:$M,13,FALSE)</f>
        <v>god</v>
      </c>
      <c r="N295" s="7" t="str">
        <f>VLOOKUP(B295,[1]characters!$A:$G,7,FALSE)</f>
        <v>男性</v>
      </c>
      <c r="O295" s="45">
        <f ca="1">IFERROR(VLOOKUP(B295,input_429010!L:R,7,FALSE),VLOOKUP(tables_429010!C295,input_429010!A:H,8,FALSE))</f>
        <v>91000</v>
      </c>
      <c r="P295" s="46">
        <f t="shared" ref="P295:P299" ca="1" si="18">O295/SUM(O:O)</f>
        <v>8.7719298245614037E-4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input_429010!A$2</f>
        <v>429010</v>
      </c>
      <c r="B296" s="5">
        <v>1014</v>
      </c>
      <c r="C296" s="7" t="str">
        <f t="shared" si="17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イシス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green</v>
      </c>
      <c r="L296" s="7" t="str">
        <f>VLOOKUP(B296,[1]characters!$A:$K,11,FALSE)</f>
        <v>hp</v>
      </c>
      <c r="M296" s="7" t="str">
        <f>VLOOKUP(B296,[1]characters!$A:$M,13,FALSE)</f>
        <v>god</v>
      </c>
      <c r="N296" s="7" t="str">
        <f>VLOOKUP(B296,[1]characters!$A:$G,7,FALSE)</f>
        <v>男性</v>
      </c>
      <c r="O296" s="45">
        <f ca="1">IFERROR(VLOOKUP(B296,input_429010!L:R,7,FALSE),VLOOKUP(tables_429010!C296,input_429010!A:H,8,FALSE))</f>
        <v>91000</v>
      </c>
      <c r="P296" s="46">
        <f t="shared" ca="1" si="18"/>
        <v>8.7719298245614037E-4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input_429010!A$2</f>
        <v>429010</v>
      </c>
      <c r="B297" s="5">
        <v>1016</v>
      </c>
      <c r="C297" s="7" t="str">
        <f t="shared" si="17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ハトホル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blue</v>
      </c>
      <c r="L297" s="7" t="str">
        <f>VLOOKUP(B297,[1]characters!$A:$K,11,FALSE)</f>
        <v>heal</v>
      </c>
      <c r="M297" s="7" t="str">
        <f>VLOOKUP(B297,[1]characters!$A:$M,13,FALSE)</f>
        <v>god</v>
      </c>
      <c r="N297" s="7" t="str">
        <f>VLOOKUP(B297,[1]characters!$A:$G,7,FALSE)</f>
        <v>男性</v>
      </c>
      <c r="O297" s="45">
        <f ca="1">IFERROR(VLOOKUP(B297,input_429010!L:R,7,FALSE),VLOOKUP(tables_429010!C297,input_429010!A:H,8,FALSE))</f>
        <v>1028850</v>
      </c>
      <c r="P297" s="46">
        <f t="shared" ca="1" si="18"/>
        <v>9.9175824175824177E-3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input_429010!A$2</f>
        <v>429010</v>
      </c>
      <c r="B298" s="5">
        <v>1017</v>
      </c>
      <c r="C298" s="7" t="str">
        <f t="shared" si="17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命瞳の慈母神 ハトホル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blue</v>
      </c>
      <c r="L298" s="7" t="str">
        <f>VLOOKUP(B298,[1]characters!$A:$K,11,FALSE)</f>
        <v>heal</v>
      </c>
      <c r="M298" s="7" t="str">
        <f>VLOOKUP(B298,[1]characters!$A:$M,13,FALSE)</f>
        <v>god</v>
      </c>
      <c r="N298" s="7" t="str">
        <f>VLOOKUP(B298,[1]characters!$A:$G,7,FALSE)</f>
        <v>男性</v>
      </c>
      <c r="O298" s="45">
        <f ca="1">IFERROR(VLOOKUP(B298,input_429010!L:R,7,FALSE),VLOOKUP(tables_429010!C298,input_429010!A:H,8,FALSE))</f>
        <v>54150</v>
      </c>
      <c r="P298" s="46">
        <f t="shared" ca="1" si="18"/>
        <v>5.2197802197802203E-4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input_429010!A$2</f>
        <v>429010</v>
      </c>
      <c r="B299" s="5">
        <v>1018</v>
      </c>
      <c r="C299" s="7" t="str">
        <f t="shared" si="17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バステト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yellow</v>
      </c>
      <c r="L299" s="7" t="str">
        <f>VLOOKUP(B299,[1]characters!$A:$K,11,FALSE)</f>
        <v>attack</v>
      </c>
      <c r="M299" s="7" t="str">
        <f>VLOOKUP(B299,[1]characters!$A:$M,13,FALSE)</f>
        <v>god</v>
      </c>
      <c r="N299" s="7" t="str">
        <f>VLOOKUP(B299,[1]characters!$A:$G,7,FALSE)</f>
        <v>男性</v>
      </c>
      <c r="O299" s="45">
        <f ca="1">IFERROR(VLOOKUP(B299,input_429010!L:R,7,FALSE),VLOOKUP(tables_429010!C299,input_429010!A:H,8,FALSE))</f>
        <v>91000</v>
      </c>
      <c r="P299" s="46">
        <f t="shared" ca="1" si="18"/>
        <v>8.7719298245614037E-4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input_429010!A$2</f>
        <v>429010</v>
      </c>
      <c r="B300" s="5">
        <v>1026</v>
      </c>
      <c r="C300" s="7" t="str">
        <f t="shared" ref="C300:C304" si="19">D300&amp;J300&amp;E300&amp;F300&amp;G300</f>
        <v>Premium4R3less</v>
      </c>
      <c r="D300" s="7" t="str">
        <f t="shared" si="14"/>
        <v>Premium</v>
      </c>
      <c r="E300" s="7" t="str">
        <f>IF(COUNTIF('R6追加前'!A:A,B300)=0,IF(OR(I300="PremiumSS",I300="PremiumSSw"),"R5only","R3less"),"")</f>
        <v>R3less</v>
      </c>
      <c r="F300" s="7" t="str">
        <f>IF(COUNTIF('R6開放'!A:A,B300)&gt;0,"R6release","")</f>
        <v/>
      </c>
      <c r="G300" s="7"/>
      <c r="H300" s="7" t="str">
        <f>VLOOKUP(B300,[1]characters!$A:$C,3,FALSE)</f>
        <v>蝉丸</v>
      </c>
      <c r="I300" s="7" t="str">
        <f>VLOOKUP(B300,[1]characters!$A:$J,10,FALSE)</f>
        <v>PremiumS</v>
      </c>
      <c r="J300" s="7">
        <f>VLOOKUP(B300,[1]characters!$A:$I,9,FALSE)</f>
        <v>4</v>
      </c>
      <c r="K300" s="7" t="str">
        <f>VLOOKUP(B300,[1]characters!$A:$H,8,FALSE)</f>
        <v>red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IFERROR(VLOOKUP(B300,input_429010!L:R,7,FALSE),VLOOKUP(tables_429010!C300,input_429010!A:H,8,FALSE))</f>
        <v>1028850</v>
      </c>
      <c r="P300" s="46">
        <f t="shared" ref="P300:P304" ca="1" si="20">O300/SUM(O:O)</f>
        <v>9.9175824175824177E-3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input_429010!A$2</f>
        <v>429010</v>
      </c>
      <c r="B301" s="5">
        <v>1027</v>
      </c>
      <c r="C301" s="7" t="str">
        <f t="shared" si="19"/>
        <v>Premium5R3less</v>
      </c>
      <c r="D301" s="7" t="str">
        <f t="shared" si="14"/>
        <v>Premium</v>
      </c>
      <c r="E301" s="7" t="str">
        <f>IF(COUNTIF('R6追加前'!A:A,B301)=0,IF(OR(I301="PremiumSS",I301="PremiumSSw"),"R5only","R3less"),"")</f>
        <v>R3less</v>
      </c>
      <c r="F301" s="7" t="str">
        <f>IF(COUNTIF('R6開放'!A:A,B301)&gt;0,"R6release","")</f>
        <v/>
      </c>
      <c r="G301" s="7"/>
      <c r="H301" s="7" t="str">
        <f>VLOOKUP(B301,[1]characters!$A:$C,3,FALSE)</f>
        <v>弾丸多重奏 蝉丸</v>
      </c>
      <c r="I301" s="7" t="str">
        <f>VLOOKUP(B301,[1]characters!$A:$J,10,FALSE)</f>
        <v>PremiumS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attack</v>
      </c>
      <c r="M301" s="7" t="str">
        <f>VLOOKUP(B301,[1]characters!$A:$M,13,FALSE)</f>
        <v>human</v>
      </c>
      <c r="N301" s="7" t="str">
        <f>VLOOKUP(B301,[1]characters!$A:$G,7,FALSE)</f>
        <v>男性</v>
      </c>
      <c r="O301" s="45">
        <f ca="1">IFERROR(VLOOKUP(B301,input_429010!L:R,7,FALSE),VLOOKUP(tables_429010!C301,input_429010!A:H,8,FALSE))</f>
        <v>54150</v>
      </c>
      <c r="P301" s="46">
        <f t="shared" ca="1" si="20"/>
        <v>5.2197802197802203E-4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input_429010!A$2</f>
        <v>429010</v>
      </c>
      <c r="B302" s="5">
        <v>1028</v>
      </c>
      <c r="C302" s="7" t="str">
        <f t="shared" si="19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牛若丸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balance</v>
      </c>
      <c r="M302" s="7" t="str">
        <f>VLOOKUP(B302,[1]characters!$A:$M,13,FALSE)</f>
        <v>human</v>
      </c>
      <c r="N302" s="7" t="str">
        <f>VLOOKUP(B302,[1]characters!$A:$G,7,FALSE)</f>
        <v>男性</v>
      </c>
      <c r="O302" s="45">
        <f ca="1">IFERROR(VLOOKUP(B302,input_429010!L:R,7,FALSE),VLOOKUP(tables_429010!C302,input_429010!A:H,8,FALSE))</f>
        <v>91000</v>
      </c>
      <c r="P302" s="46">
        <f t="shared" ca="1" si="20"/>
        <v>8.7719298245614037E-4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input_429010!A$2</f>
        <v>429010</v>
      </c>
      <c r="B303" s="5">
        <v>1031</v>
      </c>
      <c r="C303" s="7" t="str">
        <f t="shared" si="19"/>
        <v>PremiumSS5R5only</v>
      </c>
      <c r="D303" s="7" t="str">
        <f t="shared" si="14"/>
        <v>PremiumSS</v>
      </c>
      <c r="E303" s="7" t="str">
        <f>IF(COUNTIF('R6追加前'!A:A,B303)=0,IF(OR(I303="PremiumSS",I303="PremiumSSw"),"R5only","R3less"),"")</f>
        <v>R5only</v>
      </c>
      <c r="F303" s="7" t="str">
        <f>IF(COUNTIF('R6開放'!A:A,B303)&gt;0,"R6release","")</f>
        <v/>
      </c>
      <c r="G303" s="7"/>
      <c r="H303" s="7" t="str">
        <f>VLOOKUP(B303,[1]characters!$A:$C,3,FALSE)</f>
        <v>紫式部</v>
      </c>
      <c r="I303" s="7" t="str">
        <f>VLOOKUP(B303,[1]characters!$A:$J,10,FALSE)</f>
        <v>PremiumSS</v>
      </c>
      <c r="J303" s="7">
        <f>VLOOKUP(B303,[1]characters!$A:$I,9,FALSE)</f>
        <v>5</v>
      </c>
      <c r="K303" s="7" t="str">
        <f>VLOOKUP(B303,[1]characters!$A:$H,8,FALSE)</f>
        <v>blue</v>
      </c>
      <c r="L303" s="7" t="str">
        <f>VLOOKUP(B303,[1]characters!$A:$K,11,FALSE)</f>
        <v>technical</v>
      </c>
      <c r="M303" s="7" t="str">
        <f>VLOOKUP(B303,[1]characters!$A:$M,13,FALSE)</f>
        <v>human</v>
      </c>
      <c r="N303" s="7" t="str">
        <f>VLOOKUP(B303,[1]characters!$A:$G,7,FALSE)</f>
        <v>男性</v>
      </c>
      <c r="O303" s="45">
        <f ca="1">IFERROR(VLOOKUP(B303,input_429010!L:R,7,FALSE),VLOOKUP(tables_429010!C303,input_429010!A:H,8,FALSE))</f>
        <v>91000</v>
      </c>
      <c r="P303" s="46">
        <f t="shared" ca="1" si="20"/>
        <v>8.7719298245614037E-4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input_429010!A$2</f>
        <v>429010</v>
      </c>
      <c r="B304" s="5">
        <v>1033</v>
      </c>
      <c r="C304" s="7" t="str">
        <f t="shared" si="19"/>
        <v>PremiumSS5R5only</v>
      </c>
      <c r="D304" s="7" t="str">
        <f t="shared" si="14"/>
        <v>PremiumSS</v>
      </c>
      <c r="E304" s="7" t="str">
        <f>IF(COUNTIF('R6追加前'!A:A,B304)=0,IF(OR(I304="PremiumSS",I304="PremiumSSw"),"R5only","R3less"),"")</f>
        <v>R5only</v>
      </c>
      <c r="F304" s="7" t="str">
        <f>IF(COUNTIF('R6開放'!A:A,B304)&gt;0,"R6release","")</f>
        <v/>
      </c>
      <c r="G304" s="7"/>
      <c r="H304" s="7" t="str">
        <f>VLOOKUP(B304,[1]characters!$A:$C,3,FALSE)</f>
        <v>清少納言</v>
      </c>
      <c r="I304" s="7" t="str">
        <f>VLOOKUP(B304,[1]characters!$A:$J,10,FALSE)</f>
        <v>PremiumSS</v>
      </c>
      <c r="J304" s="7">
        <f>VLOOKUP(B304,[1]characters!$A:$I,9,FALSE)</f>
        <v>5</v>
      </c>
      <c r="K304" s="7" t="str">
        <f>VLOOKUP(B304,[1]characters!$A:$H,8,FALSE)</f>
        <v>yellow</v>
      </c>
      <c r="L304" s="7" t="str">
        <f>VLOOKUP(B304,[1]characters!$A:$K,11,FALSE)</f>
        <v>heal</v>
      </c>
      <c r="M304" s="7" t="str">
        <f>VLOOKUP(B304,[1]characters!$A:$M,13,FALSE)</f>
        <v>human</v>
      </c>
      <c r="N304" s="7" t="str">
        <f>VLOOKUP(B304,[1]characters!$A:$G,7,FALSE)</f>
        <v>男性</v>
      </c>
      <c r="O304" s="45">
        <f ca="1">IFERROR(VLOOKUP(B304,input_429010!L:R,7,FALSE),VLOOKUP(tables_429010!C304,input_429010!A:H,8,FALSE))</f>
        <v>91000</v>
      </c>
      <c r="P304" s="46">
        <f t="shared" ca="1" si="20"/>
        <v>8.7719298245614037E-4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input_429010!A$2</f>
        <v>429010</v>
      </c>
      <c r="B305" s="5">
        <v>1067</v>
      </c>
      <c r="C305" s="7" t="str">
        <f t="shared" ref="C305:C309" si="21">D305&amp;J305&amp;E305&amp;F305&amp;G305</f>
        <v>Premium4R3less</v>
      </c>
      <c r="D305" s="7" t="str">
        <f t="shared" si="14"/>
        <v>Premium</v>
      </c>
      <c r="E305" s="7" t="str">
        <f>IF(COUNTIF('R6追加前'!A:A,B305)=0,IF(OR(I305="PremiumSS",I305="PremiumSSw"),"R5only","R3less"),"")</f>
        <v>R3less</v>
      </c>
      <c r="F305" s="7" t="str">
        <f>IF(COUNTIF('R6開放'!A:A,B305)&gt;0,"R6release","")</f>
        <v/>
      </c>
      <c r="G305" s="7"/>
      <c r="H305" s="7" t="str">
        <f>VLOOKUP(B305,[1]characters!$A:$C,3,FALSE)</f>
        <v>ウシュムガル</v>
      </c>
      <c r="I305" s="7" t="str">
        <f>VLOOKUP(B305,[1]characters!$A:$J,10,FALSE)</f>
        <v>PremiumS</v>
      </c>
      <c r="J305" s="7">
        <f>VLOOKUP(B305,[1]characters!$A:$I,9,FALSE)</f>
        <v>4</v>
      </c>
      <c r="K305" s="7" t="str">
        <f>VLOOKUP(B305,[1]characters!$A:$H,8,FALSE)</f>
        <v>red</v>
      </c>
      <c r="L305" s="7" t="str">
        <f>VLOOKUP(B305,[1]characters!$A:$K,11,FALSE)</f>
        <v>balance</v>
      </c>
      <c r="M305" s="7" t="str">
        <f>VLOOKUP(B305,[1]characters!$A:$M,13,FALSE)</f>
        <v>dragon</v>
      </c>
      <c r="N305" s="7" t="str">
        <f>VLOOKUP(B305,[1]characters!$A:$G,7,FALSE)</f>
        <v>男性</v>
      </c>
      <c r="O305" s="45">
        <f ca="1">IFERROR(VLOOKUP(B305,input_429010!L:R,7,FALSE),VLOOKUP(tables_429010!C305,input_429010!A:H,8,FALSE))</f>
        <v>1028850</v>
      </c>
      <c r="P305" s="46">
        <f t="shared" ref="P305:P309" ca="1" si="22">O305/SUM(O:O)</f>
        <v>9.9175824175824177E-3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input_429010!A$2</f>
        <v>429010</v>
      </c>
      <c r="B306" s="5">
        <v>1068</v>
      </c>
      <c r="C306" s="7" t="str">
        <f t="shared" si="21"/>
        <v>Premium5R3less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想母の羽龍 ウシュムガル</v>
      </c>
      <c r="I306" s="7" t="str">
        <f>VLOOKUP(B306,[1]characters!$A:$J,10,FALSE)</f>
        <v>PremiumS</v>
      </c>
      <c r="J306" s="7">
        <f>VLOOKUP(B306,[1]characters!$A:$I,9,FALSE)</f>
        <v>5</v>
      </c>
      <c r="K306" s="7" t="str">
        <f>VLOOKUP(B306,[1]characters!$A:$H,8,FALSE)</f>
        <v>red</v>
      </c>
      <c r="L306" s="7" t="str">
        <f>VLOOKUP(B306,[1]characters!$A:$K,11,FALSE)</f>
        <v>balance</v>
      </c>
      <c r="M306" s="7" t="str">
        <f>VLOOKUP(B306,[1]characters!$A:$M,13,FALSE)</f>
        <v>dragon</v>
      </c>
      <c r="N306" s="7" t="str">
        <f>VLOOKUP(B306,[1]characters!$A:$G,7,FALSE)</f>
        <v>男性</v>
      </c>
      <c r="O306" s="45">
        <f ca="1">IFERROR(VLOOKUP(B306,input_429010!L:R,7,FALSE),VLOOKUP(tables_429010!C306,input_429010!A:H,8,FALSE))</f>
        <v>54150</v>
      </c>
      <c r="P306" s="46">
        <f t="shared" ca="1" si="22"/>
        <v>5.2197802197802203E-4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input_429010!A$2</f>
        <v>429010</v>
      </c>
      <c r="B307" s="5">
        <v>1069</v>
      </c>
      <c r="C307" s="7" t="str">
        <f t="shared" si="21"/>
        <v>PremiumSS5R5only</v>
      </c>
      <c r="D307" s="7" t="str">
        <f t="shared" si="14"/>
        <v>PremiumSS</v>
      </c>
      <c r="E307" s="7" t="str">
        <f>IF(COUNTIF('R6追加前'!A:A,B307)=0,IF(OR(I307="PremiumSS",I307="PremiumSSw"),"R5only","R3less"),"")</f>
        <v>R5only</v>
      </c>
      <c r="F307" s="7" t="str">
        <f>IF(COUNTIF('R6開放'!A:A,B307)&gt;0,"R6release","")</f>
        <v/>
      </c>
      <c r="G307" s="7"/>
      <c r="H307" s="7" t="str">
        <f>VLOOKUP(B307,[1]characters!$A:$C,3,FALSE)</f>
        <v>イシュタル</v>
      </c>
      <c r="I307" s="7" t="str">
        <f>VLOOKUP(B307,[1]characters!$A:$J,10,FALSE)</f>
        <v>PremiumSS</v>
      </c>
      <c r="J307" s="7">
        <f>VLOOKUP(B307,[1]characters!$A:$I,9,FALSE)</f>
        <v>5</v>
      </c>
      <c r="K307" s="7" t="str">
        <f>VLOOKUP(B307,[1]characters!$A:$H,8,FALSE)</f>
        <v>green</v>
      </c>
      <c r="L307" s="7" t="str">
        <f>VLOOKUP(B307,[1]characters!$A:$K,11,FALSE)</f>
        <v>technical</v>
      </c>
      <c r="M307" s="7" t="str">
        <f>VLOOKUP(B307,[1]characters!$A:$M,13,FALSE)</f>
        <v>god</v>
      </c>
      <c r="N307" s="7" t="str">
        <f>VLOOKUP(B307,[1]characters!$A:$G,7,FALSE)</f>
        <v>男性</v>
      </c>
      <c r="O307" s="45">
        <f ca="1">IFERROR(VLOOKUP(B307,input_429010!L:R,7,FALSE),VLOOKUP(tables_429010!C307,input_429010!A:H,8,FALSE))</f>
        <v>91000</v>
      </c>
      <c r="P307" s="46">
        <f t="shared" ca="1" si="22"/>
        <v>8.7719298245614037E-4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input_429010!A$2</f>
        <v>429010</v>
      </c>
      <c r="B308" s="5">
        <v>1072</v>
      </c>
      <c r="C308" s="7" t="str">
        <f t="shared" si="21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エンキドゥ</v>
      </c>
      <c r="I308" s="7" t="str">
        <f>VLOOKUP(B308,[1]characters!$A:$J,10,FALSE)</f>
        <v>PremiumSSw</v>
      </c>
      <c r="J308" s="7">
        <f>VLOOKUP(B308,[1]characters!$A:$I,9,FALSE)</f>
        <v>5</v>
      </c>
      <c r="K308" s="7" t="str">
        <f>VLOOKUP(B308,[1]characters!$A:$H,8,FALSE)</f>
        <v>blue</v>
      </c>
      <c r="L308" s="7" t="str">
        <f>VLOOKUP(B308,[1]characters!$A:$K,11,FALSE)</f>
        <v>attack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IFERROR(VLOOKUP(B308,input_429010!L:R,7,FALSE),VLOOKUP(tables_429010!C308,input_429010!A:H,8,FALSE))</f>
        <v>91000</v>
      </c>
      <c r="P308" s="46">
        <f t="shared" ca="1" si="22"/>
        <v>8.7719298245614037E-4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input_429010!A$2</f>
        <v>429010</v>
      </c>
      <c r="B309" s="5">
        <v>1074</v>
      </c>
      <c r="C309" s="7" t="str">
        <f t="shared" si="21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マルドゥク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yellow</v>
      </c>
      <c r="L309" s="7" t="str">
        <f>VLOOKUP(B309,[1]characters!$A:$K,11,FALSE)</f>
        <v>technical</v>
      </c>
      <c r="M309" s="7" t="str">
        <f>VLOOKUP(B309,[1]characters!$A:$M,13,FALSE)</f>
        <v>god</v>
      </c>
      <c r="N309" s="7" t="str">
        <f>VLOOKUP(B309,[1]characters!$A:$G,7,FALSE)</f>
        <v>男性</v>
      </c>
      <c r="O309" s="45">
        <f ca="1">IFERROR(VLOOKUP(B309,input_429010!L:R,7,FALSE),VLOOKUP(tables_429010!C309,input_429010!A:H,8,FALSE))</f>
        <v>91000</v>
      </c>
      <c r="P309" s="46">
        <f t="shared" ca="1" si="22"/>
        <v>8.7719298245614037E-4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input_429010!A$2</f>
        <v>429010</v>
      </c>
      <c r="B310" s="5">
        <v>1104</v>
      </c>
      <c r="C310" s="7" t="str">
        <f t="shared" ref="C310:C314" si="23">D310&amp;J310&amp;E310&amp;F310&amp;G310</f>
        <v>Premium4R3less</v>
      </c>
      <c r="D310" s="7" t="str">
        <f t="shared" ref="D310:D314" si="24">IF(OR(I310="PremiumSS",I310="PremiumSSw"),"PremiumSS",IF(I310="PremiumSSS",I310,IF(I310="PremiumW",I310,"Premium")))</f>
        <v>Premium</v>
      </c>
      <c r="E310" s="7" t="str">
        <f>IF(COUNTIF('R6追加前'!A:A,B310)=0,IF(OR(I310="PremiumSS",I310="PremiumSSw"),"R5only","R3less"),"")</f>
        <v>R3less</v>
      </c>
      <c r="F310" s="7" t="str">
        <f>IF(COUNTIF('R6開放'!A:A,B310)&gt;0,"R6release","")</f>
        <v/>
      </c>
      <c r="G310" s="7"/>
      <c r="H310" s="7" t="str">
        <f>VLOOKUP(B310,[1]characters!$A:$C,3,FALSE)</f>
        <v>クリムト</v>
      </c>
      <c r="I310" s="7" t="str">
        <f>VLOOKUP(B310,[1]characters!$A:$J,10,FALSE)</f>
        <v>PremiumS</v>
      </c>
      <c r="J310" s="7">
        <f>VLOOKUP(B310,[1]characters!$A:$I,9,FALSE)</f>
        <v>4</v>
      </c>
      <c r="K310" s="7" t="str">
        <f>VLOOKUP(B310,[1]characters!$A:$H,8,FALSE)</f>
        <v>blue</v>
      </c>
      <c r="L310" s="7" t="str">
        <f>VLOOKUP(B310,[1]characters!$A:$K,11,FALSE)</f>
        <v>technical</v>
      </c>
      <c r="M310" s="7" t="str">
        <f>VLOOKUP(B310,[1]characters!$A:$M,13,FALSE)</f>
        <v>human</v>
      </c>
      <c r="N310" s="7" t="str">
        <f>VLOOKUP(B310,[1]characters!$A:$G,7,FALSE)</f>
        <v>不明</v>
      </c>
      <c r="O310" s="45">
        <f ca="1">IFERROR(VLOOKUP(B310,input_429010!L:R,7,FALSE),VLOOKUP(tables_429010!C310,input_429010!A:H,8,FALSE))</f>
        <v>1028850</v>
      </c>
      <c r="P310" s="46">
        <f t="shared" ref="P310:P314" ca="1" si="25">O310/SUM(O:O)</f>
        <v>9.9175824175824177E-3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input_429010!A$2</f>
        <v>429010</v>
      </c>
      <c r="B311" s="5">
        <v>1105</v>
      </c>
      <c r="C311" s="7" t="str">
        <f t="shared" si="23"/>
        <v>Premium5R3less</v>
      </c>
      <c r="D311" s="7" t="str">
        <f t="shared" si="2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甘美なる背徳 クリムト</v>
      </c>
      <c r="I311" s="7" t="str">
        <f>VLOOKUP(B311,[1]characters!$A:$J,10,FALSE)</f>
        <v>PremiumS</v>
      </c>
      <c r="J311" s="7">
        <f>VLOOKUP(B311,[1]characters!$A:$I,9,FALSE)</f>
        <v>5</v>
      </c>
      <c r="K311" s="7" t="str">
        <f>VLOOKUP(B311,[1]characters!$A:$H,8,FALSE)</f>
        <v>blue</v>
      </c>
      <c r="L311" s="7" t="str">
        <f>VLOOKUP(B311,[1]characters!$A:$K,11,FALSE)</f>
        <v>technical</v>
      </c>
      <c r="M311" s="7" t="str">
        <f>VLOOKUP(B311,[1]characters!$A:$M,13,FALSE)</f>
        <v>human</v>
      </c>
      <c r="N311" s="7" t="str">
        <f>VLOOKUP(B311,[1]characters!$A:$G,7,FALSE)</f>
        <v>不明</v>
      </c>
      <c r="O311" s="45">
        <f ca="1">IFERROR(VLOOKUP(B311,input_429010!L:R,7,FALSE),VLOOKUP(tables_429010!C311,input_429010!A:H,8,FALSE))</f>
        <v>54150</v>
      </c>
      <c r="P311" s="46">
        <f t="shared" ca="1" si="25"/>
        <v>5.2197802197802203E-4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input_429010!A$2</f>
        <v>429010</v>
      </c>
      <c r="B312" s="5">
        <v>1106</v>
      </c>
      <c r="C312" s="7" t="str">
        <f t="shared" si="23"/>
        <v>PremiumSS5R5only</v>
      </c>
      <c r="D312" s="7" t="str">
        <f t="shared" si="24"/>
        <v>PremiumSS</v>
      </c>
      <c r="E312" s="7" t="str">
        <f>IF(COUNTIF('R6追加前'!A:A,B312)=0,IF(OR(I312="PremiumSS",I312="PremiumSSw"),"R5only","R3less"),"")</f>
        <v>R5only</v>
      </c>
      <c r="F312" s="7" t="str">
        <f>IF(COUNTIF('R6開放'!A:A,B312)&gt;0,"R6release","")</f>
        <v/>
      </c>
      <c r="G312" s="7"/>
      <c r="H312" s="7" t="str">
        <f>VLOOKUP(B312,[1]characters!$A:$C,3,FALSE)</f>
        <v>ラファエロ</v>
      </c>
      <c r="I312" s="7" t="str">
        <f>VLOOKUP(B312,[1]characters!$A:$J,10,FALSE)</f>
        <v>PremiumSS</v>
      </c>
      <c r="J312" s="7">
        <f>VLOOKUP(B312,[1]characters!$A:$I,9,FALSE)</f>
        <v>5</v>
      </c>
      <c r="K312" s="7" t="str">
        <f>VLOOKUP(B312,[1]characters!$A:$H,8,FALSE)</f>
        <v>yellow</v>
      </c>
      <c r="L312" s="7" t="str">
        <f>VLOOKUP(B312,[1]characters!$A:$K,11,FALSE)</f>
        <v>attack</v>
      </c>
      <c r="M312" s="7" t="str">
        <f>VLOOKUP(B312,[1]characters!$A:$M,13,FALSE)</f>
        <v>human</v>
      </c>
      <c r="N312" s="7" t="str">
        <f>VLOOKUP(B312,[1]characters!$A:$G,7,FALSE)</f>
        <v>不明</v>
      </c>
      <c r="O312" s="45">
        <f ca="1">IFERROR(VLOOKUP(B312,input_429010!L:R,7,FALSE),VLOOKUP(tables_429010!C312,input_429010!A:H,8,FALSE))</f>
        <v>91000</v>
      </c>
      <c r="P312" s="46">
        <f t="shared" ca="1" si="25"/>
        <v>8.7719298245614037E-4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input_429010!A$2</f>
        <v>429010</v>
      </c>
      <c r="B313" s="5">
        <v>1102</v>
      </c>
      <c r="C313" s="7" t="str">
        <f t="shared" si="23"/>
        <v>PremiumSS5R5only</v>
      </c>
      <c r="D313" s="7" t="str">
        <f t="shared" si="2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ドガ</v>
      </c>
      <c r="I313" s="7" t="str">
        <f>VLOOKUP(B313,[1]characters!$A:$J,10,FALSE)</f>
        <v>PremiumSSW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balance</v>
      </c>
      <c r="M313" s="7" t="str">
        <f>VLOOKUP(B313,[1]characters!$A:$M,13,FALSE)</f>
        <v>animal</v>
      </c>
      <c r="N313" s="7" t="str">
        <f>VLOOKUP(B313,[1]characters!$A:$G,7,FALSE)</f>
        <v>不明</v>
      </c>
      <c r="O313" s="45">
        <f ca="1">IFERROR(VLOOKUP(B313,input_429010!L:R,7,FALSE),VLOOKUP(tables_429010!C313,input_429010!A:H,8,FALSE))</f>
        <v>91000</v>
      </c>
      <c r="P313" s="46">
        <f t="shared" ca="1" si="25"/>
        <v>8.7719298245614037E-4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input_429010!A$2</f>
        <v>429010</v>
      </c>
      <c r="B314" s="5">
        <v>1100</v>
      </c>
      <c r="C314" s="7" t="str">
        <f t="shared" si="23"/>
        <v>PremiumSS5R5only</v>
      </c>
      <c r="D314" s="7" t="str">
        <f t="shared" si="2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北斎</v>
      </c>
      <c r="I314" s="7" t="str">
        <f>VLOOKUP(B314,[1]characters!$A:$J,10,FALSE)</f>
        <v>PremiumSS</v>
      </c>
      <c r="J314" s="7">
        <f>VLOOKUP(B314,[1]characters!$A:$I,9,FALSE)</f>
        <v>5</v>
      </c>
      <c r="K314" s="7" t="str">
        <f>VLOOKUP(B314,[1]characters!$A:$H,8,FALSE)</f>
        <v>red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不明</v>
      </c>
      <c r="O314" s="45">
        <f ca="1">IFERROR(VLOOKUP(B314,input_429010!L:R,7,FALSE),VLOOKUP(tables_429010!C314,input_429010!A:H,8,FALSE))</f>
        <v>91000</v>
      </c>
      <c r="P314" s="46">
        <f t="shared" ca="1" si="25"/>
        <v>8.7719298245614037E-4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input_429010!A$2</f>
        <v>429010</v>
      </c>
      <c r="B315" s="5">
        <v>1137</v>
      </c>
      <c r="C315" s="7" t="str">
        <f t="shared" ref="C315:C319" si="26">D315&amp;J315&amp;E315&amp;F315&amp;G315</f>
        <v>PremiumSS5R5only</v>
      </c>
      <c r="D315" s="7" t="str">
        <f t="shared" ref="D315:D319" si="27">IF(OR(I315="PremiumSS",I315="PremiumSSw"),"PremiumSS",IF(I315="PremiumSSS",I315,IF(I315="PremiumW",I315,"Premium")))</f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諸葛亮</v>
      </c>
      <c r="I315" s="7" t="str">
        <f>VLOOKUP(B315,[1]characters!$A:$J,10,FALSE)</f>
        <v>PremiumSSW</v>
      </c>
      <c r="J315" s="7">
        <f>VLOOKUP(B315,[1]characters!$A:$I,9,FALSE)</f>
        <v>5</v>
      </c>
      <c r="K315" s="7" t="str">
        <f>VLOOKUP(B315,[1]characters!$A:$H,8,FALSE)</f>
        <v>red</v>
      </c>
      <c r="L315" s="7" t="str">
        <f>VLOOKUP(B315,[1]characters!$A:$K,11,FALSE)</f>
        <v>technical</v>
      </c>
      <c r="M315" s="7" t="str">
        <f>VLOOKUP(B315,[1]characters!$A:$M,13,FALSE)</f>
        <v>samurai</v>
      </c>
      <c r="N315" s="7" t="str">
        <f>VLOOKUP(B315,[1]characters!$A:$G,7,FALSE)</f>
        <v>不明</v>
      </c>
      <c r="O315" s="45">
        <f ca="1">IFERROR(VLOOKUP(B315,input_429010!L:R,7,FALSE),VLOOKUP(tables_429010!C315,input_429010!A:H,8,FALSE))</f>
        <v>91000</v>
      </c>
      <c r="P315" s="46">
        <f t="shared" ref="P315:P319" ca="1" si="28">O315/SUM(O:O)</f>
        <v>8.7719298245614037E-4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input_429010!A$2</f>
        <v>429010</v>
      </c>
      <c r="B316" s="5">
        <v>1139</v>
      </c>
      <c r="C316" s="7" t="str">
        <f t="shared" si="26"/>
        <v>PremiumSS5R5only</v>
      </c>
      <c r="D316" s="7" t="str">
        <f t="shared" si="27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趙雲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green</v>
      </c>
      <c r="L316" s="7" t="str">
        <f>VLOOKUP(B316,[1]characters!$A:$K,11,FALSE)</f>
        <v>balance</v>
      </c>
      <c r="M316" s="7" t="str">
        <f>VLOOKUP(B316,[1]characters!$A:$M,13,FALSE)</f>
        <v>samurai</v>
      </c>
      <c r="N316" s="7" t="str">
        <f>VLOOKUP(B316,[1]characters!$A:$G,7,FALSE)</f>
        <v>不明</v>
      </c>
      <c r="O316" s="45">
        <f ca="1">IFERROR(VLOOKUP(B316,input_429010!L:R,7,FALSE),VLOOKUP(tables_429010!C316,input_429010!A:H,8,FALSE))</f>
        <v>91000</v>
      </c>
      <c r="P316" s="46">
        <f t="shared" ca="1" si="28"/>
        <v>8.7719298245614037E-4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input_429010!A$2</f>
        <v>429010</v>
      </c>
      <c r="B317" s="5">
        <v>1141</v>
      </c>
      <c r="C317" s="7" t="str">
        <f t="shared" si="26"/>
        <v>PremiumSS5R5only</v>
      </c>
      <c r="D317" s="7" t="str">
        <f t="shared" si="27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月英</v>
      </c>
      <c r="I317" s="7" t="str">
        <f>VLOOKUP(B317,[1]characters!$A:$J,10,FALSE)</f>
        <v>PremiumSS</v>
      </c>
      <c r="J317" s="7">
        <f>VLOOKUP(B317,[1]characters!$A:$I,9,FALSE)</f>
        <v>5</v>
      </c>
      <c r="K317" s="7" t="str">
        <f>VLOOKUP(B317,[1]characters!$A:$H,8,FALSE)</f>
        <v>blue</v>
      </c>
      <c r="L317" s="7" t="str">
        <f>VLOOKUP(B317,[1]characters!$A:$K,11,FALSE)</f>
        <v>balance</v>
      </c>
      <c r="M317" s="7" t="str">
        <f>VLOOKUP(B317,[1]characters!$A:$M,13,FALSE)</f>
        <v>human</v>
      </c>
      <c r="N317" s="7" t="str">
        <f>VLOOKUP(B317,[1]characters!$A:$G,7,FALSE)</f>
        <v>不明</v>
      </c>
      <c r="O317" s="45">
        <f ca="1">IFERROR(VLOOKUP(B317,input_429010!L:R,7,FALSE),VLOOKUP(tables_429010!C317,input_429010!A:H,8,FALSE))</f>
        <v>91000</v>
      </c>
      <c r="P317" s="46">
        <f t="shared" ca="1" si="28"/>
        <v>8.7719298245614037E-4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input_429010!A$2</f>
        <v>429010</v>
      </c>
      <c r="B318" s="5">
        <v>1143</v>
      </c>
      <c r="C318" s="7" t="str">
        <f t="shared" si="26"/>
        <v>Premium4R3less</v>
      </c>
      <c r="D318" s="7" t="str">
        <f t="shared" si="27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黄忠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yellow</v>
      </c>
      <c r="L318" s="7" t="str">
        <f>VLOOKUP(B318,[1]characters!$A:$K,11,FALSE)</f>
        <v>technical</v>
      </c>
      <c r="M318" s="7" t="str">
        <f>VLOOKUP(B318,[1]characters!$A:$M,13,FALSE)</f>
        <v>samurai</v>
      </c>
      <c r="N318" s="7" t="str">
        <f>VLOOKUP(B318,[1]characters!$A:$G,7,FALSE)</f>
        <v>不明</v>
      </c>
      <c r="O318" s="45">
        <f ca="1">IFERROR(VLOOKUP(B318,input_429010!L:R,7,FALSE),VLOOKUP(tables_429010!C318,input_429010!A:H,8,FALSE))</f>
        <v>1028850</v>
      </c>
      <c r="P318" s="46">
        <f t="shared" ca="1" si="28"/>
        <v>9.9175824175824177E-3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input_429010!A$2</f>
        <v>429010</v>
      </c>
      <c r="B319" s="5">
        <v>1144</v>
      </c>
      <c r="C319" s="7" t="str">
        <f t="shared" si="26"/>
        <v>Premium5R3less</v>
      </c>
      <c r="D319" s="7" t="str">
        <f t="shared" si="27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白星を射る老将 黄忠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yellow</v>
      </c>
      <c r="L319" s="7" t="str">
        <f>VLOOKUP(B319,[1]characters!$A:$K,11,FALSE)</f>
        <v>technical</v>
      </c>
      <c r="M319" s="7" t="str">
        <f>VLOOKUP(B319,[1]characters!$A:$M,13,FALSE)</f>
        <v>samurai</v>
      </c>
      <c r="N319" s="7" t="str">
        <f>VLOOKUP(B319,[1]characters!$A:$G,7,FALSE)</f>
        <v>不明</v>
      </c>
      <c r="O319" s="45">
        <f ca="1">IFERROR(VLOOKUP(B319,input_429010!L:R,7,FALSE),VLOOKUP(tables_429010!C319,input_429010!A:H,8,FALSE))</f>
        <v>54150</v>
      </c>
      <c r="P319" s="46">
        <f t="shared" ca="1" si="28"/>
        <v>5.2197802197802203E-4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input_429010!A$2</f>
        <v>429010</v>
      </c>
      <c r="B320" s="5">
        <v>1153</v>
      </c>
      <c r="C320" s="7" t="str">
        <f t="shared" ref="C320:C324" si="29">D320&amp;J320&amp;E320&amp;F320&amp;G320</f>
        <v>PremiumSS5R5only</v>
      </c>
      <c r="D320" s="7" t="str">
        <f t="shared" ref="D320:D324" si="30">IF(OR(I320="PremiumSS",I320="PremiumSSw"),"PremiumSS",IF(I320="PremiumSSS",I320,IF(I320="PremiumW",I320,"Premium")))</f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ラクシュミ</v>
      </c>
      <c r="I320" s="7" t="str">
        <f>VLOOKUP(B320,[1]characters!$A:$J,10,FALSE)</f>
        <v>PremiumSSW</v>
      </c>
      <c r="J320" s="7">
        <f>VLOOKUP(B320,[1]characters!$A:$I,9,FALSE)</f>
        <v>5</v>
      </c>
      <c r="K320" s="7" t="str">
        <f>VLOOKUP(B320,[1]characters!$A:$H,8,FALSE)</f>
        <v>green</v>
      </c>
      <c r="L320" s="7" t="str">
        <f>VLOOKUP(B320,[1]characters!$A:$K,11,FALSE)</f>
        <v>hp</v>
      </c>
      <c r="M320" s="7" t="str">
        <f>VLOOKUP(B320,[1]characters!$A:$M,13,FALSE)</f>
        <v>god</v>
      </c>
      <c r="N320" s="7" t="str">
        <f>VLOOKUP(B320,[1]characters!$A:$G,7,FALSE)</f>
        <v>不明</v>
      </c>
      <c r="O320" s="45">
        <f ca="1">IFERROR(VLOOKUP(B320,input_429010!L:R,7,FALSE),VLOOKUP(tables_429010!C320,input_429010!A:H,8,FALSE))</f>
        <v>91000</v>
      </c>
      <c r="P320" s="46">
        <f t="shared" ref="P320:P324" ca="1" si="31">O320/SUM(O:O)</f>
        <v>8.7719298245614037E-4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input_429010!A$2</f>
        <v>429010</v>
      </c>
      <c r="B321" s="5">
        <v>1155</v>
      </c>
      <c r="C321" s="7" t="str">
        <f t="shared" si="29"/>
        <v>PremiumSS5R5only</v>
      </c>
      <c r="D321" s="7" t="str">
        <f t="shared" si="30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ドゥルガー</v>
      </c>
      <c r="I321" s="7" t="str">
        <f>VLOOKUP(B321,[1]characters!$A:$J,10,FALSE)</f>
        <v>PremiumSS</v>
      </c>
      <c r="J321" s="7">
        <f>VLOOKUP(B321,[1]characters!$A:$I,9,FALSE)</f>
        <v>5</v>
      </c>
      <c r="K321" s="7" t="str">
        <f>VLOOKUP(B321,[1]characters!$A:$H,8,FALSE)</f>
        <v>blue</v>
      </c>
      <c r="L321" s="7" t="str">
        <f>VLOOKUP(B321,[1]characters!$A:$K,11,FALSE)</f>
        <v>balance</v>
      </c>
      <c r="M321" s="7" t="str">
        <f>VLOOKUP(B321,[1]characters!$A:$M,13,FALSE)</f>
        <v>god</v>
      </c>
      <c r="N321" s="7" t="str">
        <f>VLOOKUP(B321,[1]characters!$A:$G,7,FALSE)</f>
        <v>不明</v>
      </c>
      <c r="O321" s="45">
        <f ca="1">IFERROR(VLOOKUP(B321,input_429010!L:R,7,FALSE),VLOOKUP(tables_429010!C321,input_429010!A:H,8,FALSE))</f>
        <v>91000</v>
      </c>
      <c r="P321" s="46">
        <f t="shared" ca="1" si="31"/>
        <v>8.7719298245614037E-4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input_429010!A$2</f>
        <v>429010</v>
      </c>
      <c r="B322" s="5">
        <v>1157</v>
      </c>
      <c r="C322" s="7" t="str">
        <f t="shared" si="29"/>
        <v>PremiumSS5R5only</v>
      </c>
      <c r="D322" s="7" t="str">
        <f t="shared" si="30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インドラ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yellow</v>
      </c>
      <c r="L322" s="7" t="str">
        <f>VLOOKUP(B322,[1]characters!$A:$K,11,FALSE)</f>
        <v>attack</v>
      </c>
      <c r="M322" s="7" t="str">
        <f>VLOOKUP(B322,[1]characters!$A:$M,13,FALSE)</f>
        <v>god</v>
      </c>
      <c r="N322" s="7" t="str">
        <f>VLOOKUP(B322,[1]characters!$A:$G,7,FALSE)</f>
        <v>不明</v>
      </c>
      <c r="O322" s="45">
        <f ca="1">IFERROR(VLOOKUP(B322,input_429010!L:R,7,FALSE),VLOOKUP(tables_429010!C322,input_429010!A:H,8,FALSE))</f>
        <v>91000</v>
      </c>
      <c r="P322" s="46">
        <f t="shared" ca="1" si="31"/>
        <v>8.7719298245614037E-4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input_429010!A$2</f>
        <v>429010</v>
      </c>
      <c r="B323" s="5">
        <v>1151</v>
      </c>
      <c r="C323" s="7" t="str">
        <f t="shared" si="29"/>
        <v>Premium4R3less</v>
      </c>
      <c r="D323" s="7" t="str">
        <f t="shared" si="30"/>
        <v>Premium</v>
      </c>
      <c r="E323" s="7" t="str">
        <f>IF(COUNTIF('R6追加前'!A:A,B323)=0,IF(OR(I323="PremiumSS",I323="PremiumSSw"),"R5only","R3less"),"")</f>
        <v>R3less</v>
      </c>
      <c r="F323" s="7" t="str">
        <f>IF(COUNTIF('R6開放'!A:A,B323)&gt;0,"R6release","")</f>
        <v/>
      </c>
      <c r="G323" s="7"/>
      <c r="H323" s="7" t="str">
        <f>VLOOKUP(B323,[1]characters!$A:$C,3,FALSE)</f>
        <v>ガネーシャ</v>
      </c>
      <c r="I323" s="7" t="str">
        <f>VLOOKUP(B323,[1]characters!$A:$J,10,FALSE)</f>
        <v>PremiumS</v>
      </c>
      <c r="J323" s="7">
        <f>VLOOKUP(B323,[1]characters!$A:$I,9,FALSE)</f>
        <v>4</v>
      </c>
      <c r="K323" s="7" t="str">
        <f>VLOOKUP(B323,[1]characters!$A:$H,8,FALSE)</f>
        <v>red</v>
      </c>
      <c r="L323" s="7" t="str">
        <f>VLOOKUP(B323,[1]characters!$A:$K,11,FALSE)</f>
        <v>heal</v>
      </c>
      <c r="M323" s="7" t="str">
        <f>VLOOKUP(B323,[1]characters!$A:$M,13,FALSE)</f>
        <v>god</v>
      </c>
      <c r="N323" s="7" t="str">
        <f>VLOOKUP(B323,[1]characters!$A:$G,7,FALSE)</f>
        <v>不明</v>
      </c>
      <c r="O323" s="45">
        <f ca="1">IFERROR(VLOOKUP(B323,input_429010!L:R,7,FALSE),VLOOKUP(tables_429010!C323,input_429010!A:H,8,FALSE))</f>
        <v>1028850</v>
      </c>
      <c r="P323" s="46">
        <f t="shared" ca="1" si="31"/>
        <v>9.9175824175824177E-3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input_429010!A$2</f>
        <v>429010</v>
      </c>
      <c r="B324" s="5">
        <v>1152</v>
      </c>
      <c r="C324" s="7" t="str">
        <f t="shared" si="29"/>
        <v>Premium5R3less</v>
      </c>
      <c r="D324" s="7" t="str">
        <f t="shared" si="30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ガネーシャ</v>
      </c>
      <c r="I324" s="7" t="str">
        <f>VLOOKUP(B324,[1]characters!$A:$J,10,FALSE)</f>
        <v>PremiumS</v>
      </c>
      <c r="J324" s="7">
        <f>VLOOKUP(B324,[1]characters!$A:$I,9,FALSE)</f>
        <v>5</v>
      </c>
      <c r="K324" s="7" t="str">
        <f>VLOOKUP(B324,[1]characters!$A:$H,8,FALSE)</f>
        <v>red</v>
      </c>
      <c r="L324" s="7" t="str">
        <f>VLOOKUP(B324,[1]characters!$A:$K,11,FALSE)</f>
        <v>heal</v>
      </c>
      <c r="M324" s="7" t="str">
        <f>VLOOKUP(B324,[1]characters!$A:$M,13,FALSE)</f>
        <v>god</v>
      </c>
      <c r="N324" s="7" t="str">
        <f>VLOOKUP(B324,[1]characters!$A:$G,7,FALSE)</f>
        <v>不明</v>
      </c>
      <c r="O324" s="45">
        <f ca="1">IFERROR(VLOOKUP(B324,input_429010!L:R,7,FALSE),VLOOKUP(tables_429010!C324,input_429010!A:H,8,FALSE))</f>
        <v>54150</v>
      </c>
      <c r="P324" s="46">
        <f t="shared" ca="1" si="31"/>
        <v>5.2197802197802203E-4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</sheetData>
  <autoFilter ref="A1:V294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 enableFormatConditionsCalculation="0">
    <tabColor rgb="FF0000FF"/>
    <outlinePr summaryBelow="0" summaryRight="0"/>
  </sheetPr>
  <dimension ref="A1:V324"/>
  <sheetViews>
    <sheetView showGridLines="0" zoomScale="75" zoomScaleNormal="75" zoomScalePageLayoutView="75" workbookViewId="0">
      <pane ySplit="1" topLeftCell="A291" activePane="bottomLeft" state="frozen"/>
      <selection activeCell="H276" sqref="H276"/>
      <selection pane="bottomLeft" activeCell="B324" sqref="B320:B324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input_429011!A$2</f>
        <v>429011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IF(OR(I2="PremiumSS",I2="PremiumSSw"),"PremiumSS",IF(I2="PremiumSSS",I2,IF(I2="PremiumW",I2,"Premium")))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IFERROR(VLOOKUP(B2,input_429011!L:R,7,FALSE),VLOOKUP(tables_429011!C2,input_429011!A:H,8,FALSE))</f>
        <v>1045380</v>
      </c>
      <c r="P2" s="46">
        <f t="shared" ref="P2:P65" ca="1" si="1">O2/SUM(O:O)</f>
        <v>1.0076923076923077E-2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input_429011!A$2</f>
        <v>429011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IF(OR(I3="PremiumSS",I3="PremiumSSw"),"PremiumSS",IF(I3="PremiumSSS",I3,IF(I3="PremiumW",I3,"Premium")))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IFERROR(VLOOKUP(B3,input_429011!L:R,7,FALSE),VLOOKUP(tables_429011!C3,input_429011!A:H,8,FALSE))</f>
        <v>60420</v>
      </c>
      <c r="P3" s="46">
        <f t="shared" ca="1" si="1"/>
        <v>5.8241758241758237E-4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input_429011!A$2</f>
        <v>429011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IFERROR(VLOOKUP(B4,input_429011!L:R,7,FALSE),VLOOKUP(tables_429011!C4,input_429011!A:H,8,FALSE))</f>
        <v>1045380</v>
      </c>
      <c r="P4" s="46">
        <f t="shared" ca="1" si="1"/>
        <v>1.0076923076923077E-2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input_429011!A$2</f>
        <v>429011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IFERROR(VLOOKUP(B5,input_429011!L:R,7,FALSE),VLOOKUP(tables_429011!C5,input_429011!A:H,8,FALSE))</f>
        <v>60420</v>
      </c>
      <c r="P5" s="46">
        <f t="shared" ca="1" si="1"/>
        <v>5.8241758241758237E-4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input_429011!A$2</f>
        <v>429011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IFERROR(VLOOKUP(B6,input_429011!L:R,7,FALSE),VLOOKUP(tables_429011!C6,input_429011!A:H,8,FALSE))</f>
        <v>1045380</v>
      </c>
      <c r="P6" s="46">
        <f t="shared" ca="1" si="1"/>
        <v>1.0076923076923077E-2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input_429011!A$2</f>
        <v>429011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IFERROR(VLOOKUP(B7,input_429011!L:R,7,FALSE),VLOOKUP(tables_429011!C7,input_429011!A:H,8,FALSE))</f>
        <v>60420</v>
      </c>
      <c r="P7" s="46">
        <f t="shared" ca="1" si="1"/>
        <v>5.8241758241758237E-4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input_429011!A$2</f>
        <v>429011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IFERROR(VLOOKUP(B8,input_429011!L:R,7,FALSE),VLOOKUP(tables_429011!C8,input_429011!A:H,8,FALSE))</f>
        <v>1045380</v>
      </c>
      <c r="P8" s="46">
        <f t="shared" ca="1" si="1"/>
        <v>1.0076923076923077E-2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input_429011!A$2</f>
        <v>429011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IFERROR(VLOOKUP(B9,input_429011!L:R,7,FALSE),VLOOKUP(tables_429011!C9,input_429011!A:H,8,FALSE))</f>
        <v>60420</v>
      </c>
      <c r="P9" s="46">
        <f t="shared" ca="1" si="1"/>
        <v>5.8241758241758237E-4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input_429011!A$2</f>
        <v>429011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IFERROR(VLOOKUP(B10,input_429011!L:R,7,FALSE),VLOOKUP(tables_429011!C10,input_429011!A:H,8,FALSE))</f>
        <v>1045380</v>
      </c>
      <c r="P10" s="46">
        <f t="shared" ca="1" si="1"/>
        <v>1.0076923076923077E-2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input_429011!A$2</f>
        <v>429011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IFERROR(VLOOKUP(B11,input_429011!L:R,7,FALSE),VLOOKUP(tables_429011!C11,input_429011!A:H,8,FALSE))</f>
        <v>60420</v>
      </c>
      <c r="P11" s="46">
        <f t="shared" ca="1" si="1"/>
        <v>5.8241758241758237E-4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input_429011!A$2</f>
        <v>429011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IFERROR(VLOOKUP(B12,input_429011!L:R,7,FALSE),VLOOKUP(tables_429011!C12,input_429011!A:H,8,FALSE))</f>
        <v>1045380</v>
      </c>
      <c r="P12" s="46">
        <f t="shared" ca="1" si="1"/>
        <v>1.0076923076923077E-2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input_429011!A$2</f>
        <v>429011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IFERROR(VLOOKUP(B13,input_429011!L:R,7,FALSE),VLOOKUP(tables_429011!C13,input_429011!A:H,8,FALSE))</f>
        <v>60420</v>
      </c>
      <c r="P13" s="46">
        <f t="shared" ca="1" si="1"/>
        <v>5.8241758241758237E-4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input_429011!A$2</f>
        <v>429011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IFERROR(VLOOKUP(B14,input_429011!L:R,7,FALSE),VLOOKUP(tables_429011!C14,input_429011!A:H,8,FALSE))</f>
        <v>1045380</v>
      </c>
      <c r="P14" s="46">
        <f t="shared" ca="1" si="1"/>
        <v>1.0076923076923077E-2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input_429011!A$2</f>
        <v>429011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IFERROR(VLOOKUP(B15,input_429011!L:R,7,FALSE),VLOOKUP(tables_429011!C15,input_429011!A:H,8,FALSE))</f>
        <v>60420</v>
      </c>
      <c r="P15" s="46">
        <f t="shared" ca="1" si="1"/>
        <v>5.8241758241758237E-4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input_429011!A$2</f>
        <v>429011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IFERROR(VLOOKUP(B16,input_429011!L:R,7,FALSE),VLOOKUP(tables_429011!C16,input_429011!A:H,8,FALSE))</f>
        <v>1045380</v>
      </c>
      <c r="P16" s="46">
        <f t="shared" ca="1" si="1"/>
        <v>1.0076923076923077E-2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input_429011!A$2</f>
        <v>429011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IFERROR(VLOOKUP(B17,input_429011!L:R,7,FALSE),VLOOKUP(tables_429011!C17,input_429011!A:H,8,FALSE))</f>
        <v>60420</v>
      </c>
      <c r="P17" s="46">
        <f t="shared" ca="1" si="1"/>
        <v>5.8241758241758237E-4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input_429011!A$2</f>
        <v>429011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IFERROR(VLOOKUP(B18,input_429011!L:R,7,FALSE),VLOOKUP(tables_429011!C18,input_429011!A:H,8,FALSE))</f>
        <v>1045380</v>
      </c>
      <c r="P18" s="46">
        <f t="shared" ca="1" si="1"/>
        <v>1.0076923076923077E-2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input_429011!A$2</f>
        <v>429011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IFERROR(VLOOKUP(B19,input_429011!L:R,7,FALSE),VLOOKUP(tables_429011!C19,input_429011!A:H,8,FALSE))</f>
        <v>60420</v>
      </c>
      <c r="P19" s="46">
        <f t="shared" ca="1" si="1"/>
        <v>5.8241758241758237E-4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input_429011!A$2</f>
        <v>429011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IFERROR(VLOOKUP(B20,input_429011!L:R,7,FALSE),VLOOKUP(tables_429011!C20,input_429011!A:H,8,FALSE))</f>
        <v>1045380</v>
      </c>
      <c r="P20" s="46">
        <f t="shared" ca="1" si="1"/>
        <v>1.0076923076923077E-2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input_429011!A$2</f>
        <v>429011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IFERROR(VLOOKUP(B21,input_429011!L:R,7,FALSE),VLOOKUP(tables_429011!C21,input_429011!A:H,8,FALSE))</f>
        <v>60420</v>
      </c>
      <c r="P21" s="46">
        <f t="shared" ca="1" si="1"/>
        <v>5.8241758241758237E-4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input_429011!A$2</f>
        <v>429011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IFERROR(VLOOKUP(B22,input_429011!L:R,7,FALSE),VLOOKUP(tables_429011!C22,input_429011!A:H,8,FALSE))</f>
        <v>1045380</v>
      </c>
      <c r="P22" s="46">
        <f t="shared" ca="1" si="1"/>
        <v>1.0076923076923077E-2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input_429011!A$2</f>
        <v>429011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IFERROR(VLOOKUP(B23,input_429011!L:R,7,FALSE),VLOOKUP(tables_429011!C23,input_429011!A:H,8,FALSE))</f>
        <v>60420</v>
      </c>
      <c r="P23" s="46">
        <f t="shared" ca="1" si="1"/>
        <v>5.8241758241758237E-4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input_429011!A$2</f>
        <v>429011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IFERROR(VLOOKUP(B24,input_429011!L:R,7,FALSE),VLOOKUP(tables_429011!C24,input_429011!A:H,8,FALSE))</f>
        <v>1045380</v>
      </c>
      <c r="P24" s="46">
        <f t="shared" ca="1" si="1"/>
        <v>1.0076923076923077E-2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input_429011!A$2</f>
        <v>429011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IFERROR(VLOOKUP(B25,input_429011!L:R,7,FALSE),VLOOKUP(tables_429011!C25,input_429011!A:H,8,FALSE))</f>
        <v>60420</v>
      </c>
      <c r="P25" s="46">
        <f t="shared" ca="1" si="1"/>
        <v>5.8241758241758237E-4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input_429011!A$2</f>
        <v>429011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IFERROR(VLOOKUP(B26,input_429011!L:R,7,FALSE),VLOOKUP(tables_429011!C26,input_429011!A:H,8,FALSE))</f>
        <v>1045380</v>
      </c>
      <c r="P26" s="46">
        <f t="shared" ca="1" si="1"/>
        <v>1.0076923076923077E-2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input_429011!A$2</f>
        <v>429011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IFERROR(VLOOKUP(B27,input_429011!L:R,7,FALSE),VLOOKUP(tables_429011!C27,input_429011!A:H,8,FALSE))</f>
        <v>60420</v>
      </c>
      <c r="P27" s="46">
        <f t="shared" ca="1" si="1"/>
        <v>5.8241758241758237E-4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input_429011!A$2</f>
        <v>429011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IFERROR(VLOOKUP(B28,input_429011!L:R,7,FALSE),VLOOKUP(tables_429011!C28,input_429011!A:H,8,FALSE))</f>
        <v>1045380</v>
      </c>
      <c r="P28" s="46">
        <f t="shared" ca="1" si="1"/>
        <v>1.0076923076923077E-2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input_429011!A$2</f>
        <v>429011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IFERROR(VLOOKUP(B29,input_429011!L:R,7,FALSE),VLOOKUP(tables_429011!C29,input_429011!A:H,8,FALSE))</f>
        <v>60420</v>
      </c>
      <c r="P29" s="46">
        <f t="shared" ca="1" si="1"/>
        <v>5.8241758241758237E-4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input_429011!A$2</f>
        <v>429011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IFERROR(VLOOKUP(B30,input_429011!L:R,7,FALSE),VLOOKUP(tables_429011!C30,input_429011!A:H,8,FALSE))</f>
        <v>1045380</v>
      </c>
      <c r="P30" s="46">
        <f t="shared" ca="1" si="1"/>
        <v>1.0076923076923077E-2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input_429011!A$2</f>
        <v>429011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IFERROR(VLOOKUP(B31,input_429011!L:R,7,FALSE),VLOOKUP(tables_429011!C31,input_429011!A:H,8,FALSE))</f>
        <v>60420</v>
      </c>
      <c r="P31" s="46">
        <f t="shared" ca="1" si="1"/>
        <v>5.8241758241758237E-4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input_429011!A$2</f>
        <v>429011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IFERROR(VLOOKUP(B32,input_429011!L:R,7,FALSE),VLOOKUP(tables_429011!C32,input_429011!A:H,8,FALSE))</f>
        <v>1045380</v>
      </c>
      <c r="P32" s="46">
        <f t="shared" ca="1" si="1"/>
        <v>1.0076923076923077E-2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input_429011!A$2</f>
        <v>429011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IFERROR(VLOOKUP(B33,input_429011!L:R,7,FALSE),VLOOKUP(tables_429011!C33,input_429011!A:H,8,FALSE))</f>
        <v>60420</v>
      </c>
      <c r="P33" s="46">
        <f t="shared" ca="1" si="1"/>
        <v>5.8241758241758237E-4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input_429011!A$2</f>
        <v>429011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IFERROR(VLOOKUP(B34,input_429011!L:R,7,FALSE),VLOOKUP(tables_429011!C34,input_429011!A:H,8,FALSE))</f>
        <v>1045380</v>
      </c>
      <c r="P34" s="46">
        <f t="shared" ca="1" si="1"/>
        <v>1.0076923076923077E-2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input_429011!A$2</f>
        <v>429011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IFERROR(VLOOKUP(B35,input_429011!L:R,7,FALSE),VLOOKUP(tables_429011!C35,input_429011!A:H,8,FALSE))</f>
        <v>60420</v>
      </c>
      <c r="P35" s="46">
        <f t="shared" ca="1" si="1"/>
        <v>5.8241758241758237E-4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input_429011!A$2</f>
        <v>429011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IFERROR(VLOOKUP(B36,input_429011!L:R,7,FALSE),VLOOKUP(tables_429011!C36,input_429011!A:H,8,FALSE))</f>
        <v>1045380</v>
      </c>
      <c r="P36" s="46">
        <f t="shared" ca="1" si="1"/>
        <v>1.0076923076923077E-2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input_429011!A$2</f>
        <v>429011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IFERROR(VLOOKUP(B37,input_429011!L:R,7,FALSE),VLOOKUP(tables_429011!C37,input_429011!A:H,8,FALSE))</f>
        <v>60420</v>
      </c>
      <c r="P37" s="46">
        <f t="shared" ca="1" si="1"/>
        <v>5.8241758241758237E-4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input_429011!A$2</f>
        <v>429011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IFERROR(VLOOKUP(B38,input_429011!L:R,7,FALSE),VLOOKUP(tables_429011!C38,input_429011!A:H,8,FALSE))</f>
        <v>1045380</v>
      </c>
      <c r="P38" s="46">
        <f t="shared" ca="1" si="1"/>
        <v>1.0076923076923077E-2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input_429011!A$2</f>
        <v>429011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IFERROR(VLOOKUP(B39,input_429011!L:R,7,FALSE),VLOOKUP(tables_429011!C39,input_429011!A:H,8,FALSE))</f>
        <v>60420</v>
      </c>
      <c r="P39" s="46">
        <f t="shared" ca="1" si="1"/>
        <v>5.8241758241758237E-4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input_429011!A$2</f>
        <v>429011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IFERROR(VLOOKUP(B40,input_429011!L:R,7,FALSE),VLOOKUP(tables_429011!C40,input_429011!A:H,8,FALSE))</f>
        <v>1045380</v>
      </c>
      <c r="P40" s="46">
        <f t="shared" ca="1" si="1"/>
        <v>1.0076923076923077E-2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input_429011!A$2</f>
        <v>429011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IFERROR(VLOOKUP(B41,input_429011!L:R,7,FALSE),VLOOKUP(tables_429011!C41,input_429011!A:H,8,FALSE))</f>
        <v>60420</v>
      </c>
      <c r="P41" s="46">
        <f t="shared" ca="1" si="1"/>
        <v>5.8241758241758237E-4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input_429011!A$2</f>
        <v>429011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IFERROR(VLOOKUP(B42,input_429011!L:R,7,FALSE),VLOOKUP(tables_429011!C42,input_429011!A:H,8,FALSE))</f>
        <v>552900</v>
      </c>
      <c r="P42" s="46">
        <f t="shared" ca="1" si="1"/>
        <v>5.32967032967033E-3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input_429011!A$2</f>
        <v>429011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IFERROR(VLOOKUP(B43,input_429011!L:R,7,FALSE),VLOOKUP(tables_429011!C43,input_429011!A:H,8,FALSE))</f>
        <v>497610</v>
      </c>
      <c r="P43" s="46">
        <f t="shared" ca="1" si="1"/>
        <v>4.7967032967032967E-3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input_429011!A$2</f>
        <v>429011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IFERROR(VLOOKUP(B44,input_429011!L:R,7,FALSE),VLOOKUP(tables_429011!C44,input_429011!A:H,8,FALSE))</f>
        <v>55290</v>
      </c>
      <c r="P44" s="46">
        <f t="shared" ca="1" si="1"/>
        <v>5.3296703296703293E-4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input_429011!A$2</f>
        <v>429011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IFERROR(VLOOKUP(B45,input_429011!L:R,7,FALSE),VLOOKUP(tables_429011!C45,input_429011!A:H,8,FALSE))</f>
        <v>552900</v>
      </c>
      <c r="P45" s="46">
        <f t="shared" ca="1" si="1"/>
        <v>5.32967032967033E-3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input_429011!A$2</f>
        <v>429011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IFERROR(VLOOKUP(B46,input_429011!L:R,7,FALSE),VLOOKUP(tables_429011!C46,input_429011!A:H,8,FALSE))</f>
        <v>497610</v>
      </c>
      <c r="P46" s="46">
        <f t="shared" ca="1" si="1"/>
        <v>4.7967032967032967E-3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input_429011!A$2</f>
        <v>429011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IFERROR(VLOOKUP(B47,input_429011!L:R,7,FALSE),VLOOKUP(tables_429011!C47,input_429011!A:H,8,FALSE))</f>
        <v>55290</v>
      </c>
      <c r="P47" s="46">
        <f t="shared" ca="1" si="1"/>
        <v>5.3296703296703293E-4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input_429011!A$2</f>
        <v>429011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IFERROR(VLOOKUP(B48,input_429011!L:R,7,FALSE),VLOOKUP(tables_429011!C48,input_429011!A:H,8,FALSE))</f>
        <v>552900</v>
      </c>
      <c r="P48" s="46">
        <f t="shared" ca="1" si="1"/>
        <v>5.32967032967033E-3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input_429011!A$2</f>
        <v>429011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IFERROR(VLOOKUP(B49,input_429011!L:R,7,FALSE),VLOOKUP(tables_429011!C49,input_429011!A:H,8,FALSE))</f>
        <v>497610</v>
      </c>
      <c r="P49" s="46">
        <f t="shared" ca="1" si="1"/>
        <v>4.7967032967032967E-3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input_429011!A$2</f>
        <v>429011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IFERROR(VLOOKUP(B50,input_429011!L:R,7,FALSE),VLOOKUP(tables_429011!C50,input_429011!A:H,8,FALSE))</f>
        <v>55290</v>
      </c>
      <c r="P50" s="46">
        <f t="shared" ca="1" si="1"/>
        <v>5.3296703296703293E-4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input_429011!A$2</f>
        <v>429011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IFERROR(VLOOKUP(B51,input_429011!L:R,7,FALSE),VLOOKUP(tables_429011!C51,input_429011!A:H,8,FALSE))</f>
        <v>552900</v>
      </c>
      <c r="P51" s="46">
        <f t="shared" ca="1" si="1"/>
        <v>5.32967032967033E-3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input_429011!A$2</f>
        <v>429011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IFERROR(VLOOKUP(B52,input_429011!L:R,7,FALSE),VLOOKUP(tables_429011!C52,input_429011!A:H,8,FALSE))</f>
        <v>505272.11537999997</v>
      </c>
      <c r="P52" s="46">
        <f t="shared" ca="1" si="1"/>
        <v>4.8705621301330243E-3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input_429011!A$2</f>
        <v>429011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IFERROR(VLOOKUP(B53,input_429011!L:R,7,FALSE),VLOOKUP(tables_429011!C53,input_429011!A:H,8,FALSE))</f>
        <v>47627.884619999997</v>
      </c>
      <c r="P53" s="46">
        <f t="shared" ca="1" si="1"/>
        <v>4.5910819953730477E-4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input_429011!A$2</f>
        <v>429011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IFERROR(VLOOKUP(B54,input_429011!L:R,7,FALSE),VLOOKUP(tables_429011!C54,input_429011!A:H,8,FALSE))</f>
        <v>552900</v>
      </c>
      <c r="P54" s="46">
        <f t="shared" ca="1" si="1"/>
        <v>5.32967032967033E-3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input_429011!A$2</f>
        <v>429011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IFERROR(VLOOKUP(B55,input_429011!L:R,7,FALSE),VLOOKUP(tables_429011!C55,input_429011!A:H,8,FALSE))</f>
        <v>505272.11537999997</v>
      </c>
      <c r="P55" s="46">
        <f t="shared" ca="1" si="1"/>
        <v>4.8705621301330243E-3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input_429011!A$2</f>
        <v>429011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IFERROR(VLOOKUP(B56,input_429011!L:R,7,FALSE),VLOOKUP(tables_429011!C56,input_429011!A:H,8,FALSE))</f>
        <v>47627.884619999997</v>
      </c>
      <c r="P56" s="46">
        <f t="shared" ca="1" si="1"/>
        <v>4.5910819953730477E-4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input_429011!A$2</f>
        <v>429011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IFERROR(VLOOKUP(B57,input_429011!L:R,7,FALSE),VLOOKUP(tables_429011!C57,input_429011!A:H,8,FALSE))</f>
        <v>552900</v>
      </c>
      <c r="P57" s="46">
        <f t="shared" ca="1" si="1"/>
        <v>5.32967032967033E-3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input_429011!A$2</f>
        <v>429011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IFERROR(VLOOKUP(B58,input_429011!L:R,7,FALSE),VLOOKUP(tables_429011!C58,input_429011!A:H,8,FALSE))</f>
        <v>505272.11537999997</v>
      </c>
      <c r="P58" s="46">
        <f t="shared" ca="1" si="1"/>
        <v>4.8705621301330243E-3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input_429011!A$2</f>
        <v>429011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IFERROR(VLOOKUP(B59,input_429011!L:R,7,FALSE),VLOOKUP(tables_429011!C59,input_429011!A:H,8,FALSE))</f>
        <v>47627.884619999997</v>
      </c>
      <c r="P59" s="46">
        <f t="shared" ca="1" si="1"/>
        <v>4.5910819953730477E-4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input_429011!A$2</f>
        <v>429011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IFERROR(VLOOKUP(B60,input_429011!L:R,7,FALSE),VLOOKUP(tables_429011!C60,input_429011!A:H,8,FALSE))</f>
        <v>552900</v>
      </c>
      <c r="P60" s="46">
        <f t="shared" ca="1" si="1"/>
        <v>5.32967032967033E-3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input_429011!A$2</f>
        <v>429011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IFERROR(VLOOKUP(B61,input_429011!L:R,7,FALSE),VLOOKUP(tables_429011!C61,input_429011!A:H,8,FALSE))</f>
        <v>505272.11537999997</v>
      </c>
      <c r="P61" s="46">
        <f t="shared" ca="1" si="1"/>
        <v>4.8705621301330243E-3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input_429011!A$2</f>
        <v>429011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IFERROR(VLOOKUP(B62,input_429011!L:R,7,FALSE),VLOOKUP(tables_429011!C62,input_429011!A:H,8,FALSE))</f>
        <v>47627.884619999997</v>
      </c>
      <c r="P62" s="46">
        <f t="shared" ca="1" si="1"/>
        <v>4.5910819953730477E-4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input_429011!A$2</f>
        <v>429011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IFERROR(VLOOKUP(B63,input_429011!L:R,7,FALSE),VLOOKUP(tables_429011!C63,input_429011!A:H,8,FALSE))</f>
        <v>552900</v>
      </c>
      <c r="P63" s="46">
        <f t="shared" ca="1" si="1"/>
        <v>5.32967032967033E-3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input_429011!A$2</f>
        <v>429011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IFERROR(VLOOKUP(B64,input_429011!L:R,7,FALSE),VLOOKUP(tables_429011!C64,input_429011!A:H,8,FALSE))</f>
        <v>505272.11537999997</v>
      </c>
      <c r="P64" s="46">
        <f t="shared" ca="1" si="1"/>
        <v>4.8705621301330243E-3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input_429011!A$2</f>
        <v>429011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IFERROR(VLOOKUP(B65,input_429011!L:R,7,FALSE),VLOOKUP(tables_429011!C65,input_429011!A:H,8,FALSE))</f>
        <v>47627.884619999997</v>
      </c>
      <c r="P65" s="46">
        <f t="shared" ca="1" si="1"/>
        <v>4.5910819953730477E-4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input_429011!A$2</f>
        <v>429011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IFERROR(VLOOKUP(B66,input_429011!L:R,7,FALSE),VLOOKUP(tables_429011!C66,input_429011!A:H,8,FALSE))</f>
        <v>552900</v>
      </c>
      <c r="P66" s="46">
        <f t="shared" ref="P66:P129" ca="1" si="4">O66/SUM(O:O)</f>
        <v>5.32967032967033E-3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input_429011!A$2</f>
        <v>429011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IF(OR(I67="PremiumSS",I67="PremiumSSw"),"PremiumSS",IF(I67="PremiumSSS",I67,IF(I67="PremiumW",I67,"Premium")))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IFERROR(VLOOKUP(B67,input_429011!L:R,7,FALSE),VLOOKUP(tables_429011!C67,input_429011!A:H,8,FALSE))</f>
        <v>505272.11537999997</v>
      </c>
      <c r="P67" s="46">
        <f t="shared" ca="1" si="4"/>
        <v>4.8705621301330243E-3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input_429011!A$2</f>
        <v>429011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IFERROR(VLOOKUP(B68,input_429011!L:R,7,FALSE),VLOOKUP(tables_429011!C68,input_429011!A:H,8,FALSE))</f>
        <v>47627.884619999997</v>
      </c>
      <c r="P68" s="46">
        <f t="shared" ca="1" si="4"/>
        <v>4.5910819953730477E-4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input_429011!A$2</f>
        <v>429011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IFERROR(VLOOKUP(B69,input_429011!L:R,7,FALSE),VLOOKUP(tables_429011!C69,input_429011!A:H,8,FALSE))</f>
        <v>552900</v>
      </c>
      <c r="P69" s="46">
        <f t="shared" ca="1" si="4"/>
        <v>5.32967032967033E-3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input_429011!A$2</f>
        <v>429011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IFERROR(VLOOKUP(B70,input_429011!L:R,7,FALSE),VLOOKUP(tables_429011!C70,input_429011!A:H,8,FALSE))</f>
        <v>505272.11537999997</v>
      </c>
      <c r="P70" s="46">
        <f t="shared" ca="1" si="4"/>
        <v>4.8705621301330243E-3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input_429011!A$2</f>
        <v>429011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IFERROR(VLOOKUP(B71,input_429011!L:R,7,FALSE),VLOOKUP(tables_429011!C71,input_429011!A:H,8,FALSE))</f>
        <v>47627.884619999997</v>
      </c>
      <c r="P71" s="46">
        <f t="shared" ca="1" si="4"/>
        <v>4.5910819953730477E-4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input_429011!A$2</f>
        <v>429011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IFERROR(VLOOKUP(B72,input_429011!L:R,7,FALSE),VLOOKUP(tables_429011!C72,input_429011!A:H,8,FALSE))</f>
        <v>552900</v>
      </c>
      <c r="P72" s="46">
        <f t="shared" ca="1" si="4"/>
        <v>5.32967032967033E-3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input_429011!A$2</f>
        <v>429011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IFERROR(VLOOKUP(B73,input_429011!L:R,7,FALSE),VLOOKUP(tables_429011!C73,input_429011!A:H,8,FALSE))</f>
        <v>505272.11537999997</v>
      </c>
      <c r="P73" s="46">
        <f t="shared" ca="1" si="4"/>
        <v>4.8705621301330243E-3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input_429011!A$2</f>
        <v>429011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IFERROR(VLOOKUP(B74,input_429011!L:R,7,FALSE),VLOOKUP(tables_429011!C74,input_429011!A:H,8,FALSE))</f>
        <v>47627.884619999997</v>
      </c>
      <c r="P74" s="46">
        <f t="shared" ca="1" si="4"/>
        <v>4.5910819953730477E-4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input_429011!A$2</f>
        <v>429011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IFERROR(VLOOKUP(B75,input_429011!L:R,7,FALSE),VLOOKUP(tables_429011!C75,input_429011!A:H,8,FALSE))</f>
        <v>552900</v>
      </c>
      <c r="P75" s="46">
        <f t="shared" ca="1" si="4"/>
        <v>5.32967032967033E-3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input_429011!A$2</f>
        <v>429011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IFERROR(VLOOKUP(B76,input_429011!L:R,7,FALSE),VLOOKUP(tables_429011!C76,input_429011!A:H,8,FALSE))</f>
        <v>505272.11537999997</v>
      </c>
      <c r="P76" s="46">
        <f t="shared" ca="1" si="4"/>
        <v>4.8705621301330243E-3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input_429011!A$2</f>
        <v>429011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IFERROR(VLOOKUP(B77,input_429011!L:R,7,FALSE),VLOOKUP(tables_429011!C77,input_429011!A:H,8,FALSE))</f>
        <v>47627.884619999997</v>
      </c>
      <c r="P77" s="46">
        <f t="shared" ca="1" si="4"/>
        <v>4.5910819953730477E-4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input_429011!A$2</f>
        <v>429011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IFERROR(VLOOKUP(B78,input_429011!L:R,7,FALSE),VLOOKUP(tables_429011!C78,input_429011!A:H,8,FALSE))</f>
        <v>552900</v>
      </c>
      <c r="P78" s="46">
        <f t="shared" ca="1" si="4"/>
        <v>5.32967032967033E-3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input_429011!A$2</f>
        <v>429011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IFERROR(VLOOKUP(B79,input_429011!L:R,7,FALSE),VLOOKUP(tables_429011!C79,input_429011!A:H,8,FALSE))</f>
        <v>505272.11537999997</v>
      </c>
      <c r="P79" s="46">
        <f t="shared" ca="1" si="4"/>
        <v>4.8705621301330243E-3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input_429011!A$2</f>
        <v>429011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IFERROR(VLOOKUP(B80,input_429011!L:R,7,FALSE),VLOOKUP(tables_429011!C80,input_429011!A:H,8,FALSE))</f>
        <v>47627.884619999997</v>
      </c>
      <c r="P80" s="46">
        <f t="shared" ca="1" si="4"/>
        <v>4.5910819953730477E-4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input_429011!A$2</f>
        <v>429011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IFERROR(VLOOKUP(B81,input_429011!L:R,7,FALSE),VLOOKUP(tables_429011!C81,input_429011!A:H,8,FALSE))</f>
        <v>552900</v>
      </c>
      <c r="P81" s="46">
        <f t="shared" ca="1" si="4"/>
        <v>5.32967032967033E-3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input_429011!A$2</f>
        <v>429011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IFERROR(VLOOKUP(B82,input_429011!L:R,7,FALSE),VLOOKUP(tables_429011!C82,input_429011!A:H,8,FALSE))</f>
        <v>505272.11537999997</v>
      </c>
      <c r="P82" s="46">
        <f t="shared" ca="1" si="4"/>
        <v>4.8705621301330243E-3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input_429011!A$2</f>
        <v>429011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IFERROR(VLOOKUP(B83,input_429011!L:R,7,FALSE),VLOOKUP(tables_429011!C83,input_429011!A:H,8,FALSE))</f>
        <v>47627.884619999997</v>
      </c>
      <c r="P83" s="46">
        <f t="shared" ca="1" si="4"/>
        <v>4.5910819953730477E-4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input_429011!A$2</f>
        <v>429011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IFERROR(VLOOKUP(B84,input_429011!L:R,7,FALSE),VLOOKUP(tables_429011!C84,input_429011!A:H,8,FALSE))</f>
        <v>552900</v>
      </c>
      <c r="P84" s="46">
        <f t="shared" ca="1" si="4"/>
        <v>5.32967032967033E-3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input_429011!A$2</f>
        <v>429011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IFERROR(VLOOKUP(B85,input_429011!L:R,7,FALSE),VLOOKUP(tables_429011!C85,input_429011!A:H,8,FALSE))</f>
        <v>505272.11537999997</v>
      </c>
      <c r="P85" s="46">
        <f t="shared" ca="1" si="4"/>
        <v>4.8705621301330243E-3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input_429011!A$2</f>
        <v>429011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IFERROR(VLOOKUP(B86,input_429011!L:R,7,FALSE),VLOOKUP(tables_429011!C86,input_429011!A:H,8,FALSE))</f>
        <v>47627.884619999997</v>
      </c>
      <c r="P86" s="46">
        <f t="shared" ca="1" si="4"/>
        <v>4.5910819953730477E-4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input_429011!A$2</f>
        <v>429011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IFERROR(VLOOKUP(B87,input_429011!L:R,7,FALSE),VLOOKUP(tables_429011!C87,input_429011!A:H,8,FALSE))</f>
        <v>552900</v>
      </c>
      <c r="P87" s="46">
        <f t="shared" ca="1" si="4"/>
        <v>5.32967032967033E-3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input_429011!A$2</f>
        <v>429011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IFERROR(VLOOKUP(B88,input_429011!L:R,7,FALSE),VLOOKUP(tables_429011!C88,input_429011!A:H,8,FALSE))</f>
        <v>505272.11537999997</v>
      </c>
      <c r="P88" s="46">
        <f t="shared" ca="1" si="4"/>
        <v>4.8705621301330243E-3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input_429011!A$2</f>
        <v>429011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IFERROR(VLOOKUP(B89,input_429011!L:R,7,FALSE),VLOOKUP(tables_429011!C89,input_429011!A:H,8,FALSE))</f>
        <v>47627.884619999997</v>
      </c>
      <c r="P89" s="46">
        <f t="shared" ca="1" si="4"/>
        <v>4.5910819953730477E-4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input_429011!A$2</f>
        <v>429011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IFERROR(VLOOKUP(B90,input_429011!L:R,7,FALSE),VLOOKUP(tables_429011!C90,input_429011!A:H,8,FALSE))</f>
        <v>552900</v>
      </c>
      <c r="P90" s="46">
        <f t="shared" ca="1" si="4"/>
        <v>5.32967032967033E-3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input_429011!A$2</f>
        <v>429011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IFERROR(VLOOKUP(B91,input_429011!L:R,7,FALSE),VLOOKUP(tables_429011!C91,input_429011!A:H,8,FALSE))</f>
        <v>505272.11537999997</v>
      </c>
      <c r="P91" s="46">
        <f t="shared" ca="1" si="4"/>
        <v>4.8705621301330243E-3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input_429011!A$2</f>
        <v>429011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IFERROR(VLOOKUP(B92,input_429011!L:R,7,FALSE),VLOOKUP(tables_429011!C92,input_429011!A:H,8,FALSE))</f>
        <v>47627.884619999997</v>
      </c>
      <c r="P92" s="46">
        <f t="shared" ca="1" si="4"/>
        <v>4.5910819953730477E-4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input_429011!A$2</f>
        <v>429011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IFERROR(VLOOKUP(B93,input_429011!L:R,7,FALSE),VLOOKUP(tables_429011!C93,input_429011!A:H,8,FALSE))</f>
        <v>552900</v>
      </c>
      <c r="P93" s="46">
        <f t="shared" ca="1" si="4"/>
        <v>5.32967032967033E-3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input_429011!A$2</f>
        <v>429011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IFERROR(VLOOKUP(B94,input_429011!L:R,7,FALSE),VLOOKUP(tables_429011!C94,input_429011!A:H,8,FALSE))</f>
        <v>505272.11537999997</v>
      </c>
      <c r="P94" s="46">
        <f t="shared" ca="1" si="4"/>
        <v>4.8705621301330243E-3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input_429011!A$2</f>
        <v>429011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IFERROR(VLOOKUP(B95,input_429011!L:R,7,FALSE),VLOOKUP(tables_429011!C95,input_429011!A:H,8,FALSE))</f>
        <v>47627.884619999997</v>
      </c>
      <c r="P95" s="46">
        <f t="shared" ca="1" si="4"/>
        <v>4.5910819953730477E-4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input_429011!A$2</f>
        <v>429011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IFERROR(VLOOKUP(B96,input_429011!L:R,7,FALSE),VLOOKUP(tables_429011!C96,input_429011!A:H,8,FALSE))</f>
        <v>552900</v>
      </c>
      <c r="P96" s="46">
        <f t="shared" ca="1" si="4"/>
        <v>5.32967032967033E-3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input_429011!A$2</f>
        <v>429011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IFERROR(VLOOKUP(B97,input_429011!L:R,7,FALSE),VLOOKUP(tables_429011!C97,input_429011!A:H,8,FALSE))</f>
        <v>505272.11537999997</v>
      </c>
      <c r="P97" s="46">
        <f t="shared" ca="1" si="4"/>
        <v>4.8705621301330243E-3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input_429011!A$2</f>
        <v>429011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IFERROR(VLOOKUP(B98,input_429011!L:R,7,FALSE),VLOOKUP(tables_429011!C98,input_429011!A:H,8,FALSE))</f>
        <v>47627.884619999997</v>
      </c>
      <c r="P98" s="46">
        <f t="shared" ca="1" si="4"/>
        <v>4.5910819953730477E-4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input_429011!A$2</f>
        <v>429011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IFERROR(VLOOKUP(B99,input_429011!L:R,7,FALSE),VLOOKUP(tables_429011!C99,input_429011!A:H,8,FALSE))</f>
        <v>552900</v>
      </c>
      <c r="P99" s="46">
        <f t="shared" ca="1" si="4"/>
        <v>5.32967032967033E-3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input_429011!A$2</f>
        <v>429011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IFERROR(VLOOKUP(B100,input_429011!L:R,7,FALSE),VLOOKUP(tables_429011!C100,input_429011!A:H,8,FALSE))</f>
        <v>505272.11537999997</v>
      </c>
      <c r="P100" s="46">
        <f t="shared" ca="1" si="4"/>
        <v>4.8705621301330243E-3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input_429011!A$2</f>
        <v>429011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IFERROR(VLOOKUP(B101,input_429011!L:R,7,FALSE),VLOOKUP(tables_429011!C101,input_429011!A:H,8,FALSE))</f>
        <v>47627.884619999997</v>
      </c>
      <c r="P101" s="46">
        <f t="shared" ca="1" si="4"/>
        <v>4.5910819953730477E-4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input_429011!A$2</f>
        <v>429011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IFERROR(VLOOKUP(B102,input_429011!L:R,7,FALSE),VLOOKUP(tables_429011!C102,input_429011!A:H,8,FALSE))</f>
        <v>552900</v>
      </c>
      <c r="P102" s="46">
        <f t="shared" ca="1" si="4"/>
        <v>5.32967032967033E-3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input_429011!A$2</f>
        <v>429011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IFERROR(VLOOKUP(B103,input_429011!L:R,7,FALSE),VLOOKUP(tables_429011!C103,input_429011!A:H,8,FALSE))</f>
        <v>505272.11537999997</v>
      </c>
      <c r="P103" s="46">
        <f t="shared" ca="1" si="4"/>
        <v>4.8705621301330243E-3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input_429011!A$2</f>
        <v>429011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IFERROR(VLOOKUP(B104,input_429011!L:R,7,FALSE),VLOOKUP(tables_429011!C104,input_429011!A:H,8,FALSE))</f>
        <v>47627.884619999997</v>
      </c>
      <c r="P104" s="46">
        <f t="shared" ca="1" si="4"/>
        <v>4.5910819953730477E-4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input_429011!A$2</f>
        <v>429011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IFERROR(VLOOKUP(B105,input_429011!L:R,7,FALSE),VLOOKUP(tables_429011!C105,input_429011!A:H,8,FALSE))</f>
        <v>552900</v>
      </c>
      <c r="P105" s="46">
        <f t="shared" ca="1" si="4"/>
        <v>5.32967032967033E-3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input_429011!A$2</f>
        <v>429011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IFERROR(VLOOKUP(B106,input_429011!L:R,7,FALSE),VLOOKUP(tables_429011!C106,input_429011!A:H,8,FALSE))</f>
        <v>505272.11537999997</v>
      </c>
      <c r="P106" s="46">
        <f t="shared" ca="1" si="4"/>
        <v>4.8705621301330243E-3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input_429011!A$2</f>
        <v>429011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IFERROR(VLOOKUP(B107,input_429011!L:R,7,FALSE),VLOOKUP(tables_429011!C107,input_429011!A:H,8,FALSE))</f>
        <v>47627.884619999997</v>
      </c>
      <c r="P107" s="46">
        <f t="shared" ca="1" si="4"/>
        <v>4.5910819953730477E-4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input_429011!A$2</f>
        <v>429011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IFERROR(VLOOKUP(B108,input_429011!L:R,7,FALSE),VLOOKUP(tables_429011!C108,input_429011!A:H,8,FALSE))</f>
        <v>552900</v>
      </c>
      <c r="P108" s="46">
        <f t="shared" ca="1" si="4"/>
        <v>5.32967032967033E-3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input_429011!A$2</f>
        <v>429011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IFERROR(VLOOKUP(B109,input_429011!L:R,7,FALSE),VLOOKUP(tables_429011!C109,input_429011!A:H,8,FALSE))</f>
        <v>505272.11537999997</v>
      </c>
      <c r="P109" s="46">
        <f t="shared" ca="1" si="4"/>
        <v>4.8705621301330243E-3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input_429011!A$2</f>
        <v>429011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IFERROR(VLOOKUP(B110,input_429011!L:R,7,FALSE),VLOOKUP(tables_429011!C110,input_429011!A:H,8,FALSE))</f>
        <v>47627.884619999997</v>
      </c>
      <c r="P110" s="46">
        <f t="shared" ca="1" si="4"/>
        <v>4.5910819953730477E-4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input_429011!A$2</f>
        <v>429011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IFERROR(VLOOKUP(B111,input_429011!L:R,7,FALSE),VLOOKUP(tables_429011!C111,input_429011!A:H,8,FALSE))</f>
        <v>552900</v>
      </c>
      <c r="P111" s="46">
        <f t="shared" ca="1" si="4"/>
        <v>5.32967032967033E-3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input_429011!A$2</f>
        <v>429011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IFERROR(VLOOKUP(B112,input_429011!L:R,7,FALSE),VLOOKUP(tables_429011!C112,input_429011!A:H,8,FALSE))</f>
        <v>497610</v>
      </c>
      <c r="P112" s="46">
        <f t="shared" ca="1" si="4"/>
        <v>4.7967032967032967E-3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input_429011!A$2</f>
        <v>429011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IFERROR(VLOOKUP(B113,input_429011!L:R,7,FALSE),VLOOKUP(tables_429011!C113,input_429011!A:H,8,FALSE))</f>
        <v>55290</v>
      </c>
      <c r="P113" s="46">
        <f t="shared" ca="1" si="4"/>
        <v>5.3296703296703293E-4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input_429011!A$2</f>
        <v>429011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IFERROR(VLOOKUP(B114,input_429011!L:R,7,FALSE),VLOOKUP(tables_429011!C114,input_429011!A:H,8,FALSE))</f>
        <v>552900</v>
      </c>
      <c r="P114" s="46">
        <f t="shared" ca="1" si="4"/>
        <v>5.32967032967033E-3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input_429011!A$2</f>
        <v>429011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IFERROR(VLOOKUP(B115,input_429011!L:R,7,FALSE),VLOOKUP(tables_429011!C115,input_429011!A:H,8,FALSE))</f>
        <v>505272.11537999997</v>
      </c>
      <c r="P115" s="46">
        <f t="shared" ca="1" si="4"/>
        <v>4.8705621301330243E-3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input_429011!A$2</f>
        <v>429011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IFERROR(VLOOKUP(B116,input_429011!L:R,7,FALSE),VLOOKUP(tables_429011!C116,input_429011!A:H,8,FALSE))</f>
        <v>47627.884619999997</v>
      </c>
      <c r="P116" s="46">
        <f t="shared" ca="1" si="4"/>
        <v>4.5910819953730477E-4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input_429011!A$2</f>
        <v>429011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IFERROR(VLOOKUP(B117,input_429011!L:R,7,FALSE),VLOOKUP(tables_429011!C117,input_429011!A:H,8,FALSE))</f>
        <v>552900</v>
      </c>
      <c r="P117" s="46">
        <f t="shared" ca="1" si="4"/>
        <v>5.32967032967033E-3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input_429011!A$2</f>
        <v>429011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IFERROR(VLOOKUP(B118,input_429011!L:R,7,FALSE),VLOOKUP(tables_429011!C118,input_429011!A:H,8,FALSE))</f>
        <v>505272.11537999997</v>
      </c>
      <c r="P118" s="46">
        <f t="shared" ca="1" si="4"/>
        <v>4.8705621301330243E-3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input_429011!A$2</f>
        <v>429011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IFERROR(VLOOKUP(B119,input_429011!L:R,7,FALSE),VLOOKUP(tables_429011!C119,input_429011!A:H,8,FALSE))</f>
        <v>47627.884619999997</v>
      </c>
      <c r="P119" s="46">
        <f t="shared" ca="1" si="4"/>
        <v>4.5910819953730477E-4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input_429011!A$2</f>
        <v>429011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IFERROR(VLOOKUP(B120,input_429011!L:R,7,FALSE),VLOOKUP(tables_429011!C120,input_429011!A:H,8,FALSE))</f>
        <v>552900</v>
      </c>
      <c r="P120" s="46">
        <f t="shared" ca="1" si="4"/>
        <v>5.32967032967033E-3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input_429011!A$2</f>
        <v>429011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IFERROR(VLOOKUP(B121,input_429011!L:R,7,FALSE),VLOOKUP(tables_429011!C121,input_429011!A:H,8,FALSE))</f>
        <v>505272.11537999997</v>
      </c>
      <c r="P121" s="46">
        <f t="shared" ca="1" si="4"/>
        <v>4.8705621301330243E-3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input_429011!A$2</f>
        <v>429011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IFERROR(VLOOKUP(B122,input_429011!L:R,7,FALSE),VLOOKUP(tables_429011!C122,input_429011!A:H,8,FALSE))</f>
        <v>47627.884619999997</v>
      </c>
      <c r="P122" s="46">
        <f t="shared" ca="1" si="4"/>
        <v>4.5910819953730477E-4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input_429011!A$2</f>
        <v>429011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IFERROR(VLOOKUP(B123,input_429011!L:R,7,FALSE),VLOOKUP(tables_429011!C123,input_429011!A:H,8,FALSE))</f>
        <v>552900</v>
      </c>
      <c r="P123" s="46">
        <f t="shared" ca="1" si="4"/>
        <v>5.32967032967033E-3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input_429011!A$2</f>
        <v>429011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IFERROR(VLOOKUP(B124,input_429011!L:R,7,FALSE),VLOOKUP(tables_429011!C124,input_429011!A:H,8,FALSE))</f>
        <v>505272.11537999997</v>
      </c>
      <c r="P124" s="46">
        <f t="shared" ca="1" si="4"/>
        <v>4.8705621301330243E-3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input_429011!A$2</f>
        <v>429011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IFERROR(VLOOKUP(B125,input_429011!L:R,7,FALSE),VLOOKUP(tables_429011!C125,input_429011!A:H,8,FALSE))</f>
        <v>47627.884619999997</v>
      </c>
      <c r="P125" s="46">
        <f t="shared" ca="1" si="4"/>
        <v>4.5910819953730477E-4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input_429011!A$2</f>
        <v>429011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IFERROR(VLOOKUP(B126,input_429011!L:R,7,FALSE),VLOOKUP(tables_429011!C126,input_429011!A:H,8,FALSE))</f>
        <v>552900</v>
      </c>
      <c r="P126" s="46">
        <f t="shared" ca="1" si="4"/>
        <v>5.32967032967033E-3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input_429011!A$2</f>
        <v>429011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IFERROR(VLOOKUP(B127,input_429011!L:R,7,FALSE),VLOOKUP(tables_429011!C127,input_429011!A:H,8,FALSE))</f>
        <v>505272.11537999997</v>
      </c>
      <c r="P127" s="46">
        <f t="shared" ca="1" si="4"/>
        <v>4.8705621301330243E-3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input_429011!A$2</f>
        <v>429011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IFERROR(VLOOKUP(B128,input_429011!L:R,7,FALSE),VLOOKUP(tables_429011!C128,input_429011!A:H,8,FALSE))</f>
        <v>47627.884619999997</v>
      </c>
      <c r="P128" s="46">
        <f t="shared" ca="1" si="4"/>
        <v>4.5910819953730477E-4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input_429011!A$2</f>
        <v>429011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IFERROR(VLOOKUP(B129,input_429011!L:R,7,FALSE),VLOOKUP(tables_429011!C129,input_429011!A:H,8,FALSE))</f>
        <v>552900</v>
      </c>
      <c r="P129" s="46">
        <f t="shared" ca="1" si="4"/>
        <v>5.32967032967033E-3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input_429011!A$2</f>
        <v>429011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IFERROR(VLOOKUP(B130,input_429011!L:R,7,FALSE),VLOOKUP(tables_429011!C130,input_429011!A:H,8,FALSE))</f>
        <v>505272.11537999997</v>
      </c>
      <c r="P130" s="46">
        <f t="shared" ref="P130:P193" ca="1" si="7">O130/SUM(O:O)</f>
        <v>4.8705621301330243E-3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input_429011!A$2</f>
        <v>429011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IF(OR(I131="PremiumSS",I131="PremiumSSw"),"PremiumSS",IF(I131="PremiumSSS",I131,IF(I131="PremiumW",I131,"Premium")))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IFERROR(VLOOKUP(B131,input_429011!L:R,7,FALSE),VLOOKUP(tables_429011!C131,input_429011!A:H,8,FALSE))</f>
        <v>47627.884619999997</v>
      </c>
      <c r="P131" s="46">
        <f t="shared" ca="1" si="7"/>
        <v>4.5910819953730477E-4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input_429011!A$2</f>
        <v>429011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IFERROR(VLOOKUP(B132,input_429011!L:R,7,FALSE),VLOOKUP(tables_429011!C132,input_429011!A:H,8,FALSE))</f>
        <v>552900</v>
      </c>
      <c r="P132" s="46">
        <f t="shared" ca="1" si="7"/>
        <v>5.32967032967033E-3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input_429011!A$2</f>
        <v>429011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IFERROR(VLOOKUP(B133,input_429011!L:R,7,FALSE),VLOOKUP(tables_429011!C133,input_429011!A:H,8,FALSE))</f>
        <v>505272.11537999997</v>
      </c>
      <c r="P133" s="46">
        <f t="shared" ca="1" si="7"/>
        <v>4.8705621301330243E-3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input_429011!A$2</f>
        <v>429011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IFERROR(VLOOKUP(B134,input_429011!L:R,7,FALSE),VLOOKUP(tables_429011!C134,input_429011!A:H,8,FALSE))</f>
        <v>47627.884619999997</v>
      </c>
      <c r="P134" s="46">
        <f t="shared" ca="1" si="7"/>
        <v>4.5910819953730477E-4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input_429011!A$2</f>
        <v>429011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IFERROR(VLOOKUP(B135,input_429011!L:R,7,FALSE),VLOOKUP(tables_429011!C135,input_429011!A:H,8,FALSE))</f>
        <v>552900</v>
      </c>
      <c r="P135" s="46">
        <f t="shared" ca="1" si="7"/>
        <v>5.32967032967033E-3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input_429011!A$2</f>
        <v>429011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IFERROR(VLOOKUP(B136,input_429011!L:R,7,FALSE),VLOOKUP(tables_429011!C136,input_429011!A:H,8,FALSE))</f>
        <v>505272.11537999997</v>
      </c>
      <c r="P136" s="46">
        <f t="shared" ca="1" si="7"/>
        <v>4.8705621301330243E-3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input_429011!A$2</f>
        <v>429011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IFERROR(VLOOKUP(B137,input_429011!L:R,7,FALSE),VLOOKUP(tables_429011!C137,input_429011!A:H,8,FALSE))</f>
        <v>47627.884619999997</v>
      </c>
      <c r="P137" s="46">
        <f t="shared" ca="1" si="7"/>
        <v>4.5910819953730477E-4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input_429011!A$2</f>
        <v>429011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IFERROR(VLOOKUP(B138,input_429011!L:R,7,FALSE),VLOOKUP(tables_429011!C138,input_429011!A:H,8,FALSE))</f>
        <v>51870</v>
      </c>
      <c r="P138" s="46">
        <f t="shared" ca="1" si="7"/>
        <v>5.0000000000000001E-4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input_429011!A$2</f>
        <v>429011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IFERROR(VLOOKUP(B139,input_429011!L:R,7,FALSE),VLOOKUP(tables_429011!C139,input_429011!A:H,8,FALSE))</f>
        <v>2730</v>
      </c>
      <c r="P139" s="46">
        <f t="shared" ca="1" si="7"/>
        <v>2.6315789473684212E-5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input_429011!A$2</f>
        <v>429011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IFERROR(VLOOKUP(B140,input_429011!L:R,7,FALSE),VLOOKUP(tables_429011!C140,input_429011!A:H,8,FALSE))</f>
        <v>51870</v>
      </c>
      <c r="P140" s="46">
        <f t="shared" ca="1" si="7"/>
        <v>5.0000000000000001E-4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input_429011!A$2</f>
        <v>429011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IFERROR(VLOOKUP(B141,input_429011!L:R,7,FALSE),VLOOKUP(tables_429011!C141,input_429011!A:H,8,FALSE))</f>
        <v>2730</v>
      </c>
      <c r="P141" s="46">
        <f t="shared" ca="1" si="7"/>
        <v>2.6315789473684212E-5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input_429011!A$2</f>
        <v>429011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IFERROR(VLOOKUP(B142,input_429011!L:R,7,FALSE),VLOOKUP(tables_429011!C142,input_429011!A:H,8,FALSE))</f>
        <v>51870</v>
      </c>
      <c r="P142" s="46">
        <f t="shared" ca="1" si="7"/>
        <v>5.0000000000000001E-4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input_429011!A$2</f>
        <v>429011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IFERROR(VLOOKUP(B143,input_429011!L:R,7,FALSE),VLOOKUP(tables_429011!C143,input_429011!A:H,8,FALSE))</f>
        <v>2730</v>
      </c>
      <c r="P143" s="46">
        <f t="shared" ca="1" si="7"/>
        <v>2.6315789473684212E-5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input_429011!A$2</f>
        <v>429011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IFERROR(VLOOKUP(B144,input_429011!L:R,7,FALSE),VLOOKUP(tables_429011!C144,input_429011!A:H,8,FALSE))</f>
        <v>51870</v>
      </c>
      <c r="P144" s="46">
        <f t="shared" ca="1" si="7"/>
        <v>5.0000000000000001E-4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input_429011!A$2</f>
        <v>429011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IFERROR(VLOOKUP(B145,input_429011!L:R,7,FALSE),VLOOKUP(tables_429011!C145,input_429011!A:H,8,FALSE))</f>
        <v>2730</v>
      </c>
      <c r="P145" s="46">
        <f t="shared" ca="1" si="7"/>
        <v>2.6315789473684212E-5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input_429011!A$2</f>
        <v>429011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IFERROR(VLOOKUP(B146,input_429011!L:R,7,FALSE),VLOOKUP(tables_429011!C146,input_429011!A:H,8,FALSE))</f>
        <v>552900</v>
      </c>
      <c r="P146" s="46">
        <f t="shared" ca="1" si="7"/>
        <v>5.32967032967033E-3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input_429011!A$2</f>
        <v>429011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IFERROR(VLOOKUP(B147,input_429011!L:R,7,FALSE),VLOOKUP(tables_429011!C147,input_429011!A:H,8,FALSE))</f>
        <v>505272.11537999997</v>
      </c>
      <c r="P147" s="46">
        <f t="shared" ca="1" si="7"/>
        <v>4.8705621301330243E-3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input_429011!A$2</f>
        <v>429011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IFERROR(VLOOKUP(B148,input_429011!L:R,7,FALSE),VLOOKUP(tables_429011!C148,input_429011!A:H,8,FALSE))</f>
        <v>47627.884619999997</v>
      </c>
      <c r="P148" s="46">
        <f t="shared" ca="1" si="7"/>
        <v>4.5910819953730477E-4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input_429011!A$2</f>
        <v>429011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IFERROR(VLOOKUP(B149,input_429011!L:R,7,FALSE),VLOOKUP(tables_429011!C149,input_429011!A:H,8,FALSE))</f>
        <v>51870</v>
      </c>
      <c r="P149" s="46">
        <f t="shared" ca="1" si="7"/>
        <v>5.0000000000000001E-4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input_429011!A$2</f>
        <v>429011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IFERROR(VLOOKUP(B150,input_429011!L:R,7,FALSE),VLOOKUP(tables_429011!C150,input_429011!A:H,8,FALSE))</f>
        <v>2730</v>
      </c>
      <c r="P150" s="46">
        <f t="shared" ca="1" si="7"/>
        <v>2.6315789473684212E-5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input_429011!A$2</f>
        <v>429011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IFERROR(VLOOKUP(B151,input_429011!L:R,7,FALSE),VLOOKUP(tables_429011!C151,input_429011!A:H,8,FALSE))</f>
        <v>51870</v>
      </c>
      <c r="P151" s="46">
        <f t="shared" ca="1" si="7"/>
        <v>5.0000000000000001E-4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input_429011!A$2</f>
        <v>429011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IFERROR(VLOOKUP(B152,input_429011!L:R,7,FALSE),VLOOKUP(tables_429011!C152,input_429011!A:H,8,FALSE))</f>
        <v>2730</v>
      </c>
      <c r="P152" s="46">
        <f t="shared" ca="1" si="7"/>
        <v>2.6315789473684212E-5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input_429011!A$2</f>
        <v>429011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IFERROR(VLOOKUP(B153,input_429011!L:R,7,FALSE),VLOOKUP(tables_429011!C153,input_429011!A:H,8,FALSE))</f>
        <v>552900</v>
      </c>
      <c r="P153" s="46">
        <f t="shared" ca="1" si="7"/>
        <v>5.32967032967033E-3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input_429011!A$2</f>
        <v>429011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IFERROR(VLOOKUP(B154,input_429011!L:R,7,FALSE),VLOOKUP(tables_429011!C154,input_429011!A:H,8,FALSE))</f>
        <v>505272.11537999997</v>
      </c>
      <c r="P154" s="46">
        <f t="shared" ca="1" si="7"/>
        <v>4.8705621301330243E-3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input_429011!A$2</f>
        <v>429011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IFERROR(VLOOKUP(B155,input_429011!L:R,7,FALSE),VLOOKUP(tables_429011!C155,input_429011!A:H,8,FALSE))</f>
        <v>47627.884619999997</v>
      </c>
      <c r="P155" s="46">
        <f t="shared" ca="1" si="7"/>
        <v>4.5910819953730477E-4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input_429011!A$2</f>
        <v>429011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IFERROR(VLOOKUP(B156,input_429011!L:R,7,FALSE),VLOOKUP(tables_429011!C156,input_429011!A:H,8,FALSE))</f>
        <v>51870</v>
      </c>
      <c r="P156" s="46">
        <f t="shared" ca="1" si="7"/>
        <v>5.0000000000000001E-4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input_429011!A$2</f>
        <v>429011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IFERROR(VLOOKUP(B157,input_429011!L:R,7,FALSE),VLOOKUP(tables_429011!C157,input_429011!A:H,8,FALSE))</f>
        <v>2730</v>
      </c>
      <c r="P157" s="46">
        <f t="shared" ca="1" si="7"/>
        <v>2.6315789473684212E-5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input_429011!A$2</f>
        <v>429011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IFERROR(VLOOKUP(B158,input_429011!L:R,7,FALSE),VLOOKUP(tables_429011!C158,input_429011!A:H,8,FALSE))</f>
        <v>552900</v>
      </c>
      <c r="P158" s="46">
        <f t="shared" ca="1" si="7"/>
        <v>5.32967032967033E-3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input_429011!A$2</f>
        <v>429011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IFERROR(VLOOKUP(B159,input_429011!L:R,7,FALSE),VLOOKUP(tables_429011!C159,input_429011!A:H,8,FALSE))</f>
        <v>505272.11537999997</v>
      </c>
      <c r="P159" s="46">
        <f t="shared" ca="1" si="7"/>
        <v>4.8705621301330243E-3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input_429011!A$2</f>
        <v>429011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IFERROR(VLOOKUP(B160,input_429011!L:R,7,FALSE),VLOOKUP(tables_429011!C160,input_429011!A:H,8,FALSE))</f>
        <v>47627.884619999997</v>
      </c>
      <c r="P160" s="46">
        <f t="shared" ca="1" si="7"/>
        <v>4.5910819953730477E-4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input_429011!A$2</f>
        <v>429011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IFERROR(VLOOKUP(B161,input_429011!L:R,7,FALSE),VLOOKUP(tables_429011!C161,input_429011!A:H,8,FALSE))</f>
        <v>552900</v>
      </c>
      <c r="P161" s="46">
        <f t="shared" ca="1" si="7"/>
        <v>5.32967032967033E-3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input_429011!A$2</f>
        <v>429011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IFERROR(VLOOKUP(B162,input_429011!L:R,7,FALSE),VLOOKUP(tables_429011!C162,input_429011!A:H,8,FALSE))</f>
        <v>505272.11537999997</v>
      </c>
      <c r="P162" s="46">
        <f t="shared" ca="1" si="7"/>
        <v>4.8705621301330243E-3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input_429011!A$2</f>
        <v>429011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IFERROR(VLOOKUP(B163,input_429011!L:R,7,FALSE),VLOOKUP(tables_429011!C163,input_429011!A:H,8,FALSE))</f>
        <v>47627.884619999997</v>
      </c>
      <c r="P163" s="46">
        <f t="shared" ca="1" si="7"/>
        <v>4.5910819953730477E-4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input_429011!A$2</f>
        <v>429011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IFERROR(VLOOKUP(B164,input_429011!L:R,7,FALSE),VLOOKUP(tables_429011!C164,input_429011!A:H,8,FALSE))</f>
        <v>51870</v>
      </c>
      <c r="P164" s="46">
        <f t="shared" ca="1" si="7"/>
        <v>5.0000000000000001E-4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input_429011!A$2</f>
        <v>429011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IFERROR(VLOOKUP(B165,input_429011!L:R,7,FALSE),VLOOKUP(tables_429011!C165,input_429011!A:H,8,FALSE))</f>
        <v>2730</v>
      </c>
      <c r="P165" s="46">
        <f t="shared" ca="1" si="7"/>
        <v>2.6315789473684212E-5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input_429011!A$2</f>
        <v>429011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IFERROR(VLOOKUP(B166,input_429011!L:R,7,FALSE),VLOOKUP(tables_429011!C166,input_429011!A:H,8,FALSE))</f>
        <v>552900</v>
      </c>
      <c r="P166" s="46">
        <f t="shared" ca="1" si="7"/>
        <v>5.32967032967033E-3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input_429011!A$2</f>
        <v>429011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IFERROR(VLOOKUP(B167,input_429011!L:R,7,FALSE),VLOOKUP(tables_429011!C167,input_429011!A:H,8,FALSE))</f>
        <v>505272.11537999997</v>
      </c>
      <c r="P167" s="46">
        <f t="shared" ca="1" si="7"/>
        <v>4.8705621301330243E-3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input_429011!A$2</f>
        <v>429011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IFERROR(VLOOKUP(B168,input_429011!L:R,7,FALSE),VLOOKUP(tables_429011!C168,input_429011!A:H,8,FALSE))</f>
        <v>47627.884619999997</v>
      </c>
      <c r="P168" s="46">
        <f t="shared" ca="1" si="7"/>
        <v>4.5910819953730477E-4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input_429011!A$2</f>
        <v>429011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IFERROR(VLOOKUP(B169,input_429011!L:R,7,FALSE),VLOOKUP(tables_429011!C169,input_429011!A:H,8,FALSE))</f>
        <v>51870</v>
      </c>
      <c r="P169" s="46">
        <f t="shared" ca="1" si="7"/>
        <v>5.0000000000000001E-4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input_429011!A$2</f>
        <v>429011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IFERROR(VLOOKUP(B170,input_429011!L:R,7,FALSE),VLOOKUP(tables_429011!C170,input_429011!A:H,8,FALSE))</f>
        <v>2730</v>
      </c>
      <c r="P170" s="46">
        <f t="shared" ca="1" si="7"/>
        <v>2.6315789473684212E-5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input_429011!A$2</f>
        <v>429011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IFERROR(VLOOKUP(B171,input_429011!L:R,7,FALSE),VLOOKUP(tables_429011!C171,input_429011!A:H,8,FALSE))</f>
        <v>552900</v>
      </c>
      <c r="P171" s="46">
        <f t="shared" ca="1" si="7"/>
        <v>5.32967032967033E-3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input_429011!A$2</f>
        <v>429011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IFERROR(VLOOKUP(B172,input_429011!L:R,7,FALSE),VLOOKUP(tables_429011!C172,input_429011!A:H,8,FALSE))</f>
        <v>505272.11537999997</v>
      </c>
      <c r="P172" s="46">
        <f t="shared" ca="1" si="7"/>
        <v>4.8705621301330243E-3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input_429011!A$2</f>
        <v>429011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IFERROR(VLOOKUP(B173,input_429011!L:R,7,FALSE),VLOOKUP(tables_429011!C173,input_429011!A:H,8,FALSE))</f>
        <v>47627.884619999997</v>
      </c>
      <c r="P173" s="46">
        <f t="shared" ca="1" si="7"/>
        <v>4.5910819953730477E-4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input_429011!A$2</f>
        <v>429011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IFERROR(VLOOKUP(B174,input_429011!L:R,7,FALSE),VLOOKUP(tables_429011!C174,input_429011!A:H,8,FALSE))</f>
        <v>51870</v>
      </c>
      <c r="P174" s="46">
        <f t="shared" ca="1" si="7"/>
        <v>5.0000000000000001E-4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input_429011!A$2</f>
        <v>429011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IFERROR(VLOOKUP(B175,input_429011!L:R,7,FALSE),VLOOKUP(tables_429011!C175,input_429011!A:H,8,FALSE))</f>
        <v>2730</v>
      </c>
      <c r="P175" s="46">
        <f t="shared" ca="1" si="7"/>
        <v>2.6315789473684212E-5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input_429011!A$2</f>
        <v>429011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IFERROR(VLOOKUP(B176,input_429011!L:R,7,FALSE),VLOOKUP(tables_429011!C176,input_429011!A:H,8,FALSE))</f>
        <v>51870</v>
      </c>
      <c r="P176" s="46">
        <f t="shared" ca="1" si="7"/>
        <v>5.0000000000000001E-4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input_429011!A$2</f>
        <v>429011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IFERROR(VLOOKUP(B177,input_429011!L:R,7,FALSE),VLOOKUP(tables_429011!C177,input_429011!A:H,8,FALSE))</f>
        <v>2730</v>
      </c>
      <c r="P177" s="46">
        <f t="shared" ca="1" si="7"/>
        <v>2.6315789473684212E-5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input_429011!A$2</f>
        <v>429011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IFERROR(VLOOKUP(B178,input_429011!L:R,7,FALSE),VLOOKUP(tables_429011!C178,input_429011!A:H,8,FALSE))</f>
        <v>552900</v>
      </c>
      <c r="P178" s="46">
        <f t="shared" ca="1" si="7"/>
        <v>5.32967032967033E-3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input_429011!A$2</f>
        <v>429011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IFERROR(VLOOKUP(B179,input_429011!L:R,7,FALSE),VLOOKUP(tables_429011!C179,input_429011!A:H,8,FALSE))</f>
        <v>505272.11537999997</v>
      </c>
      <c r="P179" s="46">
        <f t="shared" ca="1" si="7"/>
        <v>4.8705621301330243E-3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input_429011!A$2</f>
        <v>429011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IFERROR(VLOOKUP(B180,input_429011!L:R,7,FALSE),VLOOKUP(tables_429011!C180,input_429011!A:H,8,FALSE))</f>
        <v>47627.884619999997</v>
      </c>
      <c r="P180" s="46">
        <f t="shared" ca="1" si="7"/>
        <v>4.5910819953730477E-4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input_429011!A$2</f>
        <v>429011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IFERROR(VLOOKUP(B181,input_429011!L:R,7,FALSE),VLOOKUP(tables_429011!C181,input_429011!A:H,8,FALSE))</f>
        <v>552900</v>
      </c>
      <c r="P181" s="46">
        <f t="shared" ca="1" si="7"/>
        <v>5.32967032967033E-3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input_429011!A$2</f>
        <v>429011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IFERROR(VLOOKUP(B182,input_429011!L:R,7,FALSE),VLOOKUP(tables_429011!C182,input_429011!A:H,8,FALSE))</f>
        <v>505272.11537999997</v>
      </c>
      <c r="P182" s="46">
        <f t="shared" ca="1" si="7"/>
        <v>4.8705621301330243E-3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input_429011!A$2</f>
        <v>429011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IFERROR(VLOOKUP(B183,input_429011!L:R,7,FALSE),VLOOKUP(tables_429011!C183,input_429011!A:H,8,FALSE))</f>
        <v>47627.884619999997</v>
      </c>
      <c r="P183" s="46">
        <f t="shared" ca="1" si="7"/>
        <v>4.5910819953730477E-4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input_429011!A$2</f>
        <v>429011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IFERROR(VLOOKUP(B184,input_429011!L:R,7,FALSE),VLOOKUP(tables_429011!C184,input_429011!A:H,8,FALSE))</f>
        <v>51870</v>
      </c>
      <c r="P184" s="46">
        <f t="shared" ca="1" si="7"/>
        <v>5.0000000000000001E-4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input_429011!A$2</f>
        <v>429011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IFERROR(VLOOKUP(B185,input_429011!L:R,7,FALSE),VLOOKUP(tables_429011!C185,input_429011!A:H,8,FALSE))</f>
        <v>2730</v>
      </c>
      <c r="P185" s="46">
        <f t="shared" ca="1" si="7"/>
        <v>2.6315789473684212E-5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input_429011!A$2</f>
        <v>429011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IFERROR(VLOOKUP(B186,input_429011!L:R,7,FALSE),VLOOKUP(tables_429011!C186,input_429011!A:H,8,FALSE))</f>
        <v>552900</v>
      </c>
      <c r="P186" s="46">
        <f t="shared" ca="1" si="7"/>
        <v>5.32967032967033E-3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input_429011!A$2</f>
        <v>429011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IFERROR(VLOOKUP(B187,input_429011!L:R,7,FALSE),VLOOKUP(tables_429011!C187,input_429011!A:H,8,FALSE))</f>
        <v>505272.11537999997</v>
      </c>
      <c r="P187" s="46">
        <f t="shared" ca="1" si="7"/>
        <v>4.8705621301330243E-3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input_429011!A$2</f>
        <v>429011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IFERROR(VLOOKUP(B188,input_429011!L:R,7,FALSE),VLOOKUP(tables_429011!C188,input_429011!A:H,8,FALSE))</f>
        <v>47627.884619999997</v>
      </c>
      <c r="P188" s="46">
        <f t="shared" ca="1" si="7"/>
        <v>4.5910819953730477E-4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input_429011!A$2</f>
        <v>429011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IFERROR(VLOOKUP(B189,input_429011!L:R,7,FALSE),VLOOKUP(tables_429011!C189,input_429011!A:H,8,FALSE))</f>
        <v>51870</v>
      </c>
      <c r="P189" s="46">
        <f t="shared" ca="1" si="7"/>
        <v>5.0000000000000001E-4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input_429011!A$2</f>
        <v>429011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IFERROR(VLOOKUP(B190,input_429011!L:R,7,FALSE),VLOOKUP(tables_429011!C190,input_429011!A:H,8,FALSE))</f>
        <v>2730</v>
      </c>
      <c r="P190" s="46">
        <f t="shared" ca="1" si="7"/>
        <v>2.6315789473684212E-5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input_429011!A$2</f>
        <v>429011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IFERROR(VLOOKUP(B191,input_429011!L:R,7,FALSE),VLOOKUP(tables_429011!C191,input_429011!A:H,8,FALSE))</f>
        <v>51870</v>
      </c>
      <c r="P191" s="46">
        <f t="shared" ca="1" si="7"/>
        <v>5.0000000000000001E-4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input_429011!A$2</f>
        <v>429011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IFERROR(VLOOKUP(B192,input_429011!L:R,7,FALSE),VLOOKUP(tables_429011!C192,input_429011!A:H,8,FALSE))</f>
        <v>2730</v>
      </c>
      <c r="P192" s="46">
        <f t="shared" ca="1" si="7"/>
        <v>2.6315789473684212E-5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input_429011!A$2</f>
        <v>429011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IFERROR(VLOOKUP(B193,input_429011!L:R,7,FALSE),VLOOKUP(tables_429011!C193,input_429011!A:H,8,FALSE))</f>
        <v>552900</v>
      </c>
      <c r="P193" s="46">
        <f t="shared" ca="1" si="7"/>
        <v>5.32967032967033E-3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input_429011!A$2</f>
        <v>429011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IFERROR(VLOOKUP(B194,input_429011!L:R,7,FALSE),VLOOKUP(tables_429011!C194,input_429011!A:H,8,FALSE))</f>
        <v>505272.11537999997</v>
      </c>
      <c r="P194" s="46">
        <f t="shared" ref="P194:P257" ca="1" si="10">O194/SUM(O:O)</f>
        <v>4.8705621301330243E-3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input_429011!A$2</f>
        <v>429011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IF(OR(I195="PremiumSS",I195="PremiumSSw"),"PremiumSS",IF(I195="PremiumSSS",I195,IF(I195="PremiumW",I195,"Premium")))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IFERROR(VLOOKUP(B195,input_429011!L:R,7,FALSE),VLOOKUP(tables_429011!C195,input_429011!A:H,8,FALSE))</f>
        <v>47627.884619999997</v>
      </c>
      <c r="P195" s="46">
        <f t="shared" ca="1" si="10"/>
        <v>4.5910819953730477E-4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input_429011!A$2</f>
        <v>429011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IFERROR(VLOOKUP(B196,input_429011!L:R,7,FALSE),VLOOKUP(tables_429011!C196,input_429011!A:H,8,FALSE))</f>
        <v>51870</v>
      </c>
      <c r="P196" s="46">
        <f t="shared" ca="1" si="10"/>
        <v>5.0000000000000001E-4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input_429011!A$2</f>
        <v>429011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IFERROR(VLOOKUP(B197,input_429011!L:R,7,FALSE),VLOOKUP(tables_429011!C197,input_429011!A:H,8,FALSE))</f>
        <v>2730</v>
      </c>
      <c r="P197" s="46">
        <f t="shared" ca="1" si="10"/>
        <v>2.6315789473684212E-5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input_429011!A$2</f>
        <v>429011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IFERROR(VLOOKUP(B198,input_429011!L:R,7,FALSE),VLOOKUP(tables_429011!C198,input_429011!A:H,8,FALSE))</f>
        <v>552900</v>
      </c>
      <c r="P198" s="46">
        <f t="shared" ca="1" si="10"/>
        <v>5.32967032967033E-3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input_429011!A$2</f>
        <v>429011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IFERROR(VLOOKUP(B199,input_429011!L:R,7,FALSE),VLOOKUP(tables_429011!C199,input_429011!A:H,8,FALSE))</f>
        <v>505272.11537999997</v>
      </c>
      <c r="P199" s="46">
        <f t="shared" ca="1" si="10"/>
        <v>4.8705621301330243E-3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input_429011!A$2</f>
        <v>429011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IFERROR(VLOOKUP(B200,input_429011!L:R,7,FALSE),VLOOKUP(tables_429011!C200,input_429011!A:H,8,FALSE))</f>
        <v>47627.884619999997</v>
      </c>
      <c r="P200" s="46">
        <f t="shared" ca="1" si="10"/>
        <v>4.5910819953730477E-4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input_429011!A$2</f>
        <v>429011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IFERROR(VLOOKUP(B201,input_429011!L:R,7,FALSE),VLOOKUP(tables_429011!C201,input_429011!A:H,8,FALSE))</f>
        <v>51870</v>
      </c>
      <c r="P201" s="46">
        <f t="shared" ca="1" si="10"/>
        <v>5.0000000000000001E-4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input_429011!A$2</f>
        <v>429011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IFERROR(VLOOKUP(B202,input_429011!L:R,7,FALSE),VLOOKUP(tables_429011!C202,input_429011!A:H,8,FALSE))</f>
        <v>2730</v>
      </c>
      <c r="P202" s="46">
        <f t="shared" ca="1" si="10"/>
        <v>2.6315789473684212E-5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input_429011!A$2</f>
        <v>429011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IFERROR(VLOOKUP(B203,input_429011!L:R,7,FALSE),VLOOKUP(tables_429011!C203,input_429011!A:H,8,FALSE))</f>
        <v>552900</v>
      </c>
      <c r="P203" s="46">
        <f t="shared" ca="1" si="10"/>
        <v>5.32967032967033E-3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input_429011!A$2</f>
        <v>429011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IFERROR(VLOOKUP(B204,input_429011!L:R,7,FALSE),VLOOKUP(tables_429011!C204,input_429011!A:H,8,FALSE))</f>
        <v>505272.11537999997</v>
      </c>
      <c r="P204" s="46">
        <f t="shared" ca="1" si="10"/>
        <v>4.8705621301330243E-3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input_429011!A$2</f>
        <v>429011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IFERROR(VLOOKUP(B205,input_429011!L:R,7,FALSE),VLOOKUP(tables_429011!C205,input_429011!A:H,8,FALSE))</f>
        <v>47627.884619999997</v>
      </c>
      <c r="P205" s="46">
        <f t="shared" ca="1" si="10"/>
        <v>4.5910819953730477E-4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input_429011!A$2</f>
        <v>429011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IFERROR(VLOOKUP(B206,input_429011!L:R,7,FALSE),VLOOKUP(tables_429011!C206,input_429011!A:H,8,FALSE))</f>
        <v>51870</v>
      </c>
      <c r="P206" s="46">
        <f t="shared" ca="1" si="10"/>
        <v>5.0000000000000001E-4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input_429011!A$2</f>
        <v>429011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IFERROR(VLOOKUP(B207,input_429011!L:R,7,FALSE),VLOOKUP(tables_429011!C207,input_429011!A:H,8,FALSE))</f>
        <v>2730</v>
      </c>
      <c r="P207" s="46">
        <f t="shared" ca="1" si="10"/>
        <v>2.6315789473684212E-5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input_429011!A$2</f>
        <v>429011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IFERROR(VLOOKUP(B208,input_429011!L:R,7,FALSE),VLOOKUP(tables_429011!C208,input_429011!A:H,8,FALSE))</f>
        <v>51870</v>
      </c>
      <c r="P208" s="46">
        <f t="shared" ca="1" si="10"/>
        <v>5.0000000000000001E-4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input_429011!A$2</f>
        <v>429011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IFERROR(VLOOKUP(B209,input_429011!L:R,7,FALSE),VLOOKUP(tables_429011!C209,input_429011!A:H,8,FALSE))</f>
        <v>2730</v>
      </c>
      <c r="P209" s="46">
        <f t="shared" ca="1" si="10"/>
        <v>2.6315789473684212E-5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input_429011!A$2</f>
        <v>429011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IFERROR(VLOOKUP(B210,input_429011!L:R,7,FALSE),VLOOKUP(tables_429011!C210,input_429011!A:H,8,FALSE))</f>
        <v>552900</v>
      </c>
      <c r="P210" s="46">
        <f t="shared" ca="1" si="10"/>
        <v>5.32967032967033E-3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input_429011!A$2</f>
        <v>429011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IFERROR(VLOOKUP(B211,input_429011!L:R,7,FALSE),VLOOKUP(tables_429011!C211,input_429011!A:H,8,FALSE))</f>
        <v>505272.11537999997</v>
      </c>
      <c r="P211" s="46">
        <f t="shared" ca="1" si="10"/>
        <v>4.8705621301330243E-3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input_429011!A$2</f>
        <v>429011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IFERROR(VLOOKUP(B212,input_429011!L:R,7,FALSE),VLOOKUP(tables_429011!C212,input_429011!A:H,8,FALSE))</f>
        <v>47627.884619999997</v>
      </c>
      <c r="P212" s="46">
        <f t="shared" ca="1" si="10"/>
        <v>4.5910819953730477E-4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input_429011!A$2</f>
        <v>429011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IFERROR(VLOOKUP(B213,input_429011!L:R,7,FALSE),VLOOKUP(tables_429011!C213,input_429011!A:H,8,FALSE))</f>
        <v>51870</v>
      </c>
      <c r="P213" s="46">
        <f t="shared" ca="1" si="10"/>
        <v>5.0000000000000001E-4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input_429011!A$2</f>
        <v>429011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IFERROR(VLOOKUP(B214,input_429011!L:R,7,FALSE),VLOOKUP(tables_429011!C214,input_429011!A:H,8,FALSE))</f>
        <v>2730</v>
      </c>
      <c r="P214" s="46">
        <f t="shared" ca="1" si="10"/>
        <v>2.6315789473684212E-5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input_429011!A$2</f>
        <v>429011</v>
      </c>
      <c r="B215" s="6">
        <v>586</v>
      </c>
      <c r="C215" s="7" t="str">
        <f t="shared" si="9"/>
        <v>PremiumSS4</v>
      </c>
      <c r="D215" s="7" t="str">
        <f t="shared" si="11"/>
        <v>PremiumSS</v>
      </c>
      <c r="E215" s="7" t="str">
        <f>IF(COUNTIF('R6追加前'!A:A,B215)=0,IF(OR(I215="PremiumSS",I215="PremiumSSw"),"R5only","R3less"),"")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5">
        <f ca="1">IFERROR(VLOOKUP(B215,input_429011!L:R,7,FALSE),VLOOKUP(tables_429011!C215,input_429011!A:H,8,FALSE))</f>
        <v>51870</v>
      </c>
      <c r="P215" s="46">
        <f t="shared" ca="1" si="10"/>
        <v>5.0000000000000001E-4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input_429011!A$2</f>
        <v>429011</v>
      </c>
      <c r="B216" s="6">
        <v>587</v>
      </c>
      <c r="C216" s="7" t="str">
        <f t="shared" si="9"/>
        <v>PremiumSS5</v>
      </c>
      <c r="D216" s="7" t="str">
        <f t="shared" si="11"/>
        <v>PremiumSS</v>
      </c>
      <c r="E216" s="7" t="str">
        <f>IF(COUNTIF('R6追加前'!A:A,B216)=0,IF(OR(I216="PremiumSS",I216="PremiumSSw"),"R5only","R3less"),"")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5">
        <f ca="1">IFERROR(VLOOKUP(B216,input_429011!L:R,7,FALSE),VLOOKUP(tables_429011!C216,input_429011!A:H,8,FALSE))</f>
        <v>2730</v>
      </c>
      <c r="P216" s="46">
        <f t="shared" ca="1" si="10"/>
        <v>2.6315789473684212E-5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input_429011!A$2</f>
        <v>429011</v>
      </c>
      <c r="B217" s="6">
        <v>588</v>
      </c>
      <c r="C217" s="7" t="str">
        <f t="shared" si="9"/>
        <v>Premium3</v>
      </c>
      <c r="D217" s="7" t="str">
        <f t="shared" si="11"/>
        <v>Premium</v>
      </c>
      <c r="E217" s="7" t="str">
        <f>IF(COUNTIF('R6追加前'!A:A,B217)=0,IF(OR(I217="PremiumSS",I217="PremiumSSw"),"R5only","R3less"),"")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5">
        <f ca="1">IFERROR(VLOOKUP(B217,input_429011!L:R,7,FALSE),VLOOKUP(tables_429011!C217,input_429011!A:H,8,FALSE))</f>
        <v>552900</v>
      </c>
      <c r="P217" s="46">
        <f t="shared" ca="1" si="10"/>
        <v>5.32967032967033E-3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input_429011!A$2</f>
        <v>429011</v>
      </c>
      <c r="B218" s="6">
        <v>589</v>
      </c>
      <c r="C218" s="7" t="str">
        <f t="shared" si="9"/>
        <v>Premium4</v>
      </c>
      <c r="D218" s="7" t="str">
        <f t="shared" si="11"/>
        <v>Premium</v>
      </c>
      <c r="E218" s="7" t="str">
        <f>IF(COUNTIF('R6追加前'!A:A,B218)=0,IF(OR(I218="PremiumSS",I218="PremiumSSw"),"R5only","R3less"),"")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5">
        <f ca="1">IFERROR(VLOOKUP(B218,input_429011!L:R,7,FALSE),VLOOKUP(tables_429011!C218,input_429011!A:H,8,FALSE))</f>
        <v>505272.11537999997</v>
      </c>
      <c r="P218" s="46">
        <f t="shared" ca="1" si="10"/>
        <v>4.8705621301330243E-3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input_429011!A$2</f>
        <v>429011</v>
      </c>
      <c r="B219" s="6">
        <v>590</v>
      </c>
      <c r="C219" s="7" t="str">
        <f t="shared" si="9"/>
        <v>Premium5</v>
      </c>
      <c r="D219" s="7" t="str">
        <f t="shared" si="11"/>
        <v>Premium</v>
      </c>
      <c r="E219" s="7" t="str">
        <f>IF(COUNTIF('R6追加前'!A:A,B219)=0,IF(OR(I219="PremiumSS",I219="PremiumSSw"),"R5only","R3less"),"")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5">
        <f ca="1">IFERROR(VLOOKUP(B219,input_429011!L:R,7,FALSE),VLOOKUP(tables_429011!C219,input_429011!A:H,8,FALSE))</f>
        <v>47627.884619999997</v>
      </c>
      <c r="P219" s="46">
        <f t="shared" ca="1" si="10"/>
        <v>4.5910819953730477E-4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input_429011!A$2</f>
        <v>429011</v>
      </c>
      <c r="B220" s="6">
        <v>591</v>
      </c>
      <c r="C220" s="7" t="str">
        <f t="shared" si="9"/>
        <v>Premium3</v>
      </c>
      <c r="D220" s="7" t="str">
        <f t="shared" si="11"/>
        <v>Premium</v>
      </c>
      <c r="E220" s="7" t="str">
        <f>IF(COUNTIF('R6追加前'!A:A,B220)=0,IF(OR(I220="PremiumSS",I220="PremiumSSw"),"R5only","R3less"),"")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5">
        <f ca="1">IFERROR(VLOOKUP(B220,input_429011!L:R,7,FALSE),VLOOKUP(tables_429011!C220,input_429011!A:H,8,FALSE))</f>
        <v>552900</v>
      </c>
      <c r="P220" s="46">
        <f t="shared" ca="1" si="10"/>
        <v>5.32967032967033E-3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input_429011!A$2</f>
        <v>429011</v>
      </c>
      <c r="B221" s="6">
        <v>592</v>
      </c>
      <c r="C221" s="7" t="str">
        <f t="shared" si="9"/>
        <v>Premium4</v>
      </c>
      <c r="D221" s="7" t="str">
        <f t="shared" si="11"/>
        <v>Premium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5">
        <f ca="1">IFERROR(VLOOKUP(B221,input_429011!L:R,7,FALSE),VLOOKUP(tables_429011!C221,input_429011!A:H,8,FALSE))</f>
        <v>505272.11537999997</v>
      </c>
      <c r="P221" s="46">
        <f t="shared" ca="1" si="10"/>
        <v>4.8705621301330243E-3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input_429011!A$2</f>
        <v>429011</v>
      </c>
      <c r="B222" s="6">
        <v>593</v>
      </c>
      <c r="C222" s="7" t="str">
        <f t="shared" si="9"/>
        <v>Premium5</v>
      </c>
      <c r="D222" s="7" t="str">
        <f t="shared" si="11"/>
        <v>Premium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5">
        <f ca="1">IFERROR(VLOOKUP(B222,input_429011!L:R,7,FALSE),VLOOKUP(tables_429011!C222,input_429011!A:H,8,FALSE))</f>
        <v>47627.884619999997</v>
      </c>
      <c r="P222" s="46">
        <f t="shared" ca="1" si="10"/>
        <v>4.5910819953730477E-4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input_429011!A$2</f>
        <v>429011</v>
      </c>
      <c r="B223" s="6">
        <v>594</v>
      </c>
      <c r="C223" s="7" t="str">
        <f t="shared" si="9"/>
        <v>PremiumSS4</v>
      </c>
      <c r="D223" s="7" t="str">
        <f t="shared" si="11"/>
        <v>PremiumSS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5">
        <f ca="1">IFERROR(VLOOKUP(B223,input_429011!L:R,7,FALSE),VLOOKUP(tables_429011!C223,input_429011!A:H,8,FALSE))</f>
        <v>51870</v>
      </c>
      <c r="P223" s="46">
        <f t="shared" ca="1" si="10"/>
        <v>5.0000000000000001E-4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input_429011!A$2</f>
        <v>429011</v>
      </c>
      <c r="B224" s="6">
        <v>595</v>
      </c>
      <c r="C224" s="7" t="str">
        <f t="shared" si="9"/>
        <v>PremiumSS5</v>
      </c>
      <c r="D224" s="7" t="str">
        <f t="shared" si="11"/>
        <v>PremiumSS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5">
        <f ca="1">IFERROR(VLOOKUP(B224,input_429011!L:R,7,FALSE),VLOOKUP(tables_429011!C224,input_429011!A:H,8,FALSE))</f>
        <v>2730</v>
      </c>
      <c r="P224" s="46">
        <f t="shared" ca="1" si="10"/>
        <v>2.6315789473684212E-5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input_429011!A$2</f>
        <v>429011</v>
      </c>
      <c r="B225" s="6">
        <v>596</v>
      </c>
      <c r="C225" s="7" t="str">
        <f t="shared" si="9"/>
        <v>Premium3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5">
        <f ca="1">IFERROR(VLOOKUP(B225,input_429011!L:R,7,FALSE),VLOOKUP(tables_429011!C225,input_429011!A:H,8,FALSE))</f>
        <v>552900</v>
      </c>
      <c r="P225" s="46">
        <f t="shared" ca="1" si="10"/>
        <v>5.32967032967033E-3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input_429011!A$2</f>
        <v>429011</v>
      </c>
      <c r="B226" s="6">
        <v>597</v>
      </c>
      <c r="C226" s="7" t="str">
        <f t="shared" si="9"/>
        <v>Premium4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5">
        <f ca="1">IFERROR(VLOOKUP(B226,input_429011!L:R,7,FALSE),VLOOKUP(tables_429011!C226,input_429011!A:H,8,FALSE))</f>
        <v>505272.11537999997</v>
      </c>
      <c r="P226" s="46">
        <f t="shared" ca="1" si="10"/>
        <v>4.8705621301330243E-3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input_429011!A$2</f>
        <v>429011</v>
      </c>
      <c r="B227" s="6">
        <v>598</v>
      </c>
      <c r="C227" s="7" t="str">
        <f t="shared" si="9"/>
        <v>Premium5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5">
        <f ca="1">IFERROR(VLOOKUP(B227,input_429011!L:R,7,FALSE),VLOOKUP(tables_429011!C227,input_429011!A:H,8,FALSE))</f>
        <v>47627.884619999997</v>
      </c>
      <c r="P227" s="46">
        <f t="shared" ca="1" si="10"/>
        <v>4.5910819953730477E-4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input_429011!A$2</f>
        <v>429011</v>
      </c>
      <c r="B228" s="6">
        <v>599</v>
      </c>
      <c r="C228" s="7" t="str">
        <f t="shared" si="9"/>
        <v>Premium3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IFERROR(VLOOKUP(B228,input_429011!L:R,7,FALSE),VLOOKUP(tables_429011!C228,input_429011!A:H,8,FALSE))</f>
        <v>552900</v>
      </c>
      <c r="P228" s="46">
        <f t="shared" ca="1" si="10"/>
        <v>5.32967032967033E-3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input_429011!A$2</f>
        <v>429011</v>
      </c>
      <c r="B229" s="6">
        <v>600</v>
      </c>
      <c r="C229" s="7" t="str">
        <f t="shared" si="9"/>
        <v>Premium4</v>
      </c>
      <c r="D229" s="7" t="str">
        <f t="shared" si="11"/>
        <v>Premium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IFERROR(VLOOKUP(B229,input_429011!L:R,7,FALSE),VLOOKUP(tables_429011!C229,input_429011!A:H,8,FALSE))</f>
        <v>505272.11537999997</v>
      </c>
      <c r="P229" s="46">
        <f t="shared" ca="1" si="10"/>
        <v>4.8705621301330243E-3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input_429011!A$2</f>
        <v>429011</v>
      </c>
      <c r="B230" s="6">
        <v>601</v>
      </c>
      <c r="C230" s="7" t="str">
        <f t="shared" si="9"/>
        <v>Premium5</v>
      </c>
      <c r="D230" s="7" t="str">
        <f t="shared" si="11"/>
        <v>Premium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IFERROR(VLOOKUP(B230,input_429011!L:R,7,FALSE),VLOOKUP(tables_429011!C230,input_429011!A:H,8,FALSE))</f>
        <v>47627.884619999997</v>
      </c>
      <c r="P230" s="46">
        <f t="shared" ca="1" si="10"/>
        <v>4.5910819953730477E-4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input_429011!A$2</f>
        <v>429011</v>
      </c>
      <c r="B231" s="6">
        <v>602</v>
      </c>
      <c r="C231" s="7" t="str">
        <f t="shared" si="9"/>
        <v>PremiumSS4</v>
      </c>
      <c r="D231" s="7" t="str">
        <f t="shared" si="11"/>
        <v>PremiumSS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5">
        <f ca="1">IFERROR(VLOOKUP(B231,input_429011!L:R,7,FALSE),VLOOKUP(tables_429011!C231,input_429011!A:H,8,FALSE))</f>
        <v>51870</v>
      </c>
      <c r="P231" s="46">
        <f t="shared" ca="1" si="10"/>
        <v>5.0000000000000001E-4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input_429011!A$2</f>
        <v>429011</v>
      </c>
      <c r="B232" s="6">
        <v>603</v>
      </c>
      <c r="C232" s="7" t="str">
        <f t="shared" si="9"/>
        <v>PremiumSS5</v>
      </c>
      <c r="D232" s="7" t="str">
        <f t="shared" si="11"/>
        <v>PremiumSS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5">
        <f ca="1">IFERROR(VLOOKUP(B232,input_429011!L:R,7,FALSE),VLOOKUP(tables_429011!C232,input_429011!A:H,8,FALSE))</f>
        <v>2730</v>
      </c>
      <c r="P232" s="46">
        <f t="shared" ca="1" si="10"/>
        <v>2.6315789473684212E-5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input_429011!A$2</f>
        <v>429011</v>
      </c>
      <c r="B233" s="6">
        <v>604</v>
      </c>
      <c r="C233" s="7" t="str">
        <f t="shared" si="9"/>
        <v>Premium3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5">
        <f ca="1">IFERROR(VLOOKUP(B233,input_429011!L:R,7,FALSE),VLOOKUP(tables_429011!C233,input_429011!A:H,8,FALSE))</f>
        <v>552900</v>
      </c>
      <c r="P233" s="46">
        <f t="shared" ca="1" si="10"/>
        <v>5.32967032967033E-3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input_429011!A$2</f>
        <v>429011</v>
      </c>
      <c r="B234" s="6">
        <v>605</v>
      </c>
      <c r="C234" s="7" t="str">
        <f t="shared" si="9"/>
        <v>Premium4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5">
        <f ca="1">IFERROR(VLOOKUP(B234,input_429011!L:R,7,FALSE),VLOOKUP(tables_429011!C234,input_429011!A:H,8,FALSE))</f>
        <v>505272.11537999997</v>
      </c>
      <c r="P234" s="46">
        <f t="shared" ca="1" si="10"/>
        <v>4.8705621301330243E-3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input_429011!A$2</f>
        <v>429011</v>
      </c>
      <c r="B235" s="6">
        <v>606</v>
      </c>
      <c r="C235" s="7" t="str">
        <f t="shared" si="9"/>
        <v>Premium5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5">
        <f ca="1">IFERROR(VLOOKUP(B235,input_429011!L:R,7,FALSE),VLOOKUP(tables_429011!C235,input_429011!A:H,8,FALSE))</f>
        <v>47627.884619999997</v>
      </c>
      <c r="P235" s="46">
        <f t="shared" ca="1" si="10"/>
        <v>4.5910819953730477E-4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input_429011!A$2</f>
        <v>429011</v>
      </c>
      <c r="B236" s="6">
        <v>658</v>
      </c>
      <c r="C236" s="7" t="str">
        <f t="shared" si="9"/>
        <v>PremiumSS4</v>
      </c>
      <c r="D236" s="7" t="str">
        <f t="shared" si="11"/>
        <v>PremiumSS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5">
        <f ca="1">IFERROR(VLOOKUP(B236,input_429011!L:R,7,FALSE),VLOOKUP(tables_429011!C236,input_429011!A:H,8,FALSE))</f>
        <v>51870</v>
      </c>
      <c r="P236" s="46">
        <f t="shared" ca="1" si="10"/>
        <v>5.0000000000000001E-4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input_429011!A$2</f>
        <v>429011</v>
      </c>
      <c r="B237" s="6">
        <v>659</v>
      </c>
      <c r="C237" s="7" t="str">
        <f t="shared" si="9"/>
        <v>PremiumSS5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IFERROR(VLOOKUP(B237,input_429011!L:R,7,FALSE),VLOOKUP(tables_429011!C237,input_429011!A:H,8,FALSE))</f>
        <v>2730</v>
      </c>
      <c r="P237" s="46">
        <f t="shared" ca="1" si="10"/>
        <v>2.6315789473684212E-5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input_429011!A$2</f>
        <v>429011</v>
      </c>
      <c r="B238" s="6">
        <v>660</v>
      </c>
      <c r="C238" s="7" t="str">
        <f t="shared" si="9"/>
        <v>PremiumSS4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5">
        <f ca="1">IFERROR(VLOOKUP(B238,input_429011!L:R,7,FALSE),VLOOKUP(tables_429011!C238,input_429011!A:H,8,FALSE))</f>
        <v>51870</v>
      </c>
      <c r="P238" s="46">
        <f t="shared" ca="1" si="10"/>
        <v>5.0000000000000001E-4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input_429011!A$2</f>
        <v>429011</v>
      </c>
      <c r="B239" s="6">
        <v>661</v>
      </c>
      <c r="C239" s="7" t="str">
        <f t="shared" si="9"/>
        <v>PremiumSS5</v>
      </c>
      <c r="D239" s="7" t="str">
        <f t="shared" si="11"/>
        <v>PremiumSS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5">
        <f ca="1">IFERROR(VLOOKUP(B239,input_429011!L:R,7,FALSE),VLOOKUP(tables_429011!C239,input_429011!A:H,8,FALSE))</f>
        <v>2730</v>
      </c>
      <c r="P239" s="46">
        <f t="shared" ca="1" si="10"/>
        <v>2.6315789473684212E-5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input_429011!A$2</f>
        <v>429011</v>
      </c>
      <c r="B240" s="6">
        <v>662</v>
      </c>
      <c r="C240" s="7" t="str">
        <f t="shared" si="9"/>
        <v>Premium3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5">
        <f ca="1">IFERROR(VLOOKUP(B240,input_429011!L:R,7,FALSE),VLOOKUP(tables_429011!C240,input_429011!A:H,8,FALSE))</f>
        <v>552900</v>
      </c>
      <c r="P240" s="46">
        <f t="shared" ca="1" si="10"/>
        <v>5.32967032967033E-3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input_429011!A$2</f>
        <v>429011</v>
      </c>
      <c r="B241" s="6">
        <v>663</v>
      </c>
      <c r="C241" s="7" t="str">
        <f t="shared" si="9"/>
        <v>Premium4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5">
        <f ca="1">IFERROR(VLOOKUP(B241,input_429011!L:R,7,FALSE),VLOOKUP(tables_429011!C241,input_429011!A:H,8,FALSE))</f>
        <v>505272.11537999997</v>
      </c>
      <c r="P241" s="46">
        <f t="shared" ca="1" si="10"/>
        <v>4.8705621301330243E-3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input_429011!A$2</f>
        <v>429011</v>
      </c>
      <c r="B242" s="6">
        <v>664</v>
      </c>
      <c r="C242" s="7" t="str">
        <f t="shared" si="9"/>
        <v>Premium5</v>
      </c>
      <c r="D242" s="7" t="str">
        <f t="shared" si="11"/>
        <v>Premium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5">
        <f ca="1">IFERROR(VLOOKUP(B242,input_429011!L:R,7,FALSE),VLOOKUP(tables_429011!C242,input_429011!A:H,8,FALSE))</f>
        <v>47627.884619999997</v>
      </c>
      <c r="P242" s="46">
        <f t="shared" ca="1" si="10"/>
        <v>4.5910819953730477E-4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input_429011!A$2</f>
        <v>429011</v>
      </c>
      <c r="B243" s="6">
        <v>665</v>
      </c>
      <c r="C243" s="7" t="str">
        <f t="shared" si="9"/>
        <v>Premium3</v>
      </c>
      <c r="D243" s="7" t="str">
        <f t="shared" si="11"/>
        <v>Premium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5">
        <f ca="1">IFERROR(VLOOKUP(B243,input_429011!L:R,7,FALSE),VLOOKUP(tables_429011!C243,input_429011!A:H,8,FALSE))</f>
        <v>552900</v>
      </c>
      <c r="P243" s="46">
        <f t="shared" ca="1" si="10"/>
        <v>5.32967032967033E-3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input_429011!A$2</f>
        <v>429011</v>
      </c>
      <c r="B244" s="6">
        <v>666</v>
      </c>
      <c r="C244" s="7" t="str">
        <f t="shared" si="9"/>
        <v>Premium4</v>
      </c>
      <c r="D244" s="7" t="str">
        <f t="shared" si="11"/>
        <v>Premium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5">
        <f ca="1">IFERROR(VLOOKUP(B244,input_429011!L:R,7,FALSE),VLOOKUP(tables_429011!C244,input_429011!A:H,8,FALSE))</f>
        <v>505272.11537999997</v>
      </c>
      <c r="P244" s="46">
        <f t="shared" ca="1" si="10"/>
        <v>4.8705621301330243E-3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input_429011!A$2</f>
        <v>429011</v>
      </c>
      <c r="B245" s="6">
        <v>667</v>
      </c>
      <c r="C245" s="7" t="str">
        <f t="shared" si="9"/>
        <v>Premium5</v>
      </c>
      <c r="D245" s="7" t="str">
        <f t="shared" si="11"/>
        <v>Premium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5">
        <f ca="1">IFERROR(VLOOKUP(B245,input_429011!L:R,7,FALSE),VLOOKUP(tables_429011!C245,input_429011!A:H,8,FALSE))</f>
        <v>47627.884619999997</v>
      </c>
      <c r="P245" s="46">
        <f t="shared" ca="1" si="10"/>
        <v>4.5910819953730477E-4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input_429011!A$2</f>
        <v>429011</v>
      </c>
      <c r="B246" s="60">
        <v>668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5">
        <f ca="1">IFERROR(VLOOKUP(B246,input_429011!L:R,7,FALSE),VLOOKUP(tables_429011!C246,input_429011!A:H,8,FALSE))</f>
        <v>552900</v>
      </c>
      <c r="P246" s="46">
        <f t="shared" ca="1" si="10"/>
        <v>5.32967032967033E-3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input_429011!A$2</f>
        <v>429011</v>
      </c>
      <c r="B247" s="60">
        <v>669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5">
        <f ca="1">IFERROR(VLOOKUP(B247,input_429011!L:R,7,FALSE),VLOOKUP(tables_429011!C247,input_429011!A:H,8,FALSE))</f>
        <v>505272.11537999997</v>
      </c>
      <c r="P247" s="46">
        <f t="shared" ca="1" si="10"/>
        <v>4.8705621301330243E-3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input_429011!A$2</f>
        <v>429011</v>
      </c>
      <c r="B248" s="60">
        <v>670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5">
        <f ca="1">IFERROR(VLOOKUP(B248,input_429011!L:R,7,FALSE),VLOOKUP(tables_429011!C248,input_429011!A:H,8,FALSE))</f>
        <v>47627.884619999997</v>
      </c>
      <c r="P248" s="46">
        <f t="shared" ca="1" si="10"/>
        <v>4.5910819953730477E-4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input_429011!A$2</f>
        <v>429011</v>
      </c>
      <c r="B249" s="60">
        <v>671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5">
        <f ca="1">IFERROR(VLOOKUP(B249,input_429011!L:R,7,FALSE),VLOOKUP(tables_429011!C249,input_429011!A:H,8,FALSE))</f>
        <v>552900</v>
      </c>
      <c r="P249" s="46">
        <f t="shared" ca="1" si="10"/>
        <v>5.32967032967033E-3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input_429011!A$2</f>
        <v>429011</v>
      </c>
      <c r="B250" s="60">
        <v>672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5">
        <f ca="1">IFERROR(VLOOKUP(B250,input_429011!L:R,7,FALSE),VLOOKUP(tables_429011!C250,input_429011!A:H,8,FALSE))</f>
        <v>505272.11537999997</v>
      </c>
      <c r="P250" s="46">
        <f t="shared" ca="1" si="10"/>
        <v>4.8705621301330243E-3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input_429011!A$2</f>
        <v>429011</v>
      </c>
      <c r="B251" s="60">
        <v>673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5">
        <f ca="1">IFERROR(VLOOKUP(B251,input_429011!L:R,7,FALSE),VLOOKUP(tables_429011!C251,input_429011!A:H,8,FALSE))</f>
        <v>47627.884619999997</v>
      </c>
      <c r="P251" s="46">
        <f t="shared" ca="1" si="10"/>
        <v>4.5910819953730477E-4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input_429011!A$2</f>
        <v>429011</v>
      </c>
      <c r="B252" s="60">
        <v>674</v>
      </c>
      <c r="C252" s="7" t="str">
        <f t="shared" si="9"/>
        <v>PremiumSS4</v>
      </c>
      <c r="D252" s="7" t="str">
        <f t="shared" si="11"/>
        <v>PremiumSS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5">
        <f ca="1">IFERROR(VLOOKUP(B252,input_429011!L:R,7,FALSE),VLOOKUP(tables_429011!C252,input_429011!A:H,8,FALSE))</f>
        <v>51870</v>
      </c>
      <c r="P252" s="46">
        <f t="shared" ca="1" si="10"/>
        <v>5.0000000000000001E-4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input_429011!A$2</f>
        <v>429011</v>
      </c>
      <c r="B253" s="60">
        <v>675</v>
      </c>
      <c r="C253" s="7" t="str">
        <f t="shared" si="9"/>
        <v>PremiumSS5</v>
      </c>
      <c r="D253" s="7" t="str">
        <f t="shared" si="11"/>
        <v>PremiumSS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5">
        <f ca="1">IFERROR(VLOOKUP(B253,input_429011!L:R,7,FALSE),VLOOKUP(tables_429011!C253,input_429011!A:H,8,FALSE))</f>
        <v>2730</v>
      </c>
      <c r="P253" s="46">
        <f t="shared" ca="1" si="10"/>
        <v>2.6315789473684212E-5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input_429011!A$2</f>
        <v>429011</v>
      </c>
      <c r="B254" s="60">
        <v>676</v>
      </c>
      <c r="C254" s="7" t="str">
        <f t="shared" si="9"/>
        <v>PremiumSS4</v>
      </c>
      <c r="D254" s="7" t="str">
        <f t="shared" si="11"/>
        <v>PremiumSS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5">
        <f ca="1">IFERROR(VLOOKUP(B254,input_429011!L:R,7,FALSE),VLOOKUP(tables_429011!C254,input_429011!A:H,8,FALSE))</f>
        <v>51870</v>
      </c>
      <c r="P254" s="46">
        <f t="shared" ca="1" si="10"/>
        <v>5.0000000000000001E-4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input_429011!A$2</f>
        <v>429011</v>
      </c>
      <c r="B255" s="60">
        <v>677</v>
      </c>
      <c r="C255" s="7" t="str">
        <f t="shared" si="9"/>
        <v>PremiumSS5</v>
      </c>
      <c r="D255" s="7" t="str">
        <f t="shared" si="11"/>
        <v>PremiumSS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5">
        <f ca="1">IFERROR(VLOOKUP(B255,input_429011!L:R,7,FALSE),VLOOKUP(tables_429011!C255,input_429011!A:H,8,FALSE))</f>
        <v>2730</v>
      </c>
      <c r="P255" s="46">
        <f t="shared" ca="1" si="10"/>
        <v>2.6315789473684212E-5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input_429011!A$2</f>
        <v>429011</v>
      </c>
      <c r="B256" s="60">
        <v>728</v>
      </c>
      <c r="C256" s="7" t="str">
        <f t="shared" si="9"/>
        <v>Premium4R3less</v>
      </c>
      <c r="D256" s="7" t="str">
        <f t="shared" si="11"/>
        <v>Premium</v>
      </c>
      <c r="E256" s="7" t="str">
        <f>IF(COUNTIF('R6追加前'!A:A,B256)=0,IF(OR(I256="PremiumSS",I256="PremiumSSw"),"R5only","R3less"),"")</f>
        <v>R3less</v>
      </c>
      <c r="F256" s="7" t="str">
        <f>IF(COUNTIF('R6開放'!A:A,B256)&gt;0,"R6release","")</f>
        <v/>
      </c>
      <c r="G256" s="7"/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5">
        <f ca="1">IFERROR(VLOOKUP(B256,input_429011!L:R,7,FALSE),VLOOKUP(tables_429011!C256,input_429011!A:H,8,FALSE))</f>
        <v>1050510</v>
      </c>
      <c r="P256" s="46">
        <f t="shared" ca="1" si="10"/>
        <v>1.0126373626373626E-2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input_429011!A$2</f>
        <v>429011</v>
      </c>
      <c r="B257" s="60">
        <v>729</v>
      </c>
      <c r="C257" s="7" t="str">
        <f t="shared" si="9"/>
        <v>Premium5R3less</v>
      </c>
      <c r="D257" s="7" t="str">
        <f t="shared" si="11"/>
        <v>Premium</v>
      </c>
      <c r="E257" s="7" t="str">
        <f>IF(COUNTIF('R6追加前'!A:A,B257)=0,IF(OR(I257="PremiumSS",I257="PremiumSSw"),"R5only","R3less"),"")</f>
        <v>R3less</v>
      </c>
      <c r="F257" s="7" t="str">
        <f>IF(COUNTIF('R6開放'!A:A,B257)&gt;0,"R6release","")</f>
        <v/>
      </c>
      <c r="G257" s="7"/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5">
        <f ca="1">IFERROR(VLOOKUP(B257,input_429011!L:R,7,FALSE),VLOOKUP(tables_429011!C257,input_429011!A:H,8,FALSE))</f>
        <v>55290</v>
      </c>
      <c r="P257" s="46">
        <f t="shared" ca="1" si="10"/>
        <v>5.3296703296703293E-4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input_429011!A$2</f>
        <v>429011</v>
      </c>
      <c r="B258" s="60">
        <v>730</v>
      </c>
      <c r="C258" s="7" t="str">
        <f t="shared" ref="C258:C304" si="12">D258&amp;J258&amp;E258&amp;F258&amp;G258</f>
        <v>Premium4R3less</v>
      </c>
      <c r="D258" s="7" t="str">
        <f t="shared" si="11"/>
        <v>Premium</v>
      </c>
      <c r="E258" s="7" t="str">
        <f>IF(COUNTIF('R6追加前'!A:A,B258)=0,IF(OR(I258="PremiumSS",I258="PremiumSSw"),"R5only","R3less"),"")</f>
        <v>R3less</v>
      </c>
      <c r="F258" s="7" t="str">
        <f>IF(COUNTIF('R6開放'!A:A,B258)&gt;0,"R6release","")</f>
        <v/>
      </c>
      <c r="G258" s="7"/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5">
        <f ca="1">IFERROR(VLOOKUP(B258,input_429011!L:R,7,FALSE),VLOOKUP(tables_429011!C258,input_429011!A:H,8,FALSE))</f>
        <v>1050510</v>
      </c>
      <c r="P258" s="46">
        <f t="shared" ref="P258:P304" ca="1" si="13">O258/SUM(O:O)</f>
        <v>1.0126373626373626E-2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input_429011!A$2</f>
        <v>429011</v>
      </c>
      <c r="B259" s="60">
        <v>731</v>
      </c>
      <c r="C259" s="7" t="str">
        <f t="shared" si="12"/>
        <v>Premium5R3less</v>
      </c>
      <c r="D259" s="7" t="str">
        <f t="shared" ref="D259:D309" si="14">IF(OR(I259="PremiumSS",I259="PremiumSSw"),"PremiumSS",IF(I259="PremiumSSS",I259,IF(I259="PremiumW",I259,"Premium")))</f>
        <v>Premium</v>
      </c>
      <c r="E259" s="7" t="str">
        <f>IF(COUNTIF('R6追加前'!A:A,B259)=0,IF(OR(I259="PremiumSS",I259="PremiumSSw"),"R5only","R3less"),"")</f>
        <v>R3less</v>
      </c>
      <c r="F259" s="7" t="str">
        <f>IF(COUNTIF('R6開放'!A:A,B259)&gt;0,"R6release","")</f>
        <v/>
      </c>
      <c r="G259" s="7"/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5">
        <f ca="1">IFERROR(VLOOKUP(B259,input_429011!L:R,7,FALSE),VLOOKUP(tables_429011!C259,input_429011!A:H,8,FALSE))</f>
        <v>55290</v>
      </c>
      <c r="P259" s="46">
        <f t="shared" ca="1" si="13"/>
        <v>5.3296703296703293E-4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input_429011!A$2</f>
        <v>429011</v>
      </c>
      <c r="B260" s="60">
        <v>732</v>
      </c>
      <c r="C260" s="7" t="str">
        <f t="shared" si="12"/>
        <v>PremiumSS5R5only</v>
      </c>
      <c r="D260" s="7" t="str">
        <f t="shared" si="14"/>
        <v>PremiumSS</v>
      </c>
      <c r="E260" s="7" t="str">
        <f>IF(COUNTIF('R6追加前'!A:A,B260)=0,IF(OR(I260="PremiumSS",I260="PremiumSSw"),"R5only","R3less"),"")</f>
        <v>R5only</v>
      </c>
      <c r="F260" s="7" t="str">
        <f>IF(COUNTIF('R6開放'!A:A,B260)&gt;0,"R6release","")</f>
        <v/>
      </c>
      <c r="G260" s="7"/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5">
        <f ca="1">IFERROR(VLOOKUP(B260,input_429011!L:R,7,FALSE),VLOOKUP(tables_429011!C260,input_429011!A:H,8,FALSE))</f>
        <v>54600</v>
      </c>
      <c r="P260" s="46">
        <f t="shared" ca="1" si="13"/>
        <v>5.263157894736842E-4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input_429011!A$2</f>
        <v>429011</v>
      </c>
      <c r="B261" s="60">
        <v>734</v>
      </c>
      <c r="C261" s="7" t="str">
        <f t="shared" si="12"/>
        <v>PremiumSS5R5only</v>
      </c>
      <c r="D261" s="7" t="str">
        <f t="shared" si="14"/>
        <v>PremiumSS</v>
      </c>
      <c r="E261" s="7" t="str">
        <f>IF(COUNTIF('R6追加前'!A:A,B261)=0,IF(OR(I261="PremiumSS",I261="PremiumSSw"),"R5only","R3less"),"")</f>
        <v>R5only</v>
      </c>
      <c r="F261" s="7" t="str">
        <f>IF(COUNTIF('R6開放'!A:A,B261)&gt;0,"R6release","")</f>
        <v/>
      </c>
      <c r="G261" s="7"/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5">
        <f ca="1">IFERROR(VLOOKUP(B261,input_429011!L:R,7,FALSE),VLOOKUP(tables_429011!C261,input_429011!A:H,8,FALSE))</f>
        <v>54600</v>
      </c>
      <c r="P261" s="46">
        <f t="shared" ca="1" si="13"/>
        <v>5.263157894736842E-4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input_429011!A$2</f>
        <v>429011</v>
      </c>
      <c r="B262" s="60">
        <v>770</v>
      </c>
      <c r="C262" s="7" t="str">
        <f t="shared" si="12"/>
        <v>PremiumSS4</v>
      </c>
      <c r="D262" s="7" t="str">
        <f t="shared" si="14"/>
        <v>PremiumSS</v>
      </c>
      <c r="E262" s="7" t="str">
        <f>IF(COUNTIF('R6追加前'!A:A,B262)=0,IF(OR(I262="PremiumSS",I262="PremiumSSw"),"R5only","R3less"),"")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5">
        <f ca="1">IFERROR(VLOOKUP(B262,input_429011!L:R,7,FALSE),VLOOKUP(tables_429011!C262,input_429011!A:H,8,FALSE))</f>
        <v>51870</v>
      </c>
      <c r="P262" s="46">
        <f t="shared" ca="1" si="13"/>
        <v>5.0000000000000001E-4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input_429011!A$2</f>
        <v>429011</v>
      </c>
      <c r="B263" s="60">
        <v>771</v>
      </c>
      <c r="C263" s="7" t="str">
        <f t="shared" si="12"/>
        <v>PremiumSS5</v>
      </c>
      <c r="D263" s="7" t="str">
        <f t="shared" si="14"/>
        <v>PremiumSS</v>
      </c>
      <c r="E263" s="7" t="str">
        <f>IF(COUNTIF('R6追加前'!A:A,B263)=0,IF(OR(I263="PremiumSS",I263="PremiumSSw"),"R5only","R3less"),"")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5">
        <f ca="1">IFERROR(VLOOKUP(B263,input_429011!L:R,7,FALSE),VLOOKUP(tables_429011!C263,input_429011!A:H,8,FALSE))</f>
        <v>2730</v>
      </c>
      <c r="P263" s="46">
        <f t="shared" ca="1" si="13"/>
        <v>2.6315789473684212E-5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input_429011!A$2</f>
        <v>429011</v>
      </c>
      <c r="B264" s="60">
        <v>772</v>
      </c>
      <c r="C264" s="7" t="str">
        <f t="shared" si="12"/>
        <v>PremiumSS4</v>
      </c>
      <c r="D264" s="7" t="str">
        <f t="shared" si="14"/>
        <v>PremiumSS</v>
      </c>
      <c r="E264" s="7" t="str">
        <f>IF(COUNTIF('R6追加前'!A:A,B264)=0,IF(OR(I264="PremiumSS",I264="PremiumSSw"),"R5only","R3less"),"")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5">
        <f ca="1">IFERROR(VLOOKUP(B264,input_429011!L:R,7,FALSE),VLOOKUP(tables_429011!C264,input_429011!A:H,8,FALSE))</f>
        <v>51870</v>
      </c>
      <c r="P264" s="46">
        <f t="shared" ca="1" si="13"/>
        <v>5.0000000000000001E-4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input_429011!A$2</f>
        <v>429011</v>
      </c>
      <c r="B265" s="60">
        <v>773</v>
      </c>
      <c r="C265" s="7" t="str">
        <f t="shared" si="12"/>
        <v>PremiumSS5</v>
      </c>
      <c r="D265" s="7" t="str">
        <f t="shared" si="14"/>
        <v>PremiumSS</v>
      </c>
      <c r="E265" s="7" t="str">
        <f>IF(COUNTIF('R6追加前'!A:A,B265)=0,IF(OR(I265="PremiumSS",I265="PremiumSSw"),"R5only","R3less"),"")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5">
        <f ca="1">IFERROR(VLOOKUP(B265,input_429011!L:R,7,FALSE),VLOOKUP(tables_429011!C265,input_429011!A:H,8,FALSE))</f>
        <v>2730</v>
      </c>
      <c r="P265" s="46">
        <f t="shared" ca="1" si="13"/>
        <v>2.6315789473684212E-5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input_429011!A$2</f>
        <v>429011</v>
      </c>
      <c r="B266" s="60">
        <v>774</v>
      </c>
      <c r="C266" s="7" t="str">
        <f t="shared" si="12"/>
        <v>Premium3</v>
      </c>
      <c r="D266" s="7" t="str">
        <f t="shared" si="14"/>
        <v>Premium</v>
      </c>
      <c r="E266" s="7" t="str">
        <f>IF(COUNTIF('R6追加前'!A:A,B266)=0,IF(OR(I266="PremiumSS",I266="PremiumSSw"),"R5only","R3less"),"")</f>
        <v/>
      </c>
      <c r="F266" s="7" t="str">
        <f>IF(COUNTIF('R6開放'!A:A,B266)&gt;0,"R6release","")</f>
        <v/>
      </c>
      <c r="G266" s="7"/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5">
        <f ca="1">IFERROR(VLOOKUP(B266,input_429011!L:R,7,FALSE),VLOOKUP(tables_429011!C266,input_429011!A:H,8,FALSE))</f>
        <v>552900</v>
      </c>
      <c r="P266" s="46">
        <f t="shared" ca="1" si="13"/>
        <v>5.32967032967033E-3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input_429011!A$2</f>
        <v>429011</v>
      </c>
      <c r="B267" s="60">
        <v>775</v>
      </c>
      <c r="C267" s="7" t="str">
        <f t="shared" si="12"/>
        <v>Premium4</v>
      </c>
      <c r="D267" s="7" t="str">
        <f t="shared" si="14"/>
        <v>Premium</v>
      </c>
      <c r="E267" s="7" t="str">
        <f>IF(COUNTIF('R6追加前'!A:A,B267)=0,IF(OR(I267="PremiumSS",I267="PremiumSSw"),"R5only","R3less"),"")</f>
        <v/>
      </c>
      <c r="F267" s="7" t="str">
        <f>IF(COUNTIF('R6開放'!A:A,B267)&gt;0,"R6release","")</f>
        <v/>
      </c>
      <c r="G267" s="7"/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5">
        <f ca="1">IFERROR(VLOOKUP(B267,input_429011!L:R,7,FALSE),VLOOKUP(tables_429011!C267,input_429011!A:H,8,FALSE))</f>
        <v>505272.11537999997</v>
      </c>
      <c r="P267" s="46">
        <f t="shared" ca="1" si="13"/>
        <v>4.8705621301330243E-3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input_429011!A$2</f>
        <v>429011</v>
      </c>
      <c r="B268" s="60">
        <v>776</v>
      </c>
      <c r="C268" s="7" t="str">
        <f t="shared" si="12"/>
        <v>Premium5</v>
      </c>
      <c r="D268" s="7" t="str">
        <f t="shared" si="14"/>
        <v>Premium</v>
      </c>
      <c r="E268" s="7" t="str">
        <f>IF(COUNTIF('R6追加前'!A:A,B268)=0,IF(OR(I268="PremiumSS",I268="PremiumSSw"),"R5only","R3less"),"")</f>
        <v/>
      </c>
      <c r="F268" s="7" t="str">
        <f>IF(COUNTIF('R6開放'!A:A,B268)&gt;0,"R6release","")</f>
        <v/>
      </c>
      <c r="G268" s="7"/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5">
        <f ca="1">IFERROR(VLOOKUP(B268,input_429011!L:R,7,FALSE),VLOOKUP(tables_429011!C268,input_429011!A:H,8,FALSE))</f>
        <v>47627.884619999997</v>
      </c>
      <c r="P268" s="46">
        <f t="shared" ca="1" si="13"/>
        <v>4.5910819953730477E-4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input_429011!A$2</f>
        <v>429011</v>
      </c>
      <c r="B269" s="60">
        <v>777</v>
      </c>
      <c r="C269" s="7" t="str">
        <f t="shared" si="12"/>
        <v>Premium3</v>
      </c>
      <c r="D269" s="7" t="str">
        <f t="shared" si="14"/>
        <v>Premium</v>
      </c>
      <c r="E269" s="7" t="str">
        <f>IF(COUNTIF('R6追加前'!A:A,B269)=0,IF(OR(I269="PremiumSS",I269="PremiumSSw"),"R5only","R3less"),"")</f>
        <v/>
      </c>
      <c r="F269" s="7" t="str">
        <f>IF(COUNTIF('R6開放'!A:A,B269)&gt;0,"R6release","")</f>
        <v/>
      </c>
      <c r="G269" s="7"/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5">
        <f ca="1">IFERROR(VLOOKUP(B269,input_429011!L:R,7,FALSE),VLOOKUP(tables_429011!C269,input_429011!A:H,8,FALSE))</f>
        <v>552900</v>
      </c>
      <c r="P269" s="46">
        <f t="shared" ca="1" si="13"/>
        <v>5.32967032967033E-3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input_429011!A$2</f>
        <v>429011</v>
      </c>
      <c r="B270" s="60">
        <v>778</v>
      </c>
      <c r="C270" s="7" t="str">
        <f t="shared" si="12"/>
        <v>Premium4</v>
      </c>
      <c r="D270" s="7" t="str">
        <f t="shared" si="14"/>
        <v>Premium</v>
      </c>
      <c r="E270" s="7" t="str">
        <f>IF(COUNTIF('R6追加前'!A:A,B270)=0,IF(OR(I270="PremiumSS",I270="PremiumSSw"),"R5only","R3less"),"")</f>
        <v/>
      </c>
      <c r="F270" s="7" t="str">
        <f>IF(COUNTIF('R6開放'!A:A,B270)&gt;0,"R6release","")</f>
        <v/>
      </c>
      <c r="G270" s="7"/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5">
        <f ca="1">IFERROR(VLOOKUP(B270,input_429011!L:R,7,FALSE),VLOOKUP(tables_429011!C270,input_429011!A:H,8,FALSE))</f>
        <v>505272.11537999997</v>
      </c>
      <c r="P270" s="46">
        <f t="shared" ca="1" si="13"/>
        <v>4.8705621301330243E-3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input_429011!A$2</f>
        <v>429011</v>
      </c>
      <c r="B271" s="60">
        <v>779</v>
      </c>
      <c r="C271" s="7" t="str">
        <f t="shared" si="12"/>
        <v>Premium5</v>
      </c>
      <c r="D271" s="7" t="str">
        <f t="shared" si="14"/>
        <v>Premium</v>
      </c>
      <c r="E271" s="7" t="str">
        <f>IF(COUNTIF('R6追加前'!A:A,B271)=0,IF(OR(I271="PremiumSS",I271="PremiumSSw"),"R5only","R3less"),"")</f>
        <v/>
      </c>
      <c r="F271" s="7" t="str">
        <f>IF(COUNTIF('R6開放'!A:A,B271)&gt;0,"R6release","")</f>
        <v/>
      </c>
      <c r="G271" s="7"/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5">
        <f ca="1">IFERROR(VLOOKUP(B271,input_429011!L:R,7,FALSE),VLOOKUP(tables_429011!C271,input_429011!A:H,8,FALSE))</f>
        <v>47627.884619999997</v>
      </c>
      <c r="P271" s="46">
        <f t="shared" ca="1" si="13"/>
        <v>4.5910819953730477E-4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input_429011!A$2</f>
        <v>429011</v>
      </c>
      <c r="B272" s="81">
        <v>848</v>
      </c>
      <c r="C272" s="7" t="str">
        <f t="shared" si="12"/>
        <v>PremiumSS5R5only</v>
      </c>
      <c r="D272" s="7" t="str">
        <f t="shared" si="14"/>
        <v>PremiumSS</v>
      </c>
      <c r="E272" s="7" t="str">
        <f>IF(COUNTIF('R6追加前'!A:A,B272)=0,IF(OR(I272="PremiumSS",I272="PremiumSSw"),"R5only","R3less"),"")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5">
        <f ca="1">IFERROR(VLOOKUP(B272,input_429011!L:R,7,FALSE),VLOOKUP(tables_429011!C272,input_429011!A:H,8,FALSE))</f>
        <v>54600</v>
      </c>
      <c r="P272" s="46">
        <f t="shared" ca="1" si="13"/>
        <v>5.263157894736842E-4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input_429011!A$2</f>
        <v>429011</v>
      </c>
      <c r="B273" s="81">
        <v>850</v>
      </c>
      <c r="C273" s="7" t="str">
        <f t="shared" si="12"/>
        <v>PremiumSS5R5only</v>
      </c>
      <c r="D273" s="7" t="str">
        <f t="shared" si="14"/>
        <v>PremiumSS</v>
      </c>
      <c r="E273" s="7" t="str">
        <f>IF(COUNTIF('R6追加前'!A:A,B273)=0,IF(OR(I273="PremiumSS",I273="PremiumSSw"),"R5only","R3less"),"")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5">
        <f ca="1">IFERROR(VLOOKUP(B273,input_429011!L:R,7,FALSE),VLOOKUP(tables_429011!C273,input_429011!A:H,8,FALSE))</f>
        <v>54600</v>
      </c>
      <c r="P273" s="46">
        <f t="shared" ca="1" si="13"/>
        <v>5.263157894736842E-4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input_429011!A$2</f>
        <v>429011</v>
      </c>
      <c r="B274" s="81">
        <v>852</v>
      </c>
      <c r="C274" s="7" t="str">
        <f t="shared" si="12"/>
        <v>Premium4R3less</v>
      </c>
      <c r="D274" s="7" t="str">
        <f t="shared" si="14"/>
        <v>Premium</v>
      </c>
      <c r="E274" s="7" t="str">
        <f>IF(COUNTIF('R6追加前'!A:A,B274)=0,IF(OR(I274="PremiumSS",I274="PremiumSSw"),"R5only","R3less"),"")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5">
        <f ca="1">IFERROR(VLOOKUP(B274,input_429011!L:R,7,FALSE),VLOOKUP(tables_429011!C274,input_429011!A:H,8,FALSE))</f>
        <v>1050510</v>
      </c>
      <c r="P274" s="46">
        <f t="shared" ca="1" si="13"/>
        <v>1.0126373626373626E-2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input_429011!A$2</f>
        <v>429011</v>
      </c>
      <c r="B275" s="81">
        <v>853</v>
      </c>
      <c r="C275" s="7" t="str">
        <f t="shared" si="12"/>
        <v>Premium5R3less</v>
      </c>
      <c r="D275" s="7" t="str">
        <f t="shared" si="14"/>
        <v>Premium</v>
      </c>
      <c r="E275" s="7" t="str">
        <f>IF(COUNTIF('R6追加前'!A:A,B275)=0,IF(OR(I275="PremiumSS",I275="PremiumSSw"),"R5only","R3less"),"")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5">
        <f ca="1">IFERROR(VLOOKUP(B275,input_429011!L:R,7,FALSE),VLOOKUP(tables_429011!C275,input_429011!A:H,8,FALSE))</f>
        <v>55290</v>
      </c>
      <c r="P275" s="46">
        <f t="shared" ca="1" si="13"/>
        <v>5.3296703296703293E-4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input_429011!A$2</f>
        <v>429011</v>
      </c>
      <c r="B276" s="81">
        <v>854</v>
      </c>
      <c r="C276" s="7" t="str">
        <f t="shared" si="12"/>
        <v>Premium4R3less</v>
      </c>
      <c r="D276" s="7" t="str">
        <f t="shared" si="14"/>
        <v>Premium</v>
      </c>
      <c r="E276" s="7" t="str">
        <f>IF(COUNTIF('R6追加前'!A:A,B276)=0,IF(OR(I276="PremiumSS",I276="PremiumSSw"),"R5only","R3less"),"")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5">
        <f ca="1">IFERROR(VLOOKUP(B276,input_429011!L:R,7,FALSE),VLOOKUP(tables_429011!C276,input_429011!A:H,8,FALSE))</f>
        <v>1050510</v>
      </c>
      <c r="P276" s="46">
        <f t="shared" ca="1" si="13"/>
        <v>1.0126373626373626E-2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input_429011!A$2</f>
        <v>429011</v>
      </c>
      <c r="B277" s="81">
        <v>855</v>
      </c>
      <c r="C277" s="7" t="str">
        <f t="shared" si="12"/>
        <v>Premium5R3less</v>
      </c>
      <c r="D277" s="7" t="str">
        <f t="shared" si="14"/>
        <v>Premium</v>
      </c>
      <c r="E277" s="7" t="str">
        <f>IF(COUNTIF('R6追加前'!A:A,B277)=0,IF(OR(I277="PremiumSS",I277="PremiumSSw"),"R5only","R3less"),"")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5">
        <f ca="1">IFERROR(VLOOKUP(B277,input_429011!L:R,7,FALSE),VLOOKUP(tables_429011!C277,input_429011!A:H,8,FALSE))</f>
        <v>55290</v>
      </c>
      <c r="P277" s="46">
        <f t="shared" ca="1" si="13"/>
        <v>5.3296703296703293E-4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input_429011!A$2</f>
        <v>429011</v>
      </c>
      <c r="B278" s="81">
        <v>862</v>
      </c>
      <c r="C278" s="7" t="str">
        <f t="shared" si="12"/>
        <v>Premium4R3less</v>
      </c>
      <c r="D278" s="7" t="str">
        <f t="shared" si="14"/>
        <v>Premium</v>
      </c>
      <c r="E278" s="7" t="str">
        <f>IF(COUNTIF('R6追加前'!A:A,B278)=0,IF(OR(I278="PremiumSS",I278="PremiumSSw"),"R5only","R3less"),"")</f>
        <v>R3less</v>
      </c>
      <c r="F278" s="7" t="str">
        <f>IF(COUNTIF('R6開放'!A:A,B278)&gt;0,"R6release","")</f>
        <v/>
      </c>
      <c r="G278" s="7"/>
      <c r="H278" s="7" t="str">
        <f>VLOOKUP(B278,[1]characters!$A:$C,3,FALSE)</f>
        <v>ブレーメン</v>
      </c>
      <c r="I278" s="7" t="str">
        <f>VLOOKUP(B278,[1]characters!$A:$J,10,FALSE)</f>
        <v>PremiumS</v>
      </c>
      <c r="J278" s="7">
        <f>VLOOKUP(B278,[1]characters!$A:$I,9,FALSE)</f>
        <v>4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5">
        <f ca="1">IFERROR(VLOOKUP(B278,input_429011!L:R,7,FALSE),VLOOKUP(tables_429011!C278,input_429011!A:H,8,FALSE))</f>
        <v>1050510</v>
      </c>
      <c r="P278" s="46">
        <f t="shared" ca="1" si="13"/>
        <v>1.0126373626373626E-2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input_429011!A$2</f>
        <v>429011</v>
      </c>
      <c r="B279" s="81">
        <v>863</v>
      </c>
      <c r="C279" s="7" t="str">
        <f t="shared" si="12"/>
        <v>Premium5R3less</v>
      </c>
      <c r="D279" s="7" t="str">
        <f t="shared" si="14"/>
        <v>Premium</v>
      </c>
      <c r="E279" s="7" t="str">
        <f>IF(COUNTIF('R6追加前'!A:A,B279)=0,IF(OR(I279="PremiumSS",I279="PremiumSSw"),"R5only","R3less"),"")</f>
        <v>R3less</v>
      </c>
      <c r="F279" s="7" t="str">
        <f>IF(COUNTIF('R6開放'!A:A,B279)&gt;0,"R6release","")</f>
        <v/>
      </c>
      <c r="G279" s="7"/>
      <c r="H279" s="7" t="str">
        <f>VLOOKUP(B279,[1]characters!$A:$C,3,FALSE)</f>
        <v>歓揮の楽団長 ブレーメン</v>
      </c>
      <c r="I279" s="7" t="str">
        <f>VLOOKUP(B279,[1]characters!$A:$J,10,FALSE)</f>
        <v>PremiumS</v>
      </c>
      <c r="J279" s="7">
        <f>VLOOKUP(B279,[1]characters!$A:$I,9,FALSE)</f>
        <v>5</v>
      </c>
      <c r="K279" s="7" t="str">
        <f>VLOOKUP(B279,[1]characters!$A:$H,8,FALSE)</f>
        <v>red</v>
      </c>
      <c r="L279" s="7" t="str">
        <f>VLOOKUP(B279,[1]characters!$A:$K,11,FALSE)</f>
        <v>balance</v>
      </c>
      <c r="M279" s="7" t="str">
        <f>VLOOKUP(B279,[1]characters!$A:$M,13,FALSE)</f>
        <v>animal</v>
      </c>
      <c r="N279" s="7" t="str">
        <f>VLOOKUP(B279,[1]characters!$A:$G,7,FALSE)</f>
        <v>男性</v>
      </c>
      <c r="O279" s="45">
        <f ca="1">IFERROR(VLOOKUP(B279,input_429011!L:R,7,FALSE),VLOOKUP(tables_429011!C279,input_429011!A:H,8,FALSE))</f>
        <v>55290</v>
      </c>
      <c r="P279" s="46">
        <f t="shared" ca="1" si="13"/>
        <v>5.3296703296703293E-4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input_429011!A$2</f>
        <v>429011</v>
      </c>
      <c r="B280" s="81">
        <v>864</v>
      </c>
      <c r="C280" s="7" t="str">
        <f t="shared" si="12"/>
        <v>Premium4R3less</v>
      </c>
      <c r="D280" s="7" t="str">
        <f t="shared" si="14"/>
        <v>Premium</v>
      </c>
      <c r="E280" s="7" t="str">
        <f>IF(COUNTIF('R6追加前'!A:A,B280)=0,IF(OR(I280="PremiumSS",I280="PremiumSSw"),"R5only","R3less"),"")</f>
        <v>R3less</v>
      </c>
      <c r="F280" s="7" t="str">
        <f>IF(COUNTIF('R6開放'!A:A,B280)&gt;0,"R6release","")</f>
        <v/>
      </c>
      <c r="G280" s="7"/>
      <c r="H280" s="7" t="str">
        <f>VLOOKUP(B280,[1]characters!$A:$C,3,FALSE)</f>
        <v>ピノキオ</v>
      </c>
      <c r="I280" s="7" t="str">
        <f>VLOOKUP(B280,[1]characters!$A:$J,10,FALSE)</f>
        <v>PremiumS</v>
      </c>
      <c r="J280" s="7">
        <f>VLOOKUP(B280,[1]characters!$A:$I,9,FALSE)</f>
        <v>4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5">
        <f ca="1">IFERROR(VLOOKUP(B280,input_429011!L:R,7,FALSE),VLOOKUP(tables_429011!C280,input_429011!A:H,8,FALSE))</f>
        <v>1050510</v>
      </c>
      <c r="P280" s="46">
        <f t="shared" ca="1" si="13"/>
        <v>1.0126373626373626E-2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input_429011!A$2</f>
        <v>429011</v>
      </c>
      <c r="B281" s="81">
        <v>865</v>
      </c>
      <c r="C281" s="7" t="str">
        <f t="shared" si="12"/>
        <v>Premium5R3less</v>
      </c>
      <c r="D281" s="7" t="str">
        <f t="shared" si="14"/>
        <v>Premium</v>
      </c>
      <c r="E281" s="7" t="str">
        <f>IF(COUNTIF('R6追加前'!A:A,B281)=0,IF(OR(I281="PremiumSS",I281="PremiumSSw"),"R5only","R3less"),"")</f>
        <v>R3less</v>
      </c>
      <c r="F281" s="7" t="str">
        <f>IF(COUNTIF('R6開放'!A:A,B281)&gt;0,"R6release","")</f>
        <v/>
      </c>
      <c r="G281" s="7"/>
      <c r="H281" s="7" t="str">
        <f>VLOOKUP(B281,[1]characters!$A:$C,3,FALSE)</f>
        <v>無情の感線 ピノキオ</v>
      </c>
      <c r="I281" s="7" t="str">
        <f>VLOOKUP(B281,[1]characters!$A:$J,10,FALSE)</f>
        <v>PremiumS</v>
      </c>
      <c r="J281" s="7">
        <f>VLOOKUP(B281,[1]characters!$A:$I,9,FALSE)</f>
        <v>5</v>
      </c>
      <c r="K281" s="7" t="str">
        <f>VLOOKUP(B281,[1]characters!$A:$H,8,FALSE)</f>
        <v>green</v>
      </c>
      <c r="L281" s="7" t="str">
        <f>VLOOKUP(B281,[1]characters!$A:$K,11,FALSE)</f>
        <v>attack</v>
      </c>
      <c r="M281" s="7" t="str">
        <f>VLOOKUP(B281,[1]characters!$A:$M,13,FALSE)</f>
        <v>machine</v>
      </c>
      <c r="N281" s="7" t="str">
        <f>VLOOKUP(B281,[1]characters!$A:$G,7,FALSE)</f>
        <v>男性</v>
      </c>
      <c r="O281" s="45">
        <f ca="1">IFERROR(VLOOKUP(B281,input_429011!L:R,7,FALSE),VLOOKUP(tables_429011!C281,input_429011!A:H,8,FALSE))</f>
        <v>55290</v>
      </c>
      <c r="P281" s="46">
        <f t="shared" ca="1" si="13"/>
        <v>5.3296703296703293E-4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input_429011!A$2</f>
        <v>429011</v>
      </c>
      <c r="B282" s="81">
        <v>866</v>
      </c>
      <c r="C282" s="7" t="str">
        <f t="shared" si="12"/>
        <v>PremiumSS5R5only</v>
      </c>
      <c r="D282" s="7" t="str">
        <f t="shared" si="14"/>
        <v>PremiumSS</v>
      </c>
      <c r="E282" s="7" t="str">
        <f>IF(COUNTIF('R6追加前'!A:A,B282)=0,IF(OR(I282="PremiumSS",I282="PremiumSSw"),"R5only","R3less"),"")</f>
        <v>R5only</v>
      </c>
      <c r="F282" s="7" t="str">
        <f>IF(COUNTIF('R6開放'!A:A,B282)&gt;0,"R6release","")</f>
        <v/>
      </c>
      <c r="G282" s="7"/>
      <c r="H282" s="7" t="str">
        <f>VLOOKUP(B282,[1]characters!$A:$C,3,FALSE)</f>
        <v>無敗の司令姫 白雪姫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blue</v>
      </c>
      <c r="L282" s="7" t="str">
        <f>VLOOKUP(B282,[1]characters!$A:$K,11,FALSE)</f>
        <v>balance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5">
        <f ca="1">IFERROR(VLOOKUP(B282,input_429011!L:R,7,FALSE),VLOOKUP(tables_429011!C282,input_429011!A:H,8,FALSE))</f>
        <v>54600</v>
      </c>
      <c r="P282" s="46">
        <f t="shared" ca="1" si="13"/>
        <v>5.263157894736842E-4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input_429011!A$2</f>
        <v>429011</v>
      </c>
      <c r="B283" s="81">
        <v>868</v>
      </c>
      <c r="C283" s="7" t="str">
        <f t="shared" si="12"/>
        <v>PremiumSS5R5only</v>
      </c>
      <c r="D283" s="7" t="str">
        <f t="shared" si="14"/>
        <v>PremiumSS</v>
      </c>
      <c r="E283" s="7" t="str">
        <f>IF(COUNTIF('R6追加前'!A:A,B283)=0,IF(OR(I283="PremiumSS",I283="PremiumSSw"),"R5only","R3less"),"")</f>
        <v>R5only</v>
      </c>
      <c r="F283" s="7" t="str">
        <f>IF(COUNTIF('R6開放'!A:A,B283)&gt;0,"R6release","")</f>
        <v/>
      </c>
      <c r="G283" s="7"/>
      <c r="H283" s="7" t="str">
        <f>VLOOKUP(B283,[1]characters!$A:$C,3,FALSE)</f>
        <v>アラジンと殲滅機兵LAMP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human</v>
      </c>
      <c r="N283" s="7" t="str">
        <f>VLOOKUP(B283,[1]characters!$A:$G,7,FALSE)</f>
        <v>男性</v>
      </c>
      <c r="O283" s="45">
        <f ca="1">IFERROR(VLOOKUP(B283,input_429011!L:R,7,FALSE),VLOOKUP(tables_429011!C283,input_429011!A:H,8,FALSE))</f>
        <v>54600</v>
      </c>
      <c r="P283" s="46">
        <f t="shared" ca="1" si="13"/>
        <v>5.263157894736842E-4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input_429011!A$2</f>
        <v>429011</v>
      </c>
      <c r="B284" s="5">
        <v>742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アポロン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attack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IFERROR(VLOOKUP(B284,input_429011!L:R,7,FALSE),VLOOKUP(tables_429011!C284,input_429011!A:H,8,FALSE))</f>
        <v>54600</v>
      </c>
      <c r="P284" s="46">
        <f t="shared" ca="1" si="13"/>
        <v>5.263157894736842E-4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input_429011!A$2</f>
        <v>429011</v>
      </c>
      <c r="B285" s="5">
        <v>744</v>
      </c>
      <c r="C285" s="7" t="str">
        <f t="shared" si="12"/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ヘルメス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IFERROR(VLOOKUP(B285,input_429011!L:R,7,FALSE),VLOOKUP(tables_429011!C285,input_429011!A:H,8,FALSE))</f>
        <v>54600</v>
      </c>
      <c r="P285" s="46">
        <f t="shared" ca="1" si="13"/>
        <v>5.263157894736842E-4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input_429011!A$2</f>
        <v>429011</v>
      </c>
      <c r="B286" s="5">
        <v>746</v>
      </c>
      <c r="C286" s="7" t="str">
        <f t="shared" si="12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ノルン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balance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IFERROR(VLOOKUP(B286,input_429011!L:R,7,FALSE),VLOOKUP(tables_429011!C286,input_429011!A:H,8,FALSE))</f>
        <v>1050510</v>
      </c>
      <c r="P286" s="46">
        <f t="shared" ca="1" si="13"/>
        <v>1.0126373626373626E-2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input_429011!A$2</f>
        <v>429011</v>
      </c>
      <c r="B287" s="5">
        <v>747</v>
      </c>
      <c r="C287" s="7" t="str">
        <f t="shared" si="12"/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潔碧の巡励神 ノルン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balance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IFERROR(VLOOKUP(B287,input_429011!L:R,7,FALSE),VLOOKUP(tables_429011!C287,input_429011!A:H,8,FALSE))</f>
        <v>55290</v>
      </c>
      <c r="P287" s="46">
        <f t="shared" ca="1" si="13"/>
        <v>5.3296703296703293E-4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input_429011!A$2</f>
        <v>429011</v>
      </c>
      <c r="B288" s="5">
        <v>748</v>
      </c>
      <c r="C288" s="7" t="str">
        <f t="shared" si="12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パーン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heal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IFERROR(VLOOKUP(B288,input_429011!L:R,7,FALSE),VLOOKUP(tables_429011!C288,input_429011!A:H,8,FALSE))</f>
        <v>1050510</v>
      </c>
      <c r="P288" s="46">
        <f t="shared" ca="1" si="13"/>
        <v>1.0126373626373626E-2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input_429011!A$2</f>
        <v>429011</v>
      </c>
      <c r="B289" s="5">
        <v>749</v>
      </c>
      <c r="C289" s="7" t="str">
        <f t="shared" si="12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光喜の牧童 パーン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heal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IFERROR(VLOOKUP(B289,input_429011!L:R,7,FALSE),VLOOKUP(tables_429011!C289,input_429011!A:H,8,FALSE))</f>
        <v>55290</v>
      </c>
      <c r="P289" s="46">
        <f t="shared" ca="1" si="13"/>
        <v>5.3296703296703293E-4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input_429011!A$2</f>
        <v>429011</v>
      </c>
      <c r="B290" s="5">
        <v>937</v>
      </c>
      <c r="C290" s="7" t="str">
        <f t="shared" si="12"/>
        <v>PremiumSS5R5only</v>
      </c>
      <c r="D290" s="7" t="str">
        <f t="shared" si="14"/>
        <v>PremiumSS</v>
      </c>
      <c r="E290" s="7" t="str">
        <f>IF(COUNTIF('R6追加前'!A:A,B290)=0,IF(OR(I290="PremiumSS",I290="PremiumSSw"),"R5only","R3less"),"")</f>
        <v>R5only</v>
      </c>
      <c r="F290" s="7" t="str">
        <f>IF(COUNTIF('R6開放'!A:A,B290)&gt;0,"R6release","")</f>
        <v/>
      </c>
      <c r="G290" s="7"/>
      <c r="H290" s="7" t="str">
        <f>VLOOKUP(B290,[1]characters!$A:$C,3,FALSE)</f>
        <v>ナポレオン</v>
      </c>
      <c r="I290" s="7" t="str">
        <f>VLOOKUP(B290,[1]characters!$A:$J,10,FALSE)</f>
        <v>PremiumSS</v>
      </c>
      <c r="J290" s="7">
        <f>VLOOKUP(B290,[1]characters!$A:$I,9,FALSE)</f>
        <v>5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human</v>
      </c>
      <c r="N290" s="7" t="str">
        <f>VLOOKUP(B290,[1]characters!$A:$G,7,FALSE)</f>
        <v>男性</v>
      </c>
      <c r="O290" s="45">
        <f ca="1">IFERROR(VLOOKUP(B290,input_429011!L:R,7,FALSE),VLOOKUP(tables_429011!C290,input_429011!A:H,8,FALSE))</f>
        <v>54600</v>
      </c>
      <c r="P290" s="46">
        <f t="shared" ca="1" si="13"/>
        <v>5.263157894736842E-4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input_429011!A$2</f>
        <v>429011</v>
      </c>
      <c r="B291" s="5">
        <v>939</v>
      </c>
      <c r="C291" s="7" t="str">
        <f t="shared" si="12"/>
        <v>Premium4R3less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バスティーユ</v>
      </c>
      <c r="I291" s="7" t="str">
        <f>VLOOKUP(B291,[1]characters!$A:$J,10,FALSE)</f>
        <v>PremiumS</v>
      </c>
      <c r="J291" s="7">
        <f>VLOOKUP(B291,[1]characters!$A:$I,9,FALSE)</f>
        <v>4</v>
      </c>
      <c r="K291" s="7" t="str">
        <f>VLOOKUP(B291,[1]characters!$A:$H,8,FALSE)</f>
        <v>green</v>
      </c>
      <c r="L291" s="7" t="str">
        <f>VLOOKUP(B291,[1]characters!$A:$K,11,FALSE)</f>
        <v>hp</v>
      </c>
      <c r="M291" s="7" t="str">
        <f>VLOOKUP(B291,[1]characters!$A:$M,13,FALSE)</f>
        <v>unknown</v>
      </c>
      <c r="N291" s="7" t="str">
        <f>VLOOKUP(B291,[1]characters!$A:$G,7,FALSE)</f>
        <v>男性</v>
      </c>
      <c r="O291" s="45">
        <f ca="1">IFERROR(VLOOKUP(B291,input_429011!L:R,7,FALSE),VLOOKUP(tables_429011!C291,input_429011!A:H,8,FALSE))</f>
        <v>1050510</v>
      </c>
      <c r="P291" s="46">
        <f t="shared" ca="1" si="13"/>
        <v>1.0126373626373626E-2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input_429011!A$2</f>
        <v>429011</v>
      </c>
      <c r="B292" s="5">
        <v>940</v>
      </c>
      <c r="C292" s="7" t="str">
        <f t="shared" si="12"/>
        <v>Premium5R3less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不壊の大要塞 バスティーユ</v>
      </c>
      <c r="I292" s="7" t="str">
        <f>VLOOKUP(B292,[1]characters!$A:$J,10,FALSE)</f>
        <v>PremiumS</v>
      </c>
      <c r="J292" s="7">
        <f>VLOOKUP(B292,[1]characters!$A:$I,9,FALSE)</f>
        <v>5</v>
      </c>
      <c r="K292" s="7" t="str">
        <f>VLOOKUP(B292,[1]characters!$A:$H,8,FALSE)</f>
        <v>green</v>
      </c>
      <c r="L292" s="7" t="str">
        <f>VLOOKUP(B292,[1]characters!$A:$K,11,FALSE)</f>
        <v>hp</v>
      </c>
      <c r="M292" s="7" t="str">
        <f>VLOOKUP(B292,[1]characters!$A:$M,13,FALSE)</f>
        <v>unknown</v>
      </c>
      <c r="N292" s="7" t="str">
        <f>VLOOKUP(B292,[1]characters!$A:$G,7,FALSE)</f>
        <v>男性</v>
      </c>
      <c r="O292" s="45">
        <f ca="1">IFERROR(VLOOKUP(B292,input_429011!L:R,7,FALSE),VLOOKUP(tables_429011!C292,input_429011!A:H,8,FALSE))</f>
        <v>55290</v>
      </c>
      <c r="P292" s="46">
        <f t="shared" ca="1" si="13"/>
        <v>5.3296703296703293E-4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input_429011!A$2</f>
        <v>429011</v>
      </c>
      <c r="B293" s="5">
        <v>941</v>
      </c>
      <c r="C293" s="7" t="str">
        <f t="shared" si="12"/>
        <v>PremiumSS5R5only</v>
      </c>
      <c r="D293" s="7" t="str">
        <f t="shared" si="14"/>
        <v>PremiumSS</v>
      </c>
      <c r="E293" s="7" t="str">
        <f>IF(COUNTIF('R6追加前'!A:A,B293)=0,IF(OR(I293="PremiumSS",I293="PremiumSSw"),"R5only","R3less"),"")</f>
        <v>R5only</v>
      </c>
      <c r="F293" s="7" t="str">
        <f>IF(COUNTIF('R6開放'!A:A,B293)&gt;0,"R6release","")</f>
        <v/>
      </c>
      <c r="G293" s="7"/>
      <c r="H293" s="7" t="str">
        <f>VLOOKUP(B293,[1]characters!$A:$C,3,FALSE)</f>
        <v>アントワネット</v>
      </c>
      <c r="I293" s="7" t="str">
        <f>VLOOKUP(B293,[1]characters!$A:$J,10,FALSE)</f>
        <v>PremiumSS</v>
      </c>
      <c r="J293" s="7">
        <f>VLOOKUP(B293,[1]characters!$A:$I,9,FALSE)</f>
        <v>5</v>
      </c>
      <c r="K293" s="7" t="str">
        <f>VLOOKUP(B293,[1]characters!$A:$H,8,FALSE)</f>
        <v>blue</v>
      </c>
      <c r="L293" s="7" t="str">
        <f>VLOOKUP(B293,[1]characters!$A:$K,11,FALSE)</f>
        <v>technical</v>
      </c>
      <c r="M293" s="7" t="str">
        <f>VLOOKUP(B293,[1]characters!$A:$M,13,FALSE)</f>
        <v>human</v>
      </c>
      <c r="N293" s="7" t="str">
        <f>VLOOKUP(B293,[1]characters!$A:$G,7,FALSE)</f>
        <v>男性</v>
      </c>
      <c r="O293" s="45">
        <f ca="1">IFERROR(VLOOKUP(B293,input_429011!L:R,7,FALSE),VLOOKUP(tables_429011!C293,input_429011!A:H,8,FALSE))</f>
        <v>54600</v>
      </c>
      <c r="P293" s="46">
        <f t="shared" ca="1" si="13"/>
        <v>5.263157894736842E-4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input_429011!A$2</f>
        <v>429011</v>
      </c>
      <c r="B294" s="5">
        <v>943</v>
      </c>
      <c r="C294" s="7" t="str">
        <f t="shared" si="12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サンソン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yellow</v>
      </c>
      <c r="L294" s="7" t="str">
        <f>VLOOKUP(B294,[1]characters!$A:$K,11,FALSE)</f>
        <v>attack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IFERROR(VLOOKUP(B294,input_429011!L:R,7,FALSE),VLOOKUP(tables_429011!C294,input_429011!A:H,8,FALSE))</f>
        <v>54600</v>
      </c>
      <c r="P294" s="46">
        <f t="shared" ca="1" si="13"/>
        <v>5.263157894736842E-4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input_429011!A$2</f>
        <v>429011</v>
      </c>
      <c r="B295" s="5">
        <v>1012</v>
      </c>
      <c r="C295" s="7" t="str">
        <f t="shared" si="12"/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ラー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red</v>
      </c>
      <c r="L295" s="7" t="str">
        <f>VLOOKUP(B295,[1]characters!$A:$K,11,FALSE)</f>
        <v>balance</v>
      </c>
      <c r="M295" s="7" t="str">
        <f>VLOOKUP(B295,[1]characters!$A:$M,13,FALSE)</f>
        <v>god</v>
      </c>
      <c r="N295" s="7" t="str">
        <f>VLOOKUP(B295,[1]characters!$A:$G,7,FALSE)</f>
        <v>男性</v>
      </c>
      <c r="O295" s="45">
        <f ca="1">IFERROR(VLOOKUP(B295,input_429011!L:R,7,FALSE),VLOOKUP(tables_429011!C295,input_429011!A:H,8,FALSE))</f>
        <v>54600</v>
      </c>
      <c r="P295" s="46">
        <f t="shared" ca="1" si="13"/>
        <v>5.263157894736842E-4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input_429011!A$2</f>
        <v>429011</v>
      </c>
      <c r="B296" s="5">
        <v>1014</v>
      </c>
      <c r="C296" s="7" t="str">
        <f t="shared" si="12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イシス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green</v>
      </c>
      <c r="L296" s="7" t="str">
        <f>VLOOKUP(B296,[1]characters!$A:$K,11,FALSE)</f>
        <v>hp</v>
      </c>
      <c r="M296" s="7" t="str">
        <f>VLOOKUP(B296,[1]characters!$A:$M,13,FALSE)</f>
        <v>god</v>
      </c>
      <c r="N296" s="7" t="str">
        <f>VLOOKUP(B296,[1]characters!$A:$G,7,FALSE)</f>
        <v>男性</v>
      </c>
      <c r="O296" s="45">
        <f ca="1">IFERROR(VLOOKUP(B296,input_429011!L:R,7,FALSE),VLOOKUP(tables_429011!C296,input_429011!A:H,8,FALSE))</f>
        <v>54600</v>
      </c>
      <c r="P296" s="46">
        <f t="shared" ca="1" si="13"/>
        <v>5.263157894736842E-4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input_429011!A$2</f>
        <v>429011</v>
      </c>
      <c r="B297" s="5">
        <v>1016</v>
      </c>
      <c r="C297" s="7" t="str">
        <f t="shared" si="12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ハトホル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blue</v>
      </c>
      <c r="L297" s="7" t="str">
        <f>VLOOKUP(B297,[1]characters!$A:$K,11,FALSE)</f>
        <v>heal</v>
      </c>
      <c r="M297" s="7" t="str">
        <f>VLOOKUP(B297,[1]characters!$A:$M,13,FALSE)</f>
        <v>god</v>
      </c>
      <c r="N297" s="7" t="str">
        <f>VLOOKUP(B297,[1]characters!$A:$G,7,FALSE)</f>
        <v>男性</v>
      </c>
      <c r="O297" s="45">
        <f ca="1">IFERROR(VLOOKUP(B297,input_429011!L:R,7,FALSE),VLOOKUP(tables_429011!C297,input_429011!A:H,8,FALSE))</f>
        <v>1050510</v>
      </c>
      <c r="P297" s="46">
        <f t="shared" ca="1" si="13"/>
        <v>1.0126373626373626E-2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input_429011!A$2</f>
        <v>429011</v>
      </c>
      <c r="B298" s="5">
        <v>1017</v>
      </c>
      <c r="C298" s="7" t="str">
        <f t="shared" si="12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命瞳の慈母神 ハトホル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blue</v>
      </c>
      <c r="L298" s="7" t="str">
        <f>VLOOKUP(B298,[1]characters!$A:$K,11,FALSE)</f>
        <v>heal</v>
      </c>
      <c r="M298" s="7" t="str">
        <f>VLOOKUP(B298,[1]characters!$A:$M,13,FALSE)</f>
        <v>god</v>
      </c>
      <c r="N298" s="7" t="str">
        <f>VLOOKUP(B298,[1]characters!$A:$G,7,FALSE)</f>
        <v>男性</v>
      </c>
      <c r="O298" s="45">
        <f ca="1">IFERROR(VLOOKUP(B298,input_429011!L:R,7,FALSE),VLOOKUP(tables_429011!C298,input_429011!A:H,8,FALSE))</f>
        <v>55290</v>
      </c>
      <c r="P298" s="46">
        <f t="shared" ca="1" si="13"/>
        <v>5.3296703296703293E-4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input_429011!A$2</f>
        <v>429011</v>
      </c>
      <c r="B299" s="5">
        <v>1018</v>
      </c>
      <c r="C299" s="7" t="str">
        <f t="shared" si="12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バステト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yellow</v>
      </c>
      <c r="L299" s="7" t="str">
        <f>VLOOKUP(B299,[1]characters!$A:$K,11,FALSE)</f>
        <v>attack</v>
      </c>
      <c r="M299" s="7" t="str">
        <f>VLOOKUP(B299,[1]characters!$A:$M,13,FALSE)</f>
        <v>god</v>
      </c>
      <c r="N299" s="7" t="str">
        <f>VLOOKUP(B299,[1]characters!$A:$G,7,FALSE)</f>
        <v>男性</v>
      </c>
      <c r="O299" s="45">
        <f ca="1">IFERROR(VLOOKUP(B299,input_429011!L:R,7,FALSE),VLOOKUP(tables_429011!C299,input_429011!A:H,8,FALSE))</f>
        <v>54600</v>
      </c>
      <c r="P299" s="46">
        <f t="shared" ca="1" si="13"/>
        <v>5.263157894736842E-4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input_429011!A$2</f>
        <v>429011</v>
      </c>
      <c r="B300" s="5">
        <v>1026</v>
      </c>
      <c r="C300" s="7" t="str">
        <f t="shared" si="12"/>
        <v>Premium4R3less</v>
      </c>
      <c r="D300" s="7" t="str">
        <f t="shared" si="14"/>
        <v>Premium</v>
      </c>
      <c r="E300" s="7" t="str">
        <f>IF(COUNTIF('R6追加前'!A:A,B300)=0,IF(OR(I300="PremiumSS",I300="PremiumSSw"),"R5only","R3less"),"")</f>
        <v>R3less</v>
      </c>
      <c r="F300" s="7" t="str">
        <f>IF(COUNTIF('R6開放'!A:A,B300)&gt;0,"R6release","")</f>
        <v/>
      </c>
      <c r="G300" s="7"/>
      <c r="H300" s="7" t="str">
        <f>VLOOKUP(B300,[1]characters!$A:$C,3,FALSE)</f>
        <v>蝉丸</v>
      </c>
      <c r="I300" s="7" t="str">
        <f>VLOOKUP(B300,[1]characters!$A:$J,10,FALSE)</f>
        <v>PremiumS</v>
      </c>
      <c r="J300" s="7">
        <f>VLOOKUP(B300,[1]characters!$A:$I,9,FALSE)</f>
        <v>4</v>
      </c>
      <c r="K300" s="7" t="str">
        <f>VLOOKUP(B300,[1]characters!$A:$H,8,FALSE)</f>
        <v>red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IFERROR(VLOOKUP(B300,input_429011!L:R,7,FALSE),VLOOKUP(tables_429011!C300,input_429011!A:H,8,FALSE))</f>
        <v>1050510</v>
      </c>
      <c r="P300" s="46">
        <f t="shared" ca="1" si="13"/>
        <v>1.0126373626373626E-2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input_429011!A$2</f>
        <v>429011</v>
      </c>
      <c r="B301" s="5">
        <v>1027</v>
      </c>
      <c r="C301" s="7" t="str">
        <f t="shared" si="12"/>
        <v>Premium5R3less</v>
      </c>
      <c r="D301" s="7" t="str">
        <f t="shared" si="14"/>
        <v>Premium</v>
      </c>
      <c r="E301" s="7" t="str">
        <f>IF(COUNTIF('R6追加前'!A:A,B301)=0,IF(OR(I301="PremiumSS",I301="PremiumSSw"),"R5only","R3less"),"")</f>
        <v>R3less</v>
      </c>
      <c r="F301" s="7" t="str">
        <f>IF(COUNTIF('R6開放'!A:A,B301)&gt;0,"R6release","")</f>
        <v/>
      </c>
      <c r="G301" s="7"/>
      <c r="H301" s="7" t="str">
        <f>VLOOKUP(B301,[1]characters!$A:$C,3,FALSE)</f>
        <v>弾丸多重奏 蝉丸</v>
      </c>
      <c r="I301" s="7" t="str">
        <f>VLOOKUP(B301,[1]characters!$A:$J,10,FALSE)</f>
        <v>PremiumS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attack</v>
      </c>
      <c r="M301" s="7" t="str">
        <f>VLOOKUP(B301,[1]characters!$A:$M,13,FALSE)</f>
        <v>human</v>
      </c>
      <c r="N301" s="7" t="str">
        <f>VLOOKUP(B301,[1]characters!$A:$G,7,FALSE)</f>
        <v>男性</v>
      </c>
      <c r="O301" s="45">
        <f ca="1">IFERROR(VLOOKUP(B301,input_429011!L:R,7,FALSE),VLOOKUP(tables_429011!C301,input_429011!A:H,8,FALSE))</f>
        <v>55290</v>
      </c>
      <c r="P301" s="46">
        <f t="shared" ca="1" si="13"/>
        <v>5.3296703296703293E-4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input_429011!A$2</f>
        <v>429011</v>
      </c>
      <c r="B302" s="5">
        <v>1028</v>
      </c>
      <c r="C302" s="7" t="str">
        <f t="shared" si="12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牛若丸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balance</v>
      </c>
      <c r="M302" s="7" t="str">
        <f>VLOOKUP(B302,[1]characters!$A:$M,13,FALSE)</f>
        <v>human</v>
      </c>
      <c r="N302" s="7" t="str">
        <f>VLOOKUP(B302,[1]characters!$A:$G,7,FALSE)</f>
        <v>男性</v>
      </c>
      <c r="O302" s="45">
        <f ca="1">IFERROR(VLOOKUP(B302,input_429011!L:R,7,FALSE),VLOOKUP(tables_429011!C302,input_429011!A:H,8,FALSE))</f>
        <v>54600</v>
      </c>
      <c r="P302" s="46">
        <f t="shared" ca="1" si="13"/>
        <v>5.263157894736842E-4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input_429011!A$2</f>
        <v>429011</v>
      </c>
      <c r="B303" s="5">
        <v>1031</v>
      </c>
      <c r="C303" s="7" t="str">
        <f t="shared" si="12"/>
        <v>PremiumSS5R5only</v>
      </c>
      <c r="D303" s="7" t="str">
        <f t="shared" si="14"/>
        <v>PremiumSS</v>
      </c>
      <c r="E303" s="7" t="str">
        <f>IF(COUNTIF('R6追加前'!A:A,B303)=0,IF(OR(I303="PremiumSS",I303="PremiumSSw"),"R5only","R3less"),"")</f>
        <v>R5only</v>
      </c>
      <c r="F303" s="7" t="str">
        <f>IF(COUNTIF('R6開放'!A:A,B303)&gt;0,"R6release","")</f>
        <v/>
      </c>
      <c r="G303" s="7"/>
      <c r="H303" s="7" t="str">
        <f>VLOOKUP(B303,[1]characters!$A:$C,3,FALSE)</f>
        <v>紫式部</v>
      </c>
      <c r="I303" s="7" t="str">
        <f>VLOOKUP(B303,[1]characters!$A:$J,10,FALSE)</f>
        <v>PremiumSS</v>
      </c>
      <c r="J303" s="7">
        <f>VLOOKUP(B303,[1]characters!$A:$I,9,FALSE)</f>
        <v>5</v>
      </c>
      <c r="K303" s="7" t="str">
        <f>VLOOKUP(B303,[1]characters!$A:$H,8,FALSE)</f>
        <v>blue</v>
      </c>
      <c r="L303" s="7" t="str">
        <f>VLOOKUP(B303,[1]characters!$A:$K,11,FALSE)</f>
        <v>technical</v>
      </c>
      <c r="M303" s="7" t="str">
        <f>VLOOKUP(B303,[1]characters!$A:$M,13,FALSE)</f>
        <v>human</v>
      </c>
      <c r="N303" s="7" t="str">
        <f>VLOOKUP(B303,[1]characters!$A:$G,7,FALSE)</f>
        <v>男性</v>
      </c>
      <c r="O303" s="45">
        <f ca="1">IFERROR(VLOOKUP(B303,input_429011!L:R,7,FALSE),VLOOKUP(tables_429011!C303,input_429011!A:H,8,FALSE))</f>
        <v>54600</v>
      </c>
      <c r="P303" s="46">
        <f t="shared" ca="1" si="13"/>
        <v>5.263157894736842E-4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input_429011!A$2</f>
        <v>429011</v>
      </c>
      <c r="B304" s="5">
        <v>1033</v>
      </c>
      <c r="C304" s="7" t="str">
        <f t="shared" si="12"/>
        <v>PremiumSS5R5only</v>
      </c>
      <c r="D304" s="7" t="str">
        <f t="shared" si="14"/>
        <v>PremiumSS</v>
      </c>
      <c r="E304" s="7" t="str">
        <f>IF(COUNTIF('R6追加前'!A:A,B304)=0,IF(OR(I304="PremiumSS",I304="PremiumSSw"),"R5only","R3less"),"")</f>
        <v>R5only</v>
      </c>
      <c r="F304" s="7" t="str">
        <f>IF(COUNTIF('R6開放'!A:A,B304)&gt;0,"R6release","")</f>
        <v/>
      </c>
      <c r="G304" s="7"/>
      <c r="H304" s="7" t="str">
        <f>VLOOKUP(B304,[1]characters!$A:$C,3,FALSE)</f>
        <v>清少納言</v>
      </c>
      <c r="I304" s="7" t="str">
        <f>VLOOKUP(B304,[1]characters!$A:$J,10,FALSE)</f>
        <v>PremiumSS</v>
      </c>
      <c r="J304" s="7">
        <f>VLOOKUP(B304,[1]characters!$A:$I,9,FALSE)</f>
        <v>5</v>
      </c>
      <c r="K304" s="7" t="str">
        <f>VLOOKUP(B304,[1]characters!$A:$H,8,FALSE)</f>
        <v>yellow</v>
      </c>
      <c r="L304" s="7" t="str">
        <f>VLOOKUP(B304,[1]characters!$A:$K,11,FALSE)</f>
        <v>heal</v>
      </c>
      <c r="M304" s="7" t="str">
        <f>VLOOKUP(B304,[1]characters!$A:$M,13,FALSE)</f>
        <v>human</v>
      </c>
      <c r="N304" s="7" t="str">
        <f>VLOOKUP(B304,[1]characters!$A:$G,7,FALSE)</f>
        <v>男性</v>
      </c>
      <c r="O304" s="45">
        <f ca="1">IFERROR(VLOOKUP(B304,input_429011!L:R,7,FALSE),VLOOKUP(tables_429011!C304,input_429011!A:H,8,FALSE))</f>
        <v>54600</v>
      </c>
      <c r="P304" s="46">
        <f t="shared" ca="1" si="13"/>
        <v>5.263157894736842E-4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input_429011!A$2</f>
        <v>429011</v>
      </c>
      <c r="B305" s="5">
        <v>1067</v>
      </c>
      <c r="C305" s="7" t="str">
        <f t="shared" ref="C305:C309" si="15">D305&amp;J305&amp;E305&amp;F305&amp;G305</f>
        <v>Premium4R3less</v>
      </c>
      <c r="D305" s="7" t="str">
        <f t="shared" si="14"/>
        <v>Premium</v>
      </c>
      <c r="E305" s="7" t="str">
        <f>IF(COUNTIF('R6追加前'!A:A,B305)=0,IF(OR(I305="PremiumSS",I305="PremiumSSw"),"R5only","R3less"),"")</f>
        <v>R3less</v>
      </c>
      <c r="F305" s="7" t="str">
        <f>IF(COUNTIF('R6開放'!A:A,B305)&gt;0,"R6release","")</f>
        <v/>
      </c>
      <c r="G305" s="7"/>
      <c r="H305" s="7" t="str">
        <f>VLOOKUP(B305,[1]characters!$A:$C,3,FALSE)</f>
        <v>ウシュムガル</v>
      </c>
      <c r="I305" s="7" t="str">
        <f>VLOOKUP(B305,[1]characters!$A:$J,10,FALSE)</f>
        <v>PremiumS</v>
      </c>
      <c r="J305" s="7">
        <f>VLOOKUP(B305,[1]characters!$A:$I,9,FALSE)</f>
        <v>4</v>
      </c>
      <c r="K305" s="7" t="str">
        <f>VLOOKUP(B305,[1]characters!$A:$H,8,FALSE)</f>
        <v>red</v>
      </c>
      <c r="L305" s="7" t="str">
        <f>VLOOKUP(B305,[1]characters!$A:$K,11,FALSE)</f>
        <v>balance</v>
      </c>
      <c r="M305" s="7" t="str">
        <f>VLOOKUP(B305,[1]characters!$A:$M,13,FALSE)</f>
        <v>dragon</v>
      </c>
      <c r="N305" s="7" t="str">
        <f>VLOOKUP(B305,[1]characters!$A:$G,7,FALSE)</f>
        <v>男性</v>
      </c>
      <c r="O305" s="45">
        <f ca="1">IFERROR(VLOOKUP(B305,input_429011!L:R,7,FALSE),VLOOKUP(tables_429011!C305,input_429011!A:H,8,FALSE))</f>
        <v>1050510</v>
      </c>
      <c r="P305" s="46">
        <f t="shared" ref="P305:P309" ca="1" si="16">O305/SUM(O:O)</f>
        <v>1.0126373626373626E-2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input_429011!A$2</f>
        <v>429011</v>
      </c>
      <c r="B306" s="5">
        <v>1068</v>
      </c>
      <c r="C306" s="7" t="str">
        <f t="shared" si="15"/>
        <v>Premium5R3less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想母の羽龍 ウシュムガル</v>
      </c>
      <c r="I306" s="7" t="str">
        <f>VLOOKUP(B306,[1]characters!$A:$J,10,FALSE)</f>
        <v>PremiumS</v>
      </c>
      <c r="J306" s="7">
        <f>VLOOKUP(B306,[1]characters!$A:$I,9,FALSE)</f>
        <v>5</v>
      </c>
      <c r="K306" s="7" t="str">
        <f>VLOOKUP(B306,[1]characters!$A:$H,8,FALSE)</f>
        <v>red</v>
      </c>
      <c r="L306" s="7" t="str">
        <f>VLOOKUP(B306,[1]characters!$A:$K,11,FALSE)</f>
        <v>balance</v>
      </c>
      <c r="M306" s="7" t="str">
        <f>VLOOKUP(B306,[1]characters!$A:$M,13,FALSE)</f>
        <v>dragon</v>
      </c>
      <c r="N306" s="7" t="str">
        <f>VLOOKUP(B306,[1]characters!$A:$G,7,FALSE)</f>
        <v>男性</v>
      </c>
      <c r="O306" s="45">
        <f ca="1">IFERROR(VLOOKUP(B306,input_429011!L:R,7,FALSE),VLOOKUP(tables_429011!C306,input_429011!A:H,8,FALSE))</f>
        <v>55290</v>
      </c>
      <c r="P306" s="46">
        <f t="shared" ca="1" si="16"/>
        <v>5.3296703296703293E-4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input_429011!A$2</f>
        <v>429011</v>
      </c>
      <c r="B307" s="5">
        <v>1069</v>
      </c>
      <c r="C307" s="7" t="str">
        <f t="shared" si="15"/>
        <v>PremiumSS5R5only</v>
      </c>
      <c r="D307" s="7" t="str">
        <f t="shared" si="14"/>
        <v>PremiumSS</v>
      </c>
      <c r="E307" s="7" t="str">
        <f>IF(COUNTIF('R6追加前'!A:A,B307)=0,IF(OR(I307="PremiumSS",I307="PremiumSSw"),"R5only","R3less"),"")</f>
        <v>R5only</v>
      </c>
      <c r="F307" s="7" t="str">
        <f>IF(COUNTIF('R6開放'!A:A,B307)&gt;0,"R6release","")</f>
        <v/>
      </c>
      <c r="G307" s="7"/>
      <c r="H307" s="7" t="str">
        <f>VLOOKUP(B307,[1]characters!$A:$C,3,FALSE)</f>
        <v>イシュタル</v>
      </c>
      <c r="I307" s="7" t="str">
        <f>VLOOKUP(B307,[1]characters!$A:$J,10,FALSE)</f>
        <v>PremiumSS</v>
      </c>
      <c r="J307" s="7">
        <f>VLOOKUP(B307,[1]characters!$A:$I,9,FALSE)</f>
        <v>5</v>
      </c>
      <c r="K307" s="7" t="str">
        <f>VLOOKUP(B307,[1]characters!$A:$H,8,FALSE)</f>
        <v>green</v>
      </c>
      <c r="L307" s="7" t="str">
        <f>VLOOKUP(B307,[1]characters!$A:$K,11,FALSE)</f>
        <v>technical</v>
      </c>
      <c r="M307" s="7" t="str">
        <f>VLOOKUP(B307,[1]characters!$A:$M,13,FALSE)</f>
        <v>god</v>
      </c>
      <c r="N307" s="7" t="str">
        <f>VLOOKUP(B307,[1]characters!$A:$G,7,FALSE)</f>
        <v>男性</v>
      </c>
      <c r="O307" s="45">
        <f ca="1">IFERROR(VLOOKUP(B307,input_429011!L:R,7,FALSE),VLOOKUP(tables_429011!C307,input_429011!A:H,8,FALSE))</f>
        <v>54600</v>
      </c>
      <c r="P307" s="46">
        <f t="shared" ca="1" si="16"/>
        <v>5.263157894736842E-4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input_429011!A$2</f>
        <v>429011</v>
      </c>
      <c r="B308" s="5">
        <v>1072</v>
      </c>
      <c r="C308" s="7" t="str">
        <f t="shared" si="15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エンキドゥ</v>
      </c>
      <c r="I308" s="7" t="str">
        <f>VLOOKUP(B308,[1]characters!$A:$J,10,FALSE)</f>
        <v>PremiumSSw</v>
      </c>
      <c r="J308" s="7">
        <f>VLOOKUP(B308,[1]characters!$A:$I,9,FALSE)</f>
        <v>5</v>
      </c>
      <c r="K308" s="7" t="str">
        <f>VLOOKUP(B308,[1]characters!$A:$H,8,FALSE)</f>
        <v>blue</v>
      </c>
      <c r="L308" s="7" t="str">
        <f>VLOOKUP(B308,[1]characters!$A:$K,11,FALSE)</f>
        <v>attack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IFERROR(VLOOKUP(B308,input_429011!L:R,7,FALSE),VLOOKUP(tables_429011!C308,input_429011!A:H,8,FALSE))</f>
        <v>54600</v>
      </c>
      <c r="P308" s="46">
        <f t="shared" ca="1" si="16"/>
        <v>5.263157894736842E-4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input_429011!A$2</f>
        <v>429011</v>
      </c>
      <c r="B309" s="5">
        <v>1074</v>
      </c>
      <c r="C309" s="7" t="str">
        <f t="shared" si="15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マルドゥク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yellow</v>
      </c>
      <c r="L309" s="7" t="str">
        <f>VLOOKUP(B309,[1]characters!$A:$K,11,FALSE)</f>
        <v>technical</v>
      </c>
      <c r="M309" s="7" t="str">
        <f>VLOOKUP(B309,[1]characters!$A:$M,13,FALSE)</f>
        <v>god</v>
      </c>
      <c r="N309" s="7" t="str">
        <f>VLOOKUP(B309,[1]characters!$A:$G,7,FALSE)</f>
        <v>男性</v>
      </c>
      <c r="O309" s="45">
        <f ca="1">IFERROR(VLOOKUP(B309,input_429011!L:R,7,FALSE),VLOOKUP(tables_429011!C309,input_429011!A:H,8,FALSE))</f>
        <v>54600</v>
      </c>
      <c r="P309" s="46">
        <f t="shared" ca="1" si="16"/>
        <v>5.263157894736842E-4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input_429011!A$2</f>
        <v>429011</v>
      </c>
      <c r="B310" s="5">
        <v>1104</v>
      </c>
      <c r="C310" s="7" t="str">
        <f t="shared" ref="C310:C314" si="17">D310&amp;J310&amp;E310&amp;F310&amp;G310</f>
        <v>Premium4R3less</v>
      </c>
      <c r="D310" s="7" t="str">
        <f t="shared" ref="D310:D314" si="18">IF(OR(I310="PremiumSS",I310="PremiumSSw"),"PremiumSS",IF(I310="PremiumSSS",I310,IF(I310="PremiumW",I310,"Premium")))</f>
        <v>Premium</v>
      </c>
      <c r="E310" s="7" t="str">
        <f>IF(COUNTIF('R6追加前'!A:A,B310)=0,IF(OR(I310="PremiumSS",I310="PremiumSSw"),"R5only","R3less"),"")</f>
        <v>R3less</v>
      </c>
      <c r="F310" s="7" t="str">
        <f>IF(COUNTIF('R6開放'!A:A,B310)&gt;0,"R6release","")</f>
        <v/>
      </c>
      <c r="G310" s="7"/>
      <c r="H310" s="7" t="str">
        <f>VLOOKUP(B310,[1]characters!$A:$C,3,FALSE)</f>
        <v>クリムト</v>
      </c>
      <c r="I310" s="7" t="str">
        <f>VLOOKUP(B310,[1]characters!$A:$J,10,FALSE)</f>
        <v>PremiumS</v>
      </c>
      <c r="J310" s="7">
        <f>VLOOKUP(B310,[1]characters!$A:$I,9,FALSE)</f>
        <v>4</v>
      </c>
      <c r="K310" s="7" t="str">
        <f>VLOOKUP(B310,[1]characters!$A:$H,8,FALSE)</f>
        <v>blue</v>
      </c>
      <c r="L310" s="7" t="str">
        <f>VLOOKUP(B310,[1]characters!$A:$K,11,FALSE)</f>
        <v>technical</v>
      </c>
      <c r="M310" s="7" t="str">
        <f>VLOOKUP(B310,[1]characters!$A:$M,13,FALSE)</f>
        <v>human</v>
      </c>
      <c r="N310" s="7" t="str">
        <f>VLOOKUP(B310,[1]characters!$A:$G,7,FALSE)</f>
        <v>不明</v>
      </c>
      <c r="O310" s="45">
        <f ca="1">IFERROR(VLOOKUP(B310,input_429011!L:R,7,FALSE),VLOOKUP(tables_429011!C310,input_429011!A:H,8,FALSE))</f>
        <v>1050510</v>
      </c>
      <c r="P310" s="46">
        <f t="shared" ref="P310:P314" ca="1" si="19">O310/SUM(O:O)</f>
        <v>1.0126373626373626E-2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input_429011!A$2</f>
        <v>429011</v>
      </c>
      <c r="B311" s="5">
        <v>1105</v>
      </c>
      <c r="C311" s="7" t="str">
        <f t="shared" si="17"/>
        <v>Premium5R3less</v>
      </c>
      <c r="D311" s="7" t="str">
        <f t="shared" si="18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甘美なる背徳 クリムト</v>
      </c>
      <c r="I311" s="7" t="str">
        <f>VLOOKUP(B311,[1]characters!$A:$J,10,FALSE)</f>
        <v>PremiumS</v>
      </c>
      <c r="J311" s="7">
        <f>VLOOKUP(B311,[1]characters!$A:$I,9,FALSE)</f>
        <v>5</v>
      </c>
      <c r="K311" s="7" t="str">
        <f>VLOOKUP(B311,[1]characters!$A:$H,8,FALSE)</f>
        <v>blue</v>
      </c>
      <c r="L311" s="7" t="str">
        <f>VLOOKUP(B311,[1]characters!$A:$K,11,FALSE)</f>
        <v>technical</v>
      </c>
      <c r="M311" s="7" t="str">
        <f>VLOOKUP(B311,[1]characters!$A:$M,13,FALSE)</f>
        <v>human</v>
      </c>
      <c r="N311" s="7" t="str">
        <f>VLOOKUP(B311,[1]characters!$A:$G,7,FALSE)</f>
        <v>不明</v>
      </c>
      <c r="O311" s="45">
        <f ca="1">IFERROR(VLOOKUP(B311,input_429011!L:R,7,FALSE),VLOOKUP(tables_429011!C311,input_429011!A:H,8,FALSE))</f>
        <v>55290</v>
      </c>
      <c r="P311" s="46">
        <f t="shared" ca="1" si="19"/>
        <v>5.3296703296703293E-4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input_429011!A$2</f>
        <v>429011</v>
      </c>
      <c r="B312" s="5">
        <v>1106</v>
      </c>
      <c r="C312" s="7" t="str">
        <f t="shared" si="17"/>
        <v>PremiumSS5R5only</v>
      </c>
      <c r="D312" s="7" t="str">
        <f t="shared" si="18"/>
        <v>PremiumSS</v>
      </c>
      <c r="E312" s="7" t="str">
        <f>IF(COUNTIF('R6追加前'!A:A,B312)=0,IF(OR(I312="PremiumSS",I312="PremiumSSw"),"R5only","R3less"),"")</f>
        <v>R5only</v>
      </c>
      <c r="F312" s="7" t="str">
        <f>IF(COUNTIF('R6開放'!A:A,B312)&gt;0,"R6release","")</f>
        <v/>
      </c>
      <c r="G312" s="7"/>
      <c r="H312" s="7" t="str">
        <f>VLOOKUP(B312,[1]characters!$A:$C,3,FALSE)</f>
        <v>ラファエロ</v>
      </c>
      <c r="I312" s="7" t="str">
        <f>VLOOKUP(B312,[1]characters!$A:$J,10,FALSE)</f>
        <v>PremiumSS</v>
      </c>
      <c r="J312" s="7">
        <f>VLOOKUP(B312,[1]characters!$A:$I,9,FALSE)</f>
        <v>5</v>
      </c>
      <c r="K312" s="7" t="str">
        <f>VLOOKUP(B312,[1]characters!$A:$H,8,FALSE)</f>
        <v>yellow</v>
      </c>
      <c r="L312" s="7" t="str">
        <f>VLOOKUP(B312,[1]characters!$A:$K,11,FALSE)</f>
        <v>attack</v>
      </c>
      <c r="M312" s="7" t="str">
        <f>VLOOKUP(B312,[1]characters!$A:$M,13,FALSE)</f>
        <v>human</v>
      </c>
      <c r="N312" s="7" t="str">
        <f>VLOOKUP(B312,[1]characters!$A:$G,7,FALSE)</f>
        <v>不明</v>
      </c>
      <c r="O312" s="45">
        <f ca="1">IFERROR(VLOOKUP(B312,input_429011!L:R,7,FALSE),VLOOKUP(tables_429011!C312,input_429011!A:H,8,FALSE))</f>
        <v>54600</v>
      </c>
      <c r="P312" s="46">
        <f t="shared" ca="1" si="19"/>
        <v>5.263157894736842E-4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input_429011!A$2</f>
        <v>429011</v>
      </c>
      <c r="B313" s="5">
        <v>1102</v>
      </c>
      <c r="C313" s="7" t="str">
        <f t="shared" si="17"/>
        <v>PremiumSS5R5only</v>
      </c>
      <c r="D313" s="7" t="str">
        <f t="shared" si="18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ドガ</v>
      </c>
      <c r="I313" s="7" t="str">
        <f>VLOOKUP(B313,[1]characters!$A:$J,10,FALSE)</f>
        <v>PremiumSSW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balance</v>
      </c>
      <c r="M313" s="7" t="str">
        <f>VLOOKUP(B313,[1]characters!$A:$M,13,FALSE)</f>
        <v>animal</v>
      </c>
      <c r="N313" s="7" t="str">
        <f>VLOOKUP(B313,[1]characters!$A:$G,7,FALSE)</f>
        <v>不明</v>
      </c>
      <c r="O313" s="45">
        <f ca="1">IFERROR(VLOOKUP(B313,input_429011!L:R,7,FALSE),VLOOKUP(tables_429011!C313,input_429011!A:H,8,FALSE))</f>
        <v>54600</v>
      </c>
      <c r="P313" s="46">
        <f t="shared" ca="1" si="19"/>
        <v>5.263157894736842E-4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input_429011!A$2</f>
        <v>429011</v>
      </c>
      <c r="B314" s="5">
        <v>1100</v>
      </c>
      <c r="C314" s="7" t="str">
        <f t="shared" si="17"/>
        <v>PremiumSS5R5only</v>
      </c>
      <c r="D314" s="7" t="str">
        <f t="shared" si="18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北斎</v>
      </c>
      <c r="I314" s="7" t="str">
        <f>VLOOKUP(B314,[1]characters!$A:$J,10,FALSE)</f>
        <v>PremiumSS</v>
      </c>
      <c r="J314" s="7">
        <f>VLOOKUP(B314,[1]characters!$A:$I,9,FALSE)</f>
        <v>5</v>
      </c>
      <c r="K314" s="7" t="str">
        <f>VLOOKUP(B314,[1]characters!$A:$H,8,FALSE)</f>
        <v>red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不明</v>
      </c>
      <c r="O314" s="45">
        <f ca="1">IFERROR(VLOOKUP(B314,input_429011!L:R,7,FALSE),VLOOKUP(tables_429011!C314,input_429011!A:H,8,FALSE))</f>
        <v>54600</v>
      </c>
      <c r="P314" s="46">
        <f t="shared" ca="1" si="19"/>
        <v>5.263157894736842E-4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input_429011!A$2</f>
        <v>429011</v>
      </c>
      <c r="B315" s="5">
        <v>1137</v>
      </c>
      <c r="C315" s="7" t="str">
        <f t="shared" ref="C315:C319" si="20">D315&amp;J315&amp;E315&amp;F315&amp;G315</f>
        <v>PremiumSS5R5only</v>
      </c>
      <c r="D315" s="7" t="str">
        <f t="shared" ref="D315:D319" si="21">IF(OR(I315="PremiumSS",I315="PremiumSSw"),"PremiumSS",IF(I315="PremiumSSS",I315,IF(I315="PremiumW",I315,"Premium")))</f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諸葛亮</v>
      </c>
      <c r="I315" s="7" t="str">
        <f>VLOOKUP(B315,[1]characters!$A:$J,10,FALSE)</f>
        <v>PremiumSSW</v>
      </c>
      <c r="J315" s="7">
        <f>VLOOKUP(B315,[1]characters!$A:$I,9,FALSE)</f>
        <v>5</v>
      </c>
      <c r="K315" s="7" t="str">
        <f>VLOOKUP(B315,[1]characters!$A:$H,8,FALSE)</f>
        <v>red</v>
      </c>
      <c r="L315" s="7" t="str">
        <f>VLOOKUP(B315,[1]characters!$A:$K,11,FALSE)</f>
        <v>technical</v>
      </c>
      <c r="M315" s="7" t="str">
        <f>VLOOKUP(B315,[1]characters!$A:$M,13,FALSE)</f>
        <v>samurai</v>
      </c>
      <c r="N315" s="7" t="str">
        <f>VLOOKUP(B315,[1]characters!$A:$G,7,FALSE)</f>
        <v>不明</v>
      </c>
      <c r="O315" s="45">
        <f ca="1">IFERROR(VLOOKUP(B315,input_429011!L:R,7,FALSE),VLOOKUP(tables_429011!C315,input_429011!A:H,8,FALSE))</f>
        <v>54600</v>
      </c>
      <c r="P315" s="46">
        <f t="shared" ref="P315:P319" ca="1" si="22">O315/SUM(O:O)</f>
        <v>5.263157894736842E-4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input_429011!A$2</f>
        <v>429011</v>
      </c>
      <c r="B316" s="5">
        <v>1139</v>
      </c>
      <c r="C316" s="7" t="str">
        <f t="shared" si="20"/>
        <v>PremiumSS5R5only</v>
      </c>
      <c r="D316" s="7" t="str">
        <f t="shared" si="21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趙雲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green</v>
      </c>
      <c r="L316" s="7" t="str">
        <f>VLOOKUP(B316,[1]characters!$A:$K,11,FALSE)</f>
        <v>balance</v>
      </c>
      <c r="M316" s="7" t="str">
        <f>VLOOKUP(B316,[1]characters!$A:$M,13,FALSE)</f>
        <v>samurai</v>
      </c>
      <c r="N316" s="7" t="str">
        <f>VLOOKUP(B316,[1]characters!$A:$G,7,FALSE)</f>
        <v>不明</v>
      </c>
      <c r="O316" s="45">
        <f ca="1">IFERROR(VLOOKUP(B316,input_429011!L:R,7,FALSE),VLOOKUP(tables_429011!C316,input_429011!A:H,8,FALSE))</f>
        <v>54600</v>
      </c>
      <c r="P316" s="46">
        <f t="shared" ca="1" si="22"/>
        <v>5.263157894736842E-4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input_429011!A$2</f>
        <v>429011</v>
      </c>
      <c r="B317" s="5">
        <v>1141</v>
      </c>
      <c r="C317" s="7" t="str">
        <f t="shared" si="20"/>
        <v>PremiumSS5R5only</v>
      </c>
      <c r="D317" s="7" t="str">
        <f t="shared" si="21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月英</v>
      </c>
      <c r="I317" s="7" t="str">
        <f>VLOOKUP(B317,[1]characters!$A:$J,10,FALSE)</f>
        <v>PremiumSS</v>
      </c>
      <c r="J317" s="7">
        <f>VLOOKUP(B317,[1]characters!$A:$I,9,FALSE)</f>
        <v>5</v>
      </c>
      <c r="K317" s="7" t="str">
        <f>VLOOKUP(B317,[1]characters!$A:$H,8,FALSE)</f>
        <v>blue</v>
      </c>
      <c r="L317" s="7" t="str">
        <f>VLOOKUP(B317,[1]characters!$A:$K,11,FALSE)</f>
        <v>balance</v>
      </c>
      <c r="M317" s="7" t="str">
        <f>VLOOKUP(B317,[1]characters!$A:$M,13,FALSE)</f>
        <v>human</v>
      </c>
      <c r="N317" s="7" t="str">
        <f>VLOOKUP(B317,[1]characters!$A:$G,7,FALSE)</f>
        <v>不明</v>
      </c>
      <c r="O317" s="45">
        <f ca="1">IFERROR(VLOOKUP(B317,input_429011!L:R,7,FALSE),VLOOKUP(tables_429011!C317,input_429011!A:H,8,FALSE))</f>
        <v>54600</v>
      </c>
      <c r="P317" s="46">
        <f t="shared" ca="1" si="22"/>
        <v>5.263157894736842E-4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input_429011!A$2</f>
        <v>429011</v>
      </c>
      <c r="B318" s="5">
        <v>1143</v>
      </c>
      <c r="C318" s="7" t="str">
        <f t="shared" si="20"/>
        <v>Premium4R3less</v>
      </c>
      <c r="D318" s="7" t="str">
        <f t="shared" si="21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黄忠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yellow</v>
      </c>
      <c r="L318" s="7" t="str">
        <f>VLOOKUP(B318,[1]characters!$A:$K,11,FALSE)</f>
        <v>technical</v>
      </c>
      <c r="M318" s="7" t="str">
        <f>VLOOKUP(B318,[1]characters!$A:$M,13,FALSE)</f>
        <v>samurai</v>
      </c>
      <c r="N318" s="7" t="str">
        <f>VLOOKUP(B318,[1]characters!$A:$G,7,FALSE)</f>
        <v>不明</v>
      </c>
      <c r="O318" s="45">
        <f ca="1">IFERROR(VLOOKUP(B318,input_429011!L:R,7,FALSE),VLOOKUP(tables_429011!C318,input_429011!A:H,8,FALSE))</f>
        <v>1050510</v>
      </c>
      <c r="P318" s="46">
        <f t="shared" ca="1" si="22"/>
        <v>1.0126373626373626E-2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input_429011!A$2</f>
        <v>429011</v>
      </c>
      <c r="B319" s="5">
        <v>1144</v>
      </c>
      <c r="C319" s="7" t="str">
        <f t="shared" si="20"/>
        <v>Premium5R3less</v>
      </c>
      <c r="D319" s="7" t="str">
        <f t="shared" si="21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白星を射る老将 黄忠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yellow</v>
      </c>
      <c r="L319" s="7" t="str">
        <f>VLOOKUP(B319,[1]characters!$A:$K,11,FALSE)</f>
        <v>technical</v>
      </c>
      <c r="M319" s="7" t="str">
        <f>VLOOKUP(B319,[1]characters!$A:$M,13,FALSE)</f>
        <v>samurai</v>
      </c>
      <c r="N319" s="7" t="str">
        <f>VLOOKUP(B319,[1]characters!$A:$G,7,FALSE)</f>
        <v>不明</v>
      </c>
      <c r="O319" s="45">
        <f ca="1">IFERROR(VLOOKUP(B319,input_429011!L:R,7,FALSE),VLOOKUP(tables_429011!C319,input_429011!A:H,8,FALSE))</f>
        <v>55290</v>
      </c>
      <c r="P319" s="46">
        <f t="shared" ca="1" si="22"/>
        <v>5.3296703296703293E-4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input_429011!A$2</f>
        <v>429011</v>
      </c>
      <c r="B320" s="5">
        <v>1153</v>
      </c>
      <c r="C320" s="7" t="str">
        <f t="shared" ref="C320:C324" si="23">D320&amp;J320&amp;E320&amp;F320&amp;G320</f>
        <v>PremiumSS5R5only</v>
      </c>
      <c r="D320" s="7" t="str">
        <f t="shared" ref="D320:D324" si="24">IF(OR(I320="PremiumSS",I320="PremiumSSw"),"PremiumSS",IF(I320="PremiumSSS",I320,IF(I320="PremiumW",I320,"Premium")))</f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ラクシュミ</v>
      </c>
      <c r="I320" s="7" t="str">
        <f>VLOOKUP(B320,[1]characters!$A:$J,10,FALSE)</f>
        <v>PremiumSSW</v>
      </c>
      <c r="J320" s="7">
        <f>VLOOKUP(B320,[1]characters!$A:$I,9,FALSE)</f>
        <v>5</v>
      </c>
      <c r="K320" s="7" t="str">
        <f>VLOOKUP(B320,[1]characters!$A:$H,8,FALSE)</f>
        <v>green</v>
      </c>
      <c r="L320" s="7" t="str">
        <f>VLOOKUP(B320,[1]characters!$A:$K,11,FALSE)</f>
        <v>hp</v>
      </c>
      <c r="M320" s="7" t="str">
        <f>VLOOKUP(B320,[1]characters!$A:$M,13,FALSE)</f>
        <v>god</v>
      </c>
      <c r="N320" s="7" t="str">
        <f>VLOOKUP(B320,[1]characters!$A:$G,7,FALSE)</f>
        <v>不明</v>
      </c>
      <c r="O320" s="45">
        <f ca="1">IFERROR(VLOOKUP(B320,input_429011!L:R,7,FALSE),VLOOKUP(tables_429011!C320,input_429011!A:H,8,FALSE))</f>
        <v>54600</v>
      </c>
      <c r="P320" s="46">
        <f t="shared" ref="P320:P324" ca="1" si="25">O320/SUM(O:O)</f>
        <v>5.263157894736842E-4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input_429011!A$2</f>
        <v>429011</v>
      </c>
      <c r="B321" s="5">
        <v>1155</v>
      </c>
      <c r="C321" s="7" t="str">
        <f t="shared" si="23"/>
        <v>PremiumSS5R5only</v>
      </c>
      <c r="D321" s="7" t="str">
        <f t="shared" si="2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ドゥルガー</v>
      </c>
      <c r="I321" s="7" t="str">
        <f>VLOOKUP(B321,[1]characters!$A:$J,10,FALSE)</f>
        <v>PremiumSS</v>
      </c>
      <c r="J321" s="7">
        <f>VLOOKUP(B321,[1]characters!$A:$I,9,FALSE)</f>
        <v>5</v>
      </c>
      <c r="K321" s="7" t="str">
        <f>VLOOKUP(B321,[1]characters!$A:$H,8,FALSE)</f>
        <v>blue</v>
      </c>
      <c r="L321" s="7" t="str">
        <f>VLOOKUP(B321,[1]characters!$A:$K,11,FALSE)</f>
        <v>balance</v>
      </c>
      <c r="M321" s="7" t="str">
        <f>VLOOKUP(B321,[1]characters!$A:$M,13,FALSE)</f>
        <v>god</v>
      </c>
      <c r="N321" s="7" t="str">
        <f>VLOOKUP(B321,[1]characters!$A:$G,7,FALSE)</f>
        <v>不明</v>
      </c>
      <c r="O321" s="45">
        <f ca="1">IFERROR(VLOOKUP(B321,input_429011!L:R,7,FALSE),VLOOKUP(tables_429011!C321,input_429011!A:H,8,FALSE))</f>
        <v>54600</v>
      </c>
      <c r="P321" s="46">
        <f t="shared" ca="1" si="25"/>
        <v>5.263157894736842E-4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input_429011!A$2</f>
        <v>429011</v>
      </c>
      <c r="B322" s="5">
        <v>1157</v>
      </c>
      <c r="C322" s="7" t="str">
        <f t="shared" si="23"/>
        <v>PremiumSS5R5only</v>
      </c>
      <c r="D322" s="7" t="str">
        <f t="shared" si="2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インドラ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yellow</v>
      </c>
      <c r="L322" s="7" t="str">
        <f>VLOOKUP(B322,[1]characters!$A:$K,11,FALSE)</f>
        <v>attack</v>
      </c>
      <c r="M322" s="7" t="str">
        <f>VLOOKUP(B322,[1]characters!$A:$M,13,FALSE)</f>
        <v>god</v>
      </c>
      <c r="N322" s="7" t="str">
        <f>VLOOKUP(B322,[1]characters!$A:$G,7,FALSE)</f>
        <v>不明</v>
      </c>
      <c r="O322" s="45">
        <f ca="1">IFERROR(VLOOKUP(B322,input_429011!L:R,7,FALSE),VLOOKUP(tables_429011!C322,input_429011!A:H,8,FALSE))</f>
        <v>54600</v>
      </c>
      <c r="P322" s="46">
        <f t="shared" ca="1" si="25"/>
        <v>5.263157894736842E-4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input_429011!A$2</f>
        <v>429011</v>
      </c>
      <c r="B323" s="5">
        <v>1151</v>
      </c>
      <c r="C323" s="7" t="str">
        <f t="shared" si="23"/>
        <v>Premium4R3less</v>
      </c>
      <c r="D323" s="7" t="str">
        <f t="shared" si="24"/>
        <v>Premium</v>
      </c>
      <c r="E323" s="7" t="str">
        <f>IF(COUNTIF('R6追加前'!A:A,B323)=0,IF(OR(I323="PremiumSS",I323="PremiumSSw"),"R5only","R3less"),"")</f>
        <v>R3less</v>
      </c>
      <c r="F323" s="7" t="str">
        <f>IF(COUNTIF('R6開放'!A:A,B323)&gt;0,"R6release","")</f>
        <v/>
      </c>
      <c r="G323" s="7"/>
      <c r="H323" s="7" t="str">
        <f>VLOOKUP(B323,[1]characters!$A:$C,3,FALSE)</f>
        <v>ガネーシャ</v>
      </c>
      <c r="I323" s="7" t="str">
        <f>VLOOKUP(B323,[1]characters!$A:$J,10,FALSE)</f>
        <v>PremiumS</v>
      </c>
      <c r="J323" s="7">
        <f>VLOOKUP(B323,[1]characters!$A:$I,9,FALSE)</f>
        <v>4</v>
      </c>
      <c r="K323" s="7" t="str">
        <f>VLOOKUP(B323,[1]characters!$A:$H,8,FALSE)</f>
        <v>red</v>
      </c>
      <c r="L323" s="7" t="str">
        <f>VLOOKUP(B323,[1]characters!$A:$K,11,FALSE)</f>
        <v>heal</v>
      </c>
      <c r="M323" s="7" t="str">
        <f>VLOOKUP(B323,[1]characters!$A:$M,13,FALSE)</f>
        <v>god</v>
      </c>
      <c r="N323" s="7" t="str">
        <f>VLOOKUP(B323,[1]characters!$A:$G,7,FALSE)</f>
        <v>不明</v>
      </c>
      <c r="O323" s="45">
        <f ca="1">IFERROR(VLOOKUP(B323,input_429011!L:R,7,FALSE),VLOOKUP(tables_429011!C323,input_429011!A:H,8,FALSE))</f>
        <v>1050510</v>
      </c>
      <c r="P323" s="46">
        <f t="shared" ca="1" si="25"/>
        <v>1.0126373626373626E-2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input_429011!A$2</f>
        <v>429011</v>
      </c>
      <c r="B324" s="5">
        <v>1152</v>
      </c>
      <c r="C324" s="7" t="str">
        <f t="shared" si="23"/>
        <v>Premium5R3less</v>
      </c>
      <c r="D324" s="7" t="str">
        <f t="shared" si="24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ガネーシャ</v>
      </c>
      <c r="I324" s="7" t="str">
        <f>VLOOKUP(B324,[1]characters!$A:$J,10,FALSE)</f>
        <v>PremiumS</v>
      </c>
      <c r="J324" s="7">
        <f>VLOOKUP(B324,[1]characters!$A:$I,9,FALSE)</f>
        <v>5</v>
      </c>
      <c r="K324" s="7" t="str">
        <f>VLOOKUP(B324,[1]characters!$A:$H,8,FALSE)</f>
        <v>red</v>
      </c>
      <c r="L324" s="7" t="str">
        <f>VLOOKUP(B324,[1]characters!$A:$K,11,FALSE)</f>
        <v>heal</v>
      </c>
      <c r="M324" s="7" t="str">
        <f>VLOOKUP(B324,[1]characters!$A:$M,13,FALSE)</f>
        <v>god</v>
      </c>
      <c r="N324" s="7" t="str">
        <f>VLOOKUP(B324,[1]characters!$A:$G,7,FALSE)</f>
        <v>不明</v>
      </c>
      <c r="O324" s="45">
        <f ca="1">IFERROR(VLOOKUP(B324,input_429011!L:R,7,FALSE),VLOOKUP(tables_429011!C324,input_429011!A:H,8,FALSE))</f>
        <v>55290</v>
      </c>
      <c r="P324" s="46">
        <f t="shared" ca="1" si="25"/>
        <v>5.3296703296703293E-4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</sheetData>
  <autoFilter ref="A1:V294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theme="5"/>
  </sheetPr>
  <dimension ref="A1:V48"/>
  <sheetViews>
    <sheetView tabSelected="1" topLeftCell="A4" workbookViewId="0">
      <selection activeCell="F34" sqref="F34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429100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VLOOKUP(L3,tables_429100!B:C,2,FALSE)</f>
        <v>#N/A</v>
      </c>
      <c r="R3" s="62">
        <f t="shared" ref="R3:R20" si="1">N3*A$36</f>
        <v>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VLOOKUP(L4,tables_429100!B:C,2,FALSE)</f>
        <v>#N/A</v>
      </c>
      <c r="R4" s="62">
        <f t="shared" si="1"/>
        <v>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8.7719298245614037E-4</v>
      </c>
      <c r="F5">
        <f>(COUNTIF(tables_429100!C:C,input_429100!A28)+COUNTIF(tables_429100!C:C,input_429100!A29))</f>
        <v>57</v>
      </c>
      <c r="H5" s="84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VLOOKUP(L5,tables_429100!B:C,2,FALSE)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0.95</v>
      </c>
      <c r="D6" t="s">
        <v>202</v>
      </c>
      <c r="E6" s="76">
        <f>(B10-H6)/(F6-I6)</f>
        <v>1.0439560439560439E-2</v>
      </c>
      <c r="F6">
        <f>(COUNTIF(tables_429100!C:C,input_429100!A25)+COUNTIF(tables_429100!C:C,input_429100!A18)+COUNTIF(tables_429100!C:C,input_429100!A20)+COUNTIF(tables_429100!C:C,input_429100!A22))</f>
        <v>91</v>
      </c>
      <c r="H6" s="89">
        <v>0</v>
      </c>
      <c r="I6" s="31">
        <v>0</v>
      </c>
      <c r="L6" s="94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VLOOKUP(L6,tables_429100!B:C,2,FALSE)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0.05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VLOOKUP(L7,tables_429100!B:C,2,FALSE)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VLOOKUP(L8,tables_429100!B:C,2,FALSE)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8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VLOOKUP(L9,tables_429100!B:C,2,FALSE)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0.95</v>
      </c>
      <c r="C10" t="s">
        <v>208</v>
      </c>
      <c r="L10" s="88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VLOOKUP(L10,tables_429100!B:C,2,FALSE)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0.05</v>
      </c>
      <c r="C11" t="s">
        <v>242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VLOOKUP(L11,tables_429100!B:C,2,FALSE)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VLOOKUP(L12,tables_429100!B:C,2,FALSE)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VLOOKUP(L13,tables_429100!B:C,2,FALSE)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VLOOKUP(L14,tables_429100!B:C,2,FALSE)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VLOOKUP(L15,tables_429100!B:C,2,FALSE)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VLOOKUP(L16,tables_429100!B:C,2,FALSE)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</f>
        <v>0</v>
      </c>
      <c r="C17" s="85">
        <f t="shared" ref="C17:C31" si="2">SUMIF(Q:Q,A17,N:N)</f>
        <v>0</v>
      </c>
      <c r="D17" s="74">
        <f t="shared" ref="D17:D32" si="3">B17-C17</f>
        <v>0</v>
      </c>
      <c r="E17">
        <f>COUNTIF(tables_429100!C:C,input_429100!A17)-COUNTIF(Q:Q,A17)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VLOOKUP(L17,tables_429100!B:C,2,FALSE)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E$6*E18-B17</f>
        <v>0.20879120879120877</v>
      </c>
      <c r="C18" s="85">
        <f t="shared" si="2"/>
        <v>0</v>
      </c>
      <c r="D18" s="74">
        <f t="shared" si="3"/>
        <v>0.20879120879120877</v>
      </c>
      <c r="E18">
        <f>COUNTIF(tables_429100!C:C,input_429100!A18)-COUNTIF(Q:Q,A18)</f>
        <v>20</v>
      </c>
      <c r="F18" s="43">
        <f>IFERROR(B18/E18,0)</f>
        <v>1.0439560439560439E-2</v>
      </c>
      <c r="G18">
        <f t="shared" si="4"/>
        <v>21659999.999999996</v>
      </c>
      <c r="H18">
        <f t="shared" si="5"/>
        <v>1083000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VLOOKUP(L18,tables_429100!B:C,2,FALSE)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5">
        <f t="shared" si="2"/>
        <v>0</v>
      </c>
      <c r="D19" s="74">
        <f t="shared" si="3"/>
        <v>0</v>
      </c>
      <c r="E19">
        <f>COUNTIF(tables_429100!C:C,input_429100!A19)-COUNTIF(Q:Q,A19)</f>
        <v>52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VLOOKUP(L19,tables_429100!B:C,2,FALSE)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5">
        <f>E$6*E20*B$6+E34</f>
        <v>0.52944139194139184</v>
      </c>
      <c r="C20" s="85">
        <f t="shared" si="2"/>
        <v>0</v>
      </c>
      <c r="D20" s="74">
        <f t="shared" si="3"/>
        <v>0.52944139194139184</v>
      </c>
      <c r="E20">
        <f>COUNTIF(tables_429100!C:C,input_429100!A20)-COUNTIF(Q:Q,A20)</f>
        <v>52</v>
      </c>
      <c r="F20" s="43">
        <f t="shared" si="8"/>
        <v>1.0181565229642151E-2</v>
      </c>
      <c r="G20">
        <f t="shared" si="4"/>
        <v>54924249.999999993</v>
      </c>
      <c r="H20">
        <f t="shared" si="5"/>
        <v>1056235.5769199999</v>
      </c>
      <c r="I20">
        <f t="shared" si="6"/>
        <v>0.57691999990493059</v>
      </c>
      <c r="J20">
        <f t="shared" si="7"/>
        <v>1.7333425781127156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VLOOKUP(L20,tables_429100!B:C,2,FALSE)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</f>
        <v>1.341575091575092E-2</v>
      </c>
      <c r="C21" s="85">
        <f t="shared" si="2"/>
        <v>0</v>
      </c>
      <c r="D21" s="74">
        <f t="shared" si="3"/>
        <v>1.341575091575092E-2</v>
      </c>
      <c r="E21">
        <f>COUNTIF(tables_429100!C:C,input_429100!A21)-COUNTIF(Q:Q,A21)</f>
        <v>52</v>
      </c>
      <c r="F21" s="43">
        <f t="shared" si="8"/>
        <v>2.5799520991828692E-4</v>
      </c>
      <c r="G21">
        <f t="shared" si="4"/>
        <v>1391750.0000000005</v>
      </c>
      <c r="H21">
        <f t="shared" si="5"/>
        <v>26764.42308</v>
      </c>
      <c r="I21">
        <f t="shared" si="6"/>
        <v>0.42308000000048196</v>
      </c>
      <c r="J21">
        <f t="shared" si="7"/>
        <v>2.3636191736760441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0.14876373626373626</v>
      </c>
      <c r="C22" s="85">
        <f t="shared" si="2"/>
        <v>0</v>
      </c>
      <c r="D22" s="74">
        <f t="shared" si="3"/>
        <v>0.14876373626373626</v>
      </c>
      <c r="E22">
        <f>COUNTIF(tables_429100!C:C,input_429100!A22)-COUNTIF(Q:Q,A22)</f>
        <v>15</v>
      </c>
      <c r="F22" s="43">
        <f t="shared" si="8"/>
        <v>9.9175824175824177E-3</v>
      </c>
      <c r="G22">
        <f t="shared" si="4"/>
        <v>15432750</v>
      </c>
      <c r="H22">
        <f t="shared" si="5"/>
        <v>1028850</v>
      </c>
      <c r="I22">
        <f t="shared" si="6"/>
        <v>0</v>
      </c>
      <c r="J22">
        <f t="shared" si="7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7.8296703296703296E-3</v>
      </c>
      <c r="C23" s="85">
        <f t="shared" si="2"/>
        <v>0</v>
      </c>
      <c r="D23" s="74">
        <f t="shared" si="3"/>
        <v>7.8296703296703296E-3</v>
      </c>
      <c r="E23">
        <f>COUNTIF(tables_429100!C:C,input_429100!A23)-COUNTIF(Q:Q,A23)</f>
        <v>15</v>
      </c>
      <c r="F23" s="43">
        <f t="shared" si="8"/>
        <v>5.2197802197802192E-4</v>
      </c>
      <c r="G23">
        <f t="shared" si="4"/>
        <v>812250</v>
      </c>
      <c r="H23">
        <f t="shared" si="5"/>
        <v>54150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5">
        <f t="shared" si="2"/>
        <v>0</v>
      </c>
      <c r="D24" s="74">
        <f t="shared" si="3"/>
        <v>0</v>
      </c>
      <c r="E24">
        <f>COUNTIF(tables_429100!C:C,input_429100!A24)-COUNTIF(Q:Q,A24)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3.9670329670329664E-2</v>
      </c>
      <c r="C25" s="85">
        <f t="shared" si="2"/>
        <v>0</v>
      </c>
      <c r="D25" s="74">
        <f t="shared" si="3"/>
        <v>3.9670329670329664E-2</v>
      </c>
      <c r="E25">
        <f>COUNTIF(tables_429100!C:C,input_429100!A25)-COUNTIF(Q:Q,A25)</f>
        <v>4</v>
      </c>
      <c r="F25" s="43">
        <f t="shared" si="8"/>
        <v>9.917582417582416E-3</v>
      </c>
      <c r="G25">
        <f t="shared" si="4"/>
        <v>4115399.9999999995</v>
      </c>
      <c r="H25">
        <f t="shared" si="5"/>
        <v>1028850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2.0879120879120877E-3</v>
      </c>
      <c r="C26" s="85">
        <f t="shared" si="2"/>
        <v>0</v>
      </c>
      <c r="D26" s="74">
        <f t="shared" si="3"/>
        <v>2.0879120879120877E-3</v>
      </c>
      <c r="E26">
        <f>COUNTIF(tables_429100!C:C,input_429100!A26)-COUNTIF(Q:Q,A26)</f>
        <v>4</v>
      </c>
      <c r="F26" s="43">
        <f t="shared" si="8"/>
        <v>5.2197802197802192E-4</v>
      </c>
      <c r="G26">
        <f t="shared" si="4"/>
        <v>216599.99999999997</v>
      </c>
      <c r="H26">
        <f t="shared" si="5"/>
        <v>54150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2.3333333333333331E-2</v>
      </c>
      <c r="C27" s="85">
        <f t="shared" si="2"/>
        <v>0</v>
      </c>
      <c r="D27" s="74">
        <f t="shared" si="3"/>
        <v>2.3333333333333331E-2</v>
      </c>
      <c r="E27">
        <f>COUNTIF(tables_429100!C:C,input_429100!A27)-COUNTIF(Q:Q,A27)</f>
        <v>28</v>
      </c>
      <c r="F27" s="43">
        <f>IFERROR(B27/E27,0)</f>
        <v>8.3333333333333328E-4</v>
      </c>
      <c r="G27">
        <f t="shared" si="4"/>
        <v>2420599.9999999995</v>
      </c>
      <c r="H27">
        <f t="shared" si="5"/>
        <v>86450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1.2280701754385965E-3</v>
      </c>
      <c r="C28" s="85">
        <f t="shared" si="2"/>
        <v>0</v>
      </c>
      <c r="D28" s="74">
        <f t="shared" si="3"/>
        <v>1.2280701754385965E-3</v>
      </c>
      <c r="E28">
        <f>COUNTIF(tables_429100!C:C,input_429100!A28)-COUNTIF(Q:Q,A28)</f>
        <v>28</v>
      </c>
      <c r="F28" s="43">
        <f t="shared" si="8"/>
        <v>4.3859649122807021E-5</v>
      </c>
      <c r="G28">
        <f t="shared" si="4"/>
        <v>127400</v>
      </c>
      <c r="H28">
        <f t="shared" si="5"/>
        <v>4550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2.5438596491228069E-2</v>
      </c>
      <c r="C29" s="85">
        <f t="shared" si="2"/>
        <v>0</v>
      </c>
      <c r="D29" s="74">
        <f t="shared" si="3"/>
        <v>2.5438596491228069E-2</v>
      </c>
      <c r="E29">
        <f>COUNTIF(tables_429100!C:C,input_429100!A29)-COUNTIF(Q:Q,A29)</f>
        <v>29</v>
      </c>
      <c r="F29" s="43">
        <f t="shared" si="8"/>
        <v>8.7719298245614037E-4</v>
      </c>
      <c r="G29">
        <f t="shared" si="4"/>
        <v>2639000</v>
      </c>
      <c r="H29">
        <f t="shared" si="5"/>
        <v>91000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5">
        <f t="shared" si="2"/>
        <v>0</v>
      </c>
      <c r="D30" s="74">
        <f t="shared" si="3"/>
        <v>0</v>
      </c>
      <c r="E30">
        <f>COUNTIF(tables_429100!C:C,input_429100!A30)-COUNTIF(Q:Q,A30)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5">
        <f t="shared" si="2"/>
        <v>0</v>
      </c>
      <c r="D31" s="74">
        <f t="shared" si="3"/>
        <v>0</v>
      </c>
      <c r="E31">
        <f>COUNTIF(tables_429100!C:C,input_429100!A31)-COUNTIF(Q:Q,A31)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0.99999999999999967</v>
      </c>
      <c r="C32" s="41">
        <f>SUM(C19:C31)</f>
        <v>0</v>
      </c>
      <c r="D32" s="42">
        <f t="shared" si="3"/>
        <v>0.99999999999999967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>
        <v>1.3727106227106212E-2</v>
      </c>
    </row>
    <row r="35" spans="1:7" x14ac:dyDescent="0.15">
      <c r="A35" t="s">
        <v>73</v>
      </c>
    </row>
    <row r="36" spans="1:7" x14ac:dyDescent="0.15">
      <c r="A36" s="31">
        <f>LCM(F5-I5,F6-I6)*1000*2*2*5</f>
        <v>103740000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SUMIF(tables_429100!C:C,input_429100!A40,tables_429100!O:O)</f>
        <v>0</v>
      </c>
      <c r="C40" s="54">
        <f t="shared" ref="C40:C46" ca="1" si="9">B40/B$47</f>
        <v>0</v>
      </c>
      <c r="E40">
        <v>3</v>
      </c>
      <c r="F40">
        <f ca="1">SUMIF(tables_429100!J:J,input_429100!E40,tables_429100!O:O)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SUMIF(tables_429100!C:C,input_429100!A41,tables_429100!O:O)</f>
        <v>54924249.999840029</v>
      </c>
      <c r="C41" s="54">
        <f t="shared" ca="1" si="9"/>
        <v>0.93307029763250882</v>
      </c>
      <c r="E41">
        <v>4</v>
      </c>
      <c r="F41">
        <f ca="1">SUMIF(tables_429100!J:J,input_429100!E41,tables_429100!O:O)</f>
        <v>98552999.999840111</v>
      </c>
      <c r="G41">
        <f ca="1">F41/A36</f>
        <v>0.94999999999845874</v>
      </c>
    </row>
    <row r="42" spans="1:7" x14ac:dyDescent="0.15">
      <c r="A42" s="33" t="s">
        <v>106</v>
      </c>
      <c r="B42">
        <f ca="1">SUMIF(tables_429100!C:C,input_429100!A42,tables_429100!O:O)</f>
        <v>2420600</v>
      </c>
      <c r="C42" s="54">
        <f t="shared" ca="1" si="9"/>
        <v>4.1121908127208458E-2</v>
      </c>
      <c r="E42">
        <v>5</v>
      </c>
      <c r="F42">
        <f ca="1">SUMIF(tables_429100!J:J,input_429100!E42,tables_429100!O:O)</f>
        <v>5187000.0001600012</v>
      </c>
      <c r="G42">
        <f ca="1">F42/A36</f>
        <v>5.0000000001542332E-2</v>
      </c>
    </row>
    <row r="43" spans="1:7" x14ac:dyDescent="0.15">
      <c r="A43" s="33" t="s">
        <v>109</v>
      </c>
      <c r="B43">
        <f>SUMIF(tables_429100!C:C,input_429100!A43,tables_429100!O:O)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SUMIF(tables_429100!C:C,input_429100!A44,tables_429100!O:O)</f>
        <v>1391750.0001600005</v>
      </c>
      <c r="C44" s="54">
        <f t="shared" ca="1" si="9"/>
        <v>2.364348328621908E-2</v>
      </c>
      <c r="E44" t="s">
        <v>54</v>
      </c>
      <c r="F44" s="55"/>
    </row>
    <row r="45" spans="1:7" x14ac:dyDescent="0.15">
      <c r="A45" s="33" t="s">
        <v>107</v>
      </c>
      <c r="B45">
        <f ca="1">SUMIF(tables_429100!C:C,input_429100!A45,tables_429100!O:O)</f>
        <v>127400</v>
      </c>
      <c r="C45" s="54">
        <f t="shared" ca="1" si="9"/>
        <v>2.1643109540636033E-3</v>
      </c>
      <c r="E45" t="s">
        <v>204</v>
      </c>
      <c r="F45" s="55">
        <f ca="1">SUMIF(tables_429100!I:I,input_429100!E45,tables_429100!P:P)</f>
        <v>0.20879120879120874</v>
      </c>
    </row>
    <row r="46" spans="1:7" x14ac:dyDescent="0.15">
      <c r="A46" s="33" t="s">
        <v>108</v>
      </c>
      <c r="B46">
        <f>SUMIF(tables_429100!C:C,input_429100!A46,tables_429100!O:O)</f>
        <v>0</v>
      </c>
      <c r="C46" s="54">
        <f t="shared" ca="1" si="9"/>
        <v>0</v>
      </c>
      <c r="E46" t="s">
        <v>205</v>
      </c>
      <c r="F46" s="55">
        <f ca="1">SUMIF(tables_429100!I:I,input_429100!E46,tables_429100!P:P)</f>
        <v>0.20879120879120891</v>
      </c>
    </row>
    <row r="47" spans="1:7" x14ac:dyDescent="0.15">
      <c r="A47" s="39" t="s">
        <v>59</v>
      </c>
      <c r="B47">
        <f ca="1">SUM(B40:B46)</f>
        <v>58864000.00000003</v>
      </c>
      <c r="C47" s="55">
        <f ca="1">SUM(C40:C46)</f>
        <v>1</v>
      </c>
      <c r="E47" t="s">
        <v>206</v>
      </c>
      <c r="F47" s="55">
        <f ca="1">SUMIF(tables_429100!I:I,input_429100!E47,tables_429100!P:P)</f>
        <v>0.53241758241758264</v>
      </c>
    </row>
    <row r="48" spans="1:7" x14ac:dyDescent="0.15">
      <c r="E48" t="s">
        <v>207</v>
      </c>
      <c r="F48" s="55">
        <f ca="1">SUMIF(tables_429100!I:I,input_429100!E48,tables_429100!P:P)</f>
        <v>4.6491228070175479E-2</v>
      </c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 enableFormatConditionsCalculation="0">
    <tabColor rgb="FF0000FF"/>
    <outlinePr summaryBelow="0" summaryRight="0"/>
  </sheetPr>
  <dimension ref="A1:V324"/>
  <sheetViews>
    <sheetView showGridLines="0" zoomScale="75" zoomScaleNormal="75" zoomScalePageLayoutView="75" workbookViewId="0">
      <pane ySplit="1" topLeftCell="A287" activePane="bottomLeft" state="frozen"/>
      <selection activeCell="D34" sqref="D34"/>
      <selection pane="bottomLeft" activeCell="H331" sqref="H331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input_429100!A$2</f>
        <v>429100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IF(OR(I2="PremiumSS",I2="PremiumSSw"),"PremiumSS",IF(I2="PremiumSSS",I2,IF(I2="PremiumW",I2,"Premium")))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IFERROR(VLOOKUP(B2,input_429100!L:R,7,FALSE),VLOOKUP(tables_429100!C2,input_429100!A:H,8,FALSE))</f>
        <v>0</v>
      </c>
      <c r="P2" s="46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input_429100!A$2</f>
        <v>429100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IF(OR(I3="PremiumSS",I3="PremiumSSw"),"PremiumSS",IF(I3="PremiumSSS",I3,IF(I3="PremiumW",I3,"Premium")))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IFERROR(VLOOKUP(B3,input_429100!L:R,7,FALSE),VLOOKUP(tables_429100!C3,input_429100!A:H,8,FALSE))</f>
        <v>1083000</v>
      </c>
      <c r="P3" s="46">
        <f t="shared" ca="1" si="1"/>
        <v>1.0439560439560439E-2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input_429100!A$2</f>
        <v>429100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IFERROR(VLOOKUP(B4,input_429100!L:R,7,FALSE),VLOOKUP(tables_429100!C4,input_429100!A:H,8,FALSE))</f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input_429100!A$2</f>
        <v>429100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IFERROR(VLOOKUP(B5,input_429100!L:R,7,FALSE),VLOOKUP(tables_429100!C5,input_429100!A:H,8,FALSE))</f>
        <v>1083000</v>
      </c>
      <c r="P5" s="46">
        <f t="shared" ca="1" si="1"/>
        <v>1.0439560439560439E-2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input_429100!A$2</f>
        <v>429100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IFERROR(VLOOKUP(B6,input_429100!L:R,7,FALSE),VLOOKUP(tables_429100!C6,input_429100!A:H,8,FALSE))</f>
        <v>0</v>
      </c>
      <c r="P6" s="46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input_429100!A$2</f>
        <v>429100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IFERROR(VLOOKUP(B7,input_429100!L:R,7,FALSE),VLOOKUP(tables_429100!C7,input_429100!A:H,8,FALSE))</f>
        <v>1083000</v>
      </c>
      <c r="P7" s="46">
        <f t="shared" ca="1" si="1"/>
        <v>1.0439560439560439E-2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input_429100!A$2</f>
        <v>429100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IFERROR(VLOOKUP(B8,input_429100!L:R,7,FALSE),VLOOKUP(tables_429100!C8,input_429100!A:H,8,FALSE))</f>
        <v>0</v>
      </c>
      <c r="P8" s="46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input_429100!A$2</f>
        <v>429100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IFERROR(VLOOKUP(B9,input_429100!L:R,7,FALSE),VLOOKUP(tables_429100!C9,input_429100!A:H,8,FALSE))</f>
        <v>1083000</v>
      </c>
      <c r="P9" s="46">
        <f t="shared" ca="1" si="1"/>
        <v>1.0439560439560439E-2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input_429100!A$2</f>
        <v>429100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IFERROR(VLOOKUP(B10,input_429100!L:R,7,FALSE),VLOOKUP(tables_429100!C10,input_429100!A:H,8,FALSE))</f>
        <v>0</v>
      </c>
      <c r="P10" s="46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input_429100!A$2</f>
        <v>429100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IFERROR(VLOOKUP(B11,input_429100!L:R,7,FALSE),VLOOKUP(tables_429100!C11,input_429100!A:H,8,FALSE))</f>
        <v>1083000</v>
      </c>
      <c r="P11" s="46">
        <f t="shared" ca="1" si="1"/>
        <v>1.0439560439560439E-2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input_429100!A$2</f>
        <v>429100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IFERROR(VLOOKUP(B12,input_429100!L:R,7,FALSE),VLOOKUP(tables_429100!C12,input_429100!A:H,8,FALSE))</f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input_429100!A$2</f>
        <v>429100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IFERROR(VLOOKUP(B13,input_429100!L:R,7,FALSE),VLOOKUP(tables_429100!C13,input_429100!A:H,8,FALSE))</f>
        <v>1083000</v>
      </c>
      <c r="P13" s="46">
        <f t="shared" ca="1" si="1"/>
        <v>1.0439560439560439E-2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input_429100!A$2</f>
        <v>429100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IFERROR(VLOOKUP(B14,input_429100!L:R,7,FALSE),VLOOKUP(tables_429100!C14,input_429100!A:H,8,FALSE))</f>
        <v>0</v>
      </c>
      <c r="P14" s="46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input_429100!A$2</f>
        <v>429100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IFERROR(VLOOKUP(B15,input_429100!L:R,7,FALSE),VLOOKUP(tables_429100!C15,input_429100!A:H,8,FALSE))</f>
        <v>1083000</v>
      </c>
      <c r="P15" s="46">
        <f t="shared" ca="1" si="1"/>
        <v>1.0439560439560439E-2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input_429100!A$2</f>
        <v>429100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IFERROR(VLOOKUP(B16,input_429100!L:R,7,FALSE),VLOOKUP(tables_429100!C16,input_429100!A:H,8,FALSE))</f>
        <v>0</v>
      </c>
      <c r="P16" s="46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input_429100!A$2</f>
        <v>429100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IFERROR(VLOOKUP(B17,input_429100!L:R,7,FALSE),VLOOKUP(tables_429100!C17,input_429100!A:H,8,FALSE))</f>
        <v>1083000</v>
      </c>
      <c r="P17" s="46">
        <f t="shared" ca="1" si="1"/>
        <v>1.0439560439560439E-2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input_429100!A$2</f>
        <v>429100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IFERROR(VLOOKUP(B18,input_429100!L:R,7,FALSE),VLOOKUP(tables_429100!C18,input_429100!A:H,8,FALSE))</f>
        <v>0</v>
      </c>
      <c r="P18" s="46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input_429100!A$2</f>
        <v>429100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IFERROR(VLOOKUP(B19,input_429100!L:R,7,FALSE),VLOOKUP(tables_429100!C19,input_429100!A:H,8,FALSE))</f>
        <v>1083000</v>
      </c>
      <c r="P19" s="46">
        <f t="shared" ca="1" si="1"/>
        <v>1.0439560439560439E-2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input_429100!A$2</f>
        <v>429100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IFERROR(VLOOKUP(B20,input_429100!L:R,7,FALSE),VLOOKUP(tables_429100!C20,input_429100!A:H,8,FALSE))</f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input_429100!A$2</f>
        <v>429100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IFERROR(VLOOKUP(B21,input_429100!L:R,7,FALSE),VLOOKUP(tables_429100!C21,input_429100!A:H,8,FALSE))</f>
        <v>1083000</v>
      </c>
      <c r="P21" s="46">
        <f t="shared" ca="1" si="1"/>
        <v>1.0439560439560439E-2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input_429100!A$2</f>
        <v>429100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IFERROR(VLOOKUP(B22,input_429100!L:R,7,FALSE),VLOOKUP(tables_429100!C22,input_429100!A:H,8,FALSE))</f>
        <v>0</v>
      </c>
      <c r="P22" s="46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input_429100!A$2</f>
        <v>429100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IFERROR(VLOOKUP(B23,input_429100!L:R,7,FALSE),VLOOKUP(tables_429100!C23,input_429100!A:H,8,FALSE))</f>
        <v>1083000</v>
      </c>
      <c r="P23" s="46">
        <f t="shared" ca="1" si="1"/>
        <v>1.0439560439560439E-2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input_429100!A$2</f>
        <v>429100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IFERROR(VLOOKUP(B24,input_429100!L:R,7,FALSE),VLOOKUP(tables_429100!C24,input_429100!A:H,8,FALSE))</f>
        <v>0</v>
      </c>
      <c r="P24" s="46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input_429100!A$2</f>
        <v>429100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IFERROR(VLOOKUP(B25,input_429100!L:R,7,FALSE),VLOOKUP(tables_429100!C25,input_429100!A:H,8,FALSE))</f>
        <v>1083000</v>
      </c>
      <c r="P25" s="46">
        <f t="shared" ca="1" si="1"/>
        <v>1.0439560439560439E-2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input_429100!A$2</f>
        <v>429100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IFERROR(VLOOKUP(B26,input_429100!L:R,7,FALSE),VLOOKUP(tables_429100!C26,input_429100!A:H,8,FALSE))</f>
        <v>0</v>
      </c>
      <c r="P26" s="46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input_429100!A$2</f>
        <v>429100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IFERROR(VLOOKUP(B27,input_429100!L:R,7,FALSE),VLOOKUP(tables_429100!C27,input_429100!A:H,8,FALSE))</f>
        <v>1083000</v>
      </c>
      <c r="P27" s="46">
        <f t="shared" ca="1" si="1"/>
        <v>1.0439560439560439E-2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input_429100!A$2</f>
        <v>429100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IFERROR(VLOOKUP(B28,input_429100!L:R,7,FALSE),VLOOKUP(tables_429100!C28,input_429100!A:H,8,FALSE))</f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input_429100!A$2</f>
        <v>429100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IFERROR(VLOOKUP(B29,input_429100!L:R,7,FALSE),VLOOKUP(tables_429100!C29,input_429100!A:H,8,FALSE))</f>
        <v>1083000</v>
      </c>
      <c r="P29" s="46">
        <f t="shared" ca="1" si="1"/>
        <v>1.0439560439560439E-2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input_429100!A$2</f>
        <v>429100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IFERROR(VLOOKUP(B30,input_429100!L:R,7,FALSE),VLOOKUP(tables_429100!C30,input_429100!A:H,8,FALSE))</f>
        <v>0</v>
      </c>
      <c r="P30" s="46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input_429100!A$2</f>
        <v>429100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IFERROR(VLOOKUP(B31,input_429100!L:R,7,FALSE),VLOOKUP(tables_429100!C31,input_429100!A:H,8,FALSE))</f>
        <v>1083000</v>
      </c>
      <c r="P31" s="46">
        <f t="shared" ca="1" si="1"/>
        <v>1.0439560439560439E-2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input_429100!A$2</f>
        <v>429100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IFERROR(VLOOKUP(B32,input_429100!L:R,7,FALSE),VLOOKUP(tables_429100!C32,input_429100!A:H,8,FALSE))</f>
        <v>0</v>
      </c>
      <c r="P32" s="46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input_429100!A$2</f>
        <v>429100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IFERROR(VLOOKUP(B33,input_429100!L:R,7,FALSE),VLOOKUP(tables_429100!C33,input_429100!A:H,8,FALSE))</f>
        <v>1083000</v>
      </c>
      <c r="P33" s="46">
        <f t="shared" ca="1" si="1"/>
        <v>1.0439560439560439E-2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input_429100!A$2</f>
        <v>429100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IFERROR(VLOOKUP(B34,input_429100!L:R,7,FALSE),VLOOKUP(tables_429100!C34,input_429100!A:H,8,FALSE))</f>
        <v>0</v>
      </c>
      <c r="P34" s="46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input_429100!A$2</f>
        <v>429100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IFERROR(VLOOKUP(B35,input_429100!L:R,7,FALSE),VLOOKUP(tables_429100!C35,input_429100!A:H,8,FALSE))</f>
        <v>1083000</v>
      </c>
      <c r="P35" s="46">
        <f t="shared" ca="1" si="1"/>
        <v>1.0439560439560439E-2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input_429100!A$2</f>
        <v>429100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IFERROR(VLOOKUP(B36,input_429100!L:R,7,FALSE),VLOOKUP(tables_429100!C36,input_429100!A:H,8,FALSE))</f>
        <v>0</v>
      </c>
      <c r="P36" s="46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input_429100!A$2</f>
        <v>429100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IFERROR(VLOOKUP(B37,input_429100!L:R,7,FALSE),VLOOKUP(tables_429100!C37,input_429100!A:H,8,FALSE))</f>
        <v>1083000</v>
      </c>
      <c r="P37" s="46">
        <f t="shared" ca="1" si="1"/>
        <v>1.0439560439560439E-2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input_429100!A$2</f>
        <v>429100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IFERROR(VLOOKUP(B38,input_429100!L:R,7,FALSE),VLOOKUP(tables_429100!C38,input_429100!A:H,8,FALSE))</f>
        <v>0</v>
      </c>
      <c r="P38" s="46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input_429100!A$2</f>
        <v>429100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IFERROR(VLOOKUP(B39,input_429100!L:R,7,FALSE),VLOOKUP(tables_429100!C39,input_429100!A:H,8,FALSE))</f>
        <v>1083000</v>
      </c>
      <c r="P39" s="46">
        <f t="shared" ca="1" si="1"/>
        <v>1.0439560439560439E-2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input_429100!A$2</f>
        <v>429100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IFERROR(VLOOKUP(B40,input_429100!L:R,7,FALSE),VLOOKUP(tables_429100!C40,input_429100!A:H,8,FALSE))</f>
        <v>0</v>
      </c>
      <c r="P40" s="46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input_429100!A$2</f>
        <v>429100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IFERROR(VLOOKUP(B41,input_429100!L:R,7,FALSE),VLOOKUP(tables_429100!C41,input_429100!A:H,8,FALSE))</f>
        <v>1083000</v>
      </c>
      <c r="P41" s="46">
        <f t="shared" ca="1" si="1"/>
        <v>1.0439560439560439E-2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input_429100!A$2</f>
        <v>429100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IFERROR(VLOOKUP(B42,input_429100!L:R,7,FALSE),VLOOKUP(tables_429100!C42,input_429100!A:H,8,FALSE))</f>
        <v>0</v>
      </c>
      <c r="P42" s="46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input_429100!A$2</f>
        <v>429100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IFERROR(VLOOKUP(B43,input_429100!L:R,7,FALSE),VLOOKUP(tables_429100!C43,input_429100!A:H,8,FALSE))</f>
        <v>1028850</v>
      </c>
      <c r="P43" s="46">
        <f t="shared" ca="1" si="1"/>
        <v>9.9175824175824177E-3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input_429100!A$2</f>
        <v>429100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IFERROR(VLOOKUP(B44,input_429100!L:R,7,FALSE),VLOOKUP(tables_429100!C44,input_429100!A:H,8,FALSE))</f>
        <v>54150</v>
      </c>
      <c r="P44" s="46">
        <f t="shared" ca="1" si="1"/>
        <v>5.2197802197802203E-4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input_429100!A$2</f>
        <v>429100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IFERROR(VLOOKUP(B45,input_429100!L:R,7,FALSE),VLOOKUP(tables_429100!C45,input_429100!A:H,8,FALSE))</f>
        <v>0</v>
      </c>
      <c r="P45" s="46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input_429100!A$2</f>
        <v>429100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IFERROR(VLOOKUP(B46,input_429100!L:R,7,FALSE),VLOOKUP(tables_429100!C46,input_429100!A:H,8,FALSE))</f>
        <v>1028850</v>
      </c>
      <c r="P46" s="46">
        <f t="shared" ca="1" si="1"/>
        <v>9.9175824175824177E-3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input_429100!A$2</f>
        <v>429100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IFERROR(VLOOKUP(B47,input_429100!L:R,7,FALSE),VLOOKUP(tables_429100!C47,input_429100!A:H,8,FALSE))</f>
        <v>54150</v>
      </c>
      <c r="P47" s="46">
        <f t="shared" ca="1" si="1"/>
        <v>5.2197802197802203E-4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input_429100!A$2</f>
        <v>429100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IFERROR(VLOOKUP(B48,input_429100!L:R,7,FALSE),VLOOKUP(tables_429100!C48,input_429100!A:H,8,FALSE))</f>
        <v>0</v>
      </c>
      <c r="P48" s="46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input_429100!A$2</f>
        <v>429100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IFERROR(VLOOKUP(B49,input_429100!L:R,7,FALSE),VLOOKUP(tables_429100!C49,input_429100!A:H,8,FALSE))</f>
        <v>1028850</v>
      </c>
      <c r="P49" s="46">
        <f t="shared" ca="1" si="1"/>
        <v>9.9175824175824177E-3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input_429100!A$2</f>
        <v>429100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IFERROR(VLOOKUP(B50,input_429100!L:R,7,FALSE),VLOOKUP(tables_429100!C50,input_429100!A:H,8,FALSE))</f>
        <v>54150</v>
      </c>
      <c r="P50" s="46">
        <f t="shared" ca="1" si="1"/>
        <v>5.2197802197802203E-4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input_429100!A$2</f>
        <v>429100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IFERROR(VLOOKUP(B51,input_429100!L:R,7,FALSE),VLOOKUP(tables_429100!C51,input_429100!A:H,8,FALSE))</f>
        <v>0</v>
      </c>
      <c r="P51" s="46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input_429100!A$2</f>
        <v>429100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IFERROR(VLOOKUP(B52,input_429100!L:R,7,FALSE),VLOOKUP(tables_429100!C52,input_429100!A:H,8,FALSE))</f>
        <v>1056235.5769199999</v>
      </c>
      <c r="P52" s="46">
        <f t="shared" ca="1" si="1"/>
        <v>1.0181565229612492E-2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input_429100!A$2</f>
        <v>429100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IFERROR(VLOOKUP(B53,input_429100!L:R,7,FALSE),VLOOKUP(tables_429100!C53,input_429100!A:H,8,FALSE))</f>
        <v>26764.42308</v>
      </c>
      <c r="P53" s="46">
        <f t="shared" ca="1" si="1"/>
        <v>2.5799520994794679E-4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input_429100!A$2</f>
        <v>429100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IFERROR(VLOOKUP(B54,input_429100!L:R,7,FALSE),VLOOKUP(tables_429100!C54,input_429100!A:H,8,FALSE))</f>
        <v>0</v>
      </c>
      <c r="P54" s="46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input_429100!A$2</f>
        <v>429100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IFERROR(VLOOKUP(B55,input_429100!L:R,7,FALSE),VLOOKUP(tables_429100!C55,input_429100!A:H,8,FALSE))</f>
        <v>1056235.5769199999</v>
      </c>
      <c r="P55" s="46">
        <f t="shared" ca="1" si="1"/>
        <v>1.0181565229612492E-2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input_429100!A$2</f>
        <v>429100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IFERROR(VLOOKUP(B56,input_429100!L:R,7,FALSE),VLOOKUP(tables_429100!C56,input_429100!A:H,8,FALSE))</f>
        <v>26764.42308</v>
      </c>
      <c r="P56" s="46">
        <f t="shared" ca="1" si="1"/>
        <v>2.5799520994794679E-4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input_429100!A$2</f>
        <v>429100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IFERROR(VLOOKUP(B57,input_429100!L:R,7,FALSE),VLOOKUP(tables_429100!C57,input_429100!A:H,8,FALSE))</f>
        <v>0</v>
      </c>
      <c r="P57" s="46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input_429100!A$2</f>
        <v>429100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IFERROR(VLOOKUP(B58,input_429100!L:R,7,FALSE),VLOOKUP(tables_429100!C58,input_429100!A:H,8,FALSE))</f>
        <v>1056235.5769199999</v>
      </c>
      <c r="P58" s="46">
        <f t="shared" ca="1" si="1"/>
        <v>1.0181565229612492E-2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input_429100!A$2</f>
        <v>429100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IFERROR(VLOOKUP(B59,input_429100!L:R,7,FALSE),VLOOKUP(tables_429100!C59,input_429100!A:H,8,FALSE))</f>
        <v>26764.42308</v>
      </c>
      <c r="P59" s="46">
        <f t="shared" ca="1" si="1"/>
        <v>2.5799520994794679E-4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input_429100!A$2</f>
        <v>429100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IFERROR(VLOOKUP(B60,input_429100!L:R,7,FALSE),VLOOKUP(tables_429100!C60,input_429100!A:H,8,FALSE))</f>
        <v>0</v>
      </c>
      <c r="P60" s="46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input_429100!A$2</f>
        <v>429100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IFERROR(VLOOKUP(B61,input_429100!L:R,7,FALSE),VLOOKUP(tables_429100!C61,input_429100!A:H,8,FALSE))</f>
        <v>1056235.5769199999</v>
      </c>
      <c r="P61" s="46">
        <f t="shared" ca="1" si="1"/>
        <v>1.0181565229612492E-2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input_429100!A$2</f>
        <v>429100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IFERROR(VLOOKUP(B62,input_429100!L:R,7,FALSE),VLOOKUP(tables_429100!C62,input_429100!A:H,8,FALSE))</f>
        <v>26764.42308</v>
      </c>
      <c r="P62" s="46">
        <f t="shared" ca="1" si="1"/>
        <v>2.5799520994794679E-4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input_429100!A$2</f>
        <v>429100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IFERROR(VLOOKUP(B63,input_429100!L:R,7,FALSE),VLOOKUP(tables_429100!C63,input_429100!A:H,8,FALSE))</f>
        <v>0</v>
      </c>
      <c r="P63" s="46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input_429100!A$2</f>
        <v>429100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IFERROR(VLOOKUP(B64,input_429100!L:R,7,FALSE),VLOOKUP(tables_429100!C64,input_429100!A:H,8,FALSE))</f>
        <v>1056235.5769199999</v>
      </c>
      <c r="P64" s="46">
        <f t="shared" ca="1" si="1"/>
        <v>1.0181565229612492E-2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input_429100!A$2</f>
        <v>429100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IFERROR(VLOOKUP(B65,input_429100!L:R,7,FALSE),VLOOKUP(tables_429100!C65,input_429100!A:H,8,FALSE))</f>
        <v>26764.42308</v>
      </c>
      <c r="P65" s="46">
        <f t="shared" ca="1" si="1"/>
        <v>2.5799520994794679E-4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input_429100!A$2</f>
        <v>429100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IFERROR(VLOOKUP(B66,input_429100!L:R,7,FALSE),VLOOKUP(tables_429100!C66,input_429100!A:H,8,FALSE))</f>
        <v>0</v>
      </c>
      <c r="P66" s="46">
        <f t="shared" ref="P66:P129" ca="1" si="4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input_429100!A$2</f>
        <v>429100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IF(OR(I67="PremiumSS",I67="PremiumSSw"),"PremiumSS",IF(I67="PremiumSSS",I67,IF(I67="PremiumW",I67,"Premium")))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IFERROR(VLOOKUP(B67,input_429100!L:R,7,FALSE),VLOOKUP(tables_429100!C67,input_429100!A:H,8,FALSE))</f>
        <v>1056235.5769199999</v>
      </c>
      <c r="P67" s="46">
        <f t="shared" ca="1" si="4"/>
        <v>1.0181565229612492E-2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input_429100!A$2</f>
        <v>429100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IFERROR(VLOOKUP(B68,input_429100!L:R,7,FALSE),VLOOKUP(tables_429100!C68,input_429100!A:H,8,FALSE))</f>
        <v>26764.42308</v>
      </c>
      <c r="P68" s="46">
        <f t="shared" ca="1" si="4"/>
        <v>2.5799520994794679E-4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input_429100!A$2</f>
        <v>429100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IFERROR(VLOOKUP(B69,input_429100!L:R,7,FALSE),VLOOKUP(tables_429100!C69,input_429100!A:H,8,FALSE))</f>
        <v>0</v>
      </c>
      <c r="P69" s="46">
        <f t="shared" ca="1" si="4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input_429100!A$2</f>
        <v>429100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IFERROR(VLOOKUP(B70,input_429100!L:R,7,FALSE),VLOOKUP(tables_429100!C70,input_429100!A:H,8,FALSE))</f>
        <v>1056235.5769199999</v>
      </c>
      <c r="P70" s="46">
        <f t="shared" ca="1" si="4"/>
        <v>1.0181565229612492E-2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input_429100!A$2</f>
        <v>429100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IFERROR(VLOOKUP(B71,input_429100!L:R,7,FALSE),VLOOKUP(tables_429100!C71,input_429100!A:H,8,FALSE))</f>
        <v>26764.42308</v>
      </c>
      <c r="P71" s="46">
        <f t="shared" ca="1" si="4"/>
        <v>2.5799520994794679E-4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input_429100!A$2</f>
        <v>429100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IFERROR(VLOOKUP(B72,input_429100!L:R,7,FALSE),VLOOKUP(tables_429100!C72,input_429100!A:H,8,FALSE))</f>
        <v>0</v>
      </c>
      <c r="P72" s="46">
        <f t="shared" ca="1" si="4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input_429100!A$2</f>
        <v>429100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IFERROR(VLOOKUP(B73,input_429100!L:R,7,FALSE),VLOOKUP(tables_429100!C73,input_429100!A:H,8,FALSE))</f>
        <v>1056235.5769199999</v>
      </c>
      <c r="P73" s="46">
        <f t="shared" ca="1" si="4"/>
        <v>1.0181565229612492E-2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input_429100!A$2</f>
        <v>429100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IFERROR(VLOOKUP(B74,input_429100!L:R,7,FALSE),VLOOKUP(tables_429100!C74,input_429100!A:H,8,FALSE))</f>
        <v>26764.42308</v>
      </c>
      <c r="P74" s="46">
        <f t="shared" ca="1" si="4"/>
        <v>2.5799520994794679E-4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input_429100!A$2</f>
        <v>429100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IFERROR(VLOOKUP(B75,input_429100!L:R,7,FALSE),VLOOKUP(tables_429100!C75,input_429100!A:H,8,FALSE))</f>
        <v>0</v>
      </c>
      <c r="P75" s="46">
        <f t="shared" ca="1" si="4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input_429100!A$2</f>
        <v>429100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IFERROR(VLOOKUP(B76,input_429100!L:R,7,FALSE),VLOOKUP(tables_429100!C76,input_429100!A:H,8,FALSE))</f>
        <v>1056235.5769199999</v>
      </c>
      <c r="P76" s="46">
        <f t="shared" ca="1" si="4"/>
        <v>1.0181565229612492E-2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input_429100!A$2</f>
        <v>429100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IFERROR(VLOOKUP(B77,input_429100!L:R,7,FALSE),VLOOKUP(tables_429100!C77,input_429100!A:H,8,FALSE))</f>
        <v>26764.42308</v>
      </c>
      <c r="P77" s="46">
        <f t="shared" ca="1" si="4"/>
        <v>2.5799520994794679E-4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input_429100!A$2</f>
        <v>429100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IFERROR(VLOOKUP(B78,input_429100!L:R,7,FALSE),VLOOKUP(tables_429100!C78,input_429100!A:H,8,FALSE))</f>
        <v>0</v>
      </c>
      <c r="P78" s="46">
        <f t="shared" ca="1" si="4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input_429100!A$2</f>
        <v>429100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IFERROR(VLOOKUP(B79,input_429100!L:R,7,FALSE),VLOOKUP(tables_429100!C79,input_429100!A:H,8,FALSE))</f>
        <v>1056235.5769199999</v>
      </c>
      <c r="P79" s="46">
        <f t="shared" ca="1" si="4"/>
        <v>1.0181565229612492E-2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input_429100!A$2</f>
        <v>429100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IFERROR(VLOOKUP(B80,input_429100!L:R,7,FALSE),VLOOKUP(tables_429100!C80,input_429100!A:H,8,FALSE))</f>
        <v>26764.42308</v>
      </c>
      <c r="P80" s="46">
        <f t="shared" ca="1" si="4"/>
        <v>2.5799520994794679E-4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input_429100!A$2</f>
        <v>429100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IFERROR(VLOOKUP(B81,input_429100!L:R,7,FALSE),VLOOKUP(tables_429100!C81,input_429100!A:H,8,FALSE))</f>
        <v>0</v>
      </c>
      <c r="P81" s="46">
        <f t="shared" ca="1" si="4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input_429100!A$2</f>
        <v>429100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IFERROR(VLOOKUP(B82,input_429100!L:R,7,FALSE),VLOOKUP(tables_429100!C82,input_429100!A:H,8,FALSE))</f>
        <v>1056235.5769199999</v>
      </c>
      <c r="P82" s="46">
        <f t="shared" ca="1" si="4"/>
        <v>1.0181565229612492E-2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input_429100!A$2</f>
        <v>429100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IFERROR(VLOOKUP(B83,input_429100!L:R,7,FALSE),VLOOKUP(tables_429100!C83,input_429100!A:H,8,FALSE))</f>
        <v>26764.42308</v>
      </c>
      <c r="P83" s="46">
        <f t="shared" ca="1" si="4"/>
        <v>2.5799520994794679E-4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input_429100!A$2</f>
        <v>429100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IFERROR(VLOOKUP(B84,input_429100!L:R,7,FALSE),VLOOKUP(tables_429100!C84,input_429100!A:H,8,FALSE))</f>
        <v>0</v>
      </c>
      <c r="P84" s="46">
        <f t="shared" ca="1" si="4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input_429100!A$2</f>
        <v>429100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IFERROR(VLOOKUP(B85,input_429100!L:R,7,FALSE),VLOOKUP(tables_429100!C85,input_429100!A:H,8,FALSE))</f>
        <v>1056235.5769199999</v>
      </c>
      <c r="P85" s="46">
        <f t="shared" ca="1" si="4"/>
        <v>1.0181565229612492E-2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input_429100!A$2</f>
        <v>429100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IFERROR(VLOOKUP(B86,input_429100!L:R,7,FALSE),VLOOKUP(tables_429100!C86,input_429100!A:H,8,FALSE))</f>
        <v>26764.42308</v>
      </c>
      <c r="P86" s="46">
        <f t="shared" ca="1" si="4"/>
        <v>2.5799520994794679E-4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input_429100!A$2</f>
        <v>429100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IFERROR(VLOOKUP(B87,input_429100!L:R,7,FALSE),VLOOKUP(tables_429100!C87,input_429100!A:H,8,FALSE))</f>
        <v>0</v>
      </c>
      <c r="P87" s="46">
        <f t="shared" ca="1" si="4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input_429100!A$2</f>
        <v>429100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IFERROR(VLOOKUP(B88,input_429100!L:R,7,FALSE),VLOOKUP(tables_429100!C88,input_429100!A:H,8,FALSE))</f>
        <v>1056235.5769199999</v>
      </c>
      <c r="P88" s="46">
        <f t="shared" ca="1" si="4"/>
        <v>1.0181565229612492E-2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input_429100!A$2</f>
        <v>429100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IFERROR(VLOOKUP(B89,input_429100!L:R,7,FALSE),VLOOKUP(tables_429100!C89,input_429100!A:H,8,FALSE))</f>
        <v>26764.42308</v>
      </c>
      <c r="P89" s="46">
        <f t="shared" ca="1" si="4"/>
        <v>2.5799520994794679E-4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input_429100!A$2</f>
        <v>429100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IFERROR(VLOOKUP(B90,input_429100!L:R,7,FALSE),VLOOKUP(tables_429100!C90,input_429100!A:H,8,FALSE))</f>
        <v>0</v>
      </c>
      <c r="P90" s="46">
        <f t="shared" ca="1" si="4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input_429100!A$2</f>
        <v>429100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IFERROR(VLOOKUP(B91,input_429100!L:R,7,FALSE),VLOOKUP(tables_429100!C91,input_429100!A:H,8,FALSE))</f>
        <v>1056235.5769199999</v>
      </c>
      <c r="P91" s="46">
        <f t="shared" ca="1" si="4"/>
        <v>1.0181565229612492E-2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input_429100!A$2</f>
        <v>429100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IFERROR(VLOOKUP(B92,input_429100!L:R,7,FALSE),VLOOKUP(tables_429100!C92,input_429100!A:H,8,FALSE))</f>
        <v>26764.42308</v>
      </c>
      <c r="P92" s="46">
        <f t="shared" ca="1" si="4"/>
        <v>2.5799520994794679E-4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input_429100!A$2</f>
        <v>429100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IFERROR(VLOOKUP(B93,input_429100!L:R,7,FALSE),VLOOKUP(tables_429100!C93,input_429100!A:H,8,FALSE))</f>
        <v>0</v>
      </c>
      <c r="P93" s="46">
        <f t="shared" ca="1" si="4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input_429100!A$2</f>
        <v>429100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IFERROR(VLOOKUP(B94,input_429100!L:R,7,FALSE),VLOOKUP(tables_429100!C94,input_429100!A:H,8,FALSE))</f>
        <v>1056235.5769199999</v>
      </c>
      <c r="P94" s="46">
        <f t="shared" ca="1" si="4"/>
        <v>1.0181565229612492E-2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input_429100!A$2</f>
        <v>429100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IFERROR(VLOOKUP(B95,input_429100!L:R,7,FALSE),VLOOKUP(tables_429100!C95,input_429100!A:H,8,FALSE))</f>
        <v>26764.42308</v>
      </c>
      <c r="P95" s="46">
        <f t="shared" ca="1" si="4"/>
        <v>2.5799520994794679E-4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input_429100!A$2</f>
        <v>429100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IFERROR(VLOOKUP(B96,input_429100!L:R,7,FALSE),VLOOKUP(tables_429100!C96,input_429100!A:H,8,FALSE))</f>
        <v>0</v>
      </c>
      <c r="P96" s="46">
        <f t="shared" ca="1" si="4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input_429100!A$2</f>
        <v>429100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IFERROR(VLOOKUP(B97,input_429100!L:R,7,FALSE),VLOOKUP(tables_429100!C97,input_429100!A:H,8,FALSE))</f>
        <v>1056235.5769199999</v>
      </c>
      <c r="P97" s="46">
        <f t="shared" ca="1" si="4"/>
        <v>1.0181565229612492E-2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input_429100!A$2</f>
        <v>429100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IFERROR(VLOOKUP(B98,input_429100!L:R,7,FALSE),VLOOKUP(tables_429100!C98,input_429100!A:H,8,FALSE))</f>
        <v>26764.42308</v>
      </c>
      <c r="P98" s="46">
        <f t="shared" ca="1" si="4"/>
        <v>2.5799520994794679E-4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input_429100!A$2</f>
        <v>429100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IFERROR(VLOOKUP(B99,input_429100!L:R,7,FALSE),VLOOKUP(tables_429100!C99,input_429100!A:H,8,FALSE))</f>
        <v>0</v>
      </c>
      <c r="P99" s="46">
        <f t="shared" ca="1" si="4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input_429100!A$2</f>
        <v>429100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IFERROR(VLOOKUP(B100,input_429100!L:R,7,FALSE),VLOOKUP(tables_429100!C100,input_429100!A:H,8,FALSE))</f>
        <v>1056235.5769199999</v>
      </c>
      <c r="P100" s="46">
        <f t="shared" ca="1" si="4"/>
        <v>1.0181565229612492E-2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input_429100!A$2</f>
        <v>429100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IFERROR(VLOOKUP(B101,input_429100!L:R,7,FALSE),VLOOKUP(tables_429100!C101,input_429100!A:H,8,FALSE))</f>
        <v>26764.42308</v>
      </c>
      <c r="P101" s="46">
        <f t="shared" ca="1" si="4"/>
        <v>2.5799520994794679E-4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input_429100!A$2</f>
        <v>429100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IFERROR(VLOOKUP(B102,input_429100!L:R,7,FALSE),VLOOKUP(tables_429100!C102,input_429100!A:H,8,FALSE))</f>
        <v>0</v>
      </c>
      <c r="P102" s="46">
        <f t="shared" ca="1" si="4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input_429100!A$2</f>
        <v>429100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IFERROR(VLOOKUP(B103,input_429100!L:R,7,FALSE),VLOOKUP(tables_429100!C103,input_429100!A:H,8,FALSE))</f>
        <v>1056235.5769199999</v>
      </c>
      <c r="P103" s="46">
        <f t="shared" ca="1" si="4"/>
        <v>1.0181565229612492E-2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input_429100!A$2</f>
        <v>429100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IFERROR(VLOOKUP(B104,input_429100!L:R,7,FALSE),VLOOKUP(tables_429100!C104,input_429100!A:H,8,FALSE))</f>
        <v>26764.42308</v>
      </c>
      <c r="P104" s="46">
        <f t="shared" ca="1" si="4"/>
        <v>2.5799520994794679E-4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input_429100!A$2</f>
        <v>429100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IFERROR(VLOOKUP(B105,input_429100!L:R,7,FALSE),VLOOKUP(tables_429100!C105,input_429100!A:H,8,FALSE))</f>
        <v>0</v>
      </c>
      <c r="P105" s="46">
        <f t="shared" ca="1" si="4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input_429100!A$2</f>
        <v>429100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IFERROR(VLOOKUP(B106,input_429100!L:R,7,FALSE),VLOOKUP(tables_429100!C106,input_429100!A:H,8,FALSE))</f>
        <v>1056235.5769199999</v>
      </c>
      <c r="P106" s="46">
        <f t="shared" ca="1" si="4"/>
        <v>1.0181565229612492E-2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input_429100!A$2</f>
        <v>429100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IFERROR(VLOOKUP(B107,input_429100!L:R,7,FALSE),VLOOKUP(tables_429100!C107,input_429100!A:H,8,FALSE))</f>
        <v>26764.42308</v>
      </c>
      <c r="P107" s="46">
        <f t="shared" ca="1" si="4"/>
        <v>2.5799520994794679E-4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input_429100!A$2</f>
        <v>429100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IFERROR(VLOOKUP(B108,input_429100!L:R,7,FALSE),VLOOKUP(tables_429100!C108,input_429100!A:H,8,FALSE))</f>
        <v>0</v>
      </c>
      <c r="P108" s="46">
        <f t="shared" ca="1" si="4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input_429100!A$2</f>
        <v>429100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IFERROR(VLOOKUP(B109,input_429100!L:R,7,FALSE),VLOOKUP(tables_429100!C109,input_429100!A:H,8,FALSE))</f>
        <v>1056235.5769199999</v>
      </c>
      <c r="P109" s="46">
        <f t="shared" ca="1" si="4"/>
        <v>1.0181565229612492E-2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input_429100!A$2</f>
        <v>429100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IFERROR(VLOOKUP(B110,input_429100!L:R,7,FALSE),VLOOKUP(tables_429100!C110,input_429100!A:H,8,FALSE))</f>
        <v>26764.42308</v>
      </c>
      <c r="P110" s="46">
        <f t="shared" ca="1" si="4"/>
        <v>2.5799520994794679E-4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input_429100!A$2</f>
        <v>429100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IFERROR(VLOOKUP(B111,input_429100!L:R,7,FALSE),VLOOKUP(tables_429100!C111,input_429100!A:H,8,FALSE))</f>
        <v>0</v>
      </c>
      <c r="P111" s="46">
        <f t="shared" ca="1" si="4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input_429100!A$2</f>
        <v>429100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IFERROR(VLOOKUP(B112,input_429100!L:R,7,FALSE),VLOOKUP(tables_429100!C112,input_429100!A:H,8,FALSE))</f>
        <v>1028850</v>
      </c>
      <c r="P112" s="46">
        <f t="shared" ca="1" si="4"/>
        <v>9.9175824175824177E-3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input_429100!A$2</f>
        <v>429100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IFERROR(VLOOKUP(B113,input_429100!L:R,7,FALSE),VLOOKUP(tables_429100!C113,input_429100!A:H,8,FALSE))</f>
        <v>54150</v>
      </c>
      <c r="P113" s="46">
        <f t="shared" ca="1" si="4"/>
        <v>5.2197802197802203E-4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input_429100!A$2</f>
        <v>429100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IFERROR(VLOOKUP(B114,input_429100!L:R,7,FALSE),VLOOKUP(tables_429100!C114,input_429100!A:H,8,FALSE))</f>
        <v>0</v>
      </c>
      <c r="P114" s="46">
        <f t="shared" ca="1" si="4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input_429100!A$2</f>
        <v>429100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IFERROR(VLOOKUP(B115,input_429100!L:R,7,FALSE),VLOOKUP(tables_429100!C115,input_429100!A:H,8,FALSE))</f>
        <v>1056235.5769199999</v>
      </c>
      <c r="P115" s="46">
        <f t="shared" ca="1" si="4"/>
        <v>1.0181565229612492E-2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input_429100!A$2</f>
        <v>429100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IFERROR(VLOOKUP(B116,input_429100!L:R,7,FALSE),VLOOKUP(tables_429100!C116,input_429100!A:H,8,FALSE))</f>
        <v>26764.42308</v>
      </c>
      <c r="P116" s="46">
        <f t="shared" ca="1" si="4"/>
        <v>2.5799520994794679E-4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input_429100!A$2</f>
        <v>429100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IFERROR(VLOOKUP(B117,input_429100!L:R,7,FALSE),VLOOKUP(tables_429100!C117,input_429100!A:H,8,FALSE))</f>
        <v>0</v>
      </c>
      <c r="P117" s="46">
        <f t="shared" ca="1" si="4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input_429100!A$2</f>
        <v>429100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IFERROR(VLOOKUP(B118,input_429100!L:R,7,FALSE),VLOOKUP(tables_429100!C118,input_429100!A:H,8,FALSE))</f>
        <v>1056235.5769199999</v>
      </c>
      <c r="P118" s="46">
        <f t="shared" ca="1" si="4"/>
        <v>1.0181565229612492E-2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input_429100!A$2</f>
        <v>429100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IFERROR(VLOOKUP(B119,input_429100!L:R,7,FALSE),VLOOKUP(tables_429100!C119,input_429100!A:H,8,FALSE))</f>
        <v>26764.42308</v>
      </c>
      <c r="P119" s="46">
        <f t="shared" ca="1" si="4"/>
        <v>2.5799520994794679E-4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input_429100!A$2</f>
        <v>429100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IFERROR(VLOOKUP(B120,input_429100!L:R,7,FALSE),VLOOKUP(tables_429100!C120,input_429100!A:H,8,FALSE))</f>
        <v>0</v>
      </c>
      <c r="P120" s="46">
        <f t="shared" ca="1" si="4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input_429100!A$2</f>
        <v>429100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IFERROR(VLOOKUP(B121,input_429100!L:R,7,FALSE),VLOOKUP(tables_429100!C121,input_429100!A:H,8,FALSE))</f>
        <v>1056235.5769199999</v>
      </c>
      <c r="P121" s="46">
        <f t="shared" ca="1" si="4"/>
        <v>1.0181565229612492E-2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input_429100!A$2</f>
        <v>429100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IFERROR(VLOOKUP(B122,input_429100!L:R,7,FALSE),VLOOKUP(tables_429100!C122,input_429100!A:H,8,FALSE))</f>
        <v>26764.42308</v>
      </c>
      <c r="P122" s="46">
        <f t="shared" ca="1" si="4"/>
        <v>2.5799520994794679E-4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input_429100!A$2</f>
        <v>429100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IFERROR(VLOOKUP(B123,input_429100!L:R,7,FALSE),VLOOKUP(tables_429100!C123,input_429100!A:H,8,FALSE))</f>
        <v>0</v>
      </c>
      <c r="P123" s="46">
        <f t="shared" ca="1" si="4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input_429100!A$2</f>
        <v>429100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IFERROR(VLOOKUP(B124,input_429100!L:R,7,FALSE),VLOOKUP(tables_429100!C124,input_429100!A:H,8,FALSE))</f>
        <v>1056235.5769199999</v>
      </c>
      <c r="P124" s="46">
        <f t="shared" ca="1" si="4"/>
        <v>1.0181565229612492E-2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input_429100!A$2</f>
        <v>429100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IFERROR(VLOOKUP(B125,input_429100!L:R,7,FALSE),VLOOKUP(tables_429100!C125,input_429100!A:H,8,FALSE))</f>
        <v>26764.42308</v>
      </c>
      <c r="P125" s="46">
        <f t="shared" ca="1" si="4"/>
        <v>2.5799520994794679E-4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input_429100!A$2</f>
        <v>429100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IFERROR(VLOOKUP(B126,input_429100!L:R,7,FALSE),VLOOKUP(tables_429100!C126,input_429100!A:H,8,FALSE))</f>
        <v>0</v>
      </c>
      <c r="P126" s="46">
        <f t="shared" ca="1" si="4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input_429100!A$2</f>
        <v>429100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IFERROR(VLOOKUP(B127,input_429100!L:R,7,FALSE),VLOOKUP(tables_429100!C127,input_429100!A:H,8,FALSE))</f>
        <v>1056235.5769199999</v>
      </c>
      <c r="P127" s="46">
        <f t="shared" ca="1" si="4"/>
        <v>1.0181565229612492E-2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input_429100!A$2</f>
        <v>429100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IFERROR(VLOOKUP(B128,input_429100!L:R,7,FALSE),VLOOKUP(tables_429100!C128,input_429100!A:H,8,FALSE))</f>
        <v>26764.42308</v>
      </c>
      <c r="P128" s="46">
        <f t="shared" ca="1" si="4"/>
        <v>2.5799520994794679E-4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input_429100!A$2</f>
        <v>429100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IFERROR(VLOOKUP(B129,input_429100!L:R,7,FALSE),VLOOKUP(tables_429100!C129,input_429100!A:H,8,FALSE))</f>
        <v>0</v>
      </c>
      <c r="P129" s="46">
        <f t="shared" ca="1" si="4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input_429100!A$2</f>
        <v>429100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IFERROR(VLOOKUP(B130,input_429100!L:R,7,FALSE),VLOOKUP(tables_429100!C130,input_429100!A:H,8,FALSE))</f>
        <v>1056235.5769199999</v>
      </c>
      <c r="P130" s="46">
        <f t="shared" ref="P130:P193" ca="1" si="7">O130/SUM(O:O)</f>
        <v>1.0181565229612492E-2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input_429100!A$2</f>
        <v>429100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IF(OR(I131="PremiumSS",I131="PremiumSSw"),"PremiumSS",IF(I131="PremiumSSS",I131,IF(I131="PremiumW",I131,"Premium")))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IFERROR(VLOOKUP(B131,input_429100!L:R,7,FALSE),VLOOKUP(tables_429100!C131,input_429100!A:H,8,FALSE))</f>
        <v>26764.42308</v>
      </c>
      <c r="P131" s="46">
        <f t="shared" ca="1" si="7"/>
        <v>2.5799520994794679E-4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input_429100!A$2</f>
        <v>429100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IFERROR(VLOOKUP(B132,input_429100!L:R,7,FALSE),VLOOKUP(tables_429100!C132,input_429100!A:H,8,FALSE))</f>
        <v>0</v>
      </c>
      <c r="P132" s="46">
        <f t="shared" ca="1" si="7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input_429100!A$2</f>
        <v>429100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IFERROR(VLOOKUP(B133,input_429100!L:R,7,FALSE),VLOOKUP(tables_429100!C133,input_429100!A:H,8,FALSE))</f>
        <v>1056235.5769199999</v>
      </c>
      <c r="P133" s="46">
        <f t="shared" ca="1" si="7"/>
        <v>1.0181565229612492E-2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input_429100!A$2</f>
        <v>429100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IFERROR(VLOOKUP(B134,input_429100!L:R,7,FALSE),VLOOKUP(tables_429100!C134,input_429100!A:H,8,FALSE))</f>
        <v>26764.42308</v>
      </c>
      <c r="P134" s="46">
        <f t="shared" ca="1" si="7"/>
        <v>2.5799520994794679E-4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input_429100!A$2</f>
        <v>429100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IFERROR(VLOOKUP(B135,input_429100!L:R,7,FALSE),VLOOKUP(tables_429100!C135,input_429100!A:H,8,FALSE))</f>
        <v>0</v>
      </c>
      <c r="P135" s="46">
        <f t="shared" ca="1" si="7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input_429100!A$2</f>
        <v>429100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IFERROR(VLOOKUP(B136,input_429100!L:R,7,FALSE),VLOOKUP(tables_429100!C136,input_429100!A:H,8,FALSE))</f>
        <v>1056235.5769199999</v>
      </c>
      <c r="P136" s="46">
        <f t="shared" ca="1" si="7"/>
        <v>1.0181565229612492E-2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input_429100!A$2</f>
        <v>429100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IFERROR(VLOOKUP(B137,input_429100!L:R,7,FALSE),VLOOKUP(tables_429100!C137,input_429100!A:H,8,FALSE))</f>
        <v>26764.42308</v>
      </c>
      <c r="P137" s="46">
        <f t="shared" ca="1" si="7"/>
        <v>2.5799520994794679E-4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input_429100!A$2</f>
        <v>429100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IFERROR(VLOOKUP(B138,input_429100!L:R,7,FALSE),VLOOKUP(tables_429100!C138,input_429100!A:H,8,FALSE))</f>
        <v>86450</v>
      </c>
      <c r="P138" s="46">
        <f t="shared" ca="1" si="7"/>
        <v>8.3333333333333339E-4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input_429100!A$2</f>
        <v>429100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IFERROR(VLOOKUP(B139,input_429100!L:R,7,FALSE),VLOOKUP(tables_429100!C139,input_429100!A:H,8,FALSE))</f>
        <v>4550</v>
      </c>
      <c r="P139" s="46">
        <f t="shared" ca="1" si="7"/>
        <v>4.3859649122807014E-5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input_429100!A$2</f>
        <v>429100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IFERROR(VLOOKUP(B140,input_429100!L:R,7,FALSE),VLOOKUP(tables_429100!C140,input_429100!A:H,8,FALSE))</f>
        <v>86450</v>
      </c>
      <c r="P140" s="46">
        <f t="shared" ca="1" si="7"/>
        <v>8.3333333333333339E-4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input_429100!A$2</f>
        <v>429100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IFERROR(VLOOKUP(B141,input_429100!L:R,7,FALSE),VLOOKUP(tables_429100!C141,input_429100!A:H,8,FALSE))</f>
        <v>4550</v>
      </c>
      <c r="P141" s="46">
        <f t="shared" ca="1" si="7"/>
        <v>4.3859649122807014E-5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input_429100!A$2</f>
        <v>429100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IFERROR(VLOOKUP(B142,input_429100!L:R,7,FALSE),VLOOKUP(tables_429100!C142,input_429100!A:H,8,FALSE))</f>
        <v>86450</v>
      </c>
      <c r="P142" s="46">
        <f t="shared" ca="1" si="7"/>
        <v>8.3333333333333339E-4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input_429100!A$2</f>
        <v>429100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IFERROR(VLOOKUP(B143,input_429100!L:R,7,FALSE),VLOOKUP(tables_429100!C143,input_429100!A:H,8,FALSE))</f>
        <v>4550</v>
      </c>
      <c r="P143" s="46">
        <f t="shared" ca="1" si="7"/>
        <v>4.3859649122807014E-5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input_429100!A$2</f>
        <v>429100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IFERROR(VLOOKUP(B144,input_429100!L:R,7,FALSE),VLOOKUP(tables_429100!C144,input_429100!A:H,8,FALSE))</f>
        <v>86450</v>
      </c>
      <c r="P144" s="46">
        <f t="shared" ca="1" si="7"/>
        <v>8.3333333333333339E-4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input_429100!A$2</f>
        <v>429100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IFERROR(VLOOKUP(B145,input_429100!L:R,7,FALSE),VLOOKUP(tables_429100!C145,input_429100!A:H,8,FALSE))</f>
        <v>4550</v>
      </c>
      <c r="P145" s="46">
        <f t="shared" ca="1" si="7"/>
        <v>4.3859649122807014E-5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input_429100!A$2</f>
        <v>429100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IFERROR(VLOOKUP(B146,input_429100!L:R,7,FALSE),VLOOKUP(tables_429100!C146,input_429100!A:H,8,FALSE))</f>
        <v>0</v>
      </c>
      <c r="P146" s="46">
        <f t="shared" ca="1" si="7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input_429100!A$2</f>
        <v>429100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IFERROR(VLOOKUP(B147,input_429100!L:R,7,FALSE),VLOOKUP(tables_429100!C147,input_429100!A:H,8,FALSE))</f>
        <v>1056235.5769199999</v>
      </c>
      <c r="P147" s="46">
        <f t="shared" ca="1" si="7"/>
        <v>1.0181565229612492E-2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input_429100!A$2</f>
        <v>429100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IFERROR(VLOOKUP(B148,input_429100!L:R,7,FALSE),VLOOKUP(tables_429100!C148,input_429100!A:H,8,FALSE))</f>
        <v>26764.42308</v>
      </c>
      <c r="P148" s="46">
        <f t="shared" ca="1" si="7"/>
        <v>2.5799520994794679E-4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input_429100!A$2</f>
        <v>429100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IFERROR(VLOOKUP(B149,input_429100!L:R,7,FALSE),VLOOKUP(tables_429100!C149,input_429100!A:H,8,FALSE))</f>
        <v>86450</v>
      </c>
      <c r="P149" s="46">
        <f t="shared" ca="1" si="7"/>
        <v>8.3333333333333339E-4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input_429100!A$2</f>
        <v>429100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IFERROR(VLOOKUP(B150,input_429100!L:R,7,FALSE),VLOOKUP(tables_429100!C150,input_429100!A:H,8,FALSE))</f>
        <v>4550</v>
      </c>
      <c r="P150" s="46">
        <f t="shared" ca="1" si="7"/>
        <v>4.3859649122807014E-5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input_429100!A$2</f>
        <v>429100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IFERROR(VLOOKUP(B151,input_429100!L:R,7,FALSE),VLOOKUP(tables_429100!C151,input_429100!A:H,8,FALSE))</f>
        <v>86450</v>
      </c>
      <c r="P151" s="46">
        <f t="shared" ca="1" si="7"/>
        <v>8.3333333333333339E-4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input_429100!A$2</f>
        <v>429100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IFERROR(VLOOKUP(B152,input_429100!L:R,7,FALSE),VLOOKUP(tables_429100!C152,input_429100!A:H,8,FALSE))</f>
        <v>4550</v>
      </c>
      <c r="P152" s="46">
        <f t="shared" ca="1" si="7"/>
        <v>4.3859649122807014E-5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input_429100!A$2</f>
        <v>429100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IFERROR(VLOOKUP(B153,input_429100!L:R,7,FALSE),VLOOKUP(tables_429100!C153,input_429100!A:H,8,FALSE))</f>
        <v>0</v>
      </c>
      <c r="P153" s="46">
        <f t="shared" ca="1" si="7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input_429100!A$2</f>
        <v>429100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IFERROR(VLOOKUP(B154,input_429100!L:R,7,FALSE),VLOOKUP(tables_429100!C154,input_429100!A:H,8,FALSE))</f>
        <v>1056235.5769199999</v>
      </c>
      <c r="P154" s="46">
        <f t="shared" ca="1" si="7"/>
        <v>1.0181565229612492E-2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input_429100!A$2</f>
        <v>429100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IFERROR(VLOOKUP(B155,input_429100!L:R,7,FALSE),VLOOKUP(tables_429100!C155,input_429100!A:H,8,FALSE))</f>
        <v>26764.42308</v>
      </c>
      <c r="P155" s="46">
        <f t="shared" ca="1" si="7"/>
        <v>2.5799520994794679E-4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input_429100!A$2</f>
        <v>429100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IFERROR(VLOOKUP(B156,input_429100!L:R,7,FALSE),VLOOKUP(tables_429100!C156,input_429100!A:H,8,FALSE))</f>
        <v>86450</v>
      </c>
      <c r="P156" s="46">
        <f t="shared" ca="1" si="7"/>
        <v>8.3333333333333339E-4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input_429100!A$2</f>
        <v>429100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IFERROR(VLOOKUP(B157,input_429100!L:R,7,FALSE),VLOOKUP(tables_429100!C157,input_429100!A:H,8,FALSE))</f>
        <v>4550</v>
      </c>
      <c r="P157" s="46">
        <f t="shared" ca="1" si="7"/>
        <v>4.3859649122807014E-5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input_429100!A$2</f>
        <v>429100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IFERROR(VLOOKUP(B158,input_429100!L:R,7,FALSE),VLOOKUP(tables_429100!C158,input_429100!A:H,8,FALSE))</f>
        <v>0</v>
      </c>
      <c r="P158" s="46">
        <f t="shared" ca="1" si="7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input_429100!A$2</f>
        <v>429100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IFERROR(VLOOKUP(B159,input_429100!L:R,7,FALSE),VLOOKUP(tables_429100!C159,input_429100!A:H,8,FALSE))</f>
        <v>1056235.5769199999</v>
      </c>
      <c r="P159" s="46">
        <f t="shared" ca="1" si="7"/>
        <v>1.0181565229612492E-2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input_429100!A$2</f>
        <v>429100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IFERROR(VLOOKUP(B160,input_429100!L:R,7,FALSE),VLOOKUP(tables_429100!C160,input_429100!A:H,8,FALSE))</f>
        <v>26764.42308</v>
      </c>
      <c r="P160" s="46">
        <f t="shared" ca="1" si="7"/>
        <v>2.5799520994794679E-4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input_429100!A$2</f>
        <v>429100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IFERROR(VLOOKUP(B161,input_429100!L:R,7,FALSE),VLOOKUP(tables_429100!C161,input_429100!A:H,8,FALSE))</f>
        <v>0</v>
      </c>
      <c r="P161" s="46">
        <f t="shared" ca="1" si="7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input_429100!A$2</f>
        <v>429100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IFERROR(VLOOKUP(B162,input_429100!L:R,7,FALSE),VLOOKUP(tables_429100!C162,input_429100!A:H,8,FALSE))</f>
        <v>1056235.5769199999</v>
      </c>
      <c r="P162" s="46">
        <f t="shared" ca="1" si="7"/>
        <v>1.0181565229612492E-2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input_429100!A$2</f>
        <v>429100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IFERROR(VLOOKUP(B163,input_429100!L:R,7,FALSE),VLOOKUP(tables_429100!C163,input_429100!A:H,8,FALSE))</f>
        <v>26764.42308</v>
      </c>
      <c r="P163" s="46">
        <f t="shared" ca="1" si="7"/>
        <v>2.5799520994794679E-4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input_429100!A$2</f>
        <v>429100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IFERROR(VLOOKUP(B164,input_429100!L:R,7,FALSE),VLOOKUP(tables_429100!C164,input_429100!A:H,8,FALSE))</f>
        <v>86450</v>
      </c>
      <c r="P164" s="46">
        <f t="shared" ca="1" si="7"/>
        <v>8.3333333333333339E-4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input_429100!A$2</f>
        <v>429100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IFERROR(VLOOKUP(B165,input_429100!L:R,7,FALSE),VLOOKUP(tables_429100!C165,input_429100!A:H,8,FALSE))</f>
        <v>4550</v>
      </c>
      <c r="P165" s="46">
        <f t="shared" ca="1" si="7"/>
        <v>4.3859649122807014E-5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input_429100!A$2</f>
        <v>429100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IFERROR(VLOOKUP(B166,input_429100!L:R,7,FALSE),VLOOKUP(tables_429100!C166,input_429100!A:H,8,FALSE))</f>
        <v>0</v>
      </c>
      <c r="P166" s="46">
        <f t="shared" ca="1" si="7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input_429100!A$2</f>
        <v>429100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IFERROR(VLOOKUP(B167,input_429100!L:R,7,FALSE),VLOOKUP(tables_429100!C167,input_429100!A:H,8,FALSE))</f>
        <v>1056235.5769199999</v>
      </c>
      <c r="P167" s="46">
        <f t="shared" ca="1" si="7"/>
        <v>1.0181565229612492E-2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input_429100!A$2</f>
        <v>429100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IFERROR(VLOOKUP(B168,input_429100!L:R,7,FALSE),VLOOKUP(tables_429100!C168,input_429100!A:H,8,FALSE))</f>
        <v>26764.42308</v>
      </c>
      <c r="P168" s="46">
        <f t="shared" ca="1" si="7"/>
        <v>2.5799520994794679E-4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input_429100!A$2</f>
        <v>429100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IFERROR(VLOOKUP(B169,input_429100!L:R,7,FALSE),VLOOKUP(tables_429100!C169,input_429100!A:H,8,FALSE))</f>
        <v>86450</v>
      </c>
      <c r="P169" s="46">
        <f t="shared" ca="1" si="7"/>
        <v>8.3333333333333339E-4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input_429100!A$2</f>
        <v>429100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IFERROR(VLOOKUP(B170,input_429100!L:R,7,FALSE),VLOOKUP(tables_429100!C170,input_429100!A:H,8,FALSE))</f>
        <v>4550</v>
      </c>
      <c r="P170" s="46">
        <f t="shared" ca="1" si="7"/>
        <v>4.3859649122807014E-5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input_429100!A$2</f>
        <v>429100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IFERROR(VLOOKUP(B171,input_429100!L:R,7,FALSE),VLOOKUP(tables_429100!C171,input_429100!A:H,8,FALSE))</f>
        <v>0</v>
      </c>
      <c r="P171" s="46">
        <f t="shared" ca="1" si="7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input_429100!A$2</f>
        <v>429100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IFERROR(VLOOKUP(B172,input_429100!L:R,7,FALSE),VLOOKUP(tables_429100!C172,input_429100!A:H,8,FALSE))</f>
        <v>1056235.5769199999</v>
      </c>
      <c r="P172" s="46">
        <f t="shared" ca="1" si="7"/>
        <v>1.0181565229612492E-2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input_429100!A$2</f>
        <v>429100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IFERROR(VLOOKUP(B173,input_429100!L:R,7,FALSE),VLOOKUP(tables_429100!C173,input_429100!A:H,8,FALSE))</f>
        <v>26764.42308</v>
      </c>
      <c r="P173" s="46">
        <f t="shared" ca="1" si="7"/>
        <v>2.5799520994794679E-4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input_429100!A$2</f>
        <v>429100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IFERROR(VLOOKUP(B174,input_429100!L:R,7,FALSE),VLOOKUP(tables_429100!C174,input_429100!A:H,8,FALSE))</f>
        <v>86450</v>
      </c>
      <c r="P174" s="46">
        <f t="shared" ca="1" si="7"/>
        <v>8.3333333333333339E-4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input_429100!A$2</f>
        <v>429100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IFERROR(VLOOKUP(B175,input_429100!L:R,7,FALSE),VLOOKUP(tables_429100!C175,input_429100!A:H,8,FALSE))</f>
        <v>4550</v>
      </c>
      <c r="P175" s="46">
        <f t="shared" ca="1" si="7"/>
        <v>4.3859649122807014E-5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input_429100!A$2</f>
        <v>429100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IFERROR(VLOOKUP(B176,input_429100!L:R,7,FALSE),VLOOKUP(tables_429100!C176,input_429100!A:H,8,FALSE))</f>
        <v>86450</v>
      </c>
      <c r="P176" s="46">
        <f t="shared" ca="1" si="7"/>
        <v>8.3333333333333339E-4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input_429100!A$2</f>
        <v>429100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IFERROR(VLOOKUP(B177,input_429100!L:R,7,FALSE),VLOOKUP(tables_429100!C177,input_429100!A:H,8,FALSE))</f>
        <v>4550</v>
      </c>
      <c r="P177" s="46">
        <f t="shared" ca="1" si="7"/>
        <v>4.3859649122807014E-5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input_429100!A$2</f>
        <v>429100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IFERROR(VLOOKUP(B178,input_429100!L:R,7,FALSE),VLOOKUP(tables_429100!C178,input_429100!A:H,8,FALSE))</f>
        <v>0</v>
      </c>
      <c r="P178" s="46">
        <f t="shared" ca="1" si="7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input_429100!A$2</f>
        <v>429100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IFERROR(VLOOKUP(B179,input_429100!L:R,7,FALSE),VLOOKUP(tables_429100!C179,input_429100!A:H,8,FALSE))</f>
        <v>1056235.5769199999</v>
      </c>
      <c r="P179" s="46">
        <f t="shared" ca="1" si="7"/>
        <v>1.0181565229612492E-2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input_429100!A$2</f>
        <v>429100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IFERROR(VLOOKUP(B180,input_429100!L:R,7,FALSE),VLOOKUP(tables_429100!C180,input_429100!A:H,8,FALSE))</f>
        <v>26764.42308</v>
      </c>
      <c r="P180" s="46">
        <f t="shared" ca="1" si="7"/>
        <v>2.5799520994794679E-4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input_429100!A$2</f>
        <v>429100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IFERROR(VLOOKUP(B181,input_429100!L:R,7,FALSE),VLOOKUP(tables_429100!C181,input_429100!A:H,8,FALSE))</f>
        <v>0</v>
      </c>
      <c r="P181" s="46">
        <f t="shared" ca="1" si="7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input_429100!A$2</f>
        <v>429100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IFERROR(VLOOKUP(B182,input_429100!L:R,7,FALSE),VLOOKUP(tables_429100!C182,input_429100!A:H,8,FALSE))</f>
        <v>1056235.5769199999</v>
      </c>
      <c r="P182" s="46">
        <f t="shared" ca="1" si="7"/>
        <v>1.0181565229612492E-2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input_429100!A$2</f>
        <v>429100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IFERROR(VLOOKUP(B183,input_429100!L:R,7,FALSE),VLOOKUP(tables_429100!C183,input_429100!A:H,8,FALSE))</f>
        <v>26764.42308</v>
      </c>
      <c r="P183" s="46">
        <f t="shared" ca="1" si="7"/>
        <v>2.5799520994794679E-4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input_429100!A$2</f>
        <v>429100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IFERROR(VLOOKUP(B184,input_429100!L:R,7,FALSE),VLOOKUP(tables_429100!C184,input_429100!A:H,8,FALSE))</f>
        <v>86450</v>
      </c>
      <c r="P184" s="46">
        <f t="shared" ca="1" si="7"/>
        <v>8.3333333333333339E-4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input_429100!A$2</f>
        <v>429100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IFERROR(VLOOKUP(B185,input_429100!L:R,7,FALSE),VLOOKUP(tables_429100!C185,input_429100!A:H,8,FALSE))</f>
        <v>4550</v>
      </c>
      <c r="P185" s="46">
        <f t="shared" ca="1" si="7"/>
        <v>4.3859649122807014E-5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input_429100!A$2</f>
        <v>429100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IFERROR(VLOOKUP(B186,input_429100!L:R,7,FALSE),VLOOKUP(tables_429100!C186,input_429100!A:H,8,FALSE))</f>
        <v>0</v>
      </c>
      <c r="P186" s="46">
        <f t="shared" ca="1" si="7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input_429100!A$2</f>
        <v>429100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IFERROR(VLOOKUP(B187,input_429100!L:R,7,FALSE),VLOOKUP(tables_429100!C187,input_429100!A:H,8,FALSE))</f>
        <v>1056235.5769199999</v>
      </c>
      <c r="P187" s="46">
        <f t="shared" ca="1" si="7"/>
        <v>1.0181565229612492E-2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input_429100!A$2</f>
        <v>429100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IFERROR(VLOOKUP(B188,input_429100!L:R,7,FALSE),VLOOKUP(tables_429100!C188,input_429100!A:H,8,FALSE))</f>
        <v>26764.42308</v>
      </c>
      <c r="P188" s="46">
        <f t="shared" ca="1" si="7"/>
        <v>2.5799520994794679E-4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input_429100!A$2</f>
        <v>429100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IFERROR(VLOOKUP(B189,input_429100!L:R,7,FALSE),VLOOKUP(tables_429100!C189,input_429100!A:H,8,FALSE))</f>
        <v>86450</v>
      </c>
      <c r="P189" s="46">
        <f t="shared" ca="1" si="7"/>
        <v>8.3333333333333339E-4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input_429100!A$2</f>
        <v>429100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IFERROR(VLOOKUP(B190,input_429100!L:R,7,FALSE),VLOOKUP(tables_429100!C190,input_429100!A:H,8,FALSE))</f>
        <v>4550</v>
      </c>
      <c r="P190" s="46">
        <f t="shared" ca="1" si="7"/>
        <v>4.3859649122807014E-5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input_429100!A$2</f>
        <v>429100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IFERROR(VLOOKUP(B191,input_429100!L:R,7,FALSE),VLOOKUP(tables_429100!C191,input_429100!A:H,8,FALSE))</f>
        <v>86450</v>
      </c>
      <c r="P191" s="46">
        <f t="shared" ca="1" si="7"/>
        <v>8.3333333333333339E-4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input_429100!A$2</f>
        <v>429100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IFERROR(VLOOKUP(B192,input_429100!L:R,7,FALSE),VLOOKUP(tables_429100!C192,input_429100!A:H,8,FALSE))</f>
        <v>4550</v>
      </c>
      <c r="P192" s="46">
        <f t="shared" ca="1" si="7"/>
        <v>4.3859649122807014E-5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input_429100!A$2</f>
        <v>429100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IFERROR(VLOOKUP(B193,input_429100!L:R,7,FALSE),VLOOKUP(tables_429100!C193,input_429100!A:H,8,FALSE))</f>
        <v>0</v>
      </c>
      <c r="P193" s="46">
        <f t="shared" ca="1" si="7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input_429100!A$2</f>
        <v>429100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IFERROR(VLOOKUP(B194,input_429100!L:R,7,FALSE),VLOOKUP(tables_429100!C194,input_429100!A:H,8,FALSE))</f>
        <v>1056235.5769199999</v>
      </c>
      <c r="P194" s="46">
        <f t="shared" ref="P194:P257" ca="1" si="10">O194/SUM(O:O)</f>
        <v>1.0181565229612492E-2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input_429100!A$2</f>
        <v>429100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IF(OR(I195="PremiumSS",I195="PremiumSSw"),"PremiumSS",IF(I195="PremiumSSS",I195,IF(I195="PremiumW",I195,"Premium")))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IFERROR(VLOOKUP(B195,input_429100!L:R,7,FALSE),VLOOKUP(tables_429100!C195,input_429100!A:H,8,FALSE))</f>
        <v>26764.42308</v>
      </c>
      <c r="P195" s="46">
        <f t="shared" ca="1" si="10"/>
        <v>2.5799520994794679E-4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input_429100!A$2</f>
        <v>429100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IFERROR(VLOOKUP(B196,input_429100!L:R,7,FALSE),VLOOKUP(tables_429100!C196,input_429100!A:H,8,FALSE))</f>
        <v>86450</v>
      </c>
      <c r="P196" s="46">
        <f t="shared" ca="1" si="10"/>
        <v>8.3333333333333339E-4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input_429100!A$2</f>
        <v>429100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IFERROR(VLOOKUP(B197,input_429100!L:R,7,FALSE),VLOOKUP(tables_429100!C197,input_429100!A:H,8,FALSE))</f>
        <v>4550</v>
      </c>
      <c r="P197" s="46">
        <f t="shared" ca="1" si="10"/>
        <v>4.3859649122807014E-5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input_429100!A$2</f>
        <v>429100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IFERROR(VLOOKUP(B198,input_429100!L:R,7,FALSE),VLOOKUP(tables_429100!C198,input_429100!A:H,8,FALSE))</f>
        <v>0</v>
      </c>
      <c r="P198" s="46">
        <f t="shared" ca="1" si="10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input_429100!A$2</f>
        <v>429100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IFERROR(VLOOKUP(B199,input_429100!L:R,7,FALSE),VLOOKUP(tables_429100!C199,input_429100!A:H,8,FALSE))</f>
        <v>1056235.5769199999</v>
      </c>
      <c r="P199" s="46">
        <f t="shared" ca="1" si="10"/>
        <v>1.0181565229612492E-2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input_429100!A$2</f>
        <v>429100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IFERROR(VLOOKUP(B200,input_429100!L:R,7,FALSE),VLOOKUP(tables_429100!C200,input_429100!A:H,8,FALSE))</f>
        <v>26764.42308</v>
      </c>
      <c r="P200" s="46">
        <f t="shared" ca="1" si="10"/>
        <v>2.5799520994794679E-4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input_429100!A$2</f>
        <v>429100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IFERROR(VLOOKUP(B201,input_429100!L:R,7,FALSE),VLOOKUP(tables_429100!C201,input_429100!A:H,8,FALSE))</f>
        <v>86450</v>
      </c>
      <c r="P201" s="46">
        <f t="shared" ca="1" si="10"/>
        <v>8.3333333333333339E-4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input_429100!A$2</f>
        <v>429100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IFERROR(VLOOKUP(B202,input_429100!L:R,7,FALSE),VLOOKUP(tables_429100!C202,input_429100!A:H,8,FALSE))</f>
        <v>4550</v>
      </c>
      <c r="P202" s="46">
        <f t="shared" ca="1" si="10"/>
        <v>4.3859649122807014E-5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input_429100!A$2</f>
        <v>429100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IFERROR(VLOOKUP(B203,input_429100!L:R,7,FALSE),VLOOKUP(tables_429100!C203,input_429100!A:H,8,FALSE))</f>
        <v>0</v>
      </c>
      <c r="P203" s="46">
        <f t="shared" ca="1" si="10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input_429100!A$2</f>
        <v>429100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IFERROR(VLOOKUP(B204,input_429100!L:R,7,FALSE),VLOOKUP(tables_429100!C204,input_429100!A:H,8,FALSE))</f>
        <v>1056235.5769199999</v>
      </c>
      <c r="P204" s="46">
        <f t="shared" ca="1" si="10"/>
        <v>1.0181565229612492E-2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input_429100!A$2</f>
        <v>429100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IFERROR(VLOOKUP(B205,input_429100!L:R,7,FALSE),VLOOKUP(tables_429100!C205,input_429100!A:H,8,FALSE))</f>
        <v>26764.42308</v>
      </c>
      <c r="P205" s="46">
        <f t="shared" ca="1" si="10"/>
        <v>2.5799520994794679E-4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input_429100!A$2</f>
        <v>429100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IFERROR(VLOOKUP(B206,input_429100!L:R,7,FALSE),VLOOKUP(tables_429100!C206,input_429100!A:H,8,FALSE))</f>
        <v>86450</v>
      </c>
      <c r="P206" s="46">
        <f t="shared" ca="1" si="10"/>
        <v>8.3333333333333339E-4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input_429100!A$2</f>
        <v>429100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IFERROR(VLOOKUP(B207,input_429100!L:R,7,FALSE),VLOOKUP(tables_429100!C207,input_429100!A:H,8,FALSE))</f>
        <v>4550</v>
      </c>
      <c r="P207" s="46">
        <f t="shared" ca="1" si="10"/>
        <v>4.3859649122807014E-5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input_429100!A$2</f>
        <v>429100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IFERROR(VLOOKUP(B208,input_429100!L:R,7,FALSE),VLOOKUP(tables_429100!C208,input_429100!A:H,8,FALSE))</f>
        <v>86450</v>
      </c>
      <c r="P208" s="46">
        <f t="shared" ca="1" si="10"/>
        <v>8.3333333333333339E-4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input_429100!A$2</f>
        <v>429100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IFERROR(VLOOKUP(B209,input_429100!L:R,7,FALSE),VLOOKUP(tables_429100!C209,input_429100!A:H,8,FALSE))</f>
        <v>4550</v>
      </c>
      <c r="P209" s="46">
        <f t="shared" ca="1" si="10"/>
        <v>4.3859649122807014E-5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input_429100!A$2</f>
        <v>429100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IFERROR(VLOOKUP(B210,input_429100!L:R,7,FALSE),VLOOKUP(tables_429100!C210,input_429100!A:H,8,FALSE))</f>
        <v>0</v>
      </c>
      <c r="P210" s="46">
        <f t="shared" ca="1" si="10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input_429100!A$2</f>
        <v>429100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IFERROR(VLOOKUP(B211,input_429100!L:R,7,FALSE),VLOOKUP(tables_429100!C211,input_429100!A:H,8,FALSE))</f>
        <v>1056235.5769199999</v>
      </c>
      <c r="P211" s="46">
        <f t="shared" ca="1" si="10"/>
        <v>1.0181565229612492E-2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input_429100!A$2</f>
        <v>429100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IFERROR(VLOOKUP(B212,input_429100!L:R,7,FALSE),VLOOKUP(tables_429100!C212,input_429100!A:H,8,FALSE))</f>
        <v>26764.42308</v>
      </c>
      <c r="P212" s="46">
        <f t="shared" ca="1" si="10"/>
        <v>2.5799520994794679E-4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input_429100!A$2</f>
        <v>429100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IFERROR(VLOOKUP(B213,input_429100!L:R,7,FALSE),VLOOKUP(tables_429100!C213,input_429100!A:H,8,FALSE))</f>
        <v>86450</v>
      </c>
      <c r="P213" s="46">
        <f t="shared" ca="1" si="10"/>
        <v>8.3333333333333339E-4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input_429100!A$2</f>
        <v>429100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IFERROR(VLOOKUP(B214,input_429100!L:R,7,FALSE),VLOOKUP(tables_429100!C214,input_429100!A:H,8,FALSE))</f>
        <v>4550</v>
      </c>
      <c r="P214" s="46">
        <f t="shared" ca="1" si="10"/>
        <v>4.3859649122807014E-5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input_429100!A$2</f>
        <v>429100</v>
      </c>
      <c r="B215" s="6">
        <v>586</v>
      </c>
      <c r="C215" s="7" t="str">
        <f t="shared" si="9"/>
        <v>PremiumSS4</v>
      </c>
      <c r="D215" s="7" t="str">
        <f t="shared" si="11"/>
        <v>PremiumSS</v>
      </c>
      <c r="E215" s="7" t="str">
        <f>IF(COUNTIF('R6追加前'!A:A,B215)=0,IF(OR(I215="PremiumSS",I215="PremiumSSw"),"R5only","R3less"),"")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5">
        <f ca="1">IFERROR(VLOOKUP(B215,input_429100!L:R,7,FALSE),VLOOKUP(tables_429100!C215,input_429100!A:H,8,FALSE))</f>
        <v>86450</v>
      </c>
      <c r="P215" s="46">
        <f t="shared" ca="1" si="10"/>
        <v>8.3333333333333339E-4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input_429100!A$2</f>
        <v>429100</v>
      </c>
      <c r="B216" s="6">
        <v>587</v>
      </c>
      <c r="C216" s="7" t="str">
        <f t="shared" si="9"/>
        <v>PremiumSS5</v>
      </c>
      <c r="D216" s="7" t="str">
        <f t="shared" si="11"/>
        <v>PremiumSS</v>
      </c>
      <c r="E216" s="7" t="str">
        <f>IF(COUNTIF('R6追加前'!A:A,B216)=0,IF(OR(I216="PremiumSS",I216="PremiumSSw"),"R5only","R3less"),"")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5">
        <f ca="1">IFERROR(VLOOKUP(B216,input_429100!L:R,7,FALSE),VLOOKUP(tables_429100!C216,input_429100!A:H,8,FALSE))</f>
        <v>4550</v>
      </c>
      <c r="P216" s="46">
        <f t="shared" ca="1" si="10"/>
        <v>4.3859649122807014E-5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input_429100!A$2</f>
        <v>429100</v>
      </c>
      <c r="B217" s="6">
        <v>588</v>
      </c>
      <c r="C217" s="7" t="str">
        <f t="shared" si="9"/>
        <v>Premium3</v>
      </c>
      <c r="D217" s="7" t="str">
        <f t="shared" si="11"/>
        <v>Premium</v>
      </c>
      <c r="E217" s="7" t="str">
        <f>IF(COUNTIF('R6追加前'!A:A,B217)=0,IF(OR(I217="PremiumSS",I217="PremiumSSw"),"R5only","R3less"),"")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5">
        <f ca="1">IFERROR(VLOOKUP(B217,input_429100!L:R,7,FALSE),VLOOKUP(tables_429100!C217,input_429100!A:H,8,FALSE))</f>
        <v>0</v>
      </c>
      <c r="P217" s="46">
        <f t="shared" ca="1" si="10"/>
        <v>0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input_429100!A$2</f>
        <v>429100</v>
      </c>
      <c r="B218" s="6">
        <v>589</v>
      </c>
      <c r="C218" s="7" t="str">
        <f t="shared" si="9"/>
        <v>Premium4</v>
      </c>
      <c r="D218" s="7" t="str">
        <f t="shared" si="11"/>
        <v>Premium</v>
      </c>
      <c r="E218" s="7" t="str">
        <f>IF(COUNTIF('R6追加前'!A:A,B218)=0,IF(OR(I218="PremiumSS",I218="PremiumSSw"),"R5only","R3less"),"")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5">
        <f ca="1">IFERROR(VLOOKUP(B218,input_429100!L:R,7,FALSE),VLOOKUP(tables_429100!C218,input_429100!A:H,8,FALSE))</f>
        <v>1056235.5769199999</v>
      </c>
      <c r="P218" s="46">
        <f t="shared" ca="1" si="10"/>
        <v>1.0181565229612492E-2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input_429100!A$2</f>
        <v>429100</v>
      </c>
      <c r="B219" s="6">
        <v>590</v>
      </c>
      <c r="C219" s="7" t="str">
        <f t="shared" si="9"/>
        <v>Premium5</v>
      </c>
      <c r="D219" s="7" t="str">
        <f t="shared" si="11"/>
        <v>Premium</v>
      </c>
      <c r="E219" s="7" t="str">
        <f>IF(COUNTIF('R6追加前'!A:A,B219)=0,IF(OR(I219="PremiumSS",I219="PremiumSSw"),"R5only","R3less"),"")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5">
        <f ca="1">IFERROR(VLOOKUP(B219,input_429100!L:R,7,FALSE),VLOOKUP(tables_429100!C219,input_429100!A:H,8,FALSE))</f>
        <v>26764.42308</v>
      </c>
      <c r="P219" s="46">
        <f t="shared" ca="1" si="10"/>
        <v>2.5799520994794679E-4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input_429100!A$2</f>
        <v>429100</v>
      </c>
      <c r="B220" s="6">
        <v>591</v>
      </c>
      <c r="C220" s="7" t="str">
        <f t="shared" si="9"/>
        <v>Premium3</v>
      </c>
      <c r="D220" s="7" t="str">
        <f t="shared" si="11"/>
        <v>Premium</v>
      </c>
      <c r="E220" s="7" t="str">
        <f>IF(COUNTIF('R6追加前'!A:A,B220)=0,IF(OR(I220="PremiumSS",I220="PremiumSSw"),"R5only","R3less"),"")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5">
        <f ca="1">IFERROR(VLOOKUP(B220,input_429100!L:R,7,FALSE),VLOOKUP(tables_429100!C220,input_429100!A:H,8,FALSE))</f>
        <v>0</v>
      </c>
      <c r="P220" s="46">
        <f t="shared" ca="1" si="10"/>
        <v>0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input_429100!A$2</f>
        <v>429100</v>
      </c>
      <c r="B221" s="6">
        <v>592</v>
      </c>
      <c r="C221" s="7" t="str">
        <f t="shared" si="9"/>
        <v>Premium4</v>
      </c>
      <c r="D221" s="7" t="str">
        <f t="shared" si="11"/>
        <v>Premium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5">
        <f ca="1">IFERROR(VLOOKUP(B221,input_429100!L:R,7,FALSE),VLOOKUP(tables_429100!C221,input_429100!A:H,8,FALSE))</f>
        <v>1056235.5769199999</v>
      </c>
      <c r="P221" s="46">
        <f t="shared" ca="1" si="10"/>
        <v>1.0181565229612492E-2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input_429100!A$2</f>
        <v>429100</v>
      </c>
      <c r="B222" s="6">
        <v>593</v>
      </c>
      <c r="C222" s="7" t="str">
        <f t="shared" si="9"/>
        <v>Premium5</v>
      </c>
      <c r="D222" s="7" t="str">
        <f t="shared" si="11"/>
        <v>Premium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5">
        <f ca="1">IFERROR(VLOOKUP(B222,input_429100!L:R,7,FALSE),VLOOKUP(tables_429100!C222,input_429100!A:H,8,FALSE))</f>
        <v>26764.42308</v>
      </c>
      <c r="P222" s="46">
        <f t="shared" ca="1" si="10"/>
        <v>2.5799520994794679E-4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input_429100!A$2</f>
        <v>429100</v>
      </c>
      <c r="B223" s="6">
        <v>594</v>
      </c>
      <c r="C223" s="7" t="str">
        <f t="shared" si="9"/>
        <v>PremiumSS4</v>
      </c>
      <c r="D223" s="7" t="str">
        <f t="shared" si="11"/>
        <v>PremiumSS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5">
        <f ca="1">IFERROR(VLOOKUP(B223,input_429100!L:R,7,FALSE),VLOOKUP(tables_429100!C223,input_429100!A:H,8,FALSE))</f>
        <v>86450</v>
      </c>
      <c r="P223" s="46">
        <f t="shared" ca="1" si="10"/>
        <v>8.3333333333333339E-4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input_429100!A$2</f>
        <v>429100</v>
      </c>
      <c r="B224" s="6">
        <v>595</v>
      </c>
      <c r="C224" s="7" t="str">
        <f t="shared" si="9"/>
        <v>PremiumSS5</v>
      </c>
      <c r="D224" s="7" t="str">
        <f t="shared" si="11"/>
        <v>PremiumSS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5">
        <f ca="1">IFERROR(VLOOKUP(B224,input_429100!L:R,7,FALSE),VLOOKUP(tables_429100!C224,input_429100!A:H,8,FALSE))</f>
        <v>4550</v>
      </c>
      <c r="P224" s="46">
        <f t="shared" ca="1" si="10"/>
        <v>4.3859649122807014E-5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input_429100!A$2</f>
        <v>429100</v>
      </c>
      <c r="B225" s="6">
        <v>596</v>
      </c>
      <c r="C225" s="7" t="str">
        <f t="shared" si="9"/>
        <v>Premium3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5">
        <f ca="1">IFERROR(VLOOKUP(B225,input_429100!L:R,7,FALSE),VLOOKUP(tables_429100!C225,input_429100!A:H,8,FALSE))</f>
        <v>0</v>
      </c>
      <c r="P225" s="46">
        <f t="shared" ca="1" si="10"/>
        <v>0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input_429100!A$2</f>
        <v>429100</v>
      </c>
      <c r="B226" s="6">
        <v>597</v>
      </c>
      <c r="C226" s="7" t="str">
        <f t="shared" si="9"/>
        <v>Premium4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5">
        <f ca="1">IFERROR(VLOOKUP(B226,input_429100!L:R,7,FALSE),VLOOKUP(tables_429100!C226,input_429100!A:H,8,FALSE))</f>
        <v>1056235.5769199999</v>
      </c>
      <c r="P226" s="46">
        <f t="shared" ca="1" si="10"/>
        <v>1.0181565229612492E-2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input_429100!A$2</f>
        <v>429100</v>
      </c>
      <c r="B227" s="6">
        <v>598</v>
      </c>
      <c r="C227" s="7" t="str">
        <f t="shared" si="9"/>
        <v>Premium5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5">
        <f ca="1">IFERROR(VLOOKUP(B227,input_429100!L:R,7,FALSE),VLOOKUP(tables_429100!C227,input_429100!A:H,8,FALSE))</f>
        <v>26764.42308</v>
      </c>
      <c r="P227" s="46">
        <f t="shared" ca="1" si="10"/>
        <v>2.5799520994794679E-4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input_429100!A$2</f>
        <v>429100</v>
      </c>
      <c r="B228" s="6">
        <v>599</v>
      </c>
      <c r="C228" s="7" t="str">
        <f t="shared" si="9"/>
        <v>Premium3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IFERROR(VLOOKUP(B228,input_429100!L:R,7,FALSE),VLOOKUP(tables_429100!C228,input_429100!A:H,8,FALSE))</f>
        <v>0</v>
      </c>
      <c r="P228" s="46">
        <f t="shared" ca="1" si="10"/>
        <v>0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input_429100!A$2</f>
        <v>429100</v>
      </c>
      <c r="B229" s="6">
        <v>600</v>
      </c>
      <c r="C229" s="7" t="str">
        <f t="shared" si="9"/>
        <v>Premium4</v>
      </c>
      <c r="D229" s="7" t="str">
        <f t="shared" si="11"/>
        <v>Premium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IFERROR(VLOOKUP(B229,input_429100!L:R,7,FALSE),VLOOKUP(tables_429100!C229,input_429100!A:H,8,FALSE))</f>
        <v>1056235.5769199999</v>
      </c>
      <c r="P229" s="46">
        <f t="shared" ca="1" si="10"/>
        <v>1.0181565229612492E-2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input_429100!A$2</f>
        <v>429100</v>
      </c>
      <c r="B230" s="6">
        <v>601</v>
      </c>
      <c r="C230" s="7" t="str">
        <f t="shared" si="9"/>
        <v>Premium5</v>
      </c>
      <c r="D230" s="7" t="str">
        <f t="shared" si="11"/>
        <v>Premium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IFERROR(VLOOKUP(B230,input_429100!L:R,7,FALSE),VLOOKUP(tables_429100!C230,input_429100!A:H,8,FALSE))</f>
        <v>26764.42308</v>
      </c>
      <c r="P230" s="46">
        <f t="shared" ca="1" si="10"/>
        <v>2.5799520994794679E-4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input_429100!A$2</f>
        <v>429100</v>
      </c>
      <c r="B231" s="6">
        <v>602</v>
      </c>
      <c r="C231" s="7" t="str">
        <f t="shared" si="9"/>
        <v>PremiumSS4</v>
      </c>
      <c r="D231" s="7" t="str">
        <f t="shared" si="11"/>
        <v>PremiumSS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5">
        <f ca="1">IFERROR(VLOOKUP(B231,input_429100!L:R,7,FALSE),VLOOKUP(tables_429100!C231,input_429100!A:H,8,FALSE))</f>
        <v>86450</v>
      </c>
      <c r="P231" s="46">
        <f t="shared" ca="1" si="10"/>
        <v>8.3333333333333339E-4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input_429100!A$2</f>
        <v>429100</v>
      </c>
      <c r="B232" s="6">
        <v>603</v>
      </c>
      <c r="C232" s="7" t="str">
        <f t="shared" si="9"/>
        <v>PremiumSS5</v>
      </c>
      <c r="D232" s="7" t="str">
        <f t="shared" si="11"/>
        <v>PremiumSS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5">
        <f ca="1">IFERROR(VLOOKUP(B232,input_429100!L:R,7,FALSE),VLOOKUP(tables_429100!C232,input_429100!A:H,8,FALSE))</f>
        <v>4550</v>
      </c>
      <c r="P232" s="46">
        <f t="shared" ca="1" si="10"/>
        <v>4.3859649122807014E-5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input_429100!A$2</f>
        <v>429100</v>
      </c>
      <c r="B233" s="6">
        <v>604</v>
      </c>
      <c r="C233" s="7" t="str">
        <f t="shared" si="9"/>
        <v>Premium3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5">
        <f ca="1">IFERROR(VLOOKUP(B233,input_429100!L:R,7,FALSE),VLOOKUP(tables_429100!C233,input_429100!A:H,8,FALSE))</f>
        <v>0</v>
      </c>
      <c r="P233" s="46">
        <f t="shared" ca="1" si="10"/>
        <v>0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input_429100!A$2</f>
        <v>429100</v>
      </c>
      <c r="B234" s="6">
        <v>605</v>
      </c>
      <c r="C234" s="7" t="str">
        <f t="shared" si="9"/>
        <v>Premium4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5">
        <f ca="1">IFERROR(VLOOKUP(B234,input_429100!L:R,7,FALSE),VLOOKUP(tables_429100!C234,input_429100!A:H,8,FALSE))</f>
        <v>1056235.5769199999</v>
      </c>
      <c r="P234" s="46">
        <f t="shared" ca="1" si="10"/>
        <v>1.0181565229612492E-2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input_429100!A$2</f>
        <v>429100</v>
      </c>
      <c r="B235" s="6">
        <v>606</v>
      </c>
      <c r="C235" s="7" t="str">
        <f t="shared" si="9"/>
        <v>Premium5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5">
        <f ca="1">IFERROR(VLOOKUP(B235,input_429100!L:R,7,FALSE),VLOOKUP(tables_429100!C235,input_429100!A:H,8,FALSE))</f>
        <v>26764.42308</v>
      </c>
      <c r="P235" s="46">
        <f t="shared" ca="1" si="10"/>
        <v>2.5799520994794679E-4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input_429100!A$2</f>
        <v>429100</v>
      </c>
      <c r="B236" s="6">
        <v>658</v>
      </c>
      <c r="C236" s="7" t="str">
        <f t="shared" si="9"/>
        <v>PremiumSS4</v>
      </c>
      <c r="D236" s="7" t="str">
        <f t="shared" si="11"/>
        <v>PremiumSS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5">
        <f ca="1">IFERROR(VLOOKUP(B236,input_429100!L:R,7,FALSE),VLOOKUP(tables_429100!C236,input_429100!A:H,8,FALSE))</f>
        <v>86450</v>
      </c>
      <c r="P236" s="46">
        <f t="shared" ca="1" si="10"/>
        <v>8.3333333333333339E-4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input_429100!A$2</f>
        <v>429100</v>
      </c>
      <c r="B237" s="6">
        <v>659</v>
      </c>
      <c r="C237" s="7" t="str">
        <f t="shared" si="9"/>
        <v>PremiumSS5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IFERROR(VLOOKUP(B237,input_429100!L:R,7,FALSE),VLOOKUP(tables_429100!C237,input_429100!A:H,8,FALSE))</f>
        <v>4550</v>
      </c>
      <c r="P237" s="46">
        <f t="shared" ca="1" si="10"/>
        <v>4.3859649122807014E-5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input_429100!A$2</f>
        <v>429100</v>
      </c>
      <c r="B238" s="6">
        <v>660</v>
      </c>
      <c r="C238" s="7" t="str">
        <f t="shared" si="9"/>
        <v>PremiumSS4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5">
        <f ca="1">IFERROR(VLOOKUP(B238,input_429100!L:R,7,FALSE),VLOOKUP(tables_429100!C238,input_429100!A:H,8,FALSE))</f>
        <v>86450</v>
      </c>
      <c r="P238" s="46">
        <f t="shared" ca="1" si="10"/>
        <v>8.3333333333333339E-4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input_429100!A$2</f>
        <v>429100</v>
      </c>
      <c r="B239" s="6">
        <v>661</v>
      </c>
      <c r="C239" s="7" t="str">
        <f t="shared" si="9"/>
        <v>PremiumSS5</v>
      </c>
      <c r="D239" s="7" t="str">
        <f t="shared" si="11"/>
        <v>PremiumSS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5">
        <f ca="1">IFERROR(VLOOKUP(B239,input_429100!L:R,7,FALSE),VLOOKUP(tables_429100!C239,input_429100!A:H,8,FALSE))</f>
        <v>4550</v>
      </c>
      <c r="P239" s="46">
        <f t="shared" ca="1" si="10"/>
        <v>4.3859649122807014E-5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input_429100!A$2</f>
        <v>429100</v>
      </c>
      <c r="B240" s="6">
        <v>662</v>
      </c>
      <c r="C240" s="7" t="str">
        <f t="shared" si="9"/>
        <v>Premium3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5">
        <f ca="1">IFERROR(VLOOKUP(B240,input_429100!L:R,7,FALSE),VLOOKUP(tables_429100!C240,input_429100!A:H,8,FALSE))</f>
        <v>0</v>
      </c>
      <c r="P240" s="46">
        <f t="shared" ca="1" si="10"/>
        <v>0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input_429100!A$2</f>
        <v>429100</v>
      </c>
      <c r="B241" s="6">
        <v>663</v>
      </c>
      <c r="C241" s="7" t="str">
        <f t="shared" si="9"/>
        <v>Premium4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5">
        <f ca="1">IFERROR(VLOOKUP(B241,input_429100!L:R,7,FALSE),VLOOKUP(tables_429100!C241,input_429100!A:H,8,FALSE))</f>
        <v>1056235.5769199999</v>
      </c>
      <c r="P241" s="46">
        <f t="shared" ca="1" si="10"/>
        <v>1.0181565229612492E-2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input_429100!A$2</f>
        <v>429100</v>
      </c>
      <c r="B242" s="6">
        <v>664</v>
      </c>
      <c r="C242" s="7" t="str">
        <f t="shared" si="9"/>
        <v>Premium5</v>
      </c>
      <c r="D242" s="7" t="str">
        <f t="shared" si="11"/>
        <v>Premium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5">
        <f ca="1">IFERROR(VLOOKUP(B242,input_429100!L:R,7,FALSE),VLOOKUP(tables_429100!C242,input_429100!A:H,8,FALSE))</f>
        <v>26764.42308</v>
      </c>
      <c r="P242" s="46">
        <f t="shared" ca="1" si="10"/>
        <v>2.5799520994794679E-4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input_429100!A$2</f>
        <v>429100</v>
      </c>
      <c r="B243" s="6">
        <v>665</v>
      </c>
      <c r="C243" s="7" t="str">
        <f t="shared" si="9"/>
        <v>Premium3</v>
      </c>
      <c r="D243" s="7" t="str">
        <f t="shared" si="11"/>
        <v>Premium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5">
        <f ca="1">IFERROR(VLOOKUP(B243,input_429100!L:R,7,FALSE),VLOOKUP(tables_429100!C243,input_429100!A:H,8,FALSE))</f>
        <v>0</v>
      </c>
      <c r="P243" s="46">
        <f t="shared" ca="1" si="10"/>
        <v>0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input_429100!A$2</f>
        <v>429100</v>
      </c>
      <c r="B244" s="6">
        <v>666</v>
      </c>
      <c r="C244" s="7" t="str">
        <f t="shared" si="9"/>
        <v>Premium4</v>
      </c>
      <c r="D244" s="7" t="str">
        <f t="shared" si="11"/>
        <v>Premium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5">
        <f ca="1">IFERROR(VLOOKUP(B244,input_429100!L:R,7,FALSE),VLOOKUP(tables_429100!C244,input_429100!A:H,8,FALSE))</f>
        <v>1056235.5769199999</v>
      </c>
      <c r="P244" s="46">
        <f t="shared" ca="1" si="10"/>
        <v>1.0181565229612492E-2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input_429100!A$2</f>
        <v>429100</v>
      </c>
      <c r="B245" s="6">
        <v>667</v>
      </c>
      <c r="C245" s="7" t="str">
        <f t="shared" si="9"/>
        <v>Premium5</v>
      </c>
      <c r="D245" s="7" t="str">
        <f t="shared" si="11"/>
        <v>Premium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5">
        <f ca="1">IFERROR(VLOOKUP(B245,input_429100!L:R,7,FALSE),VLOOKUP(tables_429100!C245,input_429100!A:H,8,FALSE))</f>
        <v>26764.42308</v>
      </c>
      <c r="P245" s="46">
        <f t="shared" ca="1" si="10"/>
        <v>2.5799520994794679E-4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input_429100!A$2</f>
        <v>429100</v>
      </c>
      <c r="B246" s="60">
        <v>668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5">
        <f ca="1">IFERROR(VLOOKUP(B246,input_429100!L:R,7,FALSE),VLOOKUP(tables_429100!C246,input_429100!A:H,8,FALSE))</f>
        <v>0</v>
      </c>
      <c r="P246" s="46">
        <f t="shared" ca="1" si="10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input_429100!A$2</f>
        <v>429100</v>
      </c>
      <c r="B247" s="60">
        <v>669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5">
        <f ca="1">IFERROR(VLOOKUP(B247,input_429100!L:R,7,FALSE),VLOOKUP(tables_429100!C247,input_429100!A:H,8,FALSE))</f>
        <v>1056235.5769199999</v>
      </c>
      <c r="P247" s="46">
        <f t="shared" ca="1" si="10"/>
        <v>1.0181565229612492E-2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input_429100!A$2</f>
        <v>429100</v>
      </c>
      <c r="B248" s="60">
        <v>670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5">
        <f ca="1">IFERROR(VLOOKUP(B248,input_429100!L:R,7,FALSE),VLOOKUP(tables_429100!C248,input_429100!A:H,8,FALSE))</f>
        <v>26764.42308</v>
      </c>
      <c r="P248" s="46">
        <f t="shared" ca="1" si="10"/>
        <v>2.5799520994794679E-4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input_429100!A$2</f>
        <v>429100</v>
      </c>
      <c r="B249" s="60">
        <v>671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5">
        <f ca="1">IFERROR(VLOOKUP(B249,input_429100!L:R,7,FALSE),VLOOKUP(tables_429100!C249,input_429100!A:H,8,FALSE))</f>
        <v>0</v>
      </c>
      <c r="P249" s="46">
        <f t="shared" ca="1" si="10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input_429100!A$2</f>
        <v>429100</v>
      </c>
      <c r="B250" s="60">
        <v>672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5">
        <f ca="1">IFERROR(VLOOKUP(B250,input_429100!L:R,7,FALSE),VLOOKUP(tables_429100!C250,input_429100!A:H,8,FALSE))</f>
        <v>1056235.5769199999</v>
      </c>
      <c r="P250" s="46">
        <f t="shared" ca="1" si="10"/>
        <v>1.0181565229612492E-2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input_429100!A$2</f>
        <v>429100</v>
      </c>
      <c r="B251" s="60">
        <v>673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5">
        <f ca="1">IFERROR(VLOOKUP(B251,input_429100!L:R,7,FALSE),VLOOKUP(tables_429100!C251,input_429100!A:H,8,FALSE))</f>
        <v>26764.42308</v>
      </c>
      <c r="P251" s="46">
        <f t="shared" ca="1" si="10"/>
        <v>2.5799520994794679E-4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input_429100!A$2</f>
        <v>429100</v>
      </c>
      <c r="B252" s="60">
        <v>674</v>
      </c>
      <c r="C252" s="7" t="str">
        <f t="shared" si="9"/>
        <v>PremiumSS4</v>
      </c>
      <c r="D252" s="7" t="str">
        <f t="shared" si="11"/>
        <v>PremiumSS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5">
        <f ca="1">IFERROR(VLOOKUP(B252,input_429100!L:R,7,FALSE),VLOOKUP(tables_429100!C252,input_429100!A:H,8,FALSE))</f>
        <v>86450</v>
      </c>
      <c r="P252" s="46">
        <f t="shared" ca="1" si="10"/>
        <v>8.3333333333333339E-4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input_429100!A$2</f>
        <v>429100</v>
      </c>
      <c r="B253" s="60">
        <v>675</v>
      </c>
      <c r="C253" s="7" t="str">
        <f t="shared" si="9"/>
        <v>PremiumSS5</v>
      </c>
      <c r="D253" s="7" t="str">
        <f t="shared" si="11"/>
        <v>PremiumSS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5">
        <f ca="1">IFERROR(VLOOKUP(B253,input_429100!L:R,7,FALSE),VLOOKUP(tables_429100!C253,input_429100!A:H,8,FALSE))</f>
        <v>4550</v>
      </c>
      <c r="P253" s="46">
        <f t="shared" ca="1" si="10"/>
        <v>4.3859649122807014E-5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input_429100!A$2</f>
        <v>429100</v>
      </c>
      <c r="B254" s="60">
        <v>676</v>
      </c>
      <c r="C254" s="7" t="str">
        <f t="shared" si="9"/>
        <v>PremiumSS4</v>
      </c>
      <c r="D254" s="7" t="str">
        <f t="shared" si="11"/>
        <v>PremiumSS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5">
        <f ca="1">IFERROR(VLOOKUP(B254,input_429100!L:R,7,FALSE),VLOOKUP(tables_429100!C254,input_429100!A:H,8,FALSE))</f>
        <v>86450</v>
      </c>
      <c r="P254" s="46">
        <f t="shared" ca="1" si="10"/>
        <v>8.3333333333333339E-4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input_429100!A$2</f>
        <v>429100</v>
      </c>
      <c r="B255" s="60">
        <v>677</v>
      </c>
      <c r="C255" s="7" t="str">
        <f t="shared" si="9"/>
        <v>PremiumSS5</v>
      </c>
      <c r="D255" s="7" t="str">
        <f t="shared" si="11"/>
        <v>PremiumSS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5">
        <f ca="1">IFERROR(VLOOKUP(B255,input_429100!L:R,7,FALSE),VLOOKUP(tables_429100!C255,input_429100!A:H,8,FALSE))</f>
        <v>4550</v>
      </c>
      <c r="P255" s="46">
        <f t="shared" ca="1" si="10"/>
        <v>4.3859649122807014E-5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input_429100!A$2</f>
        <v>429100</v>
      </c>
      <c r="B256" s="60">
        <v>728</v>
      </c>
      <c r="C256" s="7" t="str">
        <f t="shared" si="9"/>
        <v>Premium4R3less</v>
      </c>
      <c r="D256" s="7" t="str">
        <f t="shared" si="11"/>
        <v>Premium</v>
      </c>
      <c r="E256" s="7" t="str">
        <f>IF(COUNTIF('R6追加前'!A:A,B256)=0,IF(OR(I256="PremiumSS",I256="PremiumSSw"),"R5only","R3less"),"")</f>
        <v>R3less</v>
      </c>
      <c r="F256" s="7" t="str">
        <f>IF(COUNTIF('R6開放'!A:A,B256)&gt;0,"R6release","")</f>
        <v/>
      </c>
      <c r="G256" s="7"/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5">
        <f ca="1">IFERROR(VLOOKUP(B256,input_429100!L:R,7,FALSE),VLOOKUP(tables_429100!C256,input_429100!A:H,8,FALSE))</f>
        <v>1028850</v>
      </c>
      <c r="P256" s="46">
        <f t="shared" ca="1" si="10"/>
        <v>9.9175824175824177E-3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input_429100!A$2</f>
        <v>429100</v>
      </c>
      <c r="B257" s="60">
        <v>729</v>
      </c>
      <c r="C257" s="7" t="str">
        <f t="shared" si="9"/>
        <v>Premium5R3less</v>
      </c>
      <c r="D257" s="7" t="str">
        <f t="shared" si="11"/>
        <v>Premium</v>
      </c>
      <c r="E257" s="7" t="str">
        <f>IF(COUNTIF('R6追加前'!A:A,B257)=0,IF(OR(I257="PremiumSS",I257="PremiumSSw"),"R5only","R3less"),"")</f>
        <v>R3less</v>
      </c>
      <c r="F257" s="7" t="str">
        <f>IF(COUNTIF('R6開放'!A:A,B257)&gt;0,"R6release","")</f>
        <v/>
      </c>
      <c r="G257" s="7"/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5">
        <f ca="1">IFERROR(VLOOKUP(B257,input_429100!L:R,7,FALSE),VLOOKUP(tables_429100!C257,input_429100!A:H,8,FALSE))</f>
        <v>54150</v>
      </c>
      <c r="P257" s="46">
        <f t="shared" ca="1" si="10"/>
        <v>5.2197802197802203E-4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input_429100!A$2</f>
        <v>429100</v>
      </c>
      <c r="B258" s="60">
        <v>730</v>
      </c>
      <c r="C258" s="7" t="str">
        <f t="shared" ref="C258:C283" si="12">D258&amp;J258&amp;E258&amp;F258&amp;G258</f>
        <v>Premium4R3less</v>
      </c>
      <c r="D258" s="7" t="str">
        <f t="shared" si="11"/>
        <v>Premium</v>
      </c>
      <c r="E258" s="7" t="str">
        <f>IF(COUNTIF('R6追加前'!A:A,B258)=0,IF(OR(I258="PremiumSS",I258="PremiumSSw"),"R5only","R3less"),"")</f>
        <v>R3less</v>
      </c>
      <c r="F258" s="7" t="str">
        <f>IF(COUNTIF('R6開放'!A:A,B258)&gt;0,"R6release","")</f>
        <v/>
      </c>
      <c r="G258" s="7"/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5">
        <f ca="1">IFERROR(VLOOKUP(B258,input_429100!L:R,7,FALSE),VLOOKUP(tables_429100!C258,input_429100!A:H,8,FALSE))</f>
        <v>1028850</v>
      </c>
      <c r="P258" s="46">
        <f t="shared" ref="P258:P294" ca="1" si="13">O258/SUM(O:O)</f>
        <v>9.9175824175824177E-3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input_429100!A$2</f>
        <v>429100</v>
      </c>
      <c r="B259" s="60">
        <v>731</v>
      </c>
      <c r="C259" s="7" t="str">
        <f t="shared" si="12"/>
        <v>Premium5R3less</v>
      </c>
      <c r="D259" s="7" t="str">
        <f t="shared" ref="D259:D309" si="14">IF(OR(I259="PremiumSS",I259="PremiumSSw"),"PremiumSS",IF(I259="PremiumSSS",I259,IF(I259="PremiumW",I259,"Premium")))</f>
        <v>Premium</v>
      </c>
      <c r="E259" s="7" t="str">
        <f>IF(COUNTIF('R6追加前'!A:A,B259)=0,IF(OR(I259="PremiumSS",I259="PremiumSSw"),"R5only","R3less"),"")</f>
        <v>R3less</v>
      </c>
      <c r="F259" s="7" t="str">
        <f>IF(COUNTIF('R6開放'!A:A,B259)&gt;0,"R6release","")</f>
        <v/>
      </c>
      <c r="G259" s="7"/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5">
        <f ca="1">IFERROR(VLOOKUP(B259,input_429100!L:R,7,FALSE),VLOOKUP(tables_429100!C259,input_429100!A:H,8,FALSE))</f>
        <v>54150</v>
      </c>
      <c r="P259" s="46">
        <f t="shared" ca="1" si="13"/>
        <v>5.2197802197802203E-4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input_429100!A$2</f>
        <v>429100</v>
      </c>
      <c r="B260" s="60">
        <v>732</v>
      </c>
      <c r="C260" s="7" t="str">
        <f t="shared" si="12"/>
        <v>PremiumSS5R5only</v>
      </c>
      <c r="D260" s="7" t="str">
        <f t="shared" si="14"/>
        <v>PremiumSS</v>
      </c>
      <c r="E260" s="7" t="str">
        <f>IF(COUNTIF('R6追加前'!A:A,B260)=0,IF(OR(I260="PremiumSS",I260="PremiumSSw"),"R5only","R3less"),"")</f>
        <v>R5only</v>
      </c>
      <c r="F260" s="7" t="str">
        <f>IF(COUNTIF('R6開放'!A:A,B260)&gt;0,"R6release","")</f>
        <v/>
      </c>
      <c r="G260" s="7"/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5">
        <f ca="1">IFERROR(VLOOKUP(B260,input_429100!L:R,7,FALSE),VLOOKUP(tables_429100!C260,input_429100!A:H,8,FALSE))</f>
        <v>91000</v>
      </c>
      <c r="P260" s="46">
        <f t="shared" ca="1" si="13"/>
        <v>8.7719298245614037E-4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input_429100!A$2</f>
        <v>429100</v>
      </c>
      <c r="B261" s="60">
        <v>734</v>
      </c>
      <c r="C261" s="7" t="str">
        <f t="shared" si="12"/>
        <v>PremiumSS5R5only</v>
      </c>
      <c r="D261" s="7" t="str">
        <f t="shared" si="14"/>
        <v>PremiumSS</v>
      </c>
      <c r="E261" s="7" t="str">
        <f>IF(COUNTIF('R6追加前'!A:A,B261)=0,IF(OR(I261="PremiumSS",I261="PremiumSSw"),"R5only","R3less"),"")</f>
        <v>R5only</v>
      </c>
      <c r="F261" s="7" t="str">
        <f>IF(COUNTIF('R6開放'!A:A,B261)&gt;0,"R6release","")</f>
        <v/>
      </c>
      <c r="G261" s="7"/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5">
        <f ca="1">IFERROR(VLOOKUP(B261,input_429100!L:R,7,FALSE),VLOOKUP(tables_429100!C261,input_429100!A:H,8,FALSE))</f>
        <v>91000</v>
      </c>
      <c r="P261" s="46">
        <f t="shared" ca="1" si="13"/>
        <v>8.7719298245614037E-4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input_429100!A$2</f>
        <v>429100</v>
      </c>
      <c r="B262" s="60">
        <v>770</v>
      </c>
      <c r="C262" s="7" t="str">
        <f t="shared" si="12"/>
        <v>PremiumSS4</v>
      </c>
      <c r="D262" s="7" t="str">
        <f t="shared" si="14"/>
        <v>PremiumSS</v>
      </c>
      <c r="E262" s="7" t="str">
        <f>IF(COUNTIF('R6追加前'!A:A,B262)=0,IF(OR(I262="PremiumSS",I262="PremiumSSw"),"R5only","R3less"),"")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5">
        <f ca="1">IFERROR(VLOOKUP(B262,input_429100!L:R,7,FALSE),VLOOKUP(tables_429100!C262,input_429100!A:H,8,FALSE))</f>
        <v>86450</v>
      </c>
      <c r="P262" s="46">
        <f t="shared" ca="1" si="13"/>
        <v>8.3333333333333339E-4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input_429100!A$2</f>
        <v>429100</v>
      </c>
      <c r="B263" s="60">
        <v>771</v>
      </c>
      <c r="C263" s="7" t="str">
        <f t="shared" si="12"/>
        <v>PremiumSS5</v>
      </c>
      <c r="D263" s="7" t="str">
        <f t="shared" si="14"/>
        <v>PremiumSS</v>
      </c>
      <c r="E263" s="7" t="str">
        <f>IF(COUNTIF('R6追加前'!A:A,B263)=0,IF(OR(I263="PremiumSS",I263="PremiumSSw"),"R5only","R3less"),"")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5">
        <f ca="1">IFERROR(VLOOKUP(B263,input_429100!L:R,7,FALSE),VLOOKUP(tables_429100!C263,input_429100!A:H,8,FALSE))</f>
        <v>4550</v>
      </c>
      <c r="P263" s="46">
        <f t="shared" ca="1" si="13"/>
        <v>4.3859649122807014E-5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input_429100!A$2</f>
        <v>429100</v>
      </c>
      <c r="B264" s="60">
        <v>772</v>
      </c>
      <c r="C264" s="7" t="str">
        <f t="shared" si="12"/>
        <v>PremiumSS4</v>
      </c>
      <c r="D264" s="7" t="str">
        <f t="shared" si="14"/>
        <v>PremiumSS</v>
      </c>
      <c r="E264" s="7" t="str">
        <f>IF(COUNTIF('R6追加前'!A:A,B264)=0,IF(OR(I264="PremiumSS",I264="PremiumSSw"),"R5only","R3less"),"")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5">
        <f ca="1">IFERROR(VLOOKUP(B264,input_429100!L:R,7,FALSE),VLOOKUP(tables_429100!C264,input_429100!A:H,8,FALSE))</f>
        <v>86450</v>
      </c>
      <c r="P264" s="46">
        <f t="shared" ca="1" si="13"/>
        <v>8.3333333333333339E-4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input_429100!A$2</f>
        <v>429100</v>
      </c>
      <c r="B265" s="60">
        <v>773</v>
      </c>
      <c r="C265" s="7" t="str">
        <f t="shared" si="12"/>
        <v>PremiumSS5</v>
      </c>
      <c r="D265" s="7" t="str">
        <f t="shared" si="14"/>
        <v>PremiumSS</v>
      </c>
      <c r="E265" s="7" t="str">
        <f>IF(COUNTIF('R6追加前'!A:A,B265)=0,IF(OR(I265="PremiumSS",I265="PremiumSSw"),"R5only","R3less"),"")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5">
        <f ca="1">IFERROR(VLOOKUP(B265,input_429100!L:R,7,FALSE),VLOOKUP(tables_429100!C265,input_429100!A:H,8,FALSE))</f>
        <v>4550</v>
      </c>
      <c r="P265" s="46">
        <f t="shared" ca="1" si="13"/>
        <v>4.3859649122807014E-5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input_429100!A$2</f>
        <v>429100</v>
      </c>
      <c r="B266" s="60">
        <v>774</v>
      </c>
      <c r="C266" s="7" t="str">
        <f t="shared" si="12"/>
        <v>Premium3</v>
      </c>
      <c r="D266" s="7" t="str">
        <f t="shared" si="14"/>
        <v>Premium</v>
      </c>
      <c r="E266" s="7" t="str">
        <f>IF(COUNTIF('R6追加前'!A:A,B266)=0,IF(OR(I266="PremiumSS",I266="PremiumSSw"),"R5only","R3less"),"")</f>
        <v/>
      </c>
      <c r="F266" s="7" t="str">
        <f>IF(COUNTIF('R6開放'!A:A,B266)&gt;0,"R6release","")</f>
        <v/>
      </c>
      <c r="G266" s="7"/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5">
        <f ca="1">IFERROR(VLOOKUP(B266,input_429100!L:R,7,FALSE),VLOOKUP(tables_429100!C266,input_429100!A:H,8,FALSE))</f>
        <v>0</v>
      </c>
      <c r="P266" s="46">
        <f t="shared" ca="1" si="13"/>
        <v>0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input_429100!A$2</f>
        <v>429100</v>
      </c>
      <c r="B267" s="60">
        <v>775</v>
      </c>
      <c r="C267" s="7" t="str">
        <f t="shared" si="12"/>
        <v>Premium4</v>
      </c>
      <c r="D267" s="7" t="str">
        <f t="shared" si="14"/>
        <v>Premium</v>
      </c>
      <c r="E267" s="7" t="str">
        <f>IF(COUNTIF('R6追加前'!A:A,B267)=0,IF(OR(I267="PremiumSS",I267="PremiumSSw"),"R5only","R3less"),"")</f>
        <v/>
      </c>
      <c r="F267" s="7" t="str">
        <f>IF(COUNTIF('R6開放'!A:A,B267)&gt;0,"R6release","")</f>
        <v/>
      </c>
      <c r="G267" s="7"/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5">
        <f ca="1">IFERROR(VLOOKUP(B267,input_429100!L:R,7,FALSE),VLOOKUP(tables_429100!C267,input_429100!A:H,8,FALSE))</f>
        <v>1056235.5769199999</v>
      </c>
      <c r="P267" s="46">
        <f t="shared" ca="1" si="13"/>
        <v>1.0181565229612492E-2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input_429100!A$2</f>
        <v>429100</v>
      </c>
      <c r="B268" s="60">
        <v>776</v>
      </c>
      <c r="C268" s="7" t="str">
        <f t="shared" si="12"/>
        <v>Premium5</v>
      </c>
      <c r="D268" s="7" t="str">
        <f t="shared" si="14"/>
        <v>Premium</v>
      </c>
      <c r="E268" s="7" t="str">
        <f>IF(COUNTIF('R6追加前'!A:A,B268)=0,IF(OR(I268="PremiumSS",I268="PremiumSSw"),"R5only","R3less"),"")</f>
        <v/>
      </c>
      <c r="F268" s="7" t="str">
        <f>IF(COUNTIF('R6開放'!A:A,B268)&gt;0,"R6release","")</f>
        <v/>
      </c>
      <c r="G268" s="7"/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5">
        <f ca="1">IFERROR(VLOOKUP(B268,input_429100!L:R,7,FALSE),VLOOKUP(tables_429100!C268,input_429100!A:H,8,FALSE))</f>
        <v>26764.42308</v>
      </c>
      <c r="P268" s="46">
        <f t="shared" ca="1" si="13"/>
        <v>2.5799520994794679E-4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input_429100!A$2</f>
        <v>429100</v>
      </c>
      <c r="B269" s="60">
        <v>777</v>
      </c>
      <c r="C269" s="7" t="str">
        <f t="shared" si="12"/>
        <v>Premium3</v>
      </c>
      <c r="D269" s="7" t="str">
        <f t="shared" si="14"/>
        <v>Premium</v>
      </c>
      <c r="E269" s="7" t="str">
        <f>IF(COUNTIF('R6追加前'!A:A,B269)=0,IF(OR(I269="PremiumSS",I269="PremiumSSw"),"R5only","R3less"),"")</f>
        <v/>
      </c>
      <c r="F269" s="7" t="str">
        <f>IF(COUNTIF('R6開放'!A:A,B269)&gt;0,"R6release","")</f>
        <v/>
      </c>
      <c r="G269" s="7"/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5">
        <f ca="1">IFERROR(VLOOKUP(B269,input_429100!L:R,7,FALSE),VLOOKUP(tables_429100!C269,input_429100!A:H,8,FALSE))</f>
        <v>0</v>
      </c>
      <c r="P269" s="46">
        <f t="shared" ca="1" si="13"/>
        <v>0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input_429100!A$2</f>
        <v>429100</v>
      </c>
      <c r="B270" s="60">
        <v>778</v>
      </c>
      <c r="C270" s="7" t="str">
        <f t="shared" si="12"/>
        <v>Premium4</v>
      </c>
      <c r="D270" s="7" t="str">
        <f t="shared" si="14"/>
        <v>Premium</v>
      </c>
      <c r="E270" s="7" t="str">
        <f>IF(COUNTIF('R6追加前'!A:A,B270)=0,IF(OR(I270="PremiumSS",I270="PremiumSSw"),"R5only","R3less"),"")</f>
        <v/>
      </c>
      <c r="F270" s="7" t="str">
        <f>IF(COUNTIF('R6開放'!A:A,B270)&gt;0,"R6release","")</f>
        <v/>
      </c>
      <c r="G270" s="7"/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5">
        <f ca="1">IFERROR(VLOOKUP(B270,input_429100!L:R,7,FALSE),VLOOKUP(tables_429100!C270,input_429100!A:H,8,FALSE))</f>
        <v>1056235.5769199999</v>
      </c>
      <c r="P270" s="46">
        <f t="shared" ca="1" si="13"/>
        <v>1.0181565229612492E-2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input_429100!A$2</f>
        <v>429100</v>
      </c>
      <c r="B271" s="60">
        <v>779</v>
      </c>
      <c r="C271" s="7" t="str">
        <f t="shared" si="12"/>
        <v>Premium5</v>
      </c>
      <c r="D271" s="7" t="str">
        <f t="shared" si="14"/>
        <v>Premium</v>
      </c>
      <c r="E271" s="7" t="str">
        <f>IF(COUNTIF('R6追加前'!A:A,B271)=0,IF(OR(I271="PremiumSS",I271="PremiumSSw"),"R5only","R3less"),"")</f>
        <v/>
      </c>
      <c r="F271" s="7" t="str">
        <f>IF(COUNTIF('R6開放'!A:A,B271)&gt;0,"R6release","")</f>
        <v/>
      </c>
      <c r="G271" s="7"/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5">
        <f ca="1">IFERROR(VLOOKUP(B271,input_429100!L:R,7,FALSE),VLOOKUP(tables_429100!C271,input_429100!A:H,8,FALSE))</f>
        <v>26764.42308</v>
      </c>
      <c r="P271" s="46">
        <f t="shared" ca="1" si="13"/>
        <v>2.5799520994794679E-4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input_429100!A$2</f>
        <v>429100</v>
      </c>
      <c r="B272" s="81">
        <v>848</v>
      </c>
      <c r="C272" s="7" t="str">
        <f t="shared" si="12"/>
        <v>PremiumSS5R5only</v>
      </c>
      <c r="D272" s="7" t="str">
        <f t="shared" si="14"/>
        <v>PremiumSS</v>
      </c>
      <c r="E272" s="7" t="str">
        <f>IF(COUNTIF('R6追加前'!A:A,B272)=0,IF(OR(I272="PremiumSS",I272="PremiumSSw"),"R5only","R3less"),"")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5">
        <f ca="1">IFERROR(VLOOKUP(B272,input_429100!L:R,7,FALSE),VLOOKUP(tables_429100!C272,input_429100!A:H,8,FALSE))</f>
        <v>91000</v>
      </c>
      <c r="P272" s="46">
        <f t="shared" ca="1" si="13"/>
        <v>8.7719298245614037E-4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input_429100!A$2</f>
        <v>429100</v>
      </c>
      <c r="B273" s="81">
        <v>850</v>
      </c>
      <c r="C273" s="7" t="str">
        <f t="shared" si="12"/>
        <v>PremiumSS5R5only</v>
      </c>
      <c r="D273" s="7" t="str">
        <f t="shared" si="14"/>
        <v>PremiumSS</v>
      </c>
      <c r="E273" s="7" t="str">
        <f>IF(COUNTIF('R6追加前'!A:A,B273)=0,IF(OR(I273="PremiumSS",I273="PremiumSSw"),"R5only","R3less"),"")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5">
        <f ca="1">IFERROR(VLOOKUP(B273,input_429100!L:R,7,FALSE),VLOOKUP(tables_429100!C273,input_429100!A:H,8,FALSE))</f>
        <v>91000</v>
      </c>
      <c r="P273" s="46">
        <f t="shared" ca="1" si="13"/>
        <v>8.7719298245614037E-4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input_429100!A$2</f>
        <v>429100</v>
      </c>
      <c r="B274" s="81">
        <v>852</v>
      </c>
      <c r="C274" s="7" t="str">
        <f t="shared" si="12"/>
        <v>Premium4R3less</v>
      </c>
      <c r="D274" s="7" t="str">
        <f t="shared" si="14"/>
        <v>Premium</v>
      </c>
      <c r="E274" s="7" t="str">
        <f>IF(COUNTIF('R6追加前'!A:A,B274)=0,IF(OR(I274="PremiumSS",I274="PremiumSSw"),"R5only","R3less"),"")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5">
        <f ca="1">IFERROR(VLOOKUP(B274,input_429100!L:R,7,FALSE),VLOOKUP(tables_429100!C274,input_429100!A:H,8,FALSE))</f>
        <v>1028850</v>
      </c>
      <c r="P274" s="46">
        <f t="shared" ca="1" si="13"/>
        <v>9.9175824175824177E-3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input_429100!A$2</f>
        <v>429100</v>
      </c>
      <c r="B275" s="81">
        <v>853</v>
      </c>
      <c r="C275" s="7" t="str">
        <f t="shared" si="12"/>
        <v>Premium5R3less</v>
      </c>
      <c r="D275" s="7" t="str">
        <f t="shared" si="14"/>
        <v>Premium</v>
      </c>
      <c r="E275" s="7" t="str">
        <f>IF(COUNTIF('R6追加前'!A:A,B275)=0,IF(OR(I275="PremiumSS",I275="PremiumSSw"),"R5only","R3less"),"")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5">
        <f ca="1">IFERROR(VLOOKUP(B275,input_429100!L:R,7,FALSE),VLOOKUP(tables_429100!C275,input_429100!A:H,8,FALSE))</f>
        <v>54150</v>
      </c>
      <c r="P275" s="46">
        <f t="shared" ca="1" si="13"/>
        <v>5.2197802197802203E-4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input_429100!A$2</f>
        <v>429100</v>
      </c>
      <c r="B276" s="81">
        <v>854</v>
      </c>
      <c r="C276" s="7" t="str">
        <f t="shared" si="12"/>
        <v>Premium4R3less</v>
      </c>
      <c r="D276" s="7" t="str">
        <f t="shared" si="14"/>
        <v>Premium</v>
      </c>
      <c r="E276" s="7" t="str">
        <f>IF(COUNTIF('R6追加前'!A:A,B276)=0,IF(OR(I276="PremiumSS",I276="PremiumSSw"),"R5only","R3less"),"")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5">
        <f ca="1">IFERROR(VLOOKUP(B276,input_429100!L:R,7,FALSE),VLOOKUP(tables_429100!C276,input_429100!A:H,8,FALSE))</f>
        <v>1028850</v>
      </c>
      <c r="P276" s="46">
        <f t="shared" ca="1" si="13"/>
        <v>9.9175824175824177E-3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input_429100!A$2</f>
        <v>429100</v>
      </c>
      <c r="B277" s="81">
        <v>855</v>
      </c>
      <c r="C277" s="7" t="str">
        <f t="shared" si="12"/>
        <v>Premium5R3less</v>
      </c>
      <c r="D277" s="7" t="str">
        <f t="shared" si="14"/>
        <v>Premium</v>
      </c>
      <c r="E277" s="7" t="str">
        <f>IF(COUNTIF('R6追加前'!A:A,B277)=0,IF(OR(I277="PremiumSS",I277="PremiumSSw"),"R5only","R3less"),"")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5">
        <f ca="1">IFERROR(VLOOKUP(B277,input_429100!L:R,7,FALSE),VLOOKUP(tables_429100!C277,input_429100!A:H,8,FALSE))</f>
        <v>54150</v>
      </c>
      <c r="P277" s="46">
        <f t="shared" ca="1" si="13"/>
        <v>5.2197802197802203E-4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input_429100!A$2</f>
        <v>429100</v>
      </c>
      <c r="B278" s="81">
        <v>862</v>
      </c>
      <c r="C278" s="7" t="str">
        <f t="shared" si="12"/>
        <v>Premium4R3less</v>
      </c>
      <c r="D278" s="7" t="str">
        <f t="shared" si="14"/>
        <v>Premium</v>
      </c>
      <c r="E278" s="7" t="str">
        <f>IF(COUNTIF('R6追加前'!A:A,B278)=0,IF(OR(I278="PremiumSS",I278="PremiumSSw"),"R5only","R3less"),"")</f>
        <v>R3less</v>
      </c>
      <c r="F278" s="7" t="str">
        <f>IF(COUNTIF('R6開放'!A:A,B278)&gt;0,"R6release","")</f>
        <v/>
      </c>
      <c r="G278" s="7"/>
      <c r="H278" s="7" t="str">
        <f>VLOOKUP(B278,[1]characters!$A:$C,3,FALSE)</f>
        <v>ブレーメン</v>
      </c>
      <c r="I278" s="7" t="str">
        <f>VLOOKUP(B278,[1]characters!$A:$J,10,FALSE)</f>
        <v>PremiumS</v>
      </c>
      <c r="J278" s="7">
        <f>VLOOKUP(B278,[1]characters!$A:$I,9,FALSE)</f>
        <v>4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5">
        <f ca="1">IFERROR(VLOOKUP(B278,input_429100!L:R,7,FALSE),VLOOKUP(tables_429100!C278,input_429100!A:H,8,FALSE))</f>
        <v>1028850</v>
      </c>
      <c r="P278" s="46">
        <f t="shared" ca="1" si="13"/>
        <v>9.9175824175824177E-3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input_429100!A$2</f>
        <v>429100</v>
      </c>
      <c r="B279" s="81">
        <v>863</v>
      </c>
      <c r="C279" s="7" t="str">
        <f t="shared" si="12"/>
        <v>Premium5R3less</v>
      </c>
      <c r="D279" s="7" t="str">
        <f t="shared" si="14"/>
        <v>Premium</v>
      </c>
      <c r="E279" s="7" t="str">
        <f>IF(COUNTIF('R6追加前'!A:A,B279)=0,IF(OR(I279="PremiumSS",I279="PremiumSSw"),"R5only","R3less"),"")</f>
        <v>R3less</v>
      </c>
      <c r="F279" s="7" t="str">
        <f>IF(COUNTIF('R6開放'!A:A,B279)&gt;0,"R6release","")</f>
        <v/>
      </c>
      <c r="G279" s="7"/>
      <c r="H279" s="7" t="str">
        <f>VLOOKUP(B279,[1]characters!$A:$C,3,FALSE)</f>
        <v>歓揮の楽団長 ブレーメン</v>
      </c>
      <c r="I279" s="7" t="str">
        <f>VLOOKUP(B279,[1]characters!$A:$J,10,FALSE)</f>
        <v>PremiumS</v>
      </c>
      <c r="J279" s="7">
        <f>VLOOKUP(B279,[1]characters!$A:$I,9,FALSE)</f>
        <v>5</v>
      </c>
      <c r="K279" s="7" t="str">
        <f>VLOOKUP(B279,[1]characters!$A:$H,8,FALSE)</f>
        <v>red</v>
      </c>
      <c r="L279" s="7" t="str">
        <f>VLOOKUP(B279,[1]characters!$A:$K,11,FALSE)</f>
        <v>balance</v>
      </c>
      <c r="M279" s="7" t="str">
        <f>VLOOKUP(B279,[1]characters!$A:$M,13,FALSE)</f>
        <v>animal</v>
      </c>
      <c r="N279" s="7" t="str">
        <f>VLOOKUP(B279,[1]characters!$A:$G,7,FALSE)</f>
        <v>男性</v>
      </c>
      <c r="O279" s="45">
        <f ca="1">IFERROR(VLOOKUP(B279,input_429100!L:R,7,FALSE),VLOOKUP(tables_429100!C279,input_429100!A:H,8,FALSE))</f>
        <v>54150</v>
      </c>
      <c r="P279" s="46">
        <f t="shared" ca="1" si="13"/>
        <v>5.2197802197802203E-4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input_429100!A$2</f>
        <v>429100</v>
      </c>
      <c r="B280" s="81">
        <v>864</v>
      </c>
      <c r="C280" s="7" t="str">
        <f t="shared" si="12"/>
        <v>Premium4R3less</v>
      </c>
      <c r="D280" s="7" t="str">
        <f t="shared" si="14"/>
        <v>Premium</v>
      </c>
      <c r="E280" s="7" t="str">
        <f>IF(COUNTIF('R6追加前'!A:A,B280)=0,IF(OR(I280="PremiumSS",I280="PremiumSSw"),"R5only","R3less"),"")</f>
        <v>R3less</v>
      </c>
      <c r="F280" s="7" t="str">
        <f>IF(COUNTIF('R6開放'!A:A,B280)&gt;0,"R6release","")</f>
        <v/>
      </c>
      <c r="G280" s="7"/>
      <c r="H280" s="7" t="str">
        <f>VLOOKUP(B280,[1]characters!$A:$C,3,FALSE)</f>
        <v>ピノキオ</v>
      </c>
      <c r="I280" s="7" t="str">
        <f>VLOOKUP(B280,[1]characters!$A:$J,10,FALSE)</f>
        <v>PremiumS</v>
      </c>
      <c r="J280" s="7">
        <f>VLOOKUP(B280,[1]characters!$A:$I,9,FALSE)</f>
        <v>4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5">
        <f ca="1">IFERROR(VLOOKUP(B280,input_429100!L:R,7,FALSE),VLOOKUP(tables_429100!C280,input_429100!A:H,8,FALSE))</f>
        <v>1028850</v>
      </c>
      <c r="P280" s="46">
        <f t="shared" ca="1" si="13"/>
        <v>9.9175824175824177E-3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input_429100!A$2</f>
        <v>429100</v>
      </c>
      <c r="B281" s="81">
        <v>865</v>
      </c>
      <c r="C281" s="7" t="str">
        <f t="shared" si="12"/>
        <v>Premium5R3less</v>
      </c>
      <c r="D281" s="7" t="str">
        <f t="shared" si="14"/>
        <v>Premium</v>
      </c>
      <c r="E281" s="7" t="str">
        <f>IF(COUNTIF('R6追加前'!A:A,B281)=0,IF(OR(I281="PremiumSS",I281="PremiumSSw"),"R5only","R3less"),"")</f>
        <v>R3less</v>
      </c>
      <c r="F281" s="7" t="str">
        <f>IF(COUNTIF('R6開放'!A:A,B281)&gt;0,"R6release","")</f>
        <v/>
      </c>
      <c r="G281" s="7"/>
      <c r="H281" s="7" t="str">
        <f>VLOOKUP(B281,[1]characters!$A:$C,3,FALSE)</f>
        <v>無情の感線 ピノキオ</v>
      </c>
      <c r="I281" s="7" t="str">
        <f>VLOOKUP(B281,[1]characters!$A:$J,10,FALSE)</f>
        <v>PremiumS</v>
      </c>
      <c r="J281" s="7">
        <f>VLOOKUP(B281,[1]characters!$A:$I,9,FALSE)</f>
        <v>5</v>
      </c>
      <c r="K281" s="7" t="str">
        <f>VLOOKUP(B281,[1]characters!$A:$H,8,FALSE)</f>
        <v>green</v>
      </c>
      <c r="L281" s="7" t="str">
        <f>VLOOKUP(B281,[1]characters!$A:$K,11,FALSE)</f>
        <v>attack</v>
      </c>
      <c r="M281" s="7" t="str">
        <f>VLOOKUP(B281,[1]characters!$A:$M,13,FALSE)</f>
        <v>machine</v>
      </c>
      <c r="N281" s="7" t="str">
        <f>VLOOKUP(B281,[1]characters!$A:$G,7,FALSE)</f>
        <v>男性</v>
      </c>
      <c r="O281" s="45">
        <f ca="1">IFERROR(VLOOKUP(B281,input_429100!L:R,7,FALSE),VLOOKUP(tables_429100!C281,input_429100!A:H,8,FALSE))</f>
        <v>54150</v>
      </c>
      <c r="P281" s="46">
        <f t="shared" ca="1" si="13"/>
        <v>5.2197802197802203E-4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input_429100!A$2</f>
        <v>429100</v>
      </c>
      <c r="B282" s="81">
        <v>866</v>
      </c>
      <c r="C282" s="7" t="str">
        <f t="shared" si="12"/>
        <v>PremiumSS5R5only</v>
      </c>
      <c r="D282" s="7" t="str">
        <f t="shared" si="14"/>
        <v>PremiumSS</v>
      </c>
      <c r="E282" s="7" t="str">
        <f>IF(COUNTIF('R6追加前'!A:A,B282)=0,IF(OR(I282="PremiumSS",I282="PremiumSSw"),"R5only","R3less"),"")</f>
        <v>R5only</v>
      </c>
      <c r="F282" s="7" t="str">
        <f>IF(COUNTIF('R6開放'!A:A,B282)&gt;0,"R6release","")</f>
        <v/>
      </c>
      <c r="G282" s="7"/>
      <c r="H282" s="7" t="str">
        <f>VLOOKUP(B282,[1]characters!$A:$C,3,FALSE)</f>
        <v>無敗の司令姫 白雪姫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blue</v>
      </c>
      <c r="L282" s="7" t="str">
        <f>VLOOKUP(B282,[1]characters!$A:$K,11,FALSE)</f>
        <v>balance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5">
        <f ca="1">IFERROR(VLOOKUP(B282,input_429100!L:R,7,FALSE),VLOOKUP(tables_429100!C282,input_429100!A:H,8,FALSE))</f>
        <v>91000</v>
      </c>
      <c r="P282" s="46">
        <f t="shared" ca="1" si="13"/>
        <v>8.7719298245614037E-4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input_429100!A$2</f>
        <v>429100</v>
      </c>
      <c r="B283" s="81">
        <v>868</v>
      </c>
      <c r="C283" s="7" t="str">
        <f t="shared" si="12"/>
        <v>PremiumSS5R5only</v>
      </c>
      <c r="D283" s="7" t="str">
        <f t="shared" si="14"/>
        <v>PremiumSS</v>
      </c>
      <c r="E283" s="7" t="str">
        <f>IF(COUNTIF('R6追加前'!A:A,B283)=0,IF(OR(I283="PremiumSS",I283="PremiumSSw"),"R5only","R3less"),"")</f>
        <v>R5only</v>
      </c>
      <c r="F283" s="7" t="str">
        <f>IF(COUNTIF('R6開放'!A:A,B283)&gt;0,"R6release","")</f>
        <v/>
      </c>
      <c r="G283" s="7"/>
      <c r="H283" s="7" t="str">
        <f>VLOOKUP(B283,[1]characters!$A:$C,3,FALSE)</f>
        <v>アラジンと殲滅機兵LAMP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human</v>
      </c>
      <c r="N283" s="7" t="str">
        <f>VLOOKUP(B283,[1]characters!$A:$G,7,FALSE)</f>
        <v>男性</v>
      </c>
      <c r="O283" s="45">
        <f ca="1">IFERROR(VLOOKUP(B283,input_429100!L:R,7,FALSE),VLOOKUP(tables_429100!C283,input_429100!A:H,8,FALSE))</f>
        <v>91000</v>
      </c>
      <c r="P283" s="46">
        <f t="shared" ca="1" si="13"/>
        <v>8.7719298245614037E-4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input_429100!A$2</f>
        <v>429100</v>
      </c>
      <c r="B284" s="91">
        <v>742</v>
      </c>
      <c r="C284" s="7" t="str">
        <f t="shared" ref="C284" si="15">D284&amp;J284&amp;E284&amp;F284&amp;G284</f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アポロン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attack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IFERROR(VLOOKUP(B284,input_429100!L:R,7,FALSE),VLOOKUP(tables_429100!C284,input_429100!A:H,8,FALSE))</f>
        <v>91000</v>
      </c>
      <c r="P284" s="46">
        <f t="shared" ca="1" si="13"/>
        <v>8.7719298245614037E-4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input_429100!A$2</f>
        <v>429100</v>
      </c>
      <c r="B285" s="91">
        <v>744</v>
      </c>
      <c r="C285" s="7" t="str">
        <f t="shared" ref="C285:C286" si="16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ヘルメス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IFERROR(VLOOKUP(B285,input_429100!L:R,7,FALSE),VLOOKUP(tables_429100!C285,input_429100!A:H,8,FALSE))</f>
        <v>91000</v>
      </c>
      <c r="P285" s="46">
        <f t="shared" ca="1" si="13"/>
        <v>8.7719298245614037E-4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input_429100!A$2</f>
        <v>429100</v>
      </c>
      <c r="B286" s="91">
        <v>746</v>
      </c>
      <c r="C286" s="7" t="str">
        <f t="shared" si="16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ノルン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balance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IFERROR(VLOOKUP(B286,input_429100!L:R,7,FALSE),VLOOKUP(tables_429100!C286,input_429100!A:H,8,FALSE))</f>
        <v>1028850</v>
      </c>
      <c r="P286" s="46">
        <f t="shared" ca="1" si="13"/>
        <v>9.9175824175824177E-3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input_429100!A$2</f>
        <v>429100</v>
      </c>
      <c r="B287" s="91">
        <v>747</v>
      </c>
      <c r="C287" s="7" t="str">
        <f t="shared" ref="C287:C289" si="17">D287&amp;J287&amp;E287&amp;F287&amp;G287</f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潔碧の巡励神 ノルン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balance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IFERROR(VLOOKUP(B287,input_429100!L:R,7,FALSE),VLOOKUP(tables_429100!C287,input_429100!A:H,8,FALSE))</f>
        <v>54150</v>
      </c>
      <c r="P287" s="46">
        <f t="shared" ca="1" si="13"/>
        <v>5.2197802197802203E-4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input_429100!A$2</f>
        <v>429100</v>
      </c>
      <c r="B288" s="91">
        <v>748</v>
      </c>
      <c r="C288" s="7" t="str">
        <f t="shared" si="17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パーン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heal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IFERROR(VLOOKUP(B288,input_429100!L:R,7,FALSE),VLOOKUP(tables_429100!C288,input_429100!A:H,8,FALSE))</f>
        <v>1028850</v>
      </c>
      <c r="P288" s="46">
        <f t="shared" ca="1" si="13"/>
        <v>9.9175824175824177E-3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input_429100!A$2</f>
        <v>429100</v>
      </c>
      <c r="B289" s="91">
        <v>749</v>
      </c>
      <c r="C289" s="7" t="str">
        <f t="shared" si="17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光喜の牧童 パーン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heal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IFERROR(VLOOKUP(B289,input_429100!L:R,7,FALSE),VLOOKUP(tables_429100!C289,input_429100!A:H,8,FALSE))</f>
        <v>54150</v>
      </c>
      <c r="P289" s="46">
        <f t="shared" ca="1" si="13"/>
        <v>5.2197802197802203E-4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input_429100!A$2</f>
        <v>429100</v>
      </c>
      <c r="B290" s="5">
        <v>937</v>
      </c>
      <c r="C290" s="7" t="str">
        <f t="shared" ref="C290:C294" si="18">D290&amp;J290&amp;E290&amp;F290&amp;G290</f>
        <v>PremiumSS5R5only</v>
      </c>
      <c r="D290" s="7" t="str">
        <f t="shared" si="14"/>
        <v>PremiumSS</v>
      </c>
      <c r="E290" s="7" t="str">
        <f>IF(COUNTIF('R6追加前'!A:A,B290)=0,IF(OR(I290="PremiumSS",I290="PremiumSSw"),"R5only","R3less"),"")</f>
        <v>R5only</v>
      </c>
      <c r="F290" s="7" t="str">
        <f>IF(COUNTIF('R6開放'!A:A,B290)&gt;0,"R6release","")</f>
        <v/>
      </c>
      <c r="G290" s="7"/>
      <c r="H290" s="7" t="str">
        <f>VLOOKUP(B290,[1]characters!$A:$C,3,FALSE)</f>
        <v>ナポレオン</v>
      </c>
      <c r="I290" s="7" t="str">
        <f>VLOOKUP(B290,[1]characters!$A:$J,10,FALSE)</f>
        <v>PremiumSS</v>
      </c>
      <c r="J290" s="7">
        <f>VLOOKUP(B290,[1]characters!$A:$I,9,FALSE)</f>
        <v>5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human</v>
      </c>
      <c r="N290" s="7" t="str">
        <f>VLOOKUP(B290,[1]characters!$A:$G,7,FALSE)</f>
        <v>男性</v>
      </c>
      <c r="O290" s="45">
        <f ca="1">IFERROR(VLOOKUP(B290,input_429100!L:R,7,FALSE),VLOOKUP(tables_429100!C290,input_429100!A:H,8,FALSE))</f>
        <v>91000</v>
      </c>
      <c r="P290" s="46">
        <f t="shared" ca="1" si="13"/>
        <v>8.7719298245614037E-4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input_429100!A$2</f>
        <v>429100</v>
      </c>
      <c r="B291" s="5">
        <v>939</v>
      </c>
      <c r="C291" s="7" t="str">
        <f t="shared" si="18"/>
        <v>Premium4R3less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バスティーユ</v>
      </c>
      <c r="I291" s="7" t="str">
        <f>VLOOKUP(B291,[1]characters!$A:$J,10,FALSE)</f>
        <v>PremiumS</v>
      </c>
      <c r="J291" s="7">
        <f>VLOOKUP(B291,[1]characters!$A:$I,9,FALSE)</f>
        <v>4</v>
      </c>
      <c r="K291" s="7" t="str">
        <f>VLOOKUP(B291,[1]characters!$A:$H,8,FALSE)</f>
        <v>green</v>
      </c>
      <c r="L291" s="7" t="str">
        <f>VLOOKUP(B291,[1]characters!$A:$K,11,FALSE)</f>
        <v>hp</v>
      </c>
      <c r="M291" s="7" t="str">
        <f>VLOOKUP(B291,[1]characters!$A:$M,13,FALSE)</f>
        <v>unknown</v>
      </c>
      <c r="N291" s="7" t="str">
        <f>VLOOKUP(B291,[1]characters!$A:$G,7,FALSE)</f>
        <v>男性</v>
      </c>
      <c r="O291" s="45">
        <f ca="1">IFERROR(VLOOKUP(B291,input_429100!L:R,7,FALSE),VLOOKUP(tables_429100!C291,input_429100!A:H,8,FALSE))</f>
        <v>1028850</v>
      </c>
      <c r="P291" s="46">
        <f t="shared" ca="1" si="13"/>
        <v>9.9175824175824177E-3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input_429100!A$2</f>
        <v>429100</v>
      </c>
      <c r="B292" s="5">
        <v>940</v>
      </c>
      <c r="C292" s="7" t="str">
        <f t="shared" si="18"/>
        <v>Premium5R3less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不壊の大要塞 バスティーユ</v>
      </c>
      <c r="I292" s="7" t="str">
        <f>VLOOKUP(B292,[1]characters!$A:$J,10,FALSE)</f>
        <v>PremiumS</v>
      </c>
      <c r="J292" s="7">
        <f>VLOOKUP(B292,[1]characters!$A:$I,9,FALSE)</f>
        <v>5</v>
      </c>
      <c r="K292" s="7" t="str">
        <f>VLOOKUP(B292,[1]characters!$A:$H,8,FALSE)</f>
        <v>green</v>
      </c>
      <c r="L292" s="7" t="str">
        <f>VLOOKUP(B292,[1]characters!$A:$K,11,FALSE)</f>
        <v>hp</v>
      </c>
      <c r="M292" s="7" t="str">
        <f>VLOOKUP(B292,[1]characters!$A:$M,13,FALSE)</f>
        <v>unknown</v>
      </c>
      <c r="N292" s="7" t="str">
        <f>VLOOKUP(B292,[1]characters!$A:$G,7,FALSE)</f>
        <v>男性</v>
      </c>
      <c r="O292" s="45">
        <f ca="1">IFERROR(VLOOKUP(B292,input_429100!L:R,7,FALSE),VLOOKUP(tables_429100!C292,input_429100!A:H,8,FALSE))</f>
        <v>54150</v>
      </c>
      <c r="P292" s="46">
        <f t="shared" ca="1" si="13"/>
        <v>5.2197802197802203E-4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input_429100!A$2</f>
        <v>429100</v>
      </c>
      <c r="B293" s="5">
        <v>941</v>
      </c>
      <c r="C293" s="7" t="str">
        <f t="shared" si="18"/>
        <v>PremiumSS5R5only</v>
      </c>
      <c r="D293" s="7" t="str">
        <f t="shared" si="14"/>
        <v>PremiumSS</v>
      </c>
      <c r="E293" s="7" t="str">
        <f>IF(COUNTIF('R6追加前'!A:A,B293)=0,IF(OR(I293="PremiumSS",I293="PremiumSSw"),"R5only","R3less"),"")</f>
        <v>R5only</v>
      </c>
      <c r="F293" s="7" t="str">
        <f>IF(COUNTIF('R6開放'!A:A,B293)&gt;0,"R6release","")</f>
        <v/>
      </c>
      <c r="G293" s="7"/>
      <c r="H293" s="7" t="str">
        <f>VLOOKUP(B293,[1]characters!$A:$C,3,FALSE)</f>
        <v>アントワネット</v>
      </c>
      <c r="I293" s="7" t="str">
        <f>VLOOKUP(B293,[1]characters!$A:$J,10,FALSE)</f>
        <v>PremiumSS</v>
      </c>
      <c r="J293" s="7">
        <f>VLOOKUP(B293,[1]characters!$A:$I,9,FALSE)</f>
        <v>5</v>
      </c>
      <c r="K293" s="7" t="str">
        <f>VLOOKUP(B293,[1]characters!$A:$H,8,FALSE)</f>
        <v>blue</v>
      </c>
      <c r="L293" s="7" t="str">
        <f>VLOOKUP(B293,[1]characters!$A:$K,11,FALSE)</f>
        <v>technical</v>
      </c>
      <c r="M293" s="7" t="str">
        <f>VLOOKUP(B293,[1]characters!$A:$M,13,FALSE)</f>
        <v>human</v>
      </c>
      <c r="N293" s="7" t="str">
        <f>VLOOKUP(B293,[1]characters!$A:$G,7,FALSE)</f>
        <v>男性</v>
      </c>
      <c r="O293" s="45">
        <f ca="1">IFERROR(VLOOKUP(B293,input_429100!L:R,7,FALSE),VLOOKUP(tables_429100!C293,input_429100!A:H,8,FALSE))</f>
        <v>91000</v>
      </c>
      <c r="P293" s="46">
        <f t="shared" ca="1" si="13"/>
        <v>8.7719298245614037E-4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input_429100!A$2</f>
        <v>429100</v>
      </c>
      <c r="B294" s="5">
        <v>943</v>
      </c>
      <c r="C294" s="7" t="str">
        <f t="shared" si="18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サンソン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yellow</v>
      </c>
      <c r="L294" s="7" t="str">
        <f>VLOOKUP(B294,[1]characters!$A:$K,11,FALSE)</f>
        <v>attack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IFERROR(VLOOKUP(B294,input_429100!L:R,7,FALSE),VLOOKUP(tables_429100!C294,input_429100!A:H,8,FALSE))</f>
        <v>91000</v>
      </c>
      <c r="P294" s="46">
        <f t="shared" ca="1" si="13"/>
        <v>8.7719298245614037E-4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input_429100!A$2</f>
        <v>429100</v>
      </c>
      <c r="B295" s="5">
        <v>1012</v>
      </c>
      <c r="C295" s="7" t="str">
        <f t="shared" ref="C295:C299" si="19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ラー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red</v>
      </c>
      <c r="L295" s="7" t="str">
        <f>VLOOKUP(B295,[1]characters!$A:$K,11,FALSE)</f>
        <v>balance</v>
      </c>
      <c r="M295" s="7" t="str">
        <f>VLOOKUP(B295,[1]characters!$A:$M,13,FALSE)</f>
        <v>god</v>
      </c>
      <c r="N295" s="7" t="str">
        <f>VLOOKUP(B295,[1]characters!$A:$G,7,FALSE)</f>
        <v>男性</v>
      </c>
      <c r="O295" s="45">
        <f ca="1">IFERROR(VLOOKUP(B295,input_429100!L:R,7,FALSE),VLOOKUP(tables_429100!C295,input_429100!A:H,8,FALSE))</f>
        <v>91000</v>
      </c>
      <c r="P295" s="46">
        <f t="shared" ref="P295:P299" ca="1" si="20">O295/SUM(O:O)</f>
        <v>8.7719298245614037E-4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input_429100!A$2</f>
        <v>429100</v>
      </c>
      <c r="B296" s="5">
        <v>1014</v>
      </c>
      <c r="C296" s="7" t="str">
        <f t="shared" si="19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イシス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green</v>
      </c>
      <c r="L296" s="7" t="str">
        <f>VLOOKUP(B296,[1]characters!$A:$K,11,FALSE)</f>
        <v>hp</v>
      </c>
      <c r="M296" s="7" t="str">
        <f>VLOOKUP(B296,[1]characters!$A:$M,13,FALSE)</f>
        <v>god</v>
      </c>
      <c r="N296" s="7" t="str">
        <f>VLOOKUP(B296,[1]characters!$A:$G,7,FALSE)</f>
        <v>男性</v>
      </c>
      <c r="O296" s="45">
        <f ca="1">IFERROR(VLOOKUP(B296,input_429100!L:R,7,FALSE),VLOOKUP(tables_429100!C296,input_429100!A:H,8,FALSE))</f>
        <v>91000</v>
      </c>
      <c r="P296" s="46">
        <f t="shared" ca="1" si="20"/>
        <v>8.7719298245614037E-4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input_429100!A$2</f>
        <v>429100</v>
      </c>
      <c r="B297" s="5">
        <v>1016</v>
      </c>
      <c r="C297" s="7" t="str">
        <f t="shared" si="19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ハトホル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blue</v>
      </c>
      <c r="L297" s="7" t="str">
        <f>VLOOKUP(B297,[1]characters!$A:$K,11,FALSE)</f>
        <v>heal</v>
      </c>
      <c r="M297" s="7" t="str">
        <f>VLOOKUP(B297,[1]characters!$A:$M,13,FALSE)</f>
        <v>god</v>
      </c>
      <c r="N297" s="7" t="str">
        <f>VLOOKUP(B297,[1]characters!$A:$G,7,FALSE)</f>
        <v>男性</v>
      </c>
      <c r="O297" s="45">
        <f ca="1">IFERROR(VLOOKUP(B297,input_429100!L:R,7,FALSE),VLOOKUP(tables_429100!C297,input_429100!A:H,8,FALSE))</f>
        <v>1028850</v>
      </c>
      <c r="P297" s="46">
        <f t="shared" ca="1" si="20"/>
        <v>9.9175824175824177E-3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input_429100!A$2</f>
        <v>429100</v>
      </c>
      <c r="B298" s="5">
        <v>1017</v>
      </c>
      <c r="C298" s="7" t="str">
        <f t="shared" si="19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命瞳の慈母神 ハトホル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blue</v>
      </c>
      <c r="L298" s="7" t="str">
        <f>VLOOKUP(B298,[1]characters!$A:$K,11,FALSE)</f>
        <v>heal</v>
      </c>
      <c r="M298" s="7" t="str">
        <f>VLOOKUP(B298,[1]characters!$A:$M,13,FALSE)</f>
        <v>god</v>
      </c>
      <c r="N298" s="7" t="str">
        <f>VLOOKUP(B298,[1]characters!$A:$G,7,FALSE)</f>
        <v>男性</v>
      </c>
      <c r="O298" s="45">
        <f ca="1">IFERROR(VLOOKUP(B298,input_429100!L:R,7,FALSE),VLOOKUP(tables_429100!C298,input_429100!A:H,8,FALSE))</f>
        <v>54150</v>
      </c>
      <c r="P298" s="46">
        <f t="shared" ca="1" si="20"/>
        <v>5.2197802197802203E-4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input_429100!A$2</f>
        <v>429100</v>
      </c>
      <c r="B299" s="5">
        <v>1018</v>
      </c>
      <c r="C299" s="7" t="str">
        <f t="shared" si="19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バステト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yellow</v>
      </c>
      <c r="L299" s="7" t="str">
        <f>VLOOKUP(B299,[1]characters!$A:$K,11,FALSE)</f>
        <v>attack</v>
      </c>
      <c r="M299" s="7" t="str">
        <f>VLOOKUP(B299,[1]characters!$A:$M,13,FALSE)</f>
        <v>god</v>
      </c>
      <c r="N299" s="7" t="str">
        <f>VLOOKUP(B299,[1]characters!$A:$G,7,FALSE)</f>
        <v>男性</v>
      </c>
      <c r="O299" s="45">
        <f ca="1">IFERROR(VLOOKUP(B299,input_429100!L:R,7,FALSE),VLOOKUP(tables_429100!C299,input_429100!A:H,8,FALSE))</f>
        <v>91000</v>
      </c>
      <c r="P299" s="46">
        <f t="shared" ca="1" si="20"/>
        <v>8.7719298245614037E-4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input_429100!A$2</f>
        <v>429100</v>
      </c>
      <c r="B300" s="5">
        <v>1026</v>
      </c>
      <c r="C300" s="7" t="str">
        <f t="shared" ref="C300:C304" si="21">D300&amp;J300&amp;E300&amp;F300&amp;G300</f>
        <v>Premium4R3less</v>
      </c>
      <c r="D300" s="7" t="str">
        <f t="shared" si="14"/>
        <v>Premium</v>
      </c>
      <c r="E300" s="7" t="str">
        <f>IF(COUNTIF('R6追加前'!A:A,B300)=0,IF(OR(I300="PremiumSS",I300="PremiumSSw"),"R5only","R3less"),"")</f>
        <v>R3less</v>
      </c>
      <c r="F300" s="7" t="str">
        <f>IF(COUNTIF('R6開放'!A:A,B300)&gt;0,"R6release","")</f>
        <v/>
      </c>
      <c r="G300" s="7"/>
      <c r="H300" s="7" t="str">
        <f>VLOOKUP(B300,[1]characters!$A:$C,3,FALSE)</f>
        <v>蝉丸</v>
      </c>
      <c r="I300" s="7" t="str">
        <f>VLOOKUP(B300,[1]characters!$A:$J,10,FALSE)</f>
        <v>PremiumS</v>
      </c>
      <c r="J300" s="7">
        <f>VLOOKUP(B300,[1]characters!$A:$I,9,FALSE)</f>
        <v>4</v>
      </c>
      <c r="K300" s="7" t="str">
        <f>VLOOKUP(B300,[1]characters!$A:$H,8,FALSE)</f>
        <v>red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IFERROR(VLOOKUP(B300,input_429100!L:R,7,FALSE),VLOOKUP(tables_429100!C300,input_429100!A:H,8,FALSE))</f>
        <v>1028850</v>
      </c>
      <c r="P300" s="46">
        <f t="shared" ref="P300:P304" ca="1" si="22">O300/SUM(O:O)</f>
        <v>9.9175824175824177E-3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input_429100!A$2</f>
        <v>429100</v>
      </c>
      <c r="B301" s="5">
        <v>1027</v>
      </c>
      <c r="C301" s="7" t="str">
        <f t="shared" si="21"/>
        <v>Premium5R3less</v>
      </c>
      <c r="D301" s="7" t="str">
        <f t="shared" si="14"/>
        <v>Premium</v>
      </c>
      <c r="E301" s="7" t="str">
        <f>IF(COUNTIF('R6追加前'!A:A,B301)=0,IF(OR(I301="PremiumSS",I301="PremiumSSw"),"R5only","R3less"),"")</f>
        <v>R3less</v>
      </c>
      <c r="F301" s="7" t="str">
        <f>IF(COUNTIF('R6開放'!A:A,B301)&gt;0,"R6release","")</f>
        <v/>
      </c>
      <c r="G301" s="7"/>
      <c r="H301" s="7" t="str">
        <f>VLOOKUP(B301,[1]characters!$A:$C,3,FALSE)</f>
        <v>弾丸多重奏 蝉丸</v>
      </c>
      <c r="I301" s="7" t="str">
        <f>VLOOKUP(B301,[1]characters!$A:$J,10,FALSE)</f>
        <v>PremiumS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attack</v>
      </c>
      <c r="M301" s="7" t="str">
        <f>VLOOKUP(B301,[1]characters!$A:$M,13,FALSE)</f>
        <v>human</v>
      </c>
      <c r="N301" s="7" t="str">
        <f>VLOOKUP(B301,[1]characters!$A:$G,7,FALSE)</f>
        <v>男性</v>
      </c>
      <c r="O301" s="45">
        <f ca="1">IFERROR(VLOOKUP(B301,input_429100!L:R,7,FALSE),VLOOKUP(tables_429100!C301,input_429100!A:H,8,FALSE))</f>
        <v>54150</v>
      </c>
      <c r="P301" s="46">
        <f t="shared" ca="1" si="22"/>
        <v>5.2197802197802203E-4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input_429100!A$2</f>
        <v>429100</v>
      </c>
      <c r="B302" s="5">
        <v>1028</v>
      </c>
      <c r="C302" s="7" t="str">
        <f t="shared" si="21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牛若丸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balance</v>
      </c>
      <c r="M302" s="7" t="str">
        <f>VLOOKUP(B302,[1]characters!$A:$M,13,FALSE)</f>
        <v>human</v>
      </c>
      <c r="N302" s="7" t="str">
        <f>VLOOKUP(B302,[1]characters!$A:$G,7,FALSE)</f>
        <v>男性</v>
      </c>
      <c r="O302" s="45">
        <f ca="1">IFERROR(VLOOKUP(B302,input_429100!L:R,7,FALSE),VLOOKUP(tables_429100!C302,input_429100!A:H,8,FALSE))</f>
        <v>91000</v>
      </c>
      <c r="P302" s="46">
        <f t="shared" ca="1" si="22"/>
        <v>8.7719298245614037E-4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input_429100!A$2</f>
        <v>429100</v>
      </c>
      <c r="B303" s="5">
        <v>1031</v>
      </c>
      <c r="C303" s="7" t="str">
        <f t="shared" si="21"/>
        <v>PremiumSS5R5only</v>
      </c>
      <c r="D303" s="7" t="str">
        <f t="shared" si="14"/>
        <v>PremiumSS</v>
      </c>
      <c r="E303" s="7" t="str">
        <f>IF(COUNTIF('R6追加前'!A:A,B303)=0,IF(OR(I303="PremiumSS",I303="PremiumSSw"),"R5only","R3less"),"")</f>
        <v>R5only</v>
      </c>
      <c r="F303" s="7" t="str">
        <f>IF(COUNTIF('R6開放'!A:A,B303)&gt;0,"R6release","")</f>
        <v/>
      </c>
      <c r="G303" s="7"/>
      <c r="H303" s="7" t="str">
        <f>VLOOKUP(B303,[1]characters!$A:$C,3,FALSE)</f>
        <v>紫式部</v>
      </c>
      <c r="I303" s="7" t="str">
        <f>VLOOKUP(B303,[1]characters!$A:$J,10,FALSE)</f>
        <v>PremiumSS</v>
      </c>
      <c r="J303" s="7">
        <f>VLOOKUP(B303,[1]characters!$A:$I,9,FALSE)</f>
        <v>5</v>
      </c>
      <c r="K303" s="7" t="str">
        <f>VLOOKUP(B303,[1]characters!$A:$H,8,FALSE)</f>
        <v>blue</v>
      </c>
      <c r="L303" s="7" t="str">
        <f>VLOOKUP(B303,[1]characters!$A:$K,11,FALSE)</f>
        <v>technical</v>
      </c>
      <c r="M303" s="7" t="str">
        <f>VLOOKUP(B303,[1]characters!$A:$M,13,FALSE)</f>
        <v>human</v>
      </c>
      <c r="N303" s="7" t="str">
        <f>VLOOKUP(B303,[1]characters!$A:$G,7,FALSE)</f>
        <v>男性</v>
      </c>
      <c r="O303" s="45">
        <f ca="1">IFERROR(VLOOKUP(B303,input_429100!L:R,7,FALSE),VLOOKUP(tables_429100!C303,input_429100!A:H,8,FALSE))</f>
        <v>91000</v>
      </c>
      <c r="P303" s="46">
        <f t="shared" ca="1" si="22"/>
        <v>8.7719298245614037E-4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input_429100!A$2</f>
        <v>429100</v>
      </c>
      <c r="B304" s="5">
        <v>1033</v>
      </c>
      <c r="C304" s="7" t="str">
        <f t="shared" si="21"/>
        <v>PremiumSS5R5only</v>
      </c>
      <c r="D304" s="7" t="str">
        <f t="shared" si="14"/>
        <v>PremiumSS</v>
      </c>
      <c r="E304" s="7" t="str">
        <f>IF(COUNTIF('R6追加前'!A:A,B304)=0,IF(OR(I304="PremiumSS",I304="PremiumSSw"),"R5only","R3less"),"")</f>
        <v>R5only</v>
      </c>
      <c r="F304" s="7" t="str">
        <f>IF(COUNTIF('R6開放'!A:A,B304)&gt;0,"R6release","")</f>
        <v/>
      </c>
      <c r="G304" s="7"/>
      <c r="H304" s="7" t="str">
        <f>VLOOKUP(B304,[1]characters!$A:$C,3,FALSE)</f>
        <v>清少納言</v>
      </c>
      <c r="I304" s="7" t="str">
        <f>VLOOKUP(B304,[1]characters!$A:$J,10,FALSE)</f>
        <v>PremiumSS</v>
      </c>
      <c r="J304" s="7">
        <f>VLOOKUP(B304,[1]characters!$A:$I,9,FALSE)</f>
        <v>5</v>
      </c>
      <c r="K304" s="7" t="str">
        <f>VLOOKUP(B304,[1]characters!$A:$H,8,FALSE)</f>
        <v>yellow</v>
      </c>
      <c r="L304" s="7" t="str">
        <f>VLOOKUP(B304,[1]characters!$A:$K,11,FALSE)</f>
        <v>heal</v>
      </c>
      <c r="M304" s="7" t="str">
        <f>VLOOKUP(B304,[1]characters!$A:$M,13,FALSE)</f>
        <v>human</v>
      </c>
      <c r="N304" s="7" t="str">
        <f>VLOOKUP(B304,[1]characters!$A:$G,7,FALSE)</f>
        <v>男性</v>
      </c>
      <c r="O304" s="45">
        <f ca="1">IFERROR(VLOOKUP(B304,input_429100!L:R,7,FALSE),VLOOKUP(tables_429100!C304,input_429100!A:H,8,FALSE))</f>
        <v>91000</v>
      </c>
      <c r="P304" s="46">
        <f t="shared" ca="1" si="22"/>
        <v>8.7719298245614037E-4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input_429100!A$2</f>
        <v>429100</v>
      </c>
      <c r="B305" s="5">
        <v>1067</v>
      </c>
      <c r="C305" s="7" t="str">
        <f t="shared" ref="C305:C308" si="23">D305&amp;J305&amp;E305&amp;F305&amp;G305</f>
        <v>Premium4R3less</v>
      </c>
      <c r="D305" s="7" t="str">
        <f t="shared" si="14"/>
        <v>Premium</v>
      </c>
      <c r="E305" s="7" t="str">
        <f>IF(COUNTIF('R6追加前'!A:A,B305)=0,IF(OR(I305="PremiumSS",I305="PremiumSSw"),"R5only","R3less"),"")</f>
        <v>R3less</v>
      </c>
      <c r="F305" s="7" t="str">
        <f>IF(COUNTIF('R6開放'!A:A,B305)&gt;0,"R6release","")</f>
        <v/>
      </c>
      <c r="G305" s="7"/>
      <c r="H305" s="7" t="str">
        <f>VLOOKUP(B305,[1]characters!$A:$C,3,FALSE)</f>
        <v>ウシュムガル</v>
      </c>
      <c r="I305" s="7" t="str">
        <f>VLOOKUP(B305,[1]characters!$A:$J,10,FALSE)</f>
        <v>PremiumS</v>
      </c>
      <c r="J305" s="7">
        <f>VLOOKUP(B305,[1]characters!$A:$I,9,FALSE)</f>
        <v>4</v>
      </c>
      <c r="K305" s="7" t="str">
        <f>VLOOKUP(B305,[1]characters!$A:$H,8,FALSE)</f>
        <v>red</v>
      </c>
      <c r="L305" s="7" t="str">
        <f>VLOOKUP(B305,[1]characters!$A:$K,11,FALSE)</f>
        <v>balance</v>
      </c>
      <c r="M305" s="7" t="str">
        <f>VLOOKUP(B305,[1]characters!$A:$M,13,FALSE)</f>
        <v>dragon</v>
      </c>
      <c r="N305" s="7" t="str">
        <f>VLOOKUP(B305,[1]characters!$A:$G,7,FALSE)</f>
        <v>男性</v>
      </c>
      <c r="O305" s="45">
        <f ca="1">IFERROR(VLOOKUP(B305,input_429100!L:R,7,FALSE),VLOOKUP(tables_429100!C305,input_429100!A:H,8,FALSE))</f>
        <v>1028850</v>
      </c>
      <c r="P305" s="46">
        <f t="shared" ref="P305:P308" ca="1" si="24">O305/SUM(O:O)</f>
        <v>9.9175824175824177E-3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input_429100!A$2</f>
        <v>429100</v>
      </c>
      <c r="B306" s="5">
        <v>1068</v>
      </c>
      <c r="C306" s="7" t="str">
        <f t="shared" si="23"/>
        <v>Premium5R3less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想母の羽龍 ウシュムガル</v>
      </c>
      <c r="I306" s="7" t="str">
        <f>VLOOKUP(B306,[1]characters!$A:$J,10,FALSE)</f>
        <v>PremiumS</v>
      </c>
      <c r="J306" s="7">
        <f>VLOOKUP(B306,[1]characters!$A:$I,9,FALSE)</f>
        <v>5</v>
      </c>
      <c r="K306" s="7" t="str">
        <f>VLOOKUP(B306,[1]characters!$A:$H,8,FALSE)</f>
        <v>red</v>
      </c>
      <c r="L306" s="7" t="str">
        <f>VLOOKUP(B306,[1]characters!$A:$K,11,FALSE)</f>
        <v>balance</v>
      </c>
      <c r="M306" s="7" t="str">
        <f>VLOOKUP(B306,[1]characters!$A:$M,13,FALSE)</f>
        <v>dragon</v>
      </c>
      <c r="N306" s="7" t="str">
        <f>VLOOKUP(B306,[1]characters!$A:$G,7,FALSE)</f>
        <v>男性</v>
      </c>
      <c r="O306" s="45">
        <f ca="1">IFERROR(VLOOKUP(B306,input_429100!L:R,7,FALSE),VLOOKUP(tables_429100!C306,input_429100!A:H,8,FALSE))</f>
        <v>54150</v>
      </c>
      <c r="P306" s="46">
        <f t="shared" ca="1" si="24"/>
        <v>5.2197802197802203E-4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input_429100!A$2</f>
        <v>429100</v>
      </c>
      <c r="B307" s="5">
        <v>1069</v>
      </c>
      <c r="C307" s="7" t="str">
        <f t="shared" si="23"/>
        <v>PremiumSS5R5only</v>
      </c>
      <c r="D307" s="7" t="str">
        <f t="shared" si="14"/>
        <v>PremiumSS</v>
      </c>
      <c r="E307" s="7" t="str">
        <f>IF(COUNTIF('R6追加前'!A:A,B307)=0,IF(OR(I307="PremiumSS",I307="PremiumSSw"),"R5only","R3less"),"")</f>
        <v>R5only</v>
      </c>
      <c r="F307" s="7" t="str">
        <f>IF(COUNTIF('R6開放'!A:A,B307)&gt;0,"R6release","")</f>
        <v/>
      </c>
      <c r="G307" s="7"/>
      <c r="H307" s="7" t="str">
        <f>VLOOKUP(B307,[1]characters!$A:$C,3,FALSE)</f>
        <v>イシュタル</v>
      </c>
      <c r="I307" s="7" t="str">
        <f>VLOOKUP(B307,[1]characters!$A:$J,10,FALSE)</f>
        <v>PremiumSS</v>
      </c>
      <c r="J307" s="7">
        <f>VLOOKUP(B307,[1]characters!$A:$I,9,FALSE)</f>
        <v>5</v>
      </c>
      <c r="K307" s="7" t="str">
        <f>VLOOKUP(B307,[1]characters!$A:$H,8,FALSE)</f>
        <v>green</v>
      </c>
      <c r="L307" s="7" t="str">
        <f>VLOOKUP(B307,[1]characters!$A:$K,11,FALSE)</f>
        <v>technical</v>
      </c>
      <c r="M307" s="7" t="str">
        <f>VLOOKUP(B307,[1]characters!$A:$M,13,FALSE)</f>
        <v>god</v>
      </c>
      <c r="N307" s="7" t="str">
        <f>VLOOKUP(B307,[1]characters!$A:$G,7,FALSE)</f>
        <v>男性</v>
      </c>
      <c r="O307" s="45">
        <f ca="1">IFERROR(VLOOKUP(B307,input_429100!L:R,7,FALSE),VLOOKUP(tables_429100!C307,input_429100!A:H,8,FALSE))</f>
        <v>91000</v>
      </c>
      <c r="P307" s="46">
        <f t="shared" ca="1" si="24"/>
        <v>8.7719298245614037E-4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input_429100!A$2</f>
        <v>429100</v>
      </c>
      <c r="B308" s="5">
        <v>1072</v>
      </c>
      <c r="C308" s="7" t="str">
        <f t="shared" si="23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エンキドゥ</v>
      </c>
      <c r="I308" s="7" t="str">
        <f>VLOOKUP(B308,[1]characters!$A:$J,10,FALSE)</f>
        <v>PremiumSSw</v>
      </c>
      <c r="J308" s="7">
        <f>VLOOKUP(B308,[1]characters!$A:$I,9,FALSE)</f>
        <v>5</v>
      </c>
      <c r="K308" s="7" t="str">
        <f>VLOOKUP(B308,[1]characters!$A:$H,8,FALSE)</f>
        <v>blue</v>
      </c>
      <c r="L308" s="7" t="str">
        <f>VLOOKUP(B308,[1]characters!$A:$K,11,FALSE)</f>
        <v>attack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IFERROR(VLOOKUP(B308,input_429100!L:R,7,FALSE),VLOOKUP(tables_429100!C308,input_429100!A:H,8,FALSE))</f>
        <v>91000</v>
      </c>
      <c r="P308" s="46">
        <f t="shared" ca="1" si="24"/>
        <v>8.7719298245614037E-4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input_429100!A$2</f>
        <v>429100</v>
      </c>
      <c r="B309" s="5">
        <v>1074</v>
      </c>
      <c r="C309" s="7" t="str">
        <f t="shared" ref="C309" si="25">D309&amp;J309&amp;E309&amp;F309&amp;G309</f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マルドゥク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yellow</v>
      </c>
      <c r="L309" s="7" t="str">
        <f>VLOOKUP(B309,[1]characters!$A:$K,11,FALSE)</f>
        <v>technical</v>
      </c>
      <c r="M309" s="7" t="str">
        <f>VLOOKUP(B309,[1]characters!$A:$M,13,FALSE)</f>
        <v>god</v>
      </c>
      <c r="N309" s="7" t="str">
        <f>VLOOKUP(B309,[1]characters!$A:$G,7,FALSE)</f>
        <v>男性</v>
      </c>
      <c r="O309" s="45">
        <f ca="1">IFERROR(VLOOKUP(B309,input_429100!L:R,7,FALSE),VLOOKUP(tables_429100!C309,input_429100!A:H,8,FALSE))</f>
        <v>91000</v>
      </c>
      <c r="P309" s="46">
        <f t="shared" ref="P309" ca="1" si="26">O309/SUM(O:O)</f>
        <v>8.7719298245614037E-4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input_429100!A$2</f>
        <v>429100</v>
      </c>
      <c r="B310" s="5">
        <v>1104</v>
      </c>
      <c r="C310" s="7" t="str">
        <f t="shared" ref="C310:C314" si="27">D310&amp;J310&amp;E310&amp;F310&amp;G310</f>
        <v>Premium4R3less</v>
      </c>
      <c r="D310" s="7" t="str">
        <f t="shared" ref="D310:D314" si="28">IF(OR(I310="PremiumSS",I310="PremiumSSw"),"PremiumSS",IF(I310="PremiumSSS",I310,IF(I310="PremiumW",I310,"Premium")))</f>
        <v>Premium</v>
      </c>
      <c r="E310" s="7" t="str">
        <f>IF(COUNTIF('R6追加前'!A:A,B310)=0,IF(OR(I310="PremiumSS",I310="PremiumSSw"),"R5only","R3less"),"")</f>
        <v>R3less</v>
      </c>
      <c r="F310" s="7" t="str">
        <f>IF(COUNTIF('R6開放'!A:A,B310)&gt;0,"R6release","")</f>
        <v/>
      </c>
      <c r="G310" s="7"/>
      <c r="H310" s="7" t="str">
        <f>VLOOKUP(B310,[1]characters!$A:$C,3,FALSE)</f>
        <v>クリムト</v>
      </c>
      <c r="I310" s="7" t="str">
        <f>VLOOKUP(B310,[1]characters!$A:$J,10,FALSE)</f>
        <v>PremiumS</v>
      </c>
      <c r="J310" s="7">
        <f>VLOOKUP(B310,[1]characters!$A:$I,9,FALSE)</f>
        <v>4</v>
      </c>
      <c r="K310" s="7" t="str">
        <f>VLOOKUP(B310,[1]characters!$A:$H,8,FALSE)</f>
        <v>blue</v>
      </c>
      <c r="L310" s="7" t="str">
        <f>VLOOKUP(B310,[1]characters!$A:$K,11,FALSE)</f>
        <v>technical</v>
      </c>
      <c r="M310" s="7" t="str">
        <f>VLOOKUP(B310,[1]characters!$A:$M,13,FALSE)</f>
        <v>human</v>
      </c>
      <c r="N310" s="7" t="str">
        <f>VLOOKUP(B310,[1]characters!$A:$G,7,FALSE)</f>
        <v>不明</v>
      </c>
      <c r="O310" s="45">
        <f ca="1">IFERROR(VLOOKUP(B310,input_429100!L:R,7,FALSE),VLOOKUP(tables_429100!C310,input_429100!A:H,8,FALSE))</f>
        <v>1028850</v>
      </c>
      <c r="P310" s="46">
        <f t="shared" ref="P310:P314" ca="1" si="29">O310/SUM(O:O)</f>
        <v>9.9175824175824177E-3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input_429100!A$2</f>
        <v>429100</v>
      </c>
      <c r="B311" s="5">
        <v>1105</v>
      </c>
      <c r="C311" s="7" t="str">
        <f t="shared" si="27"/>
        <v>Premium5R3less</v>
      </c>
      <c r="D311" s="7" t="str">
        <f t="shared" si="28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甘美なる背徳 クリムト</v>
      </c>
      <c r="I311" s="7" t="str">
        <f>VLOOKUP(B311,[1]characters!$A:$J,10,FALSE)</f>
        <v>PremiumS</v>
      </c>
      <c r="J311" s="7">
        <f>VLOOKUP(B311,[1]characters!$A:$I,9,FALSE)</f>
        <v>5</v>
      </c>
      <c r="K311" s="7" t="str">
        <f>VLOOKUP(B311,[1]characters!$A:$H,8,FALSE)</f>
        <v>blue</v>
      </c>
      <c r="L311" s="7" t="str">
        <f>VLOOKUP(B311,[1]characters!$A:$K,11,FALSE)</f>
        <v>technical</v>
      </c>
      <c r="M311" s="7" t="str">
        <f>VLOOKUP(B311,[1]characters!$A:$M,13,FALSE)</f>
        <v>human</v>
      </c>
      <c r="N311" s="7" t="str">
        <f>VLOOKUP(B311,[1]characters!$A:$G,7,FALSE)</f>
        <v>不明</v>
      </c>
      <c r="O311" s="45">
        <f ca="1">IFERROR(VLOOKUP(B311,input_429100!L:R,7,FALSE),VLOOKUP(tables_429100!C311,input_429100!A:H,8,FALSE))</f>
        <v>54150</v>
      </c>
      <c r="P311" s="46">
        <f t="shared" ca="1" si="29"/>
        <v>5.2197802197802203E-4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input_429100!A$2</f>
        <v>429100</v>
      </c>
      <c r="B312" s="5">
        <v>1106</v>
      </c>
      <c r="C312" s="7" t="str">
        <f t="shared" si="27"/>
        <v>PremiumSS5R5only</v>
      </c>
      <c r="D312" s="7" t="str">
        <f t="shared" si="28"/>
        <v>PremiumSS</v>
      </c>
      <c r="E312" s="7" t="str">
        <f>IF(COUNTIF('R6追加前'!A:A,B312)=0,IF(OR(I312="PremiumSS",I312="PremiumSSw"),"R5only","R3less"),"")</f>
        <v>R5only</v>
      </c>
      <c r="F312" s="7" t="str">
        <f>IF(COUNTIF('R6開放'!A:A,B312)&gt;0,"R6release","")</f>
        <v/>
      </c>
      <c r="G312" s="7"/>
      <c r="H312" s="7" t="str">
        <f>VLOOKUP(B312,[1]characters!$A:$C,3,FALSE)</f>
        <v>ラファエロ</v>
      </c>
      <c r="I312" s="7" t="str">
        <f>VLOOKUP(B312,[1]characters!$A:$J,10,FALSE)</f>
        <v>PremiumSS</v>
      </c>
      <c r="J312" s="7">
        <f>VLOOKUP(B312,[1]characters!$A:$I,9,FALSE)</f>
        <v>5</v>
      </c>
      <c r="K312" s="7" t="str">
        <f>VLOOKUP(B312,[1]characters!$A:$H,8,FALSE)</f>
        <v>yellow</v>
      </c>
      <c r="L312" s="7" t="str">
        <f>VLOOKUP(B312,[1]characters!$A:$K,11,FALSE)</f>
        <v>attack</v>
      </c>
      <c r="M312" s="7" t="str">
        <f>VLOOKUP(B312,[1]characters!$A:$M,13,FALSE)</f>
        <v>human</v>
      </c>
      <c r="N312" s="7" t="str">
        <f>VLOOKUP(B312,[1]characters!$A:$G,7,FALSE)</f>
        <v>不明</v>
      </c>
      <c r="O312" s="45">
        <f ca="1">IFERROR(VLOOKUP(B312,input_429100!L:R,7,FALSE),VLOOKUP(tables_429100!C312,input_429100!A:H,8,FALSE))</f>
        <v>91000</v>
      </c>
      <c r="P312" s="46">
        <f t="shared" ca="1" si="29"/>
        <v>8.7719298245614037E-4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input_429100!A$2</f>
        <v>429100</v>
      </c>
      <c r="B313" s="5">
        <v>1102</v>
      </c>
      <c r="C313" s="7" t="str">
        <f t="shared" si="27"/>
        <v>PremiumSS5R5only</v>
      </c>
      <c r="D313" s="7" t="str">
        <f t="shared" si="28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ドガ</v>
      </c>
      <c r="I313" s="7" t="str">
        <f>VLOOKUP(B313,[1]characters!$A:$J,10,FALSE)</f>
        <v>PremiumSSW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balance</v>
      </c>
      <c r="M313" s="7" t="str">
        <f>VLOOKUP(B313,[1]characters!$A:$M,13,FALSE)</f>
        <v>animal</v>
      </c>
      <c r="N313" s="7" t="str">
        <f>VLOOKUP(B313,[1]characters!$A:$G,7,FALSE)</f>
        <v>不明</v>
      </c>
      <c r="O313" s="45">
        <f ca="1">IFERROR(VLOOKUP(B313,input_429100!L:R,7,FALSE),VLOOKUP(tables_429100!C313,input_429100!A:H,8,FALSE))</f>
        <v>91000</v>
      </c>
      <c r="P313" s="46">
        <f t="shared" ca="1" si="29"/>
        <v>8.7719298245614037E-4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input_429100!A$2</f>
        <v>429100</v>
      </c>
      <c r="B314" s="5">
        <v>1100</v>
      </c>
      <c r="C314" s="7" t="str">
        <f t="shared" si="27"/>
        <v>PremiumSS5R5only</v>
      </c>
      <c r="D314" s="7" t="str">
        <f t="shared" si="28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北斎</v>
      </c>
      <c r="I314" s="7" t="str">
        <f>VLOOKUP(B314,[1]characters!$A:$J,10,FALSE)</f>
        <v>PremiumSS</v>
      </c>
      <c r="J314" s="7">
        <f>VLOOKUP(B314,[1]characters!$A:$I,9,FALSE)</f>
        <v>5</v>
      </c>
      <c r="K314" s="7" t="str">
        <f>VLOOKUP(B314,[1]characters!$A:$H,8,FALSE)</f>
        <v>red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不明</v>
      </c>
      <c r="O314" s="45">
        <f ca="1">IFERROR(VLOOKUP(B314,input_429100!L:R,7,FALSE),VLOOKUP(tables_429100!C314,input_429100!A:H,8,FALSE))</f>
        <v>91000</v>
      </c>
      <c r="P314" s="46">
        <f t="shared" ca="1" si="29"/>
        <v>8.7719298245614037E-4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input_429100!A$2</f>
        <v>429100</v>
      </c>
      <c r="B315" s="5">
        <v>1137</v>
      </c>
      <c r="C315" s="7" t="str">
        <f t="shared" ref="C315:C319" si="30">D315&amp;J315&amp;E315&amp;F315&amp;G315</f>
        <v>PremiumSS5R5only</v>
      </c>
      <c r="D315" s="7" t="str">
        <f t="shared" ref="D315:D319" si="31">IF(OR(I315="PremiumSS",I315="PremiumSSw"),"PremiumSS",IF(I315="PremiumSSS",I315,IF(I315="PremiumW",I315,"Premium")))</f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諸葛亮</v>
      </c>
      <c r="I315" s="7" t="str">
        <f>VLOOKUP(B315,[1]characters!$A:$J,10,FALSE)</f>
        <v>PremiumSSW</v>
      </c>
      <c r="J315" s="7">
        <f>VLOOKUP(B315,[1]characters!$A:$I,9,FALSE)</f>
        <v>5</v>
      </c>
      <c r="K315" s="7" t="str">
        <f>VLOOKUP(B315,[1]characters!$A:$H,8,FALSE)</f>
        <v>red</v>
      </c>
      <c r="L315" s="7" t="str">
        <f>VLOOKUP(B315,[1]characters!$A:$K,11,FALSE)</f>
        <v>technical</v>
      </c>
      <c r="M315" s="7" t="str">
        <f>VLOOKUP(B315,[1]characters!$A:$M,13,FALSE)</f>
        <v>samurai</v>
      </c>
      <c r="N315" s="7" t="str">
        <f>VLOOKUP(B315,[1]characters!$A:$G,7,FALSE)</f>
        <v>不明</v>
      </c>
      <c r="O315" s="45">
        <f ca="1">IFERROR(VLOOKUP(B315,input_429100!L:R,7,FALSE),VLOOKUP(tables_429100!C315,input_429100!A:H,8,FALSE))</f>
        <v>91000</v>
      </c>
      <c r="P315" s="46">
        <f t="shared" ref="P315:P319" ca="1" si="32">O315/SUM(O:O)</f>
        <v>8.7719298245614037E-4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input_429100!A$2</f>
        <v>429100</v>
      </c>
      <c r="B316" s="5">
        <v>1139</v>
      </c>
      <c r="C316" s="7" t="str">
        <f t="shared" si="30"/>
        <v>PremiumSS5R5only</v>
      </c>
      <c r="D316" s="7" t="str">
        <f t="shared" si="31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趙雲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green</v>
      </c>
      <c r="L316" s="7" t="str">
        <f>VLOOKUP(B316,[1]characters!$A:$K,11,FALSE)</f>
        <v>balance</v>
      </c>
      <c r="M316" s="7" t="str">
        <f>VLOOKUP(B316,[1]characters!$A:$M,13,FALSE)</f>
        <v>samurai</v>
      </c>
      <c r="N316" s="7" t="str">
        <f>VLOOKUP(B316,[1]characters!$A:$G,7,FALSE)</f>
        <v>不明</v>
      </c>
      <c r="O316" s="45">
        <f ca="1">IFERROR(VLOOKUP(B316,input_429100!L:R,7,FALSE),VLOOKUP(tables_429100!C316,input_429100!A:H,8,FALSE))</f>
        <v>91000</v>
      </c>
      <c r="P316" s="46">
        <f t="shared" ca="1" si="32"/>
        <v>8.7719298245614037E-4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input_429100!A$2</f>
        <v>429100</v>
      </c>
      <c r="B317" s="5">
        <v>1141</v>
      </c>
      <c r="C317" s="7" t="str">
        <f t="shared" si="30"/>
        <v>PremiumSS5R5only</v>
      </c>
      <c r="D317" s="7" t="str">
        <f t="shared" si="31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月英</v>
      </c>
      <c r="I317" s="7" t="str">
        <f>VLOOKUP(B317,[1]characters!$A:$J,10,FALSE)</f>
        <v>PremiumSS</v>
      </c>
      <c r="J317" s="7">
        <f>VLOOKUP(B317,[1]characters!$A:$I,9,FALSE)</f>
        <v>5</v>
      </c>
      <c r="K317" s="7" t="str">
        <f>VLOOKUP(B317,[1]characters!$A:$H,8,FALSE)</f>
        <v>blue</v>
      </c>
      <c r="L317" s="7" t="str">
        <f>VLOOKUP(B317,[1]characters!$A:$K,11,FALSE)</f>
        <v>balance</v>
      </c>
      <c r="M317" s="7" t="str">
        <f>VLOOKUP(B317,[1]characters!$A:$M,13,FALSE)</f>
        <v>human</v>
      </c>
      <c r="N317" s="7" t="str">
        <f>VLOOKUP(B317,[1]characters!$A:$G,7,FALSE)</f>
        <v>不明</v>
      </c>
      <c r="O317" s="45">
        <f ca="1">IFERROR(VLOOKUP(B317,input_429100!L:R,7,FALSE),VLOOKUP(tables_429100!C317,input_429100!A:H,8,FALSE))</f>
        <v>91000</v>
      </c>
      <c r="P317" s="46">
        <f t="shared" ca="1" si="32"/>
        <v>8.7719298245614037E-4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input_429100!A$2</f>
        <v>429100</v>
      </c>
      <c r="B318" s="5">
        <v>1143</v>
      </c>
      <c r="C318" s="7" t="str">
        <f t="shared" si="30"/>
        <v>Premium4R3less</v>
      </c>
      <c r="D318" s="7" t="str">
        <f t="shared" si="31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黄忠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yellow</v>
      </c>
      <c r="L318" s="7" t="str">
        <f>VLOOKUP(B318,[1]characters!$A:$K,11,FALSE)</f>
        <v>technical</v>
      </c>
      <c r="M318" s="7" t="str">
        <f>VLOOKUP(B318,[1]characters!$A:$M,13,FALSE)</f>
        <v>samurai</v>
      </c>
      <c r="N318" s="7" t="str">
        <f>VLOOKUP(B318,[1]characters!$A:$G,7,FALSE)</f>
        <v>不明</v>
      </c>
      <c r="O318" s="45">
        <f ca="1">IFERROR(VLOOKUP(B318,input_429100!L:R,7,FALSE),VLOOKUP(tables_429100!C318,input_429100!A:H,8,FALSE))</f>
        <v>1028850</v>
      </c>
      <c r="P318" s="46">
        <f t="shared" ca="1" si="32"/>
        <v>9.9175824175824177E-3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input_429100!A$2</f>
        <v>429100</v>
      </c>
      <c r="B319" s="5">
        <v>1144</v>
      </c>
      <c r="C319" s="7" t="str">
        <f t="shared" si="30"/>
        <v>Premium5R3less</v>
      </c>
      <c r="D319" s="7" t="str">
        <f t="shared" si="31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白星を射る老将 黄忠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yellow</v>
      </c>
      <c r="L319" s="7" t="str">
        <f>VLOOKUP(B319,[1]characters!$A:$K,11,FALSE)</f>
        <v>technical</v>
      </c>
      <c r="M319" s="7" t="str">
        <f>VLOOKUP(B319,[1]characters!$A:$M,13,FALSE)</f>
        <v>samurai</v>
      </c>
      <c r="N319" s="7" t="str">
        <f>VLOOKUP(B319,[1]characters!$A:$G,7,FALSE)</f>
        <v>不明</v>
      </c>
      <c r="O319" s="45">
        <f ca="1">IFERROR(VLOOKUP(B319,input_429100!L:R,7,FALSE),VLOOKUP(tables_429100!C319,input_429100!A:H,8,FALSE))</f>
        <v>54150</v>
      </c>
      <c r="P319" s="46">
        <f t="shared" ca="1" si="32"/>
        <v>5.2197802197802203E-4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input_429100!A$2</f>
        <v>429100</v>
      </c>
      <c r="B320" s="5">
        <v>1153</v>
      </c>
      <c r="C320" s="7" t="str">
        <f t="shared" ref="C320:C324" si="33">D320&amp;J320&amp;E320&amp;F320&amp;G320</f>
        <v>PremiumSS5R5only</v>
      </c>
      <c r="D320" s="7" t="str">
        <f t="shared" ref="D320:D324" si="34">IF(OR(I320="PremiumSS",I320="PremiumSSw"),"PremiumSS",IF(I320="PremiumSSS",I320,IF(I320="PremiumW",I320,"Premium")))</f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ラクシュミ</v>
      </c>
      <c r="I320" s="7" t="str">
        <f>VLOOKUP(B320,[1]characters!$A:$J,10,FALSE)</f>
        <v>PremiumSSW</v>
      </c>
      <c r="J320" s="7">
        <f>VLOOKUP(B320,[1]characters!$A:$I,9,FALSE)</f>
        <v>5</v>
      </c>
      <c r="K320" s="7" t="str">
        <f>VLOOKUP(B320,[1]characters!$A:$H,8,FALSE)</f>
        <v>green</v>
      </c>
      <c r="L320" s="7" t="str">
        <f>VLOOKUP(B320,[1]characters!$A:$K,11,FALSE)</f>
        <v>hp</v>
      </c>
      <c r="M320" s="7" t="str">
        <f>VLOOKUP(B320,[1]characters!$A:$M,13,FALSE)</f>
        <v>god</v>
      </c>
      <c r="N320" s="7" t="str">
        <f>VLOOKUP(B320,[1]characters!$A:$G,7,FALSE)</f>
        <v>不明</v>
      </c>
      <c r="O320" s="45">
        <f ca="1">IFERROR(VLOOKUP(B320,input_429100!L:R,7,FALSE),VLOOKUP(tables_429100!C320,input_429100!A:H,8,FALSE))</f>
        <v>91000</v>
      </c>
      <c r="P320" s="46">
        <f t="shared" ref="P320:P324" ca="1" si="35">O320/SUM(O:O)</f>
        <v>8.7719298245614037E-4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input_429100!A$2</f>
        <v>429100</v>
      </c>
      <c r="B321" s="5">
        <v>1155</v>
      </c>
      <c r="C321" s="7" t="str">
        <f t="shared" si="33"/>
        <v>PremiumSS5R5only</v>
      </c>
      <c r="D321" s="7" t="str">
        <f t="shared" si="3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ドゥルガー</v>
      </c>
      <c r="I321" s="7" t="str">
        <f>VLOOKUP(B321,[1]characters!$A:$J,10,FALSE)</f>
        <v>PremiumSS</v>
      </c>
      <c r="J321" s="7">
        <f>VLOOKUP(B321,[1]characters!$A:$I,9,FALSE)</f>
        <v>5</v>
      </c>
      <c r="K321" s="7" t="str">
        <f>VLOOKUP(B321,[1]characters!$A:$H,8,FALSE)</f>
        <v>blue</v>
      </c>
      <c r="L321" s="7" t="str">
        <f>VLOOKUP(B321,[1]characters!$A:$K,11,FALSE)</f>
        <v>balance</v>
      </c>
      <c r="M321" s="7" t="str">
        <f>VLOOKUP(B321,[1]characters!$A:$M,13,FALSE)</f>
        <v>god</v>
      </c>
      <c r="N321" s="7" t="str">
        <f>VLOOKUP(B321,[1]characters!$A:$G,7,FALSE)</f>
        <v>不明</v>
      </c>
      <c r="O321" s="45">
        <f ca="1">IFERROR(VLOOKUP(B321,input_429100!L:R,7,FALSE),VLOOKUP(tables_429100!C321,input_429100!A:H,8,FALSE))</f>
        <v>91000</v>
      </c>
      <c r="P321" s="46">
        <f t="shared" ca="1" si="35"/>
        <v>8.7719298245614037E-4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input_429100!A$2</f>
        <v>429100</v>
      </c>
      <c r="B322" s="5">
        <v>1157</v>
      </c>
      <c r="C322" s="7" t="str">
        <f t="shared" si="33"/>
        <v>PremiumSS5R5only</v>
      </c>
      <c r="D322" s="7" t="str">
        <f t="shared" si="3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インドラ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yellow</v>
      </c>
      <c r="L322" s="7" t="str">
        <f>VLOOKUP(B322,[1]characters!$A:$K,11,FALSE)</f>
        <v>attack</v>
      </c>
      <c r="M322" s="7" t="str">
        <f>VLOOKUP(B322,[1]characters!$A:$M,13,FALSE)</f>
        <v>god</v>
      </c>
      <c r="N322" s="7" t="str">
        <f>VLOOKUP(B322,[1]characters!$A:$G,7,FALSE)</f>
        <v>不明</v>
      </c>
      <c r="O322" s="45">
        <f ca="1">IFERROR(VLOOKUP(B322,input_429100!L:R,7,FALSE),VLOOKUP(tables_429100!C322,input_429100!A:H,8,FALSE))</f>
        <v>91000</v>
      </c>
      <c r="P322" s="46">
        <f t="shared" ca="1" si="35"/>
        <v>8.7719298245614037E-4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input_429100!A$2</f>
        <v>429100</v>
      </c>
      <c r="B323" s="5">
        <v>1151</v>
      </c>
      <c r="C323" s="7" t="str">
        <f t="shared" si="33"/>
        <v>Premium4R3less</v>
      </c>
      <c r="D323" s="7" t="str">
        <f t="shared" si="34"/>
        <v>Premium</v>
      </c>
      <c r="E323" s="7" t="str">
        <f>IF(COUNTIF('R6追加前'!A:A,B323)=0,IF(OR(I323="PremiumSS",I323="PremiumSSw"),"R5only","R3less"),"")</f>
        <v>R3less</v>
      </c>
      <c r="F323" s="7" t="str">
        <f>IF(COUNTIF('R6開放'!A:A,B323)&gt;0,"R6release","")</f>
        <v/>
      </c>
      <c r="G323" s="7"/>
      <c r="H323" s="7" t="str">
        <f>VLOOKUP(B323,[1]characters!$A:$C,3,FALSE)</f>
        <v>ガネーシャ</v>
      </c>
      <c r="I323" s="7" t="str">
        <f>VLOOKUP(B323,[1]characters!$A:$J,10,FALSE)</f>
        <v>PremiumS</v>
      </c>
      <c r="J323" s="7">
        <f>VLOOKUP(B323,[1]characters!$A:$I,9,FALSE)</f>
        <v>4</v>
      </c>
      <c r="K323" s="7" t="str">
        <f>VLOOKUP(B323,[1]characters!$A:$H,8,FALSE)</f>
        <v>red</v>
      </c>
      <c r="L323" s="7" t="str">
        <f>VLOOKUP(B323,[1]characters!$A:$K,11,FALSE)</f>
        <v>heal</v>
      </c>
      <c r="M323" s="7" t="str">
        <f>VLOOKUP(B323,[1]characters!$A:$M,13,FALSE)</f>
        <v>god</v>
      </c>
      <c r="N323" s="7" t="str">
        <f>VLOOKUP(B323,[1]characters!$A:$G,7,FALSE)</f>
        <v>不明</v>
      </c>
      <c r="O323" s="45">
        <f ca="1">IFERROR(VLOOKUP(B323,input_429100!L:R,7,FALSE),VLOOKUP(tables_429100!C323,input_429100!A:H,8,FALSE))</f>
        <v>1028850</v>
      </c>
      <c r="P323" s="46">
        <f t="shared" ca="1" si="35"/>
        <v>9.9175824175824177E-3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input_429100!A$2</f>
        <v>429100</v>
      </c>
      <c r="B324" s="5">
        <v>1152</v>
      </c>
      <c r="C324" s="7" t="str">
        <f t="shared" si="33"/>
        <v>Premium5R3less</v>
      </c>
      <c r="D324" s="7" t="str">
        <f t="shared" si="34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ガネーシャ</v>
      </c>
      <c r="I324" s="7" t="str">
        <f>VLOOKUP(B324,[1]characters!$A:$J,10,FALSE)</f>
        <v>PremiumS</v>
      </c>
      <c r="J324" s="7">
        <f>VLOOKUP(B324,[1]characters!$A:$I,9,FALSE)</f>
        <v>5</v>
      </c>
      <c r="K324" s="7" t="str">
        <f>VLOOKUP(B324,[1]characters!$A:$H,8,FALSE)</f>
        <v>red</v>
      </c>
      <c r="L324" s="7" t="str">
        <f>VLOOKUP(B324,[1]characters!$A:$K,11,FALSE)</f>
        <v>heal</v>
      </c>
      <c r="M324" s="7" t="str">
        <f>VLOOKUP(B324,[1]characters!$A:$M,13,FALSE)</f>
        <v>god</v>
      </c>
      <c r="N324" s="7" t="str">
        <f>VLOOKUP(B324,[1]characters!$A:$G,7,FALSE)</f>
        <v>不明</v>
      </c>
      <c r="O324" s="45">
        <f ca="1">IFERROR(VLOOKUP(B324,input_429100!L:R,7,FALSE),VLOOKUP(tables_429100!C324,input_429100!A:H,8,FALSE))</f>
        <v>54150</v>
      </c>
      <c r="P324" s="46">
        <f t="shared" ca="1" si="35"/>
        <v>5.2197802197802203E-4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</sheetData>
  <autoFilter ref="A1:V294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9" enableFormatConditionsCalculation="0">
    <tabColor rgb="FF0000FF"/>
    <outlinePr summaryBelow="0" summaryRight="0"/>
  </sheetPr>
  <dimension ref="A1:V6"/>
  <sheetViews>
    <sheetView showGridLines="0" zoomScale="75" zoomScaleNormal="75" zoomScalePageLayoutView="75" workbookViewId="0">
      <pane ySplit="1" topLeftCell="A2" activePane="bottomLeft" state="frozen"/>
      <selection activeCell="D34" sqref="D34"/>
      <selection pane="bottomLeft" activeCell="E8" sqref="E8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input_429100!A$2</f>
        <v>429100</v>
      </c>
      <c r="B2" s="5">
        <v>1153</v>
      </c>
      <c r="C2" s="7" t="str">
        <f t="shared" ref="C2:C6" si="0">D2&amp;J2&amp;E2&amp;F2&amp;G2</f>
        <v>PremiumSS5R5only</v>
      </c>
      <c r="D2" s="7" t="str">
        <f>IF(OR(I2="PremiumSS",I2="PremiumSSw"),"PremiumSS",IF(I2="PremiumSSS",I2,IF(I2="PremiumW",I2,"Premium")))</f>
        <v>PremiumSS</v>
      </c>
      <c r="E2" s="7" t="str">
        <f>IF(COUNTIF('R6追加前'!A:A,B2)=0,IF(OR(I2="PremiumSS",I2="PremiumSSw"),"R5only","R3less"),"")</f>
        <v>R5only</v>
      </c>
      <c r="F2" s="7" t="str">
        <f>IF(COUNTIF('R6開放'!A:A,B2)&gt;0,"R6release","")</f>
        <v/>
      </c>
      <c r="G2" s="7"/>
      <c r="H2" s="7" t="str">
        <f>VLOOKUP(B2,[1]characters!$A:$C,3,FALSE)</f>
        <v>ラクシュミ</v>
      </c>
      <c r="I2" s="7" t="str">
        <f>VLOOKUP(B2,[1]characters!$A:$J,10,FALSE)</f>
        <v>PremiumSSW</v>
      </c>
      <c r="J2" s="7">
        <f>VLOOKUP(B2,[1]characters!$A:$I,9,FALSE)</f>
        <v>5</v>
      </c>
      <c r="K2" s="7" t="str">
        <f>VLOOKUP(B2,[1]characters!$A:$H,8,FALSE)</f>
        <v>green</v>
      </c>
      <c r="L2" s="7" t="str">
        <f>VLOOKUP(B2,[1]characters!$A:$K,11,FALSE)</f>
        <v>hp</v>
      </c>
      <c r="M2" s="7" t="str">
        <f>VLOOKUP(B2,[1]characters!$A:$M,13,FALSE)</f>
        <v>god</v>
      </c>
      <c r="N2" s="7" t="str">
        <f>VLOOKUP(B2,[1]characters!$A:$G,7,FALSE)</f>
        <v>不明</v>
      </c>
      <c r="O2" s="45">
        <f>400-O3</f>
        <v>380</v>
      </c>
      <c r="P2" s="46">
        <f>O2/SUM(O:O)</f>
        <v>0.38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input_429100!A$2</f>
        <v>429100</v>
      </c>
      <c r="B3" s="5">
        <v>1155</v>
      </c>
      <c r="C3" s="7" t="str">
        <f t="shared" si="0"/>
        <v>PremiumSS5R5only</v>
      </c>
      <c r="D3" s="7" t="str">
        <f t="shared" ref="D3:D6" si="1">IF(OR(I3="PremiumSS",I3="PremiumSSw"),"PremiumSS",IF(I3="PremiumSSS",I3,IF(I3="PremiumW",I3,"Premium")))</f>
        <v>PremiumSS</v>
      </c>
      <c r="E3" s="7" t="str">
        <f>IF(COUNTIF('R6追加前'!A:A,B3)=0,IF(OR(I3="PremiumSS",I3="PremiumSSw"),"R5only","R3less"),"")</f>
        <v>R5only</v>
      </c>
      <c r="F3" s="7" t="str">
        <f>IF(COUNTIF('R6開放'!A:A,B3)&gt;0,"R6release","")</f>
        <v/>
      </c>
      <c r="G3" s="7"/>
      <c r="H3" s="7" t="str">
        <f>VLOOKUP(B3,[1]characters!$A:$C,3,FALSE)</f>
        <v>ドゥルガー</v>
      </c>
      <c r="I3" s="7" t="str">
        <f>VLOOKUP(B3,[1]characters!$A:$J,10,FALSE)</f>
        <v>PremiumSS</v>
      </c>
      <c r="J3" s="7">
        <f>VLOOKUP(B3,[1]characters!$A:$I,9,FALSE)</f>
        <v>5</v>
      </c>
      <c r="K3" s="7" t="str">
        <f>VLOOKUP(B3,[1]characters!$A:$H,8,FALSE)</f>
        <v>blue</v>
      </c>
      <c r="L3" s="7" t="str">
        <f>VLOOKUP(B3,[1]characters!$A:$K,11,FALSE)</f>
        <v>balance</v>
      </c>
      <c r="M3" s="7" t="str">
        <f>VLOOKUP(B3,[1]characters!$A:$M,13,FALSE)</f>
        <v>god</v>
      </c>
      <c r="N3" s="7" t="str">
        <f>VLOOKUP(B3,[1]characters!$A:$G,7,FALSE)</f>
        <v>不明</v>
      </c>
      <c r="O3" s="45">
        <f>400*0.05</f>
        <v>20</v>
      </c>
      <c r="P3" s="46">
        <f>O3/SUM(O:O)</f>
        <v>0.02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input_429100!A$2</f>
        <v>429100</v>
      </c>
      <c r="B4" s="5">
        <v>1157</v>
      </c>
      <c r="C4" s="7" t="str">
        <f t="shared" si="0"/>
        <v>PremiumSS5R5only</v>
      </c>
      <c r="D4" s="7" t="str">
        <f t="shared" si="1"/>
        <v>PremiumSS</v>
      </c>
      <c r="E4" s="7" t="str">
        <f>IF(COUNTIF('R6追加前'!A:A,B4)=0,IF(OR(I4="PremiumSS",I4="PremiumSSw"),"R5only","R3less"),"")</f>
        <v>R5only</v>
      </c>
      <c r="F4" s="7" t="str">
        <f>IF(COUNTIF('R6開放'!A:A,B4)&gt;0,"R6release","")</f>
        <v/>
      </c>
      <c r="G4" s="7"/>
      <c r="H4" s="7" t="str">
        <f>VLOOKUP(B4,[1]characters!$A:$C,3,FALSE)</f>
        <v>インドラ</v>
      </c>
      <c r="I4" s="7" t="str">
        <f>VLOOKUP(B4,[1]characters!$A:$J,10,FALSE)</f>
        <v>PremiumSS</v>
      </c>
      <c r="J4" s="7">
        <f>VLOOKUP(B4,[1]characters!$A:$I,9,FALSE)</f>
        <v>5</v>
      </c>
      <c r="K4" s="7" t="str">
        <f>VLOOKUP(B4,[1]characters!$A:$H,8,FALSE)</f>
        <v>yellow</v>
      </c>
      <c r="L4" s="7" t="str">
        <f>VLOOKUP(B4,[1]characters!$A:$K,11,FALSE)</f>
        <v>attack</v>
      </c>
      <c r="M4" s="7" t="str">
        <f>VLOOKUP(B4,[1]characters!$A:$M,13,FALSE)</f>
        <v>god</v>
      </c>
      <c r="N4" s="7" t="str">
        <f>VLOOKUP(B4,[1]characters!$A:$G,7,FALSE)</f>
        <v>不明</v>
      </c>
      <c r="O4" s="45">
        <v>100</v>
      </c>
      <c r="P4" s="46">
        <f>O4/SUM(O:O)</f>
        <v>0.1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input_429100!A$2</f>
        <v>429100</v>
      </c>
      <c r="B5" s="5">
        <v>1151</v>
      </c>
      <c r="C5" s="7" t="str">
        <f t="shared" si="0"/>
        <v>Premium4R3less</v>
      </c>
      <c r="D5" s="7" t="str">
        <f t="shared" si="1"/>
        <v>Premium</v>
      </c>
      <c r="E5" s="7" t="str">
        <f>IF(COUNTIF('R6追加前'!A:A,B5)=0,IF(OR(I5="PremiumSS",I5="PremiumSSw"),"R5only","R3less"),"")</f>
        <v>R3less</v>
      </c>
      <c r="F5" s="7" t="str">
        <f>IF(COUNTIF('R6開放'!A:A,B5)&gt;0,"R6release","")</f>
        <v/>
      </c>
      <c r="G5" s="7"/>
      <c r="H5" s="7" t="str">
        <f>VLOOKUP(B5,[1]characters!$A:$C,3,FALSE)</f>
        <v>ガネーシャ</v>
      </c>
      <c r="I5" s="7" t="str">
        <f>VLOOKUP(B5,[1]characters!$A:$J,10,FALSE)</f>
        <v>PremiumS</v>
      </c>
      <c r="J5" s="7">
        <f>VLOOKUP(B5,[1]characters!$A:$I,9,FALSE)</f>
        <v>4</v>
      </c>
      <c r="K5" s="7" t="str">
        <f>VLOOKUP(B5,[1]characters!$A:$H,8,FALSE)</f>
        <v>red</v>
      </c>
      <c r="L5" s="7" t="str">
        <f>VLOOKUP(B5,[1]characters!$A:$K,11,FALSE)</f>
        <v>heal</v>
      </c>
      <c r="M5" s="7" t="str">
        <f>VLOOKUP(B5,[1]characters!$A:$M,13,FALSE)</f>
        <v>god</v>
      </c>
      <c r="N5" s="7" t="str">
        <f>VLOOKUP(B5,[1]characters!$A:$G,7,FALSE)</f>
        <v>不明</v>
      </c>
      <c r="O5" s="45">
        <v>250</v>
      </c>
      <c r="P5" s="46">
        <f>O5/SUM(O:O)</f>
        <v>0.25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input_429100!A$2</f>
        <v>429100</v>
      </c>
      <c r="B6" s="5">
        <v>1152</v>
      </c>
      <c r="C6" s="7" t="str">
        <f t="shared" si="0"/>
        <v>Premium5R3less</v>
      </c>
      <c r="D6" s="7" t="str">
        <f t="shared" si="1"/>
        <v>Premium</v>
      </c>
      <c r="E6" s="7" t="str">
        <f>IF(COUNTIF('R6追加前'!A:A,B6)=0,IF(OR(I6="PremiumSS",I6="PremiumSSw"),"R5only","R3less"),"")</f>
        <v>R3less</v>
      </c>
      <c r="F6" s="7" t="str">
        <f>IF(COUNTIF('R6開放'!A:A,B6)&gt;0,"R6release","")</f>
        <v/>
      </c>
      <c r="G6" s="7"/>
      <c r="H6" s="7" t="str">
        <f>VLOOKUP(B6,[1]characters!$A:$C,3,FALSE)</f>
        <v>ガネーシャ</v>
      </c>
      <c r="I6" s="7" t="str">
        <f>VLOOKUP(B6,[1]characters!$A:$J,10,FALSE)</f>
        <v>PremiumS</v>
      </c>
      <c r="J6" s="7">
        <f>VLOOKUP(B6,[1]characters!$A:$I,9,FALSE)</f>
        <v>5</v>
      </c>
      <c r="K6" s="7" t="str">
        <f>VLOOKUP(B6,[1]characters!$A:$H,8,FALSE)</f>
        <v>red</v>
      </c>
      <c r="L6" s="7" t="str">
        <f>VLOOKUP(B6,[1]characters!$A:$K,11,FALSE)</f>
        <v>heal</v>
      </c>
      <c r="M6" s="7" t="str">
        <f>VLOOKUP(B6,[1]characters!$A:$M,13,FALSE)</f>
        <v>god</v>
      </c>
      <c r="N6" s="7" t="str">
        <f>VLOOKUP(B6,[1]characters!$A:$G,7,FALSE)</f>
        <v>不明</v>
      </c>
      <c r="O6" s="45">
        <v>250</v>
      </c>
      <c r="P6" s="46">
        <f>O6/SUM(O:O)</f>
        <v>0.25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</sheetData>
  <autoFilter ref="A1:V1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5"/>
  <sheetViews>
    <sheetView showGridLines="0" workbookViewId="0">
      <pane ySplit="1" topLeftCell="A2" activePane="bottomLeft" state="frozen"/>
      <selection activeCell="M24" sqref="M24"/>
      <selection pane="bottomLeft" activeCell="A2" sqref="A2:Q5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88</v>
      </c>
      <c r="H1" s="52" t="s">
        <v>89</v>
      </c>
      <c r="I1" s="53" t="s">
        <v>90</v>
      </c>
      <c r="J1" s="53" t="s">
        <v>91</v>
      </c>
      <c r="K1" s="53" t="s">
        <v>92</v>
      </c>
      <c r="L1" s="53" t="s">
        <v>93</v>
      </c>
      <c r="M1" s="53" t="s">
        <v>94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78"/>
      <c r="B2" s="78"/>
      <c r="C2" s="79"/>
      <c r="D2" s="79"/>
      <c r="E2" s="79"/>
      <c r="F2" s="79"/>
      <c r="G2" s="1"/>
      <c r="H2" s="1"/>
      <c r="I2" s="1"/>
      <c r="J2" s="1"/>
      <c r="K2" s="1"/>
      <c r="L2" s="1"/>
      <c r="M2" s="1"/>
      <c r="N2" s="79"/>
      <c r="O2" s="79"/>
      <c r="P2" s="79"/>
      <c r="Q2" s="80"/>
    </row>
    <row r="3" spans="1:17" ht="21" customHeight="1" x14ac:dyDescent="0.15">
      <c r="A3" s="78"/>
      <c r="B3" s="78"/>
      <c r="G3" s="86"/>
      <c r="H3" s="86"/>
      <c r="I3" s="86"/>
      <c r="J3" s="86"/>
      <c r="K3" s="86"/>
      <c r="L3" s="86"/>
      <c r="M3" s="86"/>
      <c r="N3" s="79"/>
      <c r="O3" s="79"/>
      <c r="P3" s="79"/>
      <c r="Q3" s="80"/>
    </row>
    <row r="4" spans="1:17" ht="21" customHeight="1" x14ac:dyDescent="0.15">
      <c r="A4" s="78"/>
      <c r="B4" s="78"/>
      <c r="G4" s="86"/>
      <c r="H4" s="86"/>
      <c r="I4" s="86"/>
      <c r="J4" s="86"/>
      <c r="K4" s="86"/>
      <c r="L4" s="86"/>
      <c r="M4" s="86"/>
      <c r="N4" s="79"/>
      <c r="O4" s="79"/>
      <c r="P4" s="79"/>
      <c r="Q4" s="80"/>
    </row>
    <row r="5" spans="1:17" ht="21" customHeight="1" x14ac:dyDescent="0.15">
      <c r="A5" s="78"/>
      <c r="B5" s="78"/>
      <c r="G5" s="86"/>
      <c r="H5" s="86"/>
      <c r="I5" s="86"/>
      <c r="J5" s="86"/>
      <c r="K5" s="86"/>
      <c r="L5" s="86"/>
      <c r="M5" s="86"/>
      <c r="N5" s="79"/>
      <c r="O5" s="79"/>
      <c r="P5" s="79"/>
      <c r="Q5" s="80"/>
    </row>
  </sheetData>
  <autoFilter ref="A1:F1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11"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22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8" t="s">
        <v>61</v>
      </c>
      <c r="B1" s="38"/>
    </row>
    <row r="2" spans="1:2" x14ac:dyDescent="0.15">
      <c r="A2" s="33" t="s">
        <v>1</v>
      </c>
      <c r="B2" s="37" t="s">
        <v>65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3">
        <v>169</v>
      </c>
      <c r="B6" s="37" t="str">
        <f>VLOOKUP(A6,[1]characters!$A:$C,3,FALSE)</f>
        <v>オセ</v>
      </c>
    </row>
    <row r="7" spans="1:2" x14ac:dyDescent="0.15">
      <c r="A7" s="33">
        <v>170</v>
      </c>
      <c r="B7" s="37" t="str">
        <f>VLOOKUP(A7,[1]characters!$A:$C,3,FALSE)</f>
        <v>識徒 オセ</v>
      </c>
    </row>
    <row r="8" spans="1:2" x14ac:dyDescent="0.15">
      <c r="A8" s="33">
        <v>171</v>
      </c>
      <c r="B8" s="37" t="str">
        <f>VLOOKUP(A8,[1]characters!$A:$C,3,FALSE)</f>
        <v>精解の預知者 オセ</v>
      </c>
    </row>
    <row r="9" spans="1:2" x14ac:dyDescent="0.15">
      <c r="A9" s="33">
        <v>172</v>
      </c>
      <c r="B9" s="37" t="str">
        <f>VLOOKUP(A9,[1]characters!$A:$C,3,FALSE)</f>
        <v>フォルネウス</v>
      </c>
    </row>
    <row r="10" spans="1:2" x14ac:dyDescent="0.15">
      <c r="A10" s="33">
        <v>173</v>
      </c>
      <c r="B10" s="37" t="str">
        <f>VLOOKUP(A10,[1]characters!$A:$C,3,FALSE)</f>
        <v>公爵 フォルネウス</v>
      </c>
    </row>
    <row r="11" spans="1:2" x14ac:dyDescent="0.15">
      <c r="A11" s="33">
        <v>174</v>
      </c>
      <c r="B11" s="37" t="str">
        <f>VLOOKUP(A11,[1]characters!$A:$C,3,FALSE)</f>
        <v>偽愛の大公爵 フォルネウス</v>
      </c>
    </row>
    <row r="12" spans="1:2" x14ac:dyDescent="0.15">
      <c r="A12" s="33">
        <v>235</v>
      </c>
      <c r="B12" s="37" t="str">
        <f>VLOOKUP(A12,[1]characters!$A:$C,3,FALSE)</f>
        <v>イザナミ</v>
      </c>
    </row>
    <row r="13" spans="1:2" x14ac:dyDescent="0.15">
      <c r="A13" s="33">
        <v>236</v>
      </c>
      <c r="B13" s="37" t="str">
        <f>VLOOKUP(A13,[1]characters!$A:$C,3,FALSE)</f>
        <v>神産 イザナミ</v>
      </c>
    </row>
    <row r="14" spans="1:2" x14ac:dyDescent="0.15">
      <c r="A14" s="33">
        <v>237</v>
      </c>
      <c r="B14" s="37" t="str">
        <f>VLOOKUP(A14,[1]characters!$A:$C,3,FALSE)</f>
        <v>森羅万象の神母 イザナミ</v>
      </c>
    </row>
  </sheetData>
  <phoneticPr fontId="2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確率の考え方</vt:lpstr>
      <vt:lpstr>Sheet1</vt:lpstr>
      <vt:lpstr>output</vt:lpstr>
      <vt:lpstr>input_429010</vt:lpstr>
      <vt:lpstr>input_429011</vt:lpstr>
      <vt:lpstr>tables_429010</vt:lpstr>
      <vt:lpstr>tables_429011</vt:lpstr>
      <vt:lpstr>input_429100</vt:lpstr>
      <vt:lpstr>tables_429100</vt:lpstr>
      <vt:lpstr>tables_settle_429100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2016-10-12T08:02:21Z</dcterms:modified>
</cp:coreProperties>
</file>