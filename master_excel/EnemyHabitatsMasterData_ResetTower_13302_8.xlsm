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40" yWindow="460" windowWidth="38400" windowHeight="2106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enemy_habitat_S!$B$1:$AA$1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21" l="1"/>
  <c r="F4" i="21"/>
  <c r="D4" i="21"/>
  <c r="C4" i="21"/>
  <c r="G3" i="2"/>
  <c r="A3" i="2"/>
  <c r="H2" i="1"/>
  <c r="H3" i="1"/>
  <c r="H4" i="1"/>
  <c r="H5" i="1"/>
  <c r="B3" i="2"/>
  <c r="G2" i="2"/>
  <c r="A2" i="2"/>
  <c r="B2" i="2"/>
  <c r="D2" i="2"/>
  <c r="AF5" i="1"/>
  <c r="AI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F3" i="1"/>
  <c r="AI3" i="1"/>
  <c r="AG3" i="1"/>
  <c r="AE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F2" i="1"/>
  <c r="AI2" i="1"/>
  <c r="AG2" i="1"/>
  <c r="AE2" i="1"/>
  <c r="X2" i="1"/>
  <c r="V2" i="1"/>
  <c r="T2" i="1"/>
  <c r="Q2" i="1"/>
  <c r="P2" i="1"/>
  <c r="O2" i="1"/>
  <c r="N2" i="1"/>
  <c r="M2" i="1"/>
  <c r="J2" i="1"/>
  <c r="I2" i="1"/>
  <c r="D2" i="1"/>
  <c r="F2" i="1"/>
  <c r="E2" i="1"/>
  <c r="A21" i="9"/>
  <c r="A22" i="9"/>
  <c r="A23" i="9"/>
  <c r="A24" i="9"/>
  <c r="A25" i="9"/>
  <c r="A26" i="9"/>
  <c r="A27" i="9"/>
  <c r="A28" i="9"/>
  <c r="A29" i="9"/>
  <c r="A20" i="9"/>
  <c r="A19" i="9"/>
  <c r="A18" i="9"/>
  <c r="O29" i="9"/>
  <c r="N29" i="9"/>
  <c r="M29" i="9"/>
  <c r="L29" i="9"/>
  <c r="K29" i="9"/>
  <c r="J29" i="9"/>
  <c r="I29" i="9"/>
  <c r="H29" i="9"/>
  <c r="G29" i="9"/>
  <c r="E29" i="9"/>
  <c r="D29" i="9"/>
  <c r="O28" i="9"/>
  <c r="N28" i="9"/>
  <c r="M28" i="9"/>
  <c r="L28" i="9"/>
  <c r="K28" i="9"/>
  <c r="J28" i="9"/>
  <c r="I28" i="9"/>
  <c r="H28" i="9"/>
  <c r="G28" i="9"/>
  <c r="E28" i="9"/>
  <c r="D28" i="9"/>
  <c r="O27" i="9"/>
  <c r="N27" i="9"/>
  <c r="M27" i="9"/>
  <c r="L27" i="9"/>
  <c r="K27" i="9"/>
  <c r="J27" i="9"/>
  <c r="I27" i="9"/>
  <c r="H27" i="9"/>
  <c r="G27" i="9"/>
  <c r="E27" i="9"/>
  <c r="D27" i="9"/>
  <c r="O26" i="9"/>
  <c r="N26" i="9"/>
  <c r="M26" i="9"/>
  <c r="L26" i="9"/>
  <c r="K26" i="9"/>
  <c r="J26" i="9"/>
  <c r="I26" i="9"/>
  <c r="H26" i="9"/>
  <c r="G26" i="9"/>
  <c r="E26" i="9"/>
  <c r="D26" i="9"/>
  <c r="O25" i="9"/>
  <c r="N25" i="9"/>
  <c r="M25" i="9"/>
  <c r="L25" i="9"/>
  <c r="K25" i="9"/>
  <c r="J25" i="9"/>
  <c r="I25" i="9"/>
  <c r="H25" i="9"/>
  <c r="G25" i="9"/>
  <c r="E25" i="9"/>
  <c r="D25" i="9"/>
  <c r="O24" i="9"/>
  <c r="N24" i="9"/>
  <c r="M24" i="9"/>
  <c r="L24" i="9"/>
  <c r="K24" i="9"/>
  <c r="J24" i="9"/>
  <c r="I24" i="9"/>
  <c r="H24" i="9"/>
  <c r="G24" i="9"/>
  <c r="E24" i="9"/>
  <c r="D24" i="9"/>
  <c r="O23" i="9"/>
  <c r="N23" i="9"/>
  <c r="M23" i="9"/>
  <c r="L23" i="9"/>
  <c r="K23" i="9"/>
  <c r="J23" i="9"/>
  <c r="I23" i="9"/>
  <c r="H23" i="9"/>
  <c r="G23" i="9"/>
  <c r="E23" i="9"/>
  <c r="D23" i="9"/>
  <c r="O22" i="9"/>
  <c r="N22" i="9"/>
  <c r="M22" i="9"/>
  <c r="L22" i="9"/>
  <c r="K22" i="9"/>
  <c r="J22" i="9"/>
  <c r="I22" i="9"/>
  <c r="H22" i="9"/>
  <c r="G22" i="9"/>
  <c r="E22" i="9"/>
  <c r="D22" i="9"/>
  <c r="O21" i="9"/>
  <c r="N21" i="9"/>
  <c r="M21" i="9"/>
  <c r="L21" i="9"/>
  <c r="K21" i="9"/>
  <c r="J21" i="9"/>
  <c r="I21" i="9"/>
  <c r="H21" i="9"/>
  <c r="G21" i="9"/>
  <c r="E21" i="9"/>
  <c r="D21" i="9"/>
  <c r="O20" i="9"/>
  <c r="N20" i="9"/>
  <c r="M20" i="9"/>
  <c r="L20" i="9"/>
  <c r="K20" i="9"/>
  <c r="J20" i="9"/>
  <c r="I20" i="9"/>
  <c r="H20" i="9"/>
  <c r="G20" i="9"/>
  <c r="E20" i="9"/>
  <c r="D20" i="9"/>
  <c r="O19" i="9"/>
  <c r="N19" i="9"/>
  <c r="M19" i="9"/>
  <c r="L19" i="9"/>
  <c r="K19" i="9"/>
  <c r="J19" i="9"/>
  <c r="I19" i="9"/>
  <c r="H19" i="9"/>
  <c r="G19" i="9"/>
  <c r="E19" i="9"/>
  <c r="D19" i="9"/>
  <c r="O18" i="9"/>
  <c r="N18" i="9"/>
  <c r="M18" i="9"/>
  <c r="L18" i="9"/>
  <c r="K18" i="9"/>
  <c r="J18" i="9"/>
  <c r="I18" i="9"/>
  <c r="H18" i="9"/>
  <c r="G18" i="9"/>
  <c r="E18" i="9"/>
  <c r="D18" i="9"/>
  <c r="O17" i="9"/>
  <c r="N17" i="9"/>
  <c r="M17" i="9"/>
  <c r="L17" i="9"/>
  <c r="K17" i="9"/>
  <c r="J17" i="9"/>
  <c r="I17" i="9"/>
  <c r="H17" i="9"/>
  <c r="G17" i="9"/>
  <c r="E17" i="9"/>
  <c r="D17" i="9"/>
  <c r="O16" i="9"/>
  <c r="N16" i="9"/>
  <c r="M16" i="9"/>
  <c r="L16" i="9"/>
  <c r="K16" i="9"/>
  <c r="J16" i="9"/>
  <c r="I16" i="9"/>
  <c r="H16" i="9"/>
  <c r="G16" i="9"/>
  <c r="E16" i="9"/>
  <c r="D16" i="9"/>
  <c r="O15" i="9"/>
  <c r="N15" i="9"/>
  <c r="M15" i="9"/>
  <c r="L15" i="9"/>
  <c r="K15" i="9"/>
  <c r="J15" i="9"/>
  <c r="I15" i="9"/>
  <c r="H15" i="9"/>
  <c r="G15" i="9"/>
  <c r="E15" i="9"/>
  <c r="D15" i="9"/>
  <c r="O14" i="9"/>
  <c r="N14" i="9"/>
  <c r="M14" i="9"/>
  <c r="L14" i="9"/>
  <c r="K14" i="9"/>
  <c r="J14" i="9"/>
  <c r="I14" i="9"/>
  <c r="H14" i="9"/>
  <c r="G14" i="9"/>
  <c r="E14" i="9"/>
  <c r="D14" i="9"/>
  <c r="O13" i="9"/>
  <c r="N13" i="9"/>
  <c r="M13" i="9"/>
  <c r="L13" i="9"/>
  <c r="K13" i="9"/>
  <c r="J13" i="9"/>
  <c r="I13" i="9"/>
  <c r="H13" i="9"/>
  <c r="G13" i="9"/>
  <c r="E13" i="9"/>
  <c r="D13" i="9"/>
  <c r="O12" i="9"/>
  <c r="N12" i="9"/>
  <c r="M12" i="9"/>
  <c r="L12" i="9"/>
  <c r="K12" i="9"/>
  <c r="J12" i="9"/>
  <c r="I12" i="9"/>
  <c r="H12" i="9"/>
  <c r="G12" i="9"/>
  <c r="E12" i="9"/>
  <c r="D12" i="9"/>
  <c r="O11" i="9"/>
  <c r="N11" i="9"/>
  <c r="M11" i="9"/>
  <c r="L11" i="9"/>
  <c r="K11" i="9"/>
  <c r="J11" i="9"/>
  <c r="I11" i="9"/>
  <c r="H11" i="9"/>
  <c r="G11" i="9"/>
  <c r="E11" i="9"/>
  <c r="D11" i="9"/>
  <c r="O10" i="9"/>
  <c r="N10" i="9"/>
  <c r="M10" i="9"/>
  <c r="L10" i="9"/>
  <c r="K10" i="9"/>
  <c r="J10" i="9"/>
  <c r="I10" i="9"/>
  <c r="H10" i="9"/>
  <c r="G10" i="9"/>
  <c r="E10" i="9"/>
  <c r="D10" i="9"/>
  <c r="O9" i="9"/>
  <c r="N9" i="9"/>
  <c r="M9" i="9"/>
  <c r="L9" i="9"/>
  <c r="K9" i="9"/>
  <c r="J9" i="9"/>
  <c r="I9" i="9"/>
  <c r="H9" i="9"/>
  <c r="G9" i="9"/>
  <c r="E9" i="9"/>
  <c r="D9" i="9"/>
  <c r="O8" i="9"/>
  <c r="N8" i="9"/>
  <c r="M8" i="9"/>
  <c r="L8" i="9"/>
  <c r="K8" i="9"/>
  <c r="J8" i="9"/>
  <c r="I8" i="9"/>
  <c r="H8" i="9"/>
  <c r="G8" i="9"/>
  <c r="E8" i="9"/>
  <c r="D8" i="9"/>
  <c r="O7" i="9"/>
  <c r="N7" i="9"/>
  <c r="M7" i="9"/>
  <c r="L7" i="9"/>
  <c r="K7" i="9"/>
  <c r="J7" i="9"/>
  <c r="I7" i="9"/>
  <c r="H7" i="9"/>
  <c r="G7" i="9"/>
  <c r="E7" i="9"/>
  <c r="D7" i="9"/>
  <c r="O6" i="9"/>
  <c r="N6" i="9"/>
  <c r="M6" i="9"/>
  <c r="L6" i="9"/>
  <c r="K6" i="9"/>
  <c r="J6" i="9"/>
  <c r="I6" i="9"/>
  <c r="H6" i="9"/>
  <c r="G6" i="9"/>
  <c r="E6" i="9"/>
  <c r="D6" i="9"/>
  <c r="O5" i="9"/>
  <c r="N5" i="9"/>
  <c r="M5" i="9"/>
  <c r="L5" i="9"/>
  <c r="K5" i="9"/>
  <c r="J5" i="9"/>
  <c r="I5" i="9"/>
  <c r="H5" i="9"/>
  <c r="G5" i="9"/>
  <c r="E5" i="9"/>
  <c r="D5" i="9"/>
  <c r="O4" i="9"/>
  <c r="N4" i="9"/>
  <c r="M4" i="9"/>
  <c r="L4" i="9"/>
  <c r="K4" i="9"/>
  <c r="J4" i="9"/>
  <c r="I4" i="9"/>
  <c r="H4" i="9"/>
  <c r="G4" i="9"/>
  <c r="E4" i="9"/>
  <c r="D4" i="9"/>
  <c r="O3" i="9"/>
  <c r="N3" i="9"/>
  <c r="M3" i="9"/>
  <c r="L3" i="9"/>
  <c r="K3" i="9"/>
  <c r="J3" i="9"/>
  <c r="I3" i="9"/>
  <c r="H3" i="9"/>
  <c r="G3" i="9"/>
  <c r="E3" i="9"/>
  <c r="D3" i="9"/>
  <c r="O2" i="9"/>
  <c r="N2" i="9"/>
  <c r="M2" i="9"/>
  <c r="L2" i="9"/>
  <c r="K2" i="9"/>
  <c r="J2" i="9"/>
  <c r="I2" i="9"/>
  <c r="H2" i="9"/>
  <c r="G2" i="9"/>
  <c r="E2" i="9"/>
  <c r="D2" i="9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G6" i="21"/>
  <c r="F6" i="21"/>
  <c r="D6" i="21"/>
  <c r="C6" i="21"/>
  <c r="G5" i="21"/>
  <c r="F5" i="21"/>
  <c r="D5" i="21"/>
  <c r="C5" i="21"/>
  <c r="G3" i="21"/>
  <c r="F3" i="21"/>
  <c r="D3" i="21"/>
  <c r="C3" i="21"/>
  <c r="G2" i="21"/>
  <c r="F2" i="21"/>
  <c r="D2" i="21"/>
  <c r="C2" i="21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O6" i="21"/>
  <c r="O3" i="21"/>
  <c r="O5" i="21"/>
  <c r="O2" i="21"/>
  <c r="A16" i="9"/>
  <c r="A12" i="9"/>
  <c r="A7" i="9"/>
  <c r="A6" i="9"/>
  <c r="A11" i="9"/>
  <c r="A5" i="9"/>
  <c r="A17" i="9"/>
  <c r="A15" i="9"/>
  <c r="A14" i="9"/>
  <c r="A10" i="9"/>
  <c r="A9" i="9"/>
  <c r="A4" i="9"/>
  <c r="A3" i="9"/>
  <c r="A13" i="9"/>
  <c r="A8" i="9"/>
  <c r="H3" i="2"/>
  <c r="E3" i="2"/>
  <c r="D3" i="2"/>
  <c r="A5" i="1"/>
  <c r="A4" i="1"/>
  <c r="A3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E12" i="16"/>
  <c r="E11" i="16"/>
  <c r="E10" i="16"/>
  <c r="C2" i="18"/>
  <c r="D2" i="18"/>
  <c r="E9" i="16"/>
  <c r="E8" i="16"/>
  <c r="E7" i="16"/>
  <c r="E6" i="16"/>
  <c r="E5" i="16"/>
  <c r="E4" i="16"/>
  <c r="E3" i="16"/>
  <c r="E2" i="16"/>
  <c r="A2" i="1"/>
  <c r="A2" i="9"/>
  <c r="E2" i="2"/>
  <c r="H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<sst xmlns="http://schemas.openxmlformats.org/spreadsheetml/2006/main" count="673" uniqueCount="328">
  <si>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</si>
  <si>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</si>
  <si>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</si>
  <si>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</si>
  <si>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</si>
  <si>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</si>
  <si>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</si>
  <si>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</si>
  <si>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</si>
  <si>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</si>
  <si>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</si>
  <si>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</si>
  <si>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</si>
  <si>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</si>
  <si>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</si>
  <si>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</si>
  <si>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</si>
  <si>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</si>
  <si>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</si>
  <si>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</si>
  <si>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</si>
  <si>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</si>
  <si>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</si>
  <si>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</si>
  <si>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</si>
  <si>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</si>
  <si>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</si>
  <si>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</si>
  <si>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</si>
  <si>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</si>
  <si>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</si>
  <si>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</si>
  <si>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</si>
  <si>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</si>
  <si>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</si>
  <si>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</si>
  <si>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</si>
  <si>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</si>
  <si>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</si>
  <si>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</si>
  <si>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</si>
  <si>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</si>
  <si>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</si>
  <si>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</si>
  <si>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</si>
  <si>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</si>
  <si>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</si>
  <si>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</si>
  <si>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</si>
  <si>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</si>
  <si>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</si>
  <si>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</si>
  <si>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</si>
  <si>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</si>
  <si>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</si>
  <si>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</si>
  <si>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</si>
  <si>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</si>
  <si>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</si>
  <si>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</si>
  <si>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</si>
  <si>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</si>
  <si>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</si>
  <si>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</si>
  <si>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</si>
  <si>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</si>
  <si>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</si>
  <si>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</si>
  <si>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</si>
  <si>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</si>
  <si>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</si>
  <si>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</si>
  <si>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</si>
  <si>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</si>
  <si>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</si>
  <si>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</si>
  <si>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</si>
  <si>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</si>
  <si>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</si>
  <si>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</si>
  <si>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</si>
  <si>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</si>
  <si>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</si>
  <si>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</si>
  <si>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</si>
  <si>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</si>
  <si>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</si>
  <si>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</si>
  <si>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</si>
  <si>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</si>
  <si>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</si>
  <si>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</si>
  <si>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</si>
  <si>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</si>
  <si>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</si>
  <si>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</si>
  <si>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</si>
  <si>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</si>
  <si>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</si>
  <si>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</si>
  <si>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</si>
  <si>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</si>
  <si>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</si>
  <si>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</si>
  <si>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</si>
  <si>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</si>
  <si>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</si>
  <si>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</si>
  <si>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</si>
  <si>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</si>
  <si>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</si>
  <si>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</si>
  <si>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</si>
  <si>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</si>
  <si>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</si>
  <si>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</si>
  <si>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</si>
  <si>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</si>
  <si>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</si>
  <si>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</si>
  <si>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</si>
  <si>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</si>
  <si>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</si>
  <si>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</si>
  <si>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</si>
  <si>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</si>
  <si>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</si>
  <si>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</si>
  <si>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</si>
  <si>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</si>
  <si>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</si>
  <si>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</si>
  <si>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</si>
  <si>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</si>
  <si>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</si>
  <si>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</si>
  <si>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</si>
  <si>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</si>
  <si>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</si>
  <si>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</si>
  <si>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</si>
  <si>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</si>
  <si>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</si>
  <si>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</si>
  <si>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</si>
  <si>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</si>
  <si>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</si>
  <si>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</si>
  <si>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</si>
  <si>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</si>
  <si>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</si>
  <si>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</si>
  <si>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</si>
  <si>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</si>
  <si>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</si>
  <si>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</si>
  <si>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</si>
  <si>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</si>
  <si>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</si>
  <si>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</si>
  <si>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</si>
  <si>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</si>
  <si>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</si>
  <si>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</si>
  <si>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</si>
  <si>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</si>
  <si>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</si>
  <si>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</si>
  <si>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</si>
  <si>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</si>
  <si>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</si>
  <si>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</si>
  <si>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</si>
  <si>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</si>
  <si>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</si>
  <si>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</si>
  <si>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</si>
  <si>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</si>
  <si>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</si>
  <si>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</si>
  <si>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</si>
  <si>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</si>
  <si>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</si>
  <si>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</si>
  <si>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</si>
  <si>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</si>
  <si>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</si>
  <si>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</si>
  <si>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</si>
  <si>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</si>
  <si>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</si>
  <si>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</si>
  <si>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</si>
  <si>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</si>
  <si>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</si>
  <si>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</si>
  <si>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</si>
  <si>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</si>
  <si>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</si>
  <si>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</si>
  <si>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</si>
  <si>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</si>
  <si>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</si>
  <si>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</si>
  <si>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</si>
  <si>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</si>
  <si>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</si>
  <si>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</si>
  <si>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</si>
  <si>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</si>
  <si>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</si>
  <si>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</si>
  <si>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</si>
  <si>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</si>
  <si>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</si>
  <si>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</si>
  <si>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</si>
  <si>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</si>
  <si>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</si>
  <si>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</si>
  <si>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</si>
  <si>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</si>
  <si>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</si>
  <si>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</si>
  <si>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</si>
  <si>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</si>
  <si>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</si>
  <si>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</si>
  <si>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</si>
  <si>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</si>
  <si>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</si>
  <si>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</si>
  <si>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</si>
  <si>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</si>
  <si>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</si>
  <si>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</si>
  <si>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</si>
  <si>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</si>
  <si>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</si>
  <si>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</si>
  <si>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</si>
  <si>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</si>
  <si>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</si>
  <si>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</si>
  <si>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</si>
  <si>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</si>
  <si>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</si>
  <si>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</si>
  <si>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</si>
  <si>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skip</t>
  </si>
  <si>
    <t>unit</t>
    <phoneticPr fontId="5"/>
  </si>
  <si>
    <t>link</t>
    <phoneticPr fontId="5"/>
  </si>
  <si>
    <t>null</t>
    <phoneticPr fontId="5"/>
  </si>
  <si>
    <t>singleonly</t>
    <phoneticPr fontId="5"/>
  </si>
  <si>
    <t>bit</t>
    <phoneticPr fontId="5"/>
  </si>
  <si>
    <t>bit</t>
    <phoneticPr fontId="5"/>
  </si>
  <si>
    <t>null</t>
    <phoneticPr fontId="5"/>
  </si>
  <si>
    <t>null</t>
    <phoneticPr fontId="5"/>
  </si>
  <si>
    <t>このフロアの敵は
ターンが経過すると攻撃力がUPします
なるべく素早く抜けましょう</t>
    <phoneticPr fontId="5"/>
  </si>
  <si>
    <t>チエミは攻撃頻度4ですが
途中から攻撃頻度が早くなります
それまでにミリーを倒しておきましょう</t>
    <rPh sb="4" eb="8">
      <t>コウゲキヒンド</t>
    </rPh>
    <rPh sb="13" eb="15">
      <t>トチュウカラ</t>
    </rPh>
    <rPh sb="22" eb="23">
      <t>ハヤク</t>
    </rPh>
    <phoneticPr fontId="5"/>
  </si>
  <si>
    <t>ミリーは頻繁にお邪魔パネルを生成して
こちらの行動を阻害してきます
スキルやフィーバーで上手く回避しましょう</t>
    <rPh sb="4" eb="6">
      <t>ヒンパン</t>
    </rPh>
    <rPh sb="14" eb="16">
      <t>セイセイ</t>
    </rPh>
    <rPh sb="23" eb="25">
      <t>コウドウヲ</t>
    </rPh>
    <rPh sb="26" eb="28">
      <t>ソガイ</t>
    </rPh>
    <rPh sb="45" eb="47">
      <t>ウマク</t>
    </rPh>
    <rPh sb="48" eb="50">
      <t>カイヒ</t>
    </rPh>
    <phoneticPr fontId="5"/>
  </si>
  <si>
    <t>NULL</t>
    <phoneticPr fontId="5"/>
  </si>
  <si>
    <t>「塔の結界・極」はコスト29以上のユニットに
即死級のダメージを与えます
注意しましょう</t>
    <phoneticPr fontId="5"/>
  </si>
  <si>
    <t>[effect:damage_fix_absolute, target:unit_one, val:300]</t>
    <phoneticPr fontId="5"/>
  </si>
  <si>
    <t>計測射撃</t>
    <rPh sb="0" eb="2">
      <t>ケイソク</t>
    </rPh>
    <rPh sb="2" eb="4">
      <t>シャゲキ</t>
    </rPh>
    <phoneticPr fontId="5"/>
  </si>
  <si>
    <t>14ターン後即死級の攻撃</t>
    <phoneticPr fontId="5"/>
  </si>
  <si>
    <t>[effect:damage_fix_absolute, target:unit_one, val:600]</t>
    <phoneticPr fontId="5"/>
  </si>
  <si>
    <t>だんだん強くなる固定ダメージ</t>
    <phoneticPr fontId="5"/>
  </si>
  <si>
    <t>[effect:damage_fix_absolute, target:unit_one, val:900]</t>
    <phoneticPr fontId="5"/>
  </si>
  <si>
    <t>[effect:damage_fix_absolute, target:unit_one, val:1200]</t>
    <phoneticPr fontId="5"/>
  </si>
  <si>
    <t>[effect:damage_fix_absolute, target:unit_one, val:1500]</t>
    <phoneticPr fontId="5"/>
  </si>
  <si>
    <t>[effect:damage_fix_absolute, target:unit_one, val:1800]</t>
    <phoneticPr fontId="5"/>
  </si>
  <si>
    <t>[effect:damage_fix_absolute, target:unit_one, val:2100]</t>
    <phoneticPr fontId="5"/>
  </si>
  <si>
    <t>[effect:damage_fix_absolute, target:unit_one, val:2400]</t>
    <phoneticPr fontId="5"/>
  </si>
  <si>
    <t>[effect:damage_fix_absolute, target:unit_one, val:2700]</t>
    <phoneticPr fontId="5"/>
  </si>
  <si>
    <t>[effect:damage_fix_absolute, target:unit_one, val:3000]</t>
    <phoneticPr fontId="5"/>
  </si>
  <si>
    <t>[effect:damage_fix_absolute, target:unit_one, val:3300]</t>
    <phoneticPr fontId="5"/>
  </si>
  <si>
    <t>[effect:damage_fix_absolute, target:unit_one, val:3600]</t>
    <phoneticPr fontId="5"/>
  </si>
  <si>
    <t>ja</t>
    <phoneticPr fontId="5"/>
  </si>
  <si>
    <t>だんだん強くなる固定ダメージ</t>
    <phoneticPr fontId="5"/>
  </si>
  <si>
    <t>[effect:damage_fix_absolute, target:unit_one, val:3900]</t>
    <phoneticPr fontId="5"/>
  </si>
  <si>
    <t>次のターン即死級の攻撃</t>
    <phoneticPr fontId="5"/>
  </si>
  <si>
    <t>致命射撃</t>
    <rPh sb="0" eb="2">
      <t>チメイ</t>
    </rPh>
    <rPh sb="2" eb="4">
      <t>シャゲキ</t>
    </rPh>
    <phoneticPr fontId="5"/>
  </si>
  <si>
    <t>99999固定ダメージ！</t>
    <rPh sb="5" eb="7">
      <t>コテイ</t>
    </rPh>
    <phoneticPr fontId="5"/>
  </si>
  <si>
    <t>フハハ！もたもたするな！</t>
    <phoneticPr fontId="5"/>
  </si>
  <si>
    <t>全体攻撃+2ターンタップ時間制限（9秒）</t>
    <rPh sb="18" eb="19">
      <t>ビョウ</t>
    </rPh>
    <phoneticPr fontId="5"/>
  </si>
  <si>
    <t>贈り物を用意したぞ！</t>
    <rPh sb="0" eb="1">
      <t>オクリモノヲ</t>
    </rPh>
    <rPh sb="4" eb="6">
      <t>ヨウイ</t>
    </rPh>
    <phoneticPr fontId="5"/>
  </si>
  <si>
    <t>調子に乗るなよ小童共！</t>
    <rPh sb="0" eb="2">
      <t>チョウシニ</t>
    </rPh>
    <rPh sb="3" eb="4">
      <t>ノルナヨ</t>
    </rPh>
    <rPh sb="7" eb="9">
      <t>コワッパ</t>
    </rPh>
    <rPh sb="9" eb="10">
      <t>ドモ</t>
    </rPh>
    <phoneticPr fontId="5"/>
  </si>
  <si>
    <t>これが私の流儀だ！</t>
    <rPh sb="3" eb="4">
      <t>ワタシノ</t>
    </rPh>
    <rPh sb="5" eb="7">
      <t>リュウギ</t>
    </rPh>
    <phoneticPr fontId="5"/>
  </si>
  <si>
    <t>ジャミングスラスト</t>
    <phoneticPr fontId="5"/>
  </si>
  <si>
    <t>お邪魔パネル2個生成+2回連続攻撃</t>
    <rPh sb="7" eb="8">
      <t>コ</t>
    </rPh>
    <phoneticPr fontId="5"/>
  </si>
  <si>
    <t>見えた…刈り取る！！</t>
    <rPh sb="0" eb="1">
      <t>ミエタ</t>
    </rPh>
    <rPh sb="4" eb="5">
      <t>カリトル</t>
    </rPh>
    <phoneticPr fontId="5"/>
  </si>
  <si>
    <t>50000固定ダメージ！</t>
    <rPh sb="5" eb="7">
      <t>コテイ</t>
    </rPh>
    <phoneticPr fontId="5"/>
  </si>
  <si>
    <t>ほらほら、触ってみてよ♪</t>
    <rPh sb="5" eb="6">
      <t>サワッテ</t>
    </rPh>
    <phoneticPr fontId="5"/>
  </si>
  <si>
    <t>じっとしてるのも飽きたな〜</t>
    <rPh sb="8" eb="9">
      <t>アキタ</t>
    </rPh>
    <phoneticPr fontId="5"/>
  </si>
  <si>
    <t>もうどうなっても知らな〜い</t>
    <rPh sb="8" eb="9">
      <t>シラナイ</t>
    </rPh>
    <phoneticPr fontId="5"/>
  </si>
  <si>
    <t>ビリビリあたっく！</t>
    <phoneticPr fontId="5"/>
  </si>
  <si>
    <t>6回連続攻撃</t>
    <phoneticPr fontId="5"/>
  </si>
  <si>
    <t>塔の結界・極</t>
    <rPh sb="0" eb="1">
      <t>トウノ</t>
    </rPh>
    <rPh sb="2" eb="4">
      <t>ケッカイ</t>
    </rPh>
    <phoneticPr fontId="5"/>
  </si>
  <si>
    <t>状態異常耐性</t>
    <rPh sb="0" eb="2">
      <t>ジョウタイイジョウ</t>
    </rPh>
    <rPh sb="2" eb="4">
      <t>イジョウ</t>
    </rPh>
    <rPh sb="4" eb="6">
      <t>タイセイ</t>
    </rPh>
    <phoneticPr fontId="5"/>
  </si>
  <si>
    <t>緑属性ユニットのスキルゲージ2上昇</t>
    <rPh sb="1" eb="3">
      <t>ゾクセイ</t>
    </rPh>
    <phoneticPr fontId="5"/>
  </si>
  <si>
    <t>[effect:damage_fix_absolute, target:unit_one, val:99999],[effect:enemy_message, val1:1.4, val2:2.2]</t>
    <phoneticPr fontId="5"/>
  </si>
  <si>
    <t>[effect:damage_fix_absolute, target:unit_one, val:4200],[effect:enemy_message, val1:1, val2:2.2]</t>
    <phoneticPr fontId="5"/>
  </si>
  <si>
    <t>[effect:time_limit, target:unit_all, turn:2, count:9, animation:enemy_time_limit],[effect:spread, val:0.3],[effect:enemy_message, val1:1.2, val2:2.2]</t>
    <phoneticPr fontId="5"/>
  </si>
  <si>
    <t>[effect:sp_boost, target:unit_green, val:2, animation:sp_boost_one02],[effect:enemy_message, val1:1.2, val2:2.2]</t>
    <phoneticPr fontId="5"/>
  </si>
  <si>
    <t>[effect:enemy_message, val1:1.2, val2:2.5],[effect:spread, val:0.3],[effect:force_change_block, new_block:time_bomb, target:block_yellow, ignore01:crash, ignore02:crack_bomb, ignore03:time_bomb, ignore04:jammer, color:block_yellow, count:2, val:0.3, min_time_count:2, max_time_count:3, animation:change_block]</t>
    <phoneticPr fontId="5"/>
  </si>
  <si>
    <t>[effect:enemy_message, val1:1.2, val2:2.7],[effect:degrade_unit, target:unit_all, turn:3, status:attack, val:1, calc:mul],[effect:time_limit, target:unit_all, turn:1, count:6, animation:enemy_time_limit]</t>
    <phoneticPr fontId="5"/>
  </si>
  <si>
    <t>[effect:force_change_block, new_block:jammer, target:block_all, ignore01:crash, ignore02:crack_bomb, ignore03:jammer, count:2, val:0, animation:change_block],[effect:rush, count:2, val:0.5],[effect:enemy_message, val1:1.4, val2:2]</t>
    <phoneticPr fontId="5"/>
  </si>
  <si>
    <t>[effect:damage_fix_absolute, target:unit_one, val:50000],[effect:enemy_message, val1:1.4, val2:1.6]</t>
    <phoneticPr fontId="5"/>
  </si>
  <si>
    <t>[effect:enemy_counter, target:myself, invoke_condition:unit_all, counter_target:attacker, turn:-1, val:0.5, animation:enemy_counter],[effect:enemy_message, val1:1.4, val2:1.9]</t>
    <phoneticPr fontId="5"/>
  </si>
  <si>
    <t>[effect:rush, count:6, val:0.3],[effect:enemy_message, val1:1.3, val2:1.7]</t>
    <phoneticPr fontId="5"/>
  </si>
  <si>
    <t>コスト29以上のユニットに大ダメージ+
自身が受ける全属性ダメージを究極軽減</t>
    <rPh sb="13" eb="14">
      <t>ダイダメージ</t>
    </rPh>
    <rPh sb="20" eb="22">
      <t>ジシン</t>
    </rPh>
    <rPh sb="23" eb="24">
      <t>ウケル</t>
    </rPh>
    <rPh sb="34" eb="36">
      <t>キュウキョク</t>
    </rPh>
    <phoneticPr fontId="5"/>
  </si>
  <si>
    <t>…彼女の声が聞こえるな…</t>
    <rPh sb="6" eb="7">
      <t>キコエル</t>
    </rPh>
    <phoneticPr fontId="5"/>
  </si>
  <si>
    <t>[effect:enemy_message, val1:0, val2:2.4],[effect:tolerance, target:myself, turn:-1, count:-1, tolerance_effect:all, animation:enemy_tolerance]</t>
    <phoneticPr fontId="5"/>
  </si>
  <si>
    <t>表示しない</t>
    <phoneticPr fontId="5"/>
  </si>
  <si>
    <t>全体攻撃+
黄パネルを2個時限式ダメージパネルに変換</t>
    <rPh sb="6" eb="7">
      <t>キイロ</t>
    </rPh>
    <rPh sb="12" eb="13">
      <t>コ</t>
    </rPh>
    <rPh sb="24" eb="26">
      <t>ヘンカn</t>
    </rPh>
    <phoneticPr fontId="5"/>
  </si>
  <si>
    <t>3ターン全ユニットの攻撃力100%DOWN+
1ターンタップ時間制限（6秒）</t>
    <rPh sb="36" eb="37">
      <t>ビョウ</t>
    </rPh>
    <phoneticPr fontId="5"/>
  </si>
  <si>
    <t>種族アニマルに4ターンスキルバインド+
種族アニマルに大ダメージの全体攻撃</t>
    <phoneticPr fontId="5"/>
  </si>
  <si>
    <t>6ターンタップ時間制限（9秒）+
攻撃頻度が2に変化</t>
    <rPh sb="13" eb="14">
      <t>ビョウ</t>
    </rPh>
    <rPh sb="17" eb="21">
      <t>コウゲキヒンド</t>
    </rPh>
    <rPh sb="24" eb="26">
      <t>ヘンカ</t>
    </rPh>
    <phoneticPr fontId="5"/>
  </si>
  <si>
    <t>[effect:enemy_message, val1:1.4, val2:2.5],[effect:time_limit, target:unit_all, turn:6, count:9, animation:enemy_time_limit],[effect:fix_speed, target:myself, turn:2]</t>
    <phoneticPr fontId="5"/>
  </si>
  <si>
    <t>解除するまで全ての攻撃をカウンター</t>
    <rPh sb="0" eb="2">
      <t>カイジョ</t>
    </rPh>
    <phoneticPr fontId="5"/>
  </si>
  <si>
    <t>[effect:enemy_message, val1:1, val2:3.0],[effect:damage_anti_cost, target:unit_all, lower:29, val1:99.9, val2:0.01, cost_type:unit],[effect:damage_anti_cost, target:unit_all, lower:29, val1:99.9, val2:0.01, cost_type:unit],[effect:reduction, target:myself, color:all, turn:-1, val:0.97, animation:reduction_one01]</t>
    <phoneticPr fontId="5"/>
  </si>
  <si>
    <t>[effect:enemy_counter, target:myself, invoke_condition:unit_all, counter_target:attacker, turn:4, val:0.2, animation:enemy_counter],[effect:enemy_message, val1:1.4, val2:1.9]</t>
    <phoneticPr fontId="5"/>
  </si>
  <si>
    <t>4ターン全ての攻撃をカウンター</t>
    <phoneticPr fontId="5"/>
  </si>
  <si>
    <t>[effect:hungup, target:unit_animal, turn:4, rate:1, calc_type:target_all, animation:hungup01],[effect:damage_anti_tribe, target:unit_all, tribe:animal, val1:0.85, val2:0.1],[effect:enemy_message, val1:1.4, val2:2.8]</t>
    <phoneticPr fontId="5"/>
  </si>
  <si>
    <t>ユヅルは受けるダメージを大幅に
カットするスキルを使用します
ウィルス攻撃が有効です</t>
    <phoneticPr fontId="5"/>
  </si>
  <si>
    <t>13302_8</t>
    <phoneticPr fontId="5"/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</si>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</sst>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2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1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38" fontId="16" fillId="0" borderId="7" xfId="628" applyFont="1" applyFill="1" applyBorder="1" applyAlignment="1">
      <alignment wrapText="1"/>
    </xf>
    <xf numFmtId="0" fontId="30" fillId="32" borderId="7" xfId="0" applyFont="1" applyFill="1" applyBorder="1"/>
    <xf numFmtId="0" fontId="16" fillId="6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horizontal="left" vertical="center" wrapText="1"/>
    </xf>
    <xf numFmtId="0" fontId="16" fillId="36" borderId="7" xfId="0" applyFont="1" applyFill="1" applyBorder="1" applyAlignment="1">
      <alignment horizontal="left" vertical="center" wrapText="1"/>
    </xf>
    <xf numFmtId="0" fontId="16" fillId="37" borderId="7" xfId="0" applyFont="1" applyFill="1" applyBorder="1" applyAlignment="1">
      <alignment horizontal="left" vertical="center" wrapText="1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6" fillId="38" borderId="9" xfId="0" applyFont="1" applyFill="1" applyBorder="1" applyAlignment="1">
      <alignment vertical="center"/>
    </xf>
    <xf numFmtId="0" fontId="4" fillId="32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0" fillId="0" borderId="0" xfId="0" applyAlignment="1">
      <alignment wrapText="1"/>
    </xf>
    <xf numFmtId="0" fontId="16" fillId="32" borderId="0" xfId="0" applyFont="1" applyFill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ResetTower_1_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39001</v>
          </cell>
        </row>
        <row r="174">
          <cell r="A174">
            <v>39002</v>
          </cell>
        </row>
        <row r="175">
          <cell r="A175">
            <v>39003</v>
          </cell>
        </row>
        <row r="176">
          <cell r="A176">
            <v>39004</v>
          </cell>
        </row>
        <row r="177">
          <cell r="A177">
            <v>39005</v>
          </cell>
        </row>
        <row r="178">
          <cell r="A178">
            <v>39006</v>
          </cell>
        </row>
        <row r="179">
          <cell r="A179">
            <v>39007</v>
          </cell>
        </row>
        <row r="180">
          <cell r="A180">
            <v>39008</v>
          </cell>
        </row>
        <row r="181">
          <cell r="A181">
            <v>39009</v>
          </cell>
        </row>
        <row r="182">
          <cell r="A182">
            <v>40001</v>
          </cell>
        </row>
        <row r="183">
          <cell r="A183">
            <v>40002</v>
          </cell>
        </row>
        <row r="184">
          <cell r="A184">
            <v>40003</v>
          </cell>
        </row>
        <row r="185">
          <cell r="A185">
            <v>40004</v>
          </cell>
        </row>
        <row r="186">
          <cell r="A186">
            <v>40005</v>
          </cell>
        </row>
        <row r="187">
          <cell r="A187">
            <v>40006</v>
          </cell>
        </row>
        <row r="188">
          <cell r="A188">
            <v>40007</v>
          </cell>
        </row>
        <row r="189">
          <cell r="A189">
            <v>40008</v>
          </cell>
        </row>
        <row r="190">
          <cell r="A190">
            <v>40009</v>
          </cell>
        </row>
        <row r="191">
          <cell r="A191">
            <v>40010</v>
          </cell>
        </row>
        <row r="192">
          <cell r="A192">
            <v>40011</v>
          </cell>
        </row>
        <row r="193">
          <cell r="A193">
            <v>40012</v>
          </cell>
        </row>
        <row r="194">
          <cell r="A194">
            <v>40013</v>
          </cell>
        </row>
        <row r="195">
          <cell r="A195">
            <v>40014</v>
          </cell>
        </row>
        <row r="196">
          <cell r="A196">
            <v>40015</v>
          </cell>
        </row>
        <row r="197">
          <cell r="A197">
            <v>40016</v>
          </cell>
        </row>
        <row r="198">
          <cell r="A198">
            <v>40017</v>
          </cell>
        </row>
        <row r="199">
          <cell r="A199">
            <v>40018</v>
          </cell>
        </row>
        <row r="200">
          <cell r="A200">
            <v>40019</v>
          </cell>
        </row>
        <row r="201">
          <cell r="A201">
            <v>40021</v>
          </cell>
        </row>
        <row r="202">
          <cell r="A202">
            <v>40022</v>
          </cell>
        </row>
        <row r="203">
          <cell r="A203">
            <v>40023</v>
          </cell>
        </row>
        <row r="204">
          <cell r="A204">
            <v>40024</v>
          </cell>
        </row>
        <row r="205">
          <cell r="A205">
            <v>40025</v>
          </cell>
        </row>
        <row r="206">
          <cell r="A206">
            <v>40026</v>
          </cell>
        </row>
        <row r="207">
          <cell r="A207">
            <v>40027</v>
          </cell>
        </row>
        <row r="208">
          <cell r="A208">
            <v>40028</v>
          </cell>
        </row>
        <row r="209">
          <cell r="A209">
            <v>40029</v>
          </cell>
        </row>
        <row r="210">
          <cell r="A210">
            <v>40030</v>
          </cell>
        </row>
        <row r="211">
          <cell r="A211">
            <v>40031</v>
          </cell>
        </row>
        <row r="212">
          <cell r="A212">
            <v>40032</v>
          </cell>
        </row>
        <row r="213">
          <cell r="A213">
            <v>40033</v>
          </cell>
        </row>
        <row r="214">
          <cell r="A214">
            <v>40034</v>
          </cell>
        </row>
        <row r="215">
          <cell r="A215">
            <v>40035</v>
          </cell>
        </row>
        <row r="216">
          <cell r="A216">
            <v>40036</v>
          </cell>
        </row>
        <row r="217">
          <cell r="A217">
            <v>40037</v>
          </cell>
        </row>
        <row r="218">
          <cell r="A218">
            <v>40038</v>
          </cell>
        </row>
        <row r="219">
          <cell r="A219">
            <v>40039</v>
          </cell>
        </row>
        <row r="220">
          <cell r="A220">
            <v>40040</v>
          </cell>
        </row>
        <row r="221">
          <cell r="A221">
            <v>40041</v>
          </cell>
        </row>
        <row r="222">
          <cell r="A222">
            <v>48001</v>
          </cell>
        </row>
        <row r="223">
          <cell r="A223">
            <v>48002</v>
          </cell>
        </row>
        <row r="224">
          <cell r="A224">
            <v>48003</v>
          </cell>
        </row>
        <row r="225">
          <cell r="A225">
            <v>48004</v>
          </cell>
        </row>
        <row r="226">
          <cell r="A226">
            <v>48005</v>
          </cell>
        </row>
        <row r="227">
          <cell r="A227">
            <v>48006</v>
          </cell>
        </row>
        <row r="228">
          <cell r="A228">
            <v>48007</v>
          </cell>
        </row>
        <row r="229">
          <cell r="A229">
            <v>48008</v>
          </cell>
        </row>
        <row r="230">
          <cell r="A230">
            <v>48009</v>
          </cell>
        </row>
        <row r="231">
          <cell r="A231">
            <v>48501</v>
          </cell>
        </row>
        <row r="232">
          <cell r="A232">
            <v>41001</v>
          </cell>
        </row>
        <row r="233">
          <cell r="A233">
            <v>41002</v>
          </cell>
        </row>
        <row r="234">
          <cell r="A234">
            <v>41003</v>
          </cell>
        </row>
        <row r="235">
          <cell r="A235">
            <v>41004</v>
          </cell>
        </row>
        <row r="236">
          <cell r="A236">
            <v>41005</v>
          </cell>
        </row>
        <row r="237">
          <cell r="A237">
            <v>41006</v>
          </cell>
        </row>
        <row r="238">
          <cell r="A238">
            <v>41007</v>
          </cell>
        </row>
        <row r="239">
          <cell r="A239">
            <v>41008</v>
          </cell>
        </row>
        <row r="240">
          <cell r="A240">
            <v>41009</v>
          </cell>
        </row>
        <row r="241">
          <cell r="A241">
            <v>41010</v>
          </cell>
        </row>
        <row r="242">
          <cell r="A242">
            <v>41011</v>
          </cell>
        </row>
        <row r="243">
          <cell r="A243">
            <v>41012</v>
          </cell>
        </row>
        <row r="244">
          <cell r="A244">
            <v>41013</v>
          </cell>
        </row>
        <row r="245">
          <cell r="A245">
            <v>41014</v>
          </cell>
        </row>
        <row r="246">
          <cell r="A246">
            <v>41015</v>
          </cell>
        </row>
        <row r="247">
          <cell r="A247">
            <v>47001</v>
          </cell>
        </row>
        <row r="248">
          <cell r="A248">
            <v>47002</v>
          </cell>
        </row>
        <row r="249">
          <cell r="A249">
            <v>47003</v>
          </cell>
        </row>
        <row r="250">
          <cell r="A250">
            <v>47004</v>
          </cell>
        </row>
        <row r="251">
          <cell r="A251">
            <v>49001</v>
          </cell>
        </row>
        <row r="252">
          <cell r="A252">
            <v>49002</v>
          </cell>
        </row>
        <row r="253">
          <cell r="A253">
            <v>49003</v>
          </cell>
        </row>
        <row r="254">
          <cell r="A254">
            <v>49004</v>
          </cell>
        </row>
        <row r="255">
          <cell r="A255">
            <v>49005</v>
          </cell>
        </row>
        <row r="256">
          <cell r="A256">
            <v>49006</v>
          </cell>
        </row>
        <row r="257">
          <cell r="A257">
            <v>49007</v>
          </cell>
        </row>
        <row r="258">
          <cell r="A258">
            <v>49008</v>
          </cell>
        </row>
        <row r="259">
          <cell r="A259">
            <v>49009</v>
          </cell>
        </row>
        <row r="260">
          <cell r="A260">
            <v>49010</v>
          </cell>
        </row>
        <row r="261">
          <cell r="A261">
            <v>49011</v>
          </cell>
        </row>
        <row r="262">
          <cell r="A262">
            <v>50001</v>
          </cell>
        </row>
        <row r="263">
          <cell r="A263">
            <v>50002</v>
          </cell>
        </row>
        <row r="264">
          <cell r="A264">
            <v>50003</v>
          </cell>
        </row>
        <row r="265">
          <cell r="A265">
            <v>50004</v>
          </cell>
        </row>
        <row r="266">
          <cell r="A266">
            <v>50005</v>
          </cell>
        </row>
        <row r="267">
          <cell r="A267">
            <v>50006</v>
          </cell>
        </row>
        <row r="268">
          <cell r="A268">
            <v>50007</v>
          </cell>
        </row>
        <row r="269">
          <cell r="A269">
            <v>50008</v>
          </cell>
        </row>
        <row r="270">
          <cell r="A270">
            <v>50009</v>
          </cell>
        </row>
        <row r="271">
          <cell r="A271">
            <v>50010</v>
          </cell>
        </row>
        <row r="272">
          <cell r="A272">
            <v>50011</v>
          </cell>
        </row>
        <row r="273">
          <cell r="A273">
            <v>51001</v>
          </cell>
        </row>
        <row r="274">
          <cell r="A274">
            <v>51002</v>
          </cell>
        </row>
        <row r="275">
          <cell r="A275">
            <v>59001</v>
          </cell>
        </row>
        <row r="276">
          <cell r="A276">
            <v>60001</v>
          </cell>
        </row>
        <row r="277">
          <cell r="A277">
            <v>60002</v>
          </cell>
        </row>
        <row r="278">
          <cell r="A278">
            <v>60003</v>
          </cell>
        </row>
        <row r="279">
          <cell r="A279">
            <v>60004</v>
          </cell>
        </row>
        <row r="280">
          <cell r="A280">
            <v>60005</v>
          </cell>
        </row>
        <row r="281">
          <cell r="A281">
            <v>60006</v>
          </cell>
        </row>
        <row r="282">
          <cell r="A282">
            <v>60007</v>
          </cell>
        </row>
        <row r="283">
          <cell r="A283">
            <v>60010</v>
          </cell>
        </row>
        <row r="284">
          <cell r="A284">
            <v>60011</v>
          </cell>
        </row>
        <row r="285">
          <cell r="A285">
            <v>61011</v>
          </cell>
        </row>
        <row r="286">
          <cell r="A286">
            <v>60012</v>
          </cell>
        </row>
        <row r="287">
          <cell r="A287">
            <v>60013</v>
          </cell>
        </row>
        <row r="288">
          <cell r="A288">
            <v>60014</v>
          </cell>
        </row>
        <row r="289">
          <cell r="A289">
            <v>60015</v>
          </cell>
        </row>
        <row r="290">
          <cell r="A290">
            <v>60016</v>
          </cell>
        </row>
        <row r="291">
          <cell r="A291">
            <v>60017</v>
          </cell>
        </row>
        <row r="292">
          <cell r="A292">
            <v>60018</v>
          </cell>
        </row>
        <row r="293">
          <cell r="A293">
            <v>60019</v>
          </cell>
        </row>
        <row r="294">
          <cell r="A294">
            <v>60020</v>
          </cell>
        </row>
        <row r="295">
          <cell r="A295">
            <v>60025</v>
          </cell>
        </row>
        <row r="296">
          <cell r="A296">
            <v>65525</v>
          </cell>
        </row>
        <row r="297">
          <cell r="A297">
            <v>65526</v>
          </cell>
        </row>
        <row r="298">
          <cell r="A298">
            <v>65527</v>
          </cell>
        </row>
        <row r="299">
          <cell r="A299">
            <v>65531</v>
          </cell>
        </row>
        <row r="300">
          <cell r="A300">
            <v>65532</v>
          </cell>
        </row>
        <row r="301">
          <cell r="A301">
            <v>65533</v>
          </cell>
        </row>
        <row r="302">
          <cell r="A302">
            <v>65534</v>
          </cell>
        </row>
        <row r="303">
          <cell r="A303">
            <v>65535</v>
          </cell>
        </row>
        <row r="304">
          <cell r="A304">
            <v>60021</v>
          </cell>
        </row>
        <row r="305">
          <cell r="A305">
            <v>60022</v>
          </cell>
        </row>
        <row r="306">
          <cell r="A306">
            <v>60023</v>
          </cell>
        </row>
        <row r="307">
          <cell r="A307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39001_1</v>
          </cell>
        </row>
        <row r="634">
          <cell r="A634" t="str">
            <v>39001_2</v>
          </cell>
        </row>
        <row r="635">
          <cell r="A635" t="str">
            <v>39001_3</v>
          </cell>
        </row>
        <row r="636">
          <cell r="A636" t="str">
            <v>39001_4</v>
          </cell>
        </row>
        <row r="637">
          <cell r="A637" t="str">
            <v>39001_5</v>
          </cell>
        </row>
        <row r="638">
          <cell r="A638" t="str">
            <v>39002_1</v>
          </cell>
        </row>
        <row r="639">
          <cell r="A639" t="str">
            <v>39002_2</v>
          </cell>
        </row>
        <row r="640">
          <cell r="A640" t="str">
            <v>39002_3</v>
          </cell>
        </row>
        <row r="641">
          <cell r="A641" t="str">
            <v>39002_4</v>
          </cell>
        </row>
        <row r="642">
          <cell r="A642" t="str">
            <v>39003_1</v>
          </cell>
        </row>
        <row r="643">
          <cell r="A643" t="str">
            <v>39003_2</v>
          </cell>
        </row>
        <row r="644">
          <cell r="A644" t="str">
            <v>39003_3</v>
          </cell>
        </row>
        <row r="645">
          <cell r="A645" t="str">
            <v>39003_4</v>
          </cell>
        </row>
        <row r="646">
          <cell r="A646" t="str">
            <v>39004_1</v>
          </cell>
        </row>
        <row r="647">
          <cell r="A647" t="str">
            <v>39004_2</v>
          </cell>
        </row>
        <row r="648">
          <cell r="A648" t="str">
            <v>39004_3</v>
          </cell>
        </row>
        <row r="649">
          <cell r="A649" t="str">
            <v>39004_4</v>
          </cell>
        </row>
        <row r="650">
          <cell r="A650" t="str">
            <v>39005_1</v>
          </cell>
        </row>
        <row r="651">
          <cell r="A651" t="str">
            <v>39005_2</v>
          </cell>
        </row>
        <row r="652">
          <cell r="A652" t="str">
            <v>39005_3</v>
          </cell>
        </row>
        <row r="653">
          <cell r="A653" t="str">
            <v>39005_4</v>
          </cell>
        </row>
        <row r="654">
          <cell r="A654" t="str">
            <v>39005_5</v>
          </cell>
        </row>
        <row r="655">
          <cell r="A655" t="str">
            <v>39006_1</v>
          </cell>
        </row>
        <row r="656">
          <cell r="A656" t="str">
            <v>39006_2</v>
          </cell>
        </row>
        <row r="657">
          <cell r="A657" t="str">
            <v>39006_3</v>
          </cell>
        </row>
        <row r="658">
          <cell r="A658" t="str">
            <v>39006_4</v>
          </cell>
        </row>
        <row r="659">
          <cell r="A659" t="str">
            <v>39007_1</v>
          </cell>
        </row>
        <row r="660">
          <cell r="A660" t="str">
            <v>39007_2</v>
          </cell>
        </row>
        <row r="661">
          <cell r="A661" t="str">
            <v>39007_3</v>
          </cell>
        </row>
        <row r="662">
          <cell r="A662" t="str">
            <v>39007_4</v>
          </cell>
        </row>
        <row r="663">
          <cell r="A663" t="str">
            <v>39008_1</v>
          </cell>
        </row>
        <row r="664">
          <cell r="A664" t="str">
            <v>39008_2</v>
          </cell>
        </row>
        <row r="665">
          <cell r="A665" t="str">
            <v>39008_3</v>
          </cell>
        </row>
        <row r="666">
          <cell r="A666" t="str">
            <v>39008_4</v>
          </cell>
        </row>
        <row r="667">
          <cell r="A667" t="str">
            <v>39008_5</v>
          </cell>
        </row>
        <row r="668">
          <cell r="A668" t="str">
            <v>39009_1</v>
          </cell>
        </row>
        <row r="669">
          <cell r="A669" t="str">
            <v>39009_2</v>
          </cell>
        </row>
        <row r="670">
          <cell r="A670" t="str">
            <v>39009_3</v>
          </cell>
        </row>
        <row r="671">
          <cell r="A671" t="str">
            <v>39009_4</v>
          </cell>
        </row>
        <row r="672">
          <cell r="A672" t="str">
            <v>39009_5</v>
          </cell>
        </row>
        <row r="673">
          <cell r="A673" t="str">
            <v>40001_1</v>
          </cell>
        </row>
        <row r="674">
          <cell r="A674" t="str">
            <v>40002_1</v>
          </cell>
        </row>
        <row r="675">
          <cell r="A675" t="str">
            <v>40002_2</v>
          </cell>
        </row>
        <row r="676">
          <cell r="A676" t="str">
            <v>40002_3</v>
          </cell>
        </row>
        <row r="677">
          <cell r="A677" t="str">
            <v>40003_1</v>
          </cell>
        </row>
        <row r="678">
          <cell r="A678" t="str">
            <v>40004_1</v>
          </cell>
        </row>
        <row r="679">
          <cell r="A679" t="str">
            <v>40005_1</v>
          </cell>
        </row>
        <row r="680">
          <cell r="A680" t="str">
            <v>40006_1</v>
          </cell>
        </row>
        <row r="681">
          <cell r="A681" t="str">
            <v>40007_1</v>
          </cell>
        </row>
        <row r="682">
          <cell r="A682" t="str">
            <v>40008_1</v>
          </cell>
        </row>
        <row r="683">
          <cell r="A683" t="str">
            <v>40009_1</v>
          </cell>
        </row>
        <row r="684">
          <cell r="A684" t="str">
            <v>40010_1</v>
          </cell>
        </row>
        <row r="685">
          <cell r="A685" t="str">
            <v>40011_1</v>
          </cell>
        </row>
        <row r="686">
          <cell r="A686" t="str">
            <v>40012_1</v>
          </cell>
        </row>
        <row r="687">
          <cell r="A687" t="str">
            <v>40013_1</v>
          </cell>
        </row>
        <row r="688">
          <cell r="A688" t="str">
            <v>40014_1</v>
          </cell>
        </row>
        <row r="689">
          <cell r="A689" t="str">
            <v>40015_1</v>
          </cell>
        </row>
        <row r="690">
          <cell r="A690" t="str">
            <v>40016_1</v>
          </cell>
        </row>
        <row r="691">
          <cell r="A691" t="str">
            <v>40016_2</v>
          </cell>
        </row>
        <row r="692">
          <cell r="A692" t="str">
            <v>40017_1</v>
          </cell>
        </row>
        <row r="693">
          <cell r="A693" t="str">
            <v>40017_2</v>
          </cell>
        </row>
        <row r="694">
          <cell r="A694" t="str">
            <v>40017_3</v>
          </cell>
        </row>
        <row r="695">
          <cell r="A695" t="str">
            <v>40018_1</v>
          </cell>
        </row>
        <row r="696">
          <cell r="A696" t="str">
            <v>40018_2</v>
          </cell>
        </row>
        <row r="697">
          <cell r="A697" t="str">
            <v>40018_3</v>
          </cell>
        </row>
        <row r="698">
          <cell r="A698" t="str">
            <v>40019_1</v>
          </cell>
        </row>
        <row r="699">
          <cell r="A699" t="str">
            <v>40019_2</v>
          </cell>
        </row>
        <row r="700">
          <cell r="A700" t="str">
            <v>40019_3</v>
          </cell>
        </row>
        <row r="701">
          <cell r="A701" t="str">
            <v>40021_1</v>
          </cell>
        </row>
        <row r="702">
          <cell r="A702" t="str">
            <v>40021_2</v>
          </cell>
        </row>
        <row r="703">
          <cell r="A703" t="str">
            <v>40022_1</v>
          </cell>
        </row>
        <row r="704">
          <cell r="A704" t="str">
            <v>40022_2</v>
          </cell>
        </row>
        <row r="705">
          <cell r="A705" t="str">
            <v>40023_1</v>
          </cell>
        </row>
        <row r="706">
          <cell r="A706" t="str">
            <v>40023_2</v>
          </cell>
        </row>
        <row r="707">
          <cell r="A707" t="str">
            <v>40024_1</v>
          </cell>
        </row>
        <row r="708">
          <cell r="A708" t="str">
            <v>40024_2</v>
          </cell>
        </row>
        <row r="709">
          <cell r="A709" t="str">
            <v>40025_1</v>
          </cell>
        </row>
        <row r="710">
          <cell r="A710" t="str">
            <v>40025_2</v>
          </cell>
        </row>
        <row r="711">
          <cell r="A711" t="str">
            <v>40026_1</v>
          </cell>
        </row>
        <row r="712">
          <cell r="A712" t="str">
            <v>40026_2</v>
          </cell>
        </row>
        <row r="713">
          <cell r="A713" t="str">
            <v>40027_1</v>
          </cell>
        </row>
        <row r="714">
          <cell r="A714" t="str">
            <v>40027_2</v>
          </cell>
        </row>
        <row r="715">
          <cell r="A715" t="str">
            <v>40028_1</v>
          </cell>
        </row>
        <row r="716">
          <cell r="A716" t="str">
            <v>40028_2</v>
          </cell>
        </row>
        <row r="717">
          <cell r="A717" t="str">
            <v>40029_1</v>
          </cell>
        </row>
        <row r="718">
          <cell r="A718" t="str">
            <v>40029_2</v>
          </cell>
        </row>
        <row r="719">
          <cell r="A719" t="str">
            <v>40030_1</v>
          </cell>
        </row>
        <row r="720">
          <cell r="A720" t="str">
            <v>40030_2</v>
          </cell>
        </row>
        <row r="721">
          <cell r="A721" t="str">
            <v>40031_1</v>
          </cell>
        </row>
        <row r="722">
          <cell r="A722" t="str">
            <v>40031_2</v>
          </cell>
        </row>
        <row r="723">
          <cell r="A723" t="str">
            <v>40032_1</v>
          </cell>
        </row>
        <row r="724">
          <cell r="A724" t="str">
            <v>40032_2</v>
          </cell>
        </row>
        <row r="725">
          <cell r="A725" t="str">
            <v>40033_1</v>
          </cell>
        </row>
        <row r="726">
          <cell r="A726" t="str">
            <v>40033_2</v>
          </cell>
        </row>
        <row r="727">
          <cell r="A727" t="str">
            <v>40034_1</v>
          </cell>
        </row>
        <row r="728">
          <cell r="A728" t="str">
            <v>40034_2</v>
          </cell>
        </row>
        <row r="729">
          <cell r="A729" t="str">
            <v>40035_1</v>
          </cell>
        </row>
        <row r="730">
          <cell r="A730" t="str">
            <v>40035_2</v>
          </cell>
        </row>
        <row r="731">
          <cell r="A731" t="str">
            <v>40036_1</v>
          </cell>
        </row>
        <row r="732">
          <cell r="A732" t="str">
            <v>40036_2</v>
          </cell>
        </row>
        <row r="733">
          <cell r="A733" t="str">
            <v>40037_1</v>
          </cell>
        </row>
        <row r="734">
          <cell r="A734" t="str">
            <v>40037_2</v>
          </cell>
        </row>
        <row r="735">
          <cell r="A735" t="str">
            <v>40038_1</v>
          </cell>
        </row>
        <row r="736">
          <cell r="A736" t="str">
            <v>40038_2</v>
          </cell>
        </row>
        <row r="737">
          <cell r="A737" t="str">
            <v>40039_1</v>
          </cell>
        </row>
        <row r="738">
          <cell r="A738" t="str">
            <v>40039_2</v>
          </cell>
        </row>
        <row r="739">
          <cell r="A739" t="str">
            <v>40040_1</v>
          </cell>
        </row>
        <row r="740">
          <cell r="A740" t="str">
            <v>40040_2</v>
          </cell>
        </row>
        <row r="741">
          <cell r="A741" t="str">
            <v>40041_1</v>
          </cell>
        </row>
        <row r="742">
          <cell r="A742" t="str">
            <v>40041_2</v>
          </cell>
        </row>
        <row r="743">
          <cell r="A743" t="str">
            <v>41001_1</v>
          </cell>
        </row>
        <row r="744">
          <cell r="A744" t="str">
            <v>41001_2</v>
          </cell>
        </row>
        <row r="745">
          <cell r="A745" t="str">
            <v>41001_3</v>
          </cell>
        </row>
        <row r="746">
          <cell r="A746" t="str">
            <v>41002_1</v>
          </cell>
        </row>
        <row r="747">
          <cell r="A747" t="str">
            <v>41002_2</v>
          </cell>
        </row>
        <row r="748">
          <cell r="A748" t="str">
            <v>41002_3</v>
          </cell>
        </row>
        <row r="749">
          <cell r="A749" t="str">
            <v>41003_1</v>
          </cell>
        </row>
        <row r="750">
          <cell r="A750" t="str">
            <v>41003_2</v>
          </cell>
        </row>
        <row r="751">
          <cell r="A751" t="str">
            <v>41003_3</v>
          </cell>
        </row>
        <row r="752">
          <cell r="A752" t="str">
            <v>41004_1</v>
          </cell>
        </row>
        <row r="753">
          <cell r="A753" t="str">
            <v>41004_2</v>
          </cell>
        </row>
        <row r="754">
          <cell r="A754" t="str">
            <v>41004_3</v>
          </cell>
        </row>
        <row r="755">
          <cell r="A755" t="str">
            <v>41005_1</v>
          </cell>
        </row>
        <row r="756">
          <cell r="A756" t="str">
            <v>41005_2</v>
          </cell>
        </row>
        <row r="757">
          <cell r="A757" t="str">
            <v>41005_3</v>
          </cell>
        </row>
        <row r="758">
          <cell r="A758" t="str">
            <v>41006_1</v>
          </cell>
        </row>
        <row r="759">
          <cell r="A759" t="str">
            <v>41006_2</v>
          </cell>
        </row>
        <row r="760">
          <cell r="A760" t="str">
            <v>41006_3</v>
          </cell>
        </row>
        <row r="761">
          <cell r="A761" t="str">
            <v>41007_1</v>
          </cell>
        </row>
        <row r="762">
          <cell r="A762" t="str">
            <v>41007_2</v>
          </cell>
        </row>
        <row r="763">
          <cell r="A763" t="str">
            <v>41007_3</v>
          </cell>
        </row>
        <row r="764">
          <cell r="A764" t="str">
            <v>41008_1</v>
          </cell>
        </row>
        <row r="765">
          <cell r="A765" t="str">
            <v>41008_2</v>
          </cell>
        </row>
        <row r="766">
          <cell r="A766" t="str">
            <v>41008_3</v>
          </cell>
        </row>
        <row r="767">
          <cell r="A767" t="str">
            <v>41009_1</v>
          </cell>
        </row>
        <row r="768">
          <cell r="A768" t="str">
            <v>41009_2</v>
          </cell>
        </row>
        <row r="769">
          <cell r="A769" t="str">
            <v>41009_3</v>
          </cell>
        </row>
        <row r="770">
          <cell r="A770" t="str">
            <v>41010_1</v>
          </cell>
        </row>
        <row r="771">
          <cell r="A771" t="str">
            <v>41010_2</v>
          </cell>
        </row>
        <row r="772">
          <cell r="A772" t="str">
            <v>41010_3</v>
          </cell>
        </row>
        <row r="773">
          <cell r="A773" t="str">
            <v>41011_1</v>
          </cell>
        </row>
        <row r="774">
          <cell r="A774" t="str">
            <v>41011_2</v>
          </cell>
        </row>
        <row r="775">
          <cell r="A775" t="str">
            <v>41012_1</v>
          </cell>
        </row>
        <row r="776">
          <cell r="A776" t="str">
            <v>41012_2</v>
          </cell>
        </row>
        <row r="777">
          <cell r="A777" t="str">
            <v>41013_1</v>
          </cell>
        </row>
        <row r="778">
          <cell r="A778" t="str">
            <v>41013_2</v>
          </cell>
        </row>
        <row r="779">
          <cell r="A779" t="str">
            <v>41014_1</v>
          </cell>
        </row>
        <row r="780">
          <cell r="A780" t="str">
            <v>41014_2</v>
          </cell>
        </row>
        <row r="781">
          <cell r="A781" t="str">
            <v>41015_1</v>
          </cell>
        </row>
        <row r="782">
          <cell r="A782" t="str">
            <v>41015_2</v>
          </cell>
        </row>
        <row r="783">
          <cell r="A783" t="str">
            <v>47001_1</v>
          </cell>
        </row>
        <row r="784">
          <cell r="A784" t="str">
            <v>47001_2</v>
          </cell>
        </row>
        <row r="785">
          <cell r="A785" t="str">
            <v>47002_1</v>
          </cell>
        </row>
        <row r="786">
          <cell r="A786" t="str">
            <v>47002_2</v>
          </cell>
        </row>
        <row r="787">
          <cell r="A787" t="str">
            <v>47003_1</v>
          </cell>
        </row>
        <row r="788">
          <cell r="A788" t="str">
            <v>47003_2</v>
          </cell>
        </row>
        <row r="789">
          <cell r="A789" t="str">
            <v>47003_3</v>
          </cell>
        </row>
        <row r="790">
          <cell r="A790" t="str">
            <v>47003_4</v>
          </cell>
        </row>
        <row r="791">
          <cell r="A791" t="str">
            <v>47004_1</v>
          </cell>
        </row>
        <row r="792">
          <cell r="A792" t="str">
            <v>47004_2</v>
          </cell>
        </row>
        <row r="793">
          <cell r="A793" t="str">
            <v>47004_3</v>
          </cell>
        </row>
        <row r="794">
          <cell r="A794" t="str">
            <v>47004_4</v>
          </cell>
        </row>
        <row r="795">
          <cell r="A795" t="str">
            <v>48001_1</v>
          </cell>
        </row>
        <row r="796">
          <cell r="A796" t="str">
            <v>48002_1</v>
          </cell>
        </row>
        <row r="797">
          <cell r="A797" t="str">
            <v>48002_2</v>
          </cell>
        </row>
        <row r="798">
          <cell r="A798" t="str">
            <v>48002_3</v>
          </cell>
        </row>
        <row r="799">
          <cell r="A799" t="str">
            <v>48003_1</v>
          </cell>
        </row>
        <row r="800">
          <cell r="A800" t="str">
            <v>48003_2</v>
          </cell>
        </row>
        <row r="801">
          <cell r="A801" t="str">
            <v>48003_3</v>
          </cell>
        </row>
        <row r="802">
          <cell r="A802" t="str">
            <v>48004_1</v>
          </cell>
        </row>
        <row r="803">
          <cell r="A803" t="str">
            <v>48004_2</v>
          </cell>
        </row>
        <row r="804">
          <cell r="A804" t="str">
            <v>48005_1</v>
          </cell>
        </row>
        <row r="805">
          <cell r="A805" t="str">
            <v>48005_2</v>
          </cell>
        </row>
        <row r="806">
          <cell r="A806" t="str">
            <v>48006_1</v>
          </cell>
        </row>
        <row r="807">
          <cell r="A807" t="str">
            <v>48006_2</v>
          </cell>
        </row>
        <row r="808">
          <cell r="A808" t="str">
            <v>48007_1</v>
          </cell>
        </row>
        <row r="809">
          <cell r="A809" t="str">
            <v>48007_2</v>
          </cell>
        </row>
        <row r="810">
          <cell r="A810" t="str">
            <v>48008_1</v>
          </cell>
        </row>
        <row r="811">
          <cell r="A811" t="str">
            <v>48008_2</v>
          </cell>
        </row>
        <row r="812">
          <cell r="A812" t="str">
            <v>48009_1</v>
          </cell>
        </row>
        <row r="813">
          <cell r="A813" t="str">
            <v>_2</v>
          </cell>
        </row>
        <row r="814">
          <cell r="A814" t="str">
            <v>48501_1</v>
          </cell>
        </row>
        <row r="815">
          <cell r="A815" t="str">
            <v>48501_2</v>
          </cell>
        </row>
        <row r="816">
          <cell r="A816" t="str">
            <v>49001_1</v>
          </cell>
        </row>
        <row r="817">
          <cell r="A817" t="str">
            <v>49002_1</v>
          </cell>
        </row>
        <row r="818">
          <cell r="A818" t="str">
            <v>49002_2</v>
          </cell>
        </row>
        <row r="819">
          <cell r="A819" t="str">
            <v>49003_1</v>
          </cell>
        </row>
        <row r="820">
          <cell r="A820" t="str">
            <v>49003_2</v>
          </cell>
        </row>
        <row r="821">
          <cell r="A821" t="str">
            <v>49004_1</v>
          </cell>
        </row>
        <row r="822">
          <cell r="A822" t="str">
            <v>49004_2</v>
          </cell>
        </row>
        <row r="823">
          <cell r="A823" t="str">
            <v>49004_3</v>
          </cell>
        </row>
        <row r="824">
          <cell r="A824" t="str">
            <v>49005_1</v>
          </cell>
        </row>
        <row r="825">
          <cell r="A825" t="str">
            <v>49006_1</v>
          </cell>
        </row>
        <row r="826">
          <cell r="A826" t="str">
            <v>49006_2</v>
          </cell>
        </row>
        <row r="827">
          <cell r="A827" t="str">
            <v>49007_1</v>
          </cell>
        </row>
        <row r="828">
          <cell r="A828" t="str">
            <v>49007_2</v>
          </cell>
        </row>
        <row r="829">
          <cell r="A829" t="str">
            <v>49007_3</v>
          </cell>
        </row>
        <row r="830">
          <cell r="A830" t="str">
            <v>49008_1</v>
          </cell>
        </row>
        <row r="831">
          <cell r="A831" t="str">
            <v>49009_1</v>
          </cell>
        </row>
        <row r="832">
          <cell r="A832" t="str">
            <v>49010_1</v>
          </cell>
        </row>
        <row r="833">
          <cell r="A833" t="str">
            <v>49011_1</v>
          </cell>
        </row>
        <row r="834">
          <cell r="A834" t="str">
            <v>50001_1</v>
          </cell>
        </row>
        <row r="835">
          <cell r="A835" t="str">
            <v>50002_1</v>
          </cell>
        </row>
        <row r="836">
          <cell r="A836" t="str">
            <v>50003_1</v>
          </cell>
        </row>
        <row r="837">
          <cell r="A837" t="str">
            <v>50004_1</v>
          </cell>
        </row>
        <row r="838">
          <cell r="A838" t="str">
            <v>50005_1</v>
          </cell>
        </row>
        <row r="839">
          <cell r="A839" t="str">
            <v>50006_1</v>
          </cell>
        </row>
        <row r="840">
          <cell r="A840" t="str">
            <v>50007_1</v>
          </cell>
        </row>
        <row r="841">
          <cell r="A841" t="str">
            <v>50008_1</v>
          </cell>
        </row>
        <row r="842">
          <cell r="A842" t="str">
            <v>50009_1</v>
          </cell>
        </row>
        <row r="843">
          <cell r="A843" t="str">
            <v>50010_1</v>
          </cell>
        </row>
        <row r="844">
          <cell r="A844" t="str">
            <v>50011_1</v>
          </cell>
        </row>
        <row r="845">
          <cell r="A845" t="str">
            <v>51001_1</v>
          </cell>
        </row>
        <row r="846">
          <cell r="A846" t="str">
            <v>51002_1</v>
          </cell>
        </row>
        <row r="847">
          <cell r="A847" t="str">
            <v>59001_1</v>
          </cell>
        </row>
        <row r="848">
          <cell r="A848" t="str">
            <v>60001_1</v>
          </cell>
        </row>
        <row r="849">
          <cell r="A849" t="str">
            <v>60002_1</v>
          </cell>
        </row>
        <row r="850">
          <cell r="A850" t="str">
            <v>60002_2</v>
          </cell>
        </row>
        <row r="851">
          <cell r="A851" t="str">
            <v>60003_1</v>
          </cell>
        </row>
        <row r="852">
          <cell r="A852" t="str">
            <v>60003_2</v>
          </cell>
        </row>
        <row r="853">
          <cell r="A853" t="str">
            <v>60003_3</v>
          </cell>
        </row>
        <row r="854">
          <cell r="A854" t="str">
            <v>60004_1</v>
          </cell>
        </row>
        <row r="855">
          <cell r="A855" t="str">
            <v>60005_1</v>
          </cell>
        </row>
        <row r="856">
          <cell r="A856" t="str">
            <v>60006_1</v>
          </cell>
        </row>
        <row r="857">
          <cell r="A857" t="str">
            <v>60006_2</v>
          </cell>
        </row>
        <row r="858">
          <cell r="A858" t="str">
            <v>60006_3</v>
          </cell>
        </row>
        <row r="859">
          <cell r="A859" t="str">
            <v>60007_1</v>
          </cell>
        </row>
        <row r="860">
          <cell r="A860" t="str">
            <v>60007_2</v>
          </cell>
        </row>
        <row r="861">
          <cell r="A861" t="str">
            <v>60007_3</v>
          </cell>
        </row>
        <row r="862">
          <cell r="A862" t="str">
            <v>60010_1</v>
          </cell>
        </row>
        <row r="863">
          <cell r="A863" t="str">
            <v>60011_1</v>
          </cell>
        </row>
        <row r="864">
          <cell r="A864" t="str">
            <v>60011_2</v>
          </cell>
        </row>
        <row r="865">
          <cell r="A865" t="str">
            <v>60012_1</v>
          </cell>
        </row>
        <row r="866">
          <cell r="A866" t="str">
            <v>60013_1</v>
          </cell>
        </row>
        <row r="867">
          <cell r="A867" t="str">
            <v>60013_2</v>
          </cell>
        </row>
        <row r="868">
          <cell r="A868" t="str">
            <v>60013_3</v>
          </cell>
        </row>
        <row r="869">
          <cell r="A869" t="str">
            <v>60014_1</v>
          </cell>
        </row>
        <row r="870">
          <cell r="A870" t="str">
            <v>60015_1</v>
          </cell>
        </row>
        <row r="871">
          <cell r="A871" t="str">
            <v>60016_1</v>
          </cell>
        </row>
        <row r="872">
          <cell r="A872" t="str">
            <v>60017_1</v>
          </cell>
        </row>
        <row r="873">
          <cell r="A873" t="str">
            <v>60018_1</v>
          </cell>
        </row>
        <row r="874">
          <cell r="A874" t="str">
            <v>60019_1</v>
          </cell>
        </row>
        <row r="875">
          <cell r="A875" t="str">
            <v>60020_1</v>
          </cell>
        </row>
        <row r="876">
          <cell r="A876" t="str">
            <v>60021_3</v>
          </cell>
        </row>
        <row r="877">
          <cell r="A877" t="str">
            <v>60022_3</v>
          </cell>
        </row>
        <row r="878">
          <cell r="A878" t="str">
            <v>60023_3</v>
          </cell>
        </row>
        <row r="879">
          <cell r="A879" t="str">
            <v>60024_3</v>
          </cell>
        </row>
        <row r="880">
          <cell r="A880" t="str">
            <v>60025_1</v>
          </cell>
        </row>
        <row r="881">
          <cell r="A881" t="str">
            <v>61011_1</v>
          </cell>
        </row>
        <row r="882">
          <cell r="A882" t="str">
            <v>65525_1</v>
          </cell>
        </row>
        <row r="883">
          <cell r="A883" t="str">
            <v>65526_1</v>
          </cell>
        </row>
        <row r="884">
          <cell r="A884" t="str">
            <v>65527_1</v>
          </cell>
        </row>
        <row r="885">
          <cell r="A885" t="str">
            <v>65531_1</v>
          </cell>
        </row>
        <row r="886">
          <cell r="A886" t="str">
            <v>65532_1</v>
          </cell>
        </row>
        <row r="887">
          <cell r="A887" t="str">
            <v>65533_1</v>
          </cell>
        </row>
        <row r="888">
          <cell r="A888" t="str">
            <v>65533_2</v>
          </cell>
        </row>
        <row r="889">
          <cell r="A889" t="str">
            <v>65534_1</v>
          </cell>
        </row>
        <row r="890">
          <cell r="A890" t="str">
            <v>65535_1</v>
          </cell>
        </row>
        <row r="891">
          <cell r="A891" t="str">
            <v>65535_2</v>
          </cell>
        </row>
        <row r="892">
          <cell r="A892" t="str">
            <v>65535_3</v>
          </cell>
        </row>
        <row r="893">
          <cell r="A893" t="str">
            <v>65535_4</v>
          </cell>
        </row>
        <row r="894">
          <cell r="A894" t="str">
            <v>65535_5</v>
          </cell>
        </row>
        <row r="895">
          <cell r="A895" t="str">
            <v>65535_6</v>
          </cell>
        </row>
        <row r="896">
          <cell r="A896" t="str">
            <v>65535_7</v>
          </cell>
        </row>
        <row r="897">
          <cell r="A897" t="str">
            <v>65535_8</v>
          </cell>
        </row>
        <row r="898">
          <cell r="A898" t="str">
            <v>65535_9</v>
          </cell>
        </row>
        <row r="899">
          <cell r="A899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s"/>
      <sheetName val="enemy_skill_set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13301_9-1</v>
          </cell>
        </row>
        <row r="3">
          <cell r="A3" t="str">
            <v>13301_9-2</v>
          </cell>
        </row>
        <row r="4">
          <cell r="A4" t="str">
            <v>13301_9-3</v>
          </cell>
        </row>
      </sheetData>
      <sheetData sheetId="2"/>
      <sheetData sheetId="3"/>
      <sheetData sheetId="4">
        <row r="1">
          <cell r="A1" t="str">
            <v>enemy_skill_id</v>
          </cell>
          <cell r="B1" t="str">
            <v>effect_param</v>
          </cell>
          <cell r="C1" t="str">
            <v>valid_flg</v>
          </cell>
          <cell r="D1" t="str">
            <v>language</v>
          </cell>
          <cell r="E1" t="str">
            <v>name</v>
          </cell>
          <cell r="F1" t="str">
            <v>comment</v>
          </cell>
          <cell r="G1" t="str">
            <v>効果１文字列</v>
          </cell>
          <cell r="H1" t="str">
            <v>効果１efect位置</v>
          </cell>
          <cell r="I1" t="str">
            <v>効果1終了位置</v>
          </cell>
          <cell r="J1" t="str">
            <v>効果１target位置</v>
          </cell>
          <cell r="K1" t="str">
            <v>効果1target終了位置</v>
          </cell>
          <cell r="L1" t="str">
            <v>効果１簡易デコード</v>
          </cell>
          <cell r="M1" t="str">
            <v>中間文字列１</v>
          </cell>
          <cell r="N1" t="str">
            <v>効果２文字列</v>
          </cell>
          <cell r="O1" t="str">
            <v>効果2efect位置</v>
          </cell>
          <cell r="P1" t="str">
            <v>効果2終了位置</v>
          </cell>
          <cell r="Q1" t="str">
            <v>効果2target位置</v>
          </cell>
          <cell r="R1" t="str">
            <v>効果2target終了位置</v>
          </cell>
          <cell r="S1" t="str">
            <v>効果２簡易デコード</v>
          </cell>
          <cell r="T1" t="str">
            <v>効果３文字列</v>
          </cell>
          <cell r="U1" t="str">
            <v>効果3efect位置</v>
          </cell>
          <cell r="V1" t="str">
            <v>効果3終了位置</v>
          </cell>
          <cell r="W1" t="str">
            <v>効果3target位置</v>
          </cell>
          <cell r="X1" t="str">
            <v>効果3target終了位置</v>
          </cell>
          <cell r="Y1" t="str">
            <v>効果３簡易デコード</v>
          </cell>
          <cell r="Z1" t="str">
            <v>作成者</v>
          </cell>
          <cell r="AA1" t="str">
            <v>更新日</v>
          </cell>
          <cell r="AB1" t="str">
            <v>備考（使用箇所）</v>
          </cell>
        </row>
        <row r="2">
          <cell r="A2">
            <v>13301601</v>
          </cell>
        </row>
        <row r="3">
          <cell r="A3">
            <v>13301602</v>
          </cell>
        </row>
        <row r="4">
          <cell r="A4">
            <v>13301603</v>
          </cell>
        </row>
        <row r="5">
          <cell r="A5">
            <v>13301604</v>
          </cell>
        </row>
        <row r="6">
          <cell r="A6">
            <v>13301605</v>
          </cell>
        </row>
        <row r="7">
          <cell r="A7">
            <v>13301606</v>
          </cell>
        </row>
        <row r="8">
          <cell r="A8">
            <v>13301611</v>
          </cell>
        </row>
        <row r="9">
          <cell r="A9">
            <v>13301612</v>
          </cell>
        </row>
        <row r="10">
          <cell r="A10">
            <v>13301613</v>
          </cell>
        </row>
        <row r="11">
          <cell r="A11">
            <v>13301621</v>
          </cell>
        </row>
        <row r="12">
          <cell r="A12">
            <v>13301622</v>
          </cell>
        </row>
        <row r="13">
          <cell r="A13">
            <v>13301623</v>
          </cell>
        </row>
        <row r="14">
          <cell r="A14">
            <v>13301624</v>
          </cell>
        </row>
        <row r="15">
          <cell r="A15">
            <v>13301625</v>
          </cell>
        </row>
        <row r="16">
          <cell r="A16">
            <v>13301631</v>
          </cell>
        </row>
        <row r="17">
          <cell r="A17">
            <v>13301632</v>
          </cell>
        </row>
        <row r="18">
          <cell r="A18">
            <v>13301633</v>
          </cell>
        </row>
        <row r="19">
          <cell r="A19">
            <v>13301634</v>
          </cell>
        </row>
        <row r="20">
          <cell r="A20">
            <v>13301635</v>
          </cell>
        </row>
        <row r="21">
          <cell r="A21">
            <v>13301641</v>
          </cell>
        </row>
        <row r="22">
          <cell r="A22">
            <v>13301642</v>
          </cell>
        </row>
        <row r="23">
          <cell r="A23">
            <v>13301643</v>
          </cell>
        </row>
        <row r="24">
          <cell r="A24">
            <v>13301644</v>
          </cell>
        </row>
        <row r="25">
          <cell r="A25">
            <v>13301645</v>
          </cell>
        </row>
      </sheetData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priority</v>
          </cell>
          <cell r="I1" t="str">
            <v>invoke_rate</v>
          </cell>
          <cell r="J1" t="str">
            <v>hp_threshold</v>
          </cell>
          <cell r="K1" t="str">
            <v>hp_termination</v>
          </cell>
          <cell r="L1" t="str">
            <v>invoke_times</v>
          </cell>
          <cell r="M1" t="str">
            <v>every_time_count</v>
          </cell>
          <cell r="N1" t="str">
            <v>neighbor_dead_id</v>
          </cell>
          <cell r="O1" t="str">
            <v>invoke_weight</v>
          </cell>
          <cell r="P1" t="str">
            <v>作成者</v>
          </cell>
          <cell r="Q1" t="str">
            <v>更新日</v>
          </cell>
          <cell r="R1" t="str">
            <v>備考（使用箇所）</v>
          </cell>
        </row>
        <row r="2">
          <cell r="B2">
            <v>13301601</v>
          </cell>
        </row>
        <row r="3">
          <cell r="B3">
            <v>13301601</v>
          </cell>
        </row>
        <row r="4">
          <cell r="B4">
            <v>13301601</v>
          </cell>
        </row>
        <row r="5">
          <cell r="B5">
            <v>13301602</v>
          </cell>
        </row>
        <row r="6">
          <cell r="B6">
            <v>13301602</v>
          </cell>
        </row>
        <row r="7">
          <cell r="B7">
            <v>13301602</v>
          </cell>
        </row>
        <row r="8">
          <cell r="B8">
            <v>13301603</v>
          </cell>
        </row>
        <row r="9">
          <cell r="B9">
            <v>13301603</v>
          </cell>
        </row>
        <row r="10">
          <cell r="B10">
            <v>13301603</v>
          </cell>
        </row>
        <row r="11">
          <cell r="B11">
            <v>13301604</v>
          </cell>
        </row>
        <row r="12">
          <cell r="B12">
            <v>13301604</v>
          </cell>
        </row>
        <row r="13">
          <cell r="B13">
            <v>13301604</v>
          </cell>
        </row>
        <row r="14">
          <cell r="B14">
            <v>13301604</v>
          </cell>
        </row>
        <row r="15">
          <cell r="B15">
            <v>13301604</v>
          </cell>
        </row>
        <row r="16">
          <cell r="B16">
            <v>13301605</v>
          </cell>
        </row>
        <row r="17">
          <cell r="B17">
            <v>13301605</v>
          </cell>
        </row>
        <row r="18">
          <cell r="B18">
            <v>13301605</v>
          </cell>
        </row>
        <row r="19">
          <cell r="B19">
            <v>13301605</v>
          </cell>
        </row>
        <row r="20">
          <cell r="B20">
            <v>13301605</v>
          </cell>
        </row>
        <row r="21">
          <cell r="B21">
            <v>13301606</v>
          </cell>
        </row>
        <row r="22">
          <cell r="B22">
            <v>13301606</v>
          </cell>
        </row>
        <row r="23">
          <cell r="B23">
            <v>13301606</v>
          </cell>
        </row>
        <row r="24">
          <cell r="B24">
            <v>13301606</v>
          </cell>
        </row>
        <row r="25">
          <cell r="B25">
            <v>13301606</v>
          </cell>
        </row>
      </sheetData>
      <sheetData sheetId="6">
        <row r="1">
          <cell r="A1" t="str">
            <v>skill_trigger_id</v>
          </cell>
          <cell r="B1" t="str">
            <v>first_time</v>
          </cell>
          <cell r="C1" t="str">
            <v>priority</v>
          </cell>
          <cell r="D1" t="str">
            <v>invoke_rate</v>
          </cell>
          <cell r="E1" t="str">
            <v>hp_threshold</v>
          </cell>
          <cell r="F1" t="str">
            <v>hp_termination</v>
          </cell>
          <cell r="G1" t="str">
            <v>invoke_times</v>
          </cell>
          <cell r="H1" t="str">
            <v>every_time_count</v>
          </cell>
          <cell r="I1" t="str">
            <v>neighbor_dead_id</v>
          </cell>
          <cell r="J1" t="str">
            <v>invoke_weight</v>
          </cell>
          <cell r="K1" t="str">
            <v>重複チェック</v>
          </cell>
        </row>
        <row r="2">
          <cell r="A2">
            <v>13301601</v>
          </cell>
        </row>
        <row r="3">
          <cell r="A3">
            <v>13301602</v>
          </cell>
        </row>
        <row r="4">
          <cell r="A4">
            <v>13301603</v>
          </cell>
        </row>
        <row r="5">
          <cell r="A5">
            <v>13301604</v>
          </cell>
        </row>
        <row r="6">
          <cell r="A6">
            <v>13301605</v>
          </cell>
        </row>
        <row r="7">
          <cell r="A7">
            <v>13301606</v>
          </cell>
        </row>
        <row r="8">
          <cell r="A8">
            <v>13301611</v>
          </cell>
        </row>
        <row r="9">
          <cell r="A9">
            <v>13301612</v>
          </cell>
        </row>
        <row r="10">
          <cell r="A10">
            <v>13301613</v>
          </cell>
        </row>
        <row r="11">
          <cell r="A11">
            <v>13301621</v>
          </cell>
        </row>
        <row r="12">
          <cell r="A12">
            <v>13301622</v>
          </cell>
        </row>
        <row r="13">
          <cell r="A13">
            <v>13301623</v>
          </cell>
        </row>
        <row r="14">
          <cell r="A14">
            <v>13301624</v>
          </cell>
        </row>
        <row r="15">
          <cell r="A15">
            <v>13301625</v>
          </cell>
        </row>
        <row r="16">
          <cell r="A16">
            <v>13301631</v>
          </cell>
        </row>
        <row r="17">
          <cell r="A17">
            <v>13301632</v>
          </cell>
        </row>
        <row r="18">
          <cell r="A18">
            <v>13301633</v>
          </cell>
        </row>
        <row r="19">
          <cell r="A19">
            <v>13301634</v>
          </cell>
        </row>
        <row r="20">
          <cell r="A20">
            <v>13301635</v>
          </cell>
        </row>
        <row r="21">
          <cell r="A21">
            <v>13301641</v>
          </cell>
        </row>
        <row r="22">
          <cell r="A22">
            <v>13301642</v>
          </cell>
        </row>
        <row r="23">
          <cell r="A23">
            <v>13301643</v>
          </cell>
        </row>
        <row r="24">
          <cell r="A24">
            <v>13301644</v>
          </cell>
        </row>
        <row r="25">
          <cell r="A25">
            <v>13301645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1300</v>
          </cell>
        </row>
        <row r="1299">
          <cell r="A1299">
            <v>1301</v>
          </cell>
        </row>
        <row r="1300">
          <cell r="A1300">
            <v>1302</v>
          </cell>
        </row>
        <row r="1301">
          <cell r="A1301">
            <v>1303</v>
          </cell>
        </row>
        <row r="1302">
          <cell r="A1302">
            <v>1304</v>
          </cell>
        </row>
        <row r="1303">
          <cell r="A1303">
            <v>1305</v>
          </cell>
        </row>
        <row r="1304">
          <cell r="A1304">
            <v>1306</v>
          </cell>
        </row>
        <row r="1305">
          <cell r="A1305">
            <v>1307</v>
          </cell>
        </row>
        <row r="1306">
          <cell r="A1306">
            <v>6001</v>
          </cell>
        </row>
        <row r="1307">
          <cell r="A1307">
            <v>6002</v>
          </cell>
        </row>
        <row r="1308">
          <cell r="A1308">
            <v>6003</v>
          </cell>
        </row>
        <row r="1309">
          <cell r="A1309">
            <v>6004</v>
          </cell>
        </row>
        <row r="1310">
          <cell r="A1310">
            <v>6005</v>
          </cell>
        </row>
        <row r="1311">
          <cell r="A1311">
            <v>6006</v>
          </cell>
        </row>
        <row r="1312">
          <cell r="A1312">
            <v>6007</v>
          </cell>
        </row>
        <row r="1313">
          <cell r="A1313">
            <v>6008</v>
          </cell>
        </row>
        <row r="1314">
          <cell r="A1314">
            <v>6009</v>
          </cell>
        </row>
        <row r="1315">
          <cell r="A1315">
            <v>6010</v>
          </cell>
        </row>
        <row r="1316">
          <cell r="A1316">
            <v>6011</v>
          </cell>
        </row>
        <row r="1317">
          <cell r="A1317">
            <v>6012</v>
          </cell>
        </row>
        <row r="1318">
          <cell r="A1318">
            <v>6013</v>
          </cell>
        </row>
        <row r="1319">
          <cell r="A1319">
            <v>6014</v>
          </cell>
        </row>
        <row r="1320">
          <cell r="A1320">
            <v>6015</v>
          </cell>
        </row>
        <row r="1321">
          <cell r="A1321">
            <v>6016</v>
          </cell>
        </row>
        <row r="1322">
          <cell r="A1322">
            <v>6017</v>
          </cell>
        </row>
        <row r="1323">
          <cell r="A1323">
            <v>6018</v>
          </cell>
        </row>
        <row r="1324">
          <cell r="A1324">
            <v>6019</v>
          </cell>
        </row>
        <row r="1325">
          <cell r="A1325">
            <v>6020</v>
          </cell>
        </row>
        <row r="1326">
          <cell r="A1326">
            <v>8001</v>
          </cell>
        </row>
        <row r="1327">
          <cell r="A1327">
            <v>8002</v>
          </cell>
        </row>
        <row r="1328">
          <cell r="A1328">
            <v>8003</v>
          </cell>
        </row>
        <row r="1329">
          <cell r="A1329">
            <v>8004</v>
          </cell>
        </row>
        <row r="1330">
          <cell r="A1330">
            <v>8005</v>
          </cell>
        </row>
        <row r="1331">
          <cell r="A1331">
            <v>8006</v>
          </cell>
        </row>
        <row r="1332">
          <cell r="A1332">
            <v>8007</v>
          </cell>
        </row>
        <row r="1333">
          <cell r="A1333">
            <v>8008</v>
          </cell>
        </row>
        <row r="1334">
          <cell r="A1334">
            <v>8009</v>
          </cell>
        </row>
        <row r="1335">
          <cell r="A1335">
            <v>8010</v>
          </cell>
        </row>
        <row r="1336">
          <cell r="A1336">
            <v>8011</v>
          </cell>
        </row>
        <row r="1337">
          <cell r="A1337">
            <v>8012</v>
          </cell>
        </row>
        <row r="1338">
          <cell r="A1338">
            <v>8013</v>
          </cell>
        </row>
        <row r="1339">
          <cell r="A1339">
            <v>8014</v>
          </cell>
        </row>
        <row r="1340">
          <cell r="A1340">
            <v>8015</v>
          </cell>
        </row>
        <row r="1341">
          <cell r="A1341">
            <v>8016</v>
          </cell>
        </row>
        <row r="1342">
          <cell r="A1342">
            <v>8017</v>
          </cell>
        </row>
        <row r="1343">
          <cell r="A1343">
            <v>8018</v>
          </cell>
        </row>
        <row r="1344">
          <cell r="A1344">
            <v>8019</v>
          </cell>
        </row>
        <row r="1345">
          <cell r="A1345">
            <v>8020</v>
          </cell>
        </row>
        <row r="1346">
          <cell r="A1346">
            <v>8021</v>
          </cell>
        </row>
        <row r="1347">
          <cell r="A1347">
            <v>8022</v>
          </cell>
        </row>
        <row r="1348">
          <cell r="A1348">
            <v>8023</v>
          </cell>
        </row>
        <row r="1349">
          <cell r="A1349">
            <v>8024</v>
          </cell>
        </row>
        <row r="1350">
          <cell r="A1350">
            <v>8025</v>
          </cell>
        </row>
        <row r="1351">
          <cell r="A1351">
            <v>8026</v>
          </cell>
        </row>
        <row r="1352">
          <cell r="A1352">
            <v>8027</v>
          </cell>
        </row>
        <row r="1353">
          <cell r="A1353">
            <v>8028</v>
          </cell>
        </row>
        <row r="1354">
          <cell r="A1354">
            <v>8029</v>
          </cell>
        </row>
        <row r="1355">
          <cell r="A1355">
            <v>8030</v>
          </cell>
        </row>
        <row r="1356">
          <cell r="A1356">
            <v>8031</v>
          </cell>
        </row>
        <row r="1357">
          <cell r="A1357">
            <v>8032</v>
          </cell>
        </row>
        <row r="1358">
          <cell r="A1358">
            <v>8033</v>
          </cell>
        </row>
        <row r="1359">
          <cell r="A1359">
            <v>8034</v>
          </cell>
        </row>
        <row r="1360">
          <cell r="A1360">
            <v>8035</v>
          </cell>
        </row>
        <row r="1361">
          <cell r="A1361">
            <v>8036</v>
          </cell>
        </row>
        <row r="1362">
          <cell r="A1362">
            <v>8037</v>
          </cell>
        </row>
        <row r="1363">
          <cell r="A1363">
            <v>8038</v>
          </cell>
        </row>
        <row r="1364">
          <cell r="A1364">
            <v>8039</v>
          </cell>
        </row>
        <row r="1365">
          <cell r="A1365">
            <v>8040</v>
          </cell>
        </row>
        <row r="1366">
          <cell r="A1366">
            <v>8041</v>
          </cell>
        </row>
        <row r="1367">
          <cell r="A1367">
            <v>8042</v>
          </cell>
        </row>
        <row r="1368">
          <cell r="A1368">
            <v>8043</v>
          </cell>
        </row>
        <row r="1369">
          <cell r="A1369">
            <v>8044</v>
          </cell>
        </row>
        <row r="1370">
          <cell r="A1370">
            <v>8045</v>
          </cell>
        </row>
        <row r="1371">
          <cell r="A1371">
            <v>8046</v>
          </cell>
        </row>
        <row r="1372">
          <cell r="A1372">
            <v>8047</v>
          </cell>
        </row>
        <row r="1373">
          <cell r="A1373">
            <v>8048</v>
          </cell>
        </row>
        <row r="1374">
          <cell r="A1374">
            <v>8049</v>
          </cell>
        </row>
        <row r="1375">
          <cell r="A1375">
            <v>8050</v>
          </cell>
        </row>
        <row r="1376">
          <cell r="A1376">
            <v>8051</v>
          </cell>
        </row>
        <row r="1377">
          <cell r="A1377">
            <v>8052</v>
          </cell>
        </row>
        <row r="1378">
          <cell r="A1378">
            <v>8053</v>
          </cell>
        </row>
        <row r="1379">
          <cell r="A1379">
            <v>8054</v>
          </cell>
        </row>
        <row r="1380">
          <cell r="A1380">
            <v>8055</v>
          </cell>
        </row>
        <row r="1381">
          <cell r="A1381">
            <v>8056</v>
          </cell>
        </row>
        <row r="1382">
          <cell r="A1382">
            <v>8057</v>
          </cell>
        </row>
        <row r="1383">
          <cell r="A1383">
            <v>8058</v>
          </cell>
        </row>
        <row r="1384">
          <cell r="A1384">
            <v>8059</v>
          </cell>
        </row>
        <row r="1385">
          <cell r="A1385">
            <v>8060</v>
          </cell>
        </row>
        <row r="1386">
          <cell r="A1386">
            <v>8061</v>
          </cell>
        </row>
        <row r="1387">
          <cell r="A1387">
            <v>8062</v>
          </cell>
        </row>
        <row r="1388">
          <cell r="A1388">
            <v>8063</v>
          </cell>
        </row>
        <row r="1389">
          <cell r="A1389">
            <v>8064</v>
          </cell>
        </row>
        <row r="1390">
          <cell r="A1390">
            <v>8065</v>
          </cell>
        </row>
        <row r="1391">
          <cell r="A1391">
            <v>8066</v>
          </cell>
        </row>
        <row r="1392">
          <cell r="A1392">
            <v>8067</v>
          </cell>
        </row>
        <row r="1393">
          <cell r="A1393">
            <v>8068</v>
          </cell>
        </row>
        <row r="1394">
          <cell r="A1394">
            <v>8069</v>
          </cell>
        </row>
        <row r="1395">
          <cell r="A1395">
            <v>8070</v>
          </cell>
        </row>
        <row r="1396">
          <cell r="A1396">
            <v>8071</v>
          </cell>
        </row>
        <row r="1397">
          <cell r="A1397">
            <v>8072</v>
          </cell>
        </row>
        <row r="1398">
          <cell r="A1398">
            <v>8077</v>
          </cell>
        </row>
        <row r="1399">
          <cell r="A1399">
            <v>8078</v>
          </cell>
        </row>
        <row r="1400">
          <cell r="A1400">
            <v>8079</v>
          </cell>
        </row>
        <row r="1401">
          <cell r="A1401">
            <v>8080</v>
          </cell>
        </row>
        <row r="1402">
          <cell r="A1402">
            <v>8095</v>
          </cell>
        </row>
        <row r="1403">
          <cell r="A1403">
            <v>8096</v>
          </cell>
        </row>
        <row r="1404">
          <cell r="A1404">
            <v>8097</v>
          </cell>
        </row>
        <row r="1405">
          <cell r="A1405">
            <v>8098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8077</v>
          </cell>
        </row>
        <row r="1469">
          <cell r="A1469">
            <v>8078</v>
          </cell>
        </row>
        <row r="1470">
          <cell r="A1470">
            <v>8079</v>
          </cell>
        </row>
        <row r="1471">
          <cell r="A1471">
            <v>8080</v>
          </cell>
        </row>
        <row r="1472">
          <cell r="A1472">
            <v>8095</v>
          </cell>
        </row>
        <row r="1473">
          <cell r="A1473">
            <v>8096</v>
          </cell>
        </row>
        <row r="1474">
          <cell r="A1474">
            <v>8097</v>
          </cell>
        </row>
        <row r="1475">
          <cell r="A1475">
            <v>8098</v>
          </cell>
        </row>
      </sheetData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/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7" t="s">
        <v>129</v>
      </c>
      <c r="B1" s="52" t="s">
        <v>99</v>
      </c>
      <c r="C1" s="52" t="s">
        <v>100</v>
      </c>
      <c r="D1" s="52" t="s">
        <v>101</v>
      </c>
      <c r="E1" s="52" t="s">
        <v>102</v>
      </c>
      <c r="F1" s="52" t="s">
        <v>103</v>
      </c>
      <c r="G1" s="52" t="s">
        <v>104</v>
      </c>
      <c r="H1" s="52"/>
      <c r="I1" s="52"/>
      <c r="J1" s="52"/>
      <c r="K1" s="52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</row>
    <row r="2" spans="1:30" x14ac:dyDescent="0.15">
      <c r="A2" s="58" t="s">
        <v>327</v>
      </c>
      <c r="B2" s="54" t="s">
        <v>105</v>
      </c>
      <c r="C2" s="60" t="s">
        <v>326</v>
      </c>
      <c r="D2" s="54" t="s">
        <v>106</v>
      </c>
      <c r="E2" s="53" t="str">
        <f>B2&amp;C2&amp;D2</f>
        <v>floors_13302_8.tmp</v>
      </c>
      <c r="F2" s="54" t="s">
        <v>107</v>
      </c>
      <c r="G2" s="55" t="s">
        <v>0</v>
      </c>
      <c r="H2" s="55" t="s">
        <v>1</v>
      </c>
      <c r="I2" s="55" t="s">
        <v>13</v>
      </c>
      <c r="J2" s="55" t="s">
        <v>14</v>
      </c>
      <c r="K2" s="55" t="s">
        <v>15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</row>
    <row r="3" spans="1:30" x14ac:dyDescent="0.15">
      <c r="A3" s="58" t="s">
        <v>327</v>
      </c>
      <c r="B3" s="54" t="s">
        <v>108</v>
      </c>
      <c r="C3" s="60" t="s">
        <v>326</v>
      </c>
      <c r="D3" s="54" t="s">
        <v>106</v>
      </c>
      <c r="E3" s="53" t="str">
        <f>B3&amp;C3&amp;D3</f>
        <v>enemy_habitats_13302_8.tmp</v>
      </c>
      <c r="F3" s="54" t="s">
        <v>109</v>
      </c>
      <c r="G3" s="55" t="s">
        <v>0</v>
      </c>
      <c r="H3" s="55" t="s">
        <v>1</v>
      </c>
      <c r="I3" s="55" t="s">
        <v>13</v>
      </c>
      <c r="J3" s="55" t="s">
        <v>2</v>
      </c>
      <c r="K3" s="55" t="s">
        <v>3</v>
      </c>
      <c r="L3" s="55" t="s">
        <v>47</v>
      </c>
      <c r="M3" s="55" t="s">
        <v>49</v>
      </c>
      <c r="N3" s="55" t="s">
        <v>51</v>
      </c>
      <c r="O3" s="55" t="s">
        <v>22</v>
      </c>
      <c r="P3" s="55" t="s">
        <v>5</v>
      </c>
      <c r="Q3" s="55" t="s">
        <v>6</v>
      </c>
      <c r="R3" s="55" t="s">
        <v>7</v>
      </c>
      <c r="S3" s="55" t="s">
        <v>8</v>
      </c>
      <c r="T3" s="55" t="s">
        <v>9</v>
      </c>
      <c r="U3" s="55" t="s">
        <v>10</v>
      </c>
      <c r="V3" s="55" t="s">
        <v>11</v>
      </c>
      <c r="W3" s="55" t="s">
        <v>12</v>
      </c>
      <c r="X3" s="55" t="s">
        <v>37</v>
      </c>
      <c r="Y3" s="55" t="s">
        <v>39</v>
      </c>
      <c r="Z3" s="55" t="s">
        <v>41</v>
      </c>
      <c r="AA3" s="55" t="s">
        <v>43</v>
      </c>
      <c r="AB3" s="55" t="s">
        <v>45</v>
      </c>
      <c r="AC3" s="55" t="s">
        <v>53</v>
      </c>
      <c r="AD3" s="55" t="s">
        <v>176</v>
      </c>
    </row>
    <row r="4" spans="1:30" x14ac:dyDescent="0.15">
      <c r="A4" s="58" t="s">
        <v>327</v>
      </c>
      <c r="B4" s="54" t="s">
        <v>110</v>
      </c>
      <c r="C4" s="60" t="s">
        <v>326</v>
      </c>
      <c r="D4" s="54" t="s">
        <v>106</v>
      </c>
      <c r="E4" s="53" t="str">
        <f>B4&amp;C4&amp;D4</f>
        <v>enemy_habitat_S_13302_8.tmp</v>
      </c>
      <c r="F4" s="54" t="s">
        <v>111</v>
      </c>
      <c r="G4" s="55" t="s">
        <v>0</v>
      </c>
      <c r="H4" s="55" t="s">
        <v>1</v>
      </c>
      <c r="I4" s="55" t="s">
        <v>13</v>
      </c>
      <c r="J4" s="55" t="s">
        <v>53</v>
      </c>
      <c r="K4" s="55" t="s">
        <v>54</v>
      </c>
      <c r="L4" s="55" t="s">
        <v>55</v>
      </c>
      <c r="M4" s="55" t="s">
        <v>56</v>
      </c>
      <c r="N4" s="55" t="s">
        <v>57</v>
      </c>
      <c r="O4" s="55" t="s">
        <v>58</v>
      </c>
      <c r="P4" s="55" t="s">
        <v>48</v>
      </c>
      <c r="Q4" s="55" t="s">
        <v>50</v>
      </c>
      <c r="R4" s="55" t="s">
        <v>52</v>
      </c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</row>
    <row r="5" spans="1:30" x14ac:dyDescent="0.15">
      <c r="A5" s="58" t="s">
        <v>249</v>
      </c>
      <c r="B5" s="54" t="s">
        <v>112</v>
      </c>
      <c r="C5" s="60" t="s">
        <v>326</v>
      </c>
      <c r="D5" s="54" t="s">
        <v>106</v>
      </c>
      <c r="E5" s="53" t="str">
        <f>B5&amp;C5&amp;D5</f>
        <v>enemy_skill_sets_13302_8.tmp</v>
      </c>
      <c r="F5" s="54" t="s">
        <v>113</v>
      </c>
      <c r="G5" s="56" t="s">
        <v>22</v>
      </c>
      <c r="H5" s="56" t="s">
        <v>98</v>
      </c>
      <c r="I5" s="56" t="s">
        <v>93</v>
      </c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</row>
    <row r="6" spans="1:30" x14ac:dyDescent="0.15">
      <c r="A6" s="58" t="s">
        <v>249</v>
      </c>
      <c r="B6" s="54" t="s">
        <v>114</v>
      </c>
      <c r="C6" s="60" t="s">
        <v>326</v>
      </c>
      <c r="D6" s="54" t="s">
        <v>115</v>
      </c>
      <c r="E6" s="53" t="str">
        <f t="shared" ref="E6:E10" si="0">B6&amp;C6&amp;D6</f>
        <v>enemy_skills_tmp_13302_8.tmp</v>
      </c>
      <c r="F6" s="54" t="s">
        <v>89</v>
      </c>
      <c r="G6" s="55" t="s">
        <v>78</v>
      </c>
      <c r="H6" s="55" t="s">
        <v>79</v>
      </c>
      <c r="I6" s="55" t="s">
        <v>80</v>
      </c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</row>
    <row r="7" spans="1:30" x14ac:dyDescent="0.15">
      <c r="A7" s="58" t="s">
        <v>249</v>
      </c>
      <c r="B7" s="54" t="s">
        <v>116</v>
      </c>
      <c r="C7" s="60" t="s">
        <v>326</v>
      </c>
      <c r="D7" s="54" t="s">
        <v>106</v>
      </c>
      <c r="E7" s="53" t="str">
        <f>B7&amp;C7&amp;D7</f>
        <v>enemy_skills_i18n_13302_8.tmp</v>
      </c>
      <c r="F7" s="54" t="s">
        <v>117</v>
      </c>
      <c r="G7" s="55" t="s">
        <v>78</v>
      </c>
      <c r="H7" s="55" t="s">
        <v>90</v>
      </c>
      <c r="I7" s="55" t="s">
        <v>91</v>
      </c>
      <c r="J7" s="55" t="s">
        <v>92</v>
      </c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</row>
    <row r="8" spans="1:30" x14ac:dyDescent="0.15">
      <c r="A8" s="58" t="s">
        <v>249</v>
      </c>
      <c r="B8" s="54" t="s">
        <v>118</v>
      </c>
      <c r="C8" s="60" t="s">
        <v>326</v>
      </c>
      <c r="D8" s="54" t="s">
        <v>119</v>
      </c>
      <c r="E8" s="53" t="str">
        <f t="shared" si="0"/>
        <v>enemy_skill_triggers_13302_8.tmp</v>
      </c>
      <c r="F8" s="54" t="s">
        <v>120</v>
      </c>
      <c r="G8" s="55" t="s">
        <v>93</v>
      </c>
      <c r="H8" s="55" t="s">
        <v>94</v>
      </c>
      <c r="I8" s="55" t="s">
        <v>95</v>
      </c>
      <c r="J8" s="55" t="s">
        <v>96</v>
      </c>
      <c r="K8" s="55" t="s">
        <v>121</v>
      </c>
      <c r="L8" s="55" t="s">
        <v>97</v>
      </c>
      <c r="M8" s="55" t="s">
        <v>122</v>
      </c>
      <c r="N8" s="55" t="s">
        <v>123</v>
      </c>
      <c r="O8" s="55" t="s">
        <v>124</v>
      </c>
      <c r="P8" s="55" t="s">
        <v>66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</row>
    <row r="9" spans="1:30" x14ac:dyDescent="0.15">
      <c r="A9" s="58" t="s">
        <v>327</v>
      </c>
      <c r="B9" s="65" t="s">
        <v>175</v>
      </c>
      <c r="C9" s="60" t="s">
        <v>326</v>
      </c>
      <c r="D9" s="65" t="s">
        <v>169</v>
      </c>
      <c r="E9" s="66" t="str">
        <f t="shared" si="0"/>
        <v>stage_bug_bonuses_13302_8.tmp</v>
      </c>
      <c r="F9" s="65" t="s">
        <v>170</v>
      </c>
      <c r="G9" s="62" t="s">
        <v>149</v>
      </c>
      <c r="H9" s="62" t="s">
        <v>171</v>
      </c>
      <c r="I9" s="62" t="s">
        <v>172</v>
      </c>
      <c r="J9" s="64" t="s">
        <v>173</v>
      </c>
      <c r="K9" s="62" t="s">
        <v>174</v>
      </c>
      <c r="L9" s="62" t="s">
        <v>155</v>
      </c>
      <c r="M9" s="62" t="s">
        <v>156</v>
      </c>
      <c r="N9" s="62" t="s">
        <v>157</v>
      </c>
      <c r="O9" s="62" t="s">
        <v>158</v>
      </c>
      <c r="P9" s="62" t="s">
        <v>159</v>
      </c>
      <c r="Q9" s="62" t="s">
        <v>160</v>
      </c>
      <c r="R9" s="62" t="s">
        <v>161</v>
      </c>
      <c r="S9" s="62" t="s">
        <v>162</v>
      </c>
      <c r="T9" s="62" t="s">
        <v>163</v>
      </c>
      <c r="U9" s="62" t="s">
        <v>164</v>
      </c>
      <c r="V9" s="62" t="s">
        <v>165</v>
      </c>
      <c r="W9" s="62" t="s">
        <v>166</v>
      </c>
      <c r="X9" s="54"/>
      <c r="Y9" s="54"/>
      <c r="Z9" s="54"/>
      <c r="AA9" s="54"/>
      <c r="AB9" s="54"/>
      <c r="AC9" s="54"/>
      <c r="AD9" s="54"/>
    </row>
    <row r="10" spans="1:30" s="72" customFormat="1" x14ac:dyDescent="0.15">
      <c r="A10" s="58" t="s">
        <v>249</v>
      </c>
      <c r="B10" s="65" t="s">
        <v>198</v>
      </c>
      <c r="C10" s="60" t="s">
        <v>326</v>
      </c>
      <c r="D10" s="65" t="s">
        <v>178</v>
      </c>
      <c r="E10" s="66" t="str">
        <f t="shared" si="0"/>
        <v>stage_hints_data_c_13302_8.tmp</v>
      </c>
      <c r="F10" s="65" t="s">
        <v>206</v>
      </c>
      <c r="G10" s="70" t="s">
        <v>179</v>
      </c>
      <c r="H10" s="70" t="s">
        <v>171</v>
      </c>
      <c r="I10" s="71" t="s">
        <v>180</v>
      </c>
      <c r="J10" s="64" t="s">
        <v>181</v>
      </c>
      <c r="K10" s="64" t="s">
        <v>182</v>
      </c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</row>
    <row r="11" spans="1:30" s="72" customFormat="1" x14ac:dyDescent="0.15">
      <c r="A11" s="58" t="s">
        <v>327</v>
      </c>
      <c r="B11" s="65" t="s">
        <v>199</v>
      </c>
      <c r="C11" s="60" t="s">
        <v>326</v>
      </c>
      <c r="D11" s="65" t="s">
        <v>169</v>
      </c>
      <c r="E11" s="66" t="str">
        <f t="shared" ref="E11:E13" si="1">B11&amp;C11&amp;D11</f>
        <v>stage_hints_data_f_13302_8.tmp</v>
      </c>
      <c r="F11" s="65" t="s">
        <v>207</v>
      </c>
      <c r="G11" s="70" t="s">
        <v>179</v>
      </c>
      <c r="H11" s="70" t="s">
        <v>171</v>
      </c>
      <c r="I11" s="71" t="s">
        <v>180</v>
      </c>
      <c r="J11" s="64" t="s">
        <v>181</v>
      </c>
      <c r="K11" s="64" t="s">
        <v>182</v>
      </c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</row>
    <row r="12" spans="1:30" s="72" customFormat="1" x14ac:dyDescent="0.15">
      <c r="A12" s="58" t="s">
        <v>327</v>
      </c>
      <c r="B12" s="65" t="s">
        <v>200</v>
      </c>
      <c r="C12" s="60" t="s">
        <v>326</v>
      </c>
      <c r="D12" s="65" t="s">
        <v>169</v>
      </c>
      <c r="E12" s="66" t="str">
        <f t="shared" si="1"/>
        <v>stage_hints_i18n_13302_8.tmp</v>
      </c>
      <c r="F12" s="65" t="s">
        <v>208</v>
      </c>
      <c r="G12" s="71" t="s">
        <v>201</v>
      </c>
      <c r="H12" s="89" t="s">
        <v>202</v>
      </c>
      <c r="I12" s="70" t="s">
        <v>203</v>
      </c>
      <c r="J12" s="97" t="s">
        <v>204</v>
      </c>
      <c r="K12" s="64" t="s">
        <v>205</v>
      </c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</row>
    <row r="13" spans="1:30" s="72" customFormat="1" x14ac:dyDescent="0.15">
      <c r="A13" s="58" t="s">
        <v>327</v>
      </c>
      <c r="B13" s="65" t="s">
        <v>246</v>
      </c>
      <c r="C13" s="60" t="s">
        <v>326</v>
      </c>
      <c r="D13" s="65" t="s">
        <v>227</v>
      </c>
      <c r="E13" s="66" t="str">
        <f t="shared" si="1"/>
        <v>stage_bonuses_13302_8.tmp</v>
      </c>
      <c r="F13" s="65" t="s">
        <v>226</v>
      </c>
      <c r="G13" s="70" t="s">
        <v>228</v>
      </c>
      <c r="H13" s="70" t="s">
        <v>229</v>
      </c>
      <c r="I13" s="70" t="s">
        <v>230</v>
      </c>
      <c r="J13" s="70" t="s">
        <v>231</v>
      </c>
      <c r="K13" s="70" t="s">
        <v>232</v>
      </c>
      <c r="L13" s="70" t="s">
        <v>233</v>
      </c>
      <c r="M13" s="70" t="s">
        <v>234</v>
      </c>
      <c r="N13" s="70" t="s">
        <v>235</v>
      </c>
      <c r="O13" s="70" t="s">
        <v>236</v>
      </c>
      <c r="P13" s="70" t="s">
        <v>237</v>
      </c>
      <c r="Q13" s="70" t="s">
        <v>238</v>
      </c>
      <c r="R13" s="70" t="s">
        <v>239</v>
      </c>
      <c r="S13" s="70" t="s">
        <v>240</v>
      </c>
      <c r="T13" s="70" t="s">
        <v>241</v>
      </c>
      <c r="U13" s="70" t="s">
        <v>242</v>
      </c>
      <c r="V13" s="70" t="s">
        <v>243</v>
      </c>
      <c r="W13" s="70" t="s">
        <v>244</v>
      </c>
      <c r="X13" s="70" t="s">
        <v>245</v>
      </c>
      <c r="Y13" s="96"/>
      <c r="Z13" s="96"/>
      <c r="AA13" s="96"/>
      <c r="AB13" s="96"/>
      <c r="AC13" s="96"/>
      <c r="AD13" s="96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A2" sqref="A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4" width="27" style="3" customWidth="1" outlineLevel="1"/>
    <col min="5" max="5" width="20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13302_8-1</v>
      </c>
      <c r="B2" s="16" t="str">
        <f>IF(COUNTIF(enemy_habitats!$H:$H,A2),"OK","NG")</f>
        <v>OK</v>
      </c>
      <c r="C2" s="7">
        <v>13302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0">
        <v>8</v>
      </c>
      <c r="G2" s="22" t="str">
        <f>C2&amp;"_"&amp;F2</f>
        <v>13302_8</v>
      </c>
      <c r="H2" s="15" t="str">
        <f ca="1">VLOOKUP($G2,OFFSET([2]stages!$A$1,0,0,COUNTA([2]stages!$A:$A),MATCH(H$1,[2]stages!$2:$2,0)-MATCH($G$1,[2]stages!$2:$2,0)+1),MATCH(H$1,[2]stages!$2:$2,0)-MATCH($G$1,[2]stages!$2:$2,0)+1,FALSE)</f>
        <v>8階 コスト28以下限定</v>
      </c>
      <c r="I2" s="20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13302_8-2</v>
      </c>
      <c r="B3" s="16" t="str">
        <f>IF(COUNTIF(enemy_habitats!$H:$H,A3),"OK","NG")</f>
        <v>OK</v>
      </c>
      <c r="C3" s="7">
        <v>13302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0">
        <v>8</v>
      </c>
      <c r="G3" s="22" t="str">
        <f>C3&amp;"_"&amp;F3</f>
        <v>13302_8</v>
      </c>
      <c r="H3" s="15" t="str">
        <f ca="1">VLOOKUP($G3,OFFSET([2]stages!$A$1,0,0,COUNTA([2]stages!$A:$A),MATCH(H$1,[2]stages!$2:$2,0)-MATCH($G$1,[2]stages!$2:$2,0)+1),MATCH(H$1,[2]stages!$2:$2,0)-MATCH($G$1,[2]stages!$2:$2,0)+1,FALSE)</f>
        <v>8階 コスト28以下限定</v>
      </c>
      <c r="I3" s="20">
        <v>2</v>
      </c>
      <c r="J3" s="12">
        <v>60</v>
      </c>
      <c r="K3" s="12">
        <v>60</v>
      </c>
    </row>
    <row r="4" spans="1:11" ht="21" customHeight="1" x14ac:dyDescent="0.15">
      <c r="C4" s="19"/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5"/>
  <sheetViews>
    <sheetView showGridLines="0" tabSelected="1" zoomScale="110" zoomScaleNormal="110" zoomScalePageLayoutView="11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R2" sqref="R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4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0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53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8" t="s">
        <v>247</v>
      </c>
      <c r="U1" s="24" t="s">
        <v>50</v>
      </c>
      <c r="V1" s="98" t="s">
        <v>248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177</v>
      </c>
    </row>
    <row r="2" spans="1:42" ht="21" customHeight="1" x14ac:dyDescent="0.15">
      <c r="A2" s="16" t="str">
        <f>B2&amp;"_"&amp;C2&amp;"-"&amp;G2&amp;"/"&amp;L2&amp;"&lt;lv"&amp;R2&amp;"&gt;s"&amp;AC2</f>
        <v>13302_8-1/456&lt;lv20&gt;s1</v>
      </c>
      <c r="B2" s="21">
        <v>13302</v>
      </c>
      <c r="C2" s="113">
        <v>8</v>
      </c>
      <c r="D2" s="15" t="str">
        <f>B2&amp;"_"&amp;C2</f>
        <v>13302_8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8階 コスト28以下限定</v>
      </c>
      <c r="G2" s="113">
        <v>1</v>
      </c>
      <c r="H2" s="15" t="str">
        <f>B2&amp;"_"&amp;C2&amp;"-"&amp;G2</f>
        <v>13302_8-1</v>
      </c>
      <c r="I2" s="4" t="e">
        <f ca="1">VLOOKUP($H2,OFFSET([3]floors!$A$1,0,0,COUNTA([3]floors!$A:$A),MATCH(I$1,[3]floors!$1:$1,0)-MATCH($H$1,[3]floors!$1:$1,0)+1),MATCH(I$1,[3]floors!$1:$1,0)-MATCH($H$1,[3]floors!$1:$1,0)+1,FALSE)</f>
        <v>#N/A</v>
      </c>
      <c r="J2" s="4" t="e">
        <f ca="1">VLOOKUP($H2,OFFSET([3]floors!$A$1,0,0,COUNTA([3]floors!$A:$A),MATCH(J$1,[3]floors!$1:$1,0)-MATCH($H$1,[3]floors!$1:$1,0)+1),MATCH(J$1,[3]floors!$1:$1,0)-MATCH($H$1,[3]floors!$1:$1,0)+1,FALSE)</f>
        <v>#N/A</v>
      </c>
      <c r="K2" s="36" t="s">
        <v>88</v>
      </c>
      <c r="L2" s="114">
        <v>456</v>
      </c>
      <c r="M2" s="17" t="str">
        <f ca="1">VLOOKUP($L2,OFFSET([4]enemies!$A$1,0,0,COUNTA([4]enemies!$A:$A),MATCH(M$1,[4]enemies!$1:$1,0)-MATCH($L$1,[4]enemies!$1:$1,0)+1),MATCH(M$1,[4]enemies!$1:$1,0)-MATCH($L$1,[4]enemies!$1:$1,0)+1,FALSE)</f>
        <v>射絶 ユヅル</v>
      </c>
      <c r="N2" s="17" t="str">
        <f ca="1">VLOOKUP($L2,OFFSET([4]enemies!$A$1,0,0,COUNTA([4]enemies!$A:$A),MATCH(N$1,[4]enemies!$1:$1,0)-MATCH($L$1,[4]enemies!$1:$1,0)+1),MATCH(N$1,[4]enemies!$1:$1,0)-MATCH($L$1,[4]enemies!$1:$1,0)+1,FALSE)</f>
        <v>blue</v>
      </c>
      <c r="O2" s="17" t="str">
        <f ca="1">VLOOKUP($L2,OFFSET([5]characters!$A$1,0,0,COUNTA([5]characters!$A:$A),MATCH(O$1,[5]characters!$1:$1,0)-MATCH($L$1,[5]characters!$1:$1,0)+1),MATCH(O$1,[5]characters!$1:$1,0)-MATCH($L$1,[5]characters!$1:$1,0)+1,FALSE)</f>
        <v>Drop2N</v>
      </c>
      <c r="P2" s="17" t="str">
        <f ca="1">VLOOKUP($L2,OFFSET([4]enemies!$A$1,0,0,COUNTA([4]enemies!$A:$A),MATCH(P$1,[4]enemies!$1:$1,0)-MATCH($L$1,[4]enemies!$1:$1,0)+1),MATCH(P$1,[4]enemies!$1:$1,0)-MATCH($L$1,[4]enemies!$1:$1,0)+1,FALSE)</f>
        <v>human</v>
      </c>
      <c r="Q2" s="17">
        <f ca="1">VLOOKUP($L2,OFFSET([4]enemies!$A$1,0,0,COUNTA([4]enemies!$A:$A),MATCH(Q$1,[4]enemies!$1:$1,0)-MATCH($L$1,[4]enemies!$1:$1,0)+1),MATCH(Q$1,[4]enemies!$1:$1,0)-MATCH($L$1,[4]enemies!$1:$1,0)+1,FALSE)</f>
        <v>30</v>
      </c>
      <c r="R2" s="5">
        <v>20</v>
      </c>
      <c r="S2" s="23">
        <v>0.3</v>
      </c>
      <c r="T2" s="99">
        <f ca="1">ROUND(VLOOKUP(R2,[4]enemy_base_stats!$A:$F,2,FALSE)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INDIRECT("[EnemyMasterData.xlsm]enemies!AD"&amp;(L2+1))*[5]ステータス!$B$2,0)*S2</f>
        <v>7093.8</v>
      </c>
      <c r="U2" s="23">
        <v>1.5</v>
      </c>
      <c r="V2" s="99">
        <f ca="1">ROUND(VLOOKUP(R2,[4]enemy_base_stats!$A:$F,3,FALSE)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INDIRECT("[EnemyMasterData.xlsm]enemies!AE"&amp;(L2+1))*[5]ステータス!$C$2,0)*U2</f>
        <v>2856</v>
      </c>
      <c r="W2" s="5">
        <v>0</v>
      </c>
      <c r="X2" s="4" t="e">
        <f ca="1">VLOOKUP($Y2,OFFSET([3]enemy_skill_sets!$B$1,0,0,COUNTA([3]enemy_skill_sets!$B:$B),MATCH(M$1,[3]enemy_skill_sets!$1:$1,0)-MATCH($Y$1,[3]enemy_skill_sets!$1:$1,0)+2),MATCH(M$1,[3]enemy_skill_sets!$1:$1,0)-MATCH($Y$1,[3]enemy_skill_sets!$1:$1,0)+2,FALSE)</f>
        <v>#N/A</v>
      </c>
      <c r="Y2" s="59">
        <v>13301450</v>
      </c>
      <c r="Z2" s="6">
        <v>1</v>
      </c>
      <c r="AA2" s="6">
        <v>100</v>
      </c>
      <c r="AB2" s="6">
        <v>0</v>
      </c>
      <c r="AC2" s="115">
        <v>1</v>
      </c>
      <c r="AD2" s="116">
        <v>456</v>
      </c>
      <c r="AE2" s="4" t="str">
        <f ca="1">VLOOKUP($AD2,OFFSET([5]characters!$A$1,0,0,COUNTA([5]characters!$A:$A),MATCH(AE$1,[5]characters!$1:$1,0)-MATCH("character_id",[5]characters!$1:$1,0)+1),MATCH(AE$1,[5]characters!$1:$1,0)-MATCH("character_id",[5]characters!$1:$1,0)+1,FALSE)</f>
        <v>射絶 ユヅル</v>
      </c>
      <c r="AF2" s="4">
        <f ca="1">VLOOKUP($AD2,OFFSET([5]characters!$A$1,0,0,COUNTA([5]characters!$A:$A),MATCH(AF$1,[5]characters!$1:$1,0)-MATCH("character_id",[5]characters!$1:$1,0)+1),MATCH(AF$1,[5]characters!$1:$1,0)-MATCH("character_id",[5]characters!$1:$1,0)+1,FALSE)</f>
        <v>4</v>
      </c>
      <c r="AG2" s="4" t="str">
        <f ca="1">VLOOKUP($AD2,OFFSET([5]characters!$A$1,0,0,COUNTA([5]characters!$A:$A),MATCH(AG$1,[5]characters!$1:$1,0)-MATCH("character_id",[5]characters!$1:$1,0)+1),MATCH(AG$1,[5]characters!$1:$1,0)-MATCH("character_id",[5]characters!$1:$1,0)+1,FALSE)</f>
        <v>Drop2N</v>
      </c>
      <c r="AH2" s="117">
        <v>1</v>
      </c>
      <c r="AI2" s="118">
        <f ca="1">AF2</f>
        <v>4</v>
      </c>
      <c r="AJ2" s="8">
        <v>0</v>
      </c>
      <c r="AK2" s="117">
        <v>0</v>
      </c>
      <c r="AL2" s="117">
        <v>0</v>
      </c>
      <c r="AM2" s="117">
        <v>0</v>
      </c>
      <c r="AN2" s="117">
        <v>0</v>
      </c>
      <c r="AO2" s="117">
        <v>1</v>
      </c>
      <c r="AP2" s="67">
        <v>1</v>
      </c>
    </row>
    <row r="3" spans="1:42" ht="21" customHeight="1" x14ac:dyDescent="0.15">
      <c r="A3" s="16" t="str">
        <f>B3&amp;"_"&amp;C3&amp;"-"&amp;G3&amp;"/"&amp;L3&amp;"&lt;lv"&amp;R3&amp;"&gt;s"&amp;AC3</f>
        <v>13302_8-1/288&lt;lv80&gt;s1</v>
      </c>
      <c r="B3" s="21">
        <v>13302</v>
      </c>
      <c r="C3" s="113">
        <v>8</v>
      </c>
      <c r="D3" s="15" t="str">
        <f>B3&amp;"_"&amp;C3</f>
        <v>13302_8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8階 コスト28以下限定</v>
      </c>
      <c r="G3" s="113">
        <v>1</v>
      </c>
      <c r="H3" s="15" t="str">
        <f>B3&amp;"_"&amp;C3&amp;"-"&amp;G3</f>
        <v>13302_8-1</v>
      </c>
      <c r="I3" s="4" t="e">
        <f ca="1">VLOOKUP($H3,OFFSET([3]floors!$A$1,0,0,COUNTA([3]floors!$A:$A),MATCH(I$1,[3]floors!$1:$1,0)-MATCH($H$1,[3]floors!$1:$1,0)+1),MATCH(I$1,[3]floors!$1:$1,0)-MATCH($H$1,[3]floors!$1:$1,0)+1,FALSE)</f>
        <v>#N/A</v>
      </c>
      <c r="J3" s="4" t="e">
        <f ca="1">VLOOKUP($H3,OFFSET([3]floors!$A$1,0,0,COUNTA([3]floors!$A:$A),MATCH(J$1,[3]floors!$1:$1,0)-MATCH($H$1,[3]floors!$1:$1,0)+1),MATCH(J$1,[3]floors!$1:$1,0)-MATCH($H$1,[3]floors!$1:$1,0)+1,FALSE)</f>
        <v>#N/A</v>
      </c>
      <c r="K3" s="36" t="s">
        <v>88</v>
      </c>
      <c r="L3" s="114">
        <v>288</v>
      </c>
      <c r="M3" s="17" t="str">
        <f ca="1">VLOOKUP($L3,OFFSET([4]enemies!$A$1,0,0,COUNTA([4]enemies!$A:$A),MATCH(M$1,[4]enemies!$1:$1,0)-MATCH($L$1,[4]enemies!$1:$1,0)+1),MATCH(M$1,[4]enemies!$1:$1,0)-MATCH($L$1,[4]enemies!$1:$1,0)+1,FALSE)</f>
        <v>ミカド</v>
      </c>
      <c r="N3" s="17" t="str">
        <f ca="1">VLOOKUP($L3,OFFSET([4]enemies!$A$1,0,0,COUNTA([4]enemies!$A:$A),MATCH(N$1,[4]enemies!$1:$1,0)-MATCH($L$1,[4]enemies!$1:$1,0)+1),MATCH(N$1,[4]enemies!$1:$1,0)-MATCH($L$1,[4]enemies!$1:$1,0)+1,FALSE)</f>
        <v>yellow</v>
      </c>
      <c r="O3" s="17" t="str">
        <f ca="1">VLOOKUP($L3,OFFSET([5]characters!$A$1,0,0,COUNTA([5]characters!$A:$A),MATCH(O$1,[5]characters!$1:$1,0)-MATCH($L$1,[5]characters!$1:$1,0)+1),MATCH(O$1,[5]characters!$1:$1,0)-MATCH($L$1,[5]characters!$1:$1,0)+1,FALSE)</f>
        <v>Drop2N</v>
      </c>
      <c r="P3" s="17" t="str">
        <f ca="1">VLOOKUP($L3,OFFSET([4]enemies!$A$1,0,0,COUNTA([4]enemies!$A:$A),MATCH(P$1,[4]enemies!$1:$1,0)-MATCH($L$1,[4]enemies!$1:$1,0)+1),MATCH(P$1,[4]enemies!$1:$1,0)-MATCH($L$1,[4]enemies!$1:$1,0)+1,FALSE)</f>
        <v>human</v>
      </c>
      <c r="Q3" s="17">
        <f ca="1">VLOOKUP($L3,OFFSET([4]enemies!$A$1,0,0,COUNTA([4]enemies!$A:$A),MATCH(Q$1,[4]enemies!$1:$1,0)-MATCH($L$1,[4]enemies!$1:$1,0)+1),MATCH(Q$1,[4]enemies!$1:$1,0)-MATCH($L$1,[4]enemies!$1:$1,0)+1,FALSE)</f>
        <v>30</v>
      </c>
      <c r="R3" s="5">
        <v>80</v>
      </c>
      <c r="S3" s="23">
        <v>0.7</v>
      </c>
      <c r="T3" s="99">
        <f ca="1">ROUND(VLOOKUP(R3,[4]enemy_base_stats!$A:$F,2,FALSE)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INDIRECT("[EnemyMasterData.xlsm]enemies!AD"&amp;(L3+1))*[5]ステータス!$B$2,0)*S3</f>
        <v>68320.7</v>
      </c>
      <c r="U3" s="23">
        <v>0.5</v>
      </c>
      <c r="V3" s="99">
        <f ca="1">ROUND(VLOOKUP(R3,[4]enemy_base_stats!$A:$F,3,FALSE)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INDIRECT("[EnemyMasterData.xlsm]enemies!AE"&amp;(L3+1))*[5]ステータス!$C$2,0)*U3</f>
        <v>4131.5</v>
      </c>
      <c r="W3" s="5">
        <v>0</v>
      </c>
      <c r="X3" s="4" t="e">
        <f ca="1">VLOOKUP($Y3,OFFSET([3]enemy_skill_sets!$B$1,0,0,COUNTA([3]enemy_skill_sets!$B:$B),MATCH(M$1,[3]enemy_skill_sets!$1:$1,0)-MATCH($Y$1,[3]enemy_skill_sets!$1:$1,0)+2),MATCH(M$1,[3]enemy_skill_sets!$1:$1,0)-MATCH($Y$1,[3]enemy_skill_sets!$1:$1,0)+2,FALSE)</f>
        <v>#N/A</v>
      </c>
      <c r="Y3" s="59">
        <v>13301451</v>
      </c>
      <c r="Z3" s="6">
        <v>1</v>
      </c>
      <c r="AA3" s="6">
        <v>100</v>
      </c>
      <c r="AB3" s="6">
        <v>0</v>
      </c>
      <c r="AC3" s="115">
        <v>1</v>
      </c>
      <c r="AD3" s="116">
        <v>288</v>
      </c>
      <c r="AE3" s="4" t="str">
        <f ca="1">VLOOKUP($AD3,OFFSET([5]characters!$A$1,0,0,COUNTA([5]characters!$A:$A),MATCH(AE$1,[5]characters!$1:$1,0)-MATCH("character_id",[5]characters!$1:$1,0)+1),MATCH(AE$1,[5]characters!$1:$1,0)-MATCH("character_id",[5]characters!$1:$1,0)+1,FALSE)</f>
        <v>ミカド</v>
      </c>
      <c r="AF3" s="4">
        <f ca="1">VLOOKUP($AD3,OFFSET([5]characters!$A$1,0,0,COUNTA([5]characters!$A:$A),MATCH(AF$1,[5]characters!$1:$1,0)-MATCH("character_id",[5]characters!$1:$1,0)+1),MATCH(AF$1,[5]characters!$1:$1,0)-MATCH("character_id",[5]characters!$1:$1,0)+1,FALSE)</f>
        <v>4</v>
      </c>
      <c r="AG3" s="4" t="str">
        <f ca="1">VLOOKUP($AD3,OFFSET([5]characters!$A$1,0,0,COUNTA([5]characters!$A:$A),MATCH(AG$1,[5]characters!$1:$1,0)-MATCH("character_id",[5]characters!$1:$1,0)+1),MATCH(AG$1,[5]characters!$1:$1,0)-MATCH("character_id",[5]characters!$1:$1,0)+1,FALSE)</f>
        <v>Drop2N</v>
      </c>
      <c r="AH3" s="117">
        <v>1</v>
      </c>
      <c r="AI3" s="118">
        <f ca="1">AF3</f>
        <v>4</v>
      </c>
      <c r="AJ3" s="8">
        <v>0</v>
      </c>
      <c r="AK3" s="117">
        <v>0</v>
      </c>
      <c r="AL3" s="117">
        <v>0</v>
      </c>
      <c r="AM3" s="117">
        <v>0</v>
      </c>
      <c r="AN3" s="117">
        <v>0</v>
      </c>
      <c r="AO3" s="117">
        <v>1</v>
      </c>
      <c r="AP3" s="67">
        <v>1</v>
      </c>
    </row>
    <row r="4" spans="1:42" ht="21" customHeight="1" x14ac:dyDescent="0.15">
      <c r="A4" s="16" t="str">
        <f>B4&amp;"_"&amp;C4&amp;"-"&amp;G4&amp;"/"&amp;L4&amp;"&lt;lv"&amp;R4&amp;"&gt;s"&amp;AC4</f>
        <v>13302_8-2/270&lt;lv77&gt;s1</v>
      </c>
      <c r="B4" s="21">
        <v>13302</v>
      </c>
      <c r="C4" s="113">
        <v>8</v>
      </c>
      <c r="D4" s="15" t="str">
        <f>B4&amp;"_"&amp;C4</f>
        <v>13302_8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8階 コスト28以下限定</v>
      </c>
      <c r="G4" s="113">
        <v>2</v>
      </c>
      <c r="H4" s="15" t="str">
        <f>B4&amp;"_"&amp;C4&amp;"-"&amp;G4</f>
        <v>13302_8-2</v>
      </c>
      <c r="I4" s="4" t="e">
        <f ca="1">VLOOKUP($H4,OFFSET([3]floors!$A$1,0,0,COUNTA([3]floors!$A:$A),MATCH(I$1,[3]floors!$1:$1,0)-MATCH($H$1,[3]floors!$1:$1,0)+1),MATCH(I$1,[3]floors!$1:$1,0)-MATCH($H$1,[3]floors!$1:$1,0)+1,FALSE)</f>
        <v>#N/A</v>
      </c>
      <c r="J4" s="4" t="e">
        <f ca="1">VLOOKUP($H4,OFFSET([3]floors!$A$1,0,0,COUNTA([3]floors!$A:$A),MATCH(J$1,[3]floors!$1:$1,0)-MATCH($H$1,[3]floors!$1:$1,0)+1),MATCH(J$1,[3]floors!$1:$1,0)-MATCH($H$1,[3]floors!$1:$1,0)+1,FALSE)</f>
        <v>#N/A</v>
      </c>
      <c r="K4" s="36" t="s">
        <v>88</v>
      </c>
      <c r="L4" s="114">
        <v>270</v>
      </c>
      <c r="M4" s="17" t="str">
        <f ca="1">VLOOKUP($L4,OFFSET([4]enemies!$A$1,0,0,COUNTA([4]enemies!$A:$A),MATCH(M$1,[4]enemies!$1:$1,0)-MATCH($L$1,[4]enemies!$1:$1,0)+1),MATCH(M$1,[4]enemies!$1:$1,0)-MATCH($L$1,[4]enemies!$1:$1,0)+1,FALSE)</f>
        <v>風爪のミリー</v>
      </c>
      <c r="N4" s="17" t="str">
        <f ca="1">VLOOKUP($L4,OFFSET([4]enemies!$A$1,0,0,COUNTA([4]enemies!$A:$A),MATCH(N$1,[4]enemies!$1:$1,0)-MATCH($L$1,[4]enemies!$1:$1,0)+1),MATCH(N$1,[4]enemies!$1:$1,0)-MATCH($L$1,[4]enemies!$1:$1,0)+1,FALSE)</f>
        <v>green</v>
      </c>
      <c r="O4" s="17" t="str">
        <f ca="1">VLOOKUP($L4,OFFSET([5]characters!$A$1,0,0,COUNTA([5]characters!$A:$A),MATCH(O$1,[5]characters!$1:$1,0)-MATCH($L$1,[5]characters!$1:$1,0)+1),MATCH(O$1,[5]characters!$1:$1,0)-MATCH($L$1,[5]characters!$1:$1,0)+1,FALSE)</f>
        <v>Drop2N</v>
      </c>
      <c r="P4" s="17" t="str">
        <f ca="1">VLOOKUP($L4,OFFSET([4]enemies!$A$1,0,0,COUNTA([4]enemies!$A:$A),MATCH(P$1,[4]enemies!$1:$1,0)-MATCH($L$1,[4]enemies!$1:$1,0)+1),MATCH(P$1,[4]enemies!$1:$1,0)-MATCH($L$1,[4]enemies!$1:$1,0)+1,FALSE)</f>
        <v>human</v>
      </c>
      <c r="Q4" s="17">
        <f ca="1">VLOOKUP($L4,OFFSET([4]enemies!$A$1,0,0,COUNTA([4]enemies!$A:$A),MATCH(Q$1,[4]enemies!$1:$1,0)-MATCH($L$1,[4]enemies!$1:$1,0)+1),MATCH(Q$1,[4]enemies!$1:$1,0)-MATCH($L$1,[4]enemies!$1:$1,0)+1,FALSE)</f>
        <v>30</v>
      </c>
      <c r="R4" s="5">
        <v>77</v>
      </c>
      <c r="S4" s="23">
        <v>1.2</v>
      </c>
      <c r="T4" s="99">
        <f ca="1">ROUND(VLOOKUP(R4,[4]enemy_base_stats!$A:$F,2,FALSE)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INDIRECT("[EnemyMasterData.xlsm]enemies!AD"&amp;(L4+1))*[5]ステータス!$B$2,0)*S4</f>
        <v>117415.2</v>
      </c>
      <c r="U4" s="23">
        <v>0.4</v>
      </c>
      <c r="V4" s="99">
        <f ca="1">ROUND(VLOOKUP(R4,[4]enemy_base_stats!$A:$F,3,FALSE)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INDIRECT("[EnemyMasterData.xlsm]enemies!AE"&amp;(L4+1))*[5]ステータス!$C$2,0)*U4</f>
        <v>4108.4000000000005</v>
      </c>
      <c r="W4" s="5">
        <v>0</v>
      </c>
      <c r="X4" s="4" t="e">
        <f ca="1">VLOOKUP($Y4,OFFSET([3]enemy_skill_sets!$B$1,0,0,COUNTA([3]enemy_skill_sets!$B:$B),MATCH(M$1,[3]enemy_skill_sets!$1:$1,0)-MATCH($Y$1,[3]enemy_skill_sets!$1:$1,0)+2),MATCH(M$1,[3]enemy_skill_sets!$1:$1,0)-MATCH($Y$1,[3]enemy_skill_sets!$1:$1,0)+2,FALSE)</f>
        <v>#N/A</v>
      </c>
      <c r="Y4" s="59">
        <v>13301452</v>
      </c>
      <c r="Z4" s="6">
        <v>1</v>
      </c>
      <c r="AA4" s="6">
        <v>100</v>
      </c>
      <c r="AB4" s="6">
        <v>0</v>
      </c>
      <c r="AC4" s="115">
        <v>1</v>
      </c>
      <c r="AD4" s="116">
        <v>270</v>
      </c>
      <c r="AE4" s="4" t="str">
        <f ca="1">VLOOKUP($AD4,OFFSET([5]characters!$A$1,0,0,COUNTA([5]characters!$A:$A),MATCH(AE$1,[5]characters!$1:$1,0)-MATCH("character_id",[5]characters!$1:$1,0)+1),MATCH(AE$1,[5]characters!$1:$1,0)-MATCH("character_id",[5]characters!$1:$1,0)+1,FALSE)</f>
        <v>風爪のミリー</v>
      </c>
      <c r="AF4" s="4">
        <f ca="1">VLOOKUP($AD4,OFFSET([5]characters!$A$1,0,0,COUNTA([5]characters!$A:$A),MATCH(AF$1,[5]characters!$1:$1,0)-MATCH("character_id",[5]characters!$1:$1,0)+1),MATCH(AF$1,[5]characters!$1:$1,0)-MATCH("character_id",[5]characters!$1:$1,0)+1,FALSE)</f>
        <v>4</v>
      </c>
      <c r="AG4" s="4" t="str">
        <f ca="1">VLOOKUP($AD4,OFFSET([5]characters!$A$1,0,0,COUNTA([5]characters!$A:$A),MATCH(AG$1,[5]characters!$1:$1,0)-MATCH("character_id",[5]characters!$1:$1,0)+1),MATCH(AG$1,[5]characters!$1:$1,0)-MATCH("character_id",[5]characters!$1:$1,0)+1,FALSE)</f>
        <v>Drop2N</v>
      </c>
      <c r="AH4" s="117">
        <v>1</v>
      </c>
      <c r="AI4" s="118">
        <f ca="1">AF4</f>
        <v>4</v>
      </c>
      <c r="AJ4" s="8">
        <v>0</v>
      </c>
      <c r="AK4" s="117">
        <v>0</v>
      </c>
      <c r="AL4" s="117">
        <v>0</v>
      </c>
      <c r="AM4" s="117">
        <v>0</v>
      </c>
      <c r="AN4" s="117">
        <v>0</v>
      </c>
      <c r="AO4" s="117">
        <v>1</v>
      </c>
      <c r="AP4" s="67">
        <v>1</v>
      </c>
    </row>
    <row r="5" spans="1:42" ht="21" customHeight="1" x14ac:dyDescent="0.15">
      <c r="A5" s="16" t="str">
        <f>B5&amp;"_"&amp;C5&amp;"-"&amp;G5&amp;"/"&amp;L5&amp;"&lt;lv"&amp;R5&amp;"&gt;s"&amp;AC5</f>
        <v>13302_8-2/305&lt;lv80&gt;s4</v>
      </c>
      <c r="B5" s="21">
        <v>13302</v>
      </c>
      <c r="C5" s="113">
        <v>8</v>
      </c>
      <c r="D5" s="15" t="str">
        <f>B5&amp;"_"&amp;C5</f>
        <v>13302_8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8階 コスト28以下限定</v>
      </c>
      <c r="G5" s="113">
        <v>2</v>
      </c>
      <c r="H5" s="15" t="str">
        <f>B5&amp;"_"&amp;C5&amp;"-"&amp;G5</f>
        <v>13302_8-2</v>
      </c>
      <c r="I5" s="4" t="e">
        <f ca="1">VLOOKUP($H5,OFFSET([3]floors!$A$1,0,0,COUNTA([3]floors!$A:$A),MATCH(I$1,[3]floors!$1:$1,0)-MATCH($H$1,[3]floors!$1:$1,0)+1),MATCH(I$1,[3]floors!$1:$1,0)-MATCH($H$1,[3]floors!$1:$1,0)+1,FALSE)</f>
        <v>#N/A</v>
      </c>
      <c r="J5" s="4" t="e">
        <f ca="1">VLOOKUP($H5,OFFSET([3]floors!$A$1,0,0,COUNTA([3]floors!$A:$A),MATCH(J$1,[3]floors!$1:$1,0)-MATCH($H$1,[3]floors!$1:$1,0)+1),MATCH(J$1,[3]floors!$1:$1,0)-MATCH($H$1,[3]floors!$1:$1,0)+1,FALSE)</f>
        <v>#N/A</v>
      </c>
      <c r="K5" s="36" t="s">
        <v>88</v>
      </c>
      <c r="L5" s="114">
        <v>305</v>
      </c>
      <c r="M5" s="17" t="str">
        <f ca="1">VLOOKUP($L5,OFFSET([4]enemies!$A$1,0,0,COUNTA([4]enemies!$A:$A),MATCH(M$1,[4]enemies!$1:$1,0)-MATCH($L$1,[4]enemies!$1:$1,0)+1),MATCH(M$1,[4]enemies!$1:$1,0)-MATCH($L$1,[4]enemies!$1:$1,0)+1,FALSE)</f>
        <v>螺旋の雷電 チエミ</v>
      </c>
      <c r="N5" s="17" t="str">
        <f ca="1">VLOOKUP($L5,OFFSET([4]enemies!$A$1,0,0,COUNTA([4]enemies!$A:$A),MATCH(N$1,[4]enemies!$1:$1,0)-MATCH($L$1,[4]enemies!$1:$1,0)+1),MATCH(N$1,[4]enemies!$1:$1,0)-MATCH($L$1,[4]enemies!$1:$1,0)+1,FALSE)</f>
        <v>yellow</v>
      </c>
      <c r="O5" s="17" t="str">
        <f ca="1">VLOOKUP($L5,OFFSET([5]characters!$A$1,0,0,COUNTA([5]characters!$A:$A),MATCH(O$1,[5]characters!$1:$1,0)-MATCH($L$1,[5]characters!$1:$1,0)+1),MATCH(O$1,[5]characters!$1:$1,0)-MATCH($L$1,[5]characters!$1:$1,0)+1,FALSE)</f>
        <v>Drop2W</v>
      </c>
      <c r="P5" s="17" t="str">
        <f ca="1">VLOOKUP($L5,OFFSET([4]enemies!$A$1,0,0,COUNTA([4]enemies!$A:$A),MATCH(P$1,[4]enemies!$1:$1,0)-MATCH($L$1,[4]enemies!$1:$1,0)+1),MATCH(P$1,[4]enemies!$1:$1,0)-MATCH($L$1,[4]enemies!$1:$1,0)+1,FALSE)</f>
        <v>human</v>
      </c>
      <c r="Q5" s="17">
        <f ca="1">VLOOKUP($L5,OFFSET([4]enemies!$A$1,0,0,COUNTA([4]enemies!$A:$A),MATCH(Q$1,[4]enemies!$1:$1,0)-MATCH($L$1,[4]enemies!$1:$1,0)+1),MATCH(Q$1,[4]enemies!$1:$1,0)-MATCH($L$1,[4]enemies!$1:$1,0)+1,FALSE)</f>
        <v>30</v>
      </c>
      <c r="R5" s="5">
        <v>80</v>
      </c>
      <c r="S5" s="23">
        <v>1.7</v>
      </c>
      <c r="T5" s="99">
        <f ca="1">ROUND(VLOOKUP(R5,[4]enemy_base_stats!$A:$F,2,FALSE)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INDIRECT("[EnemyMasterData.xlsm]enemies!AD"&amp;(L5+1))*[5]ステータス!$B$2,0)*S5</f>
        <v>165921.69999999998</v>
      </c>
      <c r="U5" s="23">
        <v>0.5</v>
      </c>
      <c r="V5" s="99">
        <f ca="1">ROUND(VLOOKUP(R5,[4]enemy_base_stats!$A:$F,3,FALSE)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INDIRECT("[EnemyMasterData.xlsm]enemies!AE"&amp;(L5+1))*[5]ステータス!$C$2,0)*U5</f>
        <v>5495</v>
      </c>
      <c r="W5" s="5">
        <v>0</v>
      </c>
      <c r="X5" s="4" t="e">
        <f ca="1">VLOOKUP($Y5,OFFSET([3]enemy_skill_sets!$B$1,0,0,COUNTA([3]enemy_skill_sets!$B:$B),MATCH(M$1,[3]enemy_skill_sets!$1:$1,0)-MATCH($Y$1,[3]enemy_skill_sets!$1:$1,0)+2),MATCH(M$1,[3]enemy_skill_sets!$1:$1,0)-MATCH($Y$1,[3]enemy_skill_sets!$1:$1,0)+2,FALSE)</f>
        <v>#N/A</v>
      </c>
      <c r="Y5" s="59">
        <v>13301453</v>
      </c>
      <c r="Z5" s="6">
        <v>1</v>
      </c>
      <c r="AA5" s="6">
        <v>100</v>
      </c>
      <c r="AB5" s="6">
        <v>0</v>
      </c>
      <c r="AC5" s="115">
        <v>4</v>
      </c>
      <c r="AD5" s="116">
        <v>304</v>
      </c>
      <c r="AE5" s="4" t="str">
        <f ca="1">VLOOKUP($AD5,OFFSET([5]characters!$A$1,0,0,COUNTA([5]characters!$A:$A),MATCH(AE$1,[5]characters!$1:$1,0)-MATCH("character_id",[5]characters!$1:$1,0)+1),MATCH(AE$1,[5]characters!$1:$1,0)-MATCH("character_id",[5]characters!$1:$1,0)+1,FALSE)</f>
        <v>電殺のチエミ</v>
      </c>
      <c r="AF5" s="4">
        <f ca="1">VLOOKUP($AD5,OFFSET([5]characters!$A$1,0,0,COUNTA([5]characters!$A:$A),MATCH(AF$1,[5]characters!$1:$1,0)-MATCH("character_id",[5]characters!$1:$1,0)+1),MATCH(AF$1,[5]characters!$1:$1,0)-MATCH("character_id",[5]characters!$1:$1,0)+1,FALSE)</f>
        <v>3</v>
      </c>
      <c r="AG5" s="4" t="str">
        <f ca="1">VLOOKUP($AD5,OFFSET([5]characters!$A$1,0,0,COUNTA([5]characters!$A:$A),MATCH(AG$1,[5]characters!$1:$1,0)-MATCH("character_id",[5]characters!$1:$1,0)+1),MATCH(AG$1,[5]characters!$1:$1,0)-MATCH("character_id",[5]characters!$1:$1,0)+1,FALSE)</f>
        <v>Drop2W</v>
      </c>
      <c r="AH5" s="117">
        <v>1</v>
      </c>
      <c r="AI5" s="118">
        <f ca="1">AF5</f>
        <v>3</v>
      </c>
      <c r="AJ5" s="8">
        <v>0</v>
      </c>
      <c r="AK5" s="117">
        <v>0</v>
      </c>
      <c r="AL5" s="117">
        <v>0</v>
      </c>
      <c r="AM5" s="117">
        <v>0</v>
      </c>
      <c r="AN5" s="117">
        <v>0</v>
      </c>
      <c r="AO5" s="117">
        <v>1</v>
      </c>
      <c r="AP5" s="67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2" sqref="S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53</v>
      </c>
      <c r="L1" s="34" t="s">
        <v>54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8" t="s">
        <v>247</v>
      </c>
      <c r="V1" s="24" t="s">
        <v>50</v>
      </c>
      <c r="W1" s="98" t="s">
        <v>248</v>
      </c>
      <c r="X1" s="24" t="s">
        <v>52</v>
      </c>
      <c r="Y1" s="26" t="s">
        <v>128</v>
      </c>
      <c r="Z1" s="27" t="s">
        <v>127</v>
      </c>
      <c r="AA1" s="26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79"/>
  <sheetViews>
    <sheetView showGridLines="0" zoomScale="150" zoomScaleNormal="150" zoomScalePageLayoutView="150" workbookViewId="0">
      <pane xSplit="5" ySplit="1" topLeftCell="F2" activePane="bottomRight" state="frozen"/>
      <selection pane="topRight"/>
      <selection pane="bottomLeft"/>
      <selection pane="bottomRight" activeCell="F2" sqref="F2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5.33203125" style="47" customWidth="1" outlineLevel="1"/>
    <col min="5" max="5" width="3.83203125" style="47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59</v>
      </c>
      <c r="B1" s="38" t="s">
        <v>60</v>
      </c>
      <c r="C1" s="38" t="s">
        <v>61</v>
      </c>
      <c r="D1" s="39" t="s">
        <v>62</v>
      </c>
      <c r="E1" s="39" t="s">
        <v>63</v>
      </c>
      <c r="F1" s="40" t="s">
        <v>64</v>
      </c>
      <c r="G1" s="41" t="s">
        <v>65</v>
      </c>
      <c r="H1" s="41" t="s">
        <v>67</v>
      </c>
      <c r="I1" s="41" t="s">
        <v>68</v>
      </c>
      <c r="J1" s="41" t="s">
        <v>69</v>
      </c>
      <c r="K1" s="42" t="s">
        <v>70</v>
      </c>
      <c r="L1" s="42" t="s">
        <v>71</v>
      </c>
      <c r="M1" s="41" t="s">
        <v>72</v>
      </c>
      <c r="N1" s="41" t="s">
        <v>73</v>
      </c>
      <c r="O1" s="41" t="s">
        <v>74</v>
      </c>
      <c r="P1" s="39" t="s">
        <v>75</v>
      </c>
      <c r="Q1" s="39" t="s">
        <v>76</v>
      </c>
      <c r="R1" s="39" t="s">
        <v>77</v>
      </c>
    </row>
    <row r="2" spans="1:18" ht="21" customHeight="1" x14ac:dyDescent="0.15">
      <c r="A2" s="37" t="str">
        <f t="shared" ref="A2" si="0">B2&amp;"_"&amp;C2</f>
        <v>13301450_13301450</v>
      </c>
      <c r="B2" s="104">
        <v>13301450</v>
      </c>
      <c r="C2" s="104">
        <v>13301450</v>
      </c>
      <c r="D2" s="44" t="e">
        <f ca="1">VLOOKUP($C2,OFFSET([3]enemy_skills!$A$1,0,0,COUNTA([3]enemy_skills!$A:$A),MATCH(D$1,[3]enemy_skills!$1:$1,0)-MATCH("enemy_skill_id",[3]enemy_skills!$1:$1,0)+1),MATCH(D$1,[3]enemy_skills!$1:$1,0)-MATCH("enemy_skill_id",[3]enemy_skills!$1:$1,0)+1,FALSE)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2" s="44" t="e">
        <f ca="1">VLOOKUP($C2,OFFSET([3]enemy_skills!$A$1,0,0,COUNTA([3]enemy_skills!$A:$A),MATCH(E$1,[3]enemy_skills!$1:$1,0)-MATCH("enemy_skill_id",[3]enemy_skills!$1:$1,0)+1),MATCH(E$1,[3]enemy_skills!$1:$1,0)-MATCH("enemy_skill_id",[3]enemy_skills!$1:$1,0)+1,FALSE)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2" s="104">
        <v>13301450</v>
      </c>
      <c r="G2" s="46" t="e">
        <f ca="1">VLOOKUP($F2,OFFSET([3]enemy_skill_triggers!$A$1,0,0,COUNTA([3]enemy_skill_triggers!$A:$A),MATCH(G$1,[3]enemy_skill_triggers!$1:$1,0)-MATCH($F$1,[3]enemy_skill_triggers!$1:$1,0)+1),MATCH(G$1,[3]enemy_skill_triggers!$1:$1,0)-MATCH($F$1,[3]enemy_skill_triggers!$1:$1,0)+1,FALSE)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2" s="46" t="e">
        <f ca="1">VLOOKUP($F2,OFFSET([3]enemy_skill_triggers!$A$1,0,0,COUNTA([3]enemy_skill_triggers!$A:$A),MATCH(H$1,[3]enemy_skill_triggers!$1:$1,0)-MATCH($F$1,[3]enemy_skill_triggers!$1:$1,0)+1),MATCH(H$1,[3]enemy_skill_triggers!$1:$1,0)-MATCH($F$1,[3]enemy_skill_triggers!$1:$1,0)+1,FALSE)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2" s="46" t="e">
        <f ca="1">VLOOKUP($F2,OFFSET([3]enemy_skill_triggers!$A$1,0,0,COUNTA([3]enemy_skill_triggers!$A:$A),MATCH(I$1,[3]enemy_skill_triggers!$1:$1,0)-MATCH($F$1,[3]enemy_skill_triggers!$1:$1,0)+1),MATCH(I$1,[3]enemy_skill_triggers!$1:$1,0)-MATCH($F$1,[3]enemy_skill_triggers!$1:$1,0)+1,FALSE)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2" s="46" t="e">
        <f ca="1">VLOOKUP($F2,OFFSET([3]enemy_skill_triggers!$A$1,0,0,COUNTA([3]enemy_skill_triggers!$A:$A),MATCH(J$1,[3]enemy_skill_triggers!$1:$1,0)-MATCH($F$1,[3]enemy_skill_triggers!$1:$1,0)+1),MATCH(J$1,[3]enemy_skill_triggers!$1:$1,0)-MATCH($F$1,[3]enemy_skill_triggers!$1:$1,0)+1,FALSE)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2" s="46" t="e">
        <f ca="1">VLOOKUP($F2,OFFSET([3]enemy_skill_triggers!$A$1,0,0,COUNTA([3]enemy_skill_triggers!$A:$A),MATCH(K$1,[3]enemy_skill_triggers!$1:$1,0)-MATCH($F$1,[3]enemy_skill_triggers!$1:$1,0)+1),MATCH(K$1,[3]enemy_skill_triggers!$1:$1,0)-MATCH($F$1,[3]enemy_skill_triggers!$1:$1,0)+1,FALSE)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2" s="46" t="e">
        <f ca="1">VLOOKUP($F2,OFFSET([3]enemy_skill_triggers!$A$1,0,0,COUNTA([3]enemy_skill_triggers!$A:$A),MATCH(L$1,[3]enemy_skill_triggers!$1:$1,0)-MATCH($F$1,[3]enemy_skill_triggers!$1:$1,0)+1),MATCH(L$1,[3]enemy_skill_triggers!$1:$1,0)-MATCH($F$1,[3]enemy_skill_triggers!$1:$1,0)+1,FALSE)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2" s="46" t="e">
        <f ca="1">VLOOKUP($F2,OFFSET([3]enemy_skill_triggers!$A$1,0,0,COUNTA([3]enemy_skill_triggers!$A:$A),MATCH(M$1,[3]enemy_skill_triggers!$1:$1,0)-MATCH($F$1,[3]enemy_skill_triggers!$1:$1,0)+1),MATCH(M$1,[3]enemy_skill_triggers!$1:$1,0)-MATCH($F$1,[3]enemy_skill_triggers!$1:$1,0)+1,FALSE)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2" s="46" t="e">
        <f ca="1">VLOOKUP($F2,OFFSET([3]enemy_skill_triggers!$A$1,0,0,COUNTA([3]enemy_skill_triggers!$A:$A),MATCH(N$1,[3]enemy_skill_triggers!$1:$1,0)-MATCH($F$1,[3]enemy_skill_triggers!$1:$1,0)+1),MATCH(N$1,[3]enemy_skill_triggers!$1:$1,0)-MATCH($F$1,[3]enemy_skill_triggers!$1:$1,0)+1,FALSE)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2" s="46" t="e">
        <f ca="1">VLOOKUP($F2,OFFSET([3]enemy_skill_triggers!$A$1,0,0,COUNTA([3]enemy_skill_triggers!$A:$A),MATCH(O$1,[3]enemy_skill_triggers!$1:$1,0)-MATCH($F$1,[3]enemy_skill_triggers!$1:$1,0)+1),MATCH(O$1,[3]enemy_skill_triggers!$1:$1,0)-MATCH($F$1,[3]enemy_skill_triggers!$1:$1,0)+1,FALSE)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2" s="45"/>
      <c r="Q2" s="45"/>
      <c r="R2" s="45"/>
    </row>
    <row r="3" spans="1:18" ht="21" customHeight="1" x14ac:dyDescent="0.15">
      <c r="A3" s="37" t="str">
        <f t="shared" ref="A3:A4" si="1">B3&amp;"_"&amp;C3</f>
        <v>13301450_13301451</v>
      </c>
      <c r="B3" s="104">
        <v>13301450</v>
      </c>
      <c r="C3" s="104">
        <v>13301451</v>
      </c>
      <c r="D3" s="44" t="e">
        <f ca="1">VLOOKUP($C3,OFFSET([3]enemy_skills!$A$1,0,0,COUNTA([3]enemy_skills!$A:$A),MATCH(D$1,[3]enemy_skills!$1:$1,0)-MATCH("enemy_skill_id",[3]enemy_skills!$1:$1,0)+1),MATCH(D$1,[3]enemy_skills!$1:$1,0)-MATCH("enemy_skill_id",[3]enemy_skills!$1:$1,0)+1,FALSE)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3" s="44" t="e">
        <f ca="1">VLOOKUP($C3,OFFSET([3]enemy_skills!$A$1,0,0,COUNTA([3]enemy_skills!$A:$A),MATCH(E$1,[3]enemy_skills!$1:$1,0)-MATCH("enemy_skill_id",[3]enemy_skills!$1:$1,0)+1),MATCH(E$1,[3]enemy_skills!$1:$1,0)-MATCH("enemy_skill_id",[3]enemy_skills!$1:$1,0)+1,FALSE)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3" s="104">
        <v>13301451</v>
      </c>
      <c r="G3" s="46" t="e">
        <f ca="1">VLOOKUP($F3,OFFSET([3]enemy_skill_triggers!$A$1,0,0,COUNTA([3]enemy_skill_triggers!$A:$A),MATCH(G$1,[3]enemy_skill_triggers!$1:$1,0)-MATCH($F$1,[3]enemy_skill_triggers!$1:$1,0)+1),MATCH(G$1,[3]enemy_skill_triggers!$1:$1,0)-MATCH($F$1,[3]enemy_skill_triggers!$1:$1,0)+1,FALSE)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3" s="46" t="e">
        <f ca="1">VLOOKUP($F3,OFFSET([3]enemy_skill_triggers!$A$1,0,0,COUNTA([3]enemy_skill_triggers!$A:$A),MATCH(H$1,[3]enemy_skill_triggers!$1:$1,0)-MATCH($F$1,[3]enemy_skill_triggers!$1:$1,0)+1),MATCH(H$1,[3]enemy_skill_triggers!$1:$1,0)-MATCH($F$1,[3]enemy_skill_triggers!$1:$1,0)+1,FALSE)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3" s="46" t="e">
        <f ca="1">VLOOKUP($F3,OFFSET([3]enemy_skill_triggers!$A$1,0,0,COUNTA([3]enemy_skill_triggers!$A:$A),MATCH(I$1,[3]enemy_skill_triggers!$1:$1,0)-MATCH($F$1,[3]enemy_skill_triggers!$1:$1,0)+1),MATCH(I$1,[3]enemy_skill_triggers!$1:$1,0)-MATCH($F$1,[3]enemy_skill_triggers!$1:$1,0)+1,FALSE)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3" s="46" t="e">
        <f ca="1">VLOOKUP($F3,OFFSET([3]enemy_skill_triggers!$A$1,0,0,COUNTA([3]enemy_skill_triggers!$A:$A),MATCH(J$1,[3]enemy_skill_triggers!$1:$1,0)-MATCH($F$1,[3]enemy_skill_triggers!$1:$1,0)+1),MATCH(J$1,[3]enemy_skill_triggers!$1:$1,0)-MATCH($F$1,[3]enemy_skill_triggers!$1:$1,0)+1,FALSE)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3" s="46" t="e">
        <f ca="1">VLOOKUP($F3,OFFSET([3]enemy_skill_triggers!$A$1,0,0,COUNTA([3]enemy_skill_triggers!$A:$A),MATCH(K$1,[3]enemy_skill_triggers!$1:$1,0)-MATCH($F$1,[3]enemy_skill_triggers!$1:$1,0)+1),MATCH(K$1,[3]enemy_skill_triggers!$1:$1,0)-MATCH($F$1,[3]enemy_skill_triggers!$1:$1,0)+1,FALSE)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3" s="46" t="e">
        <f ca="1">VLOOKUP($F3,OFFSET([3]enemy_skill_triggers!$A$1,0,0,COUNTA([3]enemy_skill_triggers!$A:$A),MATCH(L$1,[3]enemy_skill_triggers!$1:$1,0)-MATCH($F$1,[3]enemy_skill_triggers!$1:$1,0)+1),MATCH(L$1,[3]enemy_skill_triggers!$1:$1,0)-MATCH($F$1,[3]enemy_skill_triggers!$1:$1,0)+1,FALSE)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3" s="46" t="e">
        <f ca="1">VLOOKUP($F3,OFFSET([3]enemy_skill_triggers!$A$1,0,0,COUNTA([3]enemy_skill_triggers!$A:$A),MATCH(M$1,[3]enemy_skill_triggers!$1:$1,0)-MATCH($F$1,[3]enemy_skill_triggers!$1:$1,0)+1),MATCH(M$1,[3]enemy_skill_triggers!$1:$1,0)-MATCH($F$1,[3]enemy_skill_triggers!$1:$1,0)+1,FALSE)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3" s="46" t="e">
        <f ca="1">VLOOKUP($F3,OFFSET([3]enemy_skill_triggers!$A$1,0,0,COUNTA([3]enemy_skill_triggers!$A:$A),MATCH(N$1,[3]enemy_skill_triggers!$1:$1,0)-MATCH($F$1,[3]enemy_skill_triggers!$1:$1,0)+1),MATCH(N$1,[3]enemy_skill_triggers!$1:$1,0)-MATCH($F$1,[3]enemy_skill_triggers!$1:$1,0)+1,FALSE)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3" s="46" t="e">
        <f ca="1">VLOOKUP($F3,OFFSET([3]enemy_skill_triggers!$A$1,0,0,COUNTA([3]enemy_skill_triggers!$A:$A),MATCH(O$1,[3]enemy_skill_triggers!$1:$1,0)-MATCH($F$1,[3]enemy_skill_triggers!$1:$1,0)+1),MATCH(O$1,[3]enemy_skill_triggers!$1:$1,0)-MATCH($F$1,[3]enemy_skill_triggers!$1:$1,0)+1,FALSE)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3" s="45"/>
      <c r="Q3" s="45"/>
      <c r="R3" s="45"/>
    </row>
    <row r="4" spans="1:18" ht="21" customHeight="1" x14ac:dyDescent="0.15">
      <c r="A4" s="37" t="str">
        <f t="shared" si="1"/>
        <v>13301450_13301452</v>
      </c>
      <c r="B4" s="104">
        <v>13301450</v>
      </c>
      <c r="C4" s="104">
        <v>13301452</v>
      </c>
      <c r="D4" s="44" t="e">
        <f ca="1">VLOOKUP($C4,OFFSET([3]enemy_skills!$A$1,0,0,COUNTA([3]enemy_skills!$A:$A),MATCH(D$1,[3]enemy_skills!$1:$1,0)-MATCH("enemy_skill_id",[3]enemy_skills!$1:$1,0)+1),MATCH(D$1,[3]enemy_skills!$1:$1,0)-MATCH("enemy_skill_id",[3]enemy_skills!$1:$1,0)+1,FALSE)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4" s="44" t="e">
        <f ca="1">VLOOKUP($C4,OFFSET([3]enemy_skills!$A$1,0,0,COUNTA([3]enemy_skills!$A:$A),MATCH(E$1,[3]enemy_skills!$1:$1,0)-MATCH("enemy_skill_id",[3]enemy_skills!$1:$1,0)+1),MATCH(E$1,[3]enemy_skills!$1:$1,0)-MATCH("enemy_skill_id",[3]enemy_skills!$1:$1,0)+1,FALSE)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4" s="104">
        <v>13301452</v>
      </c>
      <c r="G4" s="46" t="e">
        <f ca="1">VLOOKUP($F4,OFFSET([3]enemy_skill_triggers!$A$1,0,0,COUNTA([3]enemy_skill_triggers!$A:$A),MATCH(G$1,[3]enemy_skill_triggers!$1:$1,0)-MATCH($F$1,[3]enemy_skill_triggers!$1:$1,0)+1),MATCH(G$1,[3]enemy_skill_triggers!$1:$1,0)-MATCH($F$1,[3]enemy_skill_triggers!$1:$1,0)+1,FALSE)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4" s="46" t="e">
        <f ca="1">VLOOKUP($F4,OFFSET([3]enemy_skill_triggers!$A$1,0,0,COUNTA([3]enemy_skill_triggers!$A:$A),MATCH(H$1,[3]enemy_skill_triggers!$1:$1,0)-MATCH($F$1,[3]enemy_skill_triggers!$1:$1,0)+1),MATCH(H$1,[3]enemy_skill_triggers!$1:$1,0)-MATCH($F$1,[3]enemy_skill_triggers!$1:$1,0)+1,FALSE)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4" s="46" t="e">
        <f ca="1">VLOOKUP($F4,OFFSET([3]enemy_skill_triggers!$A$1,0,0,COUNTA([3]enemy_skill_triggers!$A:$A),MATCH(I$1,[3]enemy_skill_triggers!$1:$1,0)-MATCH($F$1,[3]enemy_skill_triggers!$1:$1,0)+1),MATCH(I$1,[3]enemy_skill_triggers!$1:$1,0)-MATCH($F$1,[3]enemy_skill_triggers!$1:$1,0)+1,FALSE)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4" s="46" t="e">
        <f ca="1">VLOOKUP($F4,OFFSET([3]enemy_skill_triggers!$A$1,0,0,COUNTA([3]enemy_skill_triggers!$A:$A),MATCH(J$1,[3]enemy_skill_triggers!$1:$1,0)-MATCH($F$1,[3]enemy_skill_triggers!$1:$1,0)+1),MATCH(J$1,[3]enemy_skill_triggers!$1:$1,0)-MATCH($F$1,[3]enemy_skill_triggers!$1:$1,0)+1,FALSE)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4" s="46" t="e">
        <f ca="1">VLOOKUP($F4,OFFSET([3]enemy_skill_triggers!$A$1,0,0,COUNTA([3]enemy_skill_triggers!$A:$A),MATCH(K$1,[3]enemy_skill_triggers!$1:$1,0)-MATCH($F$1,[3]enemy_skill_triggers!$1:$1,0)+1),MATCH(K$1,[3]enemy_skill_triggers!$1:$1,0)-MATCH($F$1,[3]enemy_skill_triggers!$1:$1,0)+1,FALSE)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4" s="46" t="e">
        <f ca="1">VLOOKUP($F4,OFFSET([3]enemy_skill_triggers!$A$1,0,0,COUNTA([3]enemy_skill_triggers!$A:$A),MATCH(L$1,[3]enemy_skill_triggers!$1:$1,0)-MATCH($F$1,[3]enemy_skill_triggers!$1:$1,0)+1),MATCH(L$1,[3]enemy_skill_triggers!$1:$1,0)-MATCH($F$1,[3]enemy_skill_triggers!$1:$1,0)+1,FALSE)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4" s="46" t="e">
        <f ca="1">VLOOKUP($F4,OFFSET([3]enemy_skill_triggers!$A$1,0,0,COUNTA([3]enemy_skill_triggers!$A:$A),MATCH(M$1,[3]enemy_skill_triggers!$1:$1,0)-MATCH($F$1,[3]enemy_skill_triggers!$1:$1,0)+1),MATCH(M$1,[3]enemy_skill_triggers!$1:$1,0)-MATCH($F$1,[3]enemy_skill_triggers!$1:$1,0)+1,FALSE)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4" s="46" t="e">
        <f ca="1">VLOOKUP($F4,OFFSET([3]enemy_skill_triggers!$A$1,0,0,COUNTA([3]enemy_skill_triggers!$A:$A),MATCH(N$1,[3]enemy_skill_triggers!$1:$1,0)-MATCH($F$1,[3]enemy_skill_triggers!$1:$1,0)+1),MATCH(N$1,[3]enemy_skill_triggers!$1:$1,0)-MATCH($F$1,[3]enemy_skill_triggers!$1:$1,0)+1,FALSE)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4" s="46" t="e">
        <f ca="1">VLOOKUP($F4,OFFSET([3]enemy_skill_triggers!$A$1,0,0,COUNTA([3]enemy_skill_triggers!$A:$A),MATCH(O$1,[3]enemy_skill_triggers!$1:$1,0)-MATCH($F$1,[3]enemy_skill_triggers!$1:$1,0)+1),MATCH(O$1,[3]enemy_skill_triggers!$1:$1,0)-MATCH($F$1,[3]enemy_skill_triggers!$1:$1,0)+1,FALSE)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4" s="45"/>
      <c r="Q4" s="45"/>
      <c r="R4" s="45"/>
    </row>
    <row r="5" spans="1:18" ht="21" customHeight="1" x14ac:dyDescent="0.15">
      <c r="A5" s="37" t="str">
        <f t="shared" ref="A5" si="2">B5&amp;"_"&amp;C5</f>
        <v>13301450_13301453</v>
      </c>
      <c r="B5" s="104">
        <v>13301450</v>
      </c>
      <c r="C5" s="104">
        <v>13301453</v>
      </c>
      <c r="D5" s="44" t="e">
        <f ca="1">VLOOKUP($C5,OFFSET([3]enemy_skills!$A$1,0,0,COUNTA([3]enemy_skills!$A:$A),MATCH(D$1,[3]enemy_skills!$1:$1,0)-MATCH("enemy_skill_id",[3]enemy_skills!$1:$1,0)+1),MATCH(D$1,[3]enemy_skills!$1:$1,0)-MATCH("enemy_skill_id",[3]enemy_skills!$1:$1,0)+1,FALSE)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5" s="44" t="e">
        <f ca="1">VLOOKUP($C5,OFFSET([3]enemy_skills!$A$1,0,0,COUNTA([3]enemy_skills!$A:$A),MATCH(E$1,[3]enemy_skills!$1:$1,0)-MATCH("enemy_skill_id",[3]enemy_skills!$1:$1,0)+1),MATCH(E$1,[3]enemy_skills!$1:$1,0)-MATCH("enemy_skill_id",[3]enemy_skills!$1:$1,0)+1,FALSE)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5" s="104">
        <v>13301453</v>
      </c>
      <c r="G5" s="46" t="e">
        <f ca="1">VLOOKUP($F5,OFFSET([3]enemy_skill_triggers!$A$1,0,0,COUNTA([3]enemy_skill_triggers!$A:$A),MATCH(G$1,[3]enemy_skill_triggers!$1:$1,0)-MATCH($F$1,[3]enemy_skill_triggers!$1:$1,0)+1),MATCH(G$1,[3]enemy_skill_triggers!$1:$1,0)-MATCH($F$1,[3]enemy_skill_triggers!$1:$1,0)+1,FALSE)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5" s="46" t="e">
        <f ca="1">VLOOKUP($F5,OFFSET([3]enemy_skill_triggers!$A$1,0,0,COUNTA([3]enemy_skill_triggers!$A:$A),MATCH(H$1,[3]enemy_skill_triggers!$1:$1,0)-MATCH($F$1,[3]enemy_skill_triggers!$1:$1,0)+1),MATCH(H$1,[3]enemy_skill_triggers!$1:$1,0)-MATCH($F$1,[3]enemy_skill_triggers!$1:$1,0)+1,FALSE)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5" s="46" t="e">
        <f ca="1">VLOOKUP($F5,OFFSET([3]enemy_skill_triggers!$A$1,0,0,COUNTA([3]enemy_skill_triggers!$A:$A),MATCH(I$1,[3]enemy_skill_triggers!$1:$1,0)-MATCH($F$1,[3]enemy_skill_triggers!$1:$1,0)+1),MATCH(I$1,[3]enemy_skill_triggers!$1:$1,0)-MATCH($F$1,[3]enemy_skill_triggers!$1:$1,0)+1,FALSE)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5" s="46" t="e">
        <f ca="1">VLOOKUP($F5,OFFSET([3]enemy_skill_triggers!$A$1,0,0,COUNTA([3]enemy_skill_triggers!$A:$A),MATCH(J$1,[3]enemy_skill_triggers!$1:$1,0)-MATCH($F$1,[3]enemy_skill_triggers!$1:$1,0)+1),MATCH(J$1,[3]enemy_skill_triggers!$1:$1,0)-MATCH($F$1,[3]enemy_skill_triggers!$1:$1,0)+1,FALSE)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5" s="46" t="e">
        <f ca="1">VLOOKUP($F5,OFFSET([3]enemy_skill_triggers!$A$1,0,0,COUNTA([3]enemy_skill_triggers!$A:$A),MATCH(K$1,[3]enemy_skill_triggers!$1:$1,0)-MATCH($F$1,[3]enemy_skill_triggers!$1:$1,0)+1),MATCH(K$1,[3]enemy_skill_triggers!$1:$1,0)-MATCH($F$1,[3]enemy_skill_triggers!$1:$1,0)+1,FALSE)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5" s="46" t="e">
        <f ca="1">VLOOKUP($F5,OFFSET([3]enemy_skill_triggers!$A$1,0,0,COUNTA([3]enemy_skill_triggers!$A:$A),MATCH(L$1,[3]enemy_skill_triggers!$1:$1,0)-MATCH($F$1,[3]enemy_skill_triggers!$1:$1,0)+1),MATCH(L$1,[3]enemy_skill_triggers!$1:$1,0)-MATCH($F$1,[3]enemy_skill_triggers!$1:$1,0)+1,FALSE)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5" s="46" t="e">
        <f ca="1">VLOOKUP($F5,OFFSET([3]enemy_skill_triggers!$A$1,0,0,COUNTA([3]enemy_skill_triggers!$A:$A),MATCH(M$1,[3]enemy_skill_triggers!$1:$1,0)-MATCH($F$1,[3]enemy_skill_triggers!$1:$1,0)+1),MATCH(M$1,[3]enemy_skill_triggers!$1:$1,0)-MATCH($F$1,[3]enemy_skill_triggers!$1:$1,0)+1,FALSE)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5" s="46" t="e">
        <f ca="1">VLOOKUP($F5,OFFSET([3]enemy_skill_triggers!$A$1,0,0,COUNTA([3]enemy_skill_triggers!$A:$A),MATCH(N$1,[3]enemy_skill_triggers!$1:$1,0)-MATCH($F$1,[3]enemy_skill_triggers!$1:$1,0)+1),MATCH(N$1,[3]enemy_skill_triggers!$1:$1,0)-MATCH($F$1,[3]enemy_skill_triggers!$1:$1,0)+1,FALSE)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5" s="46" t="e">
        <f ca="1">VLOOKUP($F5,OFFSET([3]enemy_skill_triggers!$A$1,0,0,COUNTA([3]enemy_skill_triggers!$A:$A),MATCH(O$1,[3]enemy_skill_triggers!$1:$1,0)-MATCH($F$1,[3]enemy_skill_triggers!$1:$1,0)+1),MATCH(O$1,[3]enemy_skill_triggers!$1:$1,0)-MATCH($F$1,[3]enemy_skill_triggers!$1:$1,0)+1,FALSE)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5" s="45"/>
      <c r="Q5" s="45"/>
      <c r="R5" s="45"/>
    </row>
    <row r="6" spans="1:18" ht="21" customHeight="1" x14ac:dyDescent="0.15">
      <c r="A6" s="37" t="str">
        <f t="shared" ref="A6" si="3">B6&amp;"_"&amp;C6</f>
        <v>13301450_13301454</v>
      </c>
      <c r="B6" s="104">
        <v>13301450</v>
      </c>
      <c r="C6" s="104">
        <v>13301454</v>
      </c>
      <c r="D6" s="44" t="e">
        <f ca="1">VLOOKUP($C6,OFFSET([3]enemy_skills!$A$1,0,0,COUNTA([3]enemy_skills!$A:$A),MATCH(D$1,[3]enemy_skills!$1:$1,0)-MATCH("enemy_skill_id",[3]enemy_skills!$1:$1,0)+1),MATCH(D$1,[3]enemy_skills!$1:$1,0)-MATCH("enemy_skill_id",[3]enemy_skills!$1:$1,0)+1,FALSE)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6" s="44" t="e">
        <f ca="1">VLOOKUP($C6,OFFSET([3]enemy_skills!$A$1,0,0,COUNTA([3]enemy_skills!$A:$A),MATCH(E$1,[3]enemy_skills!$1:$1,0)-MATCH("enemy_skill_id",[3]enemy_skills!$1:$1,0)+1),MATCH(E$1,[3]enemy_skills!$1:$1,0)-MATCH("enemy_skill_id",[3]enemy_skills!$1:$1,0)+1,FALSE)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6" s="104">
        <v>13301454</v>
      </c>
      <c r="G6" s="46" t="e">
        <f ca="1">VLOOKUP($F6,OFFSET([3]enemy_skill_triggers!$A$1,0,0,COUNTA([3]enemy_skill_triggers!$A:$A),MATCH(G$1,[3]enemy_skill_triggers!$1:$1,0)-MATCH($F$1,[3]enemy_skill_triggers!$1:$1,0)+1),MATCH(G$1,[3]enemy_skill_triggers!$1:$1,0)-MATCH($F$1,[3]enemy_skill_triggers!$1:$1,0)+1,FALSE)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6" s="46" t="e">
        <f ca="1">VLOOKUP($F6,OFFSET([3]enemy_skill_triggers!$A$1,0,0,COUNTA([3]enemy_skill_triggers!$A:$A),MATCH(H$1,[3]enemy_skill_triggers!$1:$1,0)-MATCH($F$1,[3]enemy_skill_triggers!$1:$1,0)+1),MATCH(H$1,[3]enemy_skill_triggers!$1:$1,0)-MATCH($F$1,[3]enemy_skill_triggers!$1:$1,0)+1,FALSE)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6" s="46" t="e">
        <f ca="1">VLOOKUP($F6,OFFSET([3]enemy_skill_triggers!$A$1,0,0,COUNTA([3]enemy_skill_triggers!$A:$A),MATCH(I$1,[3]enemy_skill_triggers!$1:$1,0)-MATCH($F$1,[3]enemy_skill_triggers!$1:$1,0)+1),MATCH(I$1,[3]enemy_skill_triggers!$1:$1,0)-MATCH($F$1,[3]enemy_skill_triggers!$1:$1,0)+1,FALSE)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6" s="46" t="e">
        <f ca="1">VLOOKUP($F6,OFFSET([3]enemy_skill_triggers!$A$1,0,0,COUNTA([3]enemy_skill_triggers!$A:$A),MATCH(J$1,[3]enemy_skill_triggers!$1:$1,0)-MATCH($F$1,[3]enemy_skill_triggers!$1:$1,0)+1),MATCH(J$1,[3]enemy_skill_triggers!$1:$1,0)-MATCH($F$1,[3]enemy_skill_triggers!$1:$1,0)+1,FALSE)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6" s="46" t="e">
        <f ca="1">VLOOKUP($F6,OFFSET([3]enemy_skill_triggers!$A$1,0,0,COUNTA([3]enemy_skill_triggers!$A:$A),MATCH(K$1,[3]enemy_skill_triggers!$1:$1,0)-MATCH($F$1,[3]enemy_skill_triggers!$1:$1,0)+1),MATCH(K$1,[3]enemy_skill_triggers!$1:$1,0)-MATCH($F$1,[3]enemy_skill_triggers!$1:$1,0)+1,FALSE)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6" s="46" t="e">
        <f ca="1">VLOOKUP($F6,OFFSET([3]enemy_skill_triggers!$A$1,0,0,COUNTA([3]enemy_skill_triggers!$A:$A),MATCH(L$1,[3]enemy_skill_triggers!$1:$1,0)-MATCH($F$1,[3]enemy_skill_triggers!$1:$1,0)+1),MATCH(L$1,[3]enemy_skill_triggers!$1:$1,0)-MATCH($F$1,[3]enemy_skill_triggers!$1:$1,0)+1,FALSE)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6" s="46" t="e">
        <f ca="1">VLOOKUP($F6,OFFSET([3]enemy_skill_triggers!$A$1,0,0,COUNTA([3]enemy_skill_triggers!$A:$A),MATCH(M$1,[3]enemy_skill_triggers!$1:$1,0)-MATCH($F$1,[3]enemy_skill_triggers!$1:$1,0)+1),MATCH(M$1,[3]enemy_skill_triggers!$1:$1,0)-MATCH($F$1,[3]enemy_skill_triggers!$1:$1,0)+1,FALSE)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6" s="46" t="e">
        <f ca="1">VLOOKUP($F6,OFFSET([3]enemy_skill_triggers!$A$1,0,0,COUNTA([3]enemy_skill_triggers!$A:$A),MATCH(N$1,[3]enemy_skill_triggers!$1:$1,0)-MATCH($F$1,[3]enemy_skill_triggers!$1:$1,0)+1),MATCH(N$1,[3]enemy_skill_triggers!$1:$1,0)-MATCH($F$1,[3]enemy_skill_triggers!$1:$1,0)+1,FALSE)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6" s="46" t="e">
        <f ca="1">VLOOKUP($F6,OFFSET([3]enemy_skill_triggers!$A$1,0,0,COUNTA([3]enemy_skill_triggers!$A:$A),MATCH(O$1,[3]enemy_skill_triggers!$1:$1,0)-MATCH($F$1,[3]enemy_skill_triggers!$1:$1,0)+1),MATCH(O$1,[3]enemy_skill_triggers!$1:$1,0)-MATCH($F$1,[3]enemy_skill_triggers!$1:$1,0)+1,FALSE)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6" s="45"/>
      <c r="Q6" s="45"/>
      <c r="R6" s="45"/>
    </row>
    <row r="7" spans="1:18" ht="21" customHeight="1" x14ac:dyDescent="0.15">
      <c r="A7" s="37" t="str">
        <f t="shared" ref="A7" si="4">B7&amp;"_"&amp;C7</f>
        <v>13301450_13301455</v>
      </c>
      <c r="B7" s="104">
        <v>13301450</v>
      </c>
      <c r="C7" s="104">
        <v>13301455</v>
      </c>
      <c r="D7" s="44" t="e">
        <f ca="1">VLOOKUP($C7,OFFSET([3]enemy_skills!$A$1,0,0,COUNTA([3]enemy_skills!$A:$A),MATCH(D$1,[3]enemy_skills!$1:$1,0)-MATCH("enemy_skill_id",[3]enemy_skills!$1:$1,0)+1),MATCH(D$1,[3]enemy_skills!$1:$1,0)-MATCH("enemy_skill_id",[3]enemy_skills!$1:$1,0)+1,FALSE)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7" s="44" t="e">
        <f ca="1">VLOOKUP($C7,OFFSET([3]enemy_skills!$A$1,0,0,COUNTA([3]enemy_skills!$A:$A),MATCH(E$1,[3]enemy_skills!$1:$1,0)-MATCH("enemy_skill_id",[3]enemy_skills!$1:$1,0)+1),MATCH(E$1,[3]enemy_skills!$1:$1,0)-MATCH("enemy_skill_id",[3]enemy_skills!$1:$1,0)+1,FALSE)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7" s="104">
        <v>13301455</v>
      </c>
      <c r="G7" s="46" t="e">
        <f ca="1">VLOOKUP($F7,OFFSET([3]enemy_skill_triggers!$A$1,0,0,COUNTA([3]enemy_skill_triggers!$A:$A),MATCH(G$1,[3]enemy_skill_triggers!$1:$1,0)-MATCH($F$1,[3]enemy_skill_triggers!$1:$1,0)+1),MATCH(G$1,[3]enemy_skill_triggers!$1:$1,0)-MATCH($F$1,[3]enemy_skill_triggers!$1:$1,0)+1,FALSE)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7" s="46" t="e">
        <f ca="1">VLOOKUP($F7,OFFSET([3]enemy_skill_triggers!$A$1,0,0,COUNTA([3]enemy_skill_triggers!$A:$A),MATCH(H$1,[3]enemy_skill_triggers!$1:$1,0)-MATCH($F$1,[3]enemy_skill_triggers!$1:$1,0)+1),MATCH(H$1,[3]enemy_skill_triggers!$1:$1,0)-MATCH($F$1,[3]enemy_skill_triggers!$1:$1,0)+1,FALSE)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7" s="46" t="e">
        <f ca="1">VLOOKUP($F7,OFFSET([3]enemy_skill_triggers!$A$1,0,0,COUNTA([3]enemy_skill_triggers!$A:$A),MATCH(I$1,[3]enemy_skill_triggers!$1:$1,0)-MATCH($F$1,[3]enemy_skill_triggers!$1:$1,0)+1),MATCH(I$1,[3]enemy_skill_triggers!$1:$1,0)-MATCH($F$1,[3]enemy_skill_triggers!$1:$1,0)+1,FALSE)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7" s="46" t="e">
        <f ca="1">VLOOKUP($F7,OFFSET([3]enemy_skill_triggers!$A$1,0,0,COUNTA([3]enemy_skill_triggers!$A:$A),MATCH(J$1,[3]enemy_skill_triggers!$1:$1,0)-MATCH($F$1,[3]enemy_skill_triggers!$1:$1,0)+1),MATCH(J$1,[3]enemy_skill_triggers!$1:$1,0)-MATCH($F$1,[3]enemy_skill_triggers!$1:$1,0)+1,FALSE)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7" s="46" t="e">
        <f ca="1">VLOOKUP($F7,OFFSET([3]enemy_skill_triggers!$A$1,0,0,COUNTA([3]enemy_skill_triggers!$A:$A),MATCH(K$1,[3]enemy_skill_triggers!$1:$1,0)-MATCH($F$1,[3]enemy_skill_triggers!$1:$1,0)+1),MATCH(K$1,[3]enemy_skill_triggers!$1:$1,0)-MATCH($F$1,[3]enemy_skill_triggers!$1:$1,0)+1,FALSE)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7" s="46" t="e">
        <f ca="1">VLOOKUP($F7,OFFSET([3]enemy_skill_triggers!$A$1,0,0,COUNTA([3]enemy_skill_triggers!$A:$A),MATCH(L$1,[3]enemy_skill_triggers!$1:$1,0)-MATCH($F$1,[3]enemy_skill_triggers!$1:$1,0)+1),MATCH(L$1,[3]enemy_skill_triggers!$1:$1,0)-MATCH($F$1,[3]enemy_skill_triggers!$1:$1,0)+1,FALSE)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7" s="46" t="e">
        <f ca="1">VLOOKUP($F7,OFFSET([3]enemy_skill_triggers!$A$1,0,0,COUNTA([3]enemy_skill_triggers!$A:$A),MATCH(M$1,[3]enemy_skill_triggers!$1:$1,0)-MATCH($F$1,[3]enemy_skill_triggers!$1:$1,0)+1),MATCH(M$1,[3]enemy_skill_triggers!$1:$1,0)-MATCH($F$1,[3]enemy_skill_triggers!$1:$1,0)+1,FALSE)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7" s="46" t="e">
        <f ca="1">VLOOKUP($F7,OFFSET([3]enemy_skill_triggers!$A$1,0,0,COUNTA([3]enemy_skill_triggers!$A:$A),MATCH(N$1,[3]enemy_skill_triggers!$1:$1,0)-MATCH($F$1,[3]enemy_skill_triggers!$1:$1,0)+1),MATCH(N$1,[3]enemy_skill_triggers!$1:$1,0)-MATCH($F$1,[3]enemy_skill_triggers!$1:$1,0)+1,FALSE)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7" s="46" t="e">
        <f ca="1">VLOOKUP($F7,OFFSET([3]enemy_skill_triggers!$A$1,0,0,COUNTA([3]enemy_skill_triggers!$A:$A),MATCH(O$1,[3]enemy_skill_triggers!$1:$1,0)-MATCH($F$1,[3]enemy_skill_triggers!$1:$1,0)+1),MATCH(O$1,[3]enemy_skill_triggers!$1:$1,0)-MATCH($F$1,[3]enemy_skill_triggers!$1:$1,0)+1,FALSE)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7" s="45"/>
      <c r="Q7" s="45"/>
      <c r="R7" s="45"/>
    </row>
    <row r="8" spans="1:18" ht="21" customHeight="1" x14ac:dyDescent="0.15">
      <c r="A8" s="37" t="str">
        <f t="shared" ref="A8:A13" si="5">B8&amp;"_"&amp;C8</f>
        <v>13301450_13301456</v>
      </c>
      <c r="B8" s="104">
        <v>13301450</v>
      </c>
      <c r="C8" s="104">
        <v>13301456</v>
      </c>
      <c r="D8" s="44" t="e">
        <f ca="1">VLOOKUP($C8,OFFSET([3]enemy_skills!$A$1,0,0,COUNTA([3]enemy_skills!$A:$A),MATCH(D$1,[3]enemy_skills!$1:$1,0)-MATCH("enemy_skill_id",[3]enemy_skills!$1:$1,0)+1),MATCH(D$1,[3]enemy_skills!$1:$1,0)-MATCH("enemy_skill_id",[3]enemy_skills!$1:$1,0)+1,FALSE)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8" s="44" t="e">
        <f ca="1">VLOOKUP($C8,OFFSET([3]enemy_skills!$A$1,0,0,COUNTA([3]enemy_skills!$A:$A),MATCH(E$1,[3]enemy_skills!$1:$1,0)-MATCH("enemy_skill_id",[3]enemy_skills!$1:$1,0)+1),MATCH(E$1,[3]enemy_skills!$1:$1,0)-MATCH("enemy_skill_id",[3]enemy_skills!$1:$1,0)+1,FALSE)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8" s="104">
        <v>13301456</v>
      </c>
      <c r="G8" s="46" t="e">
        <f ca="1">VLOOKUP($F8,OFFSET([3]enemy_skill_triggers!$A$1,0,0,COUNTA([3]enemy_skill_triggers!$A:$A),MATCH(G$1,[3]enemy_skill_triggers!$1:$1,0)-MATCH($F$1,[3]enemy_skill_triggers!$1:$1,0)+1),MATCH(G$1,[3]enemy_skill_triggers!$1:$1,0)-MATCH($F$1,[3]enemy_skill_triggers!$1:$1,0)+1,FALSE)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8" s="46" t="e">
        <f ca="1">VLOOKUP($F8,OFFSET([3]enemy_skill_triggers!$A$1,0,0,COUNTA([3]enemy_skill_triggers!$A:$A),MATCH(H$1,[3]enemy_skill_triggers!$1:$1,0)-MATCH($F$1,[3]enemy_skill_triggers!$1:$1,0)+1),MATCH(H$1,[3]enemy_skill_triggers!$1:$1,0)-MATCH($F$1,[3]enemy_skill_triggers!$1:$1,0)+1,FALSE)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8" s="46" t="e">
        <f ca="1">VLOOKUP($F8,OFFSET([3]enemy_skill_triggers!$A$1,0,0,COUNTA([3]enemy_skill_triggers!$A:$A),MATCH(I$1,[3]enemy_skill_triggers!$1:$1,0)-MATCH($F$1,[3]enemy_skill_triggers!$1:$1,0)+1),MATCH(I$1,[3]enemy_skill_triggers!$1:$1,0)-MATCH($F$1,[3]enemy_skill_triggers!$1:$1,0)+1,FALSE)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8" s="46" t="e">
        <f ca="1">VLOOKUP($F8,OFFSET([3]enemy_skill_triggers!$A$1,0,0,COUNTA([3]enemy_skill_triggers!$A:$A),MATCH(J$1,[3]enemy_skill_triggers!$1:$1,0)-MATCH($F$1,[3]enemy_skill_triggers!$1:$1,0)+1),MATCH(J$1,[3]enemy_skill_triggers!$1:$1,0)-MATCH($F$1,[3]enemy_skill_triggers!$1:$1,0)+1,FALSE)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8" s="46" t="e">
        <f ca="1">VLOOKUP($F8,OFFSET([3]enemy_skill_triggers!$A$1,0,0,COUNTA([3]enemy_skill_triggers!$A:$A),MATCH(K$1,[3]enemy_skill_triggers!$1:$1,0)-MATCH($F$1,[3]enemy_skill_triggers!$1:$1,0)+1),MATCH(K$1,[3]enemy_skill_triggers!$1:$1,0)-MATCH($F$1,[3]enemy_skill_triggers!$1:$1,0)+1,FALSE)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8" s="46" t="e">
        <f ca="1">VLOOKUP($F8,OFFSET([3]enemy_skill_triggers!$A$1,0,0,COUNTA([3]enemy_skill_triggers!$A:$A),MATCH(L$1,[3]enemy_skill_triggers!$1:$1,0)-MATCH($F$1,[3]enemy_skill_triggers!$1:$1,0)+1),MATCH(L$1,[3]enemy_skill_triggers!$1:$1,0)-MATCH($F$1,[3]enemy_skill_triggers!$1:$1,0)+1,FALSE)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8" s="46" t="e">
        <f ca="1">VLOOKUP($F8,OFFSET([3]enemy_skill_triggers!$A$1,0,0,COUNTA([3]enemy_skill_triggers!$A:$A),MATCH(M$1,[3]enemy_skill_triggers!$1:$1,0)-MATCH($F$1,[3]enemy_skill_triggers!$1:$1,0)+1),MATCH(M$1,[3]enemy_skill_triggers!$1:$1,0)-MATCH($F$1,[3]enemy_skill_triggers!$1:$1,0)+1,FALSE)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8" s="46" t="e">
        <f ca="1">VLOOKUP($F8,OFFSET([3]enemy_skill_triggers!$A$1,0,0,COUNTA([3]enemy_skill_triggers!$A:$A),MATCH(N$1,[3]enemy_skill_triggers!$1:$1,0)-MATCH($F$1,[3]enemy_skill_triggers!$1:$1,0)+1),MATCH(N$1,[3]enemy_skill_triggers!$1:$1,0)-MATCH($F$1,[3]enemy_skill_triggers!$1:$1,0)+1,FALSE)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8" s="46" t="e">
        <f ca="1">VLOOKUP($F8,OFFSET([3]enemy_skill_triggers!$A$1,0,0,COUNTA([3]enemy_skill_triggers!$A:$A),MATCH(O$1,[3]enemy_skill_triggers!$1:$1,0)-MATCH($F$1,[3]enemy_skill_triggers!$1:$1,0)+1),MATCH(O$1,[3]enemy_skill_triggers!$1:$1,0)-MATCH($F$1,[3]enemy_skill_triggers!$1:$1,0)+1,FALSE)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8" s="45"/>
      <c r="Q8" s="45"/>
      <c r="R8" s="45"/>
    </row>
    <row r="9" spans="1:18" ht="21" customHeight="1" x14ac:dyDescent="0.15">
      <c r="A9" s="37" t="str">
        <f t="shared" ref="A9:A10" si="6">B9&amp;"_"&amp;C9</f>
        <v>13301450_13301457</v>
      </c>
      <c r="B9" s="104">
        <v>13301450</v>
      </c>
      <c r="C9" s="104">
        <v>13301457</v>
      </c>
      <c r="D9" s="44" t="e">
        <f ca="1">VLOOKUP($C9,OFFSET([3]enemy_skills!$A$1,0,0,COUNTA([3]enemy_skills!$A:$A),MATCH(D$1,[3]enemy_skills!$1:$1,0)-MATCH("enemy_skill_id",[3]enemy_skills!$1:$1,0)+1),MATCH(D$1,[3]enemy_skills!$1:$1,0)-MATCH("enemy_skill_id",[3]enemy_skills!$1:$1,0)+1,FALSE)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9" s="44" t="e">
        <f ca="1">VLOOKUP($C9,OFFSET([3]enemy_skills!$A$1,0,0,COUNTA([3]enemy_skills!$A:$A),MATCH(E$1,[3]enemy_skills!$1:$1,0)-MATCH("enemy_skill_id",[3]enemy_skills!$1:$1,0)+1),MATCH(E$1,[3]enemy_skills!$1:$1,0)-MATCH("enemy_skill_id",[3]enemy_skills!$1:$1,0)+1,FALSE)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9" s="104">
        <v>13301457</v>
      </c>
      <c r="G9" s="46" t="e">
        <f ca="1">VLOOKUP($F9,OFFSET([3]enemy_skill_triggers!$A$1,0,0,COUNTA([3]enemy_skill_triggers!$A:$A),MATCH(G$1,[3]enemy_skill_triggers!$1:$1,0)-MATCH($F$1,[3]enemy_skill_triggers!$1:$1,0)+1),MATCH(G$1,[3]enemy_skill_triggers!$1:$1,0)-MATCH($F$1,[3]enemy_skill_triggers!$1:$1,0)+1,FALSE)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9" s="46" t="e">
        <f ca="1">VLOOKUP($F9,OFFSET([3]enemy_skill_triggers!$A$1,0,0,COUNTA([3]enemy_skill_triggers!$A:$A),MATCH(H$1,[3]enemy_skill_triggers!$1:$1,0)-MATCH($F$1,[3]enemy_skill_triggers!$1:$1,0)+1),MATCH(H$1,[3]enemy_skill_triggers!$1:$1,0)-MATCH($F$1,[3]enemy_skill_triggers!$1:$1,0)+1,FALSE)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9" s="46" t="e">
        <f ca="1">VLOOKUP($F9,OFFSET([3]enemy_skill_triggers!$A$1,0,0,COUNTA([3]enemy_skill_triggers!$A:$A),MATCH(I$1,[3]enemy_skill_triggers!$1:$1,0)-MATCH($F$1,[3]enemy_skill_triggers!$1:$1,0)+1),MATCH(I$1,[3]enemy_skill_triggers!$1:$1,0)-MATCH($F$1,[3]enemy_skill_triggers!$1:$1,0)+1,FALSE)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9" s="46" t="e">
        <f ca="1">VLOOKUP($F9,OFFSET([3]enemy_skill_triggers!$A$1,0,0,COUNTA([3]enemy_skill_triggers!$A:$A),MATCH(J$1,[3]enemy_skill_triggers!$1:$1,0)-MATCH($F$1,[3]enemy_skill_triggers!$1:$1,0)+1),MATCH(J$1,[3]enemy_skill_triggers!$1:$1,0)-MATCH($F$1,[3]enemy_skill_triggers!$1:$1,0)+1,FALSE)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9" s="46" t="e">
        <f ca="1">VLOOKUP($F9,OFFSET([3]enemy_skill_triggers!$A$1,0,0,COUNTA([3]enemy_skill_triggers!$A:$A),MATCH(K$1,[3]enemy_skill_triggers!$1:$1,0)-MATCH($F$1,[3]enemy_skill_triggers!$1:$1,0)+1),MATCH(K$1,[3]enemy_skill_triggers!$1:$1,0)-MATCH($F$1,[3]enemy_skill_triggers!$1:$1,0)+1,FALSE)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9" s="46" t="e">
        <f ca="1">VLOOKUP($F9,OFFSET([3]enemy_skill_triggers!$A$1,0,0,COUNTA([3]enemy_skill_triggers!$A:$A),MATCH(L$1,[3]enemy_skill_triggers!$1:$1,0)-MATCH($F$1,[3]enemy_skill_triggers!$1:$1,0)+1),MATCH(L$1,[3]enemy_skill_triggers!$1:$1,0)-MATCH($F$1,[3]enemy_skill_triggers!$1:$1,0)+1,FALSE)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9" s="46" t="e">
        <f ca="1">VLOOKUP($F9,OFFSET([3]enemy_skill_triggers!$A$1,0,0,COUNTA([3]enemy_skill_triggers!$A:$A),MATCH(M$1,[3]enemy_skill_triggers!$1:$1,0)-MATCH($F$1,[3]enemy_skill_triggers!$1:$1,0)+1),MATCH(M$1,[3]enemy_skill_triggers!$1:$1,0)-MATCH($F$1,[3]enemy_skill_triggers!$1:$1,0)+1,FALSE)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9" s="46" t="e">
        <f ca="1">VLOOKUP($F9,OFFSET([3]enemy_skill_triggers!$A$1,0,0,COUNTA([3]enemy_skill_triggers!$A:$A),MATCH(N$1,[3]enemy_skill_triggers!$1:$1,0)-MATCH($F$1,[3]enemy_skill_triggers!$1:$1,0)+1),MATCH(N$1,[3]enemy_skill_triggers!$1:$1,0)-MATCH($F$1,[3]enemy_skill_triggers!$1:$1,0)+1,FALSE)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9" s="46" t="e">
        <f ca="1">VLOOKUP($F9,OFFSET([3]enemy_skill_triggers!$A$1,0,0,COUNTA([3]enemy_skill_triggers!$A:$A),MATCH(O$1,[3]enemy_skill_triggers!$1:$1,0)-MATCH($F$1,[3]enemy_skill_triggers!$1:$1,0)+1),MATCH(O$1,[3]enemy_skill_triggers!$1:$1,0)-MATCH($F$1,[3]enemy_skill_triggers!$1:$1,0)+1,FALSE)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9" s="45"/>
      <c r="Q9" s="45"/>
      <c r="R9" s="45"/>
    </row>
    <row r="10" spans="1:18" ht="21" customHeight="1" x14ac:dyDescent="0.15">
      <c r="A10" s="37" t="str">
        <f t="shared" si="6"/>
        <v>13301450_13301458</v>
      </c>
      <c r="B10" s="104">
        <v>13301450</v>
      </c>
      <c r="C10" s="104">
        <v>13301458</v>
      </c>
      <c r="D10" s="44" t="e">
        <f ca="1">VLOOKUP($C10,OFFSET([3]enemy_skills!$A$1,0,0,COUNTA([3]enemy_skills!$A:$A),MATCH(D$1,[3]enemy_skills!$1:$1,0)-MATCH("enemy_skill_id",[3]enemy_skills!$1:$1,0)+1),MATCH(D$1,[3]enemy_skills!$1:$1,0)-MATCH("enemy_skill_id",[3]enemy_skills!$1:$1,0)+1,FALSE)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10" s="44" t="e">
        <f ca="1">VLOOKUP($C10,OFFSET([3]enemy_skills!$A$1,0,0,COUNTA([3]enemy_skills!$A:$A),MATCH(E$1,[3]enemy_skills!$1:$1,0)-MATCH("enemy_skill_id",[3]enemy_skills!$1:$1,0)+1),MATCH(E$1,[3]enemy_skills!$1:$1,0)-MATCH("enemy_skill_id",[3]enemy_skills!$1:$1,0)+1,FALSE)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10" s="104">
        <v>13301458</v>
      </c>
      <c r="G10" s="46" t="e">
        <f ca="1">VLOOKUP($F10,OFFSET([3]enemy_skill_triggers!$A$1,0,0,COUNTA([3]enemy_skill_triggers!$A:$A),MATCH(G$1,[3]enemy_skill_triggers!$1:$1,0)-MATCH($F$1,[3]enemy_skill_triggers!$1:$1,0)+1),MATCH(G$1,[3]enemy_skill_triggers!$1:$1,0)-MATCH($F$1,[3]enemy_skill_triggers!$1:$1,0)+1,FALSE)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10" s="46" t="e">
        <f ca="1">VLOOKUP($F10,OFFSET([3]enemy_skill_triggers!$A$1,0,0,COUNTA([3]enemy_skill_triggers!$A:$A),MATCH(H$1,[3]enemy_skill_triggers!$1:$1,0)-MATCH($F$1,[3]enemy_skill_triggers!$1:$1,0)+1),MATCH(H$1,[3]enemy_skill_triggers!$1:$1,0)-MATCH($F$1,[3]enemy_skill_triggers!$1:$1,0)+1,FALSE)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10" s="46" t="e">
        <f ca="1">VLOOKUP($F10,OFFSET([3]enemy_skill_triggers!$A$1,0,0,COUNTA([3]enemy_skill_triggers!$A:$A),MATCH(I$1,[3]enemy_skill_triggers!$1:$1,0)-MATCH($F$1,[3]enemy_skill_triggers!$1:$1,0)+1),MATCH(I$1,[3]enemy_skill_triggers!$1:$1,0)-MATCH($F$1,[3]enemy_skill_triggers!$1:$1,0)+1,FALSE)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10" s="46" t="e">
        <f ca="1">VLOOKUP($F10,OFFSET([3]enemy_skill_triggers!$A$1,0,0,COUNTA([3]enemy_skill_triggers!$A:$A),MATCH(J$1,[3]enemy_skill_triggers!$1:$1,0)-MATCH($F$1,[3]enemy_skill_triggers!$1:$1,0)+1),MATCH(J$1,[3]enemy_skill_triggers!$1:$1,0)-MATCH($F$1,[3]enemy_skill_triggers!$1:$1,0)+1,FALSE)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10" s="46" t="e">
        <f ca="1">VLOOKUP($F10,OFFSET([3]enemy_skill_triggers!$A$1,0,0,COUNTA([3]enemy_skill_triggers!$A:$A),MATCH(K$1,[3]enemy_skill_triggers!$1:$1,0)-MATCH($F$1,[3]enemy_skill_triggers!$1:$1,0)+1),MATCH(K$1,[3]enemy_skill_triggers!$1:$1,0)-MATCH($F$1,[3]enemy_skill_triggers!$1:$1,0)+1,FALSE)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10" s="46" t="e">
        <f ca="1">VLOOKUP($F10,OFFSET([3]enemy_skill_triggers!$A$1,0,0,COUNTA([3]enemy_skill_triggers!$A:$A),MATCH(L$1,[3]enemy_skill_triggers!$1:$1,0)-MATCH($F$1,[3]enemy_skill_triggers!$1:$1,0)+1),MATCH(L$1,[3]enemy_skill_triggers!$1:$1,0)-MATCH($F$1,[3]enemy_skill_triggers!$1:$1,0)+1,FALSE)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10" s="46" t="e">
        <f ca="1">VLOOKUP($F10,OFFSET([3]enemy_skill_triggers!$A$1,0,0,COUNTA([3]enemy_skill_triggers!$A:$A),MATCH(M$1,[3]enemy_skill_triggers!$1:$1,0)-MATCH($F$1,[3]enemy_skill_triggers!$1:$1,0)+1),MATCH(M$1,[3]enemy_skill_triggers!$1:$1,0)-MATCH($F$1,[3]enemy_skill_triggers!$1:$1,0)+1,FALSE)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10" s="46" t="e">
        <f ca="1">VLOOKUP($F10,OFFSET([3]enemy_skill_triggers!$A$1,0,0,COUNTA([3]enemy_skill_triggers!$A:$A),MATCH(N$1,[3]enemy_skill_triggers!$1:$1,0)-MATCH($F$1,[3]enemy_skill_triggers!$1:$1,0)+1),MATCH(N$1,[3]enemy_skill_triggers!$1:$1,0)-MATCH($F$1,[3]enemy_skill_triggers!$1:$1,0)+1,FALSE)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10" s="46" t="e">
        <f ca="1">VLOOKUP($F10,OFFSET([3]enemy_skill_triggers!$A$1,0,0,COUNTA([3]enemy_skill_triggers!$A:$A),MATCH(O$1,[3]enemy_skill_triggers!$1:$1,0)-MATCH($F$1,[3]enemy_skill_triggers!$1:$1,0)+1),MATCH(O$1,[3]enemy_skill_triggers!$1:$1,0)-MATCH($F$1,[3]enemy_skill_triggers!$1:$1,0)+1,FALSE)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10" s="45"/>
      <c r="Q10" s="45"/>
      <c r="R10" s="45"/>
    </row>
    <row r="11" spans="1:18" ht="21" customHeight="1" x14ac:dyDescent="0.15">
      <c r="A11" s="37" t="str">
        <f t="shared" ref="A11" si="7">B11&amp;"_"&amp;C11</f>
        <v>13301450_13301459</v>
      </c>
      <c r="B11" s="104">
        <v>13301450</v>
      </c>
      <c r="C11" s="104">
        <v>13301459</v>
      </c>
      <c r="D11" s="44" t="e">
        <f ca="1">VLOOKUP($C11,OFFSET([3]enemy_skills!$A$1,0,0,COUNTA([3]enemy_skills!$A:$A),MATCH(D$1,[3]enemy_skills!$1:$1,0)-MATCH("enemy_skill_id",[3]enemy_skills!$1:$1,0)+1),MATCH(D$1,[3]enemy_skills!$1:$1,0)-MATCH("enemy_skill_id",[3]enemy_skills!$1:$1,0)+1,FALSE)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11" s="44" t="e">
        <f ca="1">VLOOKUP($C11,OFFSET([3]enemy_skills!$A$1,0,0,COUNTA([3]enemy_skills!$A:$A),MATCH(E$1,[3]enemy_skills!$1:$1,0)-MATCH("enemy_skill_id",[3]enemy_skills!$1:$1,0)+1),MATCH(E$1,[3]enemy_skills!$1:$1,0)-MATCH("enemy_skill_id",[3]enemy_skills!$1:$1,0)+1,FALSE)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11" s="104">
        <v>13301459</v>
      </c>
      <c r="G11" s="46" t="e">
        <f ca="1">VLOOKUP($F11,OFFSET([3]enemy_skill_triggers!$A$1,0,0,COUNTA([3]enemy_skill_triggers!$A:$A),MATCH(G$1,[3]enemy_skill_triggers!$1:$1,0)-MATCH($F$1,[3]enemy_skill_triggers!$1:$1,0)+1),MATCH(G$1,[3]enemy_skill_triggers!$1:$1,0)-MATCH($F$1,[3]enemy_skill_triggers!$1:$1,0)+1,FALSE)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11" s="46" t="e">
        <f ca="1">VLOOKUP($F11,OFFSET([3]enemy_skill_triggers!$A$1,0,0,COUNTA([3]enemy_skill_triggers!$A:$A),MATCH(H$1,[3]enemy_skill_triggers!$1:$1,0)-MATCH($F$1,[3]enemy_skill_triggers!$1:$1,0)+1),MATCH(H$1,[3]enemy_skill_triggers!$1:$1,0)-MATCH($F$1,[3]enemy_skill_triggers!$1:$1,0)+1,FALSE)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11" s="46" t="e">
        <f ca="1">VLOOKUP($F11,OFFSET([3]enemy_skill_triggers!$A$1,0,0,COUNTA([3]enemy_skill_triggers!$A:$A),MATCH(I$1,[3]enemy_skill_triggers!$1:$1,0)-MATCH($F$1,[3]enemy_skill_triggers!$1:$1,0)+1),MATCH(I$1,[3]enemy_skill_triggers!$1:$1,0)-MATCH($F$1,[3]enemy_skill_triggers!$1:$1,0)+1,FALSE)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11" s="46" t="e">
        <f ca="1">VLOOKUP($F11,OFFSET([3]enemy_skill_triggers!$A$1,0,0,COUNTA([3]enemy_skill_triggers!$A:$A),MATCH(J$1,[3]enemy_skill_triggers!$1:$1,0)-MATCH($F$1,[3]enemy_skill_triggers!$1:$1,0)+1),MATCH(J$1,[3]enemy_skill_triggers!$1:$1,0)-MATCH($F$1,[3]enemy_skill_triggers!$1:$1,0)+1,FALSE)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11" s="46" t="e">
        <f ca="1">VLOOKUP($F11,OFFSET([3]enemy_skill_triggers!$A$1,0,0,COUNTA([3]enemy_skill_triggers!$A:$A),MATCH(K$1,[3]enemy_skill_triggers!$1:$1,0)-MATCH($F$1,[3]enemy_skill_triggers!$1:$1,0)+1),MATCH(K$1,[3]enemy_skill_triggers!$1:$1,0)-MATCH($F$1,[3]enemy_skill_triggers!$1:$1,0)+1,FALSE)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11" s="46" t="e">
        <f ca="1">VLOOKUP($F11,OFFSET([3]enemy_skill_triggers!$A$1,0,0,COUNTA([3]enemy_skill_triggers!$A:$A),MATCH(L$1,[3]enemy_skill_triggers!$1:$1,0)-MATCH($F$1,[3]enemy_skill_triggers!$1:$1,0)+1),MATCH(L$1,[3]enemy_skill_triggers!$1:$1,0)-MATCH($F$1,[3]enemy_skill_triggers!$1:$1,0)+1,FALSE)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11" s="46" t="e">
        <f ca="1">VLOOKUP($F11,OFFSET([3]enemy_skill_triggers!$A$1,0,0,COUNTA([3]enemy_skill_triggers!$A:$A),MATCH(M$1,[3]enemy_skill_triggers!$1:$1,0)-MATCH($F$1,[3]enemy_skill_triggers!$1:$1,0)+1),MATCH(M$1,[3]enemy_skill_triggers!$1:$1,0)-MATCH($F$1,[3]enemy_skill_triggers!$1:$1,0)+1,FALSE)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11" s="46" t="e">
        <f ca="1">VLOOKUP($F11,OFFSET([3]enemy_skill_triggers!$A$1,0,0,COUNTA([3]enemy_skill_triggers!$A:$A),MATCH(N$1,[3]enemy_skill_triggers!$1:$1,0)-MATCH($F$1,[3]enemy_skill_triggers!$1:$1,0)+1),MATCH(N$1,[3]enemy_skill_triggers!$1:$1,0)-MATCH($F$1,[3]enemy_skill_triggers!$1:$1,0)+1,FALSE)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11" s="46" t="e">
        <f ca="1">VLOOKUP($F11,OFFSET([3]enemy_skill_triggers!$A$1,0,0,COUNTA([3]enemy_skill_triggers!$A:$A),MATCH(O$1,[3]enemy_skill_triggers!$1:$1,0)-MATCH($F$1,[3]enemy_skill_triggers!$1:$1,0)+1),MATCH(O$1,[3]enemy_skill_triggers!$1:$1,0)-MATCH($F$1,[3]enemy_skill_triggers!$1:$1,0)+1,FALSE)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11" s="45"/>
      <c r="Q11" s="45"/>
      <c r="R11" s="45"/>
    </row>
    <row r="12" spans="1:18" ht="21" customHeight="1" x14ac:dyDescent="0.15">
      <c r="A12" s="37" t="str">
        <f t="shared" ref="A12" si="8">B12&amp;"_"&amp;C12</f>
        <v>13301450_13301460</v>
      </c>
      <c r="B12" s="104">
        <v>13301450</v>
      </c>
      <c r="C12" s="104">
        <v>13301460</v>
      </c>
      <c r="D12" s="44" t="e">
        <f ca="1">VLOOKUP($C12,OFFSET([3]enemy_skills!$A$1,0,0,COUNTA([3]enemy_skills!$A:$A),MATCH(D$1,[3]enemy_skills!$1:$1,0)-MATCH("enemy_skill_id",[3]enemy_skills!$1:$1,0)+1),MATCH(D$1,[3]enemy_skills!$1:$1,0)-MATCH("enemy_skill_id",[3]enemy_skills!$1:$1,0)+1,FALSE)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12" s="44" t="e">
        <f ca="1">VLOOKUP($C12,OFFSET([3]enemy_skills!$A$1,0,0,COUNTA([3]enemy_skills!$A:$A),MATCH(E$1,[3]enemy_skills!$1:$1,0)-MATCH("enemy_skill_id",[3]enemy_skills!$1:$1,0)+1),MATCH(E$1,[3]enemy_skills!$1:$1,0)-MATCH("enemy_skill_id",[3]enemy_skills!$1:$1,0)+1,FALSE)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12" s="104">
        <v>13301460</v>
      </c>
      <c r="G12" s="46" t="e">
        <f ca="1">VLOOKUP($F12,OFFSET([3]enemy_skill_triggers!$A$1,0,0,COUNTA([3]enemy_skill_triggers!$A:$A),MATCH(G$1,[3]enemy_skill_triggers!$1:$1,0)-MATCH($F$1,[3]enemy_skill_triggers!$1:$1,0)+1),MATCH(G$1,[3]enemy_skill_triggers!$1:$1,0)-MATCH($F$1,[3]enemy_skill_triggers!$1:$1,0)+1,FALSE)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12" s="46" t="e">
        <f ca="1">VLOOKUP($F12,OFFSET([3]enemy_skill_triggers!$A$1,0,0,COUNTA([3]enemy_skill_triggers!$A:$A),MATCH(H$1,[3]enemy_skill_triggers!$1:$1,0)-MATCH($F$1,[3]enemy_skill_triggers!$1:$1,0)+1),MATCH(H$1,[3]enemy_skill_triggers!$1:$1,0)-MATCH($F$1,[3]enemy_skill_triggers!$1:$1,0)+1,FALSE)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12" s="46" t="e">
        <f ca="1">VLOOKUP($F12,OFFSET([3]enemy_skill_triggers!$A$1,0,0,COUNTA([3]enemy_skill_triggers!$A:$A),MATCH(I$1,[3]enemy_skill_triggers!$1:$1,0)-MATCH($F$1,[3]enemy_skill_triggers!$1:$1,0)+1),MATCH(I$1,[3]enemy_skill_triggers!$1:$1,0)-MATCH($F$1,[3]enemy_skill_triggers!$1:$1,0)+1,FALSE)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12" s="46" t="e">
        <f ca="1">VLOOKUP($F12,OFFSET([3]enemy_skill_triggers!$A$1,0,0,COUNTA([3]enemy_skill_triggers!$A:$A),MATCH(J$1,[3]enemy_skill_triggers!$1:$1,0)-MATCH($F$1,[3]enemy_skill_triggers!$1:$1,0)+1),MATCH(J$1,[3]enemy_skill_triggers!$1:$1,0)-MATCH($F$1,[3]enemy_skill_triggers!$1:$1,0)+1,FALSE)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12" s="46" t="e">
        <f ca="1">VLOOKUP($F12,OFFSET([3]enemy_skill_triggers!$A$1,0,0,COUNTA([3]enemy_skill_triggers!$A:$A),MATCH(K$1,[3]enemy_skill_triggers!$1:$1,0)-MATCH($F$1,[3]enemy_skill_triggers!$1:$1,0)+1),MATCH(K$1,[3]enemy_skill_triggers!$1:$1,0)-MATCH($F$1,[3]enemy_skill_triggers!$1:$1,0)+1,FALSE)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12" s="46" t="e">
        <f ca="1">VLOOKUP($F12,OFFSET([3]enemy_skill_triggers!$A$1,0,0,COUNTA([3]enemy_skill_triggers!$A:$A),MATCH(L$1,[3]enemy_skill_triggers!$1:$1,0)-MATCH($F$1,[3]enemy_skill_triggers!$1:$1,0)+1),MATCH(L$1,[3]enemy_skill_triggers!$1:$1,0)-MATCH($F$1,[3]enemy_skill_triggers!$1:$1,0)+1,FALSE)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12" s="46" t="e">
        <f ca="1">VLOOKUP($F12,OFFSET([3]enemy_skill_triggers!$A$1,0,0,COUNTA([3]enemy_skill_triggers!$A:$A),MATCH(M$1,[3]enemy_skill_triggers!$1:$1,0)-MATCH($F$1,[3]enemy_skill_triggers!$1:$1,0)+1),MATCH(M$1,[3]enemy_skill_triggers!$1:$1,0)-MATCH($F$1,[3]enemy_skill_triggers!$1:$1,0)+1,FALSE)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12" s="46" t="e">
        <f ca="1">VLOOKUP($F12,OFFSET([3]enemy_skill_triggers!$A$1,0,0,COUNTA([3]enemy_skill_triggers!$A:$A),MATCH(N$1,[3]enemy_skill_triggers!$1:$1,0)-MATCH($F$1,[3]enemy_skill_triggers!$1:$1,0)+1),MATCH(N$1,[3]enemy_skill_triggers!$1:$1,0)-MATCH($F$1,[3]enemy_skill_triggers!$1:$1,0)+1,FALSE)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12" s="46" t="e">
        <f ca="1">VLOOKUP($F12,OFFSET([3]enemy_skill_triggers!$A$1,0,0,COUNTA([3]enemy_skill_triggers!$A:$A),MATCH(O$1,[3]enemy_skill_triggers!$1:$1,0)-MATCH($F$1,[3]enemy_skill_triggers!$1:$1,0)+1),MATCH(O$1,[3]enemy_skill_triggers!$1:$1,0)-MATCH($F$1,[3]enemy_skill_triggers!$1:$1,0)+1,FALSE)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12" s="45"/>
      <c r="Q12" s="45"/>
      <c r="R12" s="45"/>
    </row>
    <row r="13" spans="1:18" ht="21" customHeight="1" x14ac:dyDescent="0.15">
      <c r="A13" s="37" t="str">
        <f t="shared" si="5"/>
        <v>13301450_13301461</v>
      </c>
      <c r="B13" s="104">
        <v>13301450</v>
      </c>
      <c r="C13" s="104">
        <v>13301461</v>
      </c>
      <c r="D13" s="44" t="e">
        <f ca="1">VLOOKUP($C13,OFFSET([3]enemy_skills!$A$1,0,0,COUNTA([3]enemy_skills!$A:$A),MATCH(D$1,[3]enemy_skills!$1:$1,0)-MATCH("enemy_skill_id",[3]enemy_skills!$1:$1,0)+1),MATCH(D$1,[3]enemy_skills!$1:$1,0)-MATCH("enemy_skill_id",[3]enemy_skills!$1:$1,0)+1,FALSE)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13" s="44" t="e">
        <f ca="1">VLOOKUP($C13,OFFSET([3]enemy_skills!$A$1,0,0,COUNTA([3]enemy_skills!$A:$A),MATCH(E$1,[3]enemy_skills!$1:$1,0)-MATCH("enemy_skill_id",[3]enemy_skills!$1:$1,0)+1),MATCH(E$1,[3]enemy_skills!$1:$1,0)-MATCH("enemy_skill_id",[3]enemy_skills!$1:$1,0)+1,FALSE)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13" s="104">
        <v>13301461</v>
      </c>
      <c r="G13" s="46" t="e">
        <f ca="1">VLOOKUP($F13,OFFSET([3]enemy_skill_triggers!$A$1,0,0,COUNTA([3]enemy_skill_triggers!$A:$A),MATCH(G$1,[3]enemy_skill_triggers!$1:$1,0)-MATCH($F$1,[3]enemy_skill_triggers!$1:$1,0)+1),MATCH(G$1,[3]enemy_skill_triggers!$1:$1,0)-MATCH($F$1,[3]enemy_skill_triggers!$1:$1,0)+1,FALSE)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13" s="46" t="e">
        <f ca="1">VLOOKUP($F13,OFFSET([3]enemy_skill_triggers!$A$1,0,0,COUNTA([3]enemy_skill_triggers!$A:$A),MATCH(H$1,[3]enemy_skill_triggers!$1:$1,0)-MATCH($F$1,[3]enemy_skill_triggers!$1:$1,0)+1),MATCH(H$1,[3]enemy_skill_triggers!$1:$1,0)-MATCH($F$1,[3]enemy_skill_triggers!$1:$1,0)+1,FALSE)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13" s="46" t="e">
        <f ca="1">VLOOKUP($F13,OFFSET([3]enemy_skill_triggers!$A$1,0,0,COUNTA([3]enemy_skill_triggers!$A:$A),MATCH(I$1,[3]enemy_skill_triggers!$1:$1,0)-MATCH($F$1,[3]enemy_skill_triggers!$1:$1,0)+1),MATCH(I$1,[3]enemy_skill_triggers!$1:$1,0)-MATCH($F$1,[3]enemy_skill_triggers!$1:$1,0)+1,FALSE)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13" s="46" t="e">
        <f ca="1">VLOOKUP($F13,OFFSET([3]enemy_skill_triggers!$A$1,0,0,COUNTA([3]enemy_skill_triggers!$A:$A),MATCH(J$1,[3]enemy_skill_triggers!$1:$1,0)-MATCH($F$1,[3]enemy_skill_triggers!$1:$1,0)+1),MATCH(J$1,[3]enemy_skill_triggers!$1:$1,0)-MATCH($F$1,[3]enemy_skill_triggers!$1:$1,0)+1,FALSE)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13" s="46" t="e">
        <f ca="1">VLOOKUP($F13,OFFSET([3]enemy_skill_triggers!$A$1,0,0,COUNTA([3]enemy_skill_triggers!$A:$A),MATCH(K$1,[3]enemy_skill_triggers!$1:$1,0)-MATCH($F$1,[3]enemy_skill_triggers!$1:$1,0)+1),MATCH(K$1,[3]enemy_skill_triggers!$1:$1,0)-MATCH($F$1,[3]enemy_skill_triggers!$1:$1,0)+1,FALSE)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13" s="46" t="e">
        <f ca="1">VLOOKUP($F13,OFFSET([3]enemy_skill_triggers!$A$1,0,0,COUNTA([3]enemy_skill_triggers!$A:$A),MATCH(L$1,[3]enemy_skill_triggers!$1:$1,0)-MATCH($F$1,[3]enemy_skill_triggers!$1:$1,0)+1),MATCH(L$1,[3]enemy_skill_triggers!$1:$1,0)-MATCH($F$1,[3]enemy_skill_triggers!$1:$1,0)+1,FALSE)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13" s="46" t="e">
        <f ca="1">VLOOKUP($F13,OFFSET([3]enemy_skill_triggers!$A$1,0,0,COUNTA([3]enemy_skill_triggers!$A:$A),MATCH(M$1,[3]enemy_skill_triggers!$1:$1,0)-MATCH($F$1,[3]enemy_skill_triggers!$1:$1,0)+1),MATCH(M$1,[3]enemy_skill_triggers!$1:$1,0)-MATCH($F$1,[3]enemy_skill_triggers!$1:$1,0)+1,FALSE)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13" s="46" t="e">
        <f ca="1">VLOOKUP($F13,OFFSET([3]enemy_skill_triggers!$A$1,0,0,COUNTA([3]enemy_skill_triggers!$A:$A),MATCH(N$1,[3]enemy_skill_triggers!$1:$1,0)-MATCH($F$1,[3]enemy_skill_triggers!$1:$1,0)+1),MATCH(N$1,[3]enemy_skill_triggers!$1:$1,0)-MATCH($F$1,[3]enemy_skill_triggers!$1:$1,0)+1,FALSE)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13" s="46" t="e">
        <f ca="1">VLOOKUP($F13,OFFSET([3]enemy_skill_triggers!$A$1,0,0,COUNTA([3]enemy_skill_triggers!$A:$A),MATCH(O$1,[3]enemy_skill_triggers!$1:$1,0)-MATCH($F$1,[3]enemy_skill_triggers!$1:$1,0)+1),MATCH(O$1,[3]enemy_skill_triggers!$1:$1,0)-MATCH($F$1,[3]enemy_skill_triggers!$1:$1,0)+1,FALSE)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13" s="45"/>
      <c r="Q13" s="45"/>
      <c r="R13" s="45"/>
    </row>
    <row r="14" spans="1:18" ht="21" customHeight="1" x14ac:dyDescent="0.15">
      <c r="A14" s="37" t="str">
        <f t="shared" ref="A14" si="9">B14&amp;"_"&amp;C14</f>
        <v>13301450_13301462</v>
      </c>
      <c r="B14" s="104">
        <v>13301450</v>
      </c>
      <c r="C14" s="104">
        <v>13301462</v>
      </c>
      <c r="D14" s="44" t="e">
        <f ca="1">VLOOKUP($C14,OFFSET([3]enemy_skills!$A$1,0,0,COUNTA([3]enemy_skills!$A:$A),MATCH(D$1,[3]enemy_skills!$1:$1,0)-MATCH("enemy_skill_id",[3]enemy_skills!$1:$1,0)+1),MATCH(D$1,[3]enemy_skills!$1:$1,0)-MATCH("enemy_skill_id",[3]enemy_skills!$1:$1,0)+1,FALSE)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14" s="44" t="e">
        <f ca="1">VLOOKUP($C14,OFFSET([3]enemy_skills!$A$1,0,0,COUNTA([3]enemy_skills!$A:$A),MATCH(E$1,[3]enemy_skills!$1:$1,0)-MATCH("enemy_skill_id",[3]enemy_skills!$1:$1,0)+1),MATCH(E$1,[3]enemy_skills!$1:$1,0)-MATCH("enemy_skill_id",[3]enemy_skills!$1:$1,0)+1,FALSE)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14" s="104">
        <v>13301462</v>
      </c>
      <c r="G14" s="46" t="e">
        <f ca="1">VLOOKUP($F14,OFFSET([3]enemy_skill_triggers!$A$1,0,0,COUNTA([3]enemy_skill_triggers!$A:$A),MATCH(G$1,[3]enemy_skill_triggers!$1:$1,0)-MATCH($F$1,[3]enemy_skill_triggers!$1:$1,0)+1),MATCH(G$1,[3]enemy_skill_triggers!$1:$1,0)-MATCH($F$1,[3]enemy_skill_triggers!$1:$1,0)+1,FALSE)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14" s="46" t="e">
        <f ca="1">VLOOKUP($F14,OFFSET([3]enemy_skill_triggers!$A$1,0,0,COUNTA([3]enemy_skill_triggers!$A:$A),MATCH(H$1,[3]enemy_skill_triggers!$1:$1,0)-MATCH($F$1,[3]enemy_skill_triggers!$1:$1,0)+1),MATCH(H$1,[3]enemy_skill_triggers!$1:$1,0)-MATCH($F$1,[3]enemy_skill_triggers!$1:$1,0)+1,FALSE)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14" s="46" t="e">
        <f ca="1">VLOOKUP($F14,OFFSET([3]enemy_skill_triggers!$A$1,0,0,COUNTA([3]enemy_skill_triggers!$A:$A),MATCH(I$1,[3]enemy_skill_triggers!$1:$1,0)-MATCH($F$1,[3]enemy_skill_triggers!$1:$1,0)+1),MATCH(I$1,[3]enemy_skill_triggers!$1:$1,0)-MATCH($F$1,[3]enemy_skill_triggers!$1:$1,0)+1,FALSE)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14" s="46" t="e">
        <f ca="1">VLOOKUP($F14,OFFSET([3]enemy_skill_triggers!$A$1,0,0,COUNTA([3]enemy_skill_triggers!$A:$A),MATCH(J$1,[3]enemy_skill_triggers!$1:$1,0)-MATCH($F$1,[3]enemy_skill_triggers!$1:$1,0)+1),MATCH(J$1,[3]enemy_skill_triggers!$1:$1,0)-MATCH($F$1,[3]enemy_skill_triggers!$1:$1,0)+1,FALSE)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14" s="46" t="e">
        <f ca="1">VLOOKUP($F14,OFFSET([3]enemy_skill_triggers!$A$1,0,0,COUNTA([3]enemy_skill_triggers!$A:$A),MATCH(K$1,[3]enemy_skill_triggers!$1:$1,0)-MATCH($F$1,[3]enemy_skill_triggers!$1:$1,0)+1),MATCH(K$1,[3]enemy_skill_triggers!$1:$1,0)-MATCH($F$1,[3]enemy_skill_triggers!$1:$1,0)+1,FALSE)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14" s="46" t="e">
        <f ca="1">VLOOKUP($F14,OFFSET([3]enemy_skill_triggers!$A$1,0,0,COUNTA([3]enemy_skill_triggers!$A:$A),MATCH(L$1,[3]enemy_skill_triggers!$1:$1,0)-MATCH($F$1,[3]enemy_skill_triggers!$1:$1,0)+1),MATCH(L$1,[3]enemy_skill_triggers!$1:$1,0)-MATCH($F$1,[3]enemy_skill_triggers!$1:$1,0)+1,FALSE)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14" s="46" t="e">
        <f ca="1">VLOOKUP($F14,OFFSET([3]enemy_skill_triggers!$A$1,0,0,COUNTA([3]enemy_skill_triggers!$A:$A),MATCH(M$1,[3]enemy_skill_triggers!$1:$1,0)-MATCH($F$1,[3]enemy_skill_triggers!$1:$1,0)+1),MATCH(M$1,[3]enemy_skill_triggers!$1:$1,0)-MATCH($F$1,[3]enemy_skill_triggers!$1:$1,0)+1,FALSE)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14" s="46" t="e">
        <f ca="1">VLOOKUP($F14,OFFSET([3]enemy_skill_triggers!$A$1,0,0,COUNTA([3]enemy_skill_triggers!$A:$A),MATCH(N$1,[3]enemy_skill_triggers!$1:$1,0)-MATCH($F$1,[3]enemy_skill_triggers!$1:$1,0)+1),MATCH(N$1,[3]enemy_skill_triggers!$1:$1,0)-MATCH($F$1,[3]enemy_skill_triggers!$1:$1,0)+1,FALSE)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14" s="46" t="e">
        <f ca="1">VLOOKUP($F14,OFFSET([3]enemy_skill_triggers!$A$1,0,0,COUNTA([3]enemy_skill_triggers!$A:$A),MATCH(O$1,[3]enemy_skill_triggers!$1:$1,0)-MATCH($F$1,[3]enemy_skill_triggers!$1:$1,0)+1),MATCH(O$1,[3]enemy_skill_triggers!$1:$1,0)-MATCH($F$1,[3]enemy_skill_triggers!$1:$1,0)+1,FALSE)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14" s="45"/>
      <c r="Q14" s="45"/>
      <c r="R14" s="45"/>
    </row>
    <row r="15" spans="1:18" ht="21" customHeight="1" x14ac:dyDescent="0.15">
      <c r="A15" s="37" t="str">
        <f t="shared" ref="A15:A20" si="10">B15&amp;"_"&amp;C15</f>
        <v>13301450_13301463</v>
      </c>
      <c r="B15" s="104">
        <v>13301450</v>
      </c>
      <c r="C15" s="104">
        <v>13301463</v>
      </c>
      <c r="D15" s="44" t="e">
        <f ca="1">VLOOKUP($C15,OFFSET([3]enemy_skills!$A$1,0,0,COUNTA([3]enemy_skills!$A:$A),MATCH(D$1,[3]enemy_skills!$1:$1,0)-MATCH("enemy_skill_id",[3]enemy_skills!$1:$1,0)+1),MATCH(D$1,[3]enemy_skills!$1:$1,0)-MATCH("enemy_skill_id",[3]enemy_skills!$1:$1,0)+1,FALSE)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15" s="44" t="e">
        <f ca="1">VLOOKUP($C15,OFFSET([3]enemy_skills!$A$1,0,0,COUNTA([3]enemy_skills!$A:$A),MATCH(E$1,[3]enemy_skills!$1:$1,0)-MATCH("enemy_skill_id",[3]enemy_skills!$1:$1,0)+1),MATCH(E$1,[3]enemy_skills!$1:$1,0)-MATCH("enemy_skill_id",[3]enemy_skills!$1:$1,0)+1,FALSE)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15" s="104">
        <v>13301463</v>
      </c>
      <c r="G15" s="46" t="e">
        <f ca="1">VLOOKUP($F15,OFFSET([3]enemy_skill_triggers!$A$1,0,0,COUNTA([3]enemy_skill_triggers!$A:$A),MATCH(G$1,[3]enemy_skill_triggers!$1:$1,0)-MATCH($F$1,[3]enemy_skill_triggers!$1:$1,0)+1),MATCH(G$1,[3]enemy_skill_triggers!$1:$1,0)-MATCH($F$1,[3]enemy_skill_triggers!$1:$1,0)+1,FALSE)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15" s="46" t="e">
        <f ca="1">VLOOKUP($F15,OFFSET([3]enemy_skill_triggers!$A$1,0,0,COUNTA([3]enemy_skill_triggers!$A:$A),MATCH(H$1,[3]enemy_skill_triggers!$1:$1,0)-MATCH($F$1,[3]enemy_skill_triggers!$1:$1,0)+1),MATCH(H$1,[3]enemy_skill_triggers!$1:$1,0)-MATCH($F$1,[3]enemy_skill_triggers!$1:$1,0)+1,FALSE)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15" s="46" t="e">
        <f ca="1">VLOOKUP($F15,OFFSET([3]enemy_skill_triggers!$A$1,0,0,COUNTA([3]enemy_skill_triggers!$A:$A),MATCH(I$1,[3]enemy_skill_triggers!$1:$1,0)-MATCH($F$1,[3]enemy_skill_triggers!$1:$1,0)+1),MATCH(I$1,[3]enemy_skill_triggers!$1:$1,0)-MATCH($F$1,[3]enemy_skill_triggers!$1:$1,0)+1,FALSE)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15" s="46" t="e">
        <f ca="1">VLOOKUP($F15,OFFSET([3]enemy_skill_triggers!$A$1,0,0,COUNTA([3]enemy_skill_triggers!$A:$A),MATCH(J$1,[3]enemy_skill_triggers!$1:$1,0)-MATCH($F$1,[3]enemy_skill_triggers!$1:$1,0)+1),MATCH(J$1,[3]enemy_skill_triggers!$1:$1,0)-MATCH($F$1,[3]enemy_skill_triggers!$1:$1,0)+1,FALSE)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15" s="46" t="e">
        <f ca="1">VLOOKUP($F15,OFFSET([3]enemy_skill_triggers!$A$1,0,0,COUNTA([3]enemy_skill_triggers!$A:$A),MATCH(K$1,[3]enemy_skill_triggers!$1:$1,0)-MATCH($F$1,[3]enemy_skill_triggers!$1:$1,0)+1),MATCH(K$1,[3]enemy_skill_triggers!$1:$1,0)-MATCH($F$1,[3]enemy_skill_triggers!$1:$1,0)+1,FALSE)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15" s="46" t="e">
        <f ca="1">VLOOKUP($F15,OFFSET([3]enemy_skill_triggers!$A$1,0,0,COUNTA([3]enemy_skill_triggers!$A:$A),MATCH(L$1,[3]enemy_skill_triggers!$1:$1,0)-MATCH($F$1,[3]enemy_skill_triggers!$1:$1,0)+1),MATCH(L$1,[3]enemy_skill_triggers!$1:$1,0)-MATCH($F$1,[3]enemy_skill_triggers!$1:$1,0)+1,FALSE)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15" s="46" t="e">
        <f ca="1">VLOOKUP($F15,OFFSET([3]enemy_skill_triggers!$A$1,0,0,COUNTA([3]enemy_skill_triggers!$A:$A),MATCH(M$1,[3]enemy_skill_triggers!$1:$1,0)-MATCH($F$1,[3]enemy_skill_triggers!$1:$1,0)+1),MATCH(M$1,[3]enemy_skill_triggers!$1:$1,0)-MATCH($F$1,[3]enemy_skill_triggers!$1:$1,0)+1,FALSE)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15" s="46" t="e">
        <f ca="1">VLOOKUP($F15,OFFSET([3]enemy_skill_triggers!$A$1,0,0,COUNTA([3]enemy_skill_triggers!$A:$A),MATCH(N$1,[3]enemy_skill_triggers!$1:$1,0)-MATCH($F$1,[3]enemy_skill_triggers!$1:$1,0)+1),MATCH(N$1,[3]enemy_skill_triggers!$1:$1,0)-MATCH($F$1,[3]enemy_skill_triggers!$1:$1,0)+1,FALSE)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15" s="46" t="e">
        <f ca="1">VLOOKUP($F15,OFFSET([3]enemy_skill_triggers!$A$1,0,0,COUNTA([3]enemy_skill_triggers!$A:$A),MATCH(O$1,[3]enemy_skill_triggers!$1:$1,0)-MATCH($F$1,[3]enemy_skill_triggers!$1:$1,0)+1),MATCH(O$1,[3]enemy_skill_triggers!$1:$1,0)-MATCH($F$1,[3]enemy_skill_triggers!$1:$1,0)+1,FALSE)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15" s="45"/>
      <c r="Q15" s="45"/>
      <c r="R15" s="45"/>
    </row>
    <row r="16" spans="1:18" ht="21" customHeight="1" x14ac:dyDescent="0.15">
      <c r="A16" s="37" t="str">
        <f t="shared" ref="A16" si="11">B16&amp;"_"&amp;C16</f>
        <v>13301450_13301464</v>
      </c>
      <c r="B16" s="104">
        <v>13301450</v>
      </c>
      <c r="C16" s="104">
        <v>13301464</v>
      </c>
      <c r="D16" s="44" t="e">
        <f ca="1">VLOOKUP($C16,OFFSET([3]enemy_skills!$A$1,0,0,COUNTA([3]enemy_skills!$A:$A),MATCH(D$1,[3]enemy_skills!$1:$1,0)-MATCH("enemy_skill_id",[3]enemy_skills!$1:$1,0)+1),MATCH(D$1,[3]enemy_skills!$1:$1,0)-MATCH("enemy_skill_id",[3]enemy_skills!$1:$1,0)+1,FALSE)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16" s="44" t="e">
        <f ca="1">VLOOKUP($C16,OFFSET([3]enemy_skills!$A$1,0,0,COUNTA([3]enemy_skills!$A:$A),MATCH(E$1,[3]enemy_skills!$1:$1,0)-MATCH("enemy_skill_id",[3]enemy_skills!$1:$1,0)+1),MATCH(E$1,[3]enemy_skills!$1:$1,0)-MATCH("enemy_skill_id",[3]enemy_skills!$1:$1,0)+1,FALSE)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16" s="104">
        <v>13301464</v>
      </c>
      <c r="G16" s="46" t="e">
        <f ca="1">VLOOKUP($F16,OFFSET([3]enemy_skill_triggers!$A$1,0,0,COUNTA([3]enemy_skill_triggers!$A:$A),MATCH(G$1,[3]enemy_skill_triggers!$1:$1,0)-MATCH($F$1,[3]enemy_skill_triggers!$1:$1,0)+1),MATCH(G$1,[3]enemy_skill_triggers!$1:$1,0)-MATCH($F$1,[3]enemy_skill_triggers!$1:$1,0)+1,FALSE)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16" s="46" t="e">
        <f ca="1">VLOOKUP($F16,OFFSET([3]enemy_skill_triggers!$A$1,0,0,COUNTA([3]enemy_skill_triggers!$A:$A),MATCH(H$1,[3]enemy_skill_triggers!$1:$1,0)-MATCH($F$1,[3]enemy_skill_triggers!$1:$1,0)+1),MATCH(H$1,[3]enemy_skill_triggers!$1:$1,0)-MATCH($F$1,[3]enemy_skill_triggers!$1:$1,0)+1,FALSE)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16" s="46" t="e">
        <f ca="1">VLOOKUP($F16,OFFSET([3]enemy_skill_triggers!$A$1,0,0,COUNTA([3]enemy_skill_triggers!$A:$A),MATCH(I$1,[3]enemy_skill_triggers!$1:$1,0)-MATCH($F$1,[3]enemy_skill_triggers!$1:$1,0)+1),MATCH(I$1,[3]enemy_skill_triggers!$1:$1,0)-MATCH($F$1,[3]enemy_skill_triggers!$1:$1,0)+1,FALSE)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16" s="46" t="e">
        <f ca="1">VLOOKUP($F16,OFFSET([3]enemy_skill_triggers!$A$1,0,0,COUNTA([3]enemy_skill_triggers!$A:$A),MATCH(J$1,[3]enemy_skill_triggers!$1:$1,0)-MATCH($F$1,[3]enemy_skill_triggers!$1:$1,0)+1),MATCH(J$1,[3]enemy_skill_triggers!$1:$1,0)-MATCH($F$1,[3]enemy_skill_triggers!$1:$1,0)+1,FALSE)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16" s="46" t="e">
        <f ca="1">VLOOKUP($F16,OFFSET([3]enemy_skill_triggers!$A$1,0,0,COUNTA([3]enemy_skill_triggers!$A:$A),MATCH(K$1,[3]enemy_skill_triggers!$1:$1,0)-MATCH($F$1,[3]enemy_skill_triggers!$1:$1,0)+1),MATCH(K$1,[3]enemy_skill_triggers!$1:$1,0)-MATCH($F$1,[3]enemy_skill_triggers!$1:$1,0)+1,FALSE)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16" s="46" t="e">
        <f ca="1">VLOOKUP($F16,OFFSET([3]enemy_skill_triggers!$A$1,0,0,COUNTA([3]enemy_skill_triggers!$A:$A),MATCH(L$1,[3]enemy_skill_triggers!$1:$1,0)-MATCH($F$1,[3]enemy_skill_triggers!$1:$1,0)+1),MATCH(L$1,[3]enemy_skill_triggers!$1:$1,0)-MATCH($F$1,[3]enemy_skill_triggers!$1:$1,0)+1,FALSE)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16" s="46" t="e">
        <f ca="1">VLOOKUP($F16,OFFSET([3]enemy_skill_triggers!$A$1,0,0,COUNTA([3]enemy_skill_triggers!$A:$A),MATCH(M$1,[3]enemy_skill_triggers!$1:$1,0)-MATCH($F$1,[3]enemy_skill_triggers!$1:$1,0)+1),MATCH(M$1,[3]enemy_skill_triggers!$1:$1,0)-MATCH($F$1,[3]enemy_skill_triggers!$1:$1,0)+1,FALSE)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16" s="46" t="e">
        <f ca="1">VLOOKUP($F16,OFFSET([3]enemy_skill_triggers!$A$1,0,0,COUNTA([3]enemy_skill_triggers!$A:$A),MATCH(N$1,[3]enemy_skill_triggers!$1:$1,0)-MATCH($F$1,[3]enemy_skill_triggers!$1:$1,0)+1),MATCH(N$1,[3]enemy_skill_triggers!$1:$1,0)-MATCH($F$1,[3]enemy_skill_triggers!$1:$1,0)+1,FALSE)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16" s="46" t="e">
        <f ca="1">VLOOKUP($F16,OFFSET([3]enemy_skill_triggers!$A$1,0,0,COUNTA([3]enemy_skill_triggers!$A:$A),MATCH(O$1,[3]enemy_skill_triggers!$1:$1,0)-MATCH($F$1,[3]enemy_skill_triggers!$1:$1,0)+1),MATCH(O$1,[3]enemy_skill_triggers!$1:$1,0)-MATCH($F$1,[3]enemy_skill_triggers!$1:$1,0)+1,FALSE)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16" s="45"/>
      <c r="Q16" s="45"/>
      <c r="R16" s="45"/>
    </row>
    <row r="17" spans="1:18" ht="21" customHeight="1" x14ac:dyDescent="0.15">
      <c r="A17" s="37" t="str">
        <f t="shared" si="10"/>
        <v>13301450_13301465</v>
      </c>
      <c r="B17" s="104">
        <v>13301450</v>
      </c>
      <c r="C17" s="104">
        <v>13301465</v>
      </c>
      <c r="D17" s="44" t="e">
        <f ca="1">VLOOKUP($C17,OFFSET([3]enemy_skills!$A$1,0,0,COUNTA([3]enemy_skills!$A:$A),MATCH(D$1,[3]enemy_skills!$1:$1,0)-MATCH("enemy_skill_id",[3]enemy_skills!$1:$1,0)+1),MATCH(D$1,[3]enemy_skills!$1:$1,0)-MATCH("enemy_skill_id",[3]enemy_skills!$1:$1,0)+1,FALSE)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17" s="44" t="e">
        <f ca="1">VLOOKUP($C17,OFFSET([3]enemy_skills!$A$1,0,0,COUNTA([3]enemy_skills!$A:$A),MATCH(E$1,[3]enemy_skills!$1:$1,0)-MATCH("enemy_skill_id",[3]enemy_skills!$1:$1,0)+1),MATCH(E$1,[3]enemy_skills!$1:$1,0)-MATCH("enemy_skill_id",[3]enemy_skills!$1:$1,0)+1,FALSE)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17" s="104">
        <v>13301465</v>
      </c>
      <c r="G17" s="46" t="e">
        <f ca="1">VLOOKUP($F17,OFFSET([3]enemy_skill_triggers!$A$1,0,0,COUNTA([3]enemy_skill_triggers!$A:$A),MATCH(G$1,[3]enemy_skill_triggers!$1:$1,0)-MATCH($F$1,[3]enemy_skill_triggers!$1:$1,0)+1),MATCH(G$1,[3]enemy_skill_triggers!$1:$1,0)-MATCH($F$1,[3]enemy_skill_triggers!$1:$1,0)+1,FALSE)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17" s="46" t="e">
        <f ca="1">VLOOKUP($F17,OFFSET([3]enemy_skill_triggers!$A$1,0,0,COUNTA([3]enemy_skill_triggers!$A:$A),MATCH(H$1,[3]enemy_skill_triggers!$1:$1,0)-MATCH($F$1,[3]enemy_skill_triggers!$1:$1,0)+1),MATCH(H$1,[3]enemy_skill_triggers!$1:$1,0)-MATCH($F$1,[3]enemy_skill_triggers!$1:$1,0)+1,FALSE)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17" s="46" t="e">
        <f ca="1">VLOOKUP($F17,OFFSET([3]enemy_skill_triggers!$A$1,0,0,COUNTA([3]enemy_skill_triggers!$A:$A),MATCH(I$1,[3]enemy_skill_triggers!$1:$1,0)-MATCH($F$1,[3]enemy_skill_triggers!$1:$1,0)+1),MATCH(I$1,[3]enemy_skill_triggers!$1:$1,0)-MATCH($F$1,[3]enemy_skill_triggers!$1:$1,0)+1,FALSE)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17" s="46" t="e">
        <f ca="1">VLOOKUP($F17,OFFSET([3]enemy_skill_triggers!$A$1,0,0,COUNTA([3]enemy_skill_triggers!$A:$A),MATCH(J$1,[3]enemy_skill_triggers!$1:$1,0)-MATCH($F$1,[3]enemy_skill_triggers!$1:$1,0)+1),MATCH(J$1,[3]enemy_skill_triggers!$1:$1,0)-MATCH($F$1,[3]enemy_skill_triggers!$1:$1,0)+1,FALSE)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17" s="46" t="e">
        <f ca="1">VLOOKUP($F17,OFFSET([3]enemy_skill_triggers!$A$1,0,0,COUNTA([3]enemy_skill_triggers!$A:$A),MATCH(K$1,[3]enemy_skill_triggers!$1:$1,0)-MATCH($F$1,[3]enemy_skill_triggers!$1:$1,0)+1),MATCH(K$1,[3]enemy_skill_triggers!$1:$1,0)-MATCH($F$1,[3]enemy_skill_triggers!$1:$1,0)+1,FALSE)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17" s="46" t="e">
        <f ca="1">VLOOKUP($F17,OFFSET([3]enemy_skill_triggers!$A$1,0,0,COUNTA([3]enemy_skill_triggers!$A:$A),MATCH(L$1,[3]enemy_skill_triggers!$1:$1,0)-MATCH($F$1,[3]enemy_skill_triggers!$1:$1,0)+1),MATCH(L$1,[3]enemy_skill_triggers!$1:$1,0)-MATCH($F$1,[3]enemy_skill_triggers!$1:$1,0)+1,FALSE)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17" s="46" t="e">
        <f ca="1">VLOOKUP($F17,OFFSET([3]enemy_skill_triggers!$A$1,0,0,COUNTA([3]enemy_skill_triggers!$A:$A),MATCH(M$1,[3]enemy_skill_triggers!$1:$1,0)-MATCH($F$1,[3]enemy_skill_triggers!$1:$1,0)+1),MATCH(M$1,[3]enemy_skill_triggers!$1:$1,0)-MATCH($F$1,[3]enemy_skill_triggers!$1:$1,0)+1,FALSE)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17" s="46" t="e">
        <f ca="1">VLOOKUP($F17,OFFSET([3]enemy_skill_triggers!$A$1,0,0,COUNTA([3]enemy_skill_triggers!$A:$A),MATCH(N$1,[3]enemy_skill_triggers!$1:$1,0)-MATCH($F$1,[3]enemy_skill_triggers!$1:$1,0)+1),MATCH(N$1,[3]enemy_skill_triggers!$1:$1,0)-MATCH($F$1,[3]enemy_skill_triggers!$1:$1,0)+1,FALSE)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17" s="46" t="e">
        <f ca="1">VLOOKUP($F17,OFFSET([3]enemy_skill_triggers!$A$1,0,0,COUNTA([3]enemy_skill_triggers!$A:$A),MATCH(O$1,[3]enemy_skill_triggers!$1:$1,0)-MATCH($F$1,[3]enemy_skill_triggers!$1:$1,0)+1),MATCH(O$1,[3]enemy_skill_triggers!$1:$1,0)-MATCH($F$1,[3]enemy_skill_triggers!$1:$1,0)+1,FALSE)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17" s="45"/>
      <c r="Q17" s="45"/>
      <c r="R17" s="45"/>
    </row>
    <row r="18" spans="1:18" ht="21" customHeight="1" x14ac:dyDescent="0.15">
      <c r="A18" s="37" t="str">
        <f t="shared" si="10"/>
        <v>13301451_13301466</v>
      </c>
      <c r="B18" s="104">
        <v>13301451</v>
      </c>
      <c r="C18" s="104">
        <v>13301466</v>
      </c>
      <c r="D18" s="44" t="e">
        <f ca="1">VLOOKUP($C18,OFFSET([3]enemy_skills!$A$1,0,0,COUNTA([3]enemy_skills!$A:$A),MATCH(D$1,[3]enemy_skills!$1:$1,0)-MATCH("enemy_skill_id",[3]enemy_skills!$1:$1,0)+1),MATCH(D$1,[3]enemy_skills!$1:$1,0)-MATCH("enemy_skill_id",[3]enemy_skills!$1:$1,0)+1,FALSE)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18" s="44" t="e">
        <f ca="1">VLOOKUP($C18,OFFSET([3]enemy_skills!$A$1,0,0,COUNTA([3]enemy_skills!$A:$A),MATCH(E$1,[3]enemy_skills!$1:$1,0)-MATCH("enemy_skill_id",[3]enemy_skills!$1:$1,0)+1),MATCH(E$1,[3]enemy_skills!$1:$1,0)-MATCH("enemy_skill_id",[3]enemy_skills!$1:$1,0)+1,FALSE)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18" s="104">
        <v>13301466</v>
      </c>
      <c r="G18" s="46" t="e">
        <f ca="1">VLOOKUP($F18,OFFSET([3]enemy_skill_triggers!$A$1,0,0,COUNTA([3]enemy_skill_triggers!$A:$A),MATCH(G$1,[3]enemy_skill_triggers!$1:$1,0)-MATCH($F$1,[3]enemy_skill_triggers!$1:$1,0)+1),MATCH(G$1,[3]enemy_skill_triggers!$1:$1,0)-MATCH($F$1,[3]enemy_skill_triggers!$1:$1,0)+1,FALSE)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18" s="46" t="e">
        <f ca="1">VLOOKUP($F18,OFFSET([3]enemy_skill_triggers!$A$1,0,0,COUNTA([3]enemy_skill_triggers!$A:$A),MATCH(H$1,[3]enemy_skill_triggers!$1:$1,0)-MATCH($F$1,[3]enemy_skill_triggers!$1:$1,0)+1),MATCH(H$1,[3]enemy_skill_triggers!$1:$1,0)-MATCH($F$1,[3]enemy_skill_triggers!$1:$1,0)+1,FALSE)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18" s="46" t="e">
        <f ca="1">VLOOKUP($F18,OFFSET([3]enemy_skill_triggers!$A$1,0,0,COUNTA([3]enemy_skill_triggers!$A:$A),MATCH(I$1,[3]enemy_skill_triggers!$1:$1,0)-MATCH($F$1,[3]enemy_skill_triggers!$1:$1,0)+1),MATCH(I$1,[3]enemy_skill_triggers!$1:$1,0)-MATCH($F$1,[3]enemy_skill_triggers!$1:$1,0)+1,FALSE)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18" s="46" t="e">
        <f ca="1">VLOOKUP($F18,OFFSET([3]enemy_skill_triggers!$A$1,0,0,COUNTA([3]enemy_skill_triggers!$A:$A),MATCH(J$1,[3]enemy_skill_triggers!$1:$1,0)-MATCH($F$1,[3]enemy_skill_triggers!$1:$1,0)+1),MATCH(J$1,[3]enemy_skill_triggers!$1:$1,0)-MATCH($F$1,[3]enemy_skill_triggers!$1:$1,0)+1,FALSE)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18" s="46" t="e">
        <f ca="1">VLOOKUP($F18,OFFSET([3]enemy_skill_triggers!$A$1,0,0,COUNTA([3]enemy_skill_triggers!$A:$A),MATCH(K$1,[3]enemy_skill_triggers!$1:$1,0)-MATCH($F$1,[3]enemy_skill_triggers!$1:$1,0)+1),MATCH(K$1,[3]enemy_skill_triggers!$1:$1,0)-MATCH($F$1,[3]enemy_skill_triggers!$1:$1,0)+1,FALSE)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18" s="46" t="e">
        <f ca="1">VLOOKUP($F18,OFFSET([3]enemy_skill_triggers!$A$1,0,0,COUNTA([3]enemy_skill_triggers!$A:$A),MATCH(L$1,[3]enemy_skill_triggers!$1:$1,0)-MATCH($F$1,[3]enemy_skill_triggers!$1:$1,0)+1),MATCH(L$1,[3]enemy_skill_triggers!$1:$1,0)-MATCH($F$1,[3]enemy_skill_triggers!$1:$1,0)+1,FALSE)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18" s="46" t="e">
        <f ca="1">VLOOKUP($F18,OFFSET([3]enemy_skill_triggers!$A$1,0,0,COUNTA([3]enemy_skill_triggers!$A:$A),MATCH(M$1,[3]enemy_skill_triggers!$1:$1,0)-MATCH($F$1,[3]enemy_skill_triggers!$1:$1,0)+1),MATCH(M$1,[3]enemy_skill_triggers!$1:$1,0)-MATCH($F$1,[3]enemy_skill_triggers!$1:$1,0)+1,FALSE)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18" s="46" t="e">
        <f ca="1">VLOOKUP($F18,OFFSET([3]enemy_skill_triggers!$A$1,0,0,COUNTA([3]enemy_skill_triggers!$A:$A),MATCH(N$1,[3]enemy_skill_triggers!$1:$1,0)-MATCH($F$1,[3]enemy_skill_triggers!$1:$1,0)+1),MATCH(N$1,[3]enemy_skill_triggers!$1:$1,0)-MATCH($F$1,[3]enemy_skill_triggers!$1:$1,0)+1,FALSE)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18" s="46" t="e">
        <f ca="1">VLOOKUP($F18,OFFSET([3]enemy_skill_triggers!$A$1,0,0,COUNTA([3]enemy_skill_triggers!$A:$A),MATCH(O$1,[3]enemy_skill_triggers!$1:$1,0)-MATCH($F$1,[3]enemy_skill_triggers!$1:$1,0)+1),MATCH(O$1,[3]enemy_skill_triggers!$1:$1,0)-MATCH($F$1,[3]enemy_skill_triggers!$1:$1,0)+1,FALSE)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18" s="45"/>
      <c r="Q18" s="45"/>
      <c r="R18" s="45"/>
    </row>
    <row r="19" spans="1:18" ht="21" customHeight="1" x14ac:dyDescent="0.15">
      <c r="A19" s="37" t="str">
        <f t="shared" si="10"/>
        <v>13301451_13301467</v>
      </c>
      <c r="B19" s="104">
        <v>13301451</v>
      </c>
      <c r="C19" s="104">
        <v>13301467</v>
      </c>
      <c r="D19" s="44" t="e">
        <f ca="1">VLOOKUP($C19,OFFSET([3]enemy_skills!$A$1,0,0,COUNTA([3]enemy_skills!$A:$A),MATCH(D$1,[3]enemy_skills!$1:$1,0)-MATCH("enemy_skill_id",[3]enemy_skills!$1:$1,0)+1),MATCH(D$1,[3]enemy_skills!$1:$1,0)-MATCH("enemy_skill_id",[3]enemy_skills!$1:$1,0)+1,FALSE)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19" s="44" t="e">
        <f ca="1">VLOOKUP($C19,OFFSET([3]enemy_skills!$A$1,0,0,COUNTA([3]enemy_skills!$A:$A),MATCH(E$1,[3]enemy_skills!$1:$1,0)-MATCH("enemy_skill_id",[3]enemy_skills!$1:$1,0)+1),MATCH(E$1,[3]enemy_skills!$1:$1,0)-MATCH("enemy_skill_id",[3]enemy_skills!$1:$1,0)+1,FALSE)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19" s="104">
        <v>13301467</v>
      </c>
      <c r="G19" s="46" t="e">
        <f ca="1">VLOOKUP($F19,OFFSET([3]enemy_skill_triggers!$A$1,0,0,COUNTA([3]enemy_skill_triggers!$A:$A),MATCH(G$1,[3]enemy_skill_triggers!$1:$1,0)-MATCH($F$1,[3]enemy_skill_triggers!$1:$1,0)+1),MATCH(G$1,[3]enemy_skill_triggers!$1:$1,0)-MATCH($F$1,[3]enemy_skill_triggers!$1:$1,0)+1,FALSE)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19" s="46" t="e">
        <f ca="1">VLOOKUP($F19,OFFSET([3]enemy_skill_triggers!$A$1,0,0,COUNTA([3]enemy_skill_triggers!$A:$A),MATCH(H$1,[3]enemy_skill_triggers!$1:$1,0)-MATCH($F$1,[3]enemy_skill_triggers!$1:$1,0)+1),MATCH(H$1,[3]enemy_skill_triggers!$1:$1,0)-MATCH($F$1,[3]enemy_skill_triggers!$1:$1,0)+1,FALSE)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19" s="46" t="e">
        <f ca="1">VLOOKUP($F19,OFFSET([3]enemy_skill_triggers!$A$1,0,0,COUNTA([3]enemy_skill_triggers!$A:$A),MATCH(I$1,[3]enemy_skill_triggers!$1:$1,0)-MATCH($F$1,[3]enemy_skill_triggers!$1:$1,0)+1),MATCH(I$1,[3]enemy_skill_triggers!$1:$1,0)-MATCH($F$1,[3]enemy_skill_triggers!$1:$1,0)+1,FALSE)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19" s="46" t="e">
        <f ca="1">VLOOKUP($F19,OFFSET([3]enemy_skill_triggers!$A$1,0,0,COUNTA([3]enemy_skill_triggers!$A:$A),MATCH(J$1,[3]enemy_skill_triggers!$1:$1,0)-MATCH($F$1,[3]enemy_skill_triggers!$1:$1,0)+1),MATCH(J$1,[3]enemy_skill_triggers!$1:$1,0)-MATCH($F$1,[3]enemy_skill_triggers!$1:$1,0)+1,FALSE)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19" s="46" t="e">
        <f ca="1">VLOOKUP($F19,OFFSET([3]enemy_skill_triggers!$A$1,0,0,COUNTA([3]enemy_skill_triggers!$A:$A),MATCH(K$1,[3]enemy_skill_triggers!$1:$1,0)-MATCH($F$1,[3]enemy_skill_triggers!$1:$1,0)+1),MATCH(K$1,[3]enemy_skill_triggers!$1:$1,0)-MATCH($F$1,[3]enemy_skill_triggers!$1:$1,0)+1,FALSE)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19" s="46" t="e">
        <f ca="1">VLOOKUP($F19,OFFSET([3]enemy_skill_triggers!$A$1,0,0,COUNTA([3]enemy_skill_triggers!$A:$A),MATCH(L$1,[3]enemy_skill_triggers!$1:$1,0)-MATCH($F$1,[3]enemy_skill_triggers!$1:$1,0)+1),MATCH(L$1,[3]enemy_skill_triggers!$1:$1,0)-MATCH($F$1,[3]enemy_skill_triggers!$1:$1,0)+1,FALSE)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19" s="46" t="e">
        <f ca="1">VLOOKUP($F19,OFFSET([3]enemy_skill_triggers!$A$1,0,0,COUNTA([3]enemy_skill_triggers!$A:$A),MATCH(M$1,[3]enemy_skill_triggers!$1:$1,0)-MATCH($F$1,[3]enemy_skill_triggers!$1:$1,0)+1),MATCH(M$1,[3]enemy_skill_triggers!$1:$1,0)-MATCH($F$1,[3]enemy_skill_triggers!$1:$1,0)+1,FALSE)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19" s="46" t="e">
        <f ca="1">VLOOKUP($F19,OFFSET([3]enemy_skill_triggers!$A$1,0,0,COUNTA([3]enemy_skill_triggers!$A:$A),MATCH(N$1,[3]enemy_skill_triggers!$1:$1,0)-MATCH($F$1,[3]enemy_skill_triggers!$1:$1,0)+1),MATCH(N$1,[3]enemy_skill_triggers!$1:$1,0)-MATCH($F$1,[3]enemy_skill_triggers!$1:$1,0)+1,FALSE)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19" s="46" t="e">
        <f ca="1">VLOOKUP($F19,OFFSET([3]enemy_skill_triggers!$A$1,0,0,COUNTA([3]enemy_skill_triggers!$A:$A),MATCH(O$1,[3]enemy_skill_triggers!$1:$1,0)-MATCH($F$1,[3]enemy_skill_triggers!$1:$1,0)+1),MATCH(O$1,[3]enemy_skill_triggers!$1:$1,0)-MATCH($F$1,[3]enemy_skill_triggers!$1:$1,0)+1,FALSE)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19" s="45"/>
      <c r="Q19" s="45"/>
      <c r="R19" s="45"/>
    </row>
    <row r="20" spans="1:18" ht="21" customHeight="1" x14ac:dyDescent="0.15">
      <c r="A20" s="37" t="str">
        <f t="shared" si="10"/>
        <v>13301451_13301468</v>
      </c>
      <c r="B20" s="104">
        <v>13301451</v>
      </c>
      <c r="C20" s="104">
        <v>13301468</v>
      </c>
      <c r="D20" s="44" t="e">
        <f ca="1">VLOOKUP($C20,OFFSET([3]enemy_skills!$A$1,0,0,COUNTA([3]enemy_skills!$A:$A),MATCH(D$1,[3]enemy_skills!$1:$1,0)-MATCH("enemy_skill_id",[3]enemy_skills!$1:$1,0)+1),MATCH(D$1,[3]enemy_skills!$1:$1,0)-MATCH("enemy_skill_id",[3]enemy_skills!$1:$1,0)+1,FALSE)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20" s="44" t="e">
        <f ca="1">VLOOKUP($C20,OFFSET([3]enemy_skills!$A$1,0,0,COUNTA([3]enemy_skills!$A:$A),MATCH(E$1,[3]enemy_skills!$1:$1,0)-MATCH("enemy_skill_id",[3]enemy_skills!$1:$1,0)+1),MATCH(E$1,[3]enemy_skills!$1:$1,0)-MATCH("enemy_skill_id",[3]enemy_skills!$1:$1,0)+1,FALSE)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20" s="104">
        <v>13301468</v>
      </c>
      <c r="G20" s="46" t="e">
        <f ca="1">VLOOKUP($F20,OFFSET([3]enemy_skill_triggers!$A$1,0,0,COUNTA([3]enemy_skill_triggers!$A:$A),MATCH(G$1,[3]enemy_skill_triggers!$1:$1,0)-MATCH($F$1,[3]enemy_skill_triggers!$1:$1,0)+1),MATCH(G$1,[3]enemy_skill_triggers!$1:$1,0)-MATCH($F$1,[3]enemy_skill_triggers!$1:$1,0)+1,FALSE)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20" s="46" t="e">
        <f ca="1">VLOOKUP($F20,OFFSET([3]enemy_skill_triggers!$A$1,0,0,COUNTA([3]enemy_skill_triggers!$A:$A),MATCH(H$1,[3]enemy_skill_triggers!$1:$1,0)-MATCH($F$1,[3]enemy_skill_triggers!$1:$1,0)+1),MATCH(H$1,[3]enemy_skill_triggers!$1:$1,0)-MATCH($F$1,[3]enemy_skill_triggers!$1:$1,0)+1,FALSE)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20" s="46" t="e">
        <f ca="1">VLOOKUP($F20,OFFSET([3]enemy_skill_triggers!$A$1,0,0,COUNTA([3]enemy_skill_triggers!$A:$A),MATCH(I$1,[3]enemy_skill_triggers!$1:$1,0)-MATCH($F$1,[3]enemy_skill_triggers!$1:$1,0)+1),MATCH(I$1,[3]enemy_skill_triggers!$1:$1,0)-MATCH($F$1,[3]enemy_skill_triggers!$1:$1,0)+1,FALSE)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20" s="46" t="e">
        <f ca="1">VLOOKUP($F20,OFFSET([3]enemy_skill_triggers!$A$1,0,0,COUNTA([3]enemy_skill_triggers!$A:$A),MATCH(J$1,[3]enemy_skill_triggers!$1:$1,0)-MATCH($F$1,[3]enemy_skill_triggers!$1:$1,0)+1),MATCH(J$1,[3]enemy_skill_triggers!$1:$1,0)-MATCH($F$1,[3]enemy_skill_triggers!$1:$1,0)+1,FALSE)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20" s="46" t="e">
        <f ca="1">VLOOKUP($F20,OFFSET([3]enemy_skill_triggers!$A$1,0,0,COUNTA([3]enemy_skill_triggers!$A:$A),MATCH(K$1,[3]enemy_skill_triggers!$1:$1,0)-MATCH($F$1,[3]enemy_skill_triggers!$1:$1,0)+1),MATCH(K$1,[3]enemy_skill_triggers!$1:$1,0)-MATCH($F$1,[3]enemy_skill_triggers!$1:$1,0)+1,FALSE)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20" s="46" t="e">
        <f ca="1">VLOOKUP($F20,OFFSET([3]enemy_skill_triggers!$A$1,0,0,COUNTA([3]enemy_skill_triggers!$A:$A),MATCH(L$1,[3]enemy_skill_triggers!$1:$1,0)-MATCH($F$1,[3]enemy_skill_triggers!$1:$1,0)+1),MATCH(L$1,[3]enemy_skill_triggers!$1:$1,0)-MATCH($F$1,[3]enemy_skill_triggers!$1:$1,0)+1,FALSE)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20" s="46" t="e">
        <f ca="1">VLOOKUP($F20,OFFSET([3]enemy_skill_triggers!$A$1,0,0,COUNTA([3]enemy_skill_triggers!$A:$A),MATCH(M$1,[3]enemy_skill_triggers!$1:$1,0)-MATCH($F$1,[3]enemy_skill_triggers!$1:$1,0)+1),MATCH(M$1,[3]enemy_skill_triggers!$1:$1,0)-MATCH($F$1,[3]enemy_skill_triggers!$1:$1,0)+1,FALSE)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20" s="46" t="e">
        <f ca="1">VLOOKUP($F20,OFFSET([3]enemy_skill_triggers!$A$1,0,0,COUNTA([3]enemy_skill_triggers!$A:$A),MATCH(N$1,[3]enemy_skill_triggers!$1:$1,0)-MATCH($F$1,[3]enemy_skill_triggers!$1:$1,0)+1),MATCH(N$1,[3]enemy_skill_triggers!$1:$1,0)-MATCH($F$1,[3]enemy_skill_triggers!$1:$1,0)+1,FALSE)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20" s="46" t="e">
        <f ca="1">VLOOKUP($F20,OFFSET([3]enemy_skill_triggers!$A$1,0,0,COUNTA([3]enemy_skill_triggers!$A:$A),MATCH(O$1,[3]enemy_skill_triggers!$1:$1,0)-MATCH($F$1,[3]enemy_skill_triggers!$1:$1,0)+1),MATCH(O$1,[3]enemy_skill_triggers!$1:$1,0)-MATCH($F$1,[3]enemy_skill_triggers!$1:$1,0)+1,FALSE)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20" s="45"/>
      <c r="Q20" s="45"/>
      <c r="R20" s="45"/>
    </row>
    <row r="21" spans="1:18" ht="21" customHeight="1" x14ac:dyDescent="0.15">
      <c r="A21" s="37" t="str">
        <f t="shared" ref="A21:A29" si="12">B21&amp;"_"&amp;C21</f>
        <v>13301451_13301469</v>
      </c>
      <c r="B21" s="104">
        <v>13301451</v>
      </c>
      <c r="C21" s="104">
        <v>13301469</v>
      </c>
      <c r="D21" s="44" t="e">
        <f ca="1">VLOOKUP($C21,OFFSET([3]enemy_skills!$A$1,0,0,COUNTA([3]enemy_skills!$A:$A),MATCH(D$1,[3]enemy_skills!$1:$1,0)-MATCH("enemy_skill_id",[3]enemy_skills!$1:$1,0)+1),MATCH(D$1,[3]enemy_skills!$1:$1,0)-MATCH("enemy_skill_id",[3]enemy_skills!$1:$1,0)+1,FALSE)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21" s="44" t="e">
        <f ca="1">VLOOKUP($C21,OFFSET([3]enemy_skills!$A$1,0,0,COUNTA([3]enemy_skills!$A:$A),MATCH(E$1,[3]enemy_skills!$1:$1,0)-MATCH("enemy_skill_id",[3]enemy_skills!$1:$1,0)+1),MATCH(E$1,[3]enemy_skills!$1:$1,0)-MATCH("enemy_skill_id",[3]enemy_skills!$1:$1,0)+1,FALSE)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21" s="104">
        <v>13301469</v>
      </c>
      <c r="G21" s="46" t="e">
        <f ca="1">VLOOKUP($F21,OFFSET([3]enemy_skill_triggers!$A$1,0,0,COUNTA([3]enemy_skill_triggers!$A:$A),MATCH(G$1,[3]enemy_skill_triggers!$1:$1,0)-MATCH($F$1,[3]enemy_skill_triggers!$1:$1,0)+1),MATCH(G$1,[3]enemy_skill_triggers!$1:$1,0)-MATCH($F$1,[3]enemy_skill_triggers!$1:$1,0)+1,FALSE)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21" s="46" t="e">
        <f ca="1">VLOOKUP($F21,OFFSET([3]enemy_skill_triggers!$A$1,0,0,COUNTA([3]enemy_skill_triggers!$A:$A),MATCH(H$1,[3]enemy_skill_triggers!$1:$1,0)-MATCH($F$1,[3]enemy_skill_triggers!$1:$1,0)+1),MATCH(H$1,[3]enemy_skill_triggers!$1:$1,0)-MATCH($F$1,[3]enemy_skill_triggers!$1:$1,0)+1,FALSE)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21" s="46" t="e">
        <f ca="1">VLOOKUP($F21,OFFSET([3]enemy_skill_triggers!$A$1,0,0,COUNTA([3]enemy_skill_triggers!$A:$A),MATCH(I$1,[3]enemy_skill_triggers!$1:$1,0)-MATCH($F$1,[3]enemy_skill_triggers!$1:$1,0)+1),MATCH(I$1,[3]enemy_skill_triggers!$1:$1,0)-MATCH($F$1,[3]enemy_skill_triggers!$1:$1,0)+1,FALSE)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21" s="46" t="e">
        <f ca="1">VLOOKUP($F21,OFFSET([3]enemy_skill_triggers!$A$1,0,0,COUNTA([3]enemy_skill_triggers!$A:$A),MATCH(J$1,[3]enemy_skill_triggers!$1:$1,0)-MATCH($F$1,[3]enemy_skill_triggers!$1:$1,0)+1),MATCH(J$1,[3]enemy_skill_triggers!$1:$1,0)-MATCH($F$1,[3]enemy_skill_triggers!$1:$1,0)+1,FALSE)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21" s="46" t="e">
        <f ca="1">VLOOKUP($F21,OFFSET([3]enemy_skill_triggers!$A$1,0,0,COUNTA([3]enemy_skill_triggers!$A:$A),MATCH(K$1,[3]enemy_skill_triggers!$1:$1,0)-MATCH($F$1,[3]enemy_skill_triggers!$1:$1,0)+1),MATCH(K$1,[3]enemy_skill_triggers!$1:$1,0)-MATCH($F$1,[3]enemy_skill_triggers!$1:$1,0)+1,FALSE)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21" s="46" t="e">
        <f ca="1">VLOOKUP($F21,OFFSET([3]enemy_skill_triggers!$A$1,0,0,COUNTA([3]enemy_skill_triggers!$A:$A),MATCH(L$1,[3]enemy_skill_triggers!$1:$1,0)-MATCH($F$1,[3]enemy_skill_triggers!$1:$1,0)+1),MATCH(L$1,[3]enemy_skill_triggers!$1:$1,0)-MATCH($F$1,[3]enemy_skill_triggers!$1:$1,0)+1,FALSE)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21" s="46" t="e">
        <f ca="1">VLOOKUP($F21,OFFSET([3]enemy_skill_triggers!$A$1,0,0,COUNTA([3]enemy_skill_triggers!$A:$A),MATCH(M$1,[3]enemy_skill_triggers!$1:$1,0)-MATCH($F$1,[3]enemy_skill_triggers!$1:$1,0)+1),MATCH(M$1,[3]enemy_skill_triggers!$1:$1,0)-MATCH($F$1,[3]enemy_skill_triggers!$1:$1,0)+1,FALSE)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21" s="46" t="e">
        <f ca="1">VLOOKUP($F21,OFFSET([3]enemy_skill_triggers!$A$1,0,0,COUNTA([3]enemy_skill_triggers!$A:$A),MATCH(N$1,[3]enemy_skill_triggers!$1:$1,0)-MATCH($F$1,[3]enemy_skill_triggers!$1:$1,0)+1),MATCH(N$1,[3]enemy_skill_triggers!$1:$1,0)-MATCH($F$1,[3]enemy_skill_triggers!$1:$1,0)+1,FALSE)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21" s="46" t="e">
        <f ca="1">VLOOKUP($F21,OFFSET([3]enemy_skill_triggers!$A$1,0,0,COUNTA([3]enemy_skill_triggers!$A:$A),MATCH(O$1,[3]enemy_skill_triggers!$1:$1,0)-MATCH($F$1,[3]enemy_skill_triggers!$1:$1,0)+1),MATCH(O$1,[3]enemy_skill_triggers!$1:$1,0)-MATCH($F$1,[3]enemy_skill_triggers!$1:$1,0)+1,FALSE)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21" s="45"/>
      <c r="Q21" s="45"/>
      <c r="R21" s="45"/>
    </row>
    <row r="22" spans="1:18" ht="21" customHeight="1" x14ac:dyDescent="0.15">
      <c r="A22" s="37" t="str">
        <f t="shared" si="12"/>
        <v>13301451_13301470</v>
      </c>
      <c r="B22" s="104">
        <v>13301451</v>
      </c>
      <c r="C22" s="104">
        <v>13301470</v>
      </c>
      <c r="D22" s="44" t="e">
        <f ca="1">VLOOKUP($C22,OFFSET([3]enemy_skills!$A$1,0,0,COUNTA([3]enemy_skills!$A:$A),MATCH(D$1,[3]enemy_skills!$1:$1,0)-MATCH("enemy_skill_id",[3]enemy_skills!$1:$1,0)+1),MATCH(D$1,[3]enemy_skills!$1:$1,0)-MATCH("enemy_skill_id",[3]enemy_skills!$1:$1,0)+1,FALSE)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22" s="44" t="e">
        <f ca="1">VLOOKUP($C22,OFFSET([3]enemy_skills!$A$1,0,0,COUNTA([3]enemy_skills!$A:$A),MATCH(E$1,[3]enemy_skills!$1:$1,0)-MATCH("enemy_skill_id",[3]enemy_skills!$1:$1,0)+1),MATCH(E$1,[3]enemy_skills!$1:$1,0)-MATCH("enemy_skill_id",[3]enemy_skills!$1:$1,0)+1,FALSE)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22" s="104">
        <v>13301470</v>
      </c>
      <c r="G22" s="46" t="e">
        <f ca="1">VLOOKUP($F22,OFFSET([3]enemy_skill_triggers!$A$1,0,0,COUNTA([3]enemy_skill_triggers!$A:$A),MATCH(G$1,[3]enemy_skill_triggers!$1:$1,0)-MATCH($F$1,[3]enemy_skill_triggers!$1:$1,0)+1),MATCH(G$1,[3]enemy_skill_triggers!$1:$1,0)-MATCH($F$1,[3]enemy_skill_triggers!$1:$1,0)+1,FALSE)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22" s="46" t="e">
        <f ca="1">VLOOKUP($F22,OFFSET([3]enemy_skill_triggers!$A$1,0,0,COUNTA([3]enemy_skill_triggers!$A:$A),MATCH(H$1,[3]enemy_skill_triggers!$1:$1,0)-MATCH($F$1,[3]enemy_skill_triggers!$1:$1,0)+1),MATCH(H$1,[3]enemy_skill_triggers!$1:$1,0)-MATCH($F$1,[3]enemy_skill_triggers!$1:$1,0)+1,FALSE)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22" s="46" t="e">
        <f ca="1">VLOOKUP($F22,OFFSET([3]enemy_skill_triggers!$A$1,0,0,COUNTA([3]enemy_skill_triggers!$A:$A),MATCH(I$1,[3]enemy_skill_triggers!$1:$1,0)-MATCH($F$1,[3]enemy_skill_triggers!$1:$1,0)+1),MATCH(I$1,[3]enemy_skill_triggers!$1:$1,0)-MATCH($F$1,[3]enemy_skill_triggers!$1:$1,0)+1,FALSE)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22" s="46" t="e">
        <f ca="1">VLOOKUP($F22,OFFSET([3]enemy_skill_triggers!$A$1,0,0,COUNTA([3]enemy_skill_triggers!$A:$A),MATCH(J$1,[3]enemy_skill_triggers!$1:$1,0)-MATCH($F$1,[3]enemy_skill_triggers!$1:$1,0)+1),MATCH(J$1,[3]enemy_skill_triggers!$1:$1,0)-MATCH($F$1,[3]enemy_skill_triggers!$1:$1,0)+1,FALSE)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22" s="46" t="e">
        <f ca="1">VLOOKUP($F22,OFFSET([3]enemy_skill_triggers!$A$1,0,0,COUNTA([3]enemy_skill_triggers!$A:$A),MATCH(K$1,[3]enemy_skill_triggers!$1:$1,0)-MATCH($F$1,[3]enemy_skill_triggers!$1:$1,0)+1),MATCH(K$1,[3]enemy_skill_triggers!$1:$1,0)-MATCH($F$1,[3]enemy_skill_triggers!$1:$1,0)+1,FALSE)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22" s="46" t="e">
        <f ca="1">VLOOKUP($F22,OFFSET([3]enemy_skill_triggers!$A$1,0,0,COUNTA([3]enemy_skill_triggers!$A:$A),MATCH(L$1,[3]enemy_skill_triggers!$1:$1,0)-MATCH($F$1,[3]enemy_skill_triggers!$1:$1,0)+1),MATCH(L$1,[3]enemy_skill_triggers!$1:$1,0)-MATCH($F$1,[3]enemy_skill_triggers!$1:$1,0)+1,FALSE)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22" s="46" t="e">
        <f ca="1">VLOOKUP($F22,OFFSET([3]enemy_skill_triggers!$A$1,0,0,COUNTA([3]enemy_skill_triggers!$A:$A),MATCH(M$1,[3]enemy_skill_triggers!$1:$1,0)-MATCH($F$1,[3]enemy_skill_triggers!$1:$1,0)+1),MATCH(M$1,[3]enemy_skill_triggers!$1:$1,0)-MATCH($F$1,[3]enemy_skill_triggers!$1:$1,0)+1,FALSE)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22" s="46" t="e">
        <f ca="1">VLOOKUP($F22,OFFSET([3]enemy_skill_triggers!$A$1,0,0,COUNTA([3]enemy_skill_triggers!$A:$A),MATCH(N$1,[3]enemy_skill_triggers!$1:$1,0)-MATCH($F$1,[3]enemy_skill_triggers!$1:$1,0)+1),MATCH(N$1,[3]enemy_skill_triggers!$1:$1,0)-MATCH($F$1,[3]enemy_skill_triggers!$1:$1,0)+1,FALSE)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22" s="46" t="e">
        <f ca="1">VLOOKUP($F22,OFFSET([3]enemy_skill_triggers!$A$1,0,0,COUNTA([3]enemy_skill_triggers!$A:$A),MATCH(O$1,[3]enemy_skill_triggers!$1:$1,0)-MATCH($F$1,[3]enemy_skill_triggers!$1:$1,0)+1),MATCH(O$1,[3]enemy_skill_triggers!$1:$1,0)-MATCH($F$1,[3]enemy_skill_triggers!$1:$1,0)+1,FALSE)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22" s="45"/>
      <c r="Q22" s="45"/>
      <c r="R22" s="45"/>
    </row>
    <row r="23" spans="1:18" ht="21" customHeight="1" x14ac:dyDescent="0.15">
      <c r="A23" s="37" t="str">
        <f t="shared" si="12"/>
        <v>13301452_13301471</v>
      </c>
      <c r="B23" s="104">
        <v>13301452</v>
      </c>
      <c r="C23" s="104">
        <v>13301471</v>
      </c>
      <c r="D23" s="44" t="e">
        <f ca="1">VLOOKUP($C23,OFFSET([3]enemy_skills!$A$1,0,0,COUNTA([3]enemy_skills!$A:$A),MATCH(D$1,[3]enemy_skills!$1:$1,0)-MATCH("enemy_skill_id",[3]enemy_skills!$1:$1,0)+1),MATCH(D$1,[3]enemy_skills!$1:$1,0)-MATCH("enemy_skill_id",[3]enemy_skills!$1:$1,0)+1,FALSE)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23" s="44" t="e">
        <f ca="1">VLOOKUP($C23,OFFSET([3]enemy_skills!$A$1,0,0,COUNTA([3]enemy_skills!$A:$A),MATCH(E$1,[3]enemy_skills!$1:$1,0)-MATCH("enemy_skill_id",[3]enemy_skills!$1:$1,0)+1),MATCH(E$1,[3]enemy_skills!$1:$1,0)-MATCH("enemy_skill_id",[3]enemy_skills!$1:$1,0)+1,FALSE)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23" s="104">
        <v>13301471</v>
      </c>
      <c r="G23" s="46" t="e">
        <f ca="1">VLOOKUP($F23,OFFSET([3]enemy_skill_triggers!$A$1,0,0,COUNTA([3]enemy_skill_triggers!$A:$A),MATCH(G$1,[3]enemy_skill_triggers!$1:$1,0)-MATCH($F$1,[3]enemy_skill_triggers!$1:$1,0)+1),MATCH(G$1,[3]enemy_skill_triggers!$1:$1,0)-MATCH($F$1,[3]enemy_skill_triggers!$1:$1,0)+1,FALSE)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23" s="46" t="e">
        <f ca="1">VLOOKUP($F23,OFFSET([3]enemy_skill_triggers!$A$1,0,0,COUNTA([3]enemy_skill_triggers!$A:$A),MATCH(H$1,[3]enemy_skill_triggers!$1:$1,0)-MATCH($F$1,[3]enemy_skill_triggers!$1:$1,0)+1),MATCH(H$1,[3]enemy_skill_triggers!$1:$1,0)-MATCH($F$1,[3]enemy_skill_triggers!$1:$1,0)+1,FALSE)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23" s="46" t="e">
        <f ca="1">VLOOKUP($F23,OFFSET([3]enemy_skill_triggers!$A$1,0,0,COUNTA([3]enemy_skill_triggers!$A:$A),MATCH(I$1,[3]enemy_skill_triggers!$1:$1,0)-MATCH($F$1,[3]enemy_skill_triggers!$1:$1,0)+1),MATCH(I$1,[3]enemy_skill_triggers!$1:$1,0)-MATCH($F$1,[3]enemy_skill_triggers!$1:$1,0)+1,FALSE)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23" s="46" t="e">
        <f ca="1">VLOOKUP($F23,OFFSET([3]enemy_skill_triggers!$A$1,0,0,COUNTA([3]enemy_skill_triggers!$A:$A),MATCH(J$1,[3]enemy_skill_triggers!$1:$1,0)-MATCH($F$1,[3]enemy_skill_triggers!$1:$1,0)+1),MATCH(J$1,[3]enemy_skill_triggers!$1:$1,0)-MATCH($F$1,[3]enemy_skill_triggers!$1:$1,0)+1,FALSE)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23" s="46" t="e">
        <f ca="1">VLOOKUP($F23,OFFSET([3]enemy_skill_triggers!$A$1,0,0,COUNTA([3]enemy_skill_triggers!$A:$A),MATCH(K$1,[3]enemy_skill_triggers!$1:$1,0)-MATCH($F$1,[3]enemy_skill_triggers!$1:$1,0)+1),MATCH(K$1,[3]enemy_skill_triggers!$1:$1,0)-MATCH($F$1,[3]enemy_skill_triggers!$1:$1,0)+1,FALSE)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23" s="46" t="e">
        <f ca="1">VLOOKUP($F23,OFFSET([3]enemy_skill_triggers!$A$1,0,0,COUNTA([3]enemy_skill_triggers!$A:$A),MATCH(L$1,[3]enemy_skill_triggers!$1:$1,0)-MATCH($F$1,[3]enemy_skill_triggers!$1:$1,0)+1),MATCH(L$1,[3]enemy_skill_triggers!$1:$1,0)-MATCH($F$1,[3]enemy_skill_triggers!$1:$1,0)+1,FALSE)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23" s="46" t="e">
        <f ca="1">VLOOKUP($F23,OFFSET([3]enemy_skill_triggers!$A$1,0,0,COUNTA([3]enemy_skill_triggers!$A:$A),MATCH(M$1,[3]enemy_skill_triggers!$1:$1,0)-MATCH($F$1,[3]enemy_skill_triggers!$1:$1,0)+1),MATCH(M$1,[3]enemy_skill_triggers!$1:$1,0)-MATCH($F$1,[3]enemy_skill_triggers!$1:$1,0)+1,FALSE)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23" s="46" t="e">
        <f ca="1">VLOOKUP($F23,OFFSET([3]enemy_skill_triggers!$A$1,0,0,COUNTA([3]enemy_skill_triggers!$A:$A),MATCH(N$1,[3]enemy_skill_triggers!$1:$1,0)-MATCH($F$1,[3]enemy_skill_triggers!$1:$1,0)+1),MATCH(N$1,[3]enemy_skill_triggers!$1:$1,0)-MATCH($F$1,[3]enemy_skill_triggers!$1:$1,0)+1,FALSE)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23" s="46" t="e">
        <f ca="1">VLOOKUP($F23,OFFSET([3]enemy_skill_triggers!$A$1,0,0,COUNTA([3]enemy_skill_triggers!$A:$A),MATCH(O$1,[3]enemy_skill_triggers!$1:$1,0)-MATCH($F$1,[3]enemy_skill_triggers!$1:$1,0)+1),MATCH(O$1,[3]enemy_skill_triggers!$1:$1,0)-MATCH($F$1,[3]enemy_skill_triggers!$1:$1,0)+1,FALSE)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23" s="45"/>
      <c r="Q23" s="45"/>
      <c r="R23" s="45"/>
    </row>
    <row r="24" spans="1:18" ht="21" customHeight="1" x14ac:dyDescent="0.15">
      <c r="A24" s="37" t="str">
        <f t="shared" si="12"/>
        <v>13301452_13301472</v>
      </c>
      <c r="B24" s="104">
        <v>13301452</v>
      </c>
      <c r="C24" s="104">
        <v>13301472</v>
      </c>
      <c r="D24" s="44" t="e">
        <f ca="1">VLOOKUP($C24,OFFSET([3]enemy_skills!$A$1,0,0,COUNTA([3]enemy_skills!$A:$A),MATCH(D$1,[3]enemy_skills!$1:$1,0)-MATCH("enemy_skill_id",[3]enemy_skills!$1:$1,0)+1),MATCH(D$1,[3]enemy_skills!$1:$1,0)-MATCH("enemy_skill_id",[3]enemy_skills!$1:$1,0)+1,FALSE)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24" s="44" t="e">
        <f ca="1">VLOOKUP($C24,OFFSET([3]enemy_skills!$A$1,0,0,COUNTA([3]enemy_skills!$A:$A),MATCH(E$1,[3]enemy_skills!$1:$1,0)-MATCH("enemy_skill_id",[3]enemy_skills!$1:$1,0)+1),MATCH(E$1,[3]enemy_skills!$1:$1,0)-MATCH("enemy_skill_id",[3]enemy_skills!$1:$1,0)+1,FALSE)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24" s="104">
        <v>13301472</v>
      </c>
      <c r="G24" s="46" t="e">
        <f ca="1">VLOOKUP($F24,OFFSET([3]enemy_skill_triggers!$A$1,0,0,COUNTA([3]enemy_skill_triggers!$A:$A),MATCH(G$1,[3]enemy_skill_triggers!$1:$1,0)-MATCH($F$1,[3]enemy_skill_triggers!$1:$1,0)+1),MATCH(G$1,[3]enemy_skill_triggers!$1:$1,0)-MATCH($F$1,[3]enemy_skill_triggers!$1:$1,0)+1,FALSE)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24" s="46" t="e">
        <f ca="1">VLOOKUP($F24,OFFSET([3]enemy_skill_triggers!$A$1,0,0,COUNTA([3]enemy_skill_triggers!$A:$A),MATCH(H$1,[3]enemy_skill_triggers!$1:$1,0)-MATCH($F$1,[3]enemy_skill_triggers!$1:$1,0)+1),MATCH(H$1,[3]enemy_skill_triggers!$1:$1,0)-MATCH($F$1,[3]enemy_skill_triggers!$1:$1,0)+1,FALSE)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24" s="46" t="e">
        <f ca="1">VLOOKUP($F24,OFFSET([3]enemy_skill_triggers!$A$1,0,0,COUNTA([3]enemy_skill_triggers!$A:$A),MATCH(I$1,[3]enemy_skill_triggers!$1:$1,0)-MATCH($F$1,[3]enemy_skill_triggers!$1:$1,0)+1),MATCH(I$1,[3]enemy_skill_triggers!$1:$1,0)-MATCH($F$1,[3]enemy_skill_triggers!$1:$1,0)+1,FALSE)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24" s="46" t="e">
        <f ca="1">VLOOKUP($F24,OFFSET([3]enemy_skill_triggers!$A$1,0,0,COUNTA([3]enemy_skill_triggers!$A:$A),MATCH(J$1,[3]enemy_skill_triggers!$1:$1,0)-MATCH($F$1,[3]enemy_skill_triggers!$1:$1,0)+1),MATCH(J$1,[3]enemy_skill_triggers!$1:$1,0)-MATCH($F$1,[3]enemy_skill_triggers!$1:$1,0)+1,FALSE)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24" s="46" t="e">
        <f ca="1">VLOOKUP($F24,OFFSET([3]enemy_skill_triggers!$A$1,0,0,COUNTA([3]enemy_skill_triggers!$A:$A),MATCH(K$1,[3]enemy_skill_triggers!$1:$1,0)-MATCH($F$1,[3]enemy_skill_triggers!$1:$1,0)+1),MATCH(K$1,[3]enemy_skill_triggers!$1:$1,0)-MATCH($F$1,[3]enemy_skill_triggers!$1:$1,0)+1,FALSE)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24" s="46" t="e">
        <f ca="1">VLOOKUP($F24,OFFSET([3]enemy_skill_triggers!$A$1,0,0,COUNTA([3]enemy_skill_triggers!$A:$A),MATCH(L$1,[3]enemy_skill_triggers!$1:$1,0)-MATCH($F$1,[3]enemy_skill_triggers!$1:$1,0)+1),MATCH(L$1,[3]enemy_skill_triggers!$1:$1,0)-MATCH($F$1,[3]enemy_skill_triggers!$1:$1,0)+1,FALSE)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24" s="46" t="e">
        <f ca="1">VLOOKUP($F24,OFFSET([3]enemy_skill_triggers!$A$1,0,0,COUNTA([3]enemy_skill_triggers!$A:$A),MATCH(M$1,[3]enemy_skill_triggers!$1:$1,0)-MATCH($F$1,[3]enemy_skill_triggers!$1:$1,0)+1),MATCH(M$1,[3]enemy_skill_triggers!$1:$1,0)-MATCH($F$1,[3]enemy_skill_triggers!$1:$1,0)+1,FALSE)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24" s="46" t="e">
        <f ca="1">VLOOKUP($F24,OFFSET([3]enemy_skill_triggers!$A$1,0,0,COUNTA([3]enemy_skill_triggers!$A:$A),MATCH(N$1,[3]enemy_skill_triggers!$1:$1,0)-MATCH($F$1,[3]enemy_skill_triggers!$1:$1,0)+1),MATCH(N$1,[3]enemy_skill_triggers!$1:$1,0)-MATCH($F$1,[3]enemy_skill_triggers!$1:$1,0)+1,FALSE)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24" s="46" t="e">
        <f ca="1">VLOOKUP($F24,OFFSET([3]enemy_skill_triggers!$A$1,0,0,COUNTA([3]enemy_skill_triggers!$A:$A),MATCH(O$1,[3]enemy_skill_triggers!$1:$1,0)-MATCH($F$1,[3]enemy_skill_triggers!$1:$1,0)+1),MATCH(O$1,[3]enemy_skill_triggers!$1:$1,0)-MATCH($F$1,[3]enemy_skill_triggers!$1:$1,0)+1,FALSE)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24" s="45"/>
      <c r="Q24" s="45"/>
      <c r="R24" s="45"/>
    </row>
    <row r="25" spans="1:18" ht="21" customHeight="1" x14ac:dyDescent="0.15">
      <c r="A25" s="37" t="str">
        <f t="shared" si="12"/>
        <v>13301452_13301473</v>
      </c>
      <c r="B25" s="104">
        <v>13301452</v>
      </c>
      <c r="C25" s="104">
        <v>13301473</v>
      </c>
      <c r="D25" s="44" t="e">
        <f ca="1">VLOOKUP($C25,OFFSET([3]enemy_skills!$A$1,0,0,COUNTA([3]enemy_skills!$A:$A),MATCH(D$1,[3]enemy_skills!$1:$1,0)-MATCH("enemy_skill_id",[3]enemy_skills!$1:$1,0)+1),MATCH(D$1,[3]enemy_skills!$1:$1,0)-MATCH("enemy_skill_id",[3]enemy_skills!$1:$1,0)+1,FALSE)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25" s="44" t="e">
        <f ca="1">VLOOKUP($C25,OFFSET([3]enemy_skills!$A$1,0,0,COUNTA([3]enemy_skills!$A:$A),MATCH(E$1,[3]enemy_skills!$1:$1,0)-MATCH("enemy_skill_id",[3]enemy_skills!$1:$1,0)+1),MATCH(E$1,[3]enemy_skills!$1:$1,0)-MATCH("enemy_skill_id",[3]enemy_skills!$1:$1,0)+1,FALSE)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25" s="104">
        <v>13301473</v>
      </c>
      <c r="G25" s="46" t="e">
        <f ca="1">VLOOKUP($F25,OFFSET([3]enemy_skill_triggers!$A$1,0,0,COUNTA([3]enemy_skill_triggers!$A:$A),MATCH(G$1,[3]enemy_skill_triggers!$1:$1,0)-MATCH($F$1,[3]enemy_skill_triggers!$1:$1,0)+1),MATCH(G$1,[3]enemy_skill_triggers!$1:$1,0)-MATCH($F$1,[3]enemy_skill_triggers!$1:$1,0)+1,FALSE)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25" s="46" t="e">
        <f ca="1">VLOOKUP($F25,OFFSET([3]enemy_skill_triggers!$A$1,0,0,COUNTA([3]enemy_skill_triggers!$A:$A),MATCH(H$1,[3]enemy_skill_triggers!$1:$1,0)-MATCH($F$1,[3]enemy_skill_triggers!$1:$1,0)+1),MATCH(H$1,[3]enemy_skill_triggers!$1:$1,0)-MATCH($F$1,[3]enemy_skill_triggers!$1:$1,0)+1,FALSE)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25" s="46" t="e">
        <f ca="1">VLOOKUP($F25,OFFSET([3]enemy_skill_triggers!$A$1,0,0,COUNTA([3]enemy_skill_triggers!$A:$A),MATCH(I$1,[3]enemy_skill_triggers!$1:$1,0)-MATCH($F$1,[3]enemy_skill_triggers!$1:$1,0)+1),MATCH(I$1,[3]enemy_skill_triggers!$1:$1,0)-MATCH($F$1,[3]enemy_skill_triggers!$1:$1,0)+1,FALSE)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25" s="46" t="e">
        <f ca="1">VLOOKUP($F25,OFFSET([3]enemy_skill_triggers!$A$1,0,0,COUNTA([3]enemy_skill_triggers!$A:$A),MATCH(J$1,[3]enemy_skill_triggers!$1:$1,0)-MATCH($F$1,[3]enemy_skill_triggers!$1:$1,0)+1),MATCH(J$1,[3]enemy_skill_triggers!$1:$1,0)-MATCH($F$1,[3]enemy_skill_triggers!$1:$1,0)+1,FALSE)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25" s="46" t="e">
        <f ca="1">VLOOKUP($F25,OFFSET([3]enemy_skill_triggers!$A$1,0,0,COUNTA([3]enemy_skill_triggers!$A:$A),MATCH(K$1,[3]enemy_skill_triggers!$1:$1,0)-MATCH($F$1,[3]enemy_skill_triggers!$1:$1,0)+1),MATCH(K$1,[3]enemy_skill_triggers!$1:$1,0)-MATCH($F$1,[3]enemy_skill_triggers!$1:$1,0)+1,FALSE)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25" s="46" t="e">
        <f ca="1">VLOOKUP($F25,OFFSET([3]enemy_skill_triggers!$A$1,0,0,COUNTA([3]enemy_skill_triggers!$A:$A),MATCH(L$1,[3]enemy_skill_triggers!$1:$1,0)-MATCH($F$1,[3]enemy_skill_triggers!$1:$1,0)+1),MATCH(L$1,[3]enemy_skill_triggers!$1:$1,0)-MATCH($F$1,[3]enemy_skill_triggers!$1:$1,0)+1,FALSE)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25" s="46" t="e">
        <f ca="1">VLOOKUP($F25,OFFSET([3]enemy_skill_triggers!$A$1,0,0,COUNTA([3]enemy_skill_triggers!$A:$A),MATCH(M$1,[3]enemy_skill_triggers!$1:$1,0)-MATCH($F$1,[3]enemy_skill_triggers!$1:$1,0)+1),MATCH(M$1,[3]enemy_skill_triggers!$1:$1,0)-MATCH($F$1,[3]enemy_skill_triggers!$1:$1,0)+1,FALSE)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25" s="46" t="e">
        <f ca="1">VLOOKUP($F25,OFFSET([3]enemy_skill_triggers!$A$1,0,0,COUNTA([3]enemy_skill_triggers!$A:$A),MATCH(N$1,[3]enemy_skill_triggers!$1:$1,0)-MATCH($F$1,[3]enemy_skill_triggers!$1:$1,0)+1),MATCH(N$1,[3]enemy_skill_triggers!$1:$1,0)-MATCH($F$1,[3]enemy_skill_triggers!$1:$1,0)+1,FALSE)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25" s="46" t="e">
        <f ca="1">VLOOKUP($F25,OFFSET([3]enemy_skill_triggers!$A$1,0,0,COUNTA([3]enemy_skill_triggers!$A:$A),MATCH(O$1,[3]enemy_skill_triggers!$1:$1,0)-MATCH($F$1,[3]enemy_skill_triggers!$1:$1,0)+1),MATCH(O$1,[3]enemy_skill_triggers!$1:$1,0)-MATCH($F$1,[3]enemy_skill_triggers!$1:$1,0)+1,FALSE)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25" s="45"/>
      <c r="Q25" s="45"/>
      <c r="R25" s="45"/>
    </row>
    <row r="26" spans="1:18" ht="21" customHeight="1" x14ac:dyDescent="0.15">
      <c r="A26" s="37" t="str">
        <f t="shared" si="12"/>
        <v>13301453_13301474</v>
      </c>
      <c r="B26" s="104">
        <v>13301453</v>
      </c>
      <c r="C26" s="104">
        <v>13301474</v>
      </c>
      <c r="D26" s="44" t="e">
        <f ca="1">VLOOKUP($C26,OFFSET([3]enemy_skills!$A$1,0,0,COUNTA([3]enemy_skills!$A:$A),MATCH(D$1,[3]enemy_skills!$1:$1,0)-MATCH("enemy_skill_id",[3]enemy_skills!$1:$1,0)+1),MATCH(D$1,[3]enemy_skills!$1:$1,0)-MATCH("enemy_skill_id",[3]enemy_skills!$1:$1,0)+1,FALSE)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26" s="44" t="e">
        <f ca="1">VLOOKUP($C26,OFFSET([3]enemy_skills!$A$1,0,0,COUNTA([3]enemy_skills!$A:$A),MATCH(E$1,[3]enemy_skills!$1:$1,0)-MATCH("enemy_skill_id",[3]enemy_skills!$1:$1,0)+1),MATCH(E$1,[3]enemy_skills!$1:$1,0)-MATCH("enemy_skill_id",[3]enemy_skills!$1:$1,0)+1,FALSE)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26" s="104">
        <v>13301474</v>
      </c>
      <c r="G26" s="46" t="e">
        <f ca="1">VLOOKUP($F26,OFFSET([3]enemy_skill_triggers!$A$1,0,0,COUNTA([3]enemy_skill_triggers!$A:$A),MATCH(G$1,[3]enemy_skill_triggers!$1:$1,0)-MATCH($F$1,[3]enemy_skill_triggers!$1:$1,0)+1),MATCH(G$1,[3]enemy_skill_triggers!$1:$1,0)-MATCH($F$1,[3]enemy_skill_triggers!$1:$1,0)+1,FALSE)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26" s="46" t="e">
        <f ca="1">VLOOKUP($F26,OFFSET([3]enemy_skill_triggers!$A$1,0,0,COUNTA([3]enemy_skill_triggers!$A:$A),MATCH(H$1,[3]enemy_skill_triggers!$1:$1,0)-MATCH($F$1,[3]enemy_skill_triggers!$1:$1,0)+1),MATCH(H$1,[3]enemy_skill_triggers!$1:$1,0)-MATCH($F$1,[3]enemy_skill_triggers!$1:$1,0)+1,FALSE)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26" s="46" t="e">
        <f ca="1">VLOOKUP($F26,OFFSET([3]enemy_skill_triggers!$A$1,0,0,COUNTA([3]enemy_skill_triggers!$A:$A),MATCH(I$1,[3]enemy_skill_triggers!$1:$1,0)-MATCH($F$1,[3]enemy_skill_triggers!$1:$1,0)+1),MATCH(I$1,[3]enemy_skill_triggers!$1:$1,0)-MATCH($F$1,[3]enemy_skill_triggers!$1:$1,0)+1,FALSE)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26" s="46" t="e">
        <f ca="1">VLOOKUP($F26,OFFSET([3]enemy_skill_triggers!$A$1,0,0,COUNTA([3]enemy_skill_triggers!$A:$A),MATCH(J$1,[3]enemy_skill_triggers!$1:$1,0)-MATCH($F$1,[3]enemy_skill_triggers!$1:$1,0)+1),MATCH(J$1,[3]enemy_skill_triggers!$1:$1,0)-MATCH($F$1,[3]enemy_skill_triggers!$1:$1,0)+1,FALSE)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26" s="46" t="e">
        <f ca="1">VLOOKUP($F26,OFFSET([3]enemy_skill_triggers!$A$1,0,0,COUNTA([3]enemy_skill_triggers!$A:$A),MATCH(K$1,[3]enemy_skill_triggers!$1:$1,0)-MATCH($F$1,[3]enemy_skill_triggers!$1:$1,0)+1),MATCH(K$1,[3]enemy_skill_triggers!$1:$1,0)-MATCH($F$1,[3]enemy_skill_triggers!$1:$1,0)+1,FALSE)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26" s="46" t="e">
        <f ca="1">VLOOKUP($F26,OFFSET([3]enemy_skill_triggers!$A$1,0,0,COUNTA([3]enemy_skill_triggers!$A:$A),MATCH(L$1,[3]enemy_skill_triggers!$1:$1,0)-MATCH($F$1,[3]enemy_skill_triggers!$1:$1,0)+1),MATCH(L$1,[3]enemy_skill_triggers!$1:$1,0)-MATCH($F$1,[3]enemy_skill_triggers!$1:$1,0)+1,FALSE)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26" s="46" t="e">
        <f ca="1">VLOOKUP($F26,OFFSET([3]enemy_skill_triggers!$A$1,0,0,COUNTA([3]enemy_skill_triggers!$A:$A),MATCH(M$1,[3]enemy_skill_triggers!$1:$1,0)-MATCH($F$1,[3]enemy_skill_triggers!$1:$1,0)+1),MATCH(M$1,[3]enemy_skill_triggers!$1:$1,0)-MATCH($F$1,[3]enemy_skill_triggers!$1:$1,0)+1,FALSE)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26" s="46" t="e">
        <f ca="1">VLOOKUP($F26,OFFSET([3]enemy_skill_triggers!$A$1,0,0,COUNTA([3]enemy_skill_triggers!$A:$A),MATCH(N$1,[3]enemy_skill_triggers!$1:$1,0)-MATCH($F$1,[3]enemy_skill_triggers!$1:$1,0)+1),MATCH(N$1,[3]enemy_skill_triggers!$1:$1,0)-MATCH($F$1,[3]enemy_skill_triggers!$1:$1,0)+1,FALSE)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26" s="46" t="e">
        <f ca="1">VLOOKUP($F26,OFFSET([3]enemy_skill_triggers!$A$1,0,0,COUNTA([3]enemy_skill_triggers!$A:$A),MATCH(O$1,[3]enemy_skill_triggers!$1:$1,0)-MATCH($F$1,[3]enemy_skill_triggers!$1:$1,0)+1),MATCH(O$1,[3]enemy_skill_triggers!$1:$1,0)-MATCH($F$1,[3]enemy_skill_triggers!$1:$1,0)+1,FALSE)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26" s="45"/>
      <c r="Q26" s="45"/>
      <c r="R26" s="45"/>
    </row>
    <row r="27" spans="1:18" ht="21" customHeight="1" x14ac:dyDescent="0.15">
      <c r="A27" s="37" t="str">
        <f t="shared" si="12"/>
        <v>13301453_13301475</v>
      </c>
      <c r="B27" s="104">
        <v>13301453</v>
      </c>
      <c r="C27" s="104">
        <v>13301475</v>
      </c>
      <c r="D27" s="44" t="e">
        <f ca="1">VLOOKUP($C27,OFFSET([3]enemy_skills!$A$1,0,0,COUNTA([3]enemy_skills!$A:$A),MATCH(D$1,[3]enemy_skills!$1:$1,0)-MATCH("enemy_skill_id",[3]enemy_skills!$1:$1,0)+1),MATCH(D$1,[3]enemy_skills!$1:$1,0)-MATCH("enemy_skill_id",[3]enemy_skills!$1:$1,0)+1,FALSE)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27" s="44" t="e">
        <f ca="1">VLOOKUP($C27,OFFSET([3]enemy_skills!$A$1,0,0,COUNTA([3]enemy_skills!$A:$A),MATCH(E$1,[3]enemy_skills!$1:$1,0)-MATCH("enemy_skill_id",[3]enemy_skills!$1:$1,0)+1),MATCH(E$1,[3]enemy_skills!$1:$1,0)-MATCH("enemy_skill_id",[3]enemy_skills!$1:$1,0)+1,FALSE)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27" s="104">
        <v>13301475</v>
      </c>
      <c r="G27" s="46" t="e">
        <f ca="1">VLOOKUP($F27,OFFSET([3]enemy_skill_triggers!$A$1,0,0,COUNTA([3]enemy_skill_triggers!$A:$A),MATCH(G$1,[3]enemy_skill_triggers!$1:$1,0)-MATCH($F$1,[3]enemy_skill_triggers!$1:$1,0)+1),MATCH(G$1,[3]enemy_skill_triggers!$1:$1,0)-MATCH($F$1,[3]enemy_skill_triggers!$1:$1,0)+1,FALSE)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27" s="46" t="e">
        <f ca="1">VLOOKUP($F27,OFFSET([3]enemy_skill_triggers!$A$1,0,0,COUNTA([3]enemy_skill_triggers!$A:$A),MATCH(H$1,[3]enemy_skill_triggers!$1:$1,0)-MATCH($F$1,[3]enemy_skill_triggers!$1:$1,0)+1),MATCH(H$1,[3]enemy_skill_triggers!$1:$1,0)-MATCH($F$1,[3]enemy_skill_triggers!$1:$1,0)+1,FALSE)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27" s="46" t="e">
        <f ca="1">VLOOKUP($F27,OFFSET([3]enemy_skill_triggers!$A$1,0,0,COUNTA([3]enemy_skill_triggers!$A:$A),MATCH(I$1,[3]enemy_skill_triggers!$1:$1,0)-MATCH($F$1,[3]enemy_skill_triggers!$1:$1,0)+1),MATCH(I$1,[3]enemy_skill_triggers!$1:$1,0)-MATCH($F$1,[3]enemy_skill_triggers!$1:$1,0)+1,FALSE)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27" s="46" t="e">
        <f ca="1">VLOOKUP($F27,OFFSET([3]enemy_skill_triggers!$A$1,0,0,COUNTA([3]enemy_skill_triggers!$A:$A),MATCH(J$1,[3]enemy_skill_triggers!$1:$1,0)-MATCH($F$1,[3]enemy_skill_triggers!$1:$1,0)+1),MATCH(J$1,[3]enemy_skill_triggers!$1:$1,0)-MATCH($F$1,[3]enemy_skill_triggers!$1:$1,0)+1,FALSE)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27" s="46" t="e">
        <f ca="1">VLOOKUP($F27,OFFSET([3]enemy_skill_triggers!$A$1,0,0,COUNTA([3]enemy_skill_triggers!$A:$A),MATCH(K$1,[3]enemy_skill_triggers!$1:$1,0)-MATCH($F$1,[3]enemy_skill_triggers!$1:$1,0)+1),MATCH(K$1,[3]enemy_skill_triggers!$1:$1,0)-MATCH($F$1,[3]enemy_skill_triggers!$1:$1,0)+1,FALSE)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27" s="46" t="e">
        <f ca="1">VLOOKUP($F27,OFFSET([3]enemy_skill_triggers!$A$1,0,0,COUNTA([3]enemy_skill_triggers!$A:$A),MATCH(L$1,[3]enemy_skill_triggers!$1:$1,0)-MATCH($F$1,[3]enemy_skill_triggers!$1:$1,0)+1),MATCH(L$1,[3]enemy_skill_triggers!$1:$1,0)-MATCH($F$1,[3]enemy_skill_triggers!$1:$1,0)+1,FALSE)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27" s="46" t="e">
        <f ca="1">VLOOKUP($F27,OFFSET([3]enemy_skill_triggers!$A$1,0,0,COUNTA([3]enemy_skill_triggers!$A:$A),MATCH(M$1,[3]enemy_skill_triggers!$1:$1,0)-MATCH($F$1,[3]enemy_skill_triggers!$1:$1,0)+1),MATCH(M$1,[3]enemy_skill_triggers!$1:$1,0)-MATCH($F$1,[3]enemy_skill_triggers!$1:$1,0)+1,FALSE)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27" s="46" t="e">
        <f ca="1">VLOOKUP($F27,OFFSET([3]enemy_skill_triggers!$A$1,0,0,COUNTA([3]enemy_skill_triggers!$A:$A),MATCH(N$1,[3]enemy_skill_triggers!$1:$1,0)-MATCH($F$1,[3]enemy_skill_triggers!$1:$1,0)+1),MATCH(N$1,[3]enemy_skill_triggers!$1:$1,0)-MATCH($F$1,[3]enemy_skill_triggers!$1:$1,0)+1,FALSE)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27" s="46" t="e">
        <f ca="1">VLOOKUP($F27,OFFSET([3]enemy_skill_triggers!$A$1,0,0,COUNTA([3]enemy_skill_triggers!$A:$A),MATCH(O$1,[3]enemy_skill_triggers!$1:$1,0)-MATCH($F$1,[3]enemy_skill_triggers!$1:$1,0)+1),MATCH(O$1,[3]enemy_skill_triggers!$1:$1,0)-MATCH($F$1,[3]enemy_skill_triggers!$1:$1,0)+1,FALSE)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27" s="45"/>
      <c r="Q27" s="45"/>
      <c r="R27" s="45"/>
    </row>
    <row r="28" spans="1:18" ht="21" customHeight="1" x14ac:dyDescent="0.15">
      <c r="A28" s="37" t="str">
        <f t="shared" si="12"/>
        <v>13301453_13301476</v>
      </c>
      <c r="B28" s="104">
        <v>13301453</v>
      </c>
      <c r="C28" s="104">
        <v>13301476</v>
      </c>
      <c r="D28" s="44" t="e">
        <f ca="1">VLOOKUP($C28,OFFSET([3]enemy_skills!$A$1,0,0,COUNTA([3]enemy_skills!$A:$A),MATCH(D$1,[3]enemy_skills!$1:$1,0)-MATCH("enemy_skill_id",[3]enemy_skills!$1:$1,0)+1),MATCH(D$1,[3]enemy_skills!$1:$1,0)-MATCH("enemy_skill_id",[3]enemy_skills!$1:$1,0)+1,FALSE)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28" s="44" t="e">
        <f ca="1">VLOOKUP($C28,OFFSET([3]enemy_skills!$A$1,0,0,COUNTA([3]enemy_skills!$A:$A),MATCH(E$1,[3]enemy_skills!$1:$1,0)-MATCH("enemy_skill_id",[3]enemy_skills!$1:$1,0)+1),MATCH(E$1,[3]enemy_skills!$1:$1,0)-MATCH("enemy_skill_id",[3]enemy_skills!$1:$1,0)+1,FALSE)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28" s="104">
        <v>13301476</v>
      </c>
      <c r="G28" s="46" t="e">
        <f ca="1">VLOOKUP($F28,OFFSET([3]enemy_skill_triggers!$A$1,0,0,COUNTA([3]enemy_skill_triggers!$A:$A),MATCH(G$1,[3]enemy_skill_triggers!$1:$1,0)-MATCH($F$1,[3]enemy_skill_triggers!$1:$1,0)+1),MATCH(G$1,[3]enemy_skill_triggers!$1:$1,0)-MATCH($F$1,[3]enemy_skill_triggers!$1:$1,0)+1,FALSE)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28" s="46" t="e">
        <f ca="1">VLOOKUP($F28,OFFSET([3]enemy_skill_triggers!$A$1,0,0,COUNTA([3]enemy_skill_triggers!$A:$A),MATCH(H$1,[3]enemy_skill_triggers!$1:$1,0)-MATCH($F$1,[3]enemy_skill_triggers!$1:$1,0)+1),MATCH(H$1,[3]enemy_skill_triggers!$1:$1,0)-MATCH($F$1,[3]enemy_skill_triggers!$1:$1,0)+1,FALSE)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28" s="46" t="e">
        <f ca="1">VLOOKUP($F28,OFFSET([3]enemy_skill_triggers!$A$1,0,0,COUNTA([3]enemy_skill_triggers!$A:$A),MATCH(I$1,[3]enemy_skill_triggers!$1:$1,0)-MATCH($F$1,[3]enemy_skill_triggers!$1:$1,0)+1),MATCH(I$1,[3]enemy_skill_triggers!$1:$1,0)-MATCH($F$1,[3]enemy_skill_triggers!$1:$1,0)+1,FALSE)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28" s="46" t="e">
        <f ca="1">VLOOKUP($F28,OFFSET([3]enemy_skill_triggers!$A$1,0,0,COUNTA([3]enemy_skill_triggers!$A:$A),MATCH(J$1,[3]enemy_skill_triggers!$1:$1,0)-MATCH($F$1,[3]enemy_skill_triggers!$1:$1,0)+1),MATCH(J$1,[3]enemy_skill_triggers!$1:$1,0)-MATCH($F$1,[3]enemy_skill_triggers!$1:$1,0)+1,FALSE)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28" s="46" t="e">
        <f ca="1">VLOOKUP($F28,OFFSET([3]enemy_skill_triggers!$A$1,0,0,COUNTA([3]enemy_skill_triggers!$A:$A),MATCH(K$1,[3]enemy_skill_triggers!$1:$1,0)-MATCH($F$1,[3]enemy_skill_triggers!$1:$1,0)+1),MATCH(K$1,[3]enemy_skill_triggers!$1:$1,0)-MATCH($F$1,[3]enemy_skill_triggers!$1:$1,0)+1,FALSE)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28" s="46" t="e">
        <f ca="1">VLOOKUP($F28,OFFSET([3]enemy_skill_triggers!$A$1,0,0,COUNTA([3]enemy_skill_triggers!$A:$A),MATCH(L$1,[3]enemy_skill_triggers!$1:$1,0)-MATCH($F$1,[3]enemy_skill_triggers!$1:$1,0)+1),MATCH(L$1,[3]enemy_skill_triggers!$1:$1,0)-MATCH($F$1,[3]enemy_skill_triggers!$1:$1,0)+1,FALSE)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28" s="46" t="e">
        <f ca="1">VLOOKUP($F28,OFFSET([3]enemy_skill_triggers!$A$1,0,0,COUNTA([3]enemy_skill_triggers!$A:$A),MATCH(M$1,[3]enemy_skill_triggers!$1:$1,0)-MATCH($F$1,[3]enemy_skill_triggers!$1:$1,0)+1),MATCH(M$1,[3]enemy_skill_triggers!$1:$1,0)-MATCH($F$1,[3]enemy_skill_triggers!$1:$1,0)+1,FALSE)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28" s="46" t="e">
        <f ca="1">VLOOKUP($F28,OFFSET([3]enemy_skill_triggers!$A$1,0,0,COUNTA([3]enemy_skill_triggers!$A:$A),MATCH(N$1,[3]enemy_skill_triggers!$1:$1,0)-MATCH($F$1,[3]enemy_skill_triggers!$1:$1,0)+1),MATCH(N$1,[3]enemy_skill_triggers!$1:$1,0)-MATCH($F$1,[3]enemy_skill_triggers!$1:$1,0)+1,FALSE)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28" s="46" t="e">
        <f ca="1">VLOOKUP($F28,OFFSET([3]enemy_skill_triggers!$A$1,0,0,COUNTA([3]enemy_skill_triggers!$A:$A),MATCH(O$1,[3]enemy_skill_triggers!$1:$1,0)-MATCH($F$1,[3]enemy_skill_triggers!$1:$1,0)+1),MATCH(O$1,[3]enemy_skill_triggers!$1:$1,0)-MATCH($F$1,[3]enemy_skill_triggers!$1:$1,0)+1,FALSE)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28" s="45"/>
      <c r="Q28" s="45"/>
      <c r="R28" s="45"/>
    </row>
    <row r="29" spans="1:18" ht="21" customHeight="1" x14ac:dyDescent="0.15">
      <c r="A29" s="37" t="str">
        <f t="shared" si="12"/>
        <v>13301453_13301477</v>
      </c>
      <c r="B29" s="104">
        <v>13301453</v>
      </c>
      <c r="C29" s="104">
        <v>13301477</v>
      </c>
      <c r="D29" s="44" t="e">
        <f ca="1">VLOOKUP($C29,OFFSET([3]enemy_skills!$A$1,0,0,COUNTA([3]enemy_skills!$A:$A),MATCH(D$1,[3]enemy_skills!$1:$1,0)-MATCH("enemy_skill_id",[3]enemy_skills!$1:$1,0)+1),MATCH(D$1,[3]enemy_skills!$1:$1,0)-MATCH("enemy_skill_id",[3]enemy_skills!$1:$1,0)+1,FALSE)</f>
        <v>#N/A</v>
      </c>
      <c r="E29" s="44" t="e">
        <f ca="1">VLOOKUP($C29,OFFSET([3]enemy_skills!$A$1,0,0,COUNTA([3]enemy_skills!$A:$A),MATCH(E$1,[3]enemy_skills!$1:$1,0)-MATCH("enemy_skill_id",[3]enemy_skills!$1:$1,0)+1),MATCH(E$1,[3]enemy_skills!$1:$1,0)-MATCH("enemy_skill_id",[3]enemy_skills!$1:$1,0)+1,FALSE)</f>
        <v>#N/A</v>
      </c>
      <c r="F29" s="104">
        <v>13301477</v>
      </c>
      <c r="G29" s="46" t="e">
        <f ca="1">VLOOKUP($F29,OFFSET([3]enemy_skill_triggers!$A$1,0,0,COUNTA([3]enemy_skill_triggers!$A:$A),MATCH(G$1,[3]enemy_skill_triggers!$1:$1,0)-MATCH($F$1,[3]enemy_skill_triggers!$1:$1,0)+1),MATCH(G$1,[3]enemy_skill_triggers!$1:$1,0)-MATCH($F$1,[3]enemy_skill_triggers!$1:$1,0)+1,FALSE)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#N/A</v>
      </c>
      <c r="H29" s="46" t="e">
        <f ca="1">VLOOKUP($F29,OFFSET([3]enemy_skill_triggers!$A$1,0,0,COUNTA([3]enemy_skill_triggers!$A:$A),MATCH(H$1,[3]enemy_skill_triggers!$1:$1,0)-MATCH($F$1,[3]enemy_skill_triggers!$1:$1,0)+1),MATCH(H$1,[3]enemy_skill_triggers!$1:$1,0)-MATCH($F$1,[3]enemy_skill_triggers!$1:$1,0)+1,FALSE)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#N/A</v>
      </c>
      <c r="I29" s="46" t="e">
        <f ca="1">VLOOKUP($F29,OFFSET([3]enemy_skill_triggers!$A$1,0,0,COUNTA([3]enemy_skill_triggers!$A:$A),MATCH(I$1,[3]enemy_skill_triggers!$1:$1,0)-MATCH($F$1,[3]enemy_skill_triggers!$1:$1,0)+1),MATCH(I$1,[3]enemy_skill_triggers!$1:$1,0)-MATCH($F$1,[3]enemy_skill_triggers!$1:$1,0)+1,FALSE)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#N/A</v>
      </c>
      <c r="J29" s="46" t="e">
        <f ca="1">VLOOKUP($F29,OFFSET([3]enemy_skill_triggers!$A$1,0,0,COUNTA([3]enemy_skill_triggers!$A:$A),MATCH(J$1,[3]enemy_skill_triggers!$1:$1,0)-MATCH($F$1,[3]enemy_skill_triggers!$1:$1,0)+1),MATCH(J$1,[3]enemy_skill_triggers!$1:$1,0)-MATCH($F$1,[3]enemy_skill_triggers!$1:$1,0)+1,FALSE)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#N/A</v>
      </c>
      <c r="K29" s="46" t="e">
        <f ca="1">VLOOKUP($F29,OFFSET([3]enemy_skill_triggers!$A$1,0,0,COUNTA([3]enemy_skill_triggers!$A:$A),MATCH(K$1,[3]enemy_skill_triggers!$1:$1,0)-MATCH($F$1,[3]enemy_skill_triggers!$1:$1,0)+1),MATCH(K$1,[3]enemy_skill_triggers!$1:$1,0)-MATCH($F$1,[3]enemy_skill_triggers!$1:$1,0)+1,FALSE)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#N/A</v>
      </c>
      <c r="L29" s="46" t="e">
        <f ca="1">VLOOKUP($F29,OFFSET([3]enemy_skill_triggers!$A$1,0,0,COUNTA([3]enemy_skill_triggers!$A:$A),MATCH(L$1,[3]enemy_skill_triggers!$1:$1,0)-MATCH($F$1,[3]enemy_skill_triggers!$1:$1,0)+1),MATCH(L$1,[3]enemy_skill_triggers!$1:$1,0)-MATCH($F$1,[3]enemy_skill_triggers!$1:$1,0)+1,FALSE)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#N/A</v>
      </c>
      <c r="M29" s="46" t="e">
        <f ca="1">VLOOKUP($F29,OFFSET([3]enemy_skill_triggers!$A$1,0,0,COUNTA([3]enemy_skill_triggers!$A:$A),MATCH(M$1,[3]enemy_skill_triggers!$1:$1,0)-MATCH($F$1,[3]enemy_skill_triggers!$1:$1,0)+1),MATCH(M$1,[3]enemy_skill_triggers!$1:$1,0)-MATCH($F$1,[3]enemy_skill_triggers!$1:$1,0)+1,FALSE)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#N/A</v>
      </c>
      <c r="N29" s="46" t="e">
        <f ca="1">VLOOKUP($F29,OFFSET([3]enemy_skill_triggers!$A$1,0,0,COUNTA([3]enemy_skill_triggers!$A:$A),MATCH(N$1,[3]enemy_skill_triggers!$1:$1,0)-MATCH($F$1,[3]enemy_skill_triggers!$1:$1,0)+1),MATCH(N$1,[3]enemy_skill_triggers!$1:$1,0)-MATCH($F$1,[3]enemy_skill_triggers!$1:$1,0)+1,FALSE)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#N/A</v>
      </c>
      <c r="O29" s="46" t="e">
        <f ca="1">VLOOKUP($F29,OFFSET([3]enemy_skill_triggers!$A$1,0,0,COUNTA([3]enemy_skill_triggers!$A:$A),MATCH(O$1,[3]enemy_skill_triggers!$1:$1,0)-MATCH($F$1,[3]enemy_skill_triggers!$1:$1,0)+1),MATCH(O$1,[3]enemy_skill_triggers!$1:$1,0)-MATCH($F$1,[3]enemy_skill_triggers!$1:$1,0)+1,FALSE)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#N/A</v>
      </c>
      <c r="P29" s="45"/>
      <c r="Q29" s="45"/>
      <c r="R29" s="45"/>
    </row>
    <row r="30" spans="1:18" ht="21" customHeight="1" x14ac:dyDescent="0.15">
      <c r="B30" s="120"/>
      <c r="C30" s="120"/>
      <c r="F30" s="120"/>
    </row>
    <row r="31" spans="1:18" ht="21" customHeight="1" x14ac:dyDescent="0.15">
      <c r="B31" s="120"/>
      <c r="C31" s="120"/>
      <c r="F31" s="120"/>
    </row>
    <row r="32" spans="1:18" ht="21" customHeight="1" x14ac:dyDescent="0.15">
      <c r="B32" s="120"/>
      <c r="C32" s="120"/>
      <c r="F32" s="120"/>
    </row>
    <row r="33" spans="2:6" ht="21" customHeight="1" x14ac:dyDescent="0.15">
      <c r="B33" s="120"/>
      <c r="C33" s="120"/>
      <c r="F33" s="120"/>
    </row>
    <row r="34" spans="2:6" ht="21" customHeight="1" x14ac:dyDescent="0.15">
      <c r="B34" s="120"/>
      <c r="C34" s="120"/>
      <c r="F34" s="120"/>
    </row>
    <row r="35" spans="2:6" ht="21" customHeight="1" x14ac:dyDescent="0.15">
      <c r="B35" s="120"/>
      <c r="C35" s="120"/>
      <c r="F35" s="120"/>
    </row>
    <row r="36" spans="2:6" ht="21" customHeight="1" x14ac:dyDescent="0.15">
      <c r="B36" s="120"/>
      <c r="C36" s="120"/>
      <c r="F36" s="120"/>
    </row>
    <row r="37" spans="2:6" ht="21" customHeight="1" x14ac:dyDescent="0.15">
      <c r="B37" s="120"/>
      <c r="C37" s="120"/>
      <c r="F37" s="120"/>
    </row>
    <row r="38" spans="2:6" ht="21" customHeight="1" x14ac:dyDescent="0.15">
      <c r="B38" s="120"/>
      <c r="C38" s="120"/>
      <c r="F38" s="120"/>
    </row>
    <row r="39" spans="2:6" ht="21" customHeight="1" x14ac:dyDescent="0.15">
      <c r="B39" s="120"/>
      <c r="C39" s="120"/>
      <c r="F39" s="120"/>
    </row>
    <row r="40" spans="2:6" ht="21" customHeight="1" x14ac:dyDescent="0.15">
      <c r="B40" s="120"/>
      <c r="C40" s="120"/>
      <c r="F40" s="120"/>
    </row>
    <row r="41" spans="2:6" ht="21" customHeight="1" x14ac:dyDescent="0.15">
      <c r="B41" s="120"/>
      <c r="C41" s="120"/>
      <c r="F41" s="120"/>
    </row>
    <row r="42" spans="2:6" ht="21" customHeight="1" x14ac:dyDescent="0.15">
      <c r="B42" s="120"/>
      <c r="C42" s="120"/>
      <c r="F42" s="120"/>
    </row>
    <row r="43" spans="2:6" ht="21" customHeight="1" x14ac:dyDescent="0.15">
      <c r="B43" s="120"/>
      <c r="C43" s="120"/>
      <c r="F43" s="120"/>
    </row>
    <row r="44" spans="2:6" ht="21" customHeight="1" x14ac:dyDescent="0.15">
      <c r="B44" s="120"/>
      <c r="C44" s="120"/>
      <c r="F44" s="120"/>
    </row>
    <row r="45" spans="2:6" ht="21" customHeight="1" x14ac:dyDescent="0.15">
      <c r="B45" s="120"/>
      <c r="C45" s="120"/>
      <c r="F45" s="120"/>
    </row>
    <row r="46" spans="2:6" ht="21" customHeight="1" x14ac:dyDescent="0.15">
      <c r="B46" s="120"/>
      <c r="C46" s="120"/>
      <c r="F46" s="120"/>
    </row>
    <row r="47" spans="2:6" ht="21" customHeight="1" x14ac:dyDescent="0.15">
      <c r="B47" s="120"/>
      <c r="C47" s="120"/>
      <c r="F47" s="120"/>
    </row>
    <row r="48" spans="2:6" ht="21" customHeight="1" x14ac:dyDescent="0.15">
      <c r="B48" s="120"/>
      <c r="C48" s="120"/>
      <c r="F48" s="120"/>
    </row>
    <row r="49" spans="2:6" ht="21" customHeight="1" x14ac:dyDescent="0.15">
      <c r="B49" s="120"/>
      <c r="C49" s="120"/>
      <c r="F49" s="120"/>
    </row>
    <row r="50" spans="2:6" ht="21" customHeight="1" x14ac:dyDescent="0.15">
      <c r="B50" s="120"/>
      <c r="C50" s="120"/>
      <c r="F50" s="120"/>
    </row>
    <row r="51" spans="2:6" ht="21" customHeight="1" x14ac:dyDescent="0.15">
      <c r="B51" s="120"/>
      <c r="C51" s="120"/>
      <c r="F51" s="120"/>
    </row>
    <row r="52" spans="2:6" ht="21" customHeight="1" x14ac:dyDescent="0.15">
      <c r="B52" s="120"/>
      <c r="C52" s="120"/>
      <c r="F52" s="120"/>
    </row>
    <row r="53" spans="2:6" ht="21" customHeight="1" x14ac:dyDescent="0.15">
      <c r="B53" s="120"/>
      <c r="C53" s="120"/>
      <c r="F53" s="120"/>
    </row>
    <row r="54" spans="2:6" ht="21" customHeight="1" x14ac:dyDescent="0.15">
      <c r="B54" s="120"/>
      <c r="C54" s="120"/>
      <c r="F54" s="120"/>
    </row>
    <row r="55" spans="2:6" ht="21" customHeight="1" x14ac:dyDescent="0.15">
      <c r="B55" s="120"/>
      <c r="C55" s="120"/>
      <c r="F55" s="120"/>
    </row>
    <row r="56" spans="2:6" ht="21" customHeight="1" x14ac:dyDescent="0.15">
      <c r="B56" s="120"/>
      <c r="C56" s="120"/>
      <c r="F56" s="120"/>
    </row>
    <row r="57" spans="2:6" ht="21" customHeight="1" x14ac:dyDescent="0.15">
      <c r="F57" s="120"/>
    </row>
    <row r="58" spans="2:6" ht="21" customHeight="1" x14ac:dyDescent="0.15">
      <c r="F58" s="120"/>
    </row>
    <row r="59" spans="2:6" ht="21" customHeight="1" x14ac:dyDescent="0.15">
      <c r="F59" s="120"/>
    </row>
    <row r="60" spans="2:6" ht="21" customHeight="1" x14ac:dyDescent="0.15">
      <c r="F60" s="120"/>
    </row>
    <row r="61" spans="2:6" ht="21" customHeight="1" x14ac:dyDescent="0.15">
      <c r="F61" s="120"/>
    </row>
    <row r="62" spans="2:6" ht="21" customHeight="1" x14ac:dyDescent="0.15">
      <c r="F62" s="120"/>
    </row>
    <row r="63" spans="2:6" ht="21" customHeight="1" x14ac:dyDescent="0.15">
      <c r="F63" s="120"/>
    </row>
    <row r="64" spans="2:6" ht="21" customHeight="1" x14ac:dyDescent="0.15">
      <c r="F64" s="120"/>
    </row>
    <row r="65" spans="6:6" ht="21" customHeight="1" x14ac:dyDescent="0.15">
      <c r="F65" s="120"/>
    </row>
    <row r="66" spans="6:6" ht="21" customHeight="1" x14ac:dyDescent="0.15">
      <c r="F66" s="120"/>
    </row>
    <row r="67" spans="6:6" ht="21" customHeight="1" x14ac:dyDescent="0.15">
      <c r="F67" s="120"/>
    </row>
    <row r="68" spans="6:6" ht="21" customHeight="1" x14ac:dyDescent="0.15">
      <c r="F68" s="120"/>
    </row>
    <row r="69" spans="6:6" ht="21" customHeight="1" x14ac:dyDescent="0.15">
      <c r="F69" s="120"/>
    </row>
    <row r="70" spans="6:6" ht="21" customHeight="1" x14ac:dyDescent="0.15">
      <c r="F70" s="120"/>
    </row>
    <row r="71" spans="6:6" ht="21" customHeight="1" x14ac:dyDescent="0.15">
      <c r="F71" s="120"/>
    </row>
    <row r="72" spans="6:6" ht="21" customHeight="1" x14ac:dyDescent="0.15">
      <c r="F72" s="120"/>
    </row>
    <row r="73" spans="6:6" ht="21" customHeight="1" x14ac:dyDescent="0.15">
      <c r="F73" s="120"/>
    </row>
    <row r="74" spans="6:6" ht="21" customHeight="1" x14ac:dyDescent="0.15">
      <c r="F74" s="120"/>
    </row>
    <row r="75" spans="6:6" ht="21" customHeight="1" x14ac:dyDescent="0.15">
      <c r="F75" s="120"/>
    </row>
    <row r="76" spans="6:6" ht="21" customHeight="1" x14ac:dyDescent="0.15">
      <c r="F76" s="120"/>
    </row>
    <row r="77" spans="6:6" ht="21" customHeight="1" x14ac:dyDescent="0.15">
      <c r="F77" s="120"/>
    </row>
    <row r="78" spans="6:6" ht="21" customHeight="1" x14ac:dyDescent="0.15">
      <c r="F78" s="120"/>
    </row>
    <row r="79" spans="6:6" ht="21" customHeight="1" x14ac:dyDescent="0.15">
      <c r="F79" s="120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9"/>
  <sheetViews>
    <sheetView showGridLines="0" zoomScale="110" zoomScaleNormal="110" zoomScalePageLayoutView="11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40" customHeight="1" outlineLevelCol="1" x14ac:dyDescent="0.15"/>
  <cols>
    <col min="1" max="1" width="12.83203125" style="47"/>
    <col min="2" max="2" width="67.1640625" style="47" customWidth="1"/>
    <col min="3" max="4" width="12.83203125" style="47"/>
    <col min="5" max="5" width="23.6640625" style="47" bestFit="1" customWidth="1"/>
    <col min="6" max="6" width="44.16406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23.6640625" style="47" customWidth="1" collapsed="1"/>
    <col min="13" max="18" width="23.6640625" style="47" hidden="1" customWidth="1" outlineLevel="1"/>
    <col min="19" max="19" width="23.6640625" style="47" customWidth="1" collapsed="1"/>
    <col min="20" max="24" width="23.6640625" style="47" hidden="1" customWidth="1" outlineLevel="1"/>
    <col min="25" max="25" width="23.6640625" style="47" customWidth="1" collapsed="1"/>
    <col min="26" max="27" width="12.83203125" style="47"/>
    <col min="28" max="28" width="44.5" style="47" customWidth="1"/>
    <col min="29" max="16384" width="12.83203125" style="47"/>
  </cols>
  <sheetData>
    <row r="1" spans="1:28" ht="40" customHeight="1" x14ac:dyDescent="0.15">
      <c r="A1" s="38" t="s">
        <v>78</v>
      </c>
      <c r="B1" s="38" t="s">
        <v>79</v>
      </c>
      <c r="C1" s="38" t="s">
        <v>80</v>
      </c>
      <c r="D1" s="38" t="s">
        <v>125</v>
      </c>
      <c r="E1" s="38" t="s">
        <v>81</v>
      </c>
      <c r="F1" s="38" t="s">
        <v>82</v>
      </c>
      <c r="G1" s="39" t="s">
        <v>131</v>
      </c>
      <c r="H1" s="39" t="s">
        <v>137</v>
      </c>
      <c r="I1" s="39" t="s">
        <v>139</v>
      </c>
      <c r="J1" s="39" t="s">
        <v>138</v>
      </c>
      <c r="K1" s="39" t="s">
        <v>140</v>
      </c>
      <c r="L1" s="39" t="s">
        <v>132</v>
      </c>
      <c r="M1" s="39" t="s">
        <v>130</v>
      </c>
      <c r="N1" s="39" t="s">
        <v>133</v>
      </c>
      <c r="O1" s="39" t="s">
        <v>141</v>
      </c>
      <c r="P1" s="39" t="s">
        <v>142</v>
      </c>
      <c r="Q1" s="39" t="s">
        <v>143</v>
      </c>
      <c r="R1" s="39" t="s">
        <v>144</v>
      </c>
      <c r="S1" s="39" t="s">
        <v>134</v>
      </c>
      <c r="T1" s="39" t="s">
        <v>135</v>
      </c>
      <c r="U1" s="39" t="s">
        <v>145</v>
      </c>
      <c r="V1" s="39" t="s">
        <v>146</v>
      </c>
      <c r="W1" s="39" t="s">
        <v>147</v>
      </c>
      <c r="X1" s="39" t="s">
        <v>148</v>
      </c>
      <c r="Y1" s="39" t="s">
        <v>136</v>
      </c>
      <c r="Z1" s="39" t="s">
        <v>75</v>
      </c>
      <c r="AA1" s="39" t="s">
        <v>76</v>
      </c>
      <c r="AB1" s="39" t="s">
        <v>77</v>
      </c>
    </row>
    <row r="2" spans="1:28" ht="40" customHeight="1" x14ac:dyDescent="0.15">
      <c r="A2" s="104">
        <v>13301450</v>
      </c>
      <c r="B2" s="45" t="s">
        <v>321</v>
      </c>
      <c r="C2" s="48">
        <v>1</v>
      </c>
      <c r="D2" s="48" t="s">
        <v>126</v>
      </c>
      <c r="E2" s="109" t="s">
        <v>298</v>
      </c>
      <c r="F2" s="109" t="s">
        <v>311</v>
      </c>
      <c r="G2" s="61" t="str">
        <f t="shared" ref="G2:G29" si="0">IFERROR(LEFT(B2,FIND("],",B2)),B2)</f>
        <v>[effect:enemy_message, val1:1, val2:3.0]</v>
      </c>
      <c r="H2" s="61">
        <f t="shared" ref="H2:H29" si="1">FIND("effect:",G2)+7</f>
        <v>9</v>
      </c>
      <c r="I2" s="61">
        <f t="shared" ref="I2:I29" si="2">IFERROR(FIND(",",G2),LEN(G2))</f>
        <v>22</v>
      </c>
      <c r="J2" s="61" t="e">
        <f t="shared" ref="J2:J29" si="3">FIND("target:",G2)+7</f>
        <v>#VALUE!</v>
      </c>
      <c r="K2" s="61">
        <f t="shared" ref="K2:K29" si="4">FIND(",",G2,I2+1)</f>
        <v>30</v>
      </c>
      <c r="L2" s="61" t="str">
        <f>IFERROR(VLOOKUP(MID(G2,J2,K2-J2),[6]skilldef!$C:$D,2,FALSE),"-") &amp; " / " &amp; IFERROR(VLOOKUP(MID(G2,H2,I2-H2),[6]skilldef!$A:$B,2,FALSE),"-")</f>
        <v>- / -</v>
      </c>
      <c r="M2" s="61" t="str">
        <f t="shared" ref="M2:M29" si="5">IFERROR(RIGHT(B2,LEN(B2)-FIND("],",B2)-1),"none")</f>
        <v>[effect:damage_anti_cost, target:unit_all, lower:29, val1:99.9, val2:0.01, cost_type:unit],[effect:damage_anti_cost, target:unit_all, lower:29, val1:99.9, val2:0.01, cost_type:unit],[effect:reduction, target:myself, color:all, turn:-1, val:0.97, animation:reduction_one01]</v>
      </c>
      <c r="N2" s="46" t="str">
        <f t="shared" ref="N2:N9" si="6">IFERROR(LEFT(M2,FIND("],",M2)+S12),M2)</f>
        <v>[effect:damage_anti_cost, target:unit_all, lower:29, val1:99.9, val2:0.01, cost_type:unit],[effect:damage_anti_cost, target:unit_all, lower:29, val1:99.9, val2:0.01, cost_type:unit],[effect:reduction, target:myself, color:all, turn:-1, val:0.97, animation:reduction_one01]</v>
      </c>
      <c r="O2" s="61">
        <f t="shared" ref="O2:O29" si="7">FIND("effect:",N2)+7</f>
        <v>9</v>
      </c>
      <c r="P2" s="61">
        <f t="shared" ref="P2:P29" si="8">IFERROR(FIND(",",N2),LEN(N2))</f>
        <v>25</v>
      </c>
      <c r="Q2" s="61">
        <f t="shared" ref="Q2:Q29" si="9">FIND("target:",N2)+7</f>
        <v>34</v>
      </c>
      <c r="R2" s="61">
        <f t="shared" ref="R2:R29" si="10">FIND(",",N2,P2+1)</f>
        <v>42</v>
      </c>
      <c r="S2" s="61" t="str">
        <f>IFERROR(VLOOKUP(MID(N2,Q2,R2-Q2),[6]skilldef!$C:$D,2,FALSE),"-") &amp; " / " &amp; IFERROR(VLOOKUP(MID(N2,O2,P2-O2),[6]skilldef!$A:$B,2,FALSE),"-")</f>
        <v>味方全体に / -</v>
      </c>
      <c r="T2" s="46" t="str">
        <f t="shared" ref="T2:T29" si="11">IFERROR(RIGHT(M2,LEN(M2)-FIND("],",M2)-1),"none")</f>
        <v>[effect:damage_anti_cost, target:unit_all, lower:29, val1:99.9, val2:0.01, cost_type:unit],[effect:reduction, target:myself, color:all, turn:-1, val:0.97, animation:reduction_one01]</v>
      </c>
      <c r="U2" s="61">
        <f t="shared" ref="U2:U29" si="12">FIND("effect:",T2)+7</f>
        <v>9</v>
      </c>
      <c r="V2" s="61">
        <f t="shared" ref="V2:V29" si="13">IFERROR(FIND(",",T2),LEN(T2))</f>
        <v>25</v>
      </c>
      <c r="W2" s="61">
        <f t="shared" ref="W2:W29" si="14">FIND("target:",T2)+7</f>
        <v>34</v>
      </c>
      <c r="X2" s="61">
        <f t="shared" ref="X2:X29" si="15">FIND(",",T2,V2+1)</f>
        <v>42</v>
      </c>
      <c r="Y2" s="61" t="str">
        <f>IFERROR(VLOOKUP(MID(T2,W2,X2-W2),[6]skilldef!$C:$D,2,FALSE),"-") &amp; " / " &amp; IFERROR(VLOOKUP(MID(T2,U2,V2-U2),[6]skilldef!$A:$B,2,FALSE),"-")</f>
        <v>味方全体に / -</v>
      </c>
      <c r="Z2" s="48"/>
      <c r="AA2" s="49"/>
      <c r="AB2" s="48"/>
    </row>
    <row r="3" spans="1:28" ht="40" customHeight="1" x14ac:dyDescent="0.15">
      <c r="A3" s="104">
        <v>13301451</v>
      </c>
      <c r="B3" s="45" t="s">
        <v>263</v>
      </c>
      <c r="C3" s="48">
        <v>1</v>
      </c>
      <c r="D3" s="48" t="s">
        <v>126</v>
      </c>
      <c r="E3" s="109" t="s">
        <v>264</v>
      </c>
      <c r="F3" s="109" t="s">
        <v>265</v>
      </c>
      <c r="G3" s="61" t="str">
        <f t="shared" si="0"/>
        <v>[effect:damage_fix_absolute, target:unit_one, val:300]</v>
      </c>
      <c r="H3" s="61">
        <f t="shared" si="1"/>
        <v>9</v>
      </c>
      <c r="I3" s="61">
        <f t="shared" si="2"/>
        <v>28</v>
      </c>
      <c r="J3" s="61">
        <f t="shared" si="3"/>
        <v>37</v>
      </c>
      <c r="K3" s="61">
        <f t="shared" si="4"/>
        <v>45</v>
      </c>
      <c r="L3" s="61" t="str">
        <f>IFERROR(VLOOKUP(MID(G3,J3,K3-J3),[6]skilldef!$C:$D,2,FALSE),"-") &amp; " / " &amp; IFERROR(VLOOKUP(MID(G3,H3,I3-H3),[6]skilldef!$A:$B,2,FALSE),"-")</f>
        <v>味方単体に / -</v>
      </c>
      <c r="M3" s="61" t="str">
        <f t="shared" si="5"/>
        <v>none</v>
      </c>
      <c r="N3" s="46" t="str">
        <f t="shared" si="6"/>
        <v>none</v>
      </c>
      <c r="O3" s="61" t="e">
        <f t="shared" si="7"/>
        <v>#VALUE!</v>
      </c>
      <c r="P3" s="61">
        <f t="shared" si="8"/>
        <v>4</v>
      </c>
      <c r="Q3" s="61" t="e">
        <f t="shared" si="9"/>
        <v>#VALUE!</v>
      </c>
      <c r="R3" s="61" t="e">
        <f t="shared" si="10"/>
        <v>#VALUE!</v>
      </c>
      <c r="S3" s="61" t="str">
        <f>IFERROR(VLOOKUP(MID(N3,Q3,R3-Q3),[6]skilldef!$C:$D,2,FALSE),"-") &amp; " / " &amp; IFERROR(VLOOKUP(MID(N3,O3,P3-O3),[6]skilldef!$A:$B,2,FALSE),"-")</f>
        <v>- / -</v>
      </c>
      <c r="T3" s="46" t="str">
        <f t="shared" si="11"/>
        <v>none</v>
      </c>
      <c r="U3" s="61" t="e">
        <f t="shared" si="12"/>
        <v>#VALUE!</v>
      </c>
      <c r="V3" s="61">
        <f t="shared" si="13"/>
        <v>4</v>
      </c>
      <c r="W3" s="61" t="e">
        <f t="shared" si="14"/>
        <v>#VALUE!</v>
      </c>
      <c r="X3" s="61" t="e">
        <f t="shared" si="15"/>
        <v>#VALUE!</v>
      </c>
      <c r="Y3" s="61" t="str">
        <f>IFERROR(VLOOKUP(MID(T3,W3,X3-W3),[6]skilldef!$C:$D,2,FALSE),"-") &amp; " / " &amp; IFERROR(VLOOKUP(MID(T3,U3,V3-U3),[6]skilldef!$A:$B,2,FALSE),"-")</f>
        <v>- / -</v>
      </c>
      <c r="Z3" s="48"/>
      <c r="AA3" s="49"/>
      <c r="AB3" s="48"/>
    </row>
    <row r="4" spans="1:28" ht="40" customHeight="1" x14ac:dyDescent="0.15">
      <c r="A4" s="104">
        <v>13301452</v>
      </c>
      <c r="B4" s="45" t="s">
        <v>266</v>
      </c>
      <c r="C4" s="48">
        <v>1</v>
      </c>
      <c r="D4" s="48" t="s">
        <v>126</v>
      </c>
      <c r="E4" s="109" t="s">
        <v>264</v>
      </c>
      <c r="F4" s="109" t="s">
        <v>267</v>
      </c>
      <c r="G4" s="61" t="str">
        <f t="shared" si="0"/>
        <v>[effect:damage_fix_absolute, target:unit_one, val:600]</v>
      </c>
      <c r="H4" s="61">
        <f t="shared" si="1"/>
        <v>9</v>
      </c>
      <c r="I4" s="61">
        <f t="shared" si="2"/>
        <v>28</v>
      </c>
      <c r="J4" s="61">
        <f t="shared" si="3"/>
        <v>37</v>
      </c>
      <c r="K4" s="61">
        <f t="shared" si="4"/>
        <v>45</v>
      </c>
      <c r="L4" s="61" t="str">
        <f>IFERROR(VLOOKUP(MID(G4,J4,K4-J4),[6]skilldef!$C:$D,2,FALSE),"-") &amp; " / " &amp; IFERROR(VLOOKUP(MID(G4,H4,I4-H4),[6]skilldef!$A:$B,2,FALSE),"-")</f>
        <v>味方単体に / -</v>
      </c>
      <c r="M4" s="61" t="str">
        <f t="shared" si="5"/>
        <v>none</v>
      </c>
      <c r="N4" s="46" t="str">
        <f t="shared" si="6"/>
        <v>none</v>
      </c>
      <c r="O4" s="61" t="e">
        <f t="shared" si="7"/>
        <v>#VALUE!</v>
      </c>
      <c r="P4" s="61">
        <f t="shared" si="8"/>
        <v>4</v>
      </c>
      <c r="Q4" s="61" t="e">
        <f t="shared" si="9"/>
        <v>#VALUE!</v>
      </c>
      <c r="R4" s="61" t="e">
        <f t="shared" si="10"/>
        <v>#VALUE!</v>
      </c>
      <c r="S4" s="61" t="str">
        <f>IFERROR(VLOOKUP(MID(N4,Q4,R4-Q4),[6]skilldef!$C:$D,2,FALSE),"-") &amp; " / " &amp; IFERROR(VLOOKUP(MID(N4,O4,P4-O4),[6]skilldef!$A:$B,2,FALSE),"-")</f>
        <v>- / -</v>
      </c>
      <c r="T4" s="46" t="str">
        <f t="shared" si="11"/>
        <v>none</v>
      </c>
      <c r="U4" s="61" t="e">
        <f t="shared" si="12"/>
        <v>#VALUE!</v>
      </c>
      <c r="V4" s="61">
        <f t="shared" si="13"/>
        <v>4</v>
      </c>
      <c r="W4" s="61" t="e">
        <f t="shared" si="14"/>
        <v>#VALUE!</v>
      </c>
      <c r="X4" s="61" t="e">
        <f t="shared" si="15"/>
        <v>#VALUE!</v>
      </c>
      <c r="Y4" s="61" t="str">
        <f>IFERROR(VLOOKUP(MID(T4,W4,X4-W4),[6]skilldef!$C:$D,2,FALSE),"-") &amp; " / " &amp; IFERROR(VLOOKUP(MID(T4,U4,V4-U4),[6]skilldef!$A:$B,2,FALSE),"-")</f>
        <v>- / -</v>
      </c>
      <c r="Z4" s="48"/>
      <c r="AA4" s="49"/>
      <c r="AB4" s="48"/>
    </row>
    <row r="5" spans="1:28" ht="40" customHeight="1" x14ac:dyDescent="0.15">
      <c r="A5" s="104">
        <v>13301453</v>
      </c>
      <c r="B5" s="45" t="s">
        <v>268</v>
      </c>
      <c r="C5" s="48">
        <v>1</v>
      </c>
      <c r="D5" s="48" t="s">
        <v>126</v>
      </c>
      <c r="E5" s="109" t="s">
        <v>264</v>
      </c>
      <c r="F5" s="109" t="s">
        <v>267</v>
      </c>
      <c r="G5" s="61" t="str">
        <f t="shared" si="0"/>
        <v>[effect:damage_fix_absolute, target:unit_one, val:900]</v>
      </c>
      <c r="H5" s="61">
        <f t="shared" si="1"/>
        <v>9</v>
      </c>
      <c r="I5" s="61">
        <f t="shared" si="2"/>
        <v>28</v>
      </c>
      <c r="J5" s="61">
        <f t="shared" si="3"/>
        <v>37</v>
      </c>
      <c r="K5" s="61">
        <f t="shared" si="4"/>
        <v>45</v>
      </c>
      <c r="L5" s="61" t="str">
        <f>IFERROR(VLOOKUP(MID(G5,J5,K5-J5),[6]skilldef!$C:$D,2,FALSE),"-") &amp; " / " &amp; IFERROR(VLOOKUP(MID(G5,H5,I5-H5),[6]skilldef!$A:$B,2,FALSE),"-")</f>
        <v>味方単体に / -</v>
      </c>
      <c r="M5" s="61" t="str">
        <f t="shared" si="5"/>
        <v>none</v>
      </c>
      <c r="N5" s="46" t="str">
        <f t="shared" si="6"/>
        <v>none</v>
      </c>
      <c r="O5" s="61" t="e">
        <f t="shared" si="7"/>
        <v>#VALUE!</v>
      </c>
      <c r="P5" s="61">
        <f t="shared" si="8"/>
        <v>4</v>
      </c>
      <c r="Q5" s="61" t="e">
        <f t="shared" si="9"/>
        <v>#VALUE!</v>
      </c>
      <c r="R5" s="61" t="e">
        <f t="shared" si="10"/>
        <v>#VALUE!</v>
      </c>
      <c r="S5" s="61" t="str">
        <f>IFERROR(VLOOKUP(MID(N5,Q5,R5-Q5),[6]skilldef!$C:$D,2,FALSE),"-") &amp; " / " &amp; IFERROR(VLOOKUP(MID(N5,O5,P5-O5),[6]skilldef!$A:$B,2,FALSE),"-")</f>
        <v>- / -</v>
      </c>
      <c r="T5" s="46" t="str">
        <f t="shared" si="11"/>
        <v>none</v>
      </c>
      <c r="U5" s="61" t="e">
        <f t="shared" si="12"/>
        <v>#VALUE!</v>
      </c>
      <c r="V5" s="61">
        <f t="shared" si="13"/>
        <v>4</v>
      </c>
      <c r="W5" s="61" t="e">
        <f t="shared" si="14"/>
        <v>#VALUE!</v>
      </c>
      <c r="X5" s="61" t="e">
        <f t="shared" si="15"/>
        <v>#VALUE!</v>
      </c>
      <c r="Y5" s="61" t="str">
        <f>IFERROR(VLOOKUP(MID(T5,W5,X5-W5),[6]skilldef!$C:$D,2,FALSE),"-") &amp; " / " &amp; IFERROR(VLOOKUP(MID(T5,U5,V5-U5),[6]skilldef!$A:$B,2,FALSE),"-")</f>
        <v>- / -</v>
      </c>
      <c r="Z5" s="48"/>
      <c r="AA5" s="49"/>
      <c r="AB5" s="48"/>
    </row>
    <row r="6" spans="1:28" ht="40" customHeight="1" x14ac:dyDescent="0.15">
      <c r="A6" s="104">
        <v>13301454</v>
      </c>
      <c r="B6" s="45" t="s">
        <v>269</v>
      </c>
      <c r="C6" s="48">
        <v>1</v>
      </c>
      <c r="D6" s="48" t="s">
        <v>126</v>
      </c>
      <c r="E6" s="109" t="s">
        <v>264</v>
      </c>
      <c r="F6" s="109" t="s">
        <v>267</v>
      </c>
      <c r="G6" s="61" t="str">
        <f t="shared" si="0"/>
        <v>[effect:damage_fix_absolute, target:unit_one, val:1200]</v>
      </c>
      <c r="H6" s="61">
        <f t="shared" si="1"/>
        <v>9</v>
      </c>
      <c r="I6" s="61">
        <f t="shared" si="2"/>
        <v>28</v>
      </c>
      <c r="J6" s="61">
        <f t="shared" si="3"/>
        <v>37</v>
      </c>
      <c r="K6" s="61">
        <f t="shared" si="4"/>
        <v>45</v>
      </c>
      <c r="L6" s="61" t="str">
        <f>IFERROR(VLOOKUP(MID(G6,J6,K6-J6),[6]skilldef!$C:$D,2,FALSE),"-") &amp; " / " &amp; IFERROR(VLOOKUP(MID(G6,H6,I6-H6),[6]skilldef!$A:$B,2,FALSE),"-")</f>
        <v>味方単体に / -</v>
      </c>
      <c r="M6" s="61" t="str">
        <f t="shared" si="5"/>
        <v>none</v>
      </c>
      <c r="N6" s="46" t="str">
        <f t="shared" si="6"/>
        <v>none</v>
      </c>
      <c r="O6" s="61" t="e">
        <f t="shared" si="7"/>
        <v>#VALUE!</v>
      </c>
      <c r="P6" s="61">
        <f t="shared" si="8"/>
        <v>4</v>
      </c>
      <c r="Q6" s="61" t="e">
        <f t="shared" si="9"/>
        <v>#VALUE!</v>
      </c>
      <c r="R6" s="61" t="e">
        <f t="shared" si="10"/>
        <v>#VALUE!</v>
      </c>
      <c r="S6" s="61" t="str">
        <f>IFERROR(VLOOKUP(MID(N6,Q6,R6-Q6),[6]skilldef!$C:$D,2,FALSE),"-") &amp; " / " &amp; IFERROR(VLOOKUP(MID(N6,O6,P6-O6),[6]skilldef!$A:$B,2,FALSE),"-")</f>
        <v>- / -</v>
      </c>
      <c r="T6" s="46" t="str">
        <f t="shared" si="11"/>
        <v>none</v>
      </c>
      <c r="U6" s="61" t="e">
        <f t="shared" si="12"/>
        <v>#VALUE!</v>
      </c>
      <c r="V6" s="61">
        <f t="shared" si="13"/>
        <v>4</v>
      </c>
      <c r="W6" s="61" t="e">
        <f t="shared" si="14"/>
        <v>#VALUE!</v>
      </c>
      <c r="X6" s="61" t="e">
        <f t="shared" si="15"/>
        <v>#VALUE!</v>
      </c>
      <c r="Y6" s="61" t="str">
        <f>IFERROR(VLOOKUP(MID(T6,W6,X6-W6),[6]skilldef!$C:$D,2,FALSE),"-") &amp; " / " &amp; IFERROR(VLOOKUP(MID(T6,U6,V6-U6),[6]skilldef!$A:$B,2,FALSE),"-")</f>
        <v>- / -</v>
      </c>
      <c r="Z6" s="48"/>
      <c r="AA6" s="49"/>
      <c r="AB6" s="48"/>
    </row>
    <row r="7" spans="1:28" ht="40" customHeight="1" x14ac:dyDescent="0.15">
      <c r="A7" s="104">
        <v>13301455</v>
      </c>
      <c r="B7" s="45" t="s">
        <v>270</v>
      </c>
      <c r="C7" s="48">
        <v>1</v>
      </c>
      <c r="D7" s="48" t="s">
        <v>126</v>
      </c>
      <c r="E7" s="109" t="s">
        <v>264</v>
      </c>
      <c r="F7" s="109" t="s">
        <v>267</v>
      </c>
      <c r="G7" s="61" t="str">
        <f t="shared" si="0"/>
        <v>[effect:damage_fix_absolute, target:unit_one, val:1500]</v>
      </c>
      <c r="H7" s="61">
        <f t="shared" si="1"/>
        <v>9</v>
      </c>
      <c r="I7" s="61">
        <f t="shared" si="2"/>
        <v>28</v>
      </c>
      <c r="J7" s="61">
        <f t="shared" si="3"/>
        <v>37</v>
      </c>
      <c r="K7" s="61">
        <f t="shared" si="4"/>
        <v>45</v>
      </c>
      <c r="L7" s="61" t="str">
        <f>IFERROR(VLOOKUP(MID(G7,J7,K7-J7),[6]skilldef!$C:$D,2,FALSE),"-") &amp; " / " &amp; IFERROR(VLOOKUP(MID(G7,H7,I7-H7),[6]skilldef!$A:$B,2,FALSE),"-")</f>
        <v>味方単体に / -</v>
      </c>
      <c r="M7" s="61" t="str">
        <f t="shared" si="5"/>
        <v>none</v>
      </c>
      <c r="N7" s="46" t="str">
        <f t="shared" si="6"/>
        <v>none</v>
      </c>
      <c r="O7" s="61" t="e">
        <f t="shared" si="7"/>
        <v>#VALUE!</v>
      </c>
      <c r="P7" s="61">
        <f t="shared" si="8"/>
        <v>4</v>
      </c>
      <c r="Q7" s="61" t="e">
        <f t="shared" si="9"/>
        <v>#VALUE!</v>
      </c>
      <c r="R7" s="61" t="e">
        <f t="shared" si="10"/>
        <v>#VALUE!</v>
      </c>
      <c r="S7" s="61" t="str">
        <f>IFERROR(VLOOKUP(MID(N7,Q7,R7-Q7),[6]skilldef!$C:$D,2,FALSE),"-") &amp; " / " &amp; IFERROR(VLOOKUP(MID(N7,O7,P7-O7),[6]skilldef!$A:$B,2,FALSE),"-")</f>
        <v>- / -</v>
      </c>
      <c r="T7" s="46" t="str">
        <f t="shared" si="11"/>
        <v>none</v>
      </c>
      <c r="U7" s="61" t="e">
        <f t="shared" si="12"/>
        <v>#VALUE!</v>
      </c>
      <c r="V7" s="61">
        <f t="shared" si="13"/>
        <v>4</v>
      </c>
      <c r="W7" s="61" t="e">
        <f t="shared" si="14"/>
        <v>#VALUE!</v>
      </c>
      <c r="X7" s="61" t="e">
        <f t="shared" si="15"/>
        <v>#VALUE!</v>
      </c>
      <c r="Y7" s="61" t="str">
        <f>IFERROR(VLOOKUP(MID(T7,W7,X7-W7),[6]skilldef!$C:$D,2,FALSE),"-") &amp; " / " &amp; IFERROR(VLOOKUP(MID(T7,U7,V7-U7),[6]skilldef!$A:$B,2,FALSE),"-")</f>
        <v>- / -</v>
      </c>
      <c r="Z7" s="48"/>
      <c r="AA7" s="49"/>
      <c r="AB7" s="48"/>
    </row>
    <row r="8" spans="1:28" ht="40" customHeight="1" x14ac:dyDescent="0.15">
      <c r="A8" s="104">
        <v>13301456</v>
      </c>
      <c r="B8" s="45" t="s">
        <v>271</v>
      </c>
      <c r="C8" s="48">
        <v>1</v>
      </c>
      <c r="D8" s="48" t="s">
        <v>126</v>
      </c>
      <c r="E8" s="109" t="s">
        <v>264</v>
      </c>
      <c r="F8" s="109" t="s">
        <v>267</v>
      </c>
      <c r="G8" s="61" t="str">
        <f t="shared" si="0"/>
        <v>[effect:damage_fix_absolute, target:unit_one, val:1800]</v>
      </c>
      <c r="H8" s="61">
        <f t="shared" si="1"/>
        <v>9</v>
      </c>
      <c r="I8" s="61">
        <f t="shared" si="2"/>
        <v>28</v>
      </c>
      <c r="J8" s="61">
        <f t="shared" si="3"/>
        <v>37</v>
      </c>
      <c r="K8" s="61">
        <f t="shared" si="4"/>
        <v>45</v>
      </c>
      <c r="L8" s="61" t="str">
        <f>IFERROR(VLOOKUP(MID(G8,J8,K8-J8),[6]skilldef!$C:$D,2,FALSE),"-") &amp; " / " &amp; IFERROR(VLOOKUP(MID(G8,H8,I8-H8),[6]skilldef!$A:$B,2,FALSE),"-")</f>
        <v>味方単体に / -</v>
      </c>
      <c r="M8" s="61" t="str">
        <f t="shared" si="5"/>
        <v>none</v>
      </c>
      <c r="N8" s="46" t="str">
        <f t="shared" si="6"/>
        <v>none</v>
      </c>
      <c r="O8" s="61" t="e">
        <f t="shared" si="7"/>
        <v>#VALUE!</v>
      </c>
      <c r="P8" s="61">
        <f t="shared" si="8"/>
        <v>4</v>
      </c>
      <c r="Q8" s="61" t="e">
        <f t="shared" si="9"/>
        <v>#VALUE!</v>
      </c>
      <c r="R8" s="61" t="e">
        <f t="shared" si="10"/>
        <v>#VALUE!</v>
      </c>
      <c r="S8" s="61" t="str">
        <f>IFERROR(VLOOKUP(MID(N8,Q8,R8-Q8),[6]skilldef!$C:$D,2,FALSE),"-") &amp; " / " &amp; IFERROR(VLOOKUP(MID(N8,O8,P8-O8),[6]skilldef!$A:$B,2,FALSE),"-")</f>
        <v>- / -</v>
      </c>
      <c r="T8" s="46" t="str">
        <f t="shared" si="11"/>
        <v>none</v>
      </c>
      <c r="U8" s="61" t="e">
        <f t="shared" si="12"/>
        <v>#VALUE!</v>
      </c>
      <c r="V8" s="61">
        <f t="shared" si="13"/>
        <v>4</v>
      </c>
      <c r="W8" s="61" t="e">
        <f t="shared" si="14"/>
        <v>#VALUE!</v>
      </c>
      <c r="X8" s="61" t="e">
        <f t="shared" si="15"/>
        <v>#VALUE!</v>
      </c>
      <c r="Y8" s="61" t="str">
        <f>IFERROR(VLOOKUP(MID(T8,W8,X8-W8),[6]skilldef!$C:$D,2,FALSE),"-") &amp; " / " &amp; IFERROR(VLOOKUP(MID(T8,U8,V8-U8),[6]skilldef!$A:$B,2,FALSE),"-")</f>
        <v>- / -</v>
      </c>
      <c r="Z8" s="48"/>
      <c r="AA8" s="49"/>
      <c r="AB8" s="48"/>
    </row>
    <row r="9" spans="1:28" ht="40" customHeight="1" x14ac:dyDescent="0.15">
      <c r="A9" s="104">
        <v>13301457</v>
      </c>
      <c r="B9" s="45" t="s">
        <v>272</v>
      </c>
      <c r="C9" s="48">
        <v>1</v>
      </c>
      <c r="D9" s="48" t="s">
        <v>126</v>
      </c>
      <c r="E9" s="109" t="s">
        <v>264</v>
      </c>
      <c r="F9" s="109" t="s">
        <v>267</v>
      </c>
      <c r="G9" s="61" t="str">
        <f t="shared" si="0"/>
        <v>[effect:damage_fix_absolute, target:unit_one, val:2100]</v>
      </c>
      <c r="H9" s="61">
        <f t="shared" si="1"/>
        <v>9</v>
      </c>
      <c r="I9" s="61">
        <f t="shared" si="2"/>
        <v>28</v>
      </c>
      <c r="J9" s="61">
        <f t="shared" si="3"/>
        <v>37</v>
      </c>
      <c r="K9" s="61">
        <f t="shared" si="4"/>
        <v>45</v>
      </c>
      <c r="L9" s="61" t="str">
        <f>IFERROR(VLOOKUP(MID(G9,J9,K9-J9),[6]skilldef!$C:$D,2,FALSE),"-") &amp; " / " &amp; IFERROR(VLOOKUP(MID(G9,H9,I9-H9),[6]skilldef!$A:$B,2,FALSE),"-")</f>
        <v>味方単体に / -</v>
      </c>
      <c r="M9" s="61" t="str">
        <f t="shared" si="5"/>
        <v>none</v>
      </c>
      <c r="N9" s="46" t="str">
        <f t="shared" si="6"/>
        <v>none</v>
      </c>
      <c r="O9" s="61" t="e">
        <f t="shared" si="7"/>
        <v>#VALUE!</v>
      </c>
      <c r="P9" s="61">
        <f t="shared" si="8"/>
        <v>4</v>
      </c>
      <c r="Q9" s="61" t="e">
        <f t="shared" si="9"/>
        <v>#VALUE!</v>
      </c>
      <c r="R9" s="61" t="e">
        <f t="shared" si="10"/>
        <v>#VALUE!</v>
      </c>
      <c r="S9" s="61" t="str">
        <f>IFERROR(VLOOKUP(MID(N9,Q9,R9-Q9),[6]skilldef!$C:$D,2,FALSE),"-") &amp; " / " &amp; IFERROR(VLOOKUP(MID(N9,O9,P9-O9),[6]skilldef!$A:$B,2,FALSE),"-")</f>
        <v>- / -</v>
      </c>
      <c r="T9" s="46" t="str">
        <f t="shared" si="11"/>
        <v>none</v>
      </c>
      <c r="U9" s="61" t="e">
        <f t="shared" si="12"/>
        <v>#VALUE!</v>
      </c>
      <c r="V9" s="61">
        <f t="shared" si="13"/>
        <v>4</v>
      </c>
      <c r="W9" s="61" t="e">
        <f t="shared" si="14"/>
        <v>#VALUE!</v>
      </c>
      <c r="X9" s="61" t="e">
        <f t="shared" si="15"/>
        <v>#VALUE!</v>
      </c>
      <c r="Y9" s="61" t="str">
        <f>IFERROR(VLOOKUP(MID(T9,W9,X9-W9),[6]skilldef!$C:$D,2,FALSE),"-") &amp; " / " &amp; IFERROR(VLOOKUP(MID(T9,U9,V9-U9),[6]skilldef!$A:$B,2,FALSE),"-")</f>
        <v>- / -</v>
      </c>
      <c r="Z9" s="48"/>
      <c r="AA9" s="49"/>
      <c r="AB9" s="48"/>
    </row>
    <row r="10" spans="1:28" ht="40" customHeight="1" x14ac:dyDescent="0.15">
      <c r="A10" s="104">
        <v>13301458</v>
      </c>
      <c r="B10" s="45" t="s">
        <v>273</v>
      </c>
      <c r="C10" s="48">
        <v>1</v>
      </c>
      <c r="D10" s="48" t="s">
        <v>126</v>
      </c>
      <c r="E10" s="109" t="s">
        <v>264</v>
      </c>
      <c r="F10" s="109" t="s">
        <v>267</v>
      </c>
      <c r="G10" s="61" t="str">
        <f t="shared" si="0"/>
        <v>[effect:damage_fix_absolute, target:unit_one, val:2400]</v>
      </c>
      <c r="H10" s="61">
        <f t="shared" si="1"/>
        <v>9</v>
      </c>
      <c r="I10" s="61">
        <f t="shared" si="2"/>
        <v>28</v>
      </c>
      <c r="J10" s="61">
        <f t="shared" si="3"/>
        <v>37</v>
      </c>
      <c r="K10" s="61">
        <f t="shared" si="4"/>
        <v>45</v>
      </c>
      <c r="L10" s="61" t="str">
        <f>IFERROR(VLOOKUP(MID(G10,J10,K10-J10),[6]skilldef!$C:$D,2,FALSE),"-") &amp; " / " &amp; IFERROR(VLOOKUP(MID(G10,H10,I10-H10),[6]skilldef!$A:$B,2,FALSE),"-")</f>
        <v>味方単体に / -</v>
      </c>
      <c r="M10" s="61" t="str">
        <f t="shared" si="5"/>
        <v>none</v>
      </c>
      <c r="N10" s="46" t="str">
        <f t="shared" ref="N10:N18" si="16">IFERROR(LEFT(M10,FIND("],",M10)+S21),M10)</f>
        <v>none</v>
      </c>
      <c r="O10" s="61" t="e">
        <f t="shared" si="7"/>
        <v>#VALUE!</v>
      </c>
      <c r="P10" s="61">
        <f t="shared" si="8"/>
        <v>4</v>
      </c>
      <c r="Q10" s="61" t="e">
        <f t="shared" si="9"/>
        <v>#VALUE!</v>
      </c>
      <c r="R10" s="61" t="e">
        <f t="shared" si="10"/>
        <v>#VALUE!</v>
      </c>
      <c r="S10" s="61" t="str">
        <f>IFERROR(VLOOKUP(MID(N10,Q10,R10-Q10),[6]skilldef!$C:$D,2,FALSE),"-") &amp; " / " &amp; IFERROR(VLOOKUP(MID(N10,O10,P10-O10),[6]skilldef!$A:$B,2,FALSE),"-")</f>
        <v>- / -</v>
      </c>
      <c r="T10" s="46" t="str">
        <f t="shared" si="11"/>
        <v>none</v>
      </c>
      <c r="U10" s="61" t="e">
        <f t="shared" si="12"/>
        <v>#VALUE!</v>
      </c>
      <c r="V10" s="61">
        <f t="shared" si="13"/>
        <v>4</v>
      </c>
      <c r="W10" s="61" t="e">
        <f t="shared" si="14"/>
        <v>#VALUE!</v>
      </c>
      <c r="X10" s="61" t="e">
        <f t="shared" si="15"/>
        <v>#VALUE!</v>
      </c>
      <c r="Y10" s="61" t="str">
        <f>IFERROR(VLOOKUP(MID(T10,W10,X10-W10),[6]skilldef!$C:$D,2,FALSE),"-") &amp; " / " &amp; IFERROR(VLOOKUP(MID(T10,U10,V10-U10),[6]skilldef!$A:$B,2,FALSE),"-")</f>
        <v>- / -</v>
      </c>
      <c r="Z10" s="48"/>
      <c r="AA10" s="49"/>
      <c r="AB10" s="48"/>
    </row>
    <row r="11" spans="1:28" ht="40" customHeight="1" x14ac:dyDescent="0.15">
      <c r="A11" s="104">
        <v>13301459</v>
      </c>
      <c r="B11" s="45" t="s">
        <v>274</v>
      </c>
      <c r="C11" s="48">
        <v>1</v>
      </c>
      <c r="D11" s="48" t="s">
        <v>126</v>
      </c>
      <c r="E11" s="109" t="s">
        <v>264</v>
      </c>
      <c r="F11" s="109" t="s">
        <v>267</v>
      </c>
      <c r="G11" s="61" t="str">
        <f t="shared" si="0"/>
        <v>[effect:damage_fix_absolute, target:unit_one, val:2700]</v>
      </c>
      <c r="H11" s="61">
        <f t="shared" si="1"/>
        <v>9</v>
      </c>
      <c r="I11" s="61">
        <f t="shared" si="2"/>
        <v>28</v>
      </c>
      <c r="J11" s="61">
        <f t="shared" si="3"/>
        <v>37</v>
      </c>
      <c r="K11" s="61">
        <f t="shared" si="4"/>
        <v>45</v>
      </c>
      <c r="L11" s="61" t="str">
        <f>IFERROR(VLOOKUP(MID(G11,J11,K11-J11),[6]skilldef!$C:$D,2,FALSE),"-") &amp; " / " &amp; IFERROR(VLOOKUP(MID(G11,H11,I11-H11),[6]skilldef!$A:$B,2,FALSE),"-")</f>
        <v>味方単体に / -</v>
      </c>
      <c r="M11" s="61" t="str">
        <f t="shared" si="5"/>
        <v>none</v>
      </c>
      <c r="N11" s="46" t="str">
        <f t="shared" si="16"/>
        <v>none</v>
      </c>
      <c r="O11" s="61" t="e">
        <f t="shared" si="7"/>
        <v>#VALUE!</v>
      </c>
      <c r="P11" s="61">
        <f t="shared" si="8"/>
        <v>4</v>
      </c>
      <c r="Q11" s="61" t="e">
        <f t="shared" si="9"/>
        <v>#VALUE!</v>
      </c>
      <c r="R11" s="61" t="e">
        <f t="shared" si="10"/>
        <v>#VALUE!</v>
      </c>
      <c r="S11" s="61" t="str">
        <f>IFERROR(VLOOKUP(MID(N11,Q11,R11-Q11),[6]skilldef!$C:$D,2,FALSE),"-") &amp; " / " &amp; IFERROR(VLOOKUP(MID(N11,O11,P11-O11),[6]skilldef!$A:$B,2,FALSE),"-")</f>
        <v>- / -</v>
      </c>
      <c r="T11" s="46" t="str">
        <f t="shared" si="11"/>
        <v>none</v>
      </c>
      <c r="U11" s="61" t="e">
        <f t="shared" si="12"/>
        <v>#VALUE!</v>
      </c>
      <c r="V11" s="61">
        <f t="shared" si="13"/>
        <v>4</v>
      </c>
      <c r="W11" s="61" t="e">
        <f t="shared" si="14"/>
        <v>#VALUE!</v>
      </c>
      <c r="X11" s="61" t="e">
        <f t="shared" si="15"/>
        <v>#VALUE!</v>
      </c>
      <c r="Y11" s="61" t="str">
        <f>IFERROR(VLOOKUP(MID(T11,W11,X11-W11),[6]skilldef!$C:$D,2,FALSE),"-") &amp; " / " &amp; IFERROR(VLOOKUP(MID(T11,U11,V11-U11),[6]skilldef!$A:$B,2,FALSE),"-")</f>
        <v>- / -</v>
      </c>
      <c r="Z11" s="48"/>
      <c r="AA11" s="49"/>
      <c r="AB11" s="48"/>
    </row>
    <row r="12" spans="1:28" ht="40" customHeight="1" x14ac:dyDescent="0.15">
      <c r="A12" s="104">
        <v>13301460</v>
      </c>
      <c r="B12" s="45" t="s">
        <v>275</v>
      </c>
      <c r="C12" s="48">
        <v>1</v>
      </c>
      <c r="D12" s="48" t="s">
        <v>126</v>
      </c>
      <c r="E12" s="109" t="s">
        <v>264</v>
      </c>
      <c r="F12" s="109" t="s">
        <v>267</v>
      </c>
      <c r="G12" s="61" t="str">
        <f t="shared" si="0"/>
        <v>[effect:damage_fix_absolute, target:unit_one, val:3000]</v>
      </c>
      <c r="H12" s="61">
        <f t="shared" si="1"/>
        <v>9</v>
      </c>
      <c r="I12" s="61">
        <f t="shared" si="2"/>
        <v>28</v>
      </c>
      <c r="J12" s="61">
        <f t="shared" si="3"/>
        <v>37</v>
      </c>
      <c r="K12" s="61">
        <f t="shared" si="4"/>
        <v>45</v>
      </c>
      <c r="L12" s="61" t="str">
        <f>IFERROR(VLOOKUP(MID(G12,J12,K12-J12),[6]skilldef!$C:$D,2,FALSE),"-") &amp; " / " &amp; IFERROR(VLOOKUP(MID(G12,H12,I12-H12),[6]skilldef!$A:$B,2,FALSE),"-")</f>
        <v>味方単体に / -</v>
      </c>
      <c r="M12" s="61" t="str">
        <f t="shared" si="5"/>
        <v>none</v>
      </c>
      <c r="N12" s="46" t="str">
        <f t="shared" si="16"/>
        <v>none</v>
      </c>
      <c r="O12" s="61" t="e">
        <f t="shared" si="7"/>
        <v>#VALUE!</v>
      </c>
      <c r="P12" s="61">
        <f t="shared" si="8"/>
        <v>4</v>
      </c>
      <c r="Q12" s="61" t="e">
        <f t="shared" si="9"/>
        <v>#VALUE!</v>
      </c>
      <c r="R12" s="61" t="e">
        <f t="shared" si="10"/>
        <v>#VALUE!</v>
      </c>
      <c r="S12" s="61" t="str">
        <f>IFERROR(VLOOKUP(MID(N12,Q12,R12-Q12),[6]skilldef!$C:$D,2,FALSE),"-") &amp; " / " &amp; IFERROR(VLOOKUP(MID(N12,O12,P12-O12),[6]skilldef!$A:$B,2,FALSE),"-")</f>
        <v>- / -</v>
      </c>
      <c r="T12" s="46" t="str">
        <f t="shared" si="11"/>
        <v>none</v>
      </c>
      <c r="U12" s="61" t="e">
        <f t="shared" si="12"/>
        <v>#VALUE!</v>
      </c>
      <c r="V12" s="61">
        <f t="shared" si="13"/>
        <v>4</v>
      </c>
      <c r="W12" s="61" t="e">
        <f t="shared" si="14"/>
        <v>#VALUE!</v>
      </c>
      <c r="X12" s="61" t="e">
        <f t="shared" si="15"/>
        <v>#VALUE!</v>
      </c>
      <c r="Y12" s="61" t="str">
        <f>IFERROR(VLOOKUP(MID(T12,W12,X12-W12),[6]skilldef!$C:$D,2,FALSE),"-") &amp; " / " &amp; IFERROR(VLOOKUP(MID(T12,U12,V12-U12),[6]skilldef!$A:$B,2,FALSE),"-")</f>
        <v>- / -</v>
      </c>
      <c r="Z12" s="48"/>
      <c r="AA12" s="49"/>
      <c r="AB12" s="48"/>
    </row>
    <row r="13" spans="1:28" ht="40" customHeight="1" x14ac:dyDescent="0.15">
      <c r="A13" s="104">
        <v>13301461</v>
      </c>
      <c r="B13" s="45" t="s">
        <v>276</v>
      </c>
      <c r="C13" s="48">
        <v>1</v>
      </c>
      <c r="D13" s="48" t="s">
        <v>126</v>
      </c>
      <c r="E13" s="109" t="s">
        <v>264</v>
      </c>
      <c r="F13" s="109" t="s">
        <v>267</v>
      </c>
      <c r="G13" s="61" t="str">
        <f t="shared" si="0"/>
        <v>[effect:damage_fix_absolute, target:unit_one, val:3300]</v>
      </c>
      <c r="H13" s="61">
        <f t="shared" si="1"/>
        <v>9</v>
      </c>
      <c r="I13" s="61">
        <f t="shared" si="2"/>
        <v>28</v>
      </c>
      <c r="J13" s="61">
        <f t="shared" si="3"/>
        <v>37</v>
      </c>
      <c r="K13" s="61">
        <f t="shared" si="4"/>
        <v>45</v>
      </c>
      <c r="L13" s="61" t="str">
        <f>IFERROR(VLOOKUP(MID(G13,J13,K13-J13),[6]skilldef!$C:$D,2,FALSE),"-") &amp; " / " &amp; IFERROR(VLOOKUP(MID(G13,H13,I13-H13),[6]skilldef!$A:$B,2,FALSE),"-")</f>
        <v>味方単体に / -</v>
      </c>
      <c r="M13" s="61" t="str">
        <f t="shared" si="5"/>
        <v>none</v>
      </c>
      <c r="N13" s="46" t="str">
        <f t="shared" si="16"/>
        <v>none</v>
      </c>
      <c r="O13" s="61" t="e">
        <f t="shared" si="7"/>
        <v>#VALUE!</v>
      </c>
      <c r="P13" s="61">
        <f t="shared" si="8"/>
        <v>4</v>
      </c>
      <c r="Q13" s="61" t="e">
        <f t="shared" si="9"/>
        <v>#VALUE!</v>
      </c>
      <c r="R13" s="61" t="e">
        <f t="shared" si="10"/>
        <v>#VALUE!</v>
      </c>
      <c r="S13" s="61" t="str">
        <f>IFERROR(VLOOKUP(MID(N13,Q13,R13-Q13),[6]skilldef!$C:$D,2,FALSE),"-") &amp; " / " &amp; IFERROR(VLOOKUP(MID(N13,O13,P13-O13),[6]skilldef!$A:$B,2,FALSE),"-")</f>
        <v>- / -</v>
      </c>
      <c r="T13" s="46" t="str">
        <f t="shared" si="11"/>
        <v>none</v>
      </c>
      <c r="U13" s="61" t="e">
        <f t="shared" si="12"/>
        <v>#VALUE!</v>
      </c>
      <c r="V13" s="61">
        <f t="shared" si="13"/>
        <v>4</v>
      </c>
      <c r="W13" s="61" t="e">
        <f t="shared" si="14"/>
        <v>#VALUE!</v>
      </c>
      <c r="X13" s="61" t="e">
        <f t="shared" si="15"/>
        <v>#VALUE!</v>
      </c>
      <c r="Y13" s="61" t="str">
        <f>IFERROR(VLOOKUP(MID(T13,W13,X13-W13),[6]skilldef!$C:$D,2,FALSE),"-") &amp; " / " &amp; IFERROR(VLOOKUP(MID(T13,U13,V13-U13),[6]skilldef!$A:$B,2,FALSE),"-")</f>
        <v>- / -</v>
      </c>
      <c r="Z13" s="48"/>
      <c r="AA13" s="49"/>
      <c r="AB13" s="48"/>
    </row>
    <row r="14" spans="1:28" ht="40" customHeight="1" x14ac:dyDescent="0.15">
      <c r="A14" s="104">
        <v>13301462</v>
      </c>
      <c r="B14" s="45" t="s">
        <v>277</v>
      </c>
      <c r="C14" s="48">
        <v>1</v>
      </c>
      <c r="D14" s="48" t="s">
        <v>278</v>
      </c>
      <c r="E14" s="109" t="s">
        <v>264</v>
      </c>
      <c r="F14" s="109" t="s">
        <v>279</v>
      </c>
      <c r="G14" s="61" t="str">
        <f t="shared" si="0"/>
        <v>[effect:damage_fix_absolute, target:unit_one, val:3600]</v>
      </c>
      <c r="H14" s="61">
        <f t="shared" si="1"/>
        <v>9</v>
      </c>
      <c r="I14" s="61">
        <f t="shared" si="2"/>
        <v>28</v>
      </c>
      <c r="J14" s="61">
        <f t="shared" si="3"/>
        <v>37</v>
      </c>
      <c r="K14" s="61">
        <f t="shared" si="4"/>
        <v>45</v>
      </c>
      <c r="L14" s="61" t="str">
        <f>IFERROR(VLOOKUP(MID(G14,J14,K14-J14),[6]skilldef!$C:$D,2,FALSE),"-") &amp; " / " &amp; IFERROR(VLOOKUP(MID(G14,H14,I14-H14),[6]skilldef!$A:$B,2,FALSE),"-")</f>
        <v>味方単体に / -</v>
      </c>
      <c r="M14" s="61" t="str">
        <f t="shared" si="5"/>
        <v>none</v>
      </c>
      <c r="N14" s="46" t="str">
        <f t="shared" si="16"/>
        <v>none</v>
      </c>
      <c r="O14" s="61" t="e">
        <f t="shared" si="7"/>
        <v>#VALUE!</v>
      </c>
      <c r="P14" s="61">
        <f t="shared" si="8"/>
        <v>4</v>
      </c>
      <c r="Q14" s="61" t="e">
        <f t="shared" si="9"/>
        <v>#VALUE!</v>
      </c>
      <c r="R14" s="61" t="e">
        <f t="shared" si="10"/>
        <v>#VALUE!</v>
      </c>
      <c r="S14" s="61" t="str">
        <f>IFERROR(VLOOKUP(MID(N14,Q14,R14-Q14),[6]skilldef!$C:$D,2,FALSE),"-") &amp; " / " &amp; IFERROR(VLOOKUP(MID(N14,O14,P14-O14),[6]skilldef!$A:$B,2,FALSE),"-")</f>
        <v>- / -</v>
      </c>
      <c r="T14" s="46" t="str">
        <f t="shared" si="11"/>
        <v>none</v>
      </c>
      <c r="U14" s="61" t="e">
        <f t="shared" si="12"/>
        <v>#VALUE!</v>
      </c>
      <c r="V14" s="61">
        <f t="shared" si="13"/>
        <v>4</v>
      </c>
      <c r="W14" s="61" t="e">
        <f t="shared" si="14"/>
        <v>#VALUE!</v>
      </c>
      <c r="X14" s="61" t="e">
        <f t="shared" si="15"/>
        <v>#VALUE!</v>
      </c>
      <c r="Y14" s="61" t="str">
        <f>IFERROR(VLOOKUP(MID(T14,W14,X14-W14),[6]skilldef!$C:$D,2,FALSE),"-") &amp; " / " &amp; IFERROR(VLOOKUP(MID(T14,U14,V14-U14),[6]skilldef!$A:$B,2,FALSE),"-")</f>
        <v>- / -</v>
      </c>
      <c r="Z14" s="48"/>
      <c r="AA14" s="49"/>
      <c r="AB14" s="48"/>
    </row>
    <row r="15" spans="1:28" ht="40" customHeight="1" x14ac:dyDescent="0.15">
      <c r="A15" s="104">
        <v>13301463</v>
      </c>
      <c r="B15" s="45" t="s">
        <v>280</v>
      </c>
      <c r="C15" s="48">
        <v>1</v>
      </c>
      <c r="D15" s="48" t="s">
        <v>126</v>
      </c>
      <c r="E15" s="109" t="s">
        <v>264</v>
      </c>
      <c r="F15" s="109" t="s">
        <v>267</v>
      </c>
      <c r="G15" s="61" t="str">
        <f t="shared" si="0"/>
        <v>[effect:damage_fix_absolute, target:unit_one, val:3900]</v>
      </c>
      <c r="H15" s="61">
        <f t="shared" si="1"/>
        <v>9</v>
      </c>
      <c r="I15" s="61">
        <f t="shared" si="2"/>
        <v>28</v>
      </c>
      <c r="J15" s="61">
        <f t="shared" si="3"/>
        <v>37</v>
      </c>
      <c r="K15" s="61">
        <f t="shared" si="4"/>
        <v>45</v>
      </c>
      <c r="L15" s="61" t="str">
        <f>IFERROR(VLOOKUP(MID(G15,J15,K15-J15),[6]skilldef!$C:$D,2,FALSE),"-") &amp; " / " &amp; IFERROR(VLOOKUP(MID(G15,H15,I15-H15),[6]skilldef!$A:$B,2,FALSE),"-")</f>
        <v>味方単体に / -</v>
      </c>
      <c r="M15" s="61" t="str">
        <f t="shared" si="5"/>
        <v>none</v>
      </c>
      <c r="N15" s="46" t="str">
        <f t="shared" si="16"/>
        <v>none</v>
      </c>
      <c r="O15" s="61" t="e">
        <f t="shared" si="7"/>
        <v>#VALUE!</v>
      </c>
      <c r="P15" s="61">
        <f t="shared" si="8"/>
        <v>4</v>
      </c>
      <c r="Q15" s="61" t="e">
        <f t="shared" si="9"/>
        <v>#VALUE!</v>
      </c>
      <c r="R15" s="61" t="e">
        <f t="shared" si="10"/>
        <v>#VALUE!</v>
      </c>
      <c r="S15" s="61" t="str">
        <f>IFERROR(VLOOKUP(MID(N15,Q15,R15-Q15),[6]skilldef!$C:$D,2,FALSE),"-") &amp; " / " &amp; IFERROR(VLOOKUP(MID(N15,O15,P15-O15),[6]skilldef!$A:$B,2,FALSE),"-")</f>
        <v>- / -</v>
      </c>
      <c r="T15" s="46" t="str">
        <f t="shared" si="11"/>
        <v>none</v>
      </c>
      <c r="U15" s="61" t="e">
        <f t="shared" si="12"/>
        <v>#VALUE!</v>
      </c>
      <c r="V15" s="61">
        <f t="shared" si="13"/>
        <v>4</v>
      </c>
      <c r="W15" s="61" t="e">
        <f t="shared" si="14"/>
        <v>#VALUE!</v>
      </c>
      <c r="X15" s="61" t="e">
        <f t="shared" si="15"/>
        <v>#VALUE!</v>
      </c>
      <c r="Y15" s="61" t="str">
        <f>IFERROR(VLOOKUP(MID(T15,W15,X15-W15),[6]skilldef!$C:$D,2,FALSE),"-") &amp; " / " &amp; IFERROR(VLOOKUP(MID(T15,U15,V15-U15),[6]skilldef!$A:$B,2,FALSE),"-")</f>
        <v>- / -</v>
      </c>
      <c r="Z15" s="48"/>
      <c r="AA15" s="49"/>
      <c r="AB15" s="48"/>
    </row>
    <row r="16" spans="1:28" ht="40" customHeight="1" x14ac:dyDescent="0.15">
      <c r="A16" s="104">
        <v>13301464</v>
      </c>
      <c r="B16" s="45" t="s">
        <v>302</v>
      </c>
      <c r="C16" s="48">
        <v>1</v>
      </c>
      <c r="D16" s="48" t="s">
        <v>126</v>
      </c>
      <c r="E16" s="109" t="s">
        <v>264</v>
      </c>
      <c r="F16" s="109" t="s">
        <v>281</v>
      </c>
      <c r="G16" s="61" t="str">
        <f t="shared" si="0"/>
        <v>[effect:damage_fix_absolute, target:unit_one, val:4200]</v>
      </c>
      <c r="H16" s="61">
        <f t="shared" si="1"/>
        <v>9</v>
      </c>
      <c r="I16" s="61">
        <f t="shared" si="2"/>
        <v>28</v>
      </c>
      <c r="J16" s="61">
        <f t="shared" si="3"/>
        <v>37</v>
      </c>
      <c r="K16" s="61">
        <f t="shared" si="4"/>
        <v>45</v>
      </c>
      <c r="L16" s="61" t="str">
        <f>IFERROR(VLOOKUP(MID(G16,J16,K16-J16),[6]skilldef!$C:$D,2,FALSE),"-") &amp; " / " &amp; IFERROR(VLOOKUP(MID(G16,H16,I16-H16),[6]skilldef!$A:$B,2,FALSE),"-")</f>
        <v>味方単体に / -</v>
      </c>
      <c r="M16" s="61" t="str">
        <f t="shared" si="5"/>
        <v>[effect:enemy_message, val1:1, val2:2.2]</v>
      </c>
      <c r="N16" s="46" t="str">
        <f t="shared" si="16"/>
        <v>[effect:enemy_message, val1:1, val2:2.2]</v>
      </c>
      <c r="O16" s="61">
        <f t="shared" si="7"/>
        <v>9</v>
      </c>
      <c r="P16" s="61">
        <f t="shared" si="8"/>
        <v>22</v>
      </c>
      <c r="Q16" s="61" t="e">
        <f t="shared" si="9"/>
        <v>#VALUE!</v>
      </c>
      <c r="R16" s="61">
        <f t="shared" si="10"/>
        <v>30</v>
      </c>
      <c r="S16" s="61" t="str">
        <f>IFERROR(VLOOKUP(MID(N16,Q16,R16-Q16),[6]skilldef!$C:$D,2,FALSE),"-") &amp; " / " &amp; IFERROR(VLOOKUP(MID(N16,O16,P16-O16),[6]skilldef!$A:$B,2,FALSE),"-")</f>
        <v>- / -</v>
      </c>
      <c r="T16" s="46" t="str">
        <f t="shared" si="11"/>
        <v>none</v>
      </c>
      <c r="U16" s="61" t="e">
        <f t="shared" si="12"/>
        <v>#VALUE!</v>
      </c>
      <c r="V16" s="61">
        <f t="shared" si="13"/>
        <v>4</v>
      </c>
      <c r="W16" s="61" t="e">
        <f t="shared" si="14"/>
        <v>#VALUE!</v>
      </c>
      <c r="X16" s="61" t="e">
        <f t="shared" si="15"/>
        <v>#VALUE!</v>
      </c>
      <c r="Y16" s="61" t="str">
        <f>IFERROR(VLOOKUP(MID(T16,W16,X16-W16),[6]skilldef!$C:$D,2,FALSE),"-") &amp; " / " &amp; IFERROR(VLOOKUP(MID(T16,U16,V16-U16),[6]skilldef!$A:$B,2,FALSE),"-")</f>
        <v>- / -</v>
      </c>
      <c r="Z16" s="48"/>
      <c r="AA16" s="49"/>
      <c r="AB16" s="48"/>
    </row>
    <row r="17" spans="1:28" ht="40" customHeight="1" x14ac:dyDescent="0.15">
      <c r="A17" s="104">
        <v>13301465</v>
      </c>
      <c r="B17" s="45" t="s">
        <v>301</v>
      </c>
      <c r="C17" s="48">
        <v>1</v>
      </c>
      <c r="D17" s="48" t="s">
        <v>126</v>
      </c>
      <c r="E17" s="109" t="s">
        <v>282</v>
      </c>
      <c r="F17" s="109" t="s">
        <v>283</v>
      </c>
      <c r="G17" s="61" t="str">
        <f t="shared" si="0"/>
        <v>[effect:damage_fix_absolute, target:unit_one, val:99999]</v>
      </c>
      <c r="H17" s="61">
        <f t="shared" si="1"/>
        <v>9</v>
      </c>
      <c r="I17" s="61">
        <f t="shared" si="2"/>
        <v>28</v>
      </c>
      <c r="J17" s="61">
        <f t="shared" si="3"/>
        <v>37</v>
      </c>
      <c r="K17" s="61">
        <f t="shared" si="4"/>
        <v>45</v>
      </c>
      <c r="L17" s="61" t="str">
        <f>IFERROR(VLOOKUP(MID(G17,J17,K17-J17),[6]skilldef!$C:$D,2,FALSE),"-") &amp; " / " &amp; IFERROR(VLOOKUP(MID(G17,H17,I17-H17),[6]skilldef!$A:$B,2,FALSE),"-")</f>
        <v>味方単体に / -</v>
      </c>
      <c r="M17" s="61" t="str">
        <f t="shared" si="5"/>
        <v>[effect:enemy_message, val1:1.4, val2:2.2]</v>
      </c>
      <c r="N17" s="46" t="str">
        <f t="shared" si="16"/>
        <v>[effect:enemy_message, val1:1.4, val2:2.2]</v>
      </c>
      <c r="O17" s="61">
        <f t="shared" si="7"/>
        <v>9</v>
      </c>
      <c r="P17" s="61">
        <f t="shared" si="8"/>
        <v>22</v>
      </c>
      <c r="Q17" s="61" t="e">
        <f t="shared" si="9"/>
        <v>#VALUE!</v>
      </c>
      <c r="R17" s="61">
        <f t="shared" si="10"/>
        <v>32</v>
      </c>
      <c r="S17" s="61" t="str">
        <f>IFERROR(VLOOKUP(MID(N17,Q17,R17-Q17),[6]skilldef!$C:$D,2,FALSE),"-") &amp; " / " &amp; IFERROR(VLOOKUP(MID(N17,O17,P17-O17),[6]skilldef!$A:$B,2,FALSE),"-")</f>
        <v>- / -</v>
      </c>
      <c r="T17" s="46" t="str">
        <f t="shared" si="11"/>
        <v>none</v>
      </c>
      <c r="U17" s="61" t="e">
        <f t="shared" si="12"/>
        <v>#VALUE!</v>
      </c>
      <c r="V17" s="61">
        <f t="shared" si="13"/>
        <v>4</v>
      </c>
      <c r="W17" s="61" t="e">
        <f t="shared" si="14"/>
        <v>#VALUE!</v>
      </c>
      <c r="X17" s="61" t="e">
        <f t="shared" si="15"/>
        <v>#VALUE!</v>
      </c>
      <c r="Y17" s="61" t="str">
        <f>IFERROR(VLOOKUP(MID(T17,W17,X17-W17),[6]skilldef!$C:$D,2,FALSE),"-") &amp; " / " &amp; IFERROR(VLOOKUP(MID(T17,U17,V17-U17),[6]skilldef!$A:$B,2,FALSE),"-")</f>
        <v>- / -</v>
      </c>
      <c r="Z17" s="48"/>
      <c r="AA17" s="49"/>
      <c r="AB17" s="48"/>
    </row>
    <row r="18" spans="1:28" ht="40" customHeight="1" x14ac:dyDescent="0.15">
      <c r="A18" s="104">
        <v>13301466</v>
      </c>
      <c r="B18" s="45" t="s">
        <v>313</v>
      </c>
      <c r="C18" s="48">
        <v>1</v>
      </c>
      <c r="D18" s="48" t="s">
        <v>126</v>
      </c>
      <c r="E18" s="110" t="s">
        <v>314</v>
      </c>
      <c r="F18" s="110" t="s">
        <v>299</v>
      </c>
      <c r="G18" s="61" t="str">
        <f t="shared" si="0"/>
        <v>[effect:enemy_message, val1:0, val2:2.4]</v>
      </c>
      <c r="H18" s="61">
        <f t="shared" si="1"/>
        <v>9</v>
      </c>
      <c r="I18" s="61">
        <f t="shared" si="2"/>
        <v>22</v>
      </c>
      <c r="J18" s="61" t="e">
        <f t="shared" si="3"/>
        <v>#VALUE!</v>
      </c>
      <c r="K18" s="61">
        <f t="shared" si="4"/>
        <v>30</v>
      </c>
      <c r="L18" s="61" t="str">
        <f>IFERROR(VLOOKUP(MID(G18,J18,K18-J18),[6]skilldef!$C:$D,2,FALSE),"-") &amp; " / " &amp; IFERROR(VLOOKUP(MID(G18,H18,I18-H18),[6]skilldef!$A:$B,2,FALSE),"-")</f>
        <v>- / -</v>
      </c>
      <c r="M18" s="61" t="str">
        <f t="shared" si="5"/>
        <v>[effect:tolerance, target:myself, turn:-1, count:-1, tolerance_effect:all, animation:enemy_tolerance]</v>
      </c>
      <c r="N18" s="46" t="str">
        <f t="shared" si="16"/>
        <v>[effect:tolerance, target:myself, turn:-1, count:-1, tolerance_effect:all, animation:enemy_tolerance]</v>
      </c>
      <c r="O18" s="61">
        <f t="shared" si="7"/>
        <v>9</v>
      </c>
      <c r="P18" s="61">
        <f t="shared" si="8"/>
        <v>18</v>
      </c>
      <c r="Q18" s="61">
        <f t="shared" si="9"/>
        <v>27</v>
      </c>
      <c r="R18" s="61">
        <f t="shared" si="10"/>
        <v>33</v>
      </c>
      <c r="S18" s="61" t="str">
        <f>IFERROR(VLOOKUP(MID(N18,Q18,R18-Q18),[6]skilldef!$C:$D,2,FALSE),"-") &amp; " / " &amp; IFERROR(VLOOKUP(MID(N18,O18,P18-O18),[6]skilldef!$A:$B,2,FALSE),"-")</f>
        <v>自分自身に / 状態異常耐性</v>
      </c>
      <c r="T18" s="46" t="str">
        <f t="shared" si="11"/>
        <v>none</v>
      </c>
      <c r="U18" s="61" t="e">
        <f t="shared" si="12"/>
        <v>#VALUE!</v>
      </c>
      <c r="V18" s="61">
        <f t="shared" si="13"/>
        <v>4</v>
      </c>
      <c r="W18" s="61" t="e">
        <f t="shared" si="14"/>
        <v>#VALUE!</v>
      </c>
      <c r="X18" s="61" t="e">
        <f t="shared" si="15"/>
        <v>#VALUE!</v>
      </c>
      <c r="Y18" s="61" t="str">
        <f>IFERROR(VLOOKUP(MID(T18,W18,X18-W18),[6]skilldef!$C:$D,2,FALSE),"-") &amp; " / " &amp; IFERROR(VLOOKUP(MID(T18,U18,V18-U18),[6]skilldef!$A:$B,2,FALSE),"-")</f>
        <v>- / -</v>
      </c>
      <c r="Z18" s="48"/>
      <c r="AA18" s="49"/>
      <c r="AB18" s="48"/>
    </row>
    <row r="19" spans="1:28" ht="40" customHeight="1" x14ac:dyDescent="0.15">
      <c r="A19" s="104">
        <v>13301467</v>
      </c>
      <c r="B19" s="45" t="s">
        <v>303</v>
      </c>
      <c r="C19" s="48">
        <v>1</v>
      </c>
      <c r="D19" s="48" t="s">
        <v>126</v>
      </c>
      <c r="E19" s="110" t="s">
        <v>284</v>
      </c>
      <c r="F19" s="110" t="s">
        <v>285</v>
      </c>
      <c r="G19" s="61" t="str">
        <f t="shared" si="0"/>
        <v>[effect:time_limit, target:unit_all, turn:2, count:9, animation:enemy_time_limit]</v>
      </c>
      <c r="H19" s="61">
        <f t="shared" si="1"/>
        <v>9</v>
      </c>
      <c r="I19" s="61">
        <f t="shared" si="2"/>
        <v>19</v>
      </c>
      <c r="J19" s="61">
        <f t="shared" si="3"/>
        <v>28</v>
      </c>
      <c r="K19" s="61">
        <f t="shared" si="4"/>
        <v>36</v>
      </c>
      <c r="L19" s="61" t="str">
        <f>IFERROR(VLOOKUP(MID(G19,J19,K19-J19),[6]skilldef!$C:$D,2,FALSE),"-") &amp; " / " &amp; IFERROR(VLOOKUP(MID(G19,H19,I19-H19),[6]skilldef!$A:$B,2,FALSE),"-")</f>
        <v>味方全体に / タップ制限時間</v>
      </c>
      <c r="M19" s="61" t="str">
        <f t="shared" si="5"/>
        <v>[effect:spread, val:0.3],[effect:enemy_message, val1:1.2, val2:2.2]</v>
      </c>
      <c r="N19" s="46" t="str">
        <f>IFERROR(LEFT(M19,FIND("],",M19)+#REF!),M19)</f>
        <v>[effect:spread, val:0.3],[effect:enemy_message, val1:1.2, val2:2.2]</v>
      </c>
      <c r="O19" s="61">
        <f t="shared" si="7"/>
        <v>9</v>
      </c>
      <c r="P19" s="61">
        <f t="shared" si="8"/>
        <v>15</v>
      </c>
      <c r="Q19" s="61" t="e">
        <f t="shared" si="9"/>
        <v>#VALUE!</v>
      </c>
      <c r="R19" s="61">
        <f t="shared" si="10"/>
        <v>25</v>
      </c>
      <c r="S19" s="61" t="str">
        <f>IFERROR(VLOOKUP(MID(N19,Q19,R19-Q19),[6]skilldef!$C:$D,2,FALSE),"-") &amp; " / " &amp; IFERROR(VLOOKUP(MID(N19,O19,P19-O19),[6]skilldef!$A:$B,2,FALSE),"-")</f>
        <v>- / 全体攻撃</v>
      </c>
      <c r="T19" s="46" t="str">
        <f t="shared" si="11"/>
        <v>[effect:enemy_message, val1:1.2, val2:2.2]</v>
      </c>
      <c r="U19" s="61">
        <f t="shared" si="12"/>
        <v>9</v>
      </c>
      <c r="V19" s="61">
        <f t="shared" si="13"/>
        <v>22</v>
      </c>
      <c r="W19" s="61" t="e">
        <f t="shared" si="14"/>
        <v>#VALUE!</v>
      </c>
      <c r="X19" s="61">
        <f t="shared" si="15"/>
        <v>32</v>
      </c>
      <c r="Y19" s="61" t="str">
        <f>IFERROR(VLOOKUP(MID(T19,W19,X19-W19),[6]skilldef!$C:$D,2,FALSE),"-") &amp; " / " &amp; IFERROR(VLOOKUP(MID(T19,U19,V19-U19),[6]skilldef!$A:$B,2,FALSE),"-")</f>
        <v>- / -</v>
      </c>
      <c r="Z19" s="48"/>
      <c r="AA19" s="49"/>
      <c r="AB19" s="48"/>
    </row>
    <row r="20" spans="1:28" ht="40" customHeight="1" x14ac:dyDescent="0.15">
      <c r="A20" s="104">
        <v>13301468</v>
      </c>
      <c r="B20" s="45" t="s">
        <v>305</v>
      </c>
      <c r="C20" s="48">
        <v>1</v>
      </c>
      <c r="D20" s="48" t="s">
        <v>126</v>
      </c>
      <c r="E20" s="110" t="s">
        <v>286</v>
      </c>
      <c r="F20" s="110" t="s">
        <v>315</v>
      </c>
      <c r="G20" s="61" t="str">
        <f t="shared" si="0"/>
        <v>[effect:enemy_message, val1:1.2, val2:2.5]</v>
      </c>
      <c r="H20" s="61">
        <f t="shared" si="1"/>
        <v>9</v>
      </c>
      <c r="I20" s="61">
        <f t="shared" si="2"/>
        <v>22</v>
      </c>
      <c r="J20" s="61" t="e">
        <f t="shared" si="3"/>
        <v>#VALUE!</v>
      </c>
      <c r="K20" s="61">
        <f t="shared" si="4"/>
        <v>32</v>
      </c>
      <c r="L20" s="61" t="str">
        <f>IFERROR(VLOOKUP(MID(G20,J20,K20-J20),[6]skilldef!$C:$D,2,FALSE),"-") &amp; " / " &amp; IFERROR(VLOOKUP(MID(G20,H20,I20-H20),[6]skilldef!$A:$B,2,FALSE),"-")</f>
        <v>- / -</v>
      </c>
      <c r="M20" s="61" t="str">
        <f t="shared" si="5"/>
        <v>[effect:spread, val:0.3],[effect:force_change_block, new_block:time_bomb, target:block_yellow, ignore01:crash, ignore02:crack_bomb, ignore03:time_bomb, ignore04:jammer, color:block_yellow, count:2, val:0.3, min_time_count:2, max_time_count:3, animation:change_block]</v>
      </c>
      <c r="N20" s="46" t="str">
        <f>IFERROR(LEFT(M20,FIND("],",M20)+S30),M20)</f>
        <v>[effect:spread, val:0.3]</v>
      </c>
      <c r="O20" s="61">
        <f t="shared" si="7"/>
        <v>9</v>
      </c>
      <c r="P20" s="61">
        <f t="shared" si="8"/>
        <v>15</v>
      </c>
      <c r="Q20" s="61" t="e">
        <f t="shared" si="9"/>
        <v>#VALUE!</v>
      </c>
      <c r="R20" s="61" t="e">
        <f t="shared" si="10"/>
        <v>#VALUE!</v>
      </c>
      <c r="S20" s="61" t="str">
        <f>IFERROR(VLOOKUP(MID(N20,Q20,R20-Q20),[6]skilldef!$C:$D,2,FALSE),"-") &amp; " / " &amp; IFERROR(VLOOKUP(MID(N20,O20,P20-O20),[6]skilldef!$A:$B,2,FALSE),"-")</f>
        <v>- / 全体攻撃</v>
      </c>
      <c r="T20" s="46" t="str">
        <f t="shared" si="11"/>
        <v>[effect:force_change_block, new_block:time_bomb, target:block_yellow, ignore01:crash, ignore02:crack_bomb, ignore03:time_bomb, ignore04:jammer, color:block_yellow, count:2, val:0.3, min_time_count:2, max_time_count:3, animation:change_block]</v>
      </c>
      <c r="U20" s="61">
        <f t="shared" si="12"/>
        <v>9</v>
      </c>
      <c r="V20" s="61">
        <f t="shared" si="13"/>
        <v>27</v>
      </c>
      <c r="W20" s="61">
        <f t="shared" si="14"/>
        <v>57</v>
      </c>
      <c r="X20" s="61">
        <f t="shared" si="15"/>
        <v>48</v>
      </c>
      <c r="Y20" s="61" t="str">
        <f>IFERROR(VLOOKUP(MID(T20,W20,X20-W20),[6]skilldef!$C:$D,2,FALSE),"-") &amp; " / " &amp; IFERROR(VLOOKUP(MID(T20,U20,V20-U20),[6]skilldef!$A:$B,2,FALSE),"-")</f>
        <v>- / -</v>
      </c>
      <c r="Z20" s="48"/>
      <c r="AA20" s="49"/>
      <c r="AB20" s="48"/>
    </row>
    <row r="21" spans="1:28" ht="40" customHeight="1" x14ac:dyDescent="0.15">
      <c r="A21" s="104">
        <v>13301469</v>
      </c>
      <c r="B21" s="45" t="s">
        <v>304</v>
      </c>
      <c r="C21" s="48">
        <v>1</v>
      </c>
      <c r="D21" s="48" t="s">
        <v>126</v>
      </c>
      <c r="E21" s="110" t="s">
        <v>312</v>
      </c>
      <c r="F21" s="110" t="s">
        <v>300</v>
      </c>
      <c r="G21" s="61" t="str">
        <f t="shared" si="0"/>
        <v>[effect:sp_boost, target:unit_green, val:2, animation:sp_boost_one02]</v>
      </c>
      <c r="H21" s="61">
        <f t="shared" si="1"/>
        <v>9</v>
      </c>
      <c r="I21" s="61">
        <f t="shared" si="2"/>
        <v>17</v>
      </c>
      <c r="J21" s="61">
        <f t="shared" si="3"/>
        <v>26</v>
      </c>
      <c r="K21" s="61">
        <f t="shared" si="4"/>
        <v>36</v>
      </c>
      <c r="L21" s="61" t="str">
        <f>IFERROR(VLOOKUP(MID(G21,J21,K21-J21),[6]skilldef!$C:$D,2,FALSE),"-") &amp; " / " &amp; IFERROR(VLOOKUP(MID(G21,H21,I21-H21),[6]skilldef!$A:$B,2,FALSE),"-")</f>
        <v>緑の味方に / -</v>
      </c>
      <c r="M21" s="61" t="str">
        <f t="shared" si="5"/>
        <v>[effect:enemy_message, val1:1.2, val2:2.2]</v>
      </c>
      <c r="N21" s="46" t="str">
        <f>IFERROR(LEFT(M21,FIND("],",M21)+#REF!),M21)</f>
        <v>[effect:enemy_message, val1:1.2, val2:2.2]</v>
      </c>
      <c r="O21" s="61">
        <f t="shared" si="7"/>
        <v>9</v>
      </c>
      <c r="P21" s="61">
        <f t="shared" si="8"/>
        <v>22</v>
      </c>
      <c r="Q21" s="61" t="e">
        <f t="shared" si="9"/>
        <v>#VALUE!</v>
      </c>
      <c r="R21" s="61">
        <f t="shared" si="10"/>
        <v>32</v>
      </c>
      <c r="S21" s="61" t="str">
        <f>IFERROR(VLOOKUP(MID(N21,Q21,R21-Q21),[6]skilldef!$C:$D,2,FALSE),"-") &amp; " / " &amp; IFERROR(VLOOKUP(MID(N21,O21,P21-O21),[6]skilldef!$A:$B,2,FALSE),"-")</f>
        <v>- / -</v>
      </c>
      <c r="T21" s="46" t="str">
        <f t="shared" si="11"/>
        <v>none</v>
      </c>
      <c r="U21" s="61" t="e">
        <f t="shared" si="12"/>
        <v>#VALUE!</v>
      </c>
      <c r="V21" s="61">
        <f t="shared" si="13"/>
        <v>4</v>
      </c>
      <c r="W21" s="61" t="e">
        <f t="shared" si="14"/>
        <v>#VALUE!</v>
      </c>
      <c r="X21" s="61" t="e">
        <f t="shared" si="15"/>
        <v>#VALUE!</v>
      </c>
      <c r="Y21" s="61" t="str">
        <f>IFERROR(VLOOKUP(MID(T21,W21,X21-W21),[6]skilldef!$C:$D,2,FALSE),"-") &amp; " / " &amp; IFERROR(VLOOKUP(MID(T21,U21,V21-U21),[6]skilldef!$A:$B,2,FALSE),"-")</f>
        <v>- / -</v>
      </c>
      <c r="Z21" s="48"/>
      <c r="AA21" s="49"/>
      <c r="AB21" s="48"/>
    </row>
    <row r="22" spans="1:28" ht="40" customHeight="1" x14ac:dyDescent="0.15">
      <c r="A22" s="104">
        <v>13301470</v>
      </c>
      <c r="B22" s="45" t="s">
        <v>306</v>
      </c>
      <c r="C22" s="48">
        <v>1</v>
      </c>
      <c r="D22" s="48" t="s">
        <v>126</v>
      </c>
      <c r="E22" s="110" t="s">
        <v>287</v>
      </c>
      <c r="F22" s="110" t="s">
        <v>316</v>
      </c>
      <c r="G22" s="61" t="str">
        <f t="shared" si="0"/>
        <v>[effect:enemy_message, val1:1.2, val2:2.7]</v>
      </c>
      <c r="H22" s="61">
        <f t="shared" si="1"/>
        <v>9</v>
      </c>
      <c r="I22" s="61">
        <f t="shared" si="2"/>
        <v>22</v>
      </c>
      <c r="J22" s="61" t="e">
        <f t="shared" si="3"/>
        <v>#VALUE!</v>
      </c>
      <c r="K22" s="61">
        <f t="shared" si="4"/>
        <v>32</v>
      </c>
      <c r="L22" s="61" t="str">
        <f>IFERROR(VLOOKUP(MID(G22,J22,K22-J22),[6]skilldef!$C:$D,2,FALSE),"-") &amp; " / " &amp; IFERROR(VLOOKUP(MID(G22,H22,I22-H22),[6]skilldef!$A:$B,2,FALSE),"-")</f>
        <v>- / -</v>
      </c>
      <c r="M22" s="61" t="str">
        <f t="shared" si="5"/>
        <v>[effect:degrade_unit, target:unit_all, turn:3, status:attack, val:1, calc:mul],[effect:time_limit, target:unit_all, turn:1, count:6, animation:enemy_time_limit]</v>
      </c>
      <c r="N22" s="46" t="str">
        <f t="shared" ref="N22:N29" si="17">IFERROR(LEFT(M22,FIND("],",M22)+S30),M22)</f>
        <v>[effect:degrade_unit, target:unit_all, turn:3, status:attack, val:1, calc:mul]</v>
      </c>
      <c r="O22" s="61">
        <f t="shared" si="7"/>
        <v>9</v>
      </c>
      <c r="P22" s="61">
        <f t="shared" si="8"/>
        <v>21</v>
      </c>
      <c r="Q22" s="61">
        <f t="shared" si="9"/>
        <v>30</v>
      </c>
      <c r="R22" s="61">
        <f t="shared" si="10"/>
        <v>38</v>
      </c>
      <c r="S22" s="61" t="str">
        <f>IFERROR(VLOOKUP(MID(N22,Q22,R22-Q22),[6]skilldef!$C:$D,2,FALSE),"-") &amp; " / " &amp; IFERROR(VLOOKUP(MID(N22,O22,P22-O22),[6]skilldef!$A:$B,2,FALSE),"-")</f>
        <v>味方全体に / ステータスDOWN</v>
      </c>
      <c r="T22" s="46" t="str">
        <f t="shared" si="11"/>
        <v>[effect:time_limit, target:unit_all, turn:1, count:6, animation:enemy_time_limit]</v>
      </c>
      <c r="U22" s="61">
        <f t="shared" si="12"/>
        <v>9</v>
      </c>
      <c r="V22" s="61">
        <f t="shared" si="13"/>
        <v>19</v>
      </c>
      <c r="W22" s="61">
        <f t="shared" si="14"/>
        <v>28</v>
      </c>
      <c r="X22" s="61">
        <f t="shared" si="15"/>
        <v>36</v>
      </c>
      <c r="Y22" s="61" t="str">
        <f>IFERROR(VLOOKUP(MID(T22,W22,X22-W22),[6]skilldef!$C:$D,2,FALSE),"-") &amp; " / " &amp; IFERROR(VLOOKUP(MID(T22,U22,V22-U22),[6]skilldef!$A:$B,2,FALSE),"-")</f>
        <v>味方全体に / タップ制限時間</v>
      </c>
      <c r="Z22" s="48"/>
      <c r="AA22" s="49"/>
      <c r="AB22" s="48"/>
    </row>
    <row r="23" spans="1:28" ht="70" x14ac:dyDescent="0.15">
      <c r="A23" s="104">
        <v>13301471</v>
      </c>
      <c r="B23" s="45" t="s">
        <v>324</v>
      </c>
      <c r="C23" s="48">
        <v>1</v>
      </c>
      <c r="D23" s="48" t="s">
        <v>126</v>
      </c>
      <c r="E23" s="111" t="s">
        <v>288</v>
      </c>
      <c r="F23" s="111" t="s">
        <v>317</v>
      </c>
      <c r="G23" s="61" t="str">
        <f t="shared" si="0"/>
        <v>[effect:hungup, target:unit_animal, turn:4, rate:1, calc_type:target_all, animation:hungup01]</v>
      </c>
      <c r="H23" s="61">
        <f t="shared" si="1"/>
        <v>9</v>
      </c>
      <c r="I23" s="61">
        <f t="shared" si="2"/>
        <v>15</v>
      </c>
      <c r="J23" s="61">
        <f t="shared" si="3"/>
        <v>24</v>
      </c>
      <c r="K23" s="61">
        <f t="shared" si="4"/>
        <v>35</v>
      </c>
      <c r="L23" s="61" t="str">
        <f>IFERROR(VLOOKUP(MID(G23,J23,K23-J23),[6]skilldef!$C:$D,2,FALSE),"-") &amp; " / " &amp; IFERROR(VLOOKUP(MID(G23,H23,I23-H23),[6]skilldef!$A:$B,2,FALSE),"-")</f>
        <v>アニマルの味方に / ハングアップ</v>
      </c>
      <c r="M23" s="61" t="str">
        <f t="shared" si="5"/>
        <v>[effect:damage_anti_tribe, target:unit_all, tribe:animal, val1:0.85, val2:0.1],[effect:enemy_message, val1:1.4, val2:2.8]</v>
      </c>
      <c r="N23" s="46" t="str">
        <f t="shared" si="17"/>
        <v>[effect:damage_anti_tribe, target:unit_all, tribe:animal, val1:0.85, val2:0.1]</v>
      </c>
      <c r="O23" s="61">
        <f t="shared" si="7"/>
        <v>9</v>
      </c>
      <c r="P23" s="61">
        <f t="shared" si="8"/>
        <v>26</v>
      </c>
      <c r="Q23" s="61">
        <f t="shared" si="9"/>
        <v>35</v>
      </c>
      <c r="R23" s="61">
        <f t="shared" si="10"/>
        <v>43</v>
      </c>
      <c r="S23" s="61" t="str">
        <f>IFERROR(VLOOKUP(MID(N23,Q23,R23-Q23),[6]skilldef!$C:$D,2,FALSE),"-") &amp; " / " &amp; IFERROR(VLOOKUP(MID(N23,O23,P23-O23),[6]skilldef!$A:$B,2,FALSE),"-")</f>
        <v>味方全体に / 種族キラー</v>
      </c>
      <c r="T23" s="46" t="str">
        <f t="shared" si="11"/>
        <v>[effect:enemy_message, val1:1.4, val2:2.8]</v>
      </c>
      <c r="U23" s="61">
        <f t="shared" si="12"/>
        <v>9</v>
      </c>
      <c r="V23" s="61">
        <f t="shared" si="13"/>
        <v>22</v>
      </c>
      <c r="W23" s="61" t="e">
        <f t="shared" si="14"/>
        <v>#VALUE!</v>
      </c>
      <c r="X23" s="61">
        <f t="shared" si="15"/>
        <v>32</v>
      </c>
      <c r="Y23" s="61" t="str">
        <f>IFERROR(VLOOKUP(MID(T23,W23,X23-W23),[6]skilldef!$C:$D,2,FALSE),"-") &amp; " / " &amp; IFERROR(VLOOKUP(MID(T23,U23,V23-U23),[6]skilldef!$A:$B,2,FALSE),"-")</f>
        <v>- / -</v>
      </c>
      <c r="Z23" s="48"/>
      <c r="AA23" s="49"/>
      <c r="AB23" s="48"/>
    </row>
    <row r="24" spans="1:28" ht="40" customHeight="1" x14ac:dyDescent="0.15">
      <c r="A24" s="104">
        <v>13301472</v>
      </c>
      <c r="B24" s="45" t="s">
        <v>307</v>
      </c>
      <c r="C24" s="48">
        <v>1</v>
      </c>
      <c r="D24" s="48" t="s">
        <v>126</v>
      </c>
      <c r="E24" s="111" t="s">
        <v>289</v>
      </c>
      <c r="F24" s="111" t="s">
        <v>290</v>
      </c>
      <c r="G24" s="61" t="str">
        <f t="shared" si="0"/>
        <v>[effect:force_change_block, new_block:jammer, target:block_all, ignore01:crash, ignore02:crack_bomb, ignore03:jammer, count:2, val:0, animation:change_block]</v>
      </c>
      <c r="H24" s="61">
        <f t="shared" si="1"/>
        <v>9</v>
      </c>
      <c r="I24" s="61">
        <f t="shared" si="2"/>
        <v>27</v>
      </c>
      <c r="J24" s="61">
        <f t="shared" si="3"/>
        <v>54</v>
      </c>
      <c r="K24" s="61">
        <f t="shared" si="4"/>
        <v>45</v>
      </c>
      <c r="L24" s="61" t="str">
        <f>IFERROR(VLOOKUP(MID(G24,J24,K24-J24),[6]skilldef!$C:$D,2,FALSE),"-") &amp; " / " &amp; IFERROR(VLOOKUP(MID(G24,H24,I24-H24),[6]skilldef!$A:$B,2,FALSE),"-")</f>
        <v>- / -</v>
      </c>
      <c r="M24" s="61" t="str">
        <f t="shared" si="5"/>
        <v>[effect:rush, count:2, val:0.5],[effect:enemy_message, val1:1.4, val2:2]</v>
      </c>
      <c r="N24" s="46" t="str">
        <f t="shared" si="17"/>
        <v>[effect:rush, count:2, val:0.5]</v>
      </c>
      <c r="O24" s="61">
        <f t="shared" si="7"/>
        <v>9</v>
      </c>
      <c r="P24" s="61">
        <f t="shared" si="8"/>
        <v>13</v>
      </c>
      <c r="Q24" s="61" t="e">
        <f t="shared" si="9"/>
        <v>#VALUE!</v>
      </c>
      <c r="R24" s="61">
        <f t="shared" si="10"/>
        <v>22</v>
      </c>
      <c r="S24" s="61" t="str">
        <f>IFERROR(VLOOKUP(MID(N24,Q24,R24-Q24),[6]skilldef!$C:$D,2,FALSE),"-") &amp; " / " &amp; IFERROR(VLOOKUP(MID(N24,O24,P24-O24),[6]skilldef!$A:$B,2,FALSE),"-")</f>
        <v>- / 連続攻撃</v>
      </c>
      <c r="T24" s="46" t="str">
        <f t="shared" si="11"/>
        <v>[effect:enemy_message, val1:1.4, val2:2]</v>
      </c>
      <c r="U24" s="61">
        <f t="shared" si="12"/>
        <v>9</v>
      </c>
      <c r="V24" s="61">
        <f t="shared" si="13"/>
        <v>22</v>
      </c>
      <c r="W24" s="61" t="e">
        <f t="shared" si="14"/>
        <v>#VALUE!</v>
      </c>
      <c r="X24" s="61">
        <f t="shared" si="15"/>
        <v>32</v>
      </c>
      <c r="Y24" s="61" t="str">
        <f>IFERROR(VLOOKUP(MID(T24,W24,X24-W24),[6]skilldef!$C:$D,2,FALSE),"-") &amp; " / " &amp; IFERROR(VLOOKUP(MID(T24,U24,V24-U24),[6]skilldef!$A:$B,2,FALSE),"-")</f>
        <v>- / -</v>
      </c>
      <c r="Z24" s="48"/>
      <c r="AA24" s="49"/>
      <c r="AB24" s="48"/>
    </row>
    <row r="25" spans="1:28" ht="40" customHeight="1" x14ac:dyDescent="0.15">
      <c r="A25" s="104">
        <v>13301473</v>
      </c>
      <c r="B25" s="45" t="s">
        <v>308</v>
      </c>
      <c r="C25" s="48">
        <v>1</v>
      </c>
      <c r="D25" s="48" t="s">
        <v>126</v>
      </c>
      <c r="E25" s="111" t="s">
        <v>291</v>
      </c>
      <c r="F25" s="111" t="s">
        <v>292</v>
      </c>
      <c r="G25" s="61" t="str">
        <f t="shared" si="0"/>
        <v>[effect:damage_fix_absolute, target:unit_one, val:50000]</v>
      </c>
      <c r="H25" s="61">
        <f t="shared" si="1"/>
        <v>9</v>
      </c>
      <c r="I25" s="61">
        <f t="shared" si="2"/>
        <v>28</v>
      </c>
      <c r="J25" s="61">
        <f t="shared" si="3"/>
        <v>37</v>
      </c>
      <c r="K25" s="61">
        <f t="shared" si="4"/>
        <v>45</v>
      </c>
      <c r="L25" s="61" t="str">
        <f>IFERROR(VLOOKUP(MID(G25,J25,K25-J25),[6]skilldef!$C:$D,2,FALSE),"-") &amp; " / " &amp; IFERROR(VLOOKUP(MID(G25,H25,I25-H25),[6]skilldef!$A:$B,2,FALSE),"-")</f>
        <v>味方単体に / -</v>
      </c>
      <c r="M25" s="61" t="str">
        <f t="shared" si="5"/>
        <v>[effect:enemy_message, val1:1.4, val2:1.6]</v>
      </c>
      <c r="N25" s="46" t="str">
        <f t="shared" si="17"/>
        <v>[effect:enemy_message, val1:1.4, val2:1.6]</v>
      </c>
      <c r="O25" s="61">
        <f t="shared" si="7"/>
        <v>9</v>
      </c>
      <c r="P25" s="61">
        <f t="shared" si="8"/>
        <v>22</v>
      </c>
      <c r="Q25" s="61" t="e">
        <f t="shared" si="9"/>
        <v>#VALUE!</v>
      </c>
      <c r="R25" s="61">
        <f t="shared" si="10"/>
        <v>32</v>
      </c>
      <c r="S25" s="61" t="str">
        <f>IFERROR(VLOOKUP(MID(N25,Q25,R25-Q25),[6]skilldef!$C:$D,2,FALSE),"-") &amp; " / " &amp; IFERROR(VLOOKUP(MID(N25,O25,P25-O25),[6]skilldef!$A:$B,2,FALSE),"-")</f>
        <v>- / -</v>
      </c>
      <c r="T25" s="46" t="str">
        <f t="shared" si="11"/>
        <v>none</v>
      </c>
      <c r="U25" s="61" t="e">
        <f t="shared" si="12"/>
        <v>#VALUE!</v>
      </c>
      <c r="V25" s="61">
        <f t="shared" si="13"/>
        <v>4</v>
      </c>
      <c r="W25" s="61" t="e">
        <f t="shared" si="14"/>
        <v>#VALUE!</v>
      </c>
      <c r="X25" s="61" t="e">
        <f t="shared" si="15"/>
        <v>#VALUE!</v>
      </c>
      <c r="Y25" s="61" t="str">
        <f>IFERROR(VLOOKUP(MID(T25,W25,X25-W25),[6]skilldef!$C:$D,2,FALSE),"-") &amp; " / " &amp; IFERROR(VLOOKUP(MID(T25,U25,V25-U25),[6]skilldef!$A:$B,2,FALSE),"-")</f>
        <v>- / -</v>
      </c>
      <c r="Z25" s="48"/>
      <c r="AA25" s="49"/>
      <c r="AB25" s="48"/>
    </row>
    <row r="26" spans="1:28" ht="40" customHeight="1" x14ac:dyDescent="0.15">
      <c r="A26" s="104">
        <v>13301474</v>
      </c>
      <c r="B26" s="45" t="s">
        <v>322</v>
      </c>
      <c r="C26" s="48">
        <v>1</v>
      </c>
      <c r="D26" s="48" t="s">
        <v>126</v>
      </c>
      <c r="E26" s="112" t="s">
        <v>293</v>
      </c>
      <c r="F26" s="112" t="s">
        <v>323</v>
      </c>
      <c r="G26" s="61" t="str">
        <f t="shared" si="0"/>
        <v>[effect:enemy_counter, target:myself, invoke_condition:unit_all, counter_target:attacker, turn:4, val:0.2, animation:enemy_counter]</v>
      </c>
      <c r="H26" s="61">
        <f t="shared" si="1"/>
        <v>9</v>
      </c>
      <c r="I26" s="61">
        <f t="shared" si="2"/>
        <v>22</v>
      </c>
      <c r="J26" s="61">
        <f t="shared" si="3"/>
        <v>31</v>
      </c>
      <c r="K26" s="61">
        <f t="shared" si="4"/>
        <v>37</v>
      </c>
      <c r="L26" s="61" t="str">
        <f>IFERROR(VLOOKUP(MID(G26,J26,K26-J26),[6]skilldef!$C:$D,2,FALSE),"-") &amp; " / " &amp; IFERROR(VLOOKUP(MID(G26,H26,I26-H26),[6]skilldef!$A:$B,2,FALSE),"-")</f>
        <v>自分自身に / カウンター</v>
      </c>
      <c r="M26" s="61" t="str">
        <f t="shared" si="5"/>
        <v>[effect:enemy_message, val1:1.4, val2:1.9]</v>
      </c>
      <c r="N26" s="46" t="str">
        <f t="shared" si="17"/>
        <v>[effect:enemy_message, val1:1.4, val2:1.9]</v>
      </c>
      <c r="O26" s="61">
        <f t="shared" si="7"/>
        <v>9</v>
      </c>
      <c r="P26" s="61">
        <f t="shared" si="8"/>
        <v>22</v>
      </c>
      <c r="Q26" s="61" t="e">
        <f t="shared" si="9"/>
        <v>#VALUE!</v>
      </c>
      <c r="R26" s="61">
        <f t="shared" si="10"/>
        <v>32</v>
      </c>
      <c r="S26" s="61" t="str">
        <f>IFERROR(VLOOKUP(MID(N26,Q26,R26-Q26),[6]skilldef!$C:$D,2,FALSE),"-") &amp; " / " &amp; IFERROR(VLOOKUP(MID(N26,O26,P26-O26),[6]skilldef!$A:$B,2,FALSE),"-")</f>
        <v>- / -</v>
      </c>
      <c r="T26" s="46" t="str">
        <f t="shared" si="11"/>
        <v>none</v>
      </c>
      <c r="U26" s="61" t="e">
        <f t="shared" si="12"/>
        <v>#VALUE!</v>
      </c>
      <c r="V26" s="61">
        <f t="shared" si="13"/>
        <v>4</v>
      </c>
      <c r="W26" s="61" t="e">
        <f t="shared" si="14"/>
        <v>#VALUE!</v>
      </c>
      <c r="X26" s="61" t="e">
        <f t="shared" si="15"/>
        <v>#VALUE!</v>
      </c>
      <c r="Y26" s="61" t="str">
        <f>IFERROR(VLOOKUP(MID(T26,W26,X26-W26),[6]skilldef!$C:$D,2,FALSE),"-") &amp; " / " &amp; IFERROR(VLOOKUP(MID(T26,U26,V26-U26),[6]skilldef!$A:$B,2,FALSE),"-")</f>
        <v>- / -</v>
      </c>
      <c r="Z26" s="48"/>
      <c r="AA26" s="49"/>
      <c r="AB26" s="48"/>
    </row>
    <row r="27" spans="1:28" ht="40" customHeight="1" x14ac:dyDescent="0.15">
      <c r="A27" s="104">
        <v>13301475</v>
      </c>
      <c r="B27" s="45" t="s">
        <v>319</v>
      </c>
      <c r="C27" s="48">
        <v>1</v>
      </c>
      <c r="D27" s="48" t="s">
        <v>126</v>
      </c>
      <c r="E27" s="112" t="s">
        <v>294</v>
      </c>
      <c r="F27" s="112" t="s">
        <v>318</v>
      </c>
      <c r="G27" s="61" t="str">
        <f t="shared" si="0"/>
        <v>[effect:enemy_message, val1:1.4, val2:2.5]</v>
      </c>
      <c r="H27" s="61">
        <f t="shared" si="1"/>
        <v>9</v>
      </c>
      <c r="I27" s="61">
        <f t="shared" si="2"/>
        <v>22</v>
      </c>
      <c r="J27" s="61" t="e">
        <f t="shared" si="3"/>
        <v>#VALUE!</v>
      </c>
      <c r="K27" s="61">
        <f t="shared" si="4"/>
        <v>32</v>
      </c>
      <c r="L27" s="61" t="str">
        <f>IFERROR(VLOOKUP(MID(G27,J27,K27-J27),[6]skilldef!$C:$D,2,FALSE),"-") &amp; " / " &amp; IFERROR(VLOOKUP(MID(G27,H27,I27-H27),[6]skilldef!$A:$B,2,FALSE),"-")</f>
        <v>- / -</v>
      </c>
      <c r="M27" s="61" t="str">
        <f t="shared" si="5"/>
        <v>[effect:time_limit, target:unit_all, turn:6, count:9, animation:enemy_time_limit],[effect:fix_speed, target:myself, turn:2]</v>
      </c>
      <c r="N27" s="46" t="str">
        <f t="shared" si="17"/>
        <v>[effect:time_limit, target:unit_all, turn:6, count:9, animation:enemy_time_limit]</v>
      </c>
      <c r="O27" s="61">
        <f t="shared" si="7"/>
        <v>9</v>
      </c>
      <c r="P27" s="61">
        <f t="shared" si="8"/>
        <v>19</v>
      </c>
      <c r="Q27" s="61">
        <f t="shared" si="9"/>
        <v>28</v>
      </c>
      <c r="R27" s="61">
        <f t="shared" si="10"/>
        <v>36</v>
      </c>
      <c r="S27" s="61" t="str">
        <f>IFERROR(VLOOKUP(MID(N27,Q27,R27-Q27),[6]skilldef!$C:$D,2,FALSE),"-") &amp; " / " &amp; IFERROR(VLOOKUP(MID(N27,O27,P27-O27),[6]skilldef!$A:$B,2,FALSE),"-")</f>
        <v>味方全体に / タップ制限時間</v>
      </c>
      <c r="T27" s="46" t="str">
        <f t="shared" si="11"/>
        <v>[effect:fix_speed, target:myself, turn:2]</v>
      </c>
      <c r="U27" s="61">
        <f t="shared" si="12"/>
        <v>9</v>
      </c>
      <c r="V27" s="61">
        <f t="shared" si="13"/>
        <v>18</v>
      </c>
      <c r="W27" s="61">
        <f t="shared" si="14"/>
        <v>27</v>
      </c>
      <c r="X27" s="61">
        <f t="shared" si="15"/>
        <v>33</v>
      </c>
      <c r="Y27" s="61" t="str">
        <f>IFERROR(VLOOKUP(MID(T27,W27,X27-W27),[6]skilldef!$C:$D,2,FALSE),"-") &amp; " / " &amp; IFERROR(VLOOKUP(MID(T27,U27,V27-U27),[6]skilldef!$A:$B,2,FALSE),"-")</f>
        <v>自分自身に / 行動値設定</v>
      </c>
      <c r="Z27" s="48"/>
      <c r="AA27" s="49"/>
      <c r="AB27" s="48"/>
    </row>
    <row r="28" spans="1:28" ht="40" customHeight="1" x14ac:dyDescent="0.15">
      <c r="A28" s="104">
        <v>13301476</v>
      </c>
      <c r="B28" s="45" t="s">
        <v>309</v>
      </c>
      <c r="C28" s="48">
        <v>1</v>
      </c>
      <c r="D28" s="48" t="s">
        <v>126</v>
      </c>
      <c r="E28" s="112" t="s">
        <v>295</v>
      </c>
      <c r="F28" s="112" t="s">
        <v>320</v>
      </c>
      <c r="G28" s="61" t="str">
        <f t="shared" si="0"/>
        <v>[effect:enemy_counter, target:myself, invoke_condition:unit_all, counter_target:attacker, turn:-1, val:0.5, animation:enemy_counter]</v>
      </c>
      <c r="H28" s="61">
        <f t="shared" si="1"/>
        <v>9</v>
      </c>
      <c r="I28" s="61">
        <f t="shared" si="2"/>
        <v>22</v>
      </c>
      <c r="J28" s="61">
        <f t="shared" si="3"/>
        <v>31</v>
      </c>
      <c r="K28" s="61">
        <f t="shared" si="4"/>
        <v>37</v>
      </c>
      <c r="L28" s="61" t="str">
        <f>IFERROR(VLOOKUP(MID(G28,J28,K28-J28),[6]skilldef!$C:$D,2,FALSE),"-") &amp; " / " &amp; IFERROR(VLOOKUP(MID(G28,H28,I28-H28),[6]skilldef!$A:$B,2,FALSE),"-")</f>
        <v>自分自身に / カウンター</v>
      </c>
      <c r="M28" s="61" t="str">
        <f t="shared" si="5"/>
        <v>[effect:enemy_message, val1:1.4, val2:1.9]</v>
      </c>
      <c r="N28" s="46" t="str">
        <f t="shared" si="17"/>
        <v>[effect:enemy_message, val1:1.4, val2:1.9]</v>
      </c>
      <c r="O28" s="61">
        <f t="shared" si="7"/>
        <v>9</v>
      </c>
      <c r="P28" s="61">
        <f t="shared" si="8"/>
        <v>22</v>
      </c>
      <c r="Q28" s="61" t="e">
        <f t="shared" si="9"/>
        <v>#VALUE!</v>
      </c>
      <c r="R28" s="61">
        <f t="shared" si="10"/>
        <v>32</v>
      </c>
      <c r="S28" s="61" t="str">
        <f>IFERROR(VLOOKUP(MID(N28,Q28,R28-Q28),[6]skilldef!$C:$D,2,FALSE),"-") &amp; " / " &amp; IFERROR(VLOOKUP(MID(N28,O28,P28-O28),[6]skilldef!$A:$B,2,FALSE),"-")</f>
        <v>- / -</v>
      </c>
      <c r="T28" s="46" t="str">
        <f t="shared" si="11"/>
        <v>none</v>
      </c>
      <c r="U28" s="61" t="e">
        <f t="shared" si="12"/>
        <v>#VALUE!</v>
      </c>
      <c r="V28" s="61">
        <f t="shared" si="13"/>
        <v>4</v>
      </c>
      <c r="W28" s="61" t="e">
        <f t="shared" si="14"/>
        <v>#VALUE!</v>
      </c>
      <c r="X28" s="61" t="e">
        <f t="shared" si="15"/>
        <v>#VALUE!</v>
      </c>
      <c r="Y28" s="61" t="str">
        <f>IFERROR(VLOOKUP(MID(T28,W28,X28-W28),[6]skilldef!$C:$D,2,FALSE),"-") &amp; " / " &amp; IFERROR(VLOOKUP(MID(T28,U28,V28-U28),[6]skilldef!$A:$B,2,FALSE),"-")</f>
        <v>- / -</v>
      </c>
      <c r="Z28" s="48"/>
      <c r="AA28" s="49"/>
      <c r="AB28" s="48"/>
    </row>
    <row r="29" spans="1:28" ht="40" customHeight="1" x14ac:dyDescent="0.15">
      <c r="A29" s="104">
        <v>13301477</v>
      </c>
      <c r="B29" s="45" t="s">
        <v>310</v>
      </c>
      <c r="C29" s="48">
        <v>1</v>
      </c>
      <c r="D29" s="48" t="s">
        <v>126</v>
      </c>
      <c r="E29" s="112" t="s">
        <v>296</v>
      </c>
      <c r="F29" s="112" t="s">
        <v>297</v>
      </c>
      <c r="G29" s="61" t="str">
        <f t="shared" si="0"/>
        <v>[effect:rush, count:6, val:0.3]</v>
      </c>
      <c r="H29" s="61">
        <f t="shared" si="1"/>
        <v>9</v>
      </c>
      <c r="I29" s="61">
        <f t="shared" si="2"/>
        <v>13</v>
      </c>
      <c r="J29" s="61" t="e">
        <f t="shared" si="3"/>
        <v>#VALUE!</v>
      </c>
      <c r="K29" s="61">
        <f t="shared" si="4"/>
        <v>22</v>
      </c>
      <c r="L29" s="61" t="str">
        <f>IFERROR(VLOOKUP(MID(G29,J29,K29-J29),[6]skilldef!$C:$D,2,FALSE),"-") &amp; " / " &amp; IFERROR(VLOOKUP(MID(G29,H29,I29-H29),[6]skilldef!$A:$B,2,FALSE),"-")</f>
        <v>- / 連続攻撃</v>
      </c>
      <c r="M29" s="61" t="str">
        <f t="shared" si="5"/>
        <v>[effect:enemy_message, val1:1.3, val2:1.7]</v>
      </c>
      <c r="N29" s="46" t="str">
        <f t="shared" si="17"/>
        <v>[effect:enemy_message, val1:1.3, val2:1.7]</v>
      </c>
      <c r="O29" s="61">
        <f t="shared" si="7"/>
        <v>9</v>
      </c>
      <c r="P29" s="61">
        <f t="shared" si="8"/>
        <v>22</v>
      </c>
      <c r="Q29" s="61" t="e">
        <f t="shared" si="9"/>
        <v>#VALUE!</v>
      </c>
      <c r="R29" s="61">
        <f t="shared" si="10"/>
        <v>32</v>
      </c>
      <c r="S29" s="61" t="str">
        <f>IFERROR(VLOOKUP(MID(N29,Q29,R29-Q29),[6]skilldef!$C:$D,2,FALSE),"-") &amp; " / " &amp; IFERROR(VLOOKUP(MID(N29,O29,P29-O29),[6]skilldef!$A:$B,2,FALSE),"-")</f>
        <v>- / -</v>
      </c>
      <c r="T29" s="46" t="str">
        <f t="shared" si="11"/>
        <v>none</v>
      </c>
      <c r="U29" s="61" t="e">
        <f t="shared" si="12"/>
        <v>#VALUE!</v>
      </c>
      <c r="V29" s="61">
        <f t="shared" si="13"/>
        <v>4</v>
      </c>
      <c r="W29" s="61" t="e">
        <f t="shared" si="14"/>
        <v>#VALUE!</v>
      </c>
      <c r="X29" s="61" t="e">
        <f t="shared" si="15"/>
        <v>#VALUE!</v>
      </c>
      <c r="Y29" s="61" t="str">
        <f>IFERROR(VLOOKUP(MID(T29,W29,X29-W29),[6]skilldef!$C:$D,2,FALSE),"-") &amp; " / " &amp; IFERROR(VLOOKUP(MID(T29,U29,V29-U29),[6]skilldef!$A:$B,2,FALSE),"-")</f>
        <v>- / -</v>
      </c>
      <c r="Z29" s="48"/>
      <c r="AA29" s="49"/>
      <c r="AB29" s="4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9"/>
  <sheetViews>
    <sheetView showGridLines="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7" bestFit="1" customWidth="1"/>
    <col min="12" max="16384" width="12.83203125" style="43"/>
  </cols>
  <sheetData>
    <row r="1" spans="1:11" ht="21" customHeight="1" x14ac:dyDescent="0.15">
      <c r="A1" s="40" t="s">
        <v>83</v>
      </c>
      <c r="B1" s="40" t="s">
        <v>84</v>
      </c>
      <c r="C1" s="40" t="s">
        <v>85</v>
      </c>
      <c r="D1" s="40" t="s">
        <v>86</v>
      </c>
      <c r="E1" s="40" t="s">
        <v>69</v>
      </c>
      <c r="F1" s="50" t="s">
        <v>70</v>
      </c>
      <c r="G1" s="50" t="s">
        <v>71</v>
      </c>
      <c r="H1" s="40" t="s">
        <v>72</v>
      </c>
      <c r="I1" s="40" t="s">
        <v>73</v>
      </c>
      <c r="J1" s="40" t="s">
        <v>74</v>
      </c>
      <c r="K1" s="51" t="s">
        <v>87</v>
      </c>
    </row>
    <row r="2" spans="1:11" ht="21" customHeight="1" x14ac:dyDescent="0.15">
      <c r="A2" s="104">
        <v>13301450</v>
      </c>
      <c r="B2" s="103">
        <v>1</v>
      </c>
      <c r="C2" s="103">
        <v>200</v>
      </c>
      <c r="D2" s="104">
        <v>100</v>
      </c>
      <c r="E2" s="104" t="s">
        <v>88</v>
      </c>
      <c r="F2" s="104" t="s">
        <v>88</v>
      </c>
      <c r="G2" s="103">
        <v>1</v>
      </c>
      <c r="H2" s="104" t="s">
        <v>88</v>
      </c>
      <c r="I2" s="104" t="s">
        <v>88</v>
      </c>
      <c r="J2" s="46">
        <f t="shared" ref="J2:J29" si="0">D2</f>
        <v>100</v>
      </c>
    </row>
    <row r="3" spans="1:11" ht="21" customHeight="1" x14ac:dyDescent="0.15">
      <c r="A3" s="104">
        <v>13301451</v>
      </c>
      <c r="B3" s="104">
        <v>0</v>
      </c>
      <c r="C3" s="103">
        <v>150</v>
      </c>
      <c r="D3" s="104">
        <v>100</v>
      </c>
      <c r="E3" s="104" t="s">
        <v>88</v>
      </c>
      <c r="F3" s="104" t="s">
        <v>88</v>
      </c>
      <c r="G3" s="103">
        <v>1</v>
      </c>
      <c r="H3" s="104" t="s">
        <v>88</v>
      </c>
      <c r="I3" s="104" t="s">
        <v>88</v>
      </c>
      <c r="J3" s="46">
        <f t="shared" si="0"/>
        <v>100</v>
      </c>
    </row>
    <row r="4" spans="1:11" ht="21" customHeight="1" x14ac:dyDescent="0.15">
      <c r="A4" s="104">
        <v>13301452</v>
      </c>
      <c r="B4" s="104">
        <v>0</v>
      </c>
      <c r="C4" s="103">
        <v>140</v>
      </c>
      <c r="D4" s="104">
        <v>100</v>
      </c>
      <c r="E4" s="104" t="s">
        <v>88</v>
      </c>
      <c r="F4" s="104" t="s">
        <v>88</v>
      </c>
      <c r="G4" s="103">
        <v>1</v>
      </c>
      <c r="H4" s="104" t="s">
        <v>88</v>
      </c>
      <c r="I4" s="104" t="s">
        <v>88</v>
      </c>
      <c r="J4" s="46">
        <f t="shared" si="0"/>
        <v>100</v>
      </c>
    </row>
    <row r="5" spans="1:11" ht="21" customHeight="1" x14ac:dyDescent="0.15">
      <c r="A5" s="104">
        <v>13301453</v>
      </c>
      <c r="B5" s="104">
        <v>0</v>
      </c>
      <c r="C5" s="103">
        <v>130</v>
      </c>
      <c r="D5" s="104">
        <v>100</v>
      </c>
      <c r="E5" s="104" t="s">
        <v>88</v>
      </c>
      <c r="F5" s="104" t="s">
        <v>88</v>
      </c>
      <c r="G5" s="103">
        <v>1</v>
      </c>
      <c r="H5" s="104" t="s">
        <v>88</v>
      </c>
      <c r="I5" s="104" t="s">
        <v>88</v>
      </c>
      <c r="J5" s="46">
        <f t="shared" si="0"/>
        <v>100</v>
      </c>
    </row>
    <row r="6" spans="1:11" ht="21" customHeight="1" x14ac:dyDescent="0.15">
      <c r="A6" s="104">
        <v>13301454</v>
      </c>
      <c r="B6" s="104">
        <v>0</v>
      </c>
      <c r="C6" s="103">
        <v>120</v>
      </c>
      <c r="D6" s="104">
        <v>100</v>
      </c>
      <c r="E6" s="104" t="s">
        <v>88</v>
      </c>
      <c r="F6" s="104" t="s">
        <v>88</v>
      </c>
      <c r="G6" s="103">
        <v>1</v>
      </c>
      <c r="H6" s="104" t="s">
        <v>88</v>
      </c>
      <c r="I6" s="104" t="s">
        <v>88</v>
      </c>
      <c r="J6" s="46">
        <f t="shared" si="0"/>
        <v>100</v>
      </c>
    </row>
    <row r="7" spans="1:11" ht="21" customHeight="1" x14ac:dyDescent="0.15">
      <c r="A7" s="104">
        <v>13301455</v>
      </c>
      <c r="B7" s="104">
        <v>0</v>
      </c>
      <c r="C7" s="103">
        <v>110</v>
      </c>
      <c r="D7" s="104">
        <v>100</v>
      </c>
      <c r="E7" s="104" t="s">
        <v>88</v>
      </c>
      <c r="F7" s="104" t="s">
        <v>88</v>
      </c>
      <c r="G7" s="103">
        <v>1</v>
      </c>
      <c r="H7" s="104" t="s">
        <v>88</v>
      </c>
      <c r="I7" s="104" t="s">
        <v>88</v>
      </c>
      <c r="J7" s="46">
        <f t="shared" si="0"/>
        <v>100</v>
      </c>
    </row>
    <row r="8" spans="1:11" ht="21" customHeight="1" x14ac:dyDescent="0.15">
      <c r="A8" s="104">
        <v>13301456</v>
      </c>
      <c r="B8" s="104">
        <v>0</v>
      </c>
      <c r="C8" s="103">
        <v>100</v>
      </c>
      <c r="D8" s="104">
        <v>100</v>
      </c>
      <c r="E8" s="104" t="s">
        <v>88</v>
      </c>
      <c r="F8" s="104" t="s">
        <v>88</v>
      </c>
      <c r="G8" s="103">
        <v>1</v>
      </c>
      <c r="H8" s="104" t="s">
        <v>88</v>
      </c>
      <c r="I8" s="104" t="s">
        <v>88</v>
      </c>
      <c r="J8" s="46">
        <f t="shared" si="0"/>
        <v>100</v>
      </c>
    </row>
    <row r="9" spans="1:11" ht="21" customHeight="1" x14ac:dyDescent="0.15">
      <c r="A9" s="104">
        <v>13301457</v>
      </c>
      <c r="B9" s="104">
        <v>0</v>
      </c>
      <c r="C9" s="103">
        <v>90</v>
      </c>
      <c r="D9" s="104">
        <v>100</v>
      </c>
      <c r="E9" s="104" t="s">
        <v>88</v>
      </c>
      <c r="F9" s="104" t="s">
        <v>88</v>
      </c>
      <c r="G9" s="103">
        <v>1</v>
      </c>
      <c r="H9" s="104" t="s">
        <v>88</v>
      </c>
      <c r="I9" s="104" t="s">
        <v>88</v>
      </c>
      <c r="J9" s="46">
        <f t="shared" si="0"/>
        <v>100</v>
      </c>
    </row>
    <row r="10" spans="1:11" ht="21" customHeight="1" x14ac:dyDescent="0.15">
      <c r="A10" s="104">
        <v>13301458</v>
      </c>
      <c r="B10" s="104">
        <v>0</v>
      </c>
      <c r="C10" s="103">
        <v>80</v>
      </c>
      <c r="D10" s="104">
        <v>100</v>
      </c>
      <c r="E10" s="104" t="s">
        <v>88</v>
      </c>
      <c r="F10" s="104" t="s">
        <v>88</v>
      </c>
      <c r="G10" s="103">
        <v>1</v>
      </c>
      <c r="H10" s="104" t="s">
        <v>88</v>
      </c>
      <c r="I10" s="104" t="s">
        <v>88</v>
      </c>
      <c r="J10" s="46">
        <f t="shared" si="0"/>
        <v>100</v>
      </c>
    </row>
    <row r="11" spans="1:11" ht="21" customHeight="1" x14ac:dyDescent="0.15">
      <c r="A11" s="104">
        <v>13301459</v>
      </c>
      <c r="B11" s="104">
        <v>0</v>
      </c>
      <c r="C11" s="103">
        <v>70</v>
      </c>
      <c r="D11" s="104">
        <v>100</v>
      </c>
      <c r="E11" s="104" t="s">
        <v>88</v>
      </c>
      <c r="F11" s="104" t="s">
        <v>88</v>
      </c>
      <c r="G11" s="103">
        <v>1</v>
      </c>
      <c r="H11" s="104" t="s">
        <v>88</v>
      </c>
      <c r="I11" s="104" t="s">
        <v>88</v>
      </c>
      <c r="J11" s="46">
        <f t="shared" si="0"/>
        <v>100</v>
      </c>
    </row>
    <row r="12" spans="1:11" ht="21" customHeight="1" x14ac:dyDescent="0.15">
      <c r="A12" s="104">
        <v>13301460</v>
      </c>
      <c r="B12" s="104">
        <v>0</v>
      </c>
      <c r="C12" s="103">
        <v>60</v>
      </c>
      <c r="D12" s="104">
        <v>100</v>
      </c>
      <c r="E12" s="104" t="s">
        <v>88</v>
      </c>
      <c r="F12" s="104" t="s">
        <v>88</v>
      </c>
      <c r="G12" s="103">
        <v>1</v>
      </c>
      <c r="H12" s="104" t="s">
        <v>88</v>
      </c>
      <c r="I12" s="104" t="s">
        <v>88</v>
      </c>
      <c r="J12" s="46">
        <f t="shared" si="0"/>
        <v>100</v>
      </c>
    </row>
    <row r="13" spans="1:11" ht="21" customHeight="1" x14ac:dyDescent="0.15">
      <c r="A13" s="104">
        <v>13301461</v>
      </c>
      <c r="B13" s="104">
        <v>0</v>
      </c>
      <c r="C13" s="103">
        <v>50</v>
      </c>
      <c r="D13" s="104">
        <v>100</v>
      </c>
      <c r="E13" s="104" t="s">
        <v>88</v>
      </c>
      <c r="F13" s="104" t="s">
        <v>88</v>
      </c>
      <c r="G13" s="103">
        <v>1</v>
      </c>
      <c r="H13" s="104" t="s">
        <v>88</v>
      </c>
      <c r="I13" s="104" t="s">
        <v>88</v>
      </c>
      <c r="J13" s="46">
        <f t="shared" si="0"/>
        <v>100</v>
      </c>
    </row>
    <row r="14" spans="1:11" ht="21" customHeight="1" x14ac:dyDescent="0.15">
      <c r="A14" s="104">
        <v>13301462</v>
      </c>
      <c r="B14" s="104">
        <v>0</v>
      </c>
      <c r="C14" s="103">
        <v>40</v>
      </c>
      <c r="D14" s="104">
        <v>100</v>
      </c>
      <c r="E14" s="104" t="s">
        <v>88</v>
      </c>
      <c r="F14" s="104" t="s">
        <v>88</v>
      </c>
      <c r="G14" s="103">
        <v>1</v>
      </c>
      <c r="H14" s="104" t="s">
        <v>88</v>
      </c>
      <c r="I14" s="104" t="s">
        <v>88</v>
      </c>
      <c r="J14" s="46">
        <f t="shared" si="0"/>
        <v>100</v>
      </c>
    </row>
    <row r="15" spans="1:11" ht="21" customHeight="1" x14ac:dyDescent="0.15">
      <c r="A15" s="104">
        <v>13301463</v>
      </c>
      <c r="B15" s="104">
        <v>0</v>
      </c>
      <c r="C15" s="103">
        <v>30</v>
      </c>
      <c r="D15" s="104">
        <v>100</v>
      </c>
      <c r="E15" s="104" t="s">
        <v>88</v>
      </c>
      <c r="F15" s="104" t="s">
        <v>88</v>
      </c>
      <c r="G15" s="103">
        <v>1</v>
      </c>
      <c r="H15" s="104" t="s">
        <v>88</v>
      </c>
      <c r="I15" s="104" t="s">
        <v>88</v>
      </c>
      <c r="J15" s="46">
        <f t="shared" si="0"/>
        <v>100</v>
      </c>
    </row>
    <row r="16" spans="1:11" ht="21" customHeight="1" x14ac:dyDescent="0.15">
      <c r="A16" s="104">
        <v>13301464</v>
      </c>
      <c r="B16" s="104">
        <v>0</v>
      </c>
      <c r="C16" s="103">
        <v>20</v>
      </c>
      <c r="D16" s="104">
        <v>100</v>
      </c>
      <c r="E16" s="104" t="s">
        <v>88</v>
      </c>
      <c r="F16" s="104" t="s">
        <v>88</v>
      </c>
      <c r="G16" s="103">
        <v>1</v>
      </c>
      <c r="H16" s="104" t="s">
        <v>88</v>
      </c>
      <c r="I16" s="104" t="s">
        <v>88</v>
      </c>
      <c r="J16" s="46">
        <f t="shared" si="0"/>
        <v>100</v>
      </c>
    </row>
    <row r="17" spans="1:10" ht="21" customHeight="1" x14ac:dyDescent="0.15">
      <c r="A17" s="104">
        <v>13301465</v>
      </c>
      <c r="B17" s="104">
        <v>0</v>
      </c>
      <c r="C17" s="103">
        <v>10</v>
      </c>
      <c r="D17" s="104">
        <v>100</v>
      </c>
      <c r="E17" s="104" t="s">
        <v>88</v>
      </c>
      <c r="F17" s="104" t="s">
        <v>88</v>
      </c>
      <c r="G17" s="103">
        <v>1</v>
      </c>
      <c r="H17" s="104" t="s">
        <v>88</v>
      </c>
      <c r="I17" s="104" t="s">
        <v>88</v>
      </c>
      <c r="J17" s="46">
        <f t="shared" si="0"/>
        <v>100</v>
      </c>
    </row>
    <row r="18" spans="1:10" ht="21" customHeight="1" x14ac:dyDescent="0.15">
      <c r="A18" s="104">
        <v>13301466</v>
      </c>
      <c r="B18" s="106">
        <v>1</v>
      </c>
      <c r="C18" s="105">
        <v>250</v>
      </c>
      <c r="D18" s="104">
        <v>100</v>
      </c>
      <c r="E18" s="104" t="s">
        <v>88</v>
      </c>
      <c r="F18" s="104" t="s">
        <v>88</v>
      </c>
      <c r="G18" s="105">
        <v>1</v>
      </c>
      <c r="H18" s="104" t="s">
        <v>88</v>
      </c>
      <c r="I18" s="104" t="s">
        <v>88</v>
      </c>
      <c r="J18" s="46">
        <f t="shared" si="0"/>
        <v>100</v>
      </c>
    </row>
    <row r="19" spans="1:10" ht="21" customHeight="1" x14ac:dyDescent="0.15">
      <c r="A19" s="104">
        <v>13301467</v>
      </c>
      <c r="B19" s="104">
        <v>0</v>
      </c>
      <c r="C19" s="105">
        <v>100</v>
      </c>
      <c r="D19" s="104">
        <v>100</v>
      </c>
      <c r="E19" s="104" t="s">
        <v>88</v>
      </c>
      <c r="F19" s="104" t="s">
        <v>88</v>
      </c>
      <c r="G19" s="105" t="s">
        <v>88</v>
      </c>
      <c r="H19" s="104" t="s">
        <v>88</v>
      </c>
      <c r="I19" s="104" t="s">
        <v>88</v>
      </c>
      <c r="J19" s="46">
        <f t="shared" si="0"/>
        <v>100</v>
      </c>
    </row>
    <row r="20" spans="1:10" ht="21" customHeight="1" x14ac:dyDescent="0.15">
      <c r="A20" s="104">
        <v>13301468</v>
      </c>
      <c r="B20" s="104">
        <v>0</v>
      </c>
      <c r="C20" s="105">
        <v>110</v>
      </c>
      <c r="D20" s="104">
        <v>40</v>
      </c>
      <c r="E20" s="104" t="s">
        <v>88</v>
      </c>
      <c r="F20" s="104" t="s">
        <v>88</v>
      </c>
      <c r="G20" s="105" t="s">
        <v>88</v>
      </c>
      <c r="H20" s="104" t="s">
        <v>88</v>
      </c>
      <c r="I20" s="104" t="s">
        <v>88</v>
      </c>
      <c r="J20" s="46">
        <f t="shared" si="0"/>
        <v>40</v>
      </c>
    </row>
    <row r="21" spans="1:10" ht="21" customHeight="1" x14ac:dyDescent="0.15">
      <c r="A21" s="104">
        <v>13301469</v>
      </c>
      <c r="B21" s="104">
        <v>0</v>
      </c>
      <c r="C21" s="105">
        <v>150</v>
      </c>
      <c r="D21" s="104">
        <v>100</v>
      </c>
      <c r="E21" s="104" t="s">
        <v>88</v>
      </c>
      <c r="F21" s="104" t="s">
        <v>88</v>
      </c>
      <c r="G21" s="105" t="s">
        <v>88</v>
      </c>
      <c r="H21" s="106">
        <v>5</v>
      </c>
      <c r="I21" s="104" t="s">
        <v>88</v>
      </c>
      <c r="J21" s="46">
        <f t="shared" si="0"/>
        <v>100</v>
      </c>
    </row>
    <row r="22" spans="1:10" ht="21" customHeight="1" x14ac:dyDescent="0.15">
      <c r="A22" s="104">
        <v>13301470</v>
      </c>
      <c r="B22" s="104">
        <v>0</v>
      </c>
      <c r="C22" s="105">
        <v>200</v>
      </c>
      <c r="D22" s="104">
        <v>100</v>
      </c>
      <c r="E22" s="106">
        <v>50</v>
      </c>
      <c r="F22" s="104" t="s">
        <v>88</v>
      </c>
      <c r="G22" s="105">
        <v>1</v>
      </c>
      <c r="H22" s="104" t="s">
        <v>88</v>
      </c>
      <c r="I22" s="104" t="s">
        <v>88</v>
      </c>
      <c r="J22" s="46">
        <f t="shared" si="0"/>
        <v>100</v>
      </c>
    </row>
    <row r="23" spans="1:10" ht="21" customHeight="1" x14ac:dyDescent="0.15">
      <c r="A23" s="104">
        <v>13301471</v>
      </c>
      <c r="B23" s="107">
        <v>1</v>
      </c>
      <c r="C23" s="107">
        <v>250</v>
      </c>
      <c r="D23" s="104">
        <v>100</v>
      </c>
      <c r="E23" s="104" t="s">
        <v>88</v>
      </c>
      <c r="F23" s="104" t="s">
        <v>88</v>
      </c>
      <c r="G23" s="107">
        <v>1</v>
      </c>
      <c r="H23" s="107" t="s">
        <v>88</v>
      </c>
      <c r="I23" s="104" t="s">
        <v>88</v>
      </c>
      <c r="J23" s="46">
        <f t="shared" si="0"/>
        <v>100</v>
      </c>
    </row>
    <row r="24" spans="1:10" ht="21" customHeight="1" x14ac:dyDescent="0.15">
      <c r="A24" s="104">
        <v>13301472</v>
      </c>
      <c r="B24" s="104">
        <v>0</v>
      </c>
      <c r="C24" s="107">
        <v>200</v>
      </c>
      <c r="D24" s="104">
        <v>100</v>
      </c>
      <c r="E24" s="104" t="s">
        <v>88</v>
      </c>
      <c r="F24" s="104" t="s">
        <v>88</v>
      </c>
      <c r="G24" s="107" t="s">
        <v>88</v>
      </c>
      <c r="H24" s="107">
        <v>2</v>
      </c>
      <c r="I24" s="104" t="s">
        <v>88</v>
      </c>
      <c r="J24" s="46">
        <f t="shared" si="0"/>
        <v>100</v>
      </c>
    </row>
    <row r="25" spans="1:10" ht="21" customHeight="1" x14ac:dyDescent="0.15">
      <c r="A25" s="104">
        <v>13301473</v>
      </c>
      <c r="B25" s="104">
        <v>0</v>
      </c>
      <c r="C25" s="107">
        <v>150</v>
      </c>
      <c r="D25" s="104">
        <v>100</v>
      </c>
      <c r="E25" s="104" t="s">
        <v>88</v>
      </c>
      <c r="F25" s="104" t="s">
        <v>88</v>
      </c>
      <c r="G25" s="107">
        <v>1</v>
      </c>
      <c r="H25" s="107">
        <v>8</v>
      </c>
      <c r="I25" s="104" t="s">
        <v>88</v>
      </c>
      <c r="J25" s="46">
        <f t="shared" si="0"/>
        <v>100</v>
      </c>
    </row>
    <row r="26" spans="1:10" ht="21" customHeight="1" x14ac:dyDescent="0.15">
      <c r="A26" s="104">
        <v>13301474</v>
      </c>
      <c r="B26" s="108">
        <v>1</v>
      </c>
      <c r="C26" s="108">
        <v>250</v>
      </c>
      <c r="D26" s="104">
        <v>100</v>
      </c>
      <c r="E26" s="104" t="s">
        <v>88</v>
      </c>
      <c r="F26" s="104" t="s">
        <v>88</v>
      </c>
      <c r="G26" s="108">
        <v>1</v>
      </c>
      <c r="H26" s="104" t="s">
        <v>88</v>
      </c>
      <c r="I26" s="104" t="s">
        <v>88</v>
      </c>
      <c r="J26" s="46">
        <f t="shared" si="0"/>
        <v>100</v>
      </c>
    </row>
    <row r="27" spans="1:10" ht="21" customHeight="1" x14ac:dyDescent="0.15">
      <c r="A27" s="104">
        <v>13301475</v>
      </c>
      <c r="B27" s="104">
        <v>0</v>
      </c>
      <c r="C27" s="108">
        <v>200</v>
      </c>
      <c r="D27" s="104">
        <v>100</v>
      </c>
      <c r="E27" s="104" t="s">
        <v>88</v>
      </c>
      <c r="F27" s="104" t="s">
        <v>88</v>
      </c>
      <c r="G27" s="108">
        <v>1</v>
      </c>
      <c r="H27" s="104" t="s">
        <v>88</v>
      </c>
      <c r="I27" s="104" t="s">
        <v>88</v>
      </c>
      <c r="J27" s="46">
        <f t="shared" si="0"/>
        <v>100</v>
      </c>
    </row>
    <row r="28" spans="1:10" ht="21" customHeight="1" x14ac:dyDescent="0.15">
      <c r="A28" s="104">
        <v>13301476</v>
      </c>
      <c r="B28" s="104">
        <v>0</v>
      </c>
      <c r="C28" s="108">
        <v>150</v>
      </c>
      <c r="D28" s="104">
        <v>100</v>
      </c>
      <c r="E28" s="104">
        <v>25</v>
      </c>
      <c r="F28" s="104" t="s">
        <v>88</v>
      </c>
      <c r="G28" s="108">
        <v>1</v>
      </c>
      <c r="H28" s="104" t="s">
        <v>88</v>
      </c>
      <c r="I28" s="104" t="s">
        <v>88</v>
      </c>
      <c r="J28" s="46">
        <f t="shared" si="0"/>
        <v>100</v>
      </c>
    </row>
    <row r="29" spans="1:10" ht="21" customHeight="1" x14ac:dyDescent="0.15">
      <c r="A29" s="104">
        <v>13301477</v>
      </c>
      <c r="B29" s="104">
        <v>0</v>
      </c>
      <c r="C29" s="108">
        <v>100</v>
      </c>
      <c r="D29" s="104">
        <v>100</v>
      </c>
      <c r="E29" s="104">
        <v>50</v>
      </c>
      <c r="F29" s="104" t="s">
        <v>88</v>
      </c>
      <c r="G29" s="104" t="s">
        <v>88</v>
      </c>
      <c r="H29" s="104" t="s">
        <v>88</v>
      </c>
      <c r="I29" s="104" t="s">
        <v>88</v>
      </c>
      <c r="J29" s="46">
        <f t="shared" si="0"/>
        <v>100</v>
      </c>
    </row>
  </sheetData>
  <autoFilter ref="A1:G1"/>
  <phoneticPr fontId="5"/>
  <conditionalFormatting sqref="K20:K1048576 K1:K2">
    <cfRule type="duplicateValues" dxfId="11" priority="12"/>
  </conditionalFormatting>
  <conditionalFormatting sqref="K18 K8 K13">
    <cfRule type="duplicateValues" dxfId="10" priority="11"/>
  </conditionalFormatting>
  <conditionalFormatting sqref="K3 K5">
    <cfRule type="duplicateValues" dxfId="9" priority="10"/>
  </conditionalFormatting>
  <conditionalFormatting sqref="K9 K11">
    <cfRule type="duplicateValues" dxfId="8" priority="9"/>
  </conditionalFormatting>
  <conditionalFormatting sqref="K19">
    <cfRule type="duplicateValues" dxfId="7" priority="7"/>
  </conditionalFormatting>
  <conditionalFormatting sqref="K14:K15 K17">
    <cfRule type="duplicateValues" dxfId="6" priority="16"/>
  </conditionalFormatting>
  <conditionalFormatting sqref="K6">
    <cfRule type="duplicateValues" dxfId="5" priority="6"/>
  </conditionalFormatting>
  <conditionalFormatting sqref="K10">
    <cfRule type="duplicateValues" dxfId="4" priority="5"/>
  </conditionalFormatting>
  <conditionalFormatting sqref="K4">
    <cfRule type="duplicateValues" dxfId="3" priority="4"/>
  </conditionalFormatting>
  <conditionalFormatting sqref="K7">
    <cfRule type="duplicateValues" dxfId="2" priority="3"/>
  </conditionalFormatting>
  <conditionalFormatting sqref="K12">
    <cfRule type="duplicateValues" dxfId="1" priority="2"/>
  </conditionalFormatting>
  <conditionalFormatting sqref="K1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9"/>
  <sheetViews>
    <sheetView workbookViewId="0"/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149</v>
      </c>
      <c r="B1" s="62" t="s">
        <v>150</v>
      </c>
      <c r="C1" s="63" t="s">
        <v>151</v>
      </c>
      <c r="D1" s="69" t="s">
        <v>152</v>
      </c>
      <c r="E1" s="64" t="s">
        <v>153</v>
      </c>
      <c r="F1" s="62" t="s">
        <v>154</v>
      </c>
      <c r="G1" s="62" t="s">
        <v>155</v>
      </c>
      <c r="H1" s="62" t="s">
        <v>156</v>
      </c>
      <c r="I1" s="62" t="s">
        <v>157</v>
      </c>
      <c r="J1" s="62" t="s">
        <v>158</v>
      </c>
      <c r="K1" s="62" t="s">
        <v>159</v>
      </c>
      <c r="L1" s="62" t="s">
        <v>160</v>
      </c>
      <c r="M1" s="62" t="s">
        <v>161</v>
      </c>
      <c r="N1" s="62" t="s">
        <v>162</v>
      </c>
      <c r="O1" s="62" t="s">
        <v>163</v>
      </c>
      <c r="P1" s="62" t="s">
        <v>164</v>
      </c>
      <c r="Q1" s="62" t="s">
        <v>165</v>
      </c>
      <c r="R1" s="62" t="s">
        <v>166</v>
      </c>
    </row>
    <row r="2" spans="1:18" x14ac:dyDescent="0.15">
      <c r="A2" s="54">
        <v>13302</v>
      </c>
      <c r="B2" s="54">
        <v>8</v>
      </c>
      <c r="C2" s="68" t="str">
        <f>A2&amp; "_"&amp;B2</f>
        <v>13302_8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4">
        <v>1</v>
      </c>
      <c r="F2" s="54" t="s">
        <v>250</v>
      </c>
      <c r="G2" s="54">
        <v>121</v>
      </c>
      <c r="H2" s="54">
        <v>1</v>
      </c>
      <c r="I2" s="54">
        <v>1</v>
      </c>
      <c r="J2" s="54">
        <v>1</v>
      </c>
      <c r="K2" s="54">
        <v>0</v>
      </c>
      <c r="L2" s="54">
        <v>0</v>
      </c>
      <c r="M2" s="54">
        <v>0</v>
      </c>
      <c r="N2" s="54">
        <v>0</v>
      </c>
      <c r="O2" s="54">
        <v>1</v>
      </c>
      <c r="P2" s="54">
        <v>50</v>
      </c>
      <c r="Q2" s="54" t="s">
        <v>167</v>
      </c>
      <c r="R2" s="54" t="s">
        <v>168</v>
      </c>
    </row>
    <row r="3" spans="1:18" x14ac:dyDescent="0.15">
      <c r="A3" s="54">
        <v>13302</v>
      </c>
      <c r="B3" s="54">
        <v>8</v>
      </c>
      <c r="C3" s="68" t="str">
        <f t="shared" ref="C3:C8" si="0">A3&amp; "_"&amp;B3</f>
        <v>13302_8</v>
      </c>
      <c r="D3" s="11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4">
        <v>2</v>
      </c>
      <c r="F3" s="54" t="s">
        <v>250</v>
      </c>
      <c r="G3" s="54">
        <v>607</v>
      </c>
      <c r="H3" s="54">
        <v>1</v>
      </c>
      <c r="I3" s="54">
        <v>1</v>
      </c>
      <c r="J3" s="54">
        <v>1</v>
      </c>
      <c r="K3" s="54">
        <v>0</v>
      </c>
      <c r="L3" s="54">
        <v>0</v>
      </c>
      <c r="M3" s="54">
        <v>0</v>
      </c>
      <c r="N3" s="54">
        <v>0</v>
      </c>
      <c r="O3" s="54">
        <v>1</v>
      </c>
      <c r="P3" s="54">
        <v>80</v>
      </c>
      <c r="Q3" s="54" t="s">
        <v>167</v>
      </c>
      <c r="R3" s="54" t="s">
        <v>168</v>
      </c>
    </row>
    <row r="4" spans="1:18" x14ac:dyDescent="0.15">
      <c r="A4" s="54">
        <v>13302</v>
      </c>
      <c r="B4" s="54">
        <v>8</v>
      </c>
      <c r="C4" s="68" t="str">
        <f t="shared" si="0"/>
        <v>13302_8</v>
      </c>
      <c r="D4" s="11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4">
        <v>3</v>
      </c>
      <c r="F4" s="54" t="s">
        <v>250</v>
      </c>
      <c r="G4" s="54">
        <v>611</v>
      </c>
      <c r="H4" s="54">
        <v>1</v>
      </c>
      <c r="I4" s="54">
        <v>1</v>
      </c>
      <c r="J4" s="54">
        <v>1</v>
      </c>
      <c r="K4" s="54">
        <v>0</v>
      </c>
      <c r="L4" s="54">
        <v>0</v>
      </c>
      <c r="M4" s="54">
        <v>0</v>
      </c>
      <c r="N4" s="54">
        <v>0</v>
      </c>
      <c r="O4" s="54">
        <v>1</v>
      </c>
      <c r="P4" s="54">
        <v>110</v>
      </c>
      <c r="Q4" s="54" t="s">
        <v>167</v>
      </c>
      <c r="R4" s="54" t="s">
        <v>168</v>
      </c>
    </row>
    <row r="5" spans="1:18" x14ac:dyDescent="0.15">
      <c r="A5" s="54">
        <v>13302</v>
      </c>
      <c r="B5" s="54">
        <v>8</v>
      </c>
      <c r="C5" s="68" t="str">
        <f t="shared" si="0"/>
        <v>13302_8</v>
      </c>
      <c r="D5" s="11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4">
        <v>4</v>
      </c>
      <c r="F5" s="54" t="s">
        <v>250</v>
      </c>
      <c r="G5" s="54">
        <v>125</v>
      </c>
      <c r="H5" s="54">
        <v>1</v>
      </c>
      <c r="I5" s="54">
        <v>1</v>
      </c>
      <c r="J5" s="54">
        <v>1</v>
      </c>
      <c r="K5" s="54">
        <v>0</v>
      </c>
      <c r="L5" s="54">
        <v>0</v>
      </c>
      <c r="M5" s="54">
        <v>0</v>
      </c>
      <c r="N5" s="54">
        <v>0</v>
      </c>
      <c r="O5" s="54">
        <v>1</v>
      </c>
      <c r="P5" s="54">
        <v>40</v>
      </c>
      <c r="Q5" s="54" t="s">
        <v>167</v>
      </c>
      <c r="R5" s="54" t="s">
        <v>168</v>
      </c>
    </row>
    <row r="6" spans="1:18" x14ac:dyDescent="0.15">
      <c r="A6" s="54">
        <v>13302</v>
      </c>
      <c r="B6" s="54">
        <v>8</v>
      </c>
      <c r="C6" s="68" t="str">
        <f t="shared" si="0"/>
        <v>13302_8</v>
      </c>
      <c r="D6" s="11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4">
        <v>5</v>
      </c>
      <c r="F6" s="54" t="s">
        <v>251</v>
      </c>
      <c r="G6" s="54">
        <v>500</v>
      </c>
      <c r="H6" s="54" t="s">
        <v>252</v>
      </c>
      <c r="I6" s="54">
        <v>1</v>
      </c>
      <c r="J6" s="54">
        <v>1</v>
      </c>
      <c r="K6" s="54">
        <v>0</v>
      </c>
      <c r="L6" s="54">
        <v>0</v>
      </c>
      <c r="M6" s="54">
        <v>0</v>
      </c>
      <c r="N6" s="54">
        <v>0</v>
      </c>
      <c r="O6" s="54">
        <v>1</v>
      </c>
      <c r="P6" s="54">
        <v>320</v>
      </c>
      <c r="Q6" s="54" t="s">
        <v>167</v>
      </c>
      <c r="R6" s="54" t="s">
        <v>168</v>
      </c>
    </row>
    <row r="7" spans="1:18" x14ac:dyDescent="0.15">
      <c r="A7" s="54">
        <v>13302</v>
      </c>
      <c r="B7" s="54">
        <v>8</v>
      </c>
      <c r="C7" s="68" t="str">
        <f t="shared" si="0"/>
        <v>13302_8</v>
      </c>
      <c r="D7" s="11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4">
        <v>6</v>
      </c>
      <c r="F7" s="54" t="s">
        <v>250</v>
      </c>
      <c r="G7" s="54">
        <v>334</v>
      </c>
      <c r="H7" s="54">
        <v>1</v>
      </c>
      <c r="I7" s="54">
        <v>1</v>
      </c>
      <c r="J7" s="54">
        <v>1</v>
      </c>
      <c r="K7" s="54">
        <v>0</v>
      </c>
      <c r="L7" s="54">
        <v>0</v>
      </c>
      <c r="M7" s="54">
        <v>0</v>
      </c>
      <c r="N7" s="54">
        <v>0</v>
      </c>
      <c r="O7" s="54">
        <v>1</v>
      </c>
      <c r="P7" s="54">
        <v>30</v>
      </c>
      <c r="Q7" s="54" t="s">
        <v>167</v>
      </c>
      <c r="R7" s="54" t="s">
        <v>168</v>
      </c>
    </row>
    <row r="8" spans="1:18" x14ac:dyDescent="0.15">
      <c r="A8" s="54">
        <v>13302</v>
      </c>
      <c r="B8" s="54">
        <v>8</v>
      </c>
      <c r="C8" s="68" t="str">
        <f t="shared" si="0"/>
        <v>13302_8</v>
      </c>
      <c r="D8" s="11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4">
        <v>7</v>
      </c>
      <c r="F8" s="54" t="s">
        <v>250</v>
      </c>
      <c r="G8" s="54">
        <v>335</v>
      </c>
      <c r="H8" s="54">
        <v>1</v>
      </c>
      <c r="I8" s="54">
        <v>1</v>
      </c>
      <c r="J8" s="54">
        <v>1</v>
      </c>
      <c r="K8" s="54">
        <v>0</v>
      </c>
      <c r="L8" s="54">
        <v>0</v>
      </c>
      <c r="M8" s="54">
        <v>0</v>
      </c>
      <c r="N8" s="54">
        <v>0</v>
      </c>
      <c r="O8" s="54">
        <v>1</v>
      </c>
      <c r="P8" s="54">
        <v>330</v>
      </c>
      <c r="Q8" s="54" t="s">
        <v>167</v>
      </c>
      <c r="R8" s="54" t="s">
        <v>168</v>
      </c>
    </row>
    <row r="9" spans="1:18" x14ac:dyDescent="0.15">
      <c r="A9" s="54">
        <v>13302</v>
      </c>
      <c r="B9" s="54">
        <v>8</v>
      </c>
      <c r="C9" s="68" t="str">
        <f t="shared" ref="C9" si="1">A9&amp; "_"&amp;B9</f>
        <v>13302_8</v>
      </c>
      <c r="D9" s="11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4">
        <v>8</v>
      </c>
      <c r="F9" s="54" t="s">
        <v>250</v>
      </c>
      <c r="G9" s="54">
        <v>610</v>
      </c>
      <c r="H9" s="54">
        <v>1</v>
      </c>
      <c r="I9" s="54">
        <v>1</v>
      </c>
      <c r="J9" s="54">
        <v>1</v>
      </c>
      <c r="K9" s="54">
        <v>0</v>
      </c>
      <c r="L9" s="54">
        <v>0</v>
      </c>
      <c r="M9" s="54">
        <v>0</v>
      </c>
      <c r="N9" s="54">
        <v>0</v>
      </c>
      <c r="O9" s="54">
        <v>1</v>
      </c>
      <c r="P9" s="54">
        <v>40</v>
      </c>
      <c r="Q9" s="54" t="s">
        <v>167</v>
      </c>
      <c r="R9" s="54" t="s">
        <v>168</v>
      </c>
    </row>
  </sheetData>
  <phoneticPr fontId="5"/>
  <dataValidations count="1">
    <dataValidation type="list" allowBlank="1" showInputMessage="1" showErrorMessage="1" sqref="F2:F9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185</v>
      </c>
      <c r="B1" s="70" t="s">
        <v>186</v>
      </c>
      <c r="C1" s="74" t="s">
        <v>187</v>
      </c>
      <c r="D1" s="74" t="s">
        <v>33</v>
      </c>
      <c r="E1" s="70" t="s">
        <v>188</v>
      </c>
      <c r="F1" s="74" t="s">
        <v>189</v>
      </c>
      <c r="G1" s="74" t="s">
        <v>33</v>
      </c>
      <c r="H1" s="70" t="s">
        <v>190</v>
      </c>
      <c r="I1" s="87" t="s">
        <v>192</v>
      </c>
      <c r="J1" s="76" t="s">
        <v>125</v>
      </c>
      <c r="K1" s="75" t="s">
        <v>184</v>
      </c>
      <c r="L1" s="88" t="s">
        <v>183</v>
      </c>
      <c r="M1" s="77" t="s">
        <v>193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8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3" t="s">
        <v>185</v>
      </c>
      <c r="B1" s="70" t="s">
        <v>149</v>
      </c>
      <c r="C1" s="74" t="s">
        <v>187</v>
      </c>
      <c r="D1" s="74" t="s">
        <v>33</v>
      </c>
      <c r="E1" s="70" t="s">
        <v>188</v>
      </c>
      <c r="F1" s="74" t="s">
        <v>18</v>
      </c>
      <c r="G1" s="74" t="s">
        <v>33</v>
      </c>
      <c r="H1" s="70" t="s">
        <v>190</v>
      </c>
      <c r="I1" s="85" t="s">
        <v>191</v>
      </c>
      <c r="J1" s="87" t="s">
        <v>192</v>
      </c>
      <c r="K1" s="76" t="s">
        <v>125</v>
      </c>
      <c r="L1" s="75" t="s">
        <v>184</v>
      </c>
      <c r="M1" s="88" t="s">
        <v>183</v>
      </c>
      <c r="N1" s="77" t="s">
        <v>193</v>
      </c>
    </row>
    <row r="2" spans="1:15" ht="56" x14ac:dyDescent="0.15">
      <c r="A2" s="78" t="s">
        <v>194</v>
      </c>
      <c r="B2" s="79">
        <v>13302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1">
        <v>8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8階 コスト28以下限定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2">
        <v>1</v>
      </c>
      <c r="I2" s="86">
        <v>1</v>
      </c>
      <c r="J2" s="102">
        <v>13302450</v>
      </c>
      <c r="K2" s="81" t="s">
        <v>126</v>
      </c>
      <c r="L2" s="83" t="s">
        <v>196</v>
      </c>
      <c r="M2" s="101" t="s">
        <v>262</v>
      </c>
      <c r="N2" s="54" t="s">
        <v>197</v>
      </c>
      <c r="O2">
        <f>LEN(M2)</f>
        <v>45</v>
      </c>
    </row>
    <row r="3" spans="1:15" ht="56" x14ac:dyDescent="0.15">
      <c r="A3" s="78" t="s">
        <v>194</v>
      </c>
      <c r="B3" s="79">
        <v>13302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1">
        <v>8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8階 コスト28以下限定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2">
        <v>1</v>
      </c>
      <c r="I3" s="86">
        <v>2</v>
      </c>
      <c r="J3" s="102">
        <v>13302454</v>
      </c>
      <c r="K3" s="81" t="s">
        <v>126</v>
      </c>
      <c r="L3" s="83" t="s">
        <v>196</v>
      </c>
      <c r="M3" s="101" t="s">
        <v>258</v>
      </c>
      <c r="N3" s="54" t="s">
        <v>197</v>
      </c>
      <c r="O3">
        <f t="shared" ref="O3:O5" si="0">LEN(M3)</f>
        <v>42</v>
      </c>
    </row>
    <row r="4" spans="1:15" ht="56" x14ac:dyDescent="0.15">
      <c r="A4" s="78" t="s">
        <v>194</v>
      </c>
      <c r="B4" s="79">
        <v>13302</v>
      </c>
      <c r="C4" s="80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0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1">
        <v>8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8階 コスト28以下限定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2">
        <v>1</v>
      </c>
      <c r="I4" s="86">
        <v>3</v>
      </c>
      <c r="J4" s="102">
        <v>13302451</v>
      </c>
      <c r="K4" s="81" t="s">
        <v>126</v>
      </c>
      <c r="L4" s="83" t="s">
        <v>196</v>
      </c>
      <c r="M4" s="101" t="s">
        <v>325</v>
      </c>
      <c r="N4" s="54" t="s">
        <v>197</v>
      </c>
    </row>
    <row r="5" spans="1:15" ht="56" x14ac:dyDescent="0.15">
      <c r="A5" s="78" t="s">
        <v>194</v>
      </c>
      <c r="B5" s="79">
        <v>13302</v>
      </c>
      <c r="C5" s="80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0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1">
        <v>8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8階 コスト28以下限定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2">
        <v>2</v>
      </c>
      <c r="I5" s="86">
        <v>4</v>
      </c>
      <c r="J5" s="102">
        <v>13302452</v>
      </c>
      <c r="K5" s="81" t="s">
        <v>126</v>
      </c>
      <c r="L5" s="83" t="s">
        <v>196</v>
      </c>
      <c r="M5" s="101" t="s">
        <v>259</v>
      </c>
      <c r="N5" s="54" t="s">
        <v>197</v>
      </c>
      <c r="O5">
        <f t="shared" si="0"/>
        <v>48</v>
      </c>
    </row>
    <row r="6" spans="1:15" ht="56" x14ac:dyDescent="0.15">
      <c r="A6" s="78" t="s">
        <v>194</v>
      </c>
      <c r="B6" s="79">
        <v>13302</v>
      </c>
      <c r="C6" s="80" t="str">
        <f ca="1">VLOOKUP($B6,OFFSET([2]quests!$A$1,0,0,COUNTA([2]quests!$A:$A),MATCH(C$1,[2]quests!$1:$1,0)-MATCH($B$1,[2]quests!$1:$1,0)+1),MATCH(C$1,[2]quests!$1:$1,0)-MATCH($B$1,[2]quests!$1:$1,0)+1,FALSE)</f>
        <v>タワーオブザクイーン -アヴァルシア-</v>
      </c>
      <c r="D6" s="80" t="str">
        <f ca="1">VLOOKUP($B6,OFFSET([2]quests!$A$1,0,0,COUNTA([2]quests!$A:$A),MATCH(D$1,[2]quests!$1:$1,0)-MATCH($B$1,[2]quests!$1:$1,0)+1),MATCH(D$1,[2]quests!$1:$1,0)-MATCH($B$1,[2]quests!$1:$1,0)+1,FALSE)</f>
        <v>タワーオブザクイーン1本目</v>
      </c>
      <c r="E6" s="81">
        <v>8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8階 コスト28以下限定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タワーオブザクイーン1本目</v>
      </c>
      <c r="H6" s="82">
        <v>2</v>
      </c>
      <c r="I6" s="86">
        <v>5</v>
      </c>
      <c r="J6" s="102">
        <v>13302453</v>
      </c>
      <c r="K6" s="81" t="s">
        <v>195</v>
      </c>
      <c r="L6" s="83" t="s">
        <v>196</v>
      </c>
      <c r="M6" s="101" t="s">
        <v>260</v>
      </c>
      <c r="N6" s="54" t="s">
        <v>261</v>
      </c>
      <c r="O6">
        <f t="shared" ref="O6" si="1">LEN(M6)</f>
        <v>55</v>
      </c>
    </row>
    <row r="18" spans="13:13" x14ac:dyDescent="0.15">
      <c r="M18" s="119"/>
    </row>
  </sheetData>
  <phoneticPr fontId="5"/>
  <dataValidations count="1">
    <dataValidation type="list" allowBlank="1" showInputMessage="1" showErrorMessage="1" sqref="A2:A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0" t="s">
        <v>209</v>
      </c>
      <c r="B1" s="91" t="s">
        <v>210</v>
      </c>
      <c r="C1" s="74" t="s">
        <v>211</v>
      </c>
      <c r="D1" s="74" t="s">
        <v>33</v>
      </c>
      <c r="E1" s="91" t="s">
        <v>212</v>
      </c>
      <c r="F1" s="74" t="s">
        <v>213</v>
      </c>
      <c r="G1" s="74" t="s">
        <v>33</v>
      </c>
      <c r="H1" s="91" t="s">
        <v>214</v>
      </c>
      <c r="I1" s="91" t="s">
        <v>215</v>
      </c>
      <c r="J1" s="91" t="s">
        <v>216</v>
      </c>
      <c r="K1" s="70" t="s">
        <v>217</v>
      </c>
      <c r="L1" s="70" t="s">
        <v>218</v>
      </c>
      <c r="M1" s="70" t="s">
        <v>155</v>
      </c>
      <c r="N1" s="74" t="s">
        <v>16</v>
      </c>
      <c r="O1" s="70" t="s">
        <v>219</v>
      </c>
      <c r="P1" s="70" t="s">
        <v>56</v>
      </c>
      <c r="Q1" s="70" t="s">
        <v>220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221</v>
      </c>
      <c r="X1" s="70" t="s">
        <v>222</v>
      </c>
    </row>
    <row r="2" spans="1:24" x14ac:dyDescent="0.15">
      <c r="A2" s="92" t="str">
        <f>B2&amp;"_"&amp;E2&amp;"_"&amp;H2&amp;"_"&amp;I2&amp;"_"&amp;J2</f>
        <v>13302_8_singleonly_clear_1</v>
      </c>
      <c r="B2" s="79">
        <v>13302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1">
        <v>8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8階 コスト28以下限定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2" t="s">
        <v>253</v>
      </c>
      <c r="I2" s="81" t="s">
        <v>223</v>
      </c>
      <c r="J2" s="81">
        <v>1</v>
      </c>
      <c r="K2" s="81">
        <v>590</v>
      </c>
      <c r="L2" s="81" t="s">
        <v>254</v>
      </c>
      <c r="M2" s="81">
        <v>19000</v>
      </c>
      <c r="N2" s="93" t="str">
        <f ca="1">IF(L2="unit",VLOOKUP($M2,OFFSET([5]characters!$A$1,0,0,COUNTA([5]characters!$A:$A),MATCH(N$1,[5]characters!$1:$1,0)-MATCH("character_id",[5]characters!$1:$1,0)+1),MATCH(N$1,[5]characters!$1:$1,0)-MATCH("character_id",[5]characters!$1:$1,0)+1,FALSE),"")</f>
        <v/>
      </c>
      <c r="O2" s="81" t="s">
        <v>256</v>
      </c>
      <c r="P2" s="81">
        <v>1</v>
      </c>
      <c r="Q2" s="81">
        <v>1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4" t="s">
        <v>224</v>
      </c>
      <c r="X2" s="95" t="s">
        <v>225</v>
      </c>
    </row>
    <row r="3" spans="1:24" x14ac:dyDescent="0.15">
      <c r="A3" s="92" t="str">
        <f>B3&amp;"_"&amp;E3&amp;"_"&amp;H3&amp;"_"&amp;I3&amp;"_"&amp;J3</f>
        <v>13302_8_singleonly_clear_2</v>
      </c>
      <c r="B3" s="79">
        <v>13302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1">
        <v>8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8階 コスト28以下限定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2" t="s">
        <v>253</v>
      </c>
      <c r="I3" s="81" t="s">
        <v>223</v>
      </c>
      <c r="J3" s="81">
        <v>2</v>
      </c>
      <c r="K3" s="81">
        <v>410</v>
      </c>
      <c r="L3" s="81" t="s">
        <v>255</v>
      </c>
      <c r="M3" s="81">
        <v>54000</v>
      </c>
      <c r="N3" s="93" t="str">
        <f ca="1">IF(L3="unit",VLOOKUP($M3,OFFSET([5]characters!$A$1,0,0,COUNTA([5]characters!$A:$A),MATCH(N$1,[5]characters!$1:$1,0)-MATCH("character_id",[5]characters!$1:$1,0)+1),MATCH(N$1,[5]characters!$1:$1,0)-MATCH("character_id",[5]characters!$1:$1,0)+1,FALSE),"")</f>
        <v/>
      </c>
      <c r="O3" s="81" t="s">
        <v>257</v>
      </c>
      <c r="P3" s="81">
        <v>1</v>
      </c>
      <c r="Q3" s="81">
        <v>1</v>
      </c>
      <c r="R3" s="81">
        <v>0</v>
      </c>
      <c r="S3" s="81">
        <v>0</v>
      </c>
      <c r="T3" s="81">
        <v>0</v>
      </c>
      <c r="U3" s="81">
        <v>0</v>
      </c>
      <c r="V3" s="81">
        <v>1</v>
      </c>
      <c r="W3" s="94" t="s">
        <v>224</v>
      </c>
      <c r="X3" s="95" t="s">
        <v>225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2016-12-08T10:08:54Z</dcterms:modified>
</cp:coreProperties>
</file>