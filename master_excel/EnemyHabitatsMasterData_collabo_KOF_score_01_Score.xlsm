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agashirashuntakashi/BULL_data/master_excel/"/>
    </mc:Choice>
  </mc:AlternateContent>
  <bookViews>
    <workbookView xWindow="9240" yWindow="2180" windowWidth="27500" windowHeight="19220" tabRatio="936" firstSheet="12" activeTab="13"/>
  </bookViews>
  <sheets>
    <sheet name="output" sheetId="16" r:id="rId1"/>
    <sheet name="score_attack_expanded_floors" sheetId="2" r:id="rId2"/>
    <sheet name="score_attack_expanded_stages" sheetId="24" r:id="rId3"/>
    <sheet name="score_attack_params_damage_give" sheetId="30" r:id="rId4"/>
    <sheet name="score_attack_params_heal" sheetId="40" r:id="rId5"/>
    <sheet name="stage_evaluations" sheetId="28" r:id="rId6"/>
    <sheet name="stage_evaluation_gifts" sheetId="29" r:id="rId7"/>
    <sheet name="ranking_ACH" sheetId="22" r:id="rId8"/>
    <sheet name="unit_bonus_conditions" sheetId="32" r:id="rId9"/>
    <sheet name="floors" sheetId="41" r:id="rId10"/>
    <sheet name="enemy_habitats" sheetId="42" r:id="rId11"/>
    <sheet name="enemy_habitat_S" sheetId="43" r:id="rId12"/>
    <sheet name="enemy_skill_sets" sheetId="44" r:id="rId13"/>
    <sheet name="enemy_skills" sheetId="45" r:id="rId14"/>
    <sheet name="enemy_skill_triggers" sheetId="46" r:id="rId15"/>
    <sheet name="bugbonuses" sheetId="47" r:id="rId16"/>
    <sheet name="stage_hints_complete" sheetId="61" r:id="rId17"/>
    <sheet name="stage_hints_failure" sheetId="49" r:id="rId18"/>
    <sheet name="stage_bonuses" sheetId="50" r:id="rId19"/>
  </sheets>
  <externalReferences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1" hidden="1">enemy_habitat_S!$B$1:$AA$2</definedName>
    <definedName name="_xlnm._FilterDatabase" localSheetId="10" hidden="1">enemy_habitats!$B$1:$AJ$2</definedName>
    <definedName name="_xlnm._FilterDatabase" localSheetId="12" hidden="1">enemy_skill_sets!$A$1:$R$1</definedName>
    <definedName name="_xlnm._FilterDatabase" localSheetId="14" hidden="1">enemy_skill_triggers!$A$1:$G$1</definedName>
    <definedName name="_xlnm._FilterDatabase" localSheetId="13" hidden="1">enemy_skills!$A$1:$AB$1</definedName>
    <definedName name="_xlnm._FilterDatabase" localSheetId="18" hidden="1">stage_bonuses!$B$1:$I$1</definedName>
    <definedName name="_xlnm._FilterDatabase" localSheetId="16" hidden="1">stage_hints_complete!$B$1:$L$1</definedName>
    <definedName name="_xlnm._FilterDatabase" localSheetId="17" hidden="1">stage_hints_failure!$B$1:$M$27</definedName>
    <definedName name="Excel_BuiltIn__FilterDatabase_6_1" localSheetId="12">[1]unit_skills!#REF!</definedName>
    <definedName name="Excel_BuiltIn__FilterDatabase_6_1" localSheetId="14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5" i="49" l="1"/>
  <c r="J55" i="49"/>
  <c r="G55" i="49"/>
  <c r="F55" i="49"/>
  <c r="D55" i="49"/>
  <c r="C55" i="49"/>
  <c r="I54" i="49"/>
  <c r="J54" i="49"/>
  <c r="G54" i="49"/>
  <c r="F54" i="49"/>
  <c r="D54" i="49"/>
  <c r="C54" i="49"/>
  <c r="I53" i="49"/>
  <c r="J53" i="49"/>
  <c r="G53" i="49"/>
  <c r="F53" i="49"/>
  <c r="D53" i="49"/>
  <c r="C53" i="49"/>
  <c r="I52" i="49"/>
  <c r="J52" i="49"/>
  <c r="G52" i="49"/>
  <c r="F52" i="49"/>
  <c r="D52" i="49"/>
  <c r="C52" i="49"/>
  <c r="I51" i="49"/>
  <c r="J51" i="49"/>
  <c r="G51" i="49"/>
  <c r="F51" i="49"/>
  <c r="D51" i="49"/>
  <c r="C51" i="49"/>
  <c r="I50" i="49"/>
  <c r="J50" i="49"/>
  <c r="G50" i="49"/>
  <c r="F50" i="49"/>
  <c r="D50" i="49"/>
  <c r="C50" i="49"/>
  <c r="I49" i="49"/>
  <c r="J49" i="49"/>
  <c r="G49" i="49"/>
  <c r="F49" i="49"/>
  <c r="D49" i="49"/>
  <c r="C49" i="49"/>
  <c r="I48" i="49"/>
  <c r="J48" i="49"/>
  <c r="G48" i="49"/>
  <c r="F48" i="49"/>
  <c r="D48" i="49"/>
  <c r="C48" i="49"/>
  <c r="I47" i="49"/>
  <c r="J47" i="49"/>
  <c r="G47" i="49"/>
  <c r="F47" i="49"/>
  <c r="D47" i="49"/>
  <c r="C47" i="49"/>
  <c r="I46" i="49"/>
  <c r="J46" i="49"/>
  <c r="G46" i="49"/>
  <c r="F46" i="49"/>
  <c r="D46" i="49"/>
  <c r="C46" i="49"/>
  <c r="I45" i="49"/>
  <c r="J45" i="49"/>
  <c r="G45" i="49"/>
  <c r="F45" i="49"/>
  <c r="D45" i="49"/>
  <c r="C45" i="49"/>
  <c r="I44" i="49"/>
  <c r="J44" i="49"/>
  <c r="G44" i="49"/>
  <c r="F44" i="49"/>
  <c r="D44" i="49"/>
  <c r="C44" i="49"/>
  <c r="I43" i="49"/>
  <c r="J43" i="49"/>
  <c r="G43" i="49"/>
  <c r="F43" i="49"/>
  <c r="D43" i="49"/>
  <c r="C43" i="49"/>
  <c r="I42" i="49"/>
  <c r="J42" i="49"/>
  <c r="G42" i="49"/>
  <c r="F42" i="49"/>
  <c r="D42" i="49"/>
  <c r="C42" i="49"/>
  <c r="I41" i="49"/>
  <c r="J41" i="49"/>
  <c r="G41" i="49"/>
  <c r="F41" i="49"/>
  <c r="D41" i="49"/>
  <c r="C41" i="49"/>
  <c r="I40" i="49"/>
  <c r="J40" i="49"/>
  <c r="G40" i="49"/>
  <c r="F40" i="49"/>
  <c r="D40" i="49"/>
  <c r="C40" i="49"/>
  <c r="I39" i="49"/>
  <c r="J39" i="49"/>
  <c r="G39" i="49"/>
  <c r="F39" i="49"/>
  <c r="D39" i="49"/>
  <c r="C39" i="49"/>
  <c r="I38" i="49"/>
  <c r="J38" i="49"/>
  <c r="G38" i="49"/>
  <c r="F38" i="49"/>
  <c r="D38" i="49"/>
  <c r="C38" i="49"/>
  <c r="I37" i="49"/>
  <c r="J37" i="49"/>
  <c r="G37" i="49"/>
  <c r="F37" i="49"/>
  <c r="D37" i="49"/>
  <c r="C37" i="49"/>
  <c r="I36" i="49"/>
  <c r="J36" i="49"/>
  <c r="G36" i="49"/>
  <c r="F36" i="49"/>
  <c r="D36" i="49"/>
  <c r="C36" i="49"/>
  <c r="I35" i="49"/>
  <c r="J35" i="49"/>
  <c r="G35" i="49"/>
  <c r="F35" i="49"/>
  <c r="D35" i="49"/>
  <c r="C35" i="49"/>
  <c r="I34" i="49"/>
  <c r="J34" i="49"/>
  <c r="G34" i="49"/>
  <c r="F34" i="49"/>
  <c r="D34" i="49"/>
  <c r="C34" i="49"/>
  <c r="I26" i="49"/>
  <c r="J26" i="49"/>
  <c r="G26" i="49"/>
  <c r="F26" i="49"/>
  <c r="D26" i="49"/>
  <c r="C26" i="49"/>
  <c r="I25" i="49"/>
  <c r="J25" i="49"/>
  <c r="G25" i="49"/>
  <c r="F25" i="49"/>
  <c r="D25" i="49"/>
  <c r="C25" i="49"/>
  <c r="I24" i="49"/>
  <c r="J24" i="49"/>
  <c r="G24" i="49"/>
  <c r="F24" i="49"/>
  <c r="D24" i="49"/>
  <c r="C24" i="49"/>
  <c r="I23" i="49"/>
  <c r="J23" i="49"/>
  <c r="G23" i="49"/>
  <c r="F23" i="49"/>
  <c r="D23" i="49"/>
  <c r="C23" i="49"/>
  <c r="I22" i="49"/>
  <c r="J22" i="49"/>
  <c r="G22" i="49"/>
  <c r="F22" i="49"/>
  <c r="D22" i="49"/>
  <c r="C22" i="49"/>
  <c r="I21" i="49"/>
  <c r="J21" i="49"/>
  <c r="G21" i="49"/>
  <c r="F21" i="49"/>
  <c r="D21" i="49"/>
  <c r="C21" i="49"/>
  <c r="I20" i="49"/>
  <c r="J20" i="49"/>
  <c r="G20" i="49"/>
  <c r="F20" i="49"/>
  <c r="D20" i="49"/>
  <c r="C20" i="49"/>
  <c r="I19" i="49"/>
  <c r="J19" i="49"/>
  <c r="G19" i="49"/>
  <c r="F19" i="49"/>
  <c r="D19" i="49"/>
  <c r="C19" i="49"/>
  <c r="I18" i="49"/>
  <c r="J18" i="49"/>
  <c r="G18" i="49"/>
  <c r="F18" i="49"/>
  <c r="D18" i="49"/>
  <c r="C18" i="49"/>
  <c r="I17" i="49"/>
  <c r="J17" i="49"/>
  <c r="G17" i="49"/>
  <c r="F17" i="49"/>
  <c r="D17" i="49"/>
  <c r="C17" i="49"/>
  <c r="I16" i="49"/>
  <c r="J16" i="49"/>
  <c r="G16" i="49"/>
  <c r="F16" i="49"/>
  <c r="D16" i="49"/>
  <c r="C16" i="49"/>
  <c r="I15" i="49"/>
  <c r="J15" i="49"/>
  <c r="G15" i="49"/>
  <c r="F15" i="49"/>
  <c r="D15" i="49"/>
  <c r="C15" i="49"/>
  <c r="I14" i="49"/>
  <c r="J14" i="49"/>
  <c r="G14" i="49"/>
  <c r="F14" i="49"/>
  <c r="D14" i="49"/>
  <c r="C14" i="49"/>
  <c r="I13" i="49"/>
  <c r="J13" i="49"/>
  <c r="G13" i="49"/>
  <c r="F13" i="49"/>
  <c r="D13" i="49"/>
  <c r="C13" i="49"/>
  <c r="I12" i="49"/>
  <c r="J12" i="49"/>
  <c r="G12" i="49"/>
  <c r="F12" i="49"/>
  <c r="D12" i="49"/>
  <c r="C12" i="49"/>
  <c r="I11" i="49"/>
  <c r="J11" i="49"/>
  <c r="G11" i="49"/>
  <c r="F11" i="49"/>
  <c r="D11" i="49"/>
  <c r="C11" i="49"/>
  <c r="I10" i="49"/>
  <c r="J10" i="49"/>
  <c r="G10" i="49"/>
  <c r="F10" i="49"/>
  <c r="D10" i="49"/>
  <c r="C10" i="49"/>
  <c r="I9" i="49"/>
  <c r="J9" i="49"/>
  <c r="G9" i="49"/>
  <c r="F9" i="49"/>
  <c r="D9" i="49"/>
  <c r="C9" i="49"/>
  <c r="I8" i="49"/>
  <c r="J8" i="49"/>
  <c r="G8" i="49"/>
  <c r="F8" i="49"/>
  <c r="D8" i="49"/>
  <c r="C8" i="49"/>
  <c r="I7" i="49"/>
  <c r="J7" i="49"/>
  <c r="G7" i="49"/>
  <c r="F7" i="49"/>
  <c r="D7" i="49"/>
  <c r="C7" i="49"/>
  <c r="I6" i="49"/>
  <c r="J6" i="49"/>
  <c r="G6" i="49"/>
  <c r="F6" i="49"/>
  <c r="D6" i="49"/>
  <c r="C6" i="49"/>
  <c r="I5" i="49"/>
  <c r="J5" i="49"/>
  <c r="G5" i="49"/>
  <c r="F5" i="49"/>
  <c r="D5" i="49"/>
  <c r="C5" i="49"/>
  <c r="I33" i="49"/>
  <c r="J33" i="49"/>
  <c r="G33" i="49"/>
  <c r="F33" i="49"/>
  <c r="D33" i="49"/>
  <c r="C33" i="49"/>
  <c r="I32" i="49"/>
  <c r="J32" i="49"/>
  <c r="G32" i="49"/>
  <c r="F32" i="49"/>
  <c r="D32" i="49"/>
  <c r="C32" i="49"/>
  <c r="I31" i="49"/>
  <c r="J31" i="49"/>
  <c r="G31" i="49"/>
  <c r="F31" i="49"/>
  <c r="D31" i="49"/>
  <c r="C31" i="49"/>
  <c r="I4" i="49"/>
  <c r="J4" i="49"/>
  <c r="G4" i="49"/>
  <c r="F4" i="49"/>
  <c r="D4" i="49"/>
  <c r="C4" i="49"/>
  <c r="I3" i="49"/>
  <c r="J3" i="49"/>
  <c r="G3" i="49"/>
  <c r="F3" i="49"/>
  <c r="D3" i="49"/>
  <c r="C3" i="49"/>
  <c r="I2" i="49"/>
  <c r="J2" i="49"/>
  <c r="G2" i="49"/>
  <c r="F2" i="49"/>
  <c r="D2" i="49"/>
  <c r="C2" i="49"/>
  <c r="I59" i="49"/>
  <c r="J59" i="49"/>
  <c r="G59" i="49"/>
  <c r="F59" i="49"/>
  <c r="D59" i="49"/>
  <c r="C59" i="49"/>
  <c r="I58" i="49"/>
  <c r="J58" i="49"/>
  <c r="G58" i="49"/>
  <c r="F58" i="49"/>
  <c r="D58" i="49"/>
  <c r="C58" i="49"/>
  <c r="I57" i="49"/>
  <c r="J57" i="49"/>
  <c r="G57" i="49"/>
  <c r="F57" i="49"/>
  <c r="D57" i="49"/>
  <c r="C57" i="49"/>
  <c r="I56" i="49"/>
  <c r="J56" i="49"/>
  <c r="G56" i="49"/>
  <c r="F56" i="49"/>
  <c r="D56" i="49"/>
  <c r="C56" i="49"/>
  <c r="F19" i="30"/>
  <c r="E6" i="30"/>
  <c r="F23" i="30"/>
  <c r="E10" i="30"/>
  <c r="E12" i="30"/>
  <c r="E16" i="30"/>
  <c r="E19" i="30"/>
  <c r="D16" i="30"/>
  <c r="F22" i="40"/>
  <c r="D10" i="30"/>
  <c r="F26" i="40"/>
  <c r="F25" i="40"/>
  <c r="F24" i="40"/>
  <c r="F23" i="40"/>
  <c r="F20" i="30"/>
  <c r="F21" i="30"/>
  <c r="F22" i="30"/>
  <c r="J6" i="46"/>
  <c r="M10" i="45"/>
  <c r="T10" i="45"/>
  <c r="W10" i="45"/>
  <c r="V10" i="45"/>
  <c r="X10" i="45"/>
  <c r="U10" i="45"/>
  <c r="Y10" i="45"/>
  <c r="M77" i="45"/>
  <c r="M93" i="45"/>
  <c r="M111" i="45"/>
  <c r="N111" i="45"/>
  <c r="Q111" i="45"/>
  <c r="P111" i="45"/>
  <c r="R111" i="45"/>
  <c r="O111" i="45"/>
  <c r="N93" i="45"/>
  <c r="Q93" i="45"/>
  <c r="P93" i="45"/>
  <c r="R93" i="45"/>
  <c r="O93" i="45"/>
  <c r="N77" i="45"/>
  <c r="Q77" i="45"/>
  <c r="P77" i="45"/>
  <c r="R77" i="45"/>
  <c r="O77" i="45"/>
  <c r="S77" i="45"/>
  <c r="N10" i="45"/>
  <c r="Q10" i="45"/>
  <c r="P10" i="45"/>
  <c r="R10" i="45"/>
  <c r="O10" i="45"/>
  <c r="S10" i="45"/>
  <c r="G10" i="45"/>
  <c r="J10" i="45"/>
  <c r="I10" i="45"/>
  <c r="K10" i="45"/>
  <c r="H10" i="45"/>
  <c r="L10" i="45"/>
  <c r="G11" i="45"/>
  <c r="H11" i="45"/>
  <c r="I11" i="45"/>
  <c r="J11" i="45"/>
  <c r="K11" i="45"/>
  <c r="L11" i="45"/>
  <c r="M11" i="45"/>
  <c r="M78" i="45"/>
  <c r="M94" i="45"/>
  <c r="M112" i="45"/>
  <c r="N112" i="45"/>
  <c r="Q112" i="45"/>
  <c r="P112" i="45"/>
  <c r="R112" i="45"/>
  <c r="O112" i="45"/>
  <c r="N94" i="45"/>
  <c r="Q94" i="45"/>
  <c r="P94" i="45"/>
  <c r="R94" i="45"/>
  <c r="O94" i="45"/>
  <c r="N78" i="45"/>
  <c r="Q78" i="45"/>
  <c r="P78" i="45"/>
  <c r="R78" i="45"/>
  <c r="O78" i="45"/>
  <c r="S78" i="45"/>
  <c r="N11" i="45"/>
  <c r="O11" i="45"/>
  <c r="P11" i="45"/>
  <c r="Q11" i="45"/>
  <c r="R11" i="45"/>
  <c r="S11" i="45"/>
  <c r="T11" i="45"/>
  <c r="U11" i="45"/>
  <c r="V11" i="45"/>
  <c r="W11" i="45"/>
  <c r="X11" i="45"/>
  <c r="Y11" i="45"/>
  <c r="M5" i="45"/>
  <c r="T5" i="45"/>
  <c r="W5" i="45"/>
  <c r="V5" i="45"/>
  <c r="X5" i="45"/>
  <c r="U5" i="45"/>
  <c r="Y5" i="45"/>
  <c r="M38" i="45"/>
  <c r="M95" i="45"/>
  <c r="M113" i="45"/>
  <c r="N113" i="45"/>
  <c r="Q113" i="45"/>
  <c r="P113" i="45"/>
  <c r="R113" i="45"/>
  <c r="O113" i="45"/>
  <c r="N95" i="45"/>
  <c r="Q95" i="45"/>
  <c r="P95" i="45"/>
  <c r="R95" i="45"/>
  <c r="O95" i="45"/>
  <c r="N38" i="45"/>
  <c r="Q38" i="45"/>
  <c r="P38" i="45"/>
  <c r="R38" i="45"/>
  <c r="O38" i="45"/>
  <c r="S38" i="45"/>
  <c r="N5" i="45"/>
  <c r="Q5" i="45"/>
  <c r="P5" i="45"/>
  <c r="R5" i="45"/>
  <c r="O5" i="45"/>
  <c r="S5" i="45"/>
  <c r="G5" i="45"/>
  <c r="J5" i="45"/>
  <c r="I5" i="45"/>
  <c r="K5" i="45"/>
  <c r="H5" i="45"/>
  <c r="L5" i="45"/>
  <c r="J126" i="46"/>
  <c r="O126" i="44"/>
  <c r="N126" i="44"/>
  <c r="M126" i="44"/>
  <c r="L126" i="44"/>
  <c r="K126" i="44"/>
  <c r="J126" i="44"/>
  <c r="I126" i="44"/>
  <c r="H126" i="44"/>
  <c r="G126" i="44"/>
  <c r="E126" i="44"/>
  <c r="D126" i="44"/>
  <c r="A126" i="44"/>
  <c r="J125" i="46"/>
  <c r="O125" i="44"/>
  <c r="N125" i="44"/>
  <c r="M125" i="44"/>
  <c r="L125" i="44"/>
  <c r="K125" i="44"/>
  <c r="J125" i="44"/>
  <c r="I125" i="44"/>
  <c r="H125" i="44"/>
  <c r="G125" i="44"/>
  <c r="E125" i="44"/>
  <c r="D125" i="44"/>
  <c r="A125" i="44"/>
  <c r="M9" i="45"/>
  <c r="T9" i="45"/>
  <c r="W9" i="45"/>
  <c r="V9" i="45"/>
  <c r="X9" i="45"/>
  <c r="U9" i="45"/>
  <c r="Y9" i="45"/>
  <c r="M75" i="45"/>
  <c r="M120" i="45"/>
  <c r="N120" i="45"/>
  <c r="Q120" i="45"/>
  <c r="P120" i="45"/>
  <c r="R120" i="45"/>
  <c r="O120" i="45"/>
  <c r="M102" i="45"/>
  <c r="N102" i="45"/>
  <c r="Q102" i="45"/>
  <c r="P102" i="45"/>
  <c r="R102" i="45"/>
  <c r="O102" i="45"/>
  <c r="N75" i="45"/>
  <c r="Q75" i="45"/>
  <c r="P75" i="45"/>
  <c r="R75" i="45"/>
  <c r="O75" i="45"/>
  <c r="S75" i="45"/>
  <c r="N9" i="45"/>
  <c r="Q9" i="45"/>
  <c r="P9" i="45"/>
  <c r="R9" i="45"/>
  <c r="O9" i="45"/>
  <c r="S9" i="45"/>
  <c r="G9" i="45"/>
  <c r="J9" i="45"/>
  <c r="I9" i="45"/>
  <c r="K9" i="45"/>
  <c r="H9" i="45"/>
  <c r="L9" i="45"/>
  <c r="M4" i="45"/>
  <c r="T4" i="45"/>
  <c r="W4" i="45"/>
  <c r="V4" i="45"/>
  <c r="X4" i="45"/>
  <c r="U4" i="45"/>
  <c r="Y4" i="45"/>
  <c r="M34" i="45"/>
  <c r="M109" i="45"/>
  <c r="N109" i="45"/>
  <c r="Q109" i="45"/>
  <c r="P109" i="45"/>
  <c r="R109" i="45"/>
  <c r="O109" i="45"/>
  <c r="M91" i="45"/>
  <c r="N91" i="45"/>
  <c r="Q91" i="45"/>
  <c r="P91" i="45"/>
  <c r="R91" i="45"/>
  <c r="O91" i="45"/>
  <c r="N34" i="45"/>
  <c r="Q34" i="45"/>
  <c r="P34" i="45"/>
  <c r="R34" i="45"/>
  <c r="O34" i="45"/>
  <c r="S34" i="45"/>
  <c r="N4" i="45"/>
  <c r="Q4" i="45"/>
  <c r="P4" i="45"/>
  <c r="R4" i="45"/>
  <c r="O4" i="45"/>
  <c r="S4" i="45"/>
  <c r="G4" i="45"/>
  <c r="J4" i="45"/>
  <c r="I4" i="45"/>
  <c r="K4" i="45"/>
  <c r="H4" i="45"/>
  <c r="L4" i="45"/>
  <c r="J124" i="46"/>
  <c r="O124" i="44"/>
  <c r="N124" i="44"/>
  <c r="M124" i="44"/>
  <c r="L124" i="44"/>
  <c r="K124" i="44"/>
  <c r="J124" i="44"/>
  <c r="I124" i="44"/>
  <c r="H124" i="44"/>
  <c r="G124" i="44"/>
  <c r="E124" i="44"/>
  <c r="D124" i="44"/>
  <c r="A124" i="44"/>
  <c r="J123" i="46"/>
  <c r="O123" i="44"/>
  <c r="N123" i="44"/>
  <c r="M123" i="44"/>
  <c r="L123" i="44"/>
  <c r="K123" i="44"/>
  <c r="J123" i="44"/>
  <c r="I123" i="44"/>
  <c r="H123" i="44"/>
  <c r="G123" i="44"/>
  <c r="E123" i="44"/>
  <c r="D123" i="44"/>
  <c r="A123" i="44"/>
  <c r="J9" i="46"/>
  <c r="J8" i="46"/>
  <c r="J4" i="46"/>
  <c r="J3" i="46"/>
  <c r="M8" i="45"/>
  <c r="T8" i="45"/>
  <c r="W8" i="45"/>
  <c r="V8" i="45"/>
  <c r="X8" i="45"/>
  <c r="U8" i="45"/>
  <c r="Y8" i="45"/>
  <c r="M74" i="45"/>
  <c r="N74" i="45"/>
  <c r="Q74" i="45"/>
  <c r="P74" i="45"/>
  <c r="R74" i="45"/>
  <c r="O74" i="45"/>
  <c r="S74" i="45"/>
  <c r="N8" i="45"/>
  <c r="Q8" i="45"/>
  <c r="P8" i="45"/>
  <c r="R8" i="45"/>
  <c r="O8" i="45"/>
  <c r="S8" i="45"/>
  <c r="G8" i="45"/>
  <c r="J8" i="45"/>
  <c r="I8" i="45"/>
  <c r="K8" i="45"/>
  <c r="H8" i="45"/>
  <c r="L8" i="45"/>
  <c r="M3" i="45"/>
  <c r="T3" i="45"/>
  <c r="W3" i="45"/>
  <c r="V3" i="45"/>
  <c r="X3" i="45"/>
  <c r="U3" i="45"/>
  <c r="Y3" i="45"/>
  <c r="M33" i="45"/>
  <c r="M126" i="45"/>
  <c r="N126" i="45"/>
  <c r="Q126" i="45"/>
  <c r="P126" i="45"/>
  <c r="R126" i="45"/>
  <c r="O126" i="45"/>
  <c r="M108" i="45"/>
  <c r="N108" i="45"/>
  <c r="Q108" i="45"/>
  <c r="P108" i="45"/>
  <c r="R108" i="45"/>
  <c r="O108" i="45"/>
  <c r="M90" i="45"/>
  <c r="N90" i="45"/>
  <c r="Q90" i="45"/>
  <c r="P90" i="45"/>
  <c r="R90" i="45"/>
  <c r="O90" i="45"/>
  <c r="N33" i="45"/>
  <c r="Q33" i="45"/>
  <c r="P33" i="45"/>
  <c r="R33" i="45"/>
  <c r="O33" i="45"/>
  <c r="S33" i="45"/>
  <c r="N3" i="45"/>
  <c r="Q3" i="45"/>
  <c r="P3" i="45"/>
  <c r="R3" i="45"/>
  <c r="O3" i="45"/>
  <c r="S3" i="45"/>
  <c r="G3" i="45"/>
  <c r="J3" i="45"/>
  <c r="I3" i="45"/>
  <c r="K3" i="45"/>
  <c r="H3" i="45"/>
  <c r="L3" i="45"/>
  <c r="T126" i="45"/>
  <c r="W126" i="45"/>
  <c r="V126" i="45"/>
  <c r="X126" i="45"/>
  <c r="U126" i="45"/>
  <c r="G126" i="45"/>
  <c r="J126" i="45"/>
  <c r="I126" i="45"/>
  <c r="K126" i="45"/>
  <c r="H126" i="45"/>
  <c r="M125" i="45"/>
  <c r="T125" i="45"/>
  <c r="W125" i="45"/>
  <c r="V125" i="45"/>
  <c r="X125" i="45"/>
  <c r="U125" i="45"/>
  <c r="N125" i="45"/>
  <c r="Q125" i="45"/>
  <c r="P125" i="45"/>
  <c r="R125" i="45"/>
  <c r="O125" i="45"/>
  <c r="G125" i="45"/>
  <c r="J125" i="45"/>
  <c r="I125" i="45"/>
  <c r="K125" i="45"/>
  <c r="H125" i="45"/>
  <c r="M124" i="45"/>
  <c r="T124" i="45"/>
  <c r="W124" i="45"/>
  <c r="V124" i="45"/>
  <c r="X124" i="45"/>
  <c r="U124" i="45"/>
  <c r="N124" i="45"/>
  <c r="Q124" i="45"/>
  <c r="P124" i="45"/>
  <c r="R124" i="45"/>
  <c r="O124" i="45"/>
  <c r="G124" i="45"/>
  <c r="J124" i="45"/>
  <c r="I124" i="45"/>
  <c r="K124" i="45"/>
  <c r="H124" i="45"/>
  <c r="M123" i="45"/>
  <c r="T123" i="45"/>
  <c r="W123" i="45"/>
  <c r="V123" i="45"/>
  <c r="X123" i="45"/>
  <c r="U123" i="45"/>
  <c r="N123" i="45"/>
  <c r="Q123" i="45"/>
  <c r="P123" i="45"/>
  <c r="R123" i="45"/>
  <c r="O123" i="45"/>
  <c r="G123" i="45"/>
  <c r="J123" i="45"/>
  <c r="I123" i="45"/>
  <c r="K123" i="45"/>
  <c r="H123" i="45"/>
  <c r="M122" i="45"/>
  <c r="T122" i="45"/>
  <c r="W122" i="45"/>
  <c r="V122" i="45"/>
  <c r="X122" i="45"/>
  <c r="U122" i="45"/>
  <c r="N122" i="45"/>
  <c r="Q122" i="45"/>
  <c r="P122" i="45"/>
  <c r="R122" i="45"/>
  <c r="O122" i="45"/>
  <c r="G122" i="45"/>
  <c r="J122" i="45"/>
  <c r="I122" i="45"/>
  <c r="K122" i="45"/>
  <c r="H122" i="45"/>
  <c r="M121" i="45"/>
  <c r="T121" i="45"/>
  <c r="W121" i="45"/>
  <c r="V121" i="45"/>
  <c r="X121" i="45"/>
  <c r="U121" i="45"/>
  <c r="N121" i="45"/>
  <c r="Q121" i="45"/>
  <c r="P121" i="45"/>
  <c r="R121" i="45"/>
  <c r="O121" i="45"/>
  <c r="G121" i="45"/>
  <c r="J121" i="45"/>
  <c r="I121" i="45"/>
  <c r="K121" i="45"/>
  <c r="H121" i="45"/>
  <c r="T120" i="45"/>
  <c r="W120" i="45"/>
  <c r="V120" i="45"/>
  <c r="X120" i="45"/>
  <c r="U120" i="45"/>
  <c r="G120" i="45"/>
  <c r="J120" i="45"/>
  <c r="I120" i="45"/>
  <c r="K120" i="45"/>
  <c r="H120" i="45"/>
  <c r="M119" i="45"/>
  <c r="T119" i="45"/>
  <c r="W119" i="45"/>
  <c r="V119" i="45"/>
  <c r="X119" i="45"/>
  <c r="U119" i="45"/>
  <c r="N119" i="45"/>
  <c r="Q119" i="45"/>
  <c r="P119" i="45"/>
  <c r="R119" i="45"/>
  <c r="O119" i="45"/>
  <c r="G119" i="45"/>
  <c r="J119" i="45"/>
  <c r="I119" i="45"/>
  <c r="K119" i="45"/>
  <c r="H119" i="45"/>
  <c r="M118" i="45"/>
  <c r="T118" i="45"/>
  <c r="W118" i="45"/>
  <c r="V118" i="45"/>
  <c r="X118" i="45"/>
  <c r="U118" i="45"/>
  <c r="N118" i="45"/>
  <c r="Q118" i="45"/>
  <c r="P118" i="45"/>
  <c r="R118" i="45"/>
  <c r="O118" i="45"/>
  <c r="G118" i="45"/>
  <c r="J118" i="45"/>
  <c r="I118" i="45"/>
  <c r="K118" i="45"/>
  <c r="H118" i="45"/>
  <c r="M117" i="45"/>
  <c r="T117" i="45"/>
  <c r="W117" i="45"/>
  <c r="V117" i="45"/>
  <c r="X117" i="45"/>
  <c r="U117" i="45"/>
  <c r="N117" i="45"/>
  <c r="Q117" i="45"/>
  <c r="P117" i="45"/>
  <c r="R117" i="45"/>
  <c r="O117" i="45"/>
  <c r="G117" i="45"/>
  <c r="J117" i="45"/>
  <c r="I117" i="45"/>
  <c r="K117" i="45"/>
  <c r="H117" i="45"/>
  <c r="M116" i="45"/>
  <c r="T116" i="45"/>
  <c r="W116" i="45"/>
  <c r="V116" i="45"/>
  <c r="X116" i="45"/>
  <c r="U116" i="45"/>
  <c r="N116" i="45"/>
  <c r="Q116" i="45"/>
  <c r="P116" i="45"/>
  <c r="R116" i="45"/>
  <c r="O116" i="45"/>
  <c r="G116" i="45"/>
  <c r="J116" i="45"/>
  <c r="I116" i="45"/>
  <c r="K116" i="45"/>
  <c r="H116" i="45"/>
  <c r="M115" i="45"/>
  <c r="T115" i="45"/>
  <c r="W115" i="45"/>
  <c r="V115" i="45"/>
  <c r="X115" i="45"/>
  <c r="U115" i="45"/>
  <c r="N115" i="45"/>
  <c r="Q115" i="45"/>
  <c r="P115" i="45"/>
  <c r="R115" i="45"/>
  <c r="O115" i="45"/>
  <c r="G115" i="45"/>
  <c r="J115" i="45"/>
  <c r="I115" i="45"/>
  <c r="K115" i="45"/>
  <c r="H115" i="45"/>
  <c r="M114" i="45"/>
  <c r="T114" i="45"/>
  <c r="W114" i="45"/>
  <c r="V114" i="45"/>
  <c r="X114" i="45"/>
  <c r="U114" i="45"/>
  <c r="N114" i="45"/>
  <c r="Q114" i="45"/>
  <c r="P114" i="45"/>
  <c r="R114" i="45"/>
  <c r="O114" i="45"/>
  <c r="G114" i="45"/>
  <c r="J114" i="45"/>
  <c r="I114" i="45"/>
  <c r="K114" i="45"/>
  <c r="H114" i="45"/>
  <c r="T113" i="45"/>
  <c r="W113" i="45"/>
  <c r="V113" i="45"/>
  <c r="X113" i="45"/>
  <c r="U113" i="45"/>
  <c r="G113" i="45"/>
  <c r="J113" i="45"/>
  <c r="I113" i="45"/>
  <c r="K113" i="45"/>
  <c r="H113" i="45"/>
  <c r="T112" i="45"/>
  <c r="W112" i="45"/>
  <c r="V112" i="45"/>
  <c r="X112" i="45"/>
  <c r="U112" i="45"/>
  <c r="G112" i="45"/>
  <c r="J112" i="45"/>
  <c r="I112" i="45"/>
  <c r="K112" i="45"/>
  <c r="H112" i="45"/>
  <c r="T111" i="45"/>
  <c r="W111" i="45"/>
  <c r="V111" i="45"/>
  <c r="X111" i="45"/>
  <c r="U111" i="45"/>
  <c r="G111" i="45"/>
  <c r="J111" i="45"/>
  <c r="I111" i="45"/>
  <c r="K111" i="45"/>
  <c r="H111" i="45"/>
  <c r="M110" i="45"/>
  <c r="T110" i="45"/>
  <c r="W110" i="45"/>
  <c r="V110" i="45"/>
  <c r="X110" i="45"/>
  <c r="U110" i="45"/>
  <c r="N110" i="45"/>
  <c r="Q110" i="45"/>
  <c r="P110" i="45"/>
  <c r="R110" i="45"/>
  <c r="O110" i="45"/>
  <c r="G110" i="45"/>
  <c r="J110" i="45"/>
  <c r="I110" i="45"/>
  <c r="K110" i="45"/>
  <c r="H110" i="45"/>
  <c r="T109" i="45"/>
  <c r="W109" i="45"/>
  <c r="V109" i="45"/>
  <c r="X109" i="45"/>
  <c r="U109" i="45"/>
  <c r="G109" i="45"/>
  <c r="J109" i="45"/>
  <c r="I109" i="45"/>
  <c r="K109" i="45"/>
  <c r="H109" i="45"/>
  <c r="T108" i="45"/>
  <c r="W108" i="45"/>
  <c r="V108" i="45"/>
  <c r="X108" i="45"/>
  <c r="U108" i="45"/>
  <c r="G108" i="45"/>
  <c r="J108" i="45"/>
  <c r="I108" i="45"/>
  <c r="K108" i="45"/>
  <c r="H108" i="45"/>
  <c r="M107" i="45"/>
  <c r="T107" i="45"/>
  <c r="W107" i="45"/>
  <c r="V107" i="45"/>
  <c r="X107" i="45"/>
  <c r="U107" i="45"/>
  <c r="N107" i="45"/>
  <c r="Q107" i="45"/>
  <c r="P107" i="45"/>
  <c r="R107" i="45"/>
  <c r="O107" i="45"/>
  <c r="G107" i="45"/>
  <c r="J107" i="45"/>
  <c r="I107" i="45"/>
  <c r="K107" i="45"/>
  <c r="H107" i="45"/>
  <c r="M106" i="45"/>
  <c r="T106" i="45"/>
  <c r="W106" i="45"/>
  <c r="V106" i="45"/>
  <c r="X106" i="45"/>
  <c r="U106" i="45"/>
  <c r="N106" i="45"/>
  <c r="Q106" i="45"/>
  <c r="P106" i="45"/>
  <c r="R106" i="45"/>
  <c r="O106" i="45"/>
  <c r="G106" i="45"/>
  <c r="J106" i="45"/>
  <c r="I106" i="45"/>
  <c r="K106" i="45"/>
  <c r="H106" i="45"/>
  <c r="M105" i="45"/>
  <c r="T105" i="45"/>
  <c r="W105" i="45"/>
  <c r="V105" i="45"/>
  <c r="X105" i="45"/>
  <c r="U105" i="45"/>
  <c r="N105" i="45"/>
  <c r="Q105" i="45"/>
  <c r="P105" i="45"/>
  <c r="R105" i="45"/>
  <c r="O105" i="45"/>
  <c r="G105" i="45"/>
  <c r="J105" i="45"/>
  <c r="I105" i="45"/>
  <c r="K105" i="45"/>
  <c r="H105" i="45"/>
  <c r="M104" i="45"/>
  <c r="T104" i="45"/>
  <c r="W104" i="45"/>
  <c r="V104" i="45"/>
  <c r="X104" i="45"/>
  <c r="U104" i="45"/>
  <c r="N104" i="45"/>
  <c r="Q104" i="45"/>
  <c r="P104" i="45"/>
  <c r="R104" i="45"/>
  <c r="O104" i="45"/>
  <c r="G104" i="45"/>
  <c r="J104" i="45"/>
  <c r="I104" i="45"/>
  <c r="K104" i="45"/>
  <c r="H104" i="45"/>
  <c r="M103" i="45"/>
  <c r="T103" i="45"/>
  <c r="W103" i="45"/>
  <c r="V103" i="45"/>
  <c r="X103" i="45"/>
  <c r="U103" i="45"/>
  <c r="N103" i="45"/>
  <c r="Q103" i="45"/>
  <c r="P103" i="45"/>
  <c r="R103" i="45"/>
  <c r="O103" i="45"/>
  <c r="G103" i="45"/>
  <c r="J103" i="45"/>
  <c r="I103" i="45"/>
  <c r="K103" i="45"/>
  <c r="H103" i="45"/>
  <c r="T102" i="45"/>
  <c r="W102" i="45"/>
  <c r="V102" i="45"/>
  <c r="X102" i="45"/>
  <c r="U102" i="45"/>
  <c r="G102" i="45"/>
  <c r="J102" i="45"/>
  <c r="I102" i="45"/>
  <c r="K102" i="45"/>
  <c r="H102" i="45"/>
  <c r="M101" i="45"/>
  <c r="T101" i="45"/>
  <c r="W101" i="45"/>
  <c r="V101" i="45"/>
  <c r="X101" i="45"/>
  <c r="U101" i="45"/>
  <c r="N101" i="45"/>
  <c r="Q101" i="45"/>
  <c r="P101" i="45"/>
  <c r="R101" i="45"/>
  <c r="O101" i="45"/>
  <c r="G101" i="45"/>
  <c r="J101" i="45"/>
  <c r="I101" i="45"/>
  <c r="K101" i="45"/>
  <c r="H101" i="45"/>
  <c r="M100" i="45"/>
  <c r="T100" i="45"/>
  <c r="W100" i="45"/>
  <c r="V100" i="45"/>
  <c r="X100" i="45"/>
  <c r="U100" i="45"/>
  <c r="N100" i="45"/>
  <c r="Q100" i="45"/>
  <c r="P100" i="45"/>
  <c r="R100" i="45"/>
  <c r="O100" i="45"/>
  <c r="G100" i="45"/>
  <c r="J100" i="45"/>
  <c r="I100" i="45"/>
  <c r="K100" i="45"/>
  <c r="H100" i="45"/>
  <c r="M99" i="45"/>
  <c r="T99" i="45"/>
  <c r="W99" i="45"/>
  <c r="V99" i="45"/>
  <c r="X99" i="45"/>
  <c r="U99" i="45"/>
  <c r="N99" i="45"/>
  <c r="Q99" i="45"/>
  <c r="P99" i="45"/>
  <c r="R99" i="45"/>
  <c r="O99" i="45"/>
  <c r="G99" i="45"/>
  <c r="J99" i="45"/>
  <c r="I99" i="45"/>
  <c r="K99" i="45"/>
  <c r="H99" i="45"/>
  <c r="J122" i="46"/>
  <c r="O122" i="44"/>
  <c r="N122" i="44"/>
  <c r="M122" i="44"/>
  <c r="L122" i="44"/>
  <c r="K122" i="44"/>
  <c r="J122" i="44"/>
  <c r="I122" i="44"/>
  <c r="H122" i="44"/>
  <c r="G122" i="44"/>
  <c r="E122" i="44"/>
  <c r="D122" i="44"/>
  <c r="A122" i="44"/>
  <c r="J121" i="46"/>
  <c r="O121" i="44"/>
  <c r="N121" i="44"/>
  <c r="M121" i="44"/>
  <c r="L121" i="44"/>
  <c r="K121" i="44"/>
  <c r="J121" i="44"/>
  <c r="I121" i="44"/>
  <c r="H121" i="44"/>
  <c r="G121" i="44"/>
  <c r="E121" i="44"/>
  <c r="D121" i="44"/>
  <c r="A121" i="44"/>
  <c r="J120" i="46"/>
  <c r="O120" i="44"/>
  <c r="N120" i="44"/>
  <c r="M120" i="44"/>
  <c r="L120" i="44"/>
  <c r="K120" i="44"/>
  <c r="J120" i="44"/>
  <c r="I120" i="44"/>
  <c r="H120" i="44"/>
  <c r="G120" i="44"/>
  <c r="E120" i="44"/>
  <c r="D120" i="44"/>
  <c r="A120" i="44"/>
  <c r="J119" i="46"/>
  <c r="O119" i="44"/>
  <c r="N119" i="44"/>
  <c r="M119" i="44"/>
  <c r="L119" i="44"/>
  <c r="K119" i="44"/>
  <c r="J119" i="44"/>
  <c r="I119" i="44"/>
  <c r="H119" i="44"/>
  <c r="G119" i="44"/>
  <c r="E119" i="44"/>
  <c r="D119" i="44"/>
  <c r="A119" i="44"/>
  <c r="J118" i="46"/>
  <c r="O118" i="44"/>
  <c r="N118" i="44"/>
  <c r="M118" i="44"/>
  <c r="L118" i="44"/>
  <c r="K118" i="44"/>
  <c r="J118" i="44"/>
  <c r="I118" i="44"/>
  <c r="H118" i="44"/>
  <c r="G118" i="44"/>
  <c r="E118" i="44"/>
  <c r="D118" i="44"/>
  <c r="A118" i="44"/>
  <c r="J117" i="46"/>
  <c r="O117" i="44"/>
  <c r="N117" i="44"/>
  <c r="M117" i="44"/>
  <c r="L117" i="44"/>
  <c r="K117" i="44"/>
  <c r="J117" i="44"/>
  <c r="I117" i="44"/>
  <c r="H117" i="44"/>
  <c r="G117" i="44"/>
  <c r="E117" i="44"/>
  <c r="D117" i="44"/>
  <c r="A117" i="44"/>
  <c r="J116" i="46"/>
  <c r="O116" i="44"/>
  <c r="N116" i="44"/>
  <c r="M116" i="44"/>
  <c r="L116" i="44"/>
  <c r="K116" i="44"/>
  <c r="J116" i="44"/>
  <c r="I116" i="44"/>
  <c r="H116" i="44"/>
  <c r="G116" i="44"/>
  <c r="E116" i="44"/>
  <c r="D116" i="44"/>
  <c r="A116" i="44"/>
  <c r="J115" i="46"/>
  <c r="O115" i="44"/>
  <c r="N115" i="44"/>
  <c r="M115" i="44"/>
  <c r="L115" i="44"/>
  <c r="K115" i="44"/>
  <c r="J115" i="44"/>
  <c r="I115" i="44"/>
  <c r="H115" i="44"/>
  <c r="G115" i="44"/>
  <c r="E115" i="44"/>
  <c r="D115" i="44"/>
  <c r="A115" i="44"/>
  <c r="J114" i="46"/>
  <c r="O114" i="44"/>
  <c r="N114" i="44"/>
  <c r="M114" i="44"/>
  <c r="L114" i="44"/>
  <c r="K114" i="44"/>
  <c r="J114" i="44"/>
  <c r="I114" i="44"/>
  <c r="H114" i="44"/>
  <c r="G114" i="44"/>
  <c r="E114" i="44"/>
  <c r="D114" i="44"/>
  <c r="A114" i="44"/>
  <c r="J113" i="46"/>
  <c r="O113" i="44"/>
  <c r="N113" i="44"/>
  <c r="M113" i="44"/>
  <c r="L113" i="44"/>
  <c r="K113" i="44"/>
  <c r="J113" i="44"/>
  <c r="I113" i="44"/>
  <c r="H113" i="44"/>
  <c r="G113" i="44"/>
  <c r="E113" i="44"/>
  <c r="D113" i="44"/>
  <c r="A113" i="44"/>
  <c r="J112" i="46"/>
  <c r="O112" i="44"/>
  <c r="N112" i="44"/>
  <c r="M112" i="44"/>
  <c r="L112" i="44"/>
  <c r="K112" i="44"/>
  <c r="J112" i="44"/>
  <c r="I112" i="44"/>
  <c r="H112" i="44"/>
  <c r="G112" i="44"/>
  <c r="E112" i="44"/>
  <c r="D112" i="44"/>
  <c r="A112" i="44"/>
  <c r="J111" i="46"/>
  <c r="O111" i="44"/>
  <c r="N111" i="44"/>
  <c r="M111" i="44"/>
  <c r="L111" i="44"/>
  <c r="K111" i="44"/>
  <c r="J111" i="44"/>
  <c r="I111" i="44"/>
  <c r="H111" i="44"/>
  <c r="G111" i="44"/>
  <c r="E111" i="44"/>
  <c r="D111" i="44"/>
  <c r="A111" i="44"/>
  <c r="J110" i="46"/>
  <c r="O110" i="44"/>
  <c r="N110" i="44"/>
  <c r="M110" i="44"/>
  <c r="L110" i="44"/>
  <c r="K110" i="44"/>
  <c r="J110" i="44"/>
  <c r="I110" i="44"/>
  <c r="H110" i="44"/>
  <c r="G110" i="44"/>
  <c r="E110" i="44"/>
  <c r="D110" i="44"/>
  <c r="A110" i="44"/>
  <c r="J109" i="46"/>
  <c r="O109" i="44"/>
  <c r="N109" i="44"/>
  <c r="M109" i="44"/>
  <c r="L109" i="44"/>
  <c r="K109" i="44"/>
  <c r="J109" i="44"/>
  <c r="I109" i="44"/>
  <c r="H109" i="44"/>
  <c r="G109" i="44"/>
  <c r="E109" i="44"/>
  <c r="D109" i="44"/>
  <c r="A109" i="44"/>
  <c r="J108" i="46"/>
  <c r="O108" i="44"/>
  <c r="N108" i="44"/>
  <c r="M108" i="44"/>
  <c r="L108" i="44"/>
  <c r="K108" i="44"/>
  <c r="J108" i="44"/>
  <c r="I108" i="44"/>
  <c r="H108" i="44"/>
  <c r="G108" i="44"/>
  <c r="E108" i="44"/>
  <c r="D108" i="44"/>
  <c r="A108" i="44"/>
  <c r="J107" i="46"/>
  <c r="O107" i="44"/>
  <c r="N107" i="44"/>
  <c r="M107" i="44"/>
  <c r="L107" i="44"/>
  <c r="K107" i="44"/>
  <c r="J107" i="44"/>
  <c r="I107" i="44"/>
  <c r="H107" i="44"/>
  <c r="G107" i="44"/>
  <c r="E107" i="44"/>
  <c r="D107" i="44"/>
  <c r="A107" i="44"/>
  <c r="J106" i="46"/>
  <c r="O106" i="44"/>
  <c r="N106" i="44"/>
  <c r="M106" i="44"/>
  <c r="L106" i="44"/>
  <c r="K106" i="44"/>
  <c r="J106" i="44"/>
  <c r="I106" i="44"/>
  <c r="H106" i="44"/>
  <c r="G106" i="44"/>
  <c r="E106" i="44"/>
  <c r="D106" i="44"/>
  <c r="A106" i="44"/>
  <c r="J105" i="46"/>
  <c r="O105" i="44"/>
  <c r="N105" i="44"/>
  <c r="M105" i="44"/>
  <c r="L105" i="44"/>
  <c r="K105" i="44"/>
  <c r="J105" i="44"/>
  <c r="I105" i="44"/>
  <c r="H105" i="44"/>
  <c r="G105" i="44"/>
  <c r="E105" i="44"/>
  <c r="D105" i="44"/>
  <c r="A105" i="44"/>
  <c r="J104" i="46"/>
  <c r="O104" i="44"/>
  <c r="N104" i="44"/>
  <c r="M104" i="44"/>
  <c r="L104" i="44"/>
  <c r="K104" i="44"/>
  <c r="J104" i="44"/>
  <c r="I104" i="44"/>
  <c r="H104" i="44"/>
  <c r="G104" i="44"/>
  <c r="E104" i="44"/>
  <c r="D104" i="44"/>
  <c r="A104" i="44"/>
  <c r="J103" i="46"/>
  <c r="O103" i="44"/>
  <c r="N103" i="44"/>
  <c r="M103" i="44"/>
  <c r="L103" i="44"/>
  <c r="K103" i="44"/>
  <c r="J103" i="44"/>
  <c r="I103" i="44"/>
  <c r="H103" i="44"/>
  <c r="G103" i="44"/>
  <c r="E103" i="44"/>
  <c r="D103" i="44"/>
  <c r="A103" i="44"/>
  <c r="J102" i="46"/>
  <c r="O102" i="44"/>
  <c r="N102" i="44"/>
  <c r="M102" i="44"/>
  <c r="L102" i="44"/>
  <c r="K102" i="44"/>
  <c r="J102" i="44"/>
  <c r="I102" i="44"/>
  <c r="H102" i="44"/>
  <c r="G102" i="44"/>
  <c r="E102" i="44"/>
  <c r="D102" i="44"/>
  <c r="A102" i="44"/>
  <c r="J101" i="46"/>
  <c r="O101" i="44"/>
  <c r="N101" i="44"/>
  <c r="M101" i="44"/>
  <c r="L101" i="44"/>
  <c r="K101" i="44"/>
  <c r="J101" i="44"/>
  <c r="I101" i="44"/>
  <c r="H101" i="44"/>
  <c r="G101" i="44"/>
  <c r="E101" i="44"/>
  <c r="D101" i="44"/>
  <c r="A101" i="44"/>
  <c r="J100" i="46"/>
  <c r="O100" i="44"/>
  <c r="N100" i="44"/>
  <c r="M100" i="44"/>
  <c r="L100" i="44"/>
  <c r="K100" i="44"/>
  <c r="J100" i="44"/>
  <c r="I100" i="44"/>
  <c r="H100" i="44"/>
  <c r="G100" i="44"/>
  <c r="E100" i="44"/>
  <c r="D100" i="44"/>
  <c r="A100" i="44"/>
  <c r="J99" i="46"/>
  <c r="O99" i="44"/>
  <c r="N99" i="44"/>
  <c r="M99" i="44"/>
  <c r="L99" i="44"/>
  <c r="K99" i="44"/>
  <c r="J99" i="44"/>
  <c r="I99" i="44"/>
  <c r="H99" i="44"/>
  <c r="G99" i="44"/>
  <c r="E99" i="44"/>
  <c r="D99" i="44"/>
  <c r="A99" i="44"/>
  <c r="J98" i="46"/>
  <c r="O98" i="44"/>
  <c r="N98" i="44"/>
  <c r="M98" i="44"/>
  <c r="L98" i="44"/>
  <c r="K98" i="44"/>
  <c r="J98" i="44"/>
  <c r="I98" i="44"/>
  <c r="H98" i="44"/>
  <c r="G98" i="44"/>
  <c r="E98" i="44"/>
  <c r="D98" i="44"/>
  <c r="A98" i="44"/>
  <c r="J97" i="46"/>
  <c r="O97" i="44"/>
  <c r="N97" i="44"/>
  <c r="M97" i="44"/>
  <c r="L97" i="44"/>
  <c r="K97" i="44"/>
  <c r="J97" i="44"/>
  <c r="I97" i="44"/>
  <c r="H97" i="44"/>
  <c r="G97" i="44"/>
  <c r="E97" i="44"/>
  <c r="D97" i="44"/>
  <c r="A97" i="44"/>
  <c r="J96" i="46"/>
  <c r="O96" i="44"/>
  <c r="N96" i="44"/>
  <c r="M96" i="44"/>
  <c r="L96" i="44"/>
  <c r="K96" i="44"/>
  <c r="J96" i="44"/>
  <c r="I96" i="44"/>
  <c r="H96" i="44"/>
  <c r="G96" i="44"/>
  <c r="E96" i="44"/>
  <c r="D96" i="44"/>
  <c r="A96" i="44"/>
  <c r="J95" i="46"/>
  <c r="O95" i="44"/>
  <c r="N95" i="44"/>
  <c r="M95" i="44"/>
  <c r="L95" i="44"/>
  <c r="K95" i="44"/>
  <c r="J95" i="44"/>
  <c r="I95" i="44"/>
  <c r="H95" i="44"/>
  <c r="G95" i="44"/>
  <c r="E95" i="44"/>
  <c r="D95" i="44"/>
  <c r="A95" i="44"/>
  <c r="C2" i="41"/>
  <c r="C7" i="41"/>
  <c r="G7" i="41"/>
  <c r="H7" i="41"/>
  <c r="E7" i="41"/>
  <c r="D7" i="41"/>
  <c r="A7" i="41"/>
  <c r="H2" i="42"/>
  <c r="H3" i="42"/>
  <c r="H4" i="42"/>
  <c r="H5" i="42"/>
  <c r="H6" i="42"/>
  <c r="H7" i="42"/>
  <c r="H8" i="42"/>
  <c r="H9" i="42"/>
  <c r="B7" i="41"/>
  <c r="C6" i="41"/>
  <c r="G6" i="41"/>
  <c r="H6" i="41"/>
  <c r="E6" i="41"/>
  <c r="D6" i="41"/>
  <c r="A6" i="41"/>
  <c r="B6" i="41"/>
  <c r="C5" i="16"/>
  <c r="C5" i="41"/>
  <c r="G5" i="41"/>
  <c r="H5" i="41"/>
  <c r="E5" i="41"/>
  <c r="D5" i="41"/>
  <c r="A5" i="41"/>
  <c r="B5" i="41"/>
  <c r="V3" i="43"/>
  <c r="W3" i="43"/>
  <c r="U3" i="43"/>
  <c r="R3" i="43"/>
  <c r="Q3" i="43"/>
  <c r="P3" i="43"/>
  <c r="O3" i="43"/>
  <c r="N3" i="43"/>
  <c r="H3" i="43"/>
  <c r="D3" i="43"/>
  <c r="F3" i="43"/>
  <c r="E3" i="43"/>
  <c r="A3" i="43"/>
  <c r="AD9" i="42"/>
  <c r="AF9" i="42"/>
  <c r="AI9" i="42"/>
  <c r="AG9" i="42"/>
  <c r="AE9" i="42"/>
  <c r="U9" i="42"/>
  <c r="V9" i="42"/>
  <c r="S9" i="42"/>
  <c r="T9" i="42"/>
  <c r="Q9" i="42"/>
  <c r="P9" i="42"/>
  <c r="O9" i="42"/>
  <c r="N9" i="42"/>
  <c r="M9" i="42"/>
  <c r="D9" i="42"/>
  <c r="F9" i="42"/>
  <c r="E9" i="42"/>
  <c r="A9" i="42"/>
  <c r="AD8" i="42"/>
  <c r="AF8" i="42"/>
  <c r="AI8" i="42"/>
  <c r="AG8" i="42"/>
  <c r="AE8" i="42"/>
  <c r="U8" i="42"/>
  <c r="V8" i="42"/>
  <c r="S8" i="42"/>
  <c r="T8" i="42"/>
  <c r="Q8" i="42"/>
  <c r="P8" i="42"/>
  <c r="O8" i="42"/>
  <c r="N8" i="42"/>
  <c r="M8" i="42"/>
  <c r="D8" i="42"/>
  <c r="F8" i="42"/>
  <c r="E8" i="42"/>
  <c r="A8" i="42"/>
  <c r="AD7" i="42"/>
  <c r="AF7" i="42"/>
  <c r="AI7" i="42"/>
  <c r="AG7" i="42"/>
  <c r="AE7" i="42"/>
  <c r="U7" i="42"/>
  <c r="V7" i="42"/>
  <c r="T7" i="42"/>
  <c r="Q7" i="42"/>
  <c r="P7" i="42"/>
  <c r="O7" i="42"/>
  <c r="N7" i="42"/>
  <c r="M7" i="42"/>
  <c r="D7" i="42"/>
  <c r="F7" i="42"/>
  <c r="E7" i="42"/>
  <c r="A7" i="42"/>
  <c r="AD6" i="42"/>
  <c r="AF6" i="42"/>
  <c r="AI6" i="42"/>
  <c r="AG6" i="42"/>
  <c r="AE6" i="42"/>
  <c r="U6" i="42"/>
  <c r="V6" i="42"/>
  <c r="S6" i="42"/>
  <c r="T6" i="42"/>
  <c r="Q6" i="42"/>
  <c r="P6" i="42"/>
  <c r="O6" i="42"/>
  <c r="N6" i="42"/>
  <c r="M6" i="42"/>
  <c r="D6" i="42"/>
  <c r="F6" i="42"/>
  <c r="E6" i="42"/>
  <c r="A6" i="42"/>
  <c r="J94" i="46"/>
  <c r="O94" i="44"/>
  <c r="N94" i="44"/>
  <c r="M94" i="44"/>
  <c r="L94" i="44"/>
  <c r="K94" i="44"/>
  <c r="J94" i="44"/>
  <c r="I94" i="44"/>
  <c r="H94" i="44"/>
  <c r="G94" i="44"/>
  <c r="J93" i="46"/>
  <c r="O93" i="44"/>
  <c r="N93" i="44"/>
  <c r="M93" i="44"/>
  <c r="L93" i="44"/>
  <c r="K93" i="44"/>
  <c r="J93" i="44"/>
  <c r="I93" i="44"/>
  <c r="H93" i="44"/>
  <c r="G93" i="44"/>
  <c r="J92" i="46"/>
  <c r="O92" i="44"/>
  <c r="N92" i="44"/>
  <c r="M92" i="44"/>
  <c r="L92" i="44"/>
  <c r="K92" i="44"/>
  <c r="J92" i="44"/>
  <c r="I92" i="44"/>
  <c r="H92" i="44"/>
  <c r="G92" i="44"/>
  <c r="J91" i="46"/>
  <c r="O91" i="44"/>
  <c r="N91" i="44"/>
  <c r="M91" i="44"/>
  <c r="L91" i="44"/>
  <c r="K91" i="44"/>
  <c r="J91" i="44"/>
  <c r="I91" i="44"/>
  <c r="H91" i="44"/>
  <c r="G91" i="44"/>
  <c r="J90" i="46"/>
  <c r="O90" i="44"/>
  <c r="N90" i="44"/>
  <c r="M90" i="44"/>
  <c r="L90" i="44"/>
  <c r="K90" i="44"/>
  <c r="J90" i="44"/>
  <c r="I90" i="44"/>
  <c r="H90" i="44"/>
  <c r="G90" i="44"/>
  <c r="J89" i="46"/>
  <c r="O89" i="44"/>
  <c r="N89" i="44"/>
  <c r="M89" i="44"/>
  <c r="L89" i="44"/>
  <c r="K89" i="44"/>
  <c r="J89" i="44"/>
  <c r="I89" i="44"/>
  <c r="H89" i="44"/>
  <c r="G89" i="44"/>
  <c r="J88" i="46"/>
  <c r="O88" i="44"/>
  <c r="N88" i="44"/>
  <c r="M88" i="44"/>
  <c r="L88" i="44"/>
  <c r="K88" i="44"/>
  <c r="J88" i="44"/>
  <c r="I88" i="44"/>
  <c r="H88" i="44"/>
  <c r="G88" i="44"/>
  <c r="J87" i="46"/>
  <c r="O87" i="44"/>
  <c r="N87" i="44"/>
  <c r="M87" i="44"/>
  <c r="L87" i="44"/>
  <c r="K87" i="44"/>
  <c r="J87" i="44"/>
  <c r="I87" i="44"/>
  <c r="H87" i="44"/>
  <c r="G87" i="44"/>
  <c r="J86" i="46"/>
  <c r="O86" i="44"/>
  <c r="N86" i="44"/>
  <c r="M86" i="44"/>
  <c r="L86" i="44"/>
  <c r="K86" i="44"/>
  <c r="J86" i="44"/>
  <c r="I86" i="44"/>
  <c r="H86" i="44"/>
  <c r="G86" i="44"/>
  <c r="J85" i="46"/>
  <c r="O85" i="44"/>
  <c r="N85" i="44"/>
  <c r="M85" i="44"/>
  <c r="L85" i="44"/>
  <c r="K85" i="44"/>
  <c r="J85" i="44"/>
  <c r="I85" i="44"/>
  <c r="H85" i="44"/>
  <c r="G85" i="44"/>
  <c r="J84" i="46"/>
  <c r="O84" i="44"/>
  <c r="N84" i="44"/>
  <c r="M84" i="44"/>
  <c r="L84" i="44"/>
  <c r="K84" i="44"/>
  <c r="J84" i="44"/>
  <c r="I84" i="44"/>
  <c r="H84" i="44"/>
  <c r="G84" i="44"/>
  <c r="J83" i="46"/>
  <c r="O83" i="44"/>
  <c r="N83" i="44"/>
  <c r="M83" i="44"/>
  <c r="L83" i="44"/>
  <c r="K83" i="44"/>
  <c r="J83" i="44"/>
  <c r="I83" i="44"/>
  <c r="H83" i="44"/>
  <c r="G83" i="44"/>
  <c r="J82" i="46"/>
  <c r="O82" i="44"/>
  <c r="N82" i="44"/>
  <c r="M82" i="44"/>
  <c r="L82" i="44"/>
  <c r="K82" i="44"/>
  <c r="J82" i="44"/>
  <c r="I82" i="44"/>
  <c r="H82" i="44"/>
  <c r="G82" i="44"/>
  <c r="J81" i="46"/>
  <c r="O81" i="44"/>
  <c r="N81" i="44"/>
  <c r="M81" i="44"/>
  <c r="L81" i="44"/>
  <c r="K81" i="44"/>
  <c r="J81" i="44"/>
  <c r="I81" i="44"/>
  <c r="H81" i="44"/>
  <c r="G81" i="44"/>
  <c r="J80" i="46"/>
  <c r="O80" i="44"/>
  <c r="N80" i="44"/>
  <c r="M80" i="44"/>
  <c r="L80" i="44"/>
  <c r="K80" i="44"/>
  <c r="J80" i="44"/>
  <c r="I80" i="44"/>
  <c r="H80" i="44"/>
  <c r="G80" i="44"/>
  <c r="J79" i="46"/>
  <c r="O79" i="44"/>
  <c r="N79" i="44"/>
  <c r="M79" i="44"/>
  <c r="L79" i="44"/>
  <c r="K79" i="44"/>
  <c r="J79" i="44"/>
  <c r="I79" i="44"/>
  <c r="H79" i="44"/>
  <c r="G79" i="44"/>
  <c r="J78" i="46"/>
  <c r="O78" i="44"/>
  <c r="N78" i="44"/>
  <c r="M78" i="44"/>
  <c r="L78" i="44"/>
  <c r="K78" i="44"/>
  <c r="J78" i="44"/>
  <c r="I78" i="44"/>
  <c r="H78" i="44"/>
  <c r="G78" i="44"/>
  <c r="J77" i="46"/>
  <c r="O77" i="44"/>
  <c r="N77" i="44"/>
  <c r="M77" i="44"/>
  <c r="L77" i="44"/>
  <c r="K77" i="44"/>
  <c r="J77" i="44"/>
  <c r="I77" i="44"/>
  <c r="H77" i="44"/>
  <c r="G77" i="44"/>
  <c r="J76" i="46"/>
  <c r="O76" i="44"/>
  <c r="N76" i="44"/>
  <c r="M76" i="44"/>
  <c r="L76" i="44"/>
  <c r="K76" i="44"/>
  <c r="J76" i="44"/>
  <c r="I76" i="44"/>
  <c r="H76" i="44"/>
  <c r="G76" i="44"/>
  <c r="J75" i="46"/>
  <c r="O75" i="44"/>
  <c r="N75" i="44"/>
  <c r="M75" i="44"/>
  <c r="L75" i="44"/>
  <c r="K75" i="44"/>
  <c r="J75" i="44"/>
  <c r="I75" i="44"/>
  <c r="H75" i="44"/>
  <c r="G75" i="44"/>
  <c r="J74" i="46"/>
  <c r="O74" i="44"/>
  <c r="N74" i="44"/>
  <c r="M74" i="44"/>
  <c r="L74" i="44"/>
  <c r="K74" i="44"/>
  <c r="J74" i="44"/>
  <c r="I74" i="44"/>
  <c r="H74" i="44"/>
  <c r="G74" i="44"/>
  <c r="J73" i="46"/>
  <c r="O73" i="44"/>
  <c r="N73" i="44"/>
  <c r="M73" i="44"/>
  <c r="L73" i="44"/>
  <c r="K73" i="44"/>
  <c r="J73" i="44"/>
  <c r="I73" i="44"/>
  <c r="H73" i="44"/>
  <c r="G73" i="44"/>
  <c r="J72" i="46"/>
  <c r="O72" i="44"/>
  <c r="N72" i="44"/>
  <c r="M72" i="44"/>
  <c r="L72" i="44"/>
  <c r="K72" i="44"/>
  <c r="J72" i="44"/>
  <c r="I72" i="44"/>
  <c r="H72" i="44"/>
  <c r="G72" i="44"/>
  <c r="J71" i="46"/>
  <c r="O71" i="44"/>
  <c r="N71" i="44"/>
  <c r="M71" i="44"/>
  <c r="L71" i="44"/>
  <c r="K71" i="44"/>
  <c r="J71" i="44"/>
  <c r="I71" i="44"/>
  <c r="H71" i="44"/>
  <c r="G71" i="44"/>
  <c r="J70" i="46"/>
  <c r="O70" i="44"/>
  <c r="N70" i="44"/>
  <c r="M70" i="44"/>
  <c r="L70" i="44"/>
  <c r="K70" i="44"/>
  <c r="J70" i="44"/>
  <c r="I70" i="44"/>
  <c r="H70" i="44"/>
  <c r="G70" i="44"/>
  <c r="J69" i="46"/>
  <c r="O69" i="44"/>
  <c r="N69" i="44"/>
  <c r="M69" i="44"/>
  <c r="L69" i="44"/>
  <c r="K69" i="44"/>
  <c r="J69" i="44"/>
  <c r="I69" i="44"/>
  <c r="H69" i="44"/>
  <c r="G69" i="44"/>
  <c r="J68" i="46"/>
  <c r="O68" i="44"/>
  <c r="N68" i="44"/>
  <c r="M68" i="44"/>
  <c r="L68" i="44"/>
  <c r="K68" i="44"/>
  <c r="J68" i="44"/>
  <c r="I68" i="44"/>
  <c r="H68" i="44"/>
  <c r="G68" i="44"/>
  <c r="J67" i="46"/>
  <c r="O67" i="44"/>
  <c r="N67" i="44"/>
  <c r="M67" i="44"/>
  <c r="L67" i="44"/>
  <c r="K67" i="44"/>
  <c r="J67" i="44"/>
  <c r="I67" i="44"/>
  <c r="H67" i="44"/>
  <c r="G67" i="44"/>
  <c r="J66" i="46"/>
  <c r="O66" i="44"/>
  <c r="N66" i="44"/>
  <c r="M66" i="44"/>
  <c r="L66" i="44"/>
  <c r="K66" i="44"/>
  <c r="J66" i="44"/>
  <c r="I66" i="44"/>
  <c r="H66" i="44"/>
  <c r="G66" i="44"/>
  <c r="J65" i="46"/>
  <c r="O65" i="44"/>
  <c r="N65" i="44"/>
  <c r="M65" i="44"/>
  <c r="L65" i="44"/>
  <c r="K65" i="44"/>
  <c r="J65" i="44"/>
  <c r="I65" i="44"/>
  <c r="H65" i="44"/>
  <c r="G65" i="44"/>
  <c r="J64" i="46"/>
  <c r="O64" i="44"/>
  <c r="N64" i="44"/>
  <c r="M64" i="44"/>
  <c r="L64" i="44"/>
  <c r="K64" i="44"/>
  <c r="J64" i="44"/>
  <c r="I64" i="44"/>
  <c r="H64" i="44"/>
  <c r="G64" i="44"/>
  <c r="J63" i="46"/>
  <c r="O63" i="44"/>
  <c r="N63" i="44"/>
  <c r="M63" i="44"/>
  <c r="L63" i="44"/>
  <c r="K63" i="44"/>
  <c r="J63" i="44"/>
  <c r="I63" i="44"/>
  <c r="H63" i="44"/>
  <c r="G63" i="44"/>
  <c r="J62" i="46"/>
  <c r="O62" i="44"/>
  <c r="N62" i="44"/>
  <c r="M62" i="44"/>
  <c r="L62" i="44"/>
  <c r="K62" i="44"/>
  <c r="J62" i="44"/>
  <c r="I62" i="44"/>
  <c r="H62" i="44"/>
  <c r="G62" i="44"/>
  <c r="J61" i="46"/>
  <c r="O61" i="44"/>
  <c r="N61" i="44"/>
  <c r="M61" i="44"/>
  <c r="L61" i="44"/>
  <c r="K61" i="44"/>
  <c r="J61" i="44"/>
  <c r="I61" i="44"/>
  <c r="H61" i="44"/>
  <c r="G61" i="44"/>
  <c r="J60" i="46"/>
  <c r="O60" i="44"/>
  <c r="N60" i="44"/>
  <c r="M60" i="44"/>
  <c r="L60" i="44"/>
  <c r="K60" i="44"/>
  <c r="J60" i="44"/>
  <c r="I60" i="44"/>
  <c r="H60" i="44"/>
  <c r="G60" i="44"/>
  <c r="J59" i="46"/>
  <c r="O59" i="44"/>
  <c r="N59" i="44"/>
  <c r="M59" i="44"/>
  <c r="L59" i="44"/>
  <c r="K59" i="44"/>
  <c r="J59" i="44"/>
  <c r="I59" i="44"/>
  <c r="H59" i="44"/>
  <c r="G59" i="44"/>
  <c r="J58" i="46"/>
  <c r="O58" i="44"/>
  <c r="N58" i="44"/>
  <c r="M58" i="44"/>
  <c r="L58" i="44"/>
  <c r="K58" i="44"/>
  <c r="J58" i="44"/>
  <c r="I58" i="44"/>
  <c r="H58" i="44"/>
  <c r="G58" i="44"/>
  <c r="J57" i="46"/>
  <c r="O57" i="44"/>
  <c r="N57" i="44"/>
  <c r="M57" i="44"/>
  <c r="L57" i="44"/>
  <c r="K57" i="44"/>
  <c r="J57" i="44"/>
  <c r="I57" i="44"/>
  <c r="H57" i="44"/>
  <c r="G57" i="44"/>
  <c r="J56" i="46"/>
  <c r="O56" i="44"/>
  <c r="N56" i="44"/>
  <c r="M56" i="44"/>
  <c r="L56" i="44"/>
  <c r="K56" i="44"/>
  <c r="J56" i="44"/>
  <c r="I56" i="44"/>
  <c r="H56" i="44"/>
  <c r="G56" i="44"/>
  <c r="J55" i="46"/>
  <c r="O55" i="44"/>
  <c r="N55" i="44"/>
  <c r="M55" i="44"/>
  <c r="L55" i="44"/>
  <c r="K55" i="44"/>
  <c r="J55" i="44"/>
  <c r="I55" i="44"/>
  <c r="H55" i="44"/>
  <c r="G55" i="44"/>
  <c r="J54" i="46"/>
  <c r="O54" i="44"/>
  <c r="N54" i="44"/>
  <c r="M54" i="44"/>
  <c r="L54" i="44"/>
  <c r="K54" i="44"/>
  <c r="J54" i="44"/>
  <c r="I54" i="44"/>
  <c r="H54" i="44"/>
  <c r="G54" i="44"/>
  <c r="J53" i="46"/>
  <c r="O53" i="44"/>
  <c r="N53" i="44"/>
  <c r="M53" i="44"/>
  <c r="L53" i="44"/>
  <c r="K53" i="44"/>
  <c r="J53" i="44"/>
  <c r="I53" i="44"/>
  <c r="H53" i="44"/>
  <c r="G53" i="44"/>
  <c r="J52" i="46"/>
  <c r="O52" i="44"/>
  <c r="N52" i="44"/>
  <c r="M52" i="44"/>
  <c r="L52" i="44"/>
  <c r="K52" i="44"/>
  <c r="J52" i="44"/>
  <c r="I52" i="44"/>
  <c r="H52" i="44"/>
  <c r="G52" i="44"/>
  <c r="J51" i="46"/>
  <c r="O51" i="44"/>
  <c r="N51" i="44"/>
  <c r="M51" i="44"/>
  <c r="L51" i="44"/>
  <c r="K51" i="44"/>
  <c r="J51" i="44"/>
  <c r="I51" i="44"/>
  <c r="H51" i="44"/>
  <c r="G51" i="44"/>
  <c r="J50" i="46"/>
  <c r="O50" i="44"/>
  <c r="N50" i="44"/>
  <c r="M50" i="44"/>
  <c r="L50" i="44"/>
  <c r="K50" i="44"/>
  <c r="J50" i="44"/>
  <c r="I50" i="44"/>
  <c r="H50" i="44"/>
  <c r="G50" i="44"/>
  <c r="J49" i="46"/>
  <c r="O49" i="44"/>
  <c r="N49" i="44"/>
  <c r="M49" i="44"/>
  <c r="L49" i="44"/>
  <c r="K49" i="44"/>
  <c r="J49" i="44"/>
  <c r="I49" i="44"/>
  <c r="H49" i="44"/>
  <c r="G49" i="44"/>
  <c r="J48" i="46"/>
  <c r="O48" i="44"/>
  <c r="N48" i="44"/>
  <c r="M48" i="44"/>
  <c r="L48" i="44"/>
  <c r="K48" i="44"/>
  <c r="J48" i="44"/>
  <c r="I48" i="44"/>
  <c r="H48" i="44"/>
  <c r="G48" i="44"/>
  <c r="J47" i="46"/>
  <c r="O47" i="44"/>
  <c r="N47" i="44"/>
  <c r="M47" i="44"/>
  <c r="L47" i="44"/>
  <c r="K47" i="44"/>
  <c r="J47" i="44"/>
  <c r="I47" i="44"/>
  <c r="H47" i="44"/>
  <c r="G47" i="44"/>
  <c r="J46" i="46"/>
  <c r="O46" i="44"/>
  <c r="N46" i="44"/>
  <c r="M46" i="44"/>
  <c r="L46" i="44"/>
  <c r="K46" i="44"/>
  <c r="J46" i="44"/>
  <c r="I46" i="44"/>
  <c r="H46" i="44"/>
  <c r="G46" i="44"/>
  <c r="J45" i="46"/>
  <c r="O45" i="44"/>
  <c r="N45" i="44"/>
  <c r="M45" i="44"/>
  <c r="L45" i="44"/>
  <c r="K45" i="44"/>
  <c r="J45" i="44"/>
  <c r="I45" i="44"/>
  <c r="H45" i="44"/>
  <c r="G45" i="44"/>
  <c r="J44" i="46"/>
  <c r="O44" i="44"/>
  <c r="N44" i="44"/>
  <c r="M44" i="44"/>
  <c r="L44" i="44"/>
  <c r="K44" i="44"/>
  <c r="J44" i="44"/>
  <c r="I44" i="44"/>
  <c r="H44" i="44"/>
  <c r="G44" i="44"/>
  <c r="J43" i="46"/>
  <c r="O43" i="44"/>
  <c r="N43" i="44"/>
  <c r="M43" i="44"/>
  <c r="L43" i="44"/>
  <c r="K43" i="44"/>
  <c r="J43" i="44"/>
  <c r="I43" i="44"/>
  <c r="H43" i="44"/>
  <c r="G43" i="44"/>
  <c r="J42" i="46"/>
  <c r="O42" i="44"/>
  <c r="N42" i="44"/>
  <c r="M42" i="44"/>
  <c r="L42" i="44"/>
  <c r="K42" i="44"/>
  <c r="J42" i="44"/>
  <c r="I42" i="44"/>
  <c r="H42" i="44"/>
  <c r="G42" i="44"/>
  <c r="J41" i="46"/>
  <c r="O41" i="44"/>
  <c r="N41" i="44"/>
  <c r="M41" i="44"/>
  <c r="L41" i="44"/>
  <c r="K41" i="44"/>
  <c r="J41" i="44"/>
  <c r="I41" i="44"/>
  <c r="H41" i="44"/>
  <c r="G41" i="44"/>
  <c r="J40" i="46"/>
  <c r="O40" i="44"/>
  <c r="N40" i="44"/>
  <c r="M40" i="44"/>
  <c r="L40" i="44"/>
  <c r="K40" i="44"/>
  <c r="J40" i="44"/>
  <c r="I40" i="44"/>
  <c r="H40" i="44"/>
  <c r="G40" i="44"/>
  <c r="J39" i="46"/>
  <c r="O39" i="44"/>
  <c r="N39" i="44"/>
  <c r="M39" i="44"/>
  <c r="L39" i="44"/>
  <c r="K39" i="44"/>
  <c r="J39" i="44"/>
  <c r="I39" i="44"/>
  <c r="H39" i="44"/>
  <c r="G39" i="44"/>
  <c r="J38" i="46"/>
  <c r="O38" i="44"/>
  <c r="N38" i="44"/>
  <c r="M38" i="44"/>
  <c r="L38" i="44"/>
  <c r="K38" i="44"/>
  <c r="J38" i="44"/>
  <c r="I38" i="44"/>
  <c r="H38" i="44"/>
  <c r="G38" i="44"/>
  <c r="J37" i="46"/>
  <c r="O37" i="44"/>
  <c r="N37" i="44"/>
  <c r="M37" i="44"/>
  <c r="L37" i="44"/>
  <c r="K37" i="44"/>
  <c r="J37" i="44"/>
  <c r="I37" i="44"/>
  <c r="H37" i="44"/>
  <c r="G37" i="44"/>
  <c r="J36" i="46"/>
  <c r="O36" i="44"/>
  <c r="N36" i="44"/>
  <c r="M36" i="44"/>
  <c r="L36" i="44"/>
  <c r="K36" i="44"/>
  <c r="J36" i="44"/>
  <c r="I36" i="44"/>
  <c r="H36" i="44"/>
  <c r="G36" i="44"/>
  <c r="J35" i="46"/>
  <c r="O35" i="44"/>
  <c r="N35" i="44"/>
  <c r="M35" i="44"/>
  <c r="L35" i="44"/>
  <c r="K35" i="44"/>
  <c r="J35" i="44"/>
  <c r="I35" i="44"/>
  <c r="H35" i="44"/>
  <c r="G35" i="44"/>
  <c r="J34" i="46"/>
  <c r="O34" i="44"/>
  <c r="N34" i="44"/>
  <c r="M34" i="44"/>
  <c r="L34" i="44"/>
  <c r="K34" i="44"/>
  <c r="J34" i="44"/>
  <c r="I34" i="44"/>
  <c r="H34" i="44"/>
  <c r="G34" i="44"/>
  <c r="J33" i="46"/>
  <c r="O33" i="44"/>
  <c r="N33" i="44"/>
  <c r="M33" i="44"/>
  <c r="L33" i="44"/>
  <c r="K33" i="44"/>
  <c r="J33" i="44"/>
  <c r="I33" i="44"/>
  <c r="H33" i="44"/>
  <c r="G33" i="44"/>
  <c r="J32" i="46"/>
  <c r="O32" i="44"/>
  <c r="N32" i="44"/>
  <c r="M32" i="44"/>
  <c r="L32" i="44"/>
  <c r="K32" i="44"/>
  <c r="J32" i="44"/>
  <c r="I32" i="44"/>
  <c r="H32" i="44"/>
  <c r="G32" i="44"/>
  <c r="J31" i="46"/>
  <c r="O31" i="44"/>
  <c r="N31" i="44"/>
  <c r="M31" i="44"/>
  <c r="L31" i="44"/>
  <c r="K31" i="44"/>
  <c r="J31" i="44"/>
  <c r="I31" i="44"/>
  <c r="H31" i="44"/>
  <c r="G31" i="44"/>
  <c r="J30" i="46"/>
  <c r="O30" i="44"/>
  <c r="N30" i="44"/>
  <c r="M30" i="44"/>
  <c r="L30" i="44"/>
  <c r="K30" i="44"/>
  <c r="J30" i="44"/>
  <c r="I30" i="44"/>
  <c r="H30" i="44"/>
  <c r="G30" i="44"/>
  <c r="J29" i="46"/>
  <c r="O29" i="44"/>
  <c r="N29" i="44"/>
  <c r="M29" i="44"/>
  <c r="L29" i="44"/>
  <c r="K29" i="44"/>
  <c r="J29" i="44"/>
  <c r="I29" i="44"/>
  <c r="H29" i="44"/>
  <c r="G29" i="44"/>
  <c r="J28" i="46"/>
  <c r="O28" i="44"/>
  <c r="N28" i="44"/>
  <c r="M28" i="44"/>
  <c r="L28" i="44"/>
  <c r="K28" i="44"/>
  <c r="J28" i="44"/>
  <c r="I28" i="44"/>
  <c r="H28" i="44"/>
  <c r="G28" i="44"/>
  <c r="J27" i="46"/>
  <c r="O27" i="44"/>
  <c r="N27" i="44"/>
  <c r="M27" i="44"/>
  <c r="L27" i="44"/>
  <c r="K27" i="44"/>
  <c r="J27" i="44"/>
  <c r="I27" i="44"/>
  <c r="H27" i="44"/>
  <c r="G27" i="44"/>
  <c r="J26" i="46"/>
  <c r="O26" i="44"/>
  <c r="N26" i="44"/>
  <c r="M26" i="44"/>
  <c r="L26" i="44"/>
  <c r="K26" i="44"/>
  <c r="J26" i="44"/>
  <c r="I26" i="44"/>
  <c r="H26" i="44"/>
  <c r="G26" i="44"/>
  <c r="J25" i="46"/>
  <c r="O25" i="44"/>
  <c r="N25" i="44"/>
  <c r="M25" i="44"/>
  <c r="L25" i="44"/>
  <c r="K25" i="44"/>
  <c r="J25" i="44"/>
  <c r="I25" i="44"/>
  <c r="H25" i="44"/>
  <c r="G25" i="44"/>
  <c r="J24" i="46"/>
  <c r="O24" i="44"/>
  <c r="N24" i="44"/>
  <c r="M24" i="44"/>
  <c r="L24" i="44"/>
  <c r="K24" i="44"/>
  <c r="J24" i="44"/>
  <c r="I24" i="44"/>
  <c r="H24" i="44"/>
  <c r="G24" i="44"/>
  <c r="J23" i="46"/>
  <c r="O23" i="44"/>
  <c r="N23" i="44"/>
  <c r="M23" i="44"/>
  <c r="L23" i="44"/>
  <c r="K23" i="44"/>
  <c r="J23" i="44"/>
  <c r="I23" i="44"/>
  <c r="H23" i="44"/>
  <c r="G23" i="44"/>
  <c r="J22" i="46"/>
  <c r="O22" i="44"/>
  <c r="N22" i="44"/>
  <c r="M22" i="44"/>
  <c r="L22" i="44"/>
  <c r="K22" i="44"/>
  <c r="J22" i="44"/>
  <c r="I22" i="44"/>
  <c r="H22" i="44"/>
  <c r="G22" i="44"/>
  <c r="J21" i="46"/>
  <c r="O21" i="44"/>
  <c r="N21" i="44"/>
  <c r="M21" i="44"/>
  <c r="L21" i="44"/>
  <c r="K21" i="44"/>
  <c r="J21" i="44"/>
  <c r="I21" i="44"/>
  <c r="H21" i="44"/>
  <c r="G21" i="44"/>
  <c r="J20" i="46"/>
  <c r="O20" i="44"/>
  <c r="N20" i="44"/>
  <c r="M20" i="44"/>
  <c r="L20" i="44"/>
  <c r="K20" i="44"/>
  <c r="J20" i="44"/>
  <c r="I20" i="44"/>
  <c r="H20" i="44"/>
  <c r="G20" i="44"/>
  <c r="J19" i="46"/>
  <c r="O19" i="44"/>
  <c r="N19" i="44"/>
  <c r="M19" i="44"/>
  <c r="L19" i="44"/>
  <c r="K19" i="44"/>
  <c r="J19" i="44"/>
  <c r="I19" i="44"/>
  <c r="H19" i="44"/>
  <c r="G19" i="44"/>
  <c r="J18" i="46"/>
  <c r="O18" i="44"/>
  <c r="N18" i="44"/>
  <c r="M18" i="44"/>
  <c r="L18" i="44"/>
  <c r="K18" i="44"/>
  <c r="J18" i="44"/>
  <c r="I18" i="44"/>
  <c r="H18" i="44"/>
  <c r="G18" i="44"/>
  <c r="J17" i="46"/>
  <c r="O17" i="44"/>
  <c r="N17" i="44"/>
  <c r="M17" i="44"/>
  <c r="L17" i="44"/>
  <c r="K17" i="44"/>
  <c r="J17" i="44"/>
  <c r="I17" i="44"/>
  <c r="H17" i="44"/>
  <c r="G17" i="44"/>
  <c r="J16" i="46"/>
  <c r="O16" i="44"/>
  <c r="N16" i="44"/>
  <c r="M16" i="44"/>
  <c r="L16" i="44"/>
  <c r="K16" i="44"/>
  <c r="J16" i="44"/>
  <c r="I16" i="44"/>
  <c r="H16" i="44"/>
  <c r="G16" i="44"/>
  <c r="J15" i="46"/>
  <c r="O15" i="44"/>
  <c r="N15" i="44"/>
  <c r="M15" i="44"/>
  <c r="L15" i="44"/>
  <c r="K15" i="44"/>
  <c r="J15" i="44"/>
  <c r="I15" i="44"/>
  <c r="H15" i="44"/>
  <c r="G15" i="44"/>
  <c r="J14" i="46"/>
  <c r="O14" i="44"/>
  <c r="N14" i="44"/>
  <c r="M14" i="44"/>
  <c r="L14" i="44"/>
  <c r="K14" i="44"/>
  <c r="J14" i="44"/>
  <c r="I14" i="44"/>
  <c r="H14" i="44"/>
  <c r="G14" i="44"/>
  <c r="J13" i="46"/>
  <c r="O13" i="44"/>
  <c r="N13" i="44"/>
  <c r="M13" i="44"/>
  <c r="L13" i="44"/>
  <c r="K13" i="44"/>
  <c r="J13" i="44"/>
  <c r="I13" i="44"/>
  <c r="H13" i="44"/>
  <c r="G13" i="44"/>
  <c r="J12" i="46"/>
  <c r="O12" i="44"/>
  <c r="N12" i="44"/>
  <c r="M12" i="44"/>
  <c r="L12" i="44"/>
  <c r="K12" i="44"/>
  <c r="J12" i="44"/>
  <c r="I12" i="44"/>
  <c r="H12" i="44"/>
  <c r="G12" i="44"/>
  <c r="J11" i="46"/>
  <c r="O11" i="44"/>
  <c r="N11" i="44"/>
  <c r="M11" i="44"/>
  <c r="L11" i="44"/>
  <c r="K11" i="44"/>
  <c r="J11" i="44"/>
  <c r="I11" i="44"/>
  <c r="H11" i="44"/>
  <c r="G11" i="44"/>
  <c r="J10" i="46"/>
  <c r="O10" i="44"/>
  <c r="N10" i="44"/>
  <c r="M10" i="44"/>
  <c r="L10" i="44"/>
  <c r="K10" i="44"/>
  <c r="J10" i="44"/>
  <c r="I10" i="44"/>
  <c r="H10" i="44"/>
  <c r="G10" i="44"/>
  <c r="O9" i="44"/>
  <c r="N9" i="44"/>
  <c r="M9" i="44"/>
  <c r="L9" i="44"/>
  <c r="K9" i="44"/>
  <c r="J9" i="44"/>
  <c r="I9" i="44"/>
  <c r="H9" i="44"/>
  <c r="G9" i="44"/>
  <c r="O8" i="44"/>
  <c r="N8" i="44"/>
  <c r="M8" i="44"/>
  <c r="L8" i="44"/>
  <c r="K8" i="44"/>
  <c r="J8" i="44"/>
  <c r="I8" i="44"/>
  <c r="H8" i="44"/>
  <c r="G8" i="44"/>
  <c r="J7" i="46"/>
  <c r="O7" i="44"/>
  <c r="N7" i="44"/>
  <c r="M7" i="44"/>
  <c r="L7" i="44"/>
  <c r="K7" i="44"/>
  <c r="J7" i="44"/>
  <c r="I7" i="44"/>
  <c r="H7" i="44"/>
  <c r="G7" i="44"/>
  <c r="O6" i="44"/>
  <c r="N6" i="44"/>
  <c r="M6" i="44"/>
  <c r="L6" i="44"/>
  <c r="K6" i="44"/>
  <c r="J6" i="44"/>
  <c r="I6" i="44"/>
  <c r="H6" i="44"/>
  <c r="G6" i="44"/>
  <c r="J5" i="46"/>
  <c r="O5" i="44"/>
  <c r="N5" i="44"/>
  <c r="M5" i="44"/>
  <c r="L5" i="44"/>
  <c r="K5" i="44"/>
  <c r="J5" i="44"/>
  <c r="I5" i="44"/>
  <c r="H5" i="44"/>
  <c r="G5" i="44"/>
  <c r="O4" i="44"/>
  <c r="N4" i="44"/>
  <c r="M4" i="44"/>
  <c r="L4" i="44"/>
  <c r="K4" i="44"/>
  <c r="J4" i="44"/>
  <c r="I4" i="44"/>
  <c r="H4" i="44"/>
  <c r="G4" i="44"/>
  <c r="O3" i="44"/>
  <c r="N3" i="44"/>
  <c r="M3" i="44"/>
  <c r="L3" i="44"/>
  <c r="K3" i="44"/>
  <c r="J3" i="44"/>
  <c r="I3" i="44"/>
  <c r="H3" i="44"/>
  <c r="G3" i="44"/>
  <c r="J2" i="46"/>
  <c r="O2" i="44"/>
  <c r="N2" i="44"/>
  <c r="M2" i="44"/>
  <c r="L2" i="44"/>
  <c r="K2" i="44"/>
  <c r="J2" i="44"/>
  <c r="I2" i="44"/>
  <c r="H2" i="44"/>
  <c r="G2" i="44"/>
  <c r="E3" i="44"/>
  <c r="E4" i="44"/>
  <c r="E5" i="44"/>
  <c r="E6" i="44"/>
  <c r="E7" i="44"/>
  <c r="E8" i="44"/>
  <c r="E9" i="44"/>
  <c r="E10" i="44"/>
  <c r="E11" i="44"/>
  <c r="E12" i="44"/>
  <c r="E13" i="44"/>
  <c r="E14" i="44"/>
  <c r="E15" i="44"/>
  <c r="E16" i="44"/>
  <c r="E17" i="44"/>
  <c r="E18" i="44"/>
  <c r="E19" i="44"/>
  <c r="E20" i="44"/>
  <c r="E21" i="44"/>
  <c r="E22" i="44"/>
  <c r="E23" i="44"/>
  <c r="E24" i="44"/>
  <c r="E25" i="44"/>
  <c r="E26" i="44"/>
  <c r="E27" i="44"/>
  <c r="E28" i="44"/>
  <c r="E29" i="44"/>
  <c r="E30" i="44"/>
  <c r="E31" i="44"/>
  <c r="E32" i="44"/>
  <c r="E33" i="44"/>
  <c r="E34" i="44"/>
  <c r="E35" i="44"/>
  <c r="E36" i="44"/>
  <c r="E37" i="44"/>
  <c r="E38" i="44"/>
  <c r="E39" i="44"/>
  <c r="E40" i="44"/>
  <c r="E41" i="44"/>
  <c r="E42" i="44"/>
  <c r="E43" i="44"/>
  <c r="E44" i="44"/>
  <c r="E45" i="44"/>
  <c r="E46" i="44"/>
  <c r="E47" i="44"/>
  <c r="E48" i="44"/>
  <c r="E49" i="44"/>
  <c r="E50" i="44"/>
  <c r="E51" i="44"/>
  <c r="E52" i="44"/>
  <c r="E53" i="44"/>
  <c r="E54" i="44"/>
  <c r="E55" i="44"/>
  <c r="E56" i="44"/>
  <c r="E57" i="44"/>
  <c r="E58" i="44"/>
  <c r="E59" i="44"/>
  <c r="E60" i="44"/>
  <c r="E61" i="44"/>
  <c r="E62" i="44"/>
  <c r="E63" i="44"/>
  <c r="E64" i="44"/>
  <c r="E65" i="44"/>
  <c r="E66" i="44"/>
  <c r="E67" i="44"/>
  <c r="E68" i="44"/>
  <c r="E69" i="44"/>
  <c r="E70" i="44"/>
  <c r="E71" i="44"/>
  <c r="E72" i="44"/>
  <c r="E73" i="44"/>
  <c r="E74" i="44"/>
  <c r="E75" i="44"/>
  <c r="E76" i="44"/>
  <c r="E77" i="44"/>
  <c r="E78" i="44"/>
  <c r="E79" i="44"/>
  <c r="E80" i="44"/>
  <c r="E81" i="44"/>
  <c r="E82" i="44"/>
  <c r="E83" i="44"/>
  <c r="E84" i="44"/>
  <c r="E85" i="44"/>
  <c r="E86" i="44"/>
  <c r="E87" i="44"/>
  <c r="E88" i="44"/>
  <c r="E89" i="44"/>
  <c r="E90" i="44"/>
  <c r="E91" i="44"/>
  <c r="E92" i="44"/>
  <c r="E93" i="44"/>
  <c r="E94" i="44"/>
  <c r="E2" i="44"/>
  <c r="D3" i="44"/>
  <c r="D4" i="44"/>
  <c r="D5" i="44"/>
  <c r="D6" i="44"/>
  <c r="D7" i="44"/>
  <c r="D8" i="44"/>
  <c r="D9" i="44"/>
  <c r="D10" i="44"/>
  <c r="D11" i="44"/>
  <c r="D12" i="44"/>
  <c r="D13" i="44"/>
  <c r="D14" i="44"/>
  <c r="D15" i="44"/>
  <c r="D16" i="44"/>
  <c r="D17" i="44"/>
  <c r="D18" i="44"/>
  <c r="D19" i="44"/>
  <c r="D20" i="44"/>
  <c r="D21" i="44"/>
  <c r="D22" i="44"/>
  <c r="D23" i="44"/>
  <c r="D24" i="44"/>
  <c r="D25" i="44"/>
  <c r="D26" i="44"/>
  <c r="D27" i="44"/>
  <c r="D28" i="44"/>
  <c r="D29" i="44"/>
  <c r="D30" i="44"/>
  <c r="D31" i="44"/>
  <c r="D32" i="44"/>
  <c r="D33" i="44"/>
  <c r="D34" i="44"/>
  <c r="D35" i="44"/>
  <c r="D36" i="44"/>
  <c r="D37" i="44"/>
  <c r="D38" i="44"/>
  <c r="D39" i="44"/>
  <c r="D40" i="44"/>
  <c r="D41" i="44"/>
  <c r="D42" i="44"/>
  <c r="D43" i="44"/>
  <c r="D44" i="44"/>
  <c r="D45" i="44"/>
  <c r="D46" i="44"/>
  <c r="D47" i="44"/>
  <c r="D48" i="44"/>
  <c r="D49" i="44"/>
  <c r="D50" i="44"/>
  <c r="D51" i="44"/>
  <c r="D52" i="44"/>
  <c r="D53" i="44"/>
  <c r="D54" i="44"/>
  <c r="D55" i="44"/>
  <c r="D56" i="44"/>
  <c r="D57" i="44"/>
  <c r="D58" i="44"/>
  <c r="D59" i="44"/>
  <c r="D60" i="44"/>
  <c r="D61" i="44"/>
  <c r="D62" i="44"/>
  <c r="D63" i="44"/>
  <c r="D64" i="44"/>
  <c r="D65" i="44"/>
  <c r="D66" i="44"/>
  <c r="D67" i="44"/>
  <c r="D68" i="44"/>
  <c r="D69" i="44"/>
  <c r="D70" i="44"/>
  <c r="D71" i="44"/>
  <c r="D72" i="44"/>
  <c r="D73" i="44"/>
  <c r="D74" i="44"/>
  <c r="D75" i="44"/>
  <c r="D76" i="44"/>
  <c r="D77" i="44"/>
  <c r="D78" i="44"/>
  <c r="D79" i="44"/>
  <c r="D80" i="44"/>
  <c r="D81" i="44"/>
  <c r="D82" i="44"/>
  <c r="D83" i="44"/>
  <c r="D84" i="44"/>
  <c r="D85" i="44"/>
  <c r="D86" i="44"/>
  <c r="D87" i="44"/>
  <c r="D88" i="44"/>
  <c r="D89" i="44"/>
  <c r="D90" i="44"/>
  <c r="D91" i="44"/>
  <c r="D92" i="44"/>
  <c r="D93" i="44"/>
  <c r="D94" i="44"/>
  <c r="D2" i="44"/>
  <c r="A2" i="44"/>
  <c r="I30" i="49"/>
  <c r="J30" i="49"/>
  <c r="G30" i="49"/>
  <c r="F30" i="49"/>
  <c r="D30" i="49"/>
  <c r="C30" i="49"/>
  <c r="I29" i="49"/>
  <c r="J29" i="49"/>
  <c r="G29" i="49"/>
  <c r="F29" i="49"/>
  <c r="D29" i="49"/>
  <c r="C29" i="49"/>
  <c r="I28" i="49"/>
  <c r="J28" i="49"/>
  <c r="G28" i="49"/>
  <c r="F28" i="49"/>
  <c r="D28" i="49"/>
  <c r="C28" i="49"/>
  <c r="I27" i="49"/>
  <c r="J27" i="49"/>
  <c r="G27" i="49"/>
  <c r="F27" i="49"/>
  <c r="D27" i="49"/>
  <c r="C27" i="49"/>
  <c r="C12" i="47"/>
  <c r="D12" i="47"/>
  <c r="C11" i="47"/>
  <c r="D11" i="47"/>
  <c r="C10" i="47"/>
  <c r="D10" i="47"/>
  <c r="C9" i="47"/>
  <c r="D9" i="47"/>
  <c r="C8" i="47"/>
  <c r="D8" i="47"/>
  <c r="C7" i="47"/>
  <c r="D7" i="47"/>
  <c r="C6" i="47"/>
  <c r="D6" i="47"/>
  <c r="C5" i="47"/>
  <c r="D5" i="47"/>
  <c r="C4" i="47"/>
  <c r="D4" i="47"/>
  <c r="C3" i="47"/>
  <c r="D3" i="47"/>
  <c r="C2" i="47"/>
  <c r="D2" i="47"/>
  <c r="M98" i="45"/>
  <c r="T98" i="45"/>
  <c r="W98" i="45"/>
  <c r="V98" i="45"/>
  <c r="X98" i="45"/>
  <c r="U98" i="45"/>
  <c r="N98" i="45"/>
  <c r="Q98" i="45"/>
  <c r="P98" i="45"/>
  <c r="R98" i="45"/>
  <c r="O98" i="45"/>
  <c r="G98" i="45"/>
  <c r="J98" i="45"/>
  <c r="I98" i="45"/>
  <c r="K98" i="45"/>
  <c r="H98" i="45"/>
  <c r="M97" i="45"/>
  <c r="T97" i="45"/>
  <c r="W97" i="45"/>
  <c r="V97" i="45"/>
  <c r="X97" i="45"/>
  <c r="U97" i="45"/>
  <c r="N97" i="45"/>
  <c r="Q97" i="45"/>
  <c r="P97" i="45"/>
  <c r="R97" i="45"/>
  <c r="O97" i="45"/>
  <c r="G97" i="45"/>
  <c r="J97" i="45"/>
  <c r="I97" i="45"/>
  <c r="K97" i="45"/>
  <c r="H97" i="45"/>
  <c r="M96" i="45"/>
  <c r="T96" i="45"/>
  <c r="W96" i="45"/>
  <c r="V96" i="45"/>
  <c r="X96" i="45"/>
  <c r="U96" i="45"/>
  <c r="N96" i="45"/>
  <c r="Q96" i="45"/>
  <c r="P96" i="45"/>
  <c r="R96" i="45"/>
  <c r="O96" i="45"/>
  <c r="G96" i="45"/>
  <c r="J96" i="45"/>
  <c r="I96" i="45"/>
  <c r="K96" i="45"/>
  <c r="H96" i="45"/>
  <c r="T95" i="45"/>
  <c r="W95" i="45"/>
  <c r="V95" i="45"/>
  <c r="X95" i="45"/>
  <c r="U95" i="45"/>
  <c r="G95" i="45"/>
  <c r="J95" i="45"/>
  <c r="I95" i="45"/>
  <c r="K95" i="45"/>
  <c r="H95" i="45"/>
  <c r="T94" i="45"/>
  <c r="W94" i="45"/>
  <c r="V94" i="45"/>
  <c r="X94" i="45"/>
  <c r="U94" i="45"/>
  <c r="G94" i="45"/>
  <c r="J94" i="45"/>
  <c r="I94" i="45"/>
  <c r="K94" i="45"/>
  <c r="H94" i="45"/>
  <c r="T93" i="45"/>
  <c r="W93" i="45"/>
  <c r="V93" i="45"/>
  <c r="X93" i="45"/>
  <c r="U93" i="45"/>
  <c r="G93" i="45"/>
  <c r="J93" i="45"/>
  <c r="I93" i="45"/>
  <c r="K93" i="45"/>
  <c r="H93" i="45"/>
  <c r="M92" i="45"/>
  <c r="T92" i="45"/>
  <c r="W92" i="45"/>
  <c r="V92" i="45"/>
  <c r="X92" i="45"/>
  <c r="U92" i="45"/>
  <c r="N92" i="45"/>
  <c r="Q92" i="45"/>
  <c r="P92" i="45"/>
  <c r="R92" i="45"/>
  <c r="O92" i="45"/>
  <c r="G92" i="45"/>
  <c r="J92" i="45"/>
  <c r="I92" i="45"/>
  <c r="K92" i="45"/>
  <c r="H92" i="45"/>
  <c r="T91" i="45"/>
  <c r="W91" i="45"/>
  <c r="V91" i="45"/>
  <c r="X91" i="45"/>
  <c r="U91" i="45"/>
  <c r="G91" i="45"/>
  <c r="J91" i="45"/>
  <c r="I91" i="45"/>
  <c r="K91" i="45"/>
  <c r="H91" i="45"/>
  <c r="T90" i="45"/>
  <c r="W90" i="45"/>
  <c r="V90" i="45"/>
  <c r="X90" i="45"/>
  <c r="U90" i="45"/>
  <c r="G90" i="45"/>
  <c r="J90" i="45"/>
  <c r="I90" i="45"/>
  <c r="K90" i="45"/>
  <c r="H90" i="45"/>
  <c r="M89" i="45"/>
  <c r="T89" i="45"/>
  <c r="W89" i="45"/>
  <c r="V89" i="45"/>
  <c r="X89" i="45"/>
  <c r="U89" i="45"/>
  <c r="N89" i="45"/>
  <c r="Q89" i="45"/>
  <c r="P89" i="45"/>
  <c r="R89" i="45"/>
  <c r="O89" i="45"/>
  <c r="G89" i="45"/>
  <c r="J89" i="45"/>
  <c r="I89" i="45"/>
  <c r="K89" i="45"/>
  <c r="H89" i="45"/>
  <c r="M88" i="45"/>
  <c r="T88" i="45"/>
  <c r="W88" i="45"/>
  <c r="V88" i="45"/>
  <c r="X88" i="45"/>
  <c r="U88" i="45"/>
  <c r="N88" i="45"/>
  <c r="Q88" i="45"/>
  <c r="P88" i="45"/>
  <c r="R88" i="45"/>
  <c r="O88" i="45"/>
  <c r="G88" i="45"/>
  <c r="J88" i="45"/>
  <c r="I88" i="45"/>
  <c r="K88" i="45"/>
  <c r="H88" i="45"/>
  <c r="M87" i="45"/>
  <c r="T87" i="45"/>
  <c r="W87" i="45"/>
  <c r="V87" i="45"/>
  <c r="X87" i="45"/>
  <c r="U87" i="45"/>
  <c r="N87" i="45"/>
  <c r="Q87" i="45"/>
  <c r="P87" i="45"/>
  <c r="R87" i="45"/>
  <c r="O87" i="45"/>
  <c r="G87" i="45"/>
  <c r="J87" i="45"/>
  <c r="I87" i="45"/>
  <c r="K87" i="45"/>
  <c r="H87" i="45"/>
  <c r="M86" i="45"/>
  <c r="T86" i="45"/>
  <c r="W86" i="45"/>
  <c r="V86" i="45"/>
  <c r="X86" i="45"/>
  <c r="U86" i="45"/>
  <c r="N86" i="45"/>
  <c r="Q86" i="45"/>
  <c r="P86" i="45"/>
  <c r="R86" i="45"/>
  <c r="O86" i="45"/>
  <c r="G86" i="45"/>
  <c r="J86" i="45"/>
  <c r="I86" i="45"/>
  <c r="K86" i="45"/>
  <c r="H86" i="45"/>
  <c r="M85" i="45"/>
  <c r="T85" i="45"/>
  <c r="W85" i="45"/>
  <c r="V85" i="45"/>
  <c r="X85" i="45"/>
  <c r="U85" i="45"/>
  <c r="N85" i="45"/>
  <c r="Q85" i="45"/>
  <c r="P85" i="45"/>
  <c r="R85" i="45"/>
  <c r="O85" i="45"/>
  <c r="G85" i="45"/>
  <c r="J85" i="45"/>
  <c r="I85" i="45"/>
  <c r="K85" i="45"/>
  <c r="H85" i="45"/>
  <c r="M84" i="45"/>
  <c r="T84" i="45"/>
  <c r="W84" i="45"/>
  <c r="V84" i="45"/>
  <c r="X84" i="45"/>
  <c r="U84" i="45"/>
  <c r="Y84" i="45"/>
  <c r="N84" i="45"/>
  <c r="Q84" i="45"/>
  <c r="P84" i="45"/>
  <c r="R84" i="45"/>
  <c r="O84" i="45"/>
  <c r="S84" i="45"/>
  <c r="G84" i="45"/>
  <c r="J84" i="45"/>
  <c r="I84" i="45"/>
  <c r="K84" i="45"/>
  <c r="H84" i="45"/>
  <c r="L84" i="45"/>
  <c r="M83" i="45"/>
  <c r="T83" i="45"/>
  <c r="W83" i="45"/>
  <c r="V83" i="45"/>
  <c r="X83" i="45"/>
  <c r="U83" i="45"/>
  <c r="Y83" i="45"/>
  <c r="N83" i="45"/>
  <c r="Q83" i="45"/>
  <c r="P83" i="45"/>
  <c r="R83" i="45"/>
  <c r="O83" i="45"/>
  <c r="S83" i="45"/>
  <c r="G83" i="45"/>
  <c r="J83" i="45"/>
  <c r="I83" i="45"/>
  <c r="K83" i="45"/>
  <c r="H83" i="45"/>
  <c r="L83" i="45"/>
  <c r="M82" i="45"/>
  <c r="T82" i="45"/>
  <c r="W82" i="45"/>
  <c r="V82" i="45"/>
  <c r="X82" i="45"/>
  <c r="U82" i="45"/>
  <c r="Y82" i="45"/>
  <c r="N82" i="45"/>
  <c r="Q82" i="45"/>
  <c r="P82" i="45"/>
  <c r="R82" i="45"/>
  <c r="O82" i="45"/>
  <c r="S82" i="45"/>
  <c r="G82" i="45"/>
  <c r="J82" i="45"/>
  <c r="I82" i="45"/>
  <c r="K82" i="45"/>
  <c r="H82" i="45"/>
  <c r="L82" i="45"/>
  <c r="M81" i="45"/>
  <c r="T81" i="45"/>
  <c r="W81" i="45"/>
  <c r="V81" i="45"/>
  <c r="X81" i="45"/>
  <c r="U81" i="45"/>
  <c r="Y81" i="45"/>
  <c r="N81" i="45"/>
  <c r="Q81" i="45"/>
  <c r="P81" i="45"/>
  <c r="R81" i="45"/>
  <c r="O81" i="45"/>
  <c r="S81" i="45"/>
  <c r="G81" i="45"/>
  <c r="J81" i="45"/>
  <c r="I81" i="45"/>
  <c r="K81" i="45"/>
  <c r="H81" i="45"/>
  <c r="L81" i="45"/>
  <c r="M80" i="45"/>
  <c r="T80" i="45"/>
  <c r="W80" i="45"/>
  <c r="V80" i="45"/>
  <c r="X80" i="45"/>
  <c r="U80" i="45"/>
  <c r="Y80" i="45"/>
  <c r="N80" i="45"/>
  <c r="Q80" i="45"/>
  <c r="P80" i="45"/>
  <c r="R80" i="45"/>
  <c r="O80" i="45"/>
  <c r="S80" i="45"/>
  <c r="G80" i="45"/>
  <c r="J80" i="45"/>
  <c r="I80" i="45"/>
  <c r="K80" i="45"/>
  <c r="H80" i="45"/>
  <c r="L80" i="45"/>
  <c r="M79" i="45"/>
  <c r="T79" i="45"/>
  <c r="W79" i="45"/>
  <c r="V79" i="45"/>
  <c r="X79" i="45"/>
  <c r="U79" i="45"/>
  <c r="Y79" i="45"/>
  <c r="N79" i="45"/>
  <c r="Q79" i="45"/>
  <c r="P79" i="45"/>
  <c r="R79" i="45"/>
  <c r="O79" i="45"/>
  <c r="S79" i="45"/>
  <c r="G79" i="45"/>
  <c r="J79" i="45"/>
  <c r="I79" i="45"/>
  <c r="K79" i="45"/>
  <c r="H79" i="45"/>
  <c r="L79" i="45"/>
  <c r="T78" i="45"/>
  <c r="W78" i="45"/>
  <c r="V78" i="45"/>
  <c r="X78" i="45"/>
  <c r="U78" i="45"/>
  <c r="Y78" i="45"/>
  <c r="G78" i="45"/>
  <c r="J78" i="45"/>
  <c r="I78" i="45"/>
  <c r="K78" i="45"/>
  <c r="H78" i="45"/>
  <c r="L78" i="45"/>
  <c r="T77" i="45"/>
  <c r="W77" i="45"/>
  <c r="V77" i="45"/>
  <c r="X77" i="45"/>
  <c r="U77" i="45"/>
  <c r="Y77" i="45"/>
  <c r="G77" i="45"/>
  <c r="J77" i="45"/>
  <c r="I77" i="45"/>
  <c r="K77" i="45"/>
  <c r="H77" i="45"/>
  <c r="L77" i="45"/>
  <c r="M76" i="45"/>
  <c r="T76" i="45"/>
  <c r="W76" i="45"/>
  <c r="V76" i="45"/>
  <c r="X76" i="45"/>
  <c r="U76" i="45"/>
  <c r="Y76" i="45"/>
  <c r="N76" i="45"/>
  <c r="Q76" i="45"/>
  <c r="P76" i="45"/>
  <c r="R76" i="45"/>
  <c r="O76" i="45"/>
  <c r="S76" i="45"/>
  <c r="G76" i="45"/>
  <c r="J76" i="45"/>
  <c r="I76" i="45"/>
  <c r="K76" i="45"/>
  <c r="H76" i="45"/>
  <c r="L76" i="45"/>
  <c r="T75" i="45"/>
  <c r="W75" i="45"/>
  <c r="V75" i="45"/>
  <c r="X75" i="45"/>
  <c r="U75" i="45"/>
  <c r="Y75" i="45"/>
  <c r="G75" i="45"/>
  <c r="J75" i="45"/>
  <c r="I75" i="45"/>
  <c r="K75" i="45"/>
  <c r="H75" i="45"/>
  <c r="L75" i="45"/>
  <c r="T74" i="45"/>
  <c r="W74" i="45"/>
  <c r="V74" i="45"/>
  <c r="X74" i="45"/>
  <c r="U74" i="45"/>
  <c r="Y74" i="45"/>
  <c r="G74" i="45"/>
  <c r="J74" i="45"/>
  <c r="I74" i="45"/>
  <c r="K74" i="45"/>
  <c r="H74" i="45"/>
  <c r="L74" i="45"/>
  <c r="M73" i="45"/>
  <c r="T73" i="45"/>
  <c r="W73" i="45"/>
  <c r="V73" i="45"/>
  <c r="X73" i="45"/>
  <c r="U73" i="45"/>
  <c r="Y73" i="45"/>
  <c r="N73" i="45"/>
  <c r="Q73" i="45"/>
  <c r="P73" i="45"/>
  <c r="R73" i="45"/>
  <c r="O73" i="45"/>
  <c r="S73" i="45"/>
  <c r="G73" i="45"/>
  <c r="J73" i="45"/>
  <c r="I73" i="45"/>
  <c r="K73" i="45"/>
  <c r="H73" i="45"/>
  <c r="L73" i="45"/>
  <c r="M72" i="45"/>
  <c r="T72" i="45"/>
  <c r="W72" i="45"/>
  <c r="V72" i="45"/>
  <c r="X72" i="45"/>
  <c r="U72" i="45"/>
  <c r="Y72" i="45"/>
  <c r="N72" i="45"/>
  <c r="Q72" i="45"/>
  <c r="P72" i="45"/>
  <c r="R72" i="45"/>
  <c r="O72" i="45"/>
  <c r="S72" i="45"/>
  <c r="G72" i="45"/>
  <c r="J72" i="45"/>
  <c r="I72" i="45"/>
  <c r="K72" i="45"/>
  <c r="H72" i="45"/>
  <c r="L72" i="45"/>
  <c r="M71" i="45"/>
  <c r="T71" i="45"/>
  <c r="W71" i="45"/>
  <c r="V71" i="45"/>
  <c r="X71" i="45"/>
  <c r="U71" i="45"/>
  <c r="Y71" i="45"/>
  <c r="N71" i="45"/>
  <c r="Q71" i="45"/>
  <c r="P71" i="45"/>
  <c r="R71" i="45"/>
  <c r="O71" i="45"/>
  <c r="S71" i="45"/>
  <c r="G71" i="45"/>
  <c r="J71" i="45"/>
  <c r="I71" i="45"/>
  <c r="K71" i="45"/>
  <c r="H71" i="45"/>
  <c r="L71" i="45"/>
  <c r="M70" i="45"/>
  <c r="T70" i="45"/>
  <c r="W70" i="45"/>
  <c r="V70" i="45"/>
  <c r="X70" i="45"/>
  <c r="U70" i="45"/>
  <c r="Y70" i="45"/>
  <c r="N70" i="45"/>
  <c r="Q70" i="45"/>
  <c r="P70" i="45"/>
  <c r="R70" i="45"/>
  <c r="O70" i="45"/>
  <c r="S70" i="45"/>
  <c r="G70" i="45"/>
  <c r="J70" i="45"/>
  <c r="I70" i="45"/>
  <c r="K70" i="45"/>
  <c r="H70" i="45"/>
  <c r="L70" i="45"/>
  <c r="M69" i="45"/>
  <c r="T69" i="45"/>
  <c r="W69" i="45"/>
  <c r="V69" i="45"/>
  <c r="X69" i="45"/>
  <c r="U69" i="45"/>
  <c r="Y69" i="45"/>
  <c r="N69" i="45"/>
  <c r="Q69" i="45"/>
  <c r="P69" i="45"/>
  <c r="R69" i="45"/>
  <c r="O69" i="45"/>
  <c r="S69" i="45"/>
  <c r="G69" i="45"/>
  <c r="J69" i="45"/>
  <c r="I69" i="45"/>
  <c r="K69" i="45"/>
  <c r="H69" i="45"/>
  <c r="L69" i="45"/>
  <c r="M68" i="45"/>
  <c r="T68" i="45"/>
  <c r="W68" i="45"/>
  <c r="V68" i="45"/>
  <c r="X68" i="45"/>
  <c r="U68" i="45"/>
  <c r="Y68" i="45"/>
  <c r="N68" i="45"/>
  <c r="Q68" i="45"/>
  <c r="P68" i="45"/>
  <c r="R68" i="45"/>
  <c r="O68" i="45"/>
  <c r="S68" i="45"/>
  <c r="G68" i="45"/>
  <c r="J68" i="45"/>
  <c r="I68" i="45"/>
  <c r="K68" i="45"/>
  <c r="H68" i="45"/>
  <c r="L68" i="45"/>
  <c r="M67" i="45"/>
  <c r="T67" i="45"/>
  <c r="W67" i="45"/>
  <c r="V67" i="45"/>
  <c r="X67" i="45"/>
  <c r="U67" i="45"/>
  <c r="Y67" i="45"/>
  <c r="N67" i="45"/>
  <c r="Q67" i="45"/>
  <c r="P67" i="45"/>
  <c r="R67" i="45"/>
  <c r="O67" i="45"/>
  <c r="S67" i="45"/>
  <c r="G67" i="45"/>
  <c r="J67" i="45"/>
  <c r="I67" i="45"/>
  <c r="K67" i="45"/>
  <c r="H67" i="45"/>
  <c r="L67" i="45"/>
  <c r="M66" i="45"/>
  <c r="T66" i="45"/>
  <c r="W66" i="45"/>
  <c r="V66" i="45"/>
  <c r="X66" i="45"/>
  <c r="U66" i="45"/>
  <c r="Y66" i="45"/>
  <c r="N66" i="45"/>
  <c r="Q66" i="45"/>
  <c r="P66" i="45"/>
  <c r="R66" i="45"/>
  <c r="O66" i="45"/>
  <c r="S66" i="45"/>
  <c r="G66" i="45"/>
  <c r="J66" i="45"/>
  <c r="I66" i="45"/>
  <c r="K66" i="45"/>
  <c r="H66" i="45"/>
  <c r="L66" i="45"/>
  <c r="M65" i="45"/>
  <c r="T65" i="45"/>
  <c r="W65" i="45"/>
  <c r="V65" i="45"/>
  <c r="X65" i="45"/>
  <c r="U65" i="45"/>
  <c r="Y65" i="45"/>
  <c r="N65" i="45"/>
  <c r="Q65" i="45"/>
  <c r="P65" i="45"/>
  <c r="R65" i="45"/>
  <c r="O65" i="45"/>
  <c r="S65" i="45"/>
  <c r="G65" i="45"/>
  <c r="J65" i="45"/>
  <c r="I65" i="45"/>
  <c r="K65" i="45"/>
  <c r="H65" i="45"/>
  <c r="L65" i="45"/>
  <c r="M64" i="45"/>
  <c r="T64" i="45"/>
  <c r="W64" i="45"/>
  <c r="V64" i="45"/>
  <c r="X64" i="45"/>
  <c r="U64" i="45"/>
  <c r="Y64" i="45"/>
  <c r="N64" i="45"/>
  <c r="Q64" i="45"/>
  <c r="P64" i="45"/>
  <c r="R64" i="45"/>
  <c r="O64" i="45"/>
  <c r="S64" i="45"/>
  <c r="G64" i="45"/>
  <c r="J64" i="45"/>
  <c r="I64" i="45"/>
  <c r="K64" i="45"/>
  <c r="H64" i="45"/>
  <c r="L64" i="45"/>
  <c r="M63" i="45"/>
  <c r="T63" i="45"/>
  <c r="W63" i="45"/>
  <c r="V63" i="45"/>
  <c r="X63" i="45"/>
  <c r="U63" i="45"/>
  <c r="Y63" i="45"/>
  <c r="N63" i="45"/>
  <c r="Q63" i="45"/>
  <c r="P63" i="45"/>
  <c r="R63" i="45"/>
  <c r="O63" i="45"/>
  <c r="S63" i="45"/>
  <c r="G63" i="45"/>
  <c r="J63" i="45"/>
  <c r="I63" i="45"/>
  <c r="K63" i="45"/>
  <c r="H63" i="45"/>
  <c r="L63" i="45"/>
  <c r="M62" i="45"/>
  <c r="T62" i="45"/>
  <c r="W62" i="45"/>
  <c r="V62" i="45"/>
  <c r="X62" i="45"/>
  <c r="U62" i="45"/>
  <c r="Y62" i="45"/>
  <c r="N62" i="45"/>
  <c r="Q62" i="45"/>
  <c r="P62" i="45"/>
  <c r="R62" i="45"/>
  <c r="O62" i="45"/>
  <c r="S62" i="45"/>
  <c r="G62" i="45"/>
  <c r="J62" i="45"/>
  <c r="I62" i="45"/>
  <c r="K62" i="45"/>
  <c r="H62" i="45"/>
  <c r="L62" i="45"/>
  <c r="M61" i="45"/>
  <c r="T61" i="45"/>
  <c r="W61" i="45"/>
  <c r="V61" i="45"/>
  <c r="X61" i="45"/>
  <c r="U61" i="45"/>
  <c r="Y61" i="45"/>
  <c r="N61" i="45"/>
  <c r="Q61" i="45"/>
  <c r="P61" i="45"/>
  <c r="R61" i="45"/>
  <c r="O61" i="45"/>
  <c r="S61" i="45"/>
  <c r="G61" i="45"/>
  <c r="J61" i="45"/>
  <c r="I61" i="45"/>
  <c r="K61" i="45"/>
  <c r="H61" i="45"/>
  <c r="L61" i="45"/>
  <c r="M60" i="45"/>
  <c r="T60" i="45"/>
  <c r="W60" i="45"/>
  <c r="V60" i="45"/>
  <c r="X60" i="45"/>
  <c r="U60" i="45"/>
  <c r="Y60" i="45"/>
  <c r="N60" i="45"/>
  <c r="Q60" i="45"/>
  <c r="P60" i="45"/>
  <c r="R60" i="45"/>
  <c r="O60" i="45"/>
  <c r="S60" i="45"/>
  <c r="G60" i="45"/>
  <c r="J60" i="45"/>
  <c r="I60" i="45"/>
  <c r="K60" i="45"/>
  <c r="H60" i="45"/>
  <c r="L60" i="45"/>
  <c r="M59" i="45"/>
  <c r="T59" i="45"/>
  <c r="W59" i="45"/>
  <c r="V59" i="45"/>
  <c r="X59" i="45"/>
  <c r="U59" i="45"/>
  <c r="Y59" i="45"/>
  <c r="N59" i="45"/>
  <c r="Q59" i="45"/>
  <c r="P59" i="45"/>
  <c r="R59" i="45"/>
  <c r="O59" i="45"/>
  <c r="S59" i="45"/>
  <c r="G59" i="45"/>
  <c r="J59" i="45"/>
  <c r="I59" i="45"/>
  <c r="K59" i="45"/>
  <c r="H59" i="45"/>
  <c r="L59" i="45"/>
  <c r="M58" i="45"/>
  <c r="T58" i="45"/>
  <c r="W58" i="45"/>
  <c r="V58" i="45"/>
  <c r="X58" i="45"/>
  <c r="U58" i="45"/>
  <c r="Y58" i="45"/>
  <c r="N58" i="45"/>
  <c r="Q58" i="45"/>
  <c r="P58" i="45"/>
  <c r="R58" i="45"/>
  <c r="O58" i="45"/>
  <c r="S58" i="45"/>
  <c r="G58" i="45"/>
  <c r="J58" i="45"/>
  <c r="I58" i="45"/>
  <c r="K58" i="45"/>
  <c r="H58" i="45"/>
  <c r="L58" i="45"/>
  <c r="M57" i="45"/>
  <c r="T57" i="45"/>
  <c r="W57" i="45"/>
  <c r="V57" i="45"/>
  <c r="X57" i="45"/>
  <c r="U57" i="45"/>
  <c r="Y57" i="45"/>
  <c r="N57" i="45"/>
  <c r="Q57" i="45"/>
  <c r="P57" i="45"/>
  <c r="R57" i="45"/>
  <c r="O57" i="45"/>
  <c r="S57" i="45"/>
  <c r="G57" i="45"/>
  <c r="J57" i="45"/>
  <c r="I57" i="45"/>
  <c r="K57" i="45"/>
  <c r="H57" i="45"/>
  <c r="L57" i="45"/>
  <c r="M56" i="45"/>
  <c r="T56" i="45"/>
  <c r="W56" i="45"/>
  <c r="V56" i="45"/>
  <c r="X56" i="45"/>
  <c r="U56" i="45"/>
  <c r="Y56" i="45"/>
  <c r="N56" i="45"/>
  <c r="Q56" i="45"/>
  <c r="P56" i="45"/>
  <c r="R56" i="45"/>
  <c r="O56" i="45"/>
  <c r="S56" i="45"/>
  <c r="G56" i="45"/>
  <c r="J56" i="45"/>
  <c r="I56" i="45"/>
  <c r="K56" i="45"/>
  <c r="H56" i="45"/>
  <c r="L56" i="45"/>
  <c r="M55" i="45"/>
  <c r="T55" i="45"/>
  <c r="W55" i="45"/>
  <c r="V55" i="45"/>
  <c r="X55" i="45"/>
  <c r="U55" i="45"/>
  <c r="Y55" i="45"/>
  <c r="N55" i="45"/>
  <c r="Q55" i="45"/>
  <c r="P55" i="45"/>
  <c r="R55" i="45"/>
  <c r="O55" i="45"/>
  <c r="S55" i="45"/>
  <c r="G55" i="45"/>
  <c r="J55" i="45"/>
  <c r="I55" i="45"/>
  <c r="K55" i="45"/>
  <c r="H55" i="45"/>
  <c r="L55" i="45"/>
  <c r="M54" i="45"/>
  <c r="T54" i="45"/>
  <c r="W54" i="45"/>
  <c r="V54" i="45"/>
  <c r="X54" i="45"/>
  <c r="U54" i="45"/>
  <c r="Y54" i="45"/>
  <c r="N54" i="45"/>
  <c r="Q54" i="45"/>
  <c r="P54" i="45"/>
  <c r="R54" i="45"/>
  <c r="O54" i="45"/>
  <c r="S54" i="45"/>
  <c r="G54" i="45"/>
  <c r="J54" i="45"/>
  <c r="I54" i="45"/>
  <c r="K54" i="45"/>
  <c r="H54" i="45"/>
  <c r="L54" i="45"/>
  <c r="M53" i="45"/>
  <c r="T53" i="45"/>
  <c r="W53" i="45"/>
  <c r="V53" i="45"/>
  <c r="X53" i="45"/>
  <c r="U53" i="45"/>
  <c r="Y53" i="45"/>
  <c r="N53" i="45"/>
  <c r="Q53" i="45"/>
  <c r="P53" i="45"/>
  <c r="R53" i="45"/>
  <c r="O53" i="45"/>
  <c r="S53" i="45"/>
  <c r="G53" i="45"/>
  <c r="J53" i="45"/>
  <c r="I53" i="45"/>
  <c r="K53" i="45"/>
  <c r="H53" i="45"/>
  <c r="L53" i="45"/>
  <c r="M52" i="45"/>
  <c r="T52" i="45"/>
  <c r="W52" i="45"/>
  <c r="V52" i="45"/>
  <c r="X52" i="45"/>
  <c r="U52" i="45"/>
  <c r="Y52" i="45"/>
  <c r="N52" i="45"/>
  <c r="Q52" i="45"/>
  <c r="P52" i="45"/>
  <c r="R52" i="45"/>
  <c r="O52" i="45"/>
  <c r="S52" i="45"/>
  <c r="G52" i="45"/>
  <c r="J52" i="45"/>
  <c r="I52" i="45"/>
  <c r="K52" i="45"/>
  <c r="H52" i="45"/>
  <c r="L52" i="45"/>
  <c r="M51" i="45"/>
  <c r="T51" i="45"/>
  <c r="W51" i="45"/>
  <c r="V51" i="45"/>
  <c r="X51" i="45"/>
  <c r="U51" i="45"/>
  <c r="Y51" i="45"/>
  <c r="N51" i="45"/>
  <c r="Q51" i="45"/>
  <c r="P51" i="45"/>
  <c r="R51" i="45"/>
  <c r="O51" i="45"/>
  <c r="S51" i="45"/>
  <c r="G51" i="45"/>
  <c r="J51" i="45"/>
  <c r="I51" i="45"/>
  <c r="K51" i="45"/>
  <c r="H51" i="45"/>
  <c r="L51" i="45"/>
  <c r="M50" i="45"/>
  <c r="T50" i="45"/>
  <c r="W50" i="45"/>
  <c r="V50" i="45"/>
  <c r="X50" i="45"/>
  <c r="U50" i="45"/>
  <c r="Y50" i="45"/>
  <c r="N50" i="45"/>
  <c r="Q50" i="45"/>
  <c r="P50" i="45"/>
  <c r="R50" i="45"/>
  <c r="O50" i="45"/>
  <c r="S50" i="45"/>
  <c r="G50" i="45"/>
  <c r="J50" i="45"/>
  <c r="I50" i="45"/>
  <c r="K50" i="45"/>
  <c r="H50" i="45"/>
  <c r="L50" i="45"/>
  <c r="M49" i="45"/>
  <c r="T49" i="45"/>
  <c r="W49" i="45"/>
  <c r="V49" i="45"/>
  <c r="X49" i="45"/>
  <c r="U49" i="45"/>
  <c r="Y49" i="45"/>
  <c r="N49" i="45"/>
  <c r="Q49" i="45"/>
  <c r="P49" i="45"/>
  <c r="R49" i="45"/>
  <c r="O49" i="45"/>
  <c r="S49" i="45"/>
  <c r="G49" i="45"/>
  <c r="J49" i="45"/>
  <c r="I49" i="45"/>
  <c r="K49" i="45"/>
  <c r="H49" i="45"/>
  <c r="L49" i="45"/>
  <c r="M48" i="45"/>
  <c r="T48" i="45"/>
  <c r="W48" i="45"/>
  <c r="V48" i="45"/>
  <c r="X48" i="45"/>
  <c r="U48" i="45"/>
  <c r="Y48" i="45"/>
  <c r="N48" i="45"/>
  <c r="Q48" i="45"/>
  <c r="P48" i="45"/>
  <c r="R48" i="45"/>
  <c r="O48" i="45"/>
  <c r="S48" i="45"/>
  <c r="G48" i="45"/>
  <c r="J48" i="45"/>
  <c r="I48" i="45"/>
  <c r="K48" i="45"/>
  <c r="H48" i="45"/>
  <c r="L48" i="45"/>
  <c r="M47" i="45"/>
  <c r="T47" i="45"/>
  <c r="W47" i="45"/>
  <c r="V47" i="45"/>
  <c r="X47" i="45"/>
  <c r="U47" i="45"/>
  <c r="Y47" i="45"/>
  <c r="N47" i="45"/>
  <c r="Q47" i="45"/>
  <c r="P47" i="45"/>
  <c r="R47" i="45"/>
  <c r="O47" i="45"/>
  <c r="S47" i="45"/>
  <c r="G47" i="45"/>
  <c r="J47" i="45"/>
  <c r="I47" i="45"/>
  <c r="K47" i="45"/>
  <c r="H47" i="45"/>
  <c r="L47" i="45"/>
  <c r="M46" i="45"/>
  <c r="T46" i="45"/>
  <c r="W46" i="45"/>
  <c r="V46" i="45"/>
  <c r="X46" i="45"/>
  <c r="U46" i="45"/>
  <c r="Y46" i="45"/>
  <c r="N46" i="45"/>
  <c r="Q46" i="45"/>
  <c r="P46" i="45"/>
  <c r="R46" i="45"/>
  <c r="O46" i="45"/>
  <c r="S46" i="45"/>
  <c r="G46" i="45"/>
  <c r="J46" i="45"/>
  <c r="I46" i="45"/>
  <c r="K46" i="45"/>
  <c r="H46" i="45"/>
  <c r="L46" i="45"/>
  <c r="M45" i="45"/>
  <c r="T45" i="45"/>
  <c r="W45" i="45"/>
  <c r="V45" i="45"/>
  <c r="X45" i="45"/>
  <c r="U45" i="45"/>
  <c r="Y45" i="45"/>
  <c r="N45" i="45"/>
  <c r="Q45" i="45"/>
  <c r="P45" i="45"/>
  <c r="R45" i="45"/>
  <c r="O45" i="45"/>
  <c r="S45" i="45"/>
  <c r="G45" i="45"/>
  <c r="J45" i="45"/>
  <c r="I45" i="45"/>
  <c r="K45" i="45"/>
  <c r="H45" i="45"/>
  <c r="L45" i="45"/>
  <c r="M44" i="45"/>
  <c r="T44" i="45"/>
  <c r="W44" i="45"/>
  <c r="V44" i="45"/>
  <c r="X44" i="45"/>
  <c r="U44" i="45"/>
  <c r="Y44" i="45"/>
  <c r="N44" i="45"/>
  <c r="Q44" i="45"/>
  <c r="P44" i="45"/>
  <c r="R44" i="45"/>
  <c r="O44" i="45"/>
  <c r="S44" i="45"/>
  <c r="G44" i="45"/>
  <c r="J44" i="45"/>
  <c r="I44" i="45"/>
  <c r="K44" i="45"/>
  <c r="H44" i="45"/>
  <c r="L44" i="45"/>
  <c r="M43" i="45"/>
  <c r="T43" i="45"/>
  <c r="W43" i="45"/>
  <c r="V43" i="45"/>
  <c r="X43" i="45"/>
  <c r="U43" i="45"/>
  <c r="Y43" i="45"/>
  <c r="N43" i="45"/>
  <c r="Q43" i="45"/>
  <c r="P43" i="45"/>
  <c r="R43" i="45"/>
  <c r="O43" i="45"/>
  <c r="S43" i="45"/>
  <c r="G43" i="45"/>
  <c r="J43" i="45"/>
  <c r="I43" i="45"/>
  <c r="K43" i="45"/>
  <c r="H43" i="45"/>
  <c r="L43" i="45"/>
  <c r="M42" i="45"/>
  <c r="T42" i="45"/>
  <c r="W42" i="45"/>
  <c r="V42" i="45"/>
  <c r="X42" i="45"/>
  <c r="U42" i="45"/>
  <c r="Y42" i="45"/>
  <c r="N42" i="45"/>
  <c r="Q42" i="45"/>
  <c r="P42" i="45"/>
  <c r="R42" i="45"/>
  <c r="O42" i="45"/>
  <c r="S42" i="45"/>
  <c r="G42" i="45"/>
  <c r="J42" i="45"/>
  <c r="I42" i="45"/>
  <c r="K42" i="45"/>
  <c r="H42" i="45"/>
  <c r="L42" i="45"/>
  <c r="M41" i="45"/>
  <c r="T41" i="45"/>
  <c r="W41" i="45"/>
  <c r="V41" i="45"/>
  <c r="X41" i="45"/>
  <c r="U41" i="45"/>
  <c r="Y41" i="45"/>
  <c r="N41" i="45"/>
  <c r="Q41" i="45"/>
  <c r="P41" i="45"/>
  <c r="R41" i="45"/>
  <c r="O41" i="45"/>
  <c r="S41" i="45"/>
  <c r="G41" i="45"/>
  <c r="J41" i="45"/>
  <c r="I41" i="45"/>
  <c r="K41" i="45"/>
  <c r="H41" i="45"/>
  <c r="L41" i="45"/>
  <c r="M40" i="45"/>
  <c r="T40" i="45"/>
  <c r="W40" i="45"/>
  <c r="V40" i="45"/>
  <c r="X40" i="45"/>
  <c r="U40" i="45"/>
  <c r="Y40" i="45"/>
  <c r="N40" i="45"/>
  <c r="Q40" i="45"/>
  <c r="P40" i="45"/>
  <c r="R40" i="45"/>
  <c r="O40" i="45"/>
  <c r="S40" i="45"/>
  <c r="G40" i="45"/>
  <c r="J40" i="45"/>
  <c r="I40" i="45"/>
  <c r="K40" i="45"/>
  <c r="H40" i="45"/>
  <c r="L40" i="45"/>
  <c r="M39" i="45"/>
  <c r="T39" i="45"/>
  <c r="W39" i="45"/>
  <c r="V39" i="45"/>
  <c r="X39" i="45"/>
  <c r="U39" i="45"/>
  <c r="Y39" i="45"/>
  <c r="N39" i="45"/>
  <c r="Q39" i="45"/>
  <c r="P39" i="45"/>
  <c r="R39" i="45"/>
  <c r="O39" i="45"/>
  <c r="S39" i="45"/>
  <c r="G39" i="45"/>
  <c r="J39" i="45"/>
  <c r="I39" i="45"/>
  <c r="K39" i="45"/>
  <c r="H39" i="45"/>
  <c r="L39" i="45"/>
  <c r="T38" i="45"/>
  <c r="W38" i="45"/>
  <c r="V38" i="45"/>
  <c r="X38" i="45"/>
  <c r="U38" i="45"/>
  <c r="Y38" i="45"/>
  <c r="G38" i="45"/>
  <c r="J38" i="45"/>
  <c r="I38" i="45"/>
  <c r="K38" i="45"/>
  <c r="H38" i="45"/>
  <c r="L38" i="45"/>
  <c r="M37" i="45"/>
  <c r="T37" i="45"/>
  <c r="W37" i="45"/>
  <c r="V37" i="45"/>
  <c r="X37" i="45"/>
  <c r="U37" i="45"/>
  <c r="Y37" i="45"/>
  <c r="N37" i="45"/>
  <c r="Q37" i="45"/>
  <c r="P37" i="45"/>
  <c r="R37" i="45"/>
  <c r="O37" i="45"/>
  <c r="S37" i="45"/>
  <c r="G37" i="45"/>
  <c r="J37" i="45"/>
  <c r="I37" i="45"/>
  <c r="K37" i="45"/>
  <c r="H37" i="45"/>
  <c r="L37" i="45"/>
  <c r="M36" i="45"/>
  <c r="T36" i="45"/>
  <c r="W36" i="45"/>
  <c r="V36" i="45"/>
  <c r="X36" i="45"/>
  <c r="U36" i="45"/>
  <c r="Y36" i="45"/>
  <c r="N36" i="45"/>
  <c r="Q36" i="45"/>
  <c r="P36" i="45"/>
  <c r="R36" i="45"/>
  <c r="O36" i="45"/>
  <c r="S36" i="45"/>
  <c r="G36" i="45"/>
  <c r="J36" i="45"/>
  <c r="I36" i="45"/>
  <c r="K36" i="45"/>
  <c r="H36" i="45"/>
  <c r="L36" i="45"/>
  <c r="M35" i="45"/>
  <c r="T35" i="45"/>
  <c r="W35" i="45"/>
  <c r="V35" i="45"/>
  <c r="X35" i="45"/>
  <c r="U35" i="45"/>
  <c r="Y35" i="45"/>
  <c r="N35" i="45"/>
  <c r="Q35" i="45"/>
  <c r="P35" i="45"/>
  <c r="R35" i="45"/>
  <c r="O35" i="45"/>
  <c r="S35" i="45"/>
  <c r="G35" i="45"/>
  <c r="J35" i="45"/>
  <c r="I35" i="45"/>
  <c r="K35" i="45"/>
  <c r="H35" i="45"/>
  <c r="L35" i="45"/>
  <c r="T34" i="45"/>
  <c r="W34" i="45"/>
  <c r="V34" i="45"/>
  <c r="X34" i="45"/>
  <c r="U34" i="45"/>
  <c r="Y34" i="45"/>
  <c r="G34" i="45"/>
  <c r="J34" i="45"/>
  <c r="I34" i="45"/>
  <c r="K34" i="45"/>
  <c r="H34" i="45"/>
  <c r="L34" i="45"/>
  <c r="T33" i="45"/>
  <c r="W33" i="45"/>
  <c r="V33" i="45"/>
  <c r="X33" i="45"/>
  <c r="U33" i="45"/>
  <c r="Y33" i="45"/>
  <c r="G33" i="45"/>
  <c r="J33" i="45"/>
  <c r="I33" i="45"/>
  <c r="K33" i="45"/>
  <c r="H33" i="45"/>
  <c r="L33" i="45"/>
  <c r="M32" i="45"/>
  <c r="T32" i="45"/>
  <c r="W32" i="45"/>
  <c r="V32" i="45"/>
  <c r="X32" i="45"/>
  <c r="U32" i="45"/>
  <c r="Y32" i="45"/>
  <c r="N32" i="45"/>
  <c r="Q32" i="45"/>
  <c r="P32" i="45"/>
  <c r="R32" i="45"/>
  <c r="O32" i="45"/>
  <c r="S32" i="45"/>
  <c r="G32" i="45"/>
  <c r="J32" i="45"/>
  <c r="I32" i="45"/>
  <c r="K32" i="45"/>
  <c r="H32" i="45"/>
  <c r="L32" i="45"/>
  <c r="M31" i="45"/>
  <c r="T31" i="45"/>
  <c r="W31" i="45"/>
  <c r="V31" i="45"/>
  <c r="X31" i="45"/>
  <c r="U31" i="45"/>
  <c r="Y31" i="45"/>
  <c r="N31" i="45"/>
  <c r="Q31" i="45"/>
  <c r="P31" i="45"/>
  <c r="R31" i="45"/>
  <c r="O31" i="45"/>
  <c r="S31" i="45"/>
  <c r="G31" i="45"/>
  <c r="J31" i="45"/>
  <c r="I31" i="45"/>
  <c r="K31" i="45"/>
  <c r="H31" i="45"/>
  <c r="L31" i="45"/>
  <c r="M30" i="45"/>
  <c r="T30" i="45"/>
  <c r="W30" i="45"/>
  <c r="V30" i="45"/>
  <c r="X30" i="45"/>
  <c r="U30" i="45"/>
  <c r="Y30" i="45"/>
  <c r="N30" i="45"/>
  <c r="Q30" i="45"/>
  <c r="P30" i="45"/>
  <c r="R30" i="45"/>
  <c r="O30" i="45"/>
  <c r="S30" i="45"/>
  <c r="G30" i="45"/>
  <c r="J30" i="45"/>
  <c r="I30" i="45"/>
  <c r="K30" i="45"/>
  <c r="H30" i="45"/>
  <c r="L30" i="45"/>
  <c r="M29" i="45"/>
  <c r="T29" i="45"/>
  <c r="W29" i="45"/>
  <c r="V29" i="45"/>
  <c r="X29" i="45"/>
  <c r="U29" i="45"/>
  <c r="Y29" i="45"/>
  <c r="N29" i="45"/>
  <c r="Q29" i="45"/>
  <c r="P29" i="45"/>
  <c r="R29" i="45"/>
  <c r="O29" i="45"/>
  <c r="S29" i="45"/>
  <c r="G29" i="45"/>
  <c r="J29" i="45"/>
  <c r="I29" i="45"/>
  <c r="K29" i="45"/>
  <c r="H29" i="45"/>
  <c r="L29" i="45"/>
  <c r="M28" i="45"/>
  <c r="T28" i="45"/>
  <c r="W28" i="45"/>
  <c r="V28" i="45"/>
  <c r="X28" i="45"/>
  <c r="U28" i="45"/>
  <c r="Y28" i="45"/>
  <c r="N28" i="45"/>
  <c r="Q28" i="45"/>
  <c r="P28" i="45"/>
  <c r="R28" i="45"/>
  <c r="O28" i="45"/>
  <c r="S28" i="45"/>
  <c r="G28" i="45"/>
  <c r="J28" i="45"/>
  <c r="I28" i="45"/>
  <c r="K28" i="45"/>
  <c r="H28" i="45"/>
  <c r="L28" i="45"/>
  <c r="M27" i="45"/>
  <c r="T27" i="45"/>
  <c r="W27" i="45"/>
  <c r="V27" i="45"/>
  <c r="X27" i="45"/>
  <c r="U27" i="45"/>
  <c r="Y27" i="45"/>
  <c r="N27" i="45"/>
  <c r="Q27" i="45"/>
  <c r="P27" i="45"/>
  <c r="R27" i="45"/>
  <c r="O27" i="45"/>
  <c r="S27" i="45"/>
  <c r="G27" i="45"/>
  <c r="J27" i="45"/>
  <c r="I27" i="45"/>
  <c r="K27" i="45"/>
  <c r="H27" i="45"/>
  <c r="L27" i="45"/>
  <c r="M26" i="45"/>
  <c r="T26" i="45"/>
  <c r="W26" i="45"/>
  <c r="V26" i="45"/>
  <c r="X26" i="45"/>
  <c r="U26" i="45"/>
  <c r="Y26" i="45"/>
  <c r="N26" i="45"/>
  <c r="Q26" i="45"/>
  <c r="P26" i="45"/>
  <c r="R26" i="45"/>
  <c r="O26" i="45"/>
  <c r="S26" i="45"/>
  <c r="G26" i="45"/>
  <c r="J26" i="45"/>
  <c r="I26" i="45"/>
  <c r="K26" i="45"/>
  <c r="H26" i="45"/>
  <c r="L26" i="45"/>
  <c r="M25" i="45"/>
  <c r="T25" i="45"/>
  <c r="W25" i="45"/>
  <c r="V25" i="45"/>
  <c r="X25" i="45"/>
  <c r="U25" i="45"/>
  <c r="Y25" i="45"/>
  <c r="N25" i="45"/>
  <c r="Q25" i="45"/>
  <c r="P25" i="45"/>
  <c r="R25" i="45"/>
  <c r="O25" i="45"/>
  <c r="S25" i="45"/>
  <c r="G25" i="45"/>
  <c r="J25" i="45"/>
  <c r="I25" i="45"/>
  <c r="K25" i="45"/>
  <c r="H25" i="45"/>
  <c r="L25" i="45"/>
  <c r="M24" i="45"/>
  <c r="T24" i="45"/>
  <c r="W24" i="45"/>
  <c r="V24" i="45"/>
  <c r="X24" i="45"/>
  <c r="U24" i="45"/>
  <c r="Y24" i="45"/>
  <c r="N24" i="45"/>
  <c r="Q24" i="45"/>
  <c r="P24" i="45"/>
  <c r="R24" i="45"/>
  <c r="O24" i="45"/>
  <c r="S24" i="45"/>
  <c r="G24" i="45"/>
  <c r="J24" i="45"/>
  <c r="I24" i="45"/>
  <c r="K24" i="45"/>
  <c r="H24" i="45"/>
  <c r="L24" i="45"/>
  <c r="M23" i="45"/>
  <c r="T23" i="45"/>
  <c r="W23" i="45"/>
  <c r="V23" i="45"/>
  <c r="X23" i="45"/>
  <c r="U23" i="45"/>
  <c r="Y23" i="45"/>
  <c r="N23" i="45"/>
  <c r="Q23" i="45"/>
  <c r="P23" i="45"/>
  <c r="R23" i="45"/>
  <c r="O23" i="45"/>
  <c r="S23" i="45"/>
  <c r="G23" i="45"/>
  <c r="J23" i="45"/>
  <c r="I23" i="45"/>
  <c r="K23" i="45"/>
  <c r="H23" i="45"/>
  <c r="L23" i="45"/>
  <c r="M22" i="45"/>
  <c r="T22" i="45"/>
  <c r="W22" i="45"/>
  <c r="V22" i="45"/>
  <c r="X22" i="45"/>
  <c r="U22" i="45"/>
  <c r="Y22" i="45"/>
  <c r="N22" i="45"/>
  <c r="Q22" i="45"/>
  <c r="P22" i="45"/>
  <c r="R22" i="45"/>
  <c r="O22" i="45"/>
  <c r="S22" i="45"/>
  <c r="G22" i="45"/>
  <c r="J22" i="45"/>
  <c r="I22" i="45"/>
  <c r="K22" i="45"/>
  <c r="H22" i="45"/>
  <c r="L22" i="45"/>
  <c r="M21" i="45"/>
  <c r="T21" i="45"/>
  <c r="W21" i="45"/>
  <c r="V21" i="45"/>
  <c r="X21" i="45"/>
  <c r="U21" i="45"/>
  <c r="Y21" i="45"/>
  <c r="N21" i="45"/>
  <c r="Q21" i="45"/>
  <c r="P21" i="45"/>
  <c r="R21" i="45"/>
  <c r="O21" i="45"/>
  <c r="S21" i="45"/>
  <c r="G21" i="45"/>
  <c r="J21" i="45"/>
  <c r="I21" i="45"/>
  <c r="K21" i="45"/>
  <c r="H21" i="45"/>
  <c r="L21" i="45"/>
  <c r="M20" i="45"/>
  <c r="T20" i="45"/>
  <c r="W20" i="45"/>
  <c r="V20" i="45"/>
  <c r="X20" i="45"/>
  <c r="U20" i="45"/>
  <c r="Y20" i="45"/>
  <c r="N20" i="45"/>
  <c r="Q20" i="45"/>
  <c r="P20" i="45"/>
  <c r="R20" i="45"/>
  <c r="O20" i="45"/>
  <c r="S20" i="45"/>
  <c r="G20" i="45"/>
  <c r="J20" i="45"/>
  <c r="I20" i="45"/>
  <c r="K20" i="45"/>
  <c r="H20" i="45"/>
  <c r="L20" i="45"/>
  <c r="M19" i="45"/>
  <c r="T19" i="45"/>
  <c r="W19" i="45"/>
  <c r="V19" i="45"/>
  <c r="X19" i="45"/>
  <c r="U19" i="45"/>
  <c r="Y19" i="45"/>
  <c r="N19" i="45"/>
  <c r="Q19" i="45"/>
  <c r="P19" i="45"/>
  <c r="R19" i="45"/>
  <c r="O19" i="45"/>
  <c r="S19" i="45"/>
  <c r="G19" i="45"/>
  <c r="J19" i="45"/>
  <c r="I19" i="45"/>
  <c r="K19" i="45"/>
  <c r="H19" i="45"/>
  <c r="L19" i="45"/>
  <c r="M18" i="45"/>
  <c r="T18" i="45"/>
  <c r="W18" i="45"/>
  <c r="V18" i="45"/>
  <c r="X18" i="45"/>
  <c r="U18" i="45"/>
  <c r="Y18" i="45"/>
  <c r="N18" i="45"/>
  <c r="Q18" i="45"/>
  <c r="P18" i="45"/>
  <c r="R18" i="45"/>
  <c r="O18" i="45"/>
  <c r="S18" i="45"/>
  <c r="G18" i="45"/>
  <c r="J18" i="45"/>
  <c r="I18" i="45"/>
  <c r="K18" i="45"/>
  <c r="H18" i="45"/>
  <c r="L18" i="45"/>
  <c r="M17" i="45"/>
  <c r="T17" i="45"/>
  <c r="W17" i="45"/>
  <c r="V17" i="45"/>
  <c r="X17" i="45"/>
  <c r="U17" i="45"/>
  <c r="Y17" i="45"/>
  <c r="N17" i="45"/>
  <c r="Q17" i="45"/>
  <c r="P17" i="45"/>
  <c r="R17" i="45"/>
  <c r="O17" i="45"/>
  <c r="S17" i="45"/>
  <c r="G17" i="45"/>
  <c r="J17" i="45"/>
  <c r="I17" i="45"/>
  <c r="K17" i="45"/>
  <c r="H17" i="45"/>
  <c r="L17" i="45"/>
  <c r="M16" i="45"/>
  <c r="T16" i="45"/>
  <c r="W16" i="45"/>
  <c r="V16" i="45"/>
  <c r="X16" i="45"/>
  <c r="U16" i="45"/>
  <c r="Y16" i="45"/>
  <c r="N16" i="45"/>
  <c r="Q16" i="45"/>
  <c r="P16" i="45"/>
  <c r="R16" i="45"/>
  <c r="O16" i="45"/>
  <c r="S16" i="45"/>
  <c r="G16" i="45"/>
  <c r="J16" i="45"/>
  <c r="I16" i="45"/>
  <c r="K16" i="45"/>
  <c r="H16" i="45"/>
  <c r="L16" i="45"/>
  <c r="M15" i="45"/>
  <c r="T15" i="45"/>
  <c r="W15" i="45"/>
  <c r="V15" i="45"/>
  <c r="X15" i="45"/>
  <c r="U15" i="45"/>
  <c r="Y15" i="45"/>
  <c r="N15" i="45"/>
  <c r="Q15" i="45"/>
  <c r="P15" i="45"/>
  <c r="R15" i="45"/>
  <c r="O15" i="45"/>
  <c r="S15" i="45"/>
  <c r="G15" i="45"/>
  <c r="J15" i="45"/>
  <c r="I15" i="45"/>
  <c r="K15" i="45"/>
  <c r="H15" i="45"/>
  <c r="L15" i="45"/>
  <c r="M14" i="45"/>
  <c r="T14" i="45"/>
  <c r="W14" i="45"/>
  <c r="V14" i="45"/>
  <c r="X14" i="45"/>
  <c r="U14" i="45"/>
  <c r="Y14" i="45"/>
  <c r="N14" i="45"/>
  <c r="Q14" i="45"/>
  <c r="P14" i="45"/>
  <c r="R14" i="45"/>
  <c r="O14" i="45"/>
  <c r="S14" i="45"/>
  <c r="G14" i="45"/>
  <c r="J14" i="45"/>
  <c r="I14" i="45"/>
  <c r="K14" i="45"/>
  <c r="H14" i="45"/>
  <c r="L14" i="45"/>
  <c r="M13" i="45"/>
  <c r="T13" i="45"/>
  <c r="W13" i="45"/>
  <c r="V13" i="45"/>
  <c r="X13" i="45"/>
  <c r="U13" i="45"/>
  <c r="Y13" i="45"/>
  <c r="N13" i="45"/>
  <c r="Q13" i="45"/>
  <c r="P13" i="45"/>
  <c r="R13" i="45"/>
  <c r="O13" i="45"/>
  <c r="S13" i="45"/>
  <c r="G13" i="45"/>
  <c r="J13" i="45"/>
  <c r="I13" i="45"/>
  <c r="K13" i="45"/>
  <c r="H13" i="45"/>
  <c r="L13" i="45"/>
  <c r="M12" i="45"/>
  <c r="T12" i="45"/>
  <c r="W12" i="45"/>
  <c r="V12" i="45"/>
  <c r="X12" i="45"/>
  <c r="U12" i="45"/>
  <c r="Y12" i="45"/>
  <c r="N12" i="45"/>
  <c r="Q12" i="45"/>
  <c r="P12" i="45"/>
  <c r="R12" i="45"/>
  <c r="O12" i="45"/>
  <c r="S12" i="45"/>
  <c r="G12" i="45"/>
  <c r="J12" i="45"/>
  <c r="I12" i="45"/>
  <c r="K12" i="45"/>
  <c r="H12" i="45"/>
  <c r="L12" i="45"/>
  <c r="M7" i="45"/>
  <c r="T7" i="45"/>
  <c r="W7" i="45"/>
  <c r="V7" i="45"/>
  <c r="X7" i="45"/>
  <c r="U7" i="45"/>
  <c r="Y7" i="45"/>
  <c r="N7" i="45"/>
  <c r="Q7" i="45"/>
  <c r="P7" i="45"/>
  <c r="R7" i="45"/>
  <c r="O7" i="45"/>
  <c r="S7" i="45"/>
  <c r="G7" i="45"/>
  <c r="J7" i="45"/>
  <c r="I7" i="45"/>
  <c r="K7" i="45"/>
  <c r="H7" i="45"/>
  <c r="L7" i="45"/>
  <c r="M6" i="45"/>
  <c r="T6" i="45"/>
  <c r="W6" i="45"/>
  <c r="V6" i="45"/>
  <c r="X6" i="45"/>
  <c r="U6" i="45"/>
  <c r="Y6" i="45"/>
  <c r="N6" i="45"/>
  <c r="Q6" i="45"/>
  <c r="P6" i="45"/>
  <c r="R6" i="45"/>
  <c r="O6" i="45"/>
  <c r="S6" i="45"/>
  <c r="G6" i="45"/>
  <c r="J6" i="45"/>
  <c r="I6" i="45"/>
  <c r="K6" i="45"/>
  <c r="H6" i="45"/>
  <c r="L6" i="45"/>
  <c r="M2" i="45"/>
  <c r="T2" i="45"/>
  <c r="W2" i="45"/>
  <c r="V2" i="45"/>
  <c r="X2" i="45"/>
  <c r="U2" i="45"/>
  <c r="Y2" i="45"/>
  <c r="N2" i="45"/>
  <c r="Q2" i="45"/>
  <c r="P2" i="45"/>
  <c r="R2" i="45"/>
  <c r="O2" i="45"/>
  <c r="S2" i="45"/>
  <c r="G2" i="45"/>
  <c r="J2" i="45"/>
  <c r="I2" i="45"/>
  <c r="K2" i="45"/>
  <c r="H2" i="45"/>
  <c r="L2" i="45"/>
  <c r="A94" i="44"/>
  <c r="A93" i="44"/>
  <c r="A92" i="44"/>
  <c r="A91" i="44"/>
  <c r="A90" i="44"/>
  <c r="A89" i="44"/>
  <c r="A88" i="44"/>
  <c r="A87" i="44"/>
  <c r="A86" i="44"/>
  <c r="A85" i="44"/>
  <c r="A84" i="44"/>
  <c r="A83" i="44"/>
  <c r="A82" i="44"/>
  <c r="A81" i="44"/>
  <c r="A80" i="44"/>
  <c r="A79" i="44"/>
  <c r="A78" i="44"/>
  <c r="A77" i="44"/>
  <c r="A76" i="44"/>
  <c r="A75" i="44"/>
  <c r="A74" i="44"/>
  <c r="A73" i="44"/>
  <c r="A72" i="44"/>
  <c r="A71" i="44"/>
  <c r="A70" i="44"/>
  <c r="A69" i="44"/>
  <c r="A68" i="44"/>
  <c r="A67" i="44"/>
  <c r="A66" i="44"/>
  <c r="A65" i="44"/>
  <c r="A64" i="44"/>
  <c r="A63" i="44"/>
  <c r="A62" i="44"/>
  <c r="A61" i="44"/>
  <c r="A60" i="44"/>
  <c r="A59" i="44"/>
  <c r="A58" i="44"/>
  <c r="A57" i="44"/>
  <c r="A56" i="44"/>
  <c r="A55" i="44"/>
  <c r="A54" i="44"/>
  <c r="A53" i="44"/>
  <c r="A52" i="44"/>
  <c r="A51" i="44"/>
  <c r="A50" i="44"/>
  <c r="A49" i="44"/>
  <c r="A48" i="44"/>
  <c r="A47" i="44"/>
  <c r="A46" i="44"/>
  <c r="A45" i="44"/>
  <c r="A44" i="44"/>
  <c r="A43" i="44"/>
  <c r="A42" i="44"/>
  <c r="A41" i="44"/>
  <c r="A40" i="44"/>
  <c r="A39" i="44"/>
  <c r="A38" i="44"/>
  <c r="A37" i="44"/>
  <c r="A36" i="44"/>
  <c r="A35" i="44"/>
  <c r="A34" i="44"/>
  <c r="A33" i="44"/>
  <c r="A32" i="44"/>
  <c r="A31" i="44"/>
  <c r="A30" i="44"/>
  <c r="A29" i="44"/>
  <c r="A28" i="44"/>
  <c r="A27" i="44"/>
  <c r="A26" i="44"/>
  <c r="A25" i="44"/>
  <c r="A24" i="44"/>
  <c r="A23" i="44"/>
  <c r="A22" i="44"/>
  <c r="A21" i="44"/>
  <c r="A20" i="44"/>
  <c r="A19" i="44"/>
  <c r="A18" i="44"/>
  <c r="A17" i="44"/>
  <c r="A16" i="44"/>
  <c r="A15" i="44"/>
  <c r="A14" i="44"/>
  <c r="A13" i="44"/>
  <c r="A12" i="44"/>
  <c r="A11" i="44"/>
  <c r="A10" i="44"/>
  <c r="A9" i="44"/>
  <c r="A8" i="44"/>
  <c r="A7" i="44"/>
  <c r="A6" i="44"/>
  <c r="A5" i="44"/>
  <c r="A4" i="44"/>
  <c r="A3" i="44"/>
  <c r="V2" i="43"/>
  <c r="W2" i="43"/>
  <c r="U2" i="43"/>
  <c r="R2" i="43"/>
  <c r="Q2" i="43"/>
  <c r="P2" i="43"/>
  <c r="O2" i="43"/>
  <c r="N2" i="43"/>
  <c r="H2" i="43"/>
  <c r="D2" i="43"/>
  <c r="F2" i="43"/>
  <c r="E2" i="43"/>
  <c r="A2" i="43"/>
  <c r="AD5" i="42"/>
  <c r="AF5" i="42"/>
  <c r="AI5" i="42"/>
  <c r="AG5" i="42"/>
  <c r="AE5" i="42"/>
  <c r="U5" i="42"/>
  <c r="V5" i="42"/>
  <c r="S5" i="42"/>
  <c r="T5" i="42"/>
  <c r="Q5" i="42"/>
  <c r="P5" i="42"/>
  <c r="O5" i="42"/>
  <c r="N5" i="42"/>
  <c r="M5" i="42"/>
  <c r="D5" i="42"/>
  <c r="F5" i="42"/>
  <c r="E5" i="42"/>
  <c r="A5" i="42"/>
  <c r="AD4" i="42"/>
  <c r="AF4" i="42"/>
  <c r="AI4" i="42"/>
  <c r="AG4" i="42"/>
  <c r="AE4" i="42"/>
  <c r="U4" i="42"/>
  <c r="V4" i="42"/>
  <c r="S4" i="42"/>
  <c r="T4" i="42"/>
  <c r="Q4" i="42"/>
  <c r="P4" i="42"/>
  <c r="O4" i="42"/>
  <c r="N4" i="42"/>
  <c r="M4" i="42"/>
  <c r="D4" i="42"/>
  <c r="F4" i="42"/>
  <c r="E4" i="42"/>
  <c r="A4" i="42"/>
  <c r="AD3" i="42"/>
  <c r="AF3" i="42"/>
  <c r="AI3" i="42"/>
  <c r="AG3" i="42"/>
  <c r="AE3" i="42"/>
  <c r="U3" i="42"/>
  <c r="V3" i="42"/>
  <c r="T3" i="42"/>
  <c r="Q3" i="42"/>
  <c r="P3" i="42"/>
  <c r="O3" i="42"/>
  <c r="N3" i="42"/>
  <c r="M3" i="42"/>
  <c r="D3" i="42"/>
  <c r="F3" i="42"/>
  <c r="E3" i="42"/>
  <c r="A3" i="42"/>
  <c r="AD2" i="42"/>
  <c r="AF2" i="42"/>
  <c r="AI2" i="42"/>
  <c r="AG2" i="42"/>
  <c r="AE2" i="42"/>
  <c r="U2" i="42"/>
  <c r="V2" i="42"/>
  <c r="S2" i="42"/>
  <c r="T2" i="42"/>
  <c r="Q2" i="42"/>
  <c r="P2" i="42"/>
  <c r="O2" i="42"/>
  <c r="N2" i="42"/>
  <c r="M2" i="42"/>
  <c r="D2" i="42"/>
  <c r="F2" i="42"/>
  <c r="E2" i="42"/>
  <c r="A2" i="42"/>
  <c r="B3" i="50"/>
  <c r="B2" i="50"/>
  <c r="C4" i="41"/>
  <c r="C3" i="41"/>
  <c r="B2" i="32"/>
  <c r="B3" i="32"/>
  <c r="B2" i="29"/>
  <c r="E9" i="29"/>
  <c r="E8" i="29"/>
  <c r="E7" i="29"/>
  <c r="E6" i="29"/>
  <c r="E5" i="29"/>
  <c r="E4" i="29"/>
  <c r="E2" i="29"/>
  <c r="E3" i="29"/>
  <c r="B9" i="29"/>
  <c r="B4" i="29"/>
  <c r="B5" i="29"/>
  <c r="B6" i="29"/>
  <c r="B7" i="29"/>
  <c r="B8" i="29"/>
  <c r="B3" i="29"/>
  <c r="B2" i="28"/>
  <c r="B7" i="28"/>
  <c r="B4" i="28"/>
  <c r="B5" i="28"/>
  <c r="B6" i="28"/>
  <c r="B3" i="28"/>
  <c r="C2" i="2"/>
  <c r="A2" i="40"/>
  <c r="A14" i="40"/>
  <c r="C14" i="40"/>
  <c r="C19" i="40"/>
  <c r="B19" i="40"/>
  <c r="A19" i="40"/>
  <c r="C18" i="40"/>
  <c r="B18" i="40"/>
  <c r="A18" i="40"/>
  <c r="C17" i="40"/>
  <c r="B17" i="40"/>
  <c r="A17" i="40"/>
  <c r="C16" i="40"/>
  <c r="B16" i="40"/>
  <c r="A16" i="40"/>
  <c r="C15" i="40"/>
  <c r="B15" i="40"/>
  <c r="A15" i="40"/>
  <c r="A8" i="40"/>
  <c r="C8" i="40"/>
  <c r="C13" i="40"/>
  <c r="B13" i="40"/>
  <c r="A13" i="40"/>
  <c r="C12" i="40"/>
  <c r="B12" i="40"/>
  <c r="A12" i="40"/>
  <c r="C11" i="40"/>
  <c r="B11" i="40"/>
  <c r="A11" i="40"/>
  <c r="C10" i="40"/>
  <c r="B10" i="40"/>
  <c r="A10" i="40"/>
  <c r="C9" i="40"/>
  <c r="B9" i="40"/>
  <c r="A9" i="40"/>
  <c r="C2" i="40"/>
  <c r="C7" i="40"/>
  <c r="B7" i="40"/>
  <c r="A7" i="40"/>
  <c r="C6" i="40"/>
  <c r="B6" i="40"/>
  <c r="A6" i="40"/>
  <c r="C5" i="40"/>
  <c r="B5" i="40"/>
  <c r="A5" i="40"/>
  <c r="C4" i="40"/>
  <c r="B4" i="40"/>
  <c r="A4" i="40"/>
  <c r="C3" i="40"/>
  <c r="B3" i="40"/>
  <c r="A3" i="40"/>
  <c r="E13" i="30"/>
  <c r="E14" i="30"/>
  <c r="D14" i="30"/>
  <c r="D13" i="30"/>
  <c r="F13" i="30"/>
  <c r="G13" i="30"/>
  <c r="A2" i="30"/>
  <c r="A11" i="30"/>
  <c r="C11" i="30"/>
  <c r="C13" i="30"/>
  <c r="C14" i="30"/>
  <c r="C15" i="30"/>
  <c r="C16" i="30"/>
  <c r="C12" i="30"/>
  <c r="A5" i="30"/>
  <c r="C5" i="30"/>
  <c r="C7" i="30"/>
  <c r="C8" i="30"/>
  <c r="C9" i="30"/>
  <c r="C10" i="30"/>
  <c r="C6" i="30"/>
  <c r="C2" i="30"/>
  <c r="C4" i="30"/>
  <c r="C3" i="30"/>
  <c r="B13" i="30"/>
  <c r="B14" i="30"/>
  <c r="B15" i="30"/>
  <c r="B16" i="30"/>
  <c r="B12" i="30"/>
  <c r="B7" i="30"/>
  <c r="B8" i="30"/>
  <c r="B9" i="30"/>
  <c r="B10" i="30"/>
  <c r="B6" i="30"/>
  <c r="B4" i="30"/>
  <c r="B3" i="30"/>
  <c r="A4" i="30"/>
  <c r="A6" i="30"/>
  <c r="A7" i="30"/>
  <c r="A8" i="30"/>
  <c r="A9" i="30"/>
  <c r="A10" i="30"/>
  <c r="A12" i="30"/>
  <c r="A13" i="30"/>
  <c r="A14" i="30"/>
  <c r="A15" i="30"/>
  <c r="A16" i="30"/>
  <c r="A3" i="30"/>
  <c r="A2" i="24"/>
  <c r="G4" i="41"/>
  <c r="H4" i="41"/>
  <c r="E4" i="41"/>
  <c r="D4" i="41"/>
  <c r="A4" i="41"/>
  <c r="B4" i="41"/>
  <c r="G3" i="41"/>
  <c r="H3" i="41"/>
  <c r="E3" i="41"/>
  <c r="D3" i="41"/>
  <c r="A3" i="41"/>
  <c r="B3" i="41"/>
  <c r="C4" i="2"/>
  <c r="C3" i="2"/>
  <c r="G4" i="2"/>
  <c r="A4" i="2"/>
  <c r="B4" i="2"/>
  <c r="G3" i="2"/>
  <c r="A3" i="2"/>
  <c r="B3" i="2"/>
  <c r="G2" i="2"/>
  <c r="A2" i="2"/>
  <c r="B2" i="2"/>
  <c r="C14" i="16"/>
  <c r="N3" i="50"/>
  <c r="G3" i="50"/>
  <c r="F3" i="50"/>
  <c r="D3" i="50"/>
  <c r="C3" i="50"/>
  <c r="A3" i="50"/>
  <c r="N2" i="50"/>
  <c r="G2" i="50"/>
  <c r="F2" i="50"/>
  <c r="D2" i="50"/>
  <c r="C2" i="50"/>
  <c r="A2" i="50"/>
  <c r="G2" i="41"/>
  <c r="A2" i="41"/>
  <c r="H2" i="41"/>
  <c r="E2" i="41"/>
  <c r="D2" i="41"/>
  <c r="B2" i="41"/>
  <c r="C25" i="16"/>
  <c r="E25" i="16"/>
  <c r="C24" i="16"/>
  <c r="E24" i="16"/>
  <c r="C23" i="16"/>
  <c r="E23" i="16"/>
  <c r="C22" i="16"/>
  <c r="E22" i="16"/>
  <c r="C21" i="16"/>
  <c r="E21" i="16"/>
  <c r="C20" i="16"/>
  <c r="E20" i="16"/>
  <c r="C19" i="16"/>
  <c r="E19" i="16"/>
  <c r="C18" i="16"/>
  <c r="E18" i="16"/>
  <c r="C17" i="16"/>
  <c r="E17" i="16"/>
  <c r="C16" i="16"/>
  <c r="E16" i="16"/>
  <c r="C15" i="16"/>
  <c r="E15" i="16"/>
  <c r="E14" i="16"/>
  <c r="C4" i="16"/>
  <c r="E4" i="16"/>
  <c r="C3" i="16"/>
  <c r="C7" i="16"/>
  <c r="C8" i="16"/>
  <c r="C6" i="16"/>
  <c r="C9" i="16"/>
  <c r="C10" i="16"/>
  <c r="C11" i="16"/>
  <c r="C12" i="16"/>
  <c r="C13" i="16"/>
  <c r="E3" i="16"/>
  <c r="E2" i="16"/>
  <c r="E10" i="16"/>
  <c r="E13" i="16"/>
  <c r="A2" i="22"/>
  <c r="B2" i="22"/>
  <c r="E7" i="40"/>
  <c r="E13" i="40"/>
  <c r="E19" i="40"/>
  <c r="E22" i="40"/>
  <c r="D22" i="40"/>
  <c r="D19" i="40"/>
  <c r="G19" i="40"/>
  <c r="I19" i="40"/>
  <c r="D18" i="40"/>
  <c r="E18" i="40"/>
  <c r="F18" i="40"/>
  <c r="G18" i="40"/>
  <c r="I18" i="40"/>
  <c r="D17" i="40"/>
  <c r="E17" i="40"/>
  <c r="F17" i="40"/>
  <c r="G17" i="40"/>
  <c r="I17" i="40"/>
  <c r="D16" i="40"/>
  <c r="E16" i="40"/>
  <c r="F16" i="40"/>
  <c r="G16" i="40"/>
  <c r="I16" i="40"/>
  <c r="F15" i="40"/>
  <c r="G15" i="40"/>
  <c r="I15" i="40"/>
  <c r="F14" i="40"/>
  <c r="G14" i="40"/>
  <c r="I14" i="40"/>
  <c r="D13" i="40"/>
  <c r="G13" i="40"/>
  <c r="I13" i="40"/>
  <c r="D12" i="40"/>
  <c r="E12" i="40"/>
  <c r="F12" i="40"/>
  <c r="G12" i="40"/>
  <c r="I12" i="40"/>
  <c r="D11" i="40"/>
  <c r="E11" i="40"/>
  <c r="F11" i="40"/>
  <c r="G11" i="40"/>
  <c r="I11" i="40"/>
  <c r="D10" i="40"/>
  <c r="E10" i="40"/>
  <c r="F10" i="40"/>
  <c r="G10" i="40"/>
  <c r="I10" i="40"/>
  <c r="F9" i="40"/>
  <c r="G9" i="40"/>
  <c r="I9" i="40"/>
  <c r="F8" i="40"/>
  <c r="G8" i="40"/>
  <c r="I8" i="40"/>
  <c r="D7" i="40"/>
  <c r="G7" i="40"/>
  <c r="I7" i="40"/>
  <c r="D6" i="40"/>
  <c r="E6" i="40"/>
  <c r="F6" i="40"/>
  <c r="G6" i="40"/>
  <c r="I6" i="40"/>
  <c r="D5" i="40"/>
  <c r="E5" i="40"/>
  <c r="F5" i="40"/>
  <c r="G5" i="40"/>
  <c r="I5" i="40"/>
  <c r="D4" i="40"/>
  <c r="E4" i="40"/>
  <c r="F4" i="40"/>
  <c r="G4" i="40"/>
  <c r="I4" i="40"/>
  <c r="F3" i="40"/>
  <c r="G3" i="40"/>
  <c r="I3" i="40"/>
  <c r="F2" i="40"/>
  <c r="G2" i="40"/>
  <c r="I2" i="40"/>
  <c r="E15" i="30"/>
  <c r="E9" i="30"/>
  <c r="E8" i="30"/>
  <c r="E7" i="30"/>
  <c r="D19" i="30"/>
  <c r="G16" i="30"/>
  <c r="I16" i="30"/>
  <c r="D15" i="30"/>
  <c r="F15" i="30"/>
  <c r="G15" i="30"/>
  <c r="I15" i="30"/>
  <c r="F14" i="30"/>
  <c r="G14" i="30"/>
  <c r="I14" i="30"/>
  <c r="I13" i="30"/>
  <c r="F12" i="30"/>
  <c r="G12" i="30"/>
  <c r="I12" i="30"/>
  <c r="F11" i="30"/>
  <c r="G11" i="30"/>
  <c r="I11" i="30"/>
  <c r="G10" i="30"/>
  <c r="I10" i="30"/>
  <c r="D9" i="30"/>
  <c r="F9" i="30"/>
  <c r="G9" i="30"/>
  <c r="I9" i="30"/>
  <c r="D8" i="30"/>
  <c r="F8" i="30"/>
  <c r="G8" i="30"/>
  <c r="I8" i="30"/>
  <c r="D7" i="30"/>
  <c r="F7" i="30"/>
  <c r="G7" i="30"/>
  <c r="I7" i="30"/>
  <c r="F6" i="30"/>
  <c r="G6" i="30"/>
  <c r="I6" i="30"/>
  <c r="F5" i="30"/>
  <c r="G5" i="30"/>
  <c r="I5" i="30"/>
  <c r="G4" i="30"/>
  <c r="I4" i="30"/>
  <c r="F3" i="30"/>
  <c r="G3" i="30"/>
  <c r="I3" i="30"/>
  <c r="F2" i="30"/>
  <c r="G2" i="30"/>
  <c r="I2" i="30"/>
  <c r="E5" i="16"/>
  <c r="A42" i="22"/>
  <c r="F42" i="22"/>
  <c r="F2" i="22"/>
  <c r="A3" i="22"/>
  <c r="F3" i="22"/>
  <c r="A4" i="22"/>
  <c r="F4" i="22"/>
  <c r="A5" i="22"/>
  <c r="F5" i="22"/>
  <c r="A6" i="22"/>
  <c r="F6" i="22"/>
  <c r="A7" i="22"/>
  <c r="F7" i="22"/>
  <c r="A8" i="22"/>
  <c r="F8" i="22"/>
  <c r="A9" i="22"/>
  <c r="F9" i="22"/>
  <c r="A10" i="22"/>
  <c r="F10" i="22"/>
  <c r="A11" i="22"/>
  <c r="F11" i="22"/>
  <c r="A12" i="22"/>
  <c r="F12" i="22"/>
  <c r="A13" i="22"/>
  <c r="F13" i="22"/>
  <c r="A14" i="22"/>
  <c r="F14" i="22"/>
  <c r="A15" i="22"/>
  <c r="F15" i="22"/>
  <c r="A16" i="22"/>
  <c r="F16" i="22"/>
  <c r="A17" i="22"/>
  <c r="F17" i="22"/>
  <c r="A18" i="22"/>
  <c r="F18" i="22"/>
  <c r="A19" i="22"/>
  <c r="F19" i="22"/>
  <c r="A20" i="22"/>
  <c r="F20" i="22"/>
  <c r="A21" i="22"/>
  <c r="F21" i="22"/>
  <c r="A22" i="22"/>
  <c r="F22" i="22"/>
  <c r="A23" i="22"/>
  <c r="F23" i="22"/>
  <c r="A24" i="22"/>
  <c r="F24" i="22"/>
  <c r="A25" i="22"/>
  <c r="F25" i="22"/>
  <c r="A26" i="22"/>
  <c r="F26" i="22"/>
  <c r="A27" i="22"/>
  <c r="F27" i="22"/>
  <c r="A28" i="22"/>
  <c r="F28" i="22"/>
  <c r="A29" i="22"/>
  <c r="F29" i="22"/>
  <c r="A30" i="22"/>
  <c r="F30" i="22"/>
  <c r="A31" i="22"/>
  <c r="F31" i="22"/>
  <c r="A32" i="22"/>
  <c r="F32" i="22"/>
  <c r="A33" i="22"/>
  <c r="F33" i="22"/>
  <c r="A34" i="22"/>
  <c r="F34" i="22"/>
  <c r="A35" i="22"/>
  <c r="F35" i="22"/>
  <c r="A36" i="22"/>
  <c r="F36" i="22"/>
  <c r="A37" i="22"/>
  <c r="F37" i="22"/>
  <c r="A38" i="22"/>
  <c r="F38" i="22"/>
  <c r="A39" i="22"/>
  <c r="F39" i="22"/>
  <c r="A40" i="22"/>
  <c r="F40" i="22"/>
  <c r="A41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H4" i="2"/>
  <c r="E4" i="2"/>
  <c r="D4" i="2"/>
  <c r="H3" i="2"/>
  <c r="E3" i="2"/>
  <c r="D3" i="2"/>
  <c r="E12" i="16"/>
  <c r="E11" i="16"/>
  <c r="E6" i="16"/>
  <c r="E7" i="16"/>
  <c r="E2" i="24"/>
  <c r="B2" i="24"/>
  <c r="D2" i="2"/>
  <c r="F2" i="24"/>
  <c r="C2" i="24"/>
  <c r="E2" i="2"/>
  <c r="E9" i="16"/>
  <c r="E8" i="16"/>
  <c r="G2" i="22"/>
  <c r="C2" i="22"/>
  <c r="H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L23" authorId="0">
      <text>
        <r>
          <rPr>
            <b/>
            <sz val="11"/>
            <color indexed="81"/>
            <rFont val="ＭＳ Ｐゴシック"/>
            <family val="3"/>
            <charset val="128"/>
          </rPr>
          <t xml:space="preserve">ユニットごとに勝利時TIPSを出し分ける
KOFコラボ専用(17/05/30)
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<sst xmlns="http://schemas.openxmlformats.org/spreadsheetml/2006/main" count="2276" uniqueCount="666">
  <si>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</si>
  <si>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</si>
  <si>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</si>
  <si>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</si>
  <si>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</si>
  <si>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</si>
  <si>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</si>
  <si>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</si>
  <si>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</si>
  <si>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</si>
  <si>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</si>
  <si>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</si>
  <si>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</si>
  <si>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</si>
  <si>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</si>
  <si>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12"/>
  </si>
  <si>
    <t>name</t>
    <phoneticPr fontId="12"/>
  </si>
  <si>
    <t>temp_stage</t>
    <phoneticPr fontId="12"/>
  </si>
  <si>
    <t>temp_floor</t>
    <phoneticPr fontId="12"/>
  </si>
  <si>
    <t>temp_stage</t>
    <phoneticPr fontId="12"/>
  </si>
  <si>
    <t>位置付け</t>
    <rPh sb="0" eb="3">
      <t>イチヅ</t>
    </rPh>
    <phoneticPr fontId="12"/>
  </si>
  <si>
    <t>name</t>
    <phoneticPr fontId="12"/>
  </si>
  <si>
    <t>status</t>
    <phoneticPr fontId="12"/>
  </si>
  <si>
    <t>hp_plus</t>
  </si>
  <si>
    <t>attack_plus</t>
  </si>
  <si>
    <t>defense_plus</t>
  </si>
  <si>
    <t>heal_plus</t>
  </si>
  <si>
    <t>bug</t>
  </si>
  <si>
    <t>作成者</t>
    <rPh sb="0" eb="3">
      <t>サクセイシャ</t>
    </rPh>
    <phoneticPr fontId="12"/>
  </si>
  <si>
    <t>更新日</t>
    <rPh sb="0" eb="3">
      <t>コウシンニチジ</t>
    </rPh>
    <phoneticPr fontId="12"/>
  </si>
  <si>
    <t>備考（使用箇所）</t>
    <rPh sb="0" eb="2">
      <t>ビコウ</t>
    </rPh>
    <rPh sb="3" eb="7">
      <t>シヨウカショ</t>
    </rPh>
    <phoneticPr fontId="12"/>
  </si>
  <si>
    <t>enemy_skill_id</t>
  </si>
  <si>
    <t>valid_flg</t>
  </si>
  <si>
    <t>重複チェック</t>
    <rPh sb="0" eb="2">
      <t>チョウフク</t>
    </rPh>
    <phoneticPr fontId="12"/>
  </si>
  <si>
    <t>接頭語</t>
    <rPh sb="0" eb="3">
      <t>セットウゴ</t>
    </rPh>
    <phoneticPr fontId="12"/>
  </si>
  <si>
    <t>識別子</t>
    <rPh sb="0" eb="3">
      <t>シキベツシ</t>
    </rPh>
    <phoneticPr fontId="12"/>
  </si>
  <si>
    <t>形式</t>
    <rPh sb="0" eb="2">
      <t>ケイシキ</t>
    </rPh>
    <phoneticPr fontId="12"/>
  </si>
  <si>
    <t>出力ファイル名</t>
    <rPh sb="0" eb="2">
      <t>シュツリョク</t>
    </rPh>
    <rPh sb="6" eb="7">
      <t>メイ</t>
    </rPh>
    <phoneticPr fontId="12"/>
  </si>
  <si>
    <t>入力シート名</t>
    <rPh sb="0" eb="2">
      <t>ニュウリョク</t>
    </rPh>
    <rPh sb="5" eb="6">
      <t>メイ</t>
    </rPh>
    <phoneticPr fontId="12"/>
  </si>
  <si>
    <t>出力データ</t>
    <rPh sb="0" eb="2">
      <t>シュツリョク</t>
    </rPh>
    <phoneticPr fontId="12"/>
  </si>
  <si>
    <t>出力flg</t>
    <rPh sb="0" eb="2">
      <t>シュツリョク</t>
    </rPh>
    <phoneticPr fontId="12"/>
  </si>
  <si>
    <t>中間文字列１</t>
    <rPh sb="0" eb="2">
      <t>チュウカン</t>
    </rPh>
    <rPh sb="2" eb="5">
      <t>モジレツ</t>
    </rPh>
    <phoneticPr fontId="12"/>
  </si>
  <si>
    <t>効果１文字列</t>
    <rPh sb="0" eb="2">
      <t>コウカ</t>
    </rPh>
    <rPh sb="3" eb="6">
      <t>モジレツ</t>
    </rPh>
    <phoneticPr fontId="12"/>
  </si>
  <si>
    <t>効果１簡易デコード</t>
    <rPh sb="0" eb="2">
      <t>コウカ</t>
    </rPh>
    <rPh sb="3" eb="5">
      <t>カンイ</t>
    </rPh>
    <phoneticPr fontId="12"/>
  </si>
  <si>
    <t>効果２文字列</t>
    <rPh sb="0" eb="2">
      <t>コウカ</t>
    </rPh>
    <rPh sb="3" eb="6">
      <t>モジレツ</t>
    </rPh>
    <phoneticPr fontId="12"/>
  </si>
  <si>
    <t>効果２簡易デコード</t>
    <rPh sb="0" eb="2">
      <t>コウカ</t>
    </rPh>
    <rPh sb="3" eb="5">
      <t>カンイ</t>
    </rPh>
    <phoneticPr fontId="12"/>
  </si>
  <si>
    <t>効果３文字列</t>
    <rPh sb="0" eb="2">
      <t>コウカ</t>
    </rPh>
    <rPh sb="3" eb="6">
      <t>モジレツ</t>
    </rPh>
    <phoneticPr fontId="12"/>
  </si>
  <si>
    <t>効果３簡易デコード</t>
    <rPh sb="0" eb="2">
      <t>コウカ</t>
    </rPh>
    <rPh sb="3" eb="5">
      <t>カンイ</t>
    </rPh>
    <phoneticPr fontId="12"/>
  </si>
  <si>
    <t>効果１efect位置</t>
    <rPh sb="0" eb="2">
      <t>コウカ</t>
    </rPh>
    <rPh sb="8" eb="10">
      <t>イチ</t>
    </rPh>
    <phoneticPr fontId="12"/>
  </si>
  <si>
    <t>効果１target位置</t>
    <rPh sb="0" eb="2">
      <t>コウカ</t>
    </rPh>
    <rPh sb="9" eb="11">
      <t>イチ</t>
    </rPh>
    <phoneticPr fontId="12"/>
  </si>
  <si>
    <t>効果1終了位置</t>
    <rPh sb="0" eb="2">
      <t>コウカ</t>
    </rPh>
    <rPh sb="3" eb="5">
      <t>シュウリョウ</t>
    </rPh>
    <rPh sb="5" eb="7">
      <t>イチ</t>
    </rPh>
    <phoneticPr fontId="12"/>
  </si>
  <si>
    <t>効果1target終了位置</t>
    <rPh sb="0" eb="2">
      <t>コウカ</t>
    </rPh>
    <rPh sb="9" eb="11">
      <t>シュウリョウ</t>
    </rPh>
    <rPh sb="11" eb="13">
      <t>イチ</t>
    </rPh>
    <phoneticPr fontId="12"/>
  </si>
  <si>
    <t>効果2efect位置</t>
    <rPh sb="0" eb="2">
      <t>コウカ</t>
    </rPh>
    <rPh sb="8" eb="10">
      <t>イチ</t>
    </rPh>
    <phoneticPr fontId="12"/>
  </si>
  <si>
    <t>効果2終了位置</t>
    <rPh sb="0" eb="2">
      <t>コウカ</t>
    </rPh>
    <rPh sb="3" eb="5">
      <t>シュウリョウ</t>
    </rPh>
    <rPh sb="5" eb="7">
      <t>イチ</t>
    </rPh>
    <phoneticPr fontId="12"/>
  </si>
  <si>
    <t>効果2target位置</t>
    <rPh sb="0" eb="2">
      <t>コウカ</t>
    </rPh>
    <rPh sb="9" eb="11">
      <t>イチ</t>
    </rPh>
    <phoneticPr fontId="12"/>
  </si>
  <si>
    <t>効果2target終了位置</t>
    <rPh sb="0" eb="2">
      <t>コウカ</t>
    </rPh>
    <rPh sb="9" eb="11">
      <t>シュウリョウ</t>
    </rPh>
    <rPh sb="11" eb="13">
      <t>イチ</t>
    </rPh>
    <phoneticPr fontId="12"/>
  </si>
  <si>
    <t>効果3efect位置</t>
    <rPh sb="0" eb="2">
      <t>コウカ</t>
    </rPh>
    <rPh sb="8" eb="10">
      <t>イチ</t>
    </rPh>
    <phoneticPr fontId="12"/>
  </si>
  <si>
    <t>効果3終了位置</t>
    <rPh sb="0" eb="2">
      <t>コウカ</t>
    </rPh>
    <rPh sb="3" eb="5">
      <t>シュウリョウ</t>
    </rPh>
    <rPh sb="5" eb="7">
      <t>イチ</t>
    </rPh>
    <phoneticPr fontId="12"/>
  </si>
  <si>
    <t>効果3target位置</t>
    <rPh sb="0" eb="2">
      <t>コウカ</t>
    </rPh>
    <rPh sb="9" eb="11">
      <t>イチ</t>
    </rPh>
    <phoneticPr fontId="12"/>
  </si>
  <si>
    <t>効果3target終了位置</t>
    <rPh sb="0" eb="2">
      <t>コウカ</t>
    </rPh>
    <rPh sb="9" eb="11">
      <t>シュウリョウ</t>
    </rPh>
    <rPh sb="11" eb="13">
      <t>イチ</t>
    </rPh>
    <phoneticPr fontId="12"/>
  </si>
  <si>
    <t>quest_id</t>
    <phoneticPr fontId="12"/>
  </si>
  <si>
    <t>bit</t>
  </si>
  <si>
    <t>upper_ranking</t>
    <phoneticPr fontId="12"/>
  </si>
  <si>
    <t>lower_ranking</t>
    <phoneticPr fontId="12"/>
  </si>
  <si>
    <t>gift_id</t>
    <phoneticPr fontId="12"/>
  </si>
  <si>
    <t>gift_type</t>
    <phoneticPr fontId="14"/>
  </si>
  <si>
    <t>gift_value</t>
    <phoneticPr fontId="14"/>
  </si>
  <si>
    <t>gift_count</t>
    <phoneticPr fontId="14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</si>
  <si>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</si>
  <si>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</si>
  <si>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</si>
  <si>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</si>
  <si>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temp_gift_id</t>
    <phoneticPr fontId="12"/>
  </si>
  <si>
    <t>ranking_ACH</t>
    <phoneticPr fontId="12"/>
  </si>
  <si>
    <t>gifts_tmp_</t>
    <phoneticPr fontId="14"/>
  </si>
  <si>
    <t>gift_id</t>
    <phoneticPr fontId="14"/>
  </si>
  <si>
    <t>gifts_i18n_</t>
    <phoneticPr fontId="14"/>
  </si>
  <si>
    <t>title</t>
    <phoneticPr fontId="14"/>
  </si>
  <si>
    <t>detail</t>
    <phoneticPr fontId="14"/>
  </si>
  <si>
    <t>clear_bonus</t>
    <phoneticPr fontId="12"/>
  </si>
  <si>
    <t>param_code</t>
    <phoneticPr fontId="12"/>
  </si>
  <si>
    <t>x</t>
    <phoneticPr fontId="12"/>
  </si>
  <si>
    <t>a</t>
    <phoneticPr fontId="12"/>
  </si>
  <si>
    <t>b</t>
    <phoneticPr fontId="12"/>
  </si>
  <si>
    <t>evaluation_id</t>
    <phoneticPr fontId="12"/>
  </si>
  <si>
    <t>quest_id</t>
    <phoneticPr fontId="12"/>
  </si>
  <si>
    <t>stage_id</t>
    <phoneticPr fontId="12"/>
  </si>
  <si>
    <t>score</t>
    <phoneticPr fontId="12"/>
  </si>
  <si>
    <t>language</t>
    <phoneticPr fontId="12"/>
  </si>
  <si>
    <t>evaluation</t>
    <phoneticPr fontId="12"/>
  </si>
  <si>
    <t>animation_file_name</t>
    <phoneticPr fontId="12"/>
  </si>
  <si>
    <t>hp_plus</t>
    <phoneticPr fontId="12"/>
  </si>
  <si>
    <t>attack_plus</t>
    <phoneticPr fontId="12"/>
  </si>
  <si>
    <t>heal_plus</t>
    <phoneticPr fontId="12"/>
  </si>
  <si>
    <t>defense_plus</t>
    <phoneticPr fontId="12"/>
  </si>
  <si>
    <t>level</t>
    <phoneticPr fontId="12"/>
  </si>
  <si>
    <t>skill_level</t>
  </si>
  <si>
    <t>skill_level</t>
    <phoneticPr fontId="12"/>
  </si>
  <si>
    <t>bug</t>
    <phoneticPr fontId="12"/>
  </si>
  <si>
    <t>evaluation_id</t>
    <phoneticPr fontId="12"/>
  </si>
  <si>
    <t>quest_id</t>
    <phoneticPr fontId="12"/>
  </si>
  <si>
    <t>gift_id</t>
    <phoneticPr fontId="12"/>
  </si>
  <si>
    <t xml:space="preserve">gift_limit </t>
    <phoneticPr fontId="12"/>
  </si>
  <si>
    <t>gifts_tmp_</t>
    <phoneticPr fontId="12"/>
  </si>
  <si>
    <t>gift_id</t>
    <phoneticPr fontId="14"/>
  </si>
  <si>
    <t>gift_type</t>
    <phoneticPr fontId="14"/>
  </si>
  <si>
    <t>gift_value</t>
    <phoneticPr fontId="14"/>
  </si>
  <si>
    <t>gift_count</t>
    <phoneticPr fontId="14"/>
  </si>
  <si>
    <t>gifts_i18n_</t>
    <phoneticPr fontId="12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</si>
  <si>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</si>
  <si>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</si>
  <si>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</si>
  <si>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</si>
  <si>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evaluation_id</t>
    <phoneticPr fontId="12"/>
  </si>
  <si>
    <t>quest_id</t>
    <phoneticPr fontId="12"/>
  </si>
  <si>
    <t>stage_id</t>
    <phoneticPr fontId="12"/>
  </si>
  <si>
    <t>score</t>
    <phoneticPr fontId="12"/>
  </si>
  <si>
    <t>gift_id</t>
    <phoneticPr fontId="12"/>
  </si>
  <si>
    <t>gift_type</t>
    <phoneticPr fontId="14"/>
  </si>
  <si>
    <t>gift_value</t>
    <phoneticPr fontId="14"/>
  </si>
  <si>
    <t>gift_count</t>
    <phoneticPr fontId="14"/>
  </si>
  <si>
    <t>hp_plus</t>
    <phoneticPr fontId="12"/>
  </si>
  <si>
    <t>attack_plus</t>
    <phoneticPr fontId="12"/>
  </si>
  <si>
    <t>heal_plus</t>
    <phoneticPr fontId="12"/>
  </si>
  <si>
    <t>defense_plus</t>
    <phoneticPr fontId="12"/>
  </si>
  <si>
    <t>level</t>
    <phoneticPr fontId="12"/>
  </si>
  <si>
    <t>skill_level</t>
    <phoneticPr fontId="12"/>
  </si>
  <si>
    <t>bug</t>
    <phoneticPr fontId="12"/>
  </si>
  <si>
    <t>language</t>
    <phoneticPr fontId="14"/>
  </si>
  <si>
    <t>title</t>
    <phoneticPr fontId="14"/>
  </si>
  <si>
    <t>detail</t>
    <phoneticPr fontId="14"/>
  </si>
  <si>
    <t>message</t>
    <phoneticPr fontId="14"/>
  </si>
  <si>
    <t xml:space="preserve">gift_limit </t>
    <phoneticPr fontId="12"/>
  </si>
  <si>
    <t>ja</t>
  </si>
  <si>
    <t>SSS</t>
  </si>
  <si>
    <t>View/RankingBattle_Evelution_SSS.ccbi</t>
  </si>
  <si>
    <t>SS</t>
  </si>
  <si>
    <t>View/RankingBattle_Evelution_SS.ccbi</t>
  </si>
  <si>
    <t>S</t>
  </si>
  <si>
    <t>View/RankingBattle_Evelution_S.ccbi</t>
  </si>
  <si>
    <t>A</t>
  </si>
  <si>
    <t>View/RankingBattle_Evelution_A.ccbi</t>
  </si>
  <si>
    <t>B</t>
  </si>
  <si>
    <t>View/RankingBattle_Evelution_B.ccbi</t>
  </si>
  <si>
    <t>C</t>
  </si>
  <si>
    <t>View/RankingBattle_Evelution_C.ccbi</t>
  </si>
  <si>
    <t>ja</t>
    <phoneticPr fontId="14"/>
  </si>
  <si>
    <t>item</t>
    <phoneticPr fontId="14"/>
  </si>
  <si>
    <t>polygon</t>
    <phoneticPr fontId="14"/>
  </si>
  <si>
    <t>null</t>
    <phoneticPr fontId="12"/>
  </si>
  <si>
    <t>bit</t>
    <phoneticPr fontId="14"/>
  </si>
  <si>
    <t>item</t>
  </si>
  <si>
    <t>刀のランキングチケット × 1</t>
  </si>
  <si>
    <t>ランキングクエスト報酬</t>
    <rPh sb="9" eb="11">
      <t>ホウシュウ</t>
    </rPh>
    <phoneticPr fontId="15"/>
  </si>
  <si>
    <t>オイラーチャレンジ
順位報酬</t>
    <rPh sb="10" eb="12">
      <t>ジュンイ</t>
    </rPh>
    <rPh sb="12" eb="14">
      <t>ホウシュウ</t>
    </rPh>
    <phoneticPr fontId="15"/>
  </si>
  <si>
    <t>刀のチケットピース × 2</t>
  </si>
  <si>
    <t>polygon</t>
  </si>
  <si>
    <t>null</t>
  </si>
  <si>
    <t>ポリゴン×10</t>
  </si>
  <si>
    <t>unit</t>
  </si>
  <si>
    <t>リトルハンプティ×1</t>
  </si>
  <si>
    <t>ギガ秘術の果実×1</t>
    <rPh sb="2" eb="4">
      <t>ヒジュツ</t>
    </rPh>
    <rPh sb="5" eb="7">
      <t>カジツ</t>
    </rPh>
    <phoneticPr fontId="15"/>
  </si>
  <si>
    <t>刀のチケットピース × 1</t>
  </si>
  <si>
    <t>ポリゴン×5</t>
  </si>
  <si>
    <t>メガ秘術の果実 ×1</t>
    <rPh sb="2" eb="4">
      <t>ヒジュツ</t>
    </rPh>
    <rPh sb="5" eb="7">
      <t>カジツ</t>
    </rPh>
    <phoneticPr fontId="15"/>
  </si>
  <si>
    <t>マスターキー×3</t>
  </si>
  <si>
    <t>刀のチケットピース × 3</t>
  </si>
  <si>
    <t>炎のメタルジェントル ×1</t>
    <rPh sb="0" eb="1">
      <t>ホノオ</t>
    </rPh>
    <phoneticPr fontId="15"/>
  </si>
  <si>
    <t>森のメタルジェントル ×1</t>
    <rPh sb="0" eb="1">
      <t>モリノ</t>
    </rPh>
    <phoneticPr fontId="15"/>
  </si>
  <si>
    <t>水のメタルジェントル ×1</t>
    <rPh sb="0" eb="1">
      <t>ミズノ</t>
    </rPh>
    <phoneticPr fontId="15"/>
  </si>
  <si>
    <t>雷のメタルジェントル ×1</t>
    <rPh sb="0" eb="1">
      <t>カミナリ</t>
    </rPh>
    <phoneticPr fontId="15"/>
  </si>
  <si>
    <t>秘術の果実 ×1</t>
    <rPh sb="0" eb="2">
      <t>ヒジュツ</t>
    </rPh>
    <rPh sb="3" eb="5">
      <t>カジツ</t>
    </rPh>
    <phoneticPr fontId="15"/>
  </si>
  <si>
    <t>マスターキー×1</t>
  </si>
  <si>
    <t>link</t>
  </si>
  <si>
    <t>2000リンク</t>
  </si>
  <si>
    <t>炎のメタルダック ×1</t>
    <rPh sb="0" eb="1">
      <t>ホノオ</t>
    </rPh>
    <phoneticPr fontId="15"/>
  </si>
  <si>
    <t>森のメタルダック ×1</t>
    <rPh sb="0" eb="1">
      <t>モリノ</t>
    </rPh>
    <phoneticPr fontId="15"/>
  </si>
  <si>
    <t>水のメタルダック ×1</t>
    <rPh sb="0" eb="1">
      <t>ミズノ</t>
    </rPh>
    <phoneticPr fontId="15"/>
  </si>
  <si>
    <t>雷のメタルダック ×1</t>
    <rPh sb="0" eb="1">
      <t>カミナリ</t>
    </rPh>
    <phoneticPr fontId="15"/>
  </si>
  <si>
    <t>ポリゴン×3</t>
  </si>
  <si>
    <t>20万ビット</t>
    <rPh sb="2" eb="3">
      <t>マン</t>
    </rPh>
    <phoneticPr fontId="15"/>
  </si>
  <si>
    <t>ポリゴン×2</t>
  </si>
  <si>
    <t>1000リンク</t>
  </si>
  <si>
    <t>15万ビット</t>
    <rPh sb="2" eb="3">
      <t>マン</t>
    </rPh>
    <phoneticPr fontId="15"/>
  </si>
  <si>
    <t>ポリゴン×1</t>
  </si>
  <si>
    <t>10万ビット</t>
    <rPh sb="2" eb="3">
      <t>マン</t>
    </rPh>
    <phoneticPr fontId="15"/>
  </si>
  <si>
    <t>次条係数</t>
    <rPh sb="0" eb="2">
      <t>jijyou</t>
    </rPh>
    <rPh sb="2" eb="4">
      <t>ケイス</t>
    </rPh>
    <phoneticPr fontId="12"/>
  </si>
  <si>
    <t>param_code</t>
    <phoneticPr fontId="12"/>
  </si>
  <si>
    <t>x</t>
    <phoneticPr fontId="12"/>
  </si>
  <si>
    <t>y</t>
    <phoneticPr fontId="12"/>
  </si>
  <si>
    <t>a</t>
    <phoneticPr fontId="12"/>
  </si>
  <si>
    <t>b</t>
    <phoneticPr fontId="12"/>
  </si>
  <si>
    <t>score_attack_expanded_floors</t>
  </si>
  <si>
    <t>param_code_damage_given</t>
    <phoneticPr fontId="12"/>
  </si>
  <si>
    <t>param_code_heal</t>
    <phoneticPr fontId="12"/>
  </si>
  <si>
    <t>clear_turn_border</t>
  </si>
  <si>
    <t>clear_turn_border</t>
    <phoneticPr fontId="12"/>
  </si>
  <si>
    <t>clear_turn_param</t>
  </si>
  <si>
    <t>clear_turn_param</t>
    <phoneticPr fontId="12"/>
  </si>
  <si>
    <t>damage_given_upper_limit</t>
  </si>
  <si>
    <t>damage_given_upper_limit</t>
    <phoneticPr fontId="12"/>
  </si>
  <si>
    <t>heal_upper_limit</t>
  </si>
  <si>
    <t>heal_upper_limit</t>
    <phoneticPr fontId="12"/>
  </si>
  <si>
    <t>score_attack_expanded_stages_</t>
    <phoneticPr fontId="12"/>
  </si>
  <si>
    <t>score_attack_expanded_stages</t>
  </si>
  <si>
    <t>score_attack_params_damage_give</t>
  </si>
  <si>
    <t>stage_evaluations</t>
    <phoneticPr fontId="12"/>
  </si>
  <si>
    <t>score_attack_stage_evaluations_i18n_</t>
    <phoneticPr fontId="12"/>
  </si>
  <si>
    <t>stage_evaluation_gifts</t>
  </si>
  <si>
    <t>stage_evaluation_gifts</t>
    <phoneticPr fontId="12"/>
  </si>
  <si>
    <t>score_attack_unit_bonus_condition_id</t>
  </si>
  <si>
    <t>bonus_type</t>
  </si>
  <si>
    <t>condition</t>
  </si>
  <si>
    <t>operator</t>
  </si>
  <si>
    <t>param</t>
  </si>
  <si>
    <t>start_date</t>
  </si>
  <si>
    <t>end_date</t>
  </si>
  <si>
    <t>=</t>
  </si>
  <si>
    <t>unit_bonus_conditions</t>
    <phoneticPr fontId="12"/>
  </si>
  <si>
    <t>score_attack_unit_bonus_conditions_</t>
    <phoneticPr fontId="12"/>
  </si>
  <si>
    <t>SSS→ポリゴン3個</t>
  </si>
  <si>
    <t>SS→ポリゴン2個</t>
  </si>
  <si>
    <t>S→マスターキー1本</t>
  </si>
  <si>
    <t>A→ジェントル各色1体ずつ</t>
  </si>
  <si>
    <t>B→100,000ビット</t>
  </si>
  <si>
    <t>C→なし</t>
  </si>
  <si>
    <t>マスターキー × 1</t>
    <phoneticPr fontId="14"/>
  </si>
  <si>
    <t>ポリゴン × 3</t>
    <phoneticPr fontId="14"/>
  </si>
  <si>
    <t>ポリゴン × 2</t>
    <phoneticPr fontId="14"/>
  </si>
  <si>
    <t>unit</t>
    <phoneticPr fontId="14"/>
  </si>
  <si>
    <t>炎のメタルジェントル × 1</t>
    <phoneticPr fontId="14"/>
  </si>
  <si>
    <t>森のメタルジェントル × 1</t>
    <phoneticPr fontId="12"/>
  </si>
  <si>
    <t>水のメタルジェントル × 1</t>
    <phoneticPr fontId="12"/>
  </si>
  <si>
    <t>雷のメタルジェントル × 1</t>
    <phoneticPr fontId="12"/>
  </si>
  <si>
    <t>100000ビット</t>
    <phoneticPr fontId="14"/>
  </si>
  <si>
    <t>2015-03-27 00:00:00</t>
  </si>
  <si>
    <t>2970-01-01 09:00:00</t>
  </si>
  <si>
    <t>failure</t>
  </si>
  <si>
    <t>攻略のヒント</t>
    <rPh sb="0" eb="2">
      <t>コウリャク</t>
    </rPh>
    <phoneticPr fontId="12"/>
  </si>
  <si>
    <t>complete</t>
  </si>
  <si>
    <t>スコア評価報酬</t>
    <rPh sb="3" eb="5">
      <t>ヒョウカ</t>
    </rPh>
    <rPh sb="5" eb="7">
      <t>ホウシュウ</t>
    </rPh>
    <phoneticPr fontId="14"/>
  </si>
  <si>
    <t>SSS</t>
    <phoneticPr fontId="14"/>
  </si>
  <si>
    <t>SS</t>
    <phoneticPr fontId="14"/>
  </si>
  <si>
    <t>S</t>
    <phoneticPr fontId="14"/>
  </si>
  <si>
    <t>A</t>
    <phoneticPr fontId="14"/>
  </si>
  <si>
    <t>A</t>
    <phoneticPr fontId="14"/>
  </si>
  <si>
    <t>A</t>
    <phoneticPr fontId="14"/>
  </si>
  <si>
    <t>B</t>
    <phoneticPr fontId="14"/>
  </si>
  <si>
    <t>stage_evaluation_gifts</t>
    <phoneticPr fontId="12"/>
  </si>
  <si>
    <t>score_attack_stage_evaluations_tmp_</t>
    <phoneticPr fontId="12"/>
  </si>
  <si>
    <t>score_attack_params_heal_</t>
    <phoneticPr fontId="12"/>
  </si>
  <si>
    <t>score_attack_params_heal</t>
    <phoneticPr fontId="12"/>
  </si>
  <si>
    <t xml:space="preserve"> </t>
    <phoneticPr fontId="12"/>
  </si>
  <si>
    <t>score_attack_stage_evaluation_gifts_</t>
    <phoneticPr fontId="12"/>
  </si>
  <si>
    <t>score_attack_expanded_floors_</t>
    <phoneticPr fontId="12"/>
  </si>
  <si>
    <t>score_attack_params_damage_given_</t>
    <phoneticPr fontId="12"/>
  </si>
  <si>
    <t>floors_</t>
    <phoneticPr fontId="12"/>
  </si>
  <si>
    <t>floors</t>
    <phoneticPr fontId="12"/>
  </si>
  <si>
    <t>enemy_habitats_</t>
    <phoneticPr fontId="12"/>
  </si>
  <si>
    <t>enemy_habitats</t>
    <phoneticPr fontId="12"/>
  </si>
  <si>
    <t>hp_coefficient</t>
  </si>
  <si>
    <t>attack_coefficient</t>
  </si>
  <si>
    <t>defense_correction</t>
  </si>
  <si>
    <t>skill_set_id</t>
  </si>
  <si>
    <t>seq_no</t>
    <phoneticPr fontId="12"/>
  </si>
  <si>
    <t>skill_level</t>
    <phoneticPr fontId="12"/>
  </si>
  <si>
    <t>enemy_habitat_S_</t>
    <phoneticPr fontId="12"/>
  </si>
  <si>
    <t>enemy_habitat_S</t>
    <phoneticPr fontId="12"/>
  </si>
  <si>
    <t>seq_no</t>
    <phoneticPr fontId="12"/>
  </si>
  <si>
    <t>state_no</t>
    <phoneticPr fontId="12"/>
  </si>
  <si>
    <t>character_id</t>
    <phoneticPr fontId="12"/>
  </si>
  <si>
    <t>level</t>
    <phoneticPr fontId="12"/>
  </si>
  <si>
    <t>speed</t>
    <phoneticPr fontId="12"/>
  </si>
  <si>
    <t>skill_set_id</t>
    <phoneticPr fontId="12"/>
  </si>
  <si>
    <t>hp_coefficient</t>
    <phoneticPr fontId="12"/>
  </si>
  <si>
    <t>attack_coefficient</t>
    <phoneticPr fontId="12"/>
  </si>
  <si>
    <t>defense_correction</t>
    <phoneticPr fontId="12"/>
  </si>
  <si>
    <t>enemy_skill_sets_</t>
    <phoneticPr fontId="12"/>
  </si>
  <si>
    <t>enemy_skill_sets</t>
    <phoneticPr fontId="12"/>
  </si>
  <si>
    <t>skill_id</t>
  </si>
  <si>
    <t>skill_trigger_id</t>
  </si>
  <si>
    <t>enemy_skills_tmp_</t>
    <phoneticPr fontId="12"/>
  </si>
  <si>
    <t>enemy_skills</t>
    <phoneticPr fontId="12"/>
  </si>
  <si>
    <t>effect_param</t>
    <phoneticPr fontId="12"/>
  </si>
  <si>
    <t>enemy_skills_i18n_</t>
    <phoneticPr fontId="12"/>
  </si>
  <si>
    <t>enemy_skills</t>
    <phoneticPr fontId="12"/>
  </si>
  <si>
    <t>language</t>
  </si>
  <si>
    <t>name</t>
  </si>
  <si>
    <t>comment</t>
  </si>
  <si>
    <t>enemy_skill_triggers_</t>
    <phoneticPr fontId="12"/>
  </si>
  <si>
    <t>enemy_skill_triggers</t>
    <phoneticPr fontId="12"/>
  </si>
  <si>
    <t>first_time</t>
  </si>
  <si>
    <t>invoke_rate</t>
  </si>
  <si>
    <t>hp_threshold</t>
  </si>
  <si>
    <t>hp_termination</t>
    <phoneticPr fontId="12"/>
  </si>
  <si>
    <t>invoke_times</t>
  </si>
  <si>
    <t>invoke_weight</t>
    <phoneticPr fontId="12"/>
  </si>
  <si>
    <t>every_time_count</t>
    <phoneticPr fontId="12"/>
  </si>
  <si>
    <t>neighbor_dead_id</t>
    <phoneticPr fontId="12"/>
  </si>
  <si>
    <t>priority</t>
    <phoneticPr fontId="12"/>
  </si>
  <si>
    <t>stage_bug_bonuses_</t>
    <phoneticPr fontId="12"/>
  </si>
  <si>
    <t>bugbonuses</t>
    <phoneticPr fontId="12"/>
  </si>
  <si>
    <t>quest_id</t>
    <phoneticPr fontId="12"/>
  </si>
  <si>
    <t>stage_id</t>
    <phoneticPr fontId="12"/>
  </si>
  <si>
    <t>stage_target</t>
    <phoneticPr fontId="12"/>
  </si>
  <si>
    <t>bonus_id</t>
    <phoneticPr fontId="12"/>
  </si>
  <si>
    <t>bonus_type</t>
    <phoneticPr fontId="12"/>
  </si>
  <si>
    <t>bonus_value</t>
    <phoneticPr fontId="12"/>
  </si>
  <si>
    <t>bonus_count</t>
    <phoneticPr fontId="12"/>
  </si>
  <si>
    <t>skill_level</t>
    <phoneticPr fontId="12"/>
  </si>
  <si>
    <t>hp_plus</t>
    <phoneticPr fontId="12"/>
  </si>
  <si>
    <t>attack_plus</t>
    <phoneticPr fontId="12"/>
  </si>
  <si>
    <t>defense_plus</t>
    <phoneticPr fontId="12"/>
  </si>
  <si>
    <t>heal_plus</t>
    <phoneticPr fontId="12"/>
  </si>
  <si>
    <t>bug</t>
    <phoneticPr fontId="12"/>
  </si>
  <si>
    <t>weight</t>
    <phoneticPr fontId="12"/>
  </si>
  <si>
    <t>definite_start_date</t>
    <phoneticPr fontId="12"/>
  </si>
  <si>
    <t>definite_end_date</t>
    <phoneticPr fontId="12"/>
  </si>
  <si>
    <t>stage_hints_data_c_</t>
    <phoneticPr fontId="12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</si>
  <si>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12"/>
  </si>
  <si>
    <t>hint_id</t>
    <phoneticPr fontId="12"/>
  </si>
  <si>
    <t>floor_id</t>
    <phoneticPr fontId="12"/>
  </si>
  <si>
    <t>hint_type</t>
    <phoneticPr fontId="12"/>
  </si>
  <si>
    <t>stage_hints_data_f_</t>
    <phoneticPr fontId="12"/>
  </si>
  <si>
    <t>stage_hints_failure</t>
    <phoneticPr fontId="12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</si>
  <si>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</si>
  <si>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t>language</t>
    <phoneticPr fontId="12"/>
  </si>
  <si>
    <t>hint</t>
    <phoneticPr fontId="12"/>
  </si>
  <si>
    <t>filename</t>
  </si>
  <si>
    <t>title</t>
    <phoneticPr fontId="12"/>
  </si>
  <si>
    <t>stage_bonuses_</t>
    <phoneticPr fontId="12"/>
  </si>
  <si>
    <t>stage_bonuses</t>
    <phoneticPr fontId="12"/>
  </si>
  <si>
    <t>quest_id</t>
    <phoneticPr fontId="12"/>
  </si>
  <si>
    <t>stage_id</t>
    <phoneticPr fontId="12"/>
  </si>
  <si>
    <t>stage_target</t>
    <phoneticPr fontId="12"/>
  </si>
  <si>
    <t>bonus_category</t>
    <phoneticPr fontId="12"/>
  </si>
  <si>
    <t>bonus_id</t>
    <phoneticPr fontId="12"/>
  </si>
  <si>
    <t>bonus_type</t>
    <phoneticPr fontId="12"/>
  </si>
  <si>
    <t>bonus_value</t>
    <phoneticPr fontId="12"/>
  </si>
  <si>
    <t>bonus_count</t>
    <phoneticPr fontId="12"/>
  </si>
  <si>
    <t>level</t>
    <phoneticPr fontId="12"/>
  </si>
  <si>
    <t>skill_level</t>
    <phoneticPr fontId="12"/>
  </si>
  <si>
    <t>hp_plus</t>
    <phoneticPr fontId="12"/>
  </si>
  <si>
    <t>attack_plus</t>
    <phoneticPr fontId="12"/>
  </si>
  <si>
    <t>defense_plus</t>
    <phoneticPr fontId="12"/>
  </si>
  <si>
    <t>heal_plus</t>
    <phoneticPr fontId="12"/>
  </si>
  <si>
    <t>bug</t>
    <phoneticPr fontId="12"/>
  </si>
  <si>
    <t>weight</t>
    <phoneticPr fontId="12"/>
  </si>
  <si>
    <t>definite_start_date</t>
    <phoneticPr fontId="12"/>
  </si>
  <si>
    <t>definite_end_date</t>
    <phoneticPr fontId="12"/>
  </si>
  <si>
    <t>temp_floor</t>
    <phoneticPr fontId="12"/>
  </si>
  <si>
    <t>status</t>
    <phoneticPr fontId="12"/>
  </si>
  <si>
    <t>name</t>
    <phoneticPr fontId="12"/>
  </si>
  <si>
    <t>temp_stage</t>
    <phoneticPr fontId="12"/>
  </si>
  <si>
    <t>temp_habitats</t>
    <phoneticPr fontId="12"/>
  </si>
  <si>
    <t>temp_stage</t>
    <phoneticPr fontId="12"/>
  </si>
  <si>
    <t>name</t>
    <phoneticPr fontId="12"/>
  </si>
  <si>
    <t>floor_id</t>
    <phoneticPr fontId="12"/>
  </si>
  <si>
    <t>temp_floor</t>
    <phoneticPr fontId="12"/>
  </si>
  <si>
    <t>seq_no</t>
    <phoneticPr fontId="12"/>
  </si>
  <si>
    <t>color</t>
    <phoneticPr fontId="12"/>
  </si>
  <si>
    <t>drop_label</t>
    <phoneticPr fontId="12"/>
  </si>
  <si>
    <t>character_main_tribe_id</t>
    <phoneticPr fontId="12"/>
  </si>
  <si>
    <t>size</t>
    <phoneticPr fontId="12"/>
  </si>
  <si>
    <t>hp_coefficient</t>
    <phoneticPr fontId="12"/>
  </si>
  <si>
    <t>hp</t>
    <phoneticPr fontId="12"/>
  </si>
  <si>
    <t>attack_coefficient</t>
    <phoneticPr fontId="12"/>
  </si>
  <si>
    <t>attack</t>
    <phoneticPr fontId="12"/>
  </si>
  <si>
    <t>defense_correction</t>
    <phoneticPr fontId="12"/>
  </si>
  <si>
    <t>スキル</t>
    <phoneticPr fontId="12"/>
  </si>
  <si>
    <t>skill_set_id</t>
    <phoneticPr fontId="12"/>
  </si>
  <si>
    <t>name</t>
    <phoneticPr fontId="12"/>
  </si>
  <si>
    <t>rare</t>
    <phoneticPr fontId="12"/>
  </si>
  <si>
    <t>drop_label</t>
    <phoneticPr fontId="14"/>
  </si>
  <si>
    <t>null</t>
    <phoneticPr fontId="12"/>
  </si>
  <si>
    <t>state_no</t>
    <phoneticPr fontId="12"/>
  </si>
  <si>
    <t>hp_coefficient</t>
    <phoneticPr fontId="12"/>
  </si>
  <si>
    <t>hp</t>
    <phoneticPr fontId="12"/>
  </si>
  <si>
    <t>attack_coefficient</t>
    <phoneticPr fontId="12"/>
  </si>
  <si>
    <t>attack</t>
    <phoneticPr fontId="12"/>
  </si>
  <si>
    <t>defense_correction</t>
    <phoneticPr fontId="12"/>
  </si>
  <si>
    <t>スキル</t>
    <phoneticPr fontId="12"/>
  </si>
  <si>
    <t>skill_set_id</t>
    <phoneticPr fontId="12"/>
  </si>
  <si>
    <t>temp_id</t>
    <phoneticPr fontId="12"/>
  </si>
  <si>
    <t>skill_set_id</t>
    <phoneticPr fontId="14"/>
  </si>
  <si>
    <t>skill_id</t>
    <phoneticPr fontId="14"/>
  </si>
  <si>
    <t>name</t>
    <phoneticPr fontId="14"/>
  </si>
  <si>
    <t>comment</t>
    <phoneticPr fontId="14"/>
  </si>
  <si>
    <t>skill_trigger_id</t>
    <phoneticPr fontId="14"/>
  </si>
  <si>
    <t>first_time</t>
    <phoneticPr fontId="12"/>
  </si>
  <si>
    <t>priority</t>
    <phoneticPr fontId="12"/>
  </si>
  <si>
    <t>invoke_rate</t>
    <phoneticPr fontId="12"/>
  </si>
  <si>
    <t>hp_threshold</t>
    <phoneticPr fontId="12"/>
  </si>
  <si>
    <t>hp_termination</t>
    <phoneticPr fontId="12"/>
  </si>
  <si>
    <t>invoke_times</t>
    <phoneticPr fontId="12"/>
  </si>
  <si>
    <t>every_time_count</t>
    <phoneticPr fontId="12"/>
  </si>
  <si>
    <t>neighbor_dead_id</t>
    <phoneticPr fontId="12"/>
  </si>
  <si>
    <t>invoke_weight</t>
    <phoneticPr fontId="12"/>
  </si>
  <si>
    <t>effect_param</t>
    <phoneticPr fontId="12"/>
  </si>
  <si>
    <t>language</t>
    <phoneticPr fontId="12"/>
  </si>
  <si>
    <t>name</t>
    <phoneticPr fontId="14"/>
  </si>
  <si>
    <t>comment</t>
    <phoneticPr fontId="14"/>
  </si>
  <si>
    <t>skill_trigger_id</t>
    <phoneticPr fontId="14"/>
  </si>
  <si>
    <t>first_time</t>
    <phoneticPr fontId="12"/>
  </si>
  <si>
    <t>hp_termination</t>
    <phoneticPr fontId="12"/>
  </si>
  <si>
    <t>invoke_times</t>
    <phoneticPr fontId="12"/>
  </si>
  <si>
    <t>every_time_count</t>
    <phoneticPr fontId="12"/>
  </si>
  <si>
    <t>neighbor_dead_id</t>
    <phoneticPr fontId="12"/>
  </si>
  <si>
    <t>invoke_weight</t>
    <phoneticPr fontId="12"/>
  </si>
  <si>
    <t>quest_id</t>
    <phoneticPr fontId="12"/>
  </si>
  <si>
    <t>stage_id</t>
    <phoneticPr fontId="12"/>
  </si>
  <si>
    <t>temp_stage</t>
    <phoneticPr fontId="14"/>
  </si>
  <si>
    <t>stage_target</t>
    <phoneticPr fontId="12"/>
  </si>
  <si>
    <t>bonus_id</t>
    <phoneticPr fontId="12"/>
  </si>
  <si>
    <t>bonus_type</t>
    <phoneticPr fontId="12"/>
  </si>
  <si>
    <t>bonus_value</t>
    <phoneticPr fontId="12"/>
  </si>
  <si>
    <t>bonus_count</t>
    <phoneticPr fontId="12"/>
  </si>
  <si>
    <t>level</t>
    <phoneticPr fontId="12"/>
  </si>
  <si>
    <t>skill_level</t>
    <phoneticPr fontId="12"/>
  </si>
  <si>
    <t>hp_plus</t>
    <phoneticPr fontId="12"/>
  </si>
  <si>
    <t>attack_plus</t>
    <phoneticPr fontId="12"/>
  </si>
  <si>
    <t>defense_plus</t>
    <phoneticPr fontId="12"/>
  </si>
  <si>
    <t>heal_plus</t>
    <phoneticPr fontId="12"/>
  </si>
  <si>
    <t>bug</t>
    <phoneticPr fontId="12"/>
  </si>
  <si>
    <t>weight</t>
    <phoneticPr fontId="12"/>
  </si>
  <si>
    <t>definite_start_date</t>
    <phoneticPr fontId="12"/>
  </si>
  <si>
    <t>definite_end_date</t>
    <phoneticPr fontId="12"/>
  </si>
  <si>
    <t>quest_id</t>
    <phoneticPr fontId="12"/>
  </si>
  <si>
    <t>ja</t>
    <phoneticPr fontId="12"/>
  </si>
  <si>
    <t>NULL</t>
    <phoneticPr fontId="12"/>
  </si>
  <si>
    <t>ja</t>
    <phoneticPr fontId="12"/>
  </si>
  <si>
    <t>hint_type</t>
    <phoneticPr fontId="12"/>
  </si>
  <si>
    <t>quest_id</t>
    <phoneticPr fontId="12"/>
  </si>
  <si>
    <t>name</t>
    <phoneticPr fontId="12"/>
  </si>
  <si>
    <t>stage_id</t>
    <phoneticPr fontId="12"/>
  </si>
  <si>
    <t>floor_id</t>
    <phoneticPr fontId="12"/>
  </si>
  <si>
    <t>tmp_hint_id</t>
    <phoneticPr fontId="12"/>
  </si>
  <si>
    <t>hint_id</t>
    <phoneticPr fontId="12"/>
  </si>
  <si>
    <t>language</t>
    <phoneticPr fontId="12"/>
  </si>
  <si>
    <t>title</t>
    <phoneticPr fontId="12"/>
  </si>
  <si>
    <t>hint</t>
    <phoneticPr fontId="12"/>
  </si>
  <si>
    <t>filename</t>
    <phoneticPr fontId="12"/>
  </si>
  <si>
    <t>NULL</t>
    <phoneticPr fontId="12"/>
  </si>
  <si>
    <t>temp_id</t>
    <phoneticPr fontId="12"/>
  </si>
  <si>
    <t>quest_id</t>
    <phoneticPr fontId="12"/>
  </si>
  <si>
    <t>name</t>
    <phoneticPr fontId="12"/>
  </si>
  <si>
    <t>stage_id</t>
    <phoneticPr fontId="12"/>
  </si>
  <si>
    <t>stage_target</t>
    <phoneticPr fontId="12"/>
  </si>
  <si>
    <t>bonus_category</t>
    <phoneticPr fontId="12"/>
  </si>
  <si>
    <t>bonus_id</t>
    <phoneticPr fontId="12"/>
  </si>
  <si>
    <t>weight</t>
    <phoneticPr fontId="12"/>
  </si>
  <si>
    <t>bonus_type</t>
    <phoneticPr fontId="12"/>
  </si>
  <si>
    <t>bonus_value</t>
    <phoneticPr fontId="12"/>
  </si>
  <si>
    <t>bonus_count</t>
    <phoneticPr fontId="12"/>
  </si>
  <si>
    <t>level</t>
    <phoneticPr fontId="12"/>
  </si>
  <si>
    <t>skill_level</t>
    <phoneticPr fontId="12"/>
  </si>
  <si>
    <t>hp_plus</t>
    <phoneticPr fontId="12"/>
  </si>
  <si>
    <t>attack_plus</t>
    <phoneticPr fontId="12"/>
  </si>
  <si>
    <t>defense_plus</t>
    <phoneticPr fontId="12"/>
  </si>
  <si>
    <t>heal_plus</t>
    <phoneticPr fontId="12"/>
  </si>
  <si>
    <t>bug</t>
    <phoneticPr fontId="12"/>
  </si>
  <si>
    <t>definite_start_date</t>
    <phoneticPr fontId="12"/>
  </si>
  <si>
    <t>definite_end_date</t>
    <phoneticPr fontId="12"/>
  </si>
  <si>
    <t>everyone</t>
    <phoneticPr fontId="12"/>
  </si>
  <si>
    <t>clear</t>
    <phoneticPr fontId="12"/>
  </si>
  <si>
    <t>unit</t>
    <phoneticPr fontId="12"/>
  </si>
  <si>
    <t>2016-5-27 0:00:00</t>
    <phoneticPr fontId="12"/>
  </si>
  <si>
    <t>2970-01-01 09:00:00</t>
    <phoneticPr fontId="12"/>
  </si>
  <si>
    <t>no_continue</t>
    <phoneticPr fontId="12"/>
  </si>
  <si>
    <t>2016-5-27 0:00:00</t>
    <phoneticPr fontId="12"/>
  </si>
  <si>
    <t>2970-01-01 09:00:00</t>
    <phoneticPr fontId="12"/>
  </si>
  <si>
    <t>quest_id</t>
    <phoneticPr fontId="12"/>
  </si>
  <si>
    <t>number</t>
    <phoneticPr fontId="12"/>
  </si>
  <si>
    <t>↑evaluation_idは過去のものと被らないように指定してください</t>
    <rPh sb="15" eb="17">
      <t>カコノモノト</t>
    </rPh>
    <rPh sb="21" eb="22">
      <t>カブラナイヨウニ</t>
    </rPh>
    <rPh sb="28" eb="30">
      <t>シテイシテクダサイ</t>
    </rPh>
    <phoneticPr fontId="12"/>
  </si>
  <si>
    <t>↑evaluation_idは過去のものと被らないように指定してください</t>
    <rPh sb="15" eb="17">
      <t>カコノモノト</t>
    </rPh>
    <rPh sb="21" eb="22">
      <t>カブラナイ</t>
    </rPh>
    <rPh sb="28" eb="30">
      <t>シテイシテク</t>
    </rPh>
    <phoneticPr fontId="12"/>
  </si>
  <si>
    <t>hint_type</t>
    <phoneticPr fontId="12"/>
  </si>
  <si>
    <t>name</t>
    <phoneticPr fontId="12"/>
  </si>
  <si>
    <t>stage_id</t>
    <phoneticPr fontId="12"/>
  </si>
  <si>
    <t>floor_id</t>
    <phoneticPr fontId="12"/>
  </si>
  <si>
    <t>hint_id</t>
    <phoneticPr fontId="12"/>
  </si>
  <si>
    <t>language</t>
    <phoneticPr fontId="12"/>
  </si>
  <si>
    <t>title</t>
    <phoneticPr fontId="12"/>
  </si>
  <si>
    <t>hint</t>
    <phoneticPr fontId="12"/>
  </si>
  <si>
    <t>filename</t>
    <phoneticPr fontId="12"/>
  </si>
  <si>
    <t>ja</t>
    <phoneticPr fontId="12"/>
  </si>
  <si>
    <t>old</t>
  </si>
  <si>
    <t>.tmp</t>
    <phoneticPr fontId="12"/>
  </si>
  <si>
    <t xml:space="preserve">[effect:enemy_message, val1:1.5, val2:1.2],[effect:tolerance, target:myself, turn:-1, count:-1, tolerance_effect:all, animation:enemy_tolerance]    </t>
    <phoneticPr fontId="12"/>
  </si>
  <si>
    <t>チョイと顔を見合わせ
笑っている</t>
    <rPh sb="4" eb="5">
      <t>カオ</t>
    </rPh>
    <rPh sb="6" eb="8">
      <t>ミアワs</t>
    </rPh>
    <phoneticPr fontId="12"/>
  </si>
  <si>
    <t>状態異常耐性</t>
    <rPh sb="0" eb="6">
      <t>ジョウタ</t>
    </rPh>
    <phoneticPr fontId="12"/>
  </si>
  <si>
    <t>[effect:enemy_message, val1:1.2, val2:1.8],[effect:change_range_block,block_change:1, base_type:0, square_count:6, position01:8, value_h01:4, value_w01:2, position02:13, value_h02:2, value_w02:4,new_block:block_red, target:normal, count:0, val:0, animation:change_range_block],[effect:rush, count:1, val:0.5]</t>
    <phoneticPr fontId="12"/>
  </si>
  <si>
    <t>コーハン行くッス！！</t>
    <rPh sb="4" eb="5">
      <t>イクッs</t>
    </rPh>
    <phoneticPr fontId="12"/>
  </si>
  <si>
    <t>特定エリアを赤パネルに変換+
単体攻撃</t>
    <rPh sb="0" eb="2">
      <t>トクテ</t>
    </rPh>
    <rPh sb="6" eb="7">
      <t>アカ</t>
    </rPh>
    <rPh sb="11" eb="13">
      <t>ヘンカn</t>
    </rPh>
    <rPh sb="15" eb="19">
      <t>タンタ</t>
    </rPh>
    <phoneticPr fontId="12"/>
  </si>
  <si>
    <t>いっくどー！</t>
    <phoneticPr fontId="12"/>
  </si>
  <si>
    <t>クリティカル！！</t>
    <phoneticPr fontId="12"/>
  </si>
  <si>
    <t>チャンと顔を見合わせ
笑っている</t>
    <phoneticPr fontId="12"/>
  </si>
  <si>
    <t>状態異常耐性</t>
    <rPh sb="0" eb="4">
      <t>ジョウタ</t>
    </rPh>
    <rPh sb="4" eb="6">
      <t>タイセ</t>
    </rPh>
    <phoneticPr fontId="12"/>
  </si>
  <si>
    <t>[effect:enemy_message, val1:1.2, val2:1.8],[effect:change_range_block,block_change:1,base_type:0, square_count:7, position01:0, position02:3, position03:6, value_h01:7, value_h02:7, value_h03:7,  value_w01:1, value_w02:1, value_w03:1, new_block:block_yellow,  target:normal, count:0, val:0, animation:change_range_block],[effect:rush, count:1, val:0.4]</t>
    <phoneticPr fontId="12"/>
  </si>
  <si>
    <t>斬るでヤンス！</t>
    <rPh sb="0" eb="1">
      <t>キルデ</t>
    </rPh>
    <phoneticPr fontId="12"/>
  </si>
  <si>
    <t>特定エリアを黄パネルに変換+
単体攻撃</t>
    <rPh sb="0" eb="2">
      <t>トクテ</t>
    </rPh>
    <rPh sb="6" eb="7">
      <t>k</t>
    </rPh>
    <rPh sb="11" eb="13">
      <t>ヘンカn</t>
    </rPh>
    <rPh sb="15" eb="19">
      <t>タンタイコウg</t>
    </rPh>
    <phoneticPr fontId="12"/>
  </si>
  <si>
    <t xml:space="preserve">[effect:enemy_message, val1:1.2, val2:1.2],[effect:rush, count:4, val:0.1]    </t>
    <phoneticPr fontId="12"/>
  </si>
  <si>
    <t>キリキリまいまーい！</t>
    <phoneticPr fontId="12"/>
  </si>
  <si>
    <t>4回連続攻撃</t>
    <rPh sb="1" eb="6">
      <t>k</t>
    </rPh>
    <phoneticPr fontId="12"/>
  </si>
  <si>
    <t xml:space="preserve">[effect:enemy_message, val1:1.2, val2:1.2],[effect:tolerance, target:myself, turn:-1, count:-1, tolerance_effect:all, animation:enemy_tolerance]    </t>
    <phoneticPr fontId="12"/>
  </si>
  <si>
    <t>ゆくぞっ！！</t>
    <phoneticPr fontId="12"/>
  </si>
  <si>
    <t>ハッハッハ！
私に追いついてみなさい！</t>
    <rPh sb="7" eb="8">
      <t>ワタs</t>
    </rPh>
    <rPh sb="9" eb="10">
      <t>オイツ</t>
    </rPh>
    <phoneticPr fontId="12"/>
  </si>
  <si>
    <t>状態異常耐性　</t>
    <rPh sb="0" eb="4">
      <t>ジョウタ</t>
    </rPh>
    <rPh sb="4" eb="6">
      <t>タイセ</t>
    </rPh>
    <phoneticPr fontId="12"/>
  </si>
  <si>
    <t>誰であろうと手加減しませんよ！</t>
    <rPh sb="0" eb="1">
      <t>ダレd</t>
    </rPh>
    <rPh sb="6" eb="9">
      <t>テカゲn</t>
    </rPh>
    <phoneticPr fontId="12"/>
  </si>
  <si>
    <t>テコンドーの足技！
お見せしましょう！！</t>
    <rPh sb="6" eb="8">
      <t>アs</t>
    </rPh>
    <phoneticPr fontId="12"/>
  </si>
  <si>
    <t>自分のことばかり考えていると
大事なものを失うぞ！</t>
    <rPh sb="0" eb="2">
      <t>ジブn</t>
    </rPh>
    <rPh sb="8" eb="9">
      <t>カンガ</t>
    </rPh>
    <rPh sb="15" eb="17">
      <t>ダイz</t>
    </rPh>
    <rPh sb="21" eb="22">
      <t>ウシナ</t>
    </rPh>
    <phoneticPr fontId="12"/>
  </si>
  <si>
    <t>悪は許さん！！</t>
  </si>
  <si>
    <t>ここだっ！！</t>
    <phoneticPr fontId="12"/>
  </si>
  <si>
    <t>見切った！！</t>
    <rPh sb="0" eb="2">
      <t>ミキッt</t>
    </rPh>
    <phoneticPr fontId="12"/>
  </si>
  <si>
    <t>飛燕斬！！</t>
    <rPh sb="0" eb="1">
      <t>トb</t>
    </rPh>
    <rPh sb="1" eb="2">
      <t>エン</t>
    </rPh>
    <rPh sb="2" eb="3">
      <t>ザン</t>
    </rPh>
    <phoneticPr fontId="12"/>
  </si>
  <si>
    <t>半月斬！！</t>
    <rPh sb="0" eb="3">
      <t>ハンゲツザn</t>
    </rPh>
    <phoneticPr fontId="12"/>
  </si>
  <si>
    <t>3回連続攻撃</t>
    <phoneticPr fontId="12"/>
  </si>
  <si>
    <t>飛翔脚！！</t>
    <rPh sb="0" eb="1">
      <t>トb</t>
    </rPh>
    <rPh sb="1" eb="2">
      <t>ショ</t>
    </rPh>
    <phoneticPr fontId="12"/>
  </si>
  <si>
    <t>4回連続攻撃</t>
    <phoneticPr fontId="12"/>
  </si>
  <si>
    <t>まだまだ…これからですよ！</t>
    <phoneticPr fontId="12"/>
  </si>
  <si>
    <t>私が君を止めてみせよう！</t>
    <rPh sb="0" eb="1">
      <t>ワタs</t>
    </rPh>
    <rPh sb="2" eb="3">
      <t>キm</t>
    </rPh>
    <rPh sb="4" eb="5">
      <t>トm</t>
    </rPh>
    <phoneticPr fontId="12"/>
  </si>
  <si>
    <t>隙ありっ！！</t>
    <rPh sb="0" eb="1">
      <t>sukiアリ！</t>
    </rPh>
    <phoneticPr fontId="12"/>
  </si>
  <si>
    <t>12回連続攻撃</t>
    <phoneticPr fontId="12"/>
  </si>
  <si>
    <t>いいだろう！
全力でかかってきたまえ！！</t>
    <phoneticPr fontId="12"/>
  </si>
  <si>
    <t>2回連続攻撃</t>
    <phoneticPr fontId="12"/>
  </si>
  <si>
    <t>21回連続攻撃</t>
    <rPh sb="2" eb="3">
      <t>カ</t>
    </rPh>
    <rPh sb="3" eb="7">
      <t>レンゾk</t>
    </rPh>
    <phoneticPr fontId="12"/>
  </si>
  <si>
    <t>くっ…</t>
    <phoneticPr fontId="12"/>
  </si>
  <si>
    <t>ウああああああぁぁぁぁーーっ！！</t>
  </si>
  <si>
    <t>私としたことが…</t>
    <rPh sb="0" eb="1">
      <t>ワタs</t>
    </rPh>
    <phoneticPr fontId="12"/>
  </si>
  <si>
    <t>無念！</t>
    <rPh sb="0" eb="2">
      <t>ムn</t>
    </rPh>
    <phoneticPr fontId="12"/>
  </si>
  <si>
    <t>チャンとチョイはクリティカル攻撃や
連続攻撃のほかにエリア変換を行います
こまめにHPを回復しながら
攻撃しましょう</t>
    <phoneticPr fontId="12"/>
  </si>
  <si>
    <t>キムは構えた後に連続攻撃を使用します
防御UPスキルを使用することで
ダメージを抑えることが出来ます</t>
    <phoneticPr fontId="12"/>
  </si>
  <si>
    <t>キムは特定のタイミングで
お邪魔パネル変換スキルと
お邪魔吸収攻撃を使用します
お邪魔パネルを残さないことで
ダメージを抑えられます</t>
    <phoneticPr fontId="12"/>
  </si>
  <si>
    <t>キムは強力な連続攻撃を使用します
残りHPに余裕があれば
カウンタースキルを使用することで
大ダメージを与えることが出来ます</t>
    <phoneticPr fontId="12"/>
  </si>
  <si>
    <t>cost</t>
    <phoneticPr fontId="12"/>
  </si>
  <si>
    <t>human</t>
    <phoneticPr fontId="12"/>
  </si>
  <si>
    <t>tribe</t>
    <phoneticPr fontId="12"/>
  </si>
  <si>
    <t>君はいつまで高校生なんだ！
ここは一つ私が気合を入れてあげよう！</t>
    <rPh sb="17" eb="18">
      <t>１ツ</t>
    </rPh>
    <phoneticPr fontId="12"/>
  </si>
  <si>
    <t>状態異常耐性+
全ユニットのスキルターンを4ターン短縮</t>
    <rPh sb="0" eb="6">
      <t>ジョウタ</t>
    </rPh>
    <rPh sb="8" eb="9">
      <t>ゼンユn</t>
    </rPh>
    <rPh sb="25" eb="27">
      <t>タンシュk</t>
    </rPh>
    <phoneticPr fontId="12"/>
  </si>
  <si>
    <t>[effect:enemy_message, val1:1.2, val2:1.2],[effect:tolerance, target:myself, turn:-1, count:-1, tolerance_effect:all, animation:enemy_tolerance]</t>
  </si>
  <si>
    <t>[effect:enemy_message, val1:1.2, val2:1.2],[effect:tolerance, target:myself, turn:-1, count:-0, tolerance_effect:all, animation:enemy_tolerance]</t>
  </si>
  <si>
    <t>null</t>
    <phoneticPr fontId="12"/>
  </si>
  <si>
    <t>- / -</t>
  </si>
  <si>
    <t>&lt;=</t>
    <phoneticPr fontId="12"/>
  </si>
  <si>
    <t>[effect:enemy_message, val1:1.2, val2:1.2],[effect:tolerance, target:myself, turn:-1, count:-1, tolerance_effect:all, animation:enemy_tolerance],[effect:play_bgm, turn:-1, bgm_path:BGM/BattleNormal9800]</t>
    <phoneticPr fontId="12"/>
  </si>
  <si>
    <t>ウィルスの性質</t>
    <rPh sb="5" eb="7">
      <t>セイシｔ</t>
    </rPh>
    <phoneticPr fontId="69"/>
  </si>
  <si>
    <t>今回のウィルスで暴走したアバターは
一度倒すと正気に戻るようです</t>
    <phoneticPr fontId="69"/>
  </si>
  <si>
    <t>教育してやるチーム</t>
    <phoneticPr fontId="69"/>
  </si>
  <si>
    <t>キムはチャン・コーハンとチョイ・ボンゲを
更生させたいと考えていますが
二人にその気は全く無いようです</t>
    <phoneticPr fontId="69"/>
  </si>
  <si>
    <t>キムの助力</t>
    <phoneticPr fontId="69"/>
  </si>
  <si>
    <t>誤解を解くことで頼れる仲間になりました
協力して事件の解決を目指しましょう</t>
    <phoneticPr fontId="69"/>
  </si>
  <si>
    <t>チャンと顔を見合わせ
笑っている</t>
    <phoneticPr fontId="12"/>
  </si>
  <si>
    <t>[effect:enemy_message, val1:3.1, val2:1.2],[effect:tolerance, target:myself, turn:-1, count:-1, tolerance_effect:all, animation:enemy_tolerance],[effect:play_bgm, turn:-1, bgm_path:BGM/BattleNormal9800]</t>
    <phoneticPr fontId="12"/>
  </si>
  <si>
    <t>[effect:enemy_message, val1:1.9, val2:1.2],[effect:tolerance, target:myself, turn:-1, count:-1, tolerance_effect:all, animation:enemy_tolerance],[effect:play_bgm, turn:-1, bgm_path:BGM/BattleNormal9800]</t>
    <phoneticPr fontId="12"/>
  </si>
  <si>
    <t>[effect:enemy_message, val1:2.4, val2:1.2],[effect:tolerance, target:myself, turn:-1, count:-1, tolerance_effect:all, animation:enemy_tolerance],[effect:play_bgm, turn:-1, bgm_path:BGM/BattleNormal9800]</t>
    <phoneticPr fontId="12"/>
  </si>
  <si>
    <t>[effect:enemy_message, val1:1.5, val2:1.2],[effect:tolerance, target:myself, turn:-1, count:-1, tolerance_effect:all, animation:enemy_tolerance],[effect:play_bgm, turn:-1, bgm_path:BGM/BattleNormal9800]</t>
    <phoneticPr fontId="12"/>
  </si>
  <si>
    <t xml:space="preserve">[effect:enemy_message, val1:1.2, val2:1.5],[effect:break_attack,_fix,target:unit_one, val:0.03, lowest_val:2000, count:-1, color:blue, block01:jammer]    </t>
    <phoneticPr fontId="12"/>
  </si>
  <si>
    <t xml:space="preserve">[effect:enemy_message, val1:1.3, val2:1.2],[effect:tolerance, target:myself, turn:-1, count:-1, tolerance_effect:all, animation:enemy_tolerance]    </t>
    <phoneticPr fontId="12"/>
  </si>
  <si>
    <t>[effect:enemy_message, val1:1.2, val2:2.6],[effect:tolerance, target:myself, turn:-1, count:-1, tolerance_effect:all, animation:enemy_tolerance],[effect:sp_boost, target:unit_all, val:4, animation:sp_boost_one01]</t>
    <phoneticPr fontId="12"/>
  </si>
  <si>
    <t>[effect:enemy_message, val1:1.2, val2:2.6],[effect:tolerance, target:myself, turn:-1, count:-1, tolerance_effect:all, animation:enemy_tolerance],[effect:sp_boost, target:unit_all, val:4, animation:sp_boost_one02]</t>
    <phoneticPr fontId="12"/>
  </si>
  <si>
    <t xml:space="preserve">[effect:enemy_message, val1:1.2, val2:2.6],[effect:tolerance, target:myself, turn:-1, count:-1, tolerance_effect:all, animation:enemy_tolerance],[effect:sp_boost, target:unit_all, val:4, animation:sp_boost_one03]    </t>
    <phoneticPr fontId="12"/>
  </si>
  <si>
    <t>[effect:enemy_message, val1:1.2, val2:2.6],[effect:tolerance, target:myself, turn:-1, count:-1, tolerance_effect:all, animation:enemy_tolerance],[effect:sp_boost, target:unit_all, val:4, animation:sp_boost_one04]</t>
    <phoneticPr fontId="12"/>
  </si>
  <si>
    <t>[effect:enemy_message, val1:1.9, val2:1.2],[effect:tolerance, target:myself, turn:-1, count:-1, tolerance_effect:all, animation:enemy_tolerance]</t>
    <phoneticPr fontId="12"/>
  </si>
  <si>
    <t>キムは構えている</t>
  </si>
  <si>
    <t>はあぁ！！</t>
    <phoneticPr fontId="12"/>
  </si>
  <si>
    <t>[effect:enemy_message, val1:1.2, val2:1.2]</t>
    <phoneticPr fontId="12"/>
  </si>
  <si>
    <t>鳳凰脚！！
あたたた…あたぁ！！</t>
    <rPh sb="0" eb="2">
      <t>ホウオ</t>
    </rPh>
    <rPh sb="2" eb="3">
      <t>アs</t>
    </rPh>
    <phoneticPr fontId="12"/>
  </si>
  <si>
    <t>お邪魔パネルを吸収して攻撃</t>
    <rPh sb="7" eb="13">
      <t>キュウシュ</t>
    </rPh>
    <phoneticPr fontId="12"/>
  </si>
  <si>
    <t>2回連続攻撃</t>
    <phoneticPr fontId="12"/>
  </si>
  <si>
    <t>12回連続攻撃</t>
    <phoneticPr fontId="12"/>
  </si>
  <si>
    <t xml:space="preserve">[effect:enemy_message, val1:1.5, val2:1.2],[effect:rush, count:12, val:0.083]    </t>
    <phoneticPr fontId="12"/>
  </si>
  <si>
    <t xml:space="preserve">[effect:enemy_message, val1:1.5, val2:1.2],[effect:rush, count:12, val:20]    </t>
    <phoneticPr fontId="12"/>
  </si>
  <si>
    <t xml:space="preserve">[effect:enemy_message, val1:1.2, val2:1.2],[effect:rush, count:2, val:0.2]    </t>
    <phoneticPr fontId="12"/>
  </si>
  <si>
    <t xml:space="preserve">[effect:enemy_message, val1:1.2, val2:1.2],[effect:rush, count:3, val:0.18]    </t>
    <phoneticPr fontId="12"/>
  </si>
  <si>
    <t xml:space="preserve">[effect:enemy_message, val1:1.2, val2:1.2],[effect:rush, count:4, val:0.18]    </t>
    <phoneticPr fontId="12"/>
  </si>
  <si>
    <t>黄パネルをプロテクト(2個)</t>
    <rPh sb="0" eb="1">
      <t>キイr</t>
    </rPh>
    <phoneticPr fontId="12"/>
  </si>
  <si>
    <t xml:space="preserve">[effect:enemy_message, val1:1.5, val2:1.2],[effect:rush, count:12, val:0.057]    </t>
    <phoneticPr fontId="12"/>
  </si>
  <si>
    <t>[effect:enemy_message, val1:1.2, val2:1.2],[effect:tolerance, target:myself, turn:-1, count:-1, tolerance_effect:all, animation:enemy_tolerance]</t>
    <phoneticPr fontId="12"/>
  </si>
  <si>
    <t xml:space="preserve">[effect:enemy_message, val1:1.5, val2:1.2],[effect:rush, count:21, val:0.055]    </t>
    <phoneticPr fontId="12"/>
  </si>
  <si>
    <t xml:space="preserve">[effect:enemy_message, val1:1.5, val2:1.2],[effect:rush, count:21, val:20]    </t>
    <phoneticPr fontId="12"/>
  </si>
  <si>
    <t>なかなかのお手前で！</t>
    <rPh sb="7" eb="8">
      <t>マ</t>
    </rPh>
    <phoneticPr fontId="12"/>
  </si>
  <si>
    <t>状態異常耐性+
全ユニットのスキルターンを2ターン短縮+
全ユニットの攻撃力&amp;回復力を980UP</t>
    <rPh sb="0" eb="4">
      <t>ジョウタ</t>
    </rPh>
    <rPh sb="4" eb="6">
      <t>タイセ</t>
    </rPh>
    <rPh sb="8" eb="9">
      <t>ゼn</t>
    </rPh>
    <rPh sb="25" eb="27">
      <t>タンシュk</t>
    </rPh>
    <rPh sb="35" eb="37">
      <t>コウゲキ</t>
    </rPh>
    <rPh sb="37" eb="38">
      <t>チカr</t>
    </rPh>
    <rPh sb="39" eb="42">
      <t>カイフk</t>
    </rPh>
    <phoneticPr fontId="12"/>
  </si>
  <si>
    <t>[effect:enemy_message, val1:1.5, val2:4.6],[effect:tolerance, target:myself, turn:-1, count:-1, tolerance_effect:all, animation:enemy_tolerance],[effect:sp_boost, target:unit_all, val:2, animation:sp_boost_one03],[effect:enhance_unit, target:unit_all, turn:-1, status:attack, val:980, calc:add],[effect:enhance_unit, target:unit_all, turn:-1, status:heal, val:980, calc:add]</t>
    <phoneticPr fontId="12"/>
  </si>
  <si>
    <t>属性パネルをお邪魔パネルに5個変換+
単体攻撃</t>
    <rPh sb="0" eb="2">
      <t>ゾクセ</t>
    </rPh>
    <rPh sb="15" eb="17">
      <t>k</t>
    </rPh>
    <rPh sb="19" eb="23">
      <t>タンタ</t>
    </rPh>
    <phoneticPr fontId="12"/>
  </si>
  <si>
    <t>[effect:enemy_message, val1:1.2, val2:2.2],[effect:force_change_block, new_block:jammer, target:normal, ignore01:jammer, count:5, val:0, animation:change_block] ,[effect:rush, count:1, val:0.2]</t>
    <phoneticPr fontId="12"/>
  </si>
  <si>
    <t xml:space="preserve">[effect:enemy_message, val1:1.2, val2:1.3],[effect:break_attack,_fix,target:unit_one, val:0.03, lowest_val:2000, count:-1, color:blue, block01:jammer]    </t>
    <phoneticPr fontId="12"/>
  </si>
  <si>
    <t>[effect:enemy_message, val1:3.1, val2:1.2],[effect:tolerance, target:myself, turn:-1, count:-1, tolerance_effect:all, animation:enemy_tolerance],[effect:play_bgm, turn:-1, bgm_path:BGM/BattleNormal9800]</t>
    <phoneticPr fontId="12"/>
  </si>
  <si>
    <t>[effect:enemy_message, val1:1.9, val2:1.2],[effect:tolerance, target:myself, turn:-1, count:-1, tolerance_effect:all, animation:enemy_tolerance],[effect:play_bgm, turn:-1, bgm_path:BGM/BattleNormal9800]</t>
    <phoneticPr fontId="12"/>
  </si>
  <si>
    <t>悪は許さん！！</t>
    <phoneticPr fontId="12"/>
  </si>
  <si>
    <t>[effect:enemy_message, val1:1.8, val2:1.2],[effect:tolerance, target:myself, turn:-1, count:-1, tolerance_effect:all, animation:enemy_tolerance],[effect:play_bgm, turn:-1, bgm_path:BGM/BattleNormal9800]</t>
    <phoneticPr fontId="12"/>
  </si>
  <si>
    <t xml:space="preserve">[effect:enemy_message, val1:1.2, val2:1.2],[effect:rush, count:2, val:0.23]    </t>
    <phoneticPr fontId="12"/>
  </si>
  <si>
    <t xml:space="preserve">[effect:enemy_message, val1:1.2, val2:1.2],[effect:rush, count:2, val:0.25]    </t>
    <phoneticPr fontId="12"/>
  </si>
  <si>
    <t xml:space="preserve">[effect:enemy_message, val1:1.2, val2:1.2],[effect:rush, count:3, val:0.25]    </t>
    <phoneticPr fontId="12"/>
  </si>
  <si>
    <t xml:space="preserve">[effect:enemy_message, val1:1.2, val2:1.2],[effect:rush, count:4, val:0.2]    </t>
    <phoneticPr fontId="12"/>
  </si>
  <si>
    <t>[effect:enemy_message, val1:1.7, val2:2.1, dead_type:suicide]</t>
    <phoneticPr fontId="12"/>
  </si>
  <si>
    <t>[effect:enemy_message, val1:1.7, val2:1.7, dead_type:suicide]</t>
    <phoneticPr fontId="12"/>
  </si>
  <si>
    <t>[effect:enemy_message, val1:1.2, val2:1.4], [effect:panel_freeze, target:normal,color:block_yellow, count:2]</t>
    <phoneticPr fontId="12"/>
  </si>
  <si>
    <t>base_character_id</t>
    <phoneticPr fontId="12"/>
  </si>
  <si>
    <t>base_character_id</t>
  </si>
  <si>
    <t>'95 草薙京</t>
  </si>
  <si>
    <t>麻宮アテナ</t>
  </si>
  <si>
    <t>キング</t>
  </si>
  <si>
    <t>神楽ちづる</t>
  </si>
  <si>
    <t>二階堂紅丸</t>
  </si>
  <si>
    <t>不知火舞</t>
  </si>
  <si>
    <t>大門五郎</t>
  </si>
  <si>
    <t>これが答えだ…！</t>
  </si>
  <si>
    <t>リョウ・サカザキ</t>
  </si>
  <si>
    <t>ユリ・サカザキ</t>
  </si>
  <si>
    <t>ロバート・ガルシア</t>
  </si>
  <si>
    <t>テリー・ボガード</t>
  </si>
  <si>
    <t>アンディ・ボガード</t>
  </si>
  <si>
    <t>ジョー・東</t>
  </si>
  <si>
    <t>八神庵</t>
  </si>
  <si>
    <t>バイス</t>
  </si>
  <si>
    <t>マチュア</t>
  </si>
  <si>
    <t>キム・カッファン</t>
  </si>
  <si>
    <t>チョイ・ボンゲ</t>
  </si>
  <si>
    <t>チャン・コーハン</t>
  </si>
  <si>
    <t>クリス</t>
    <phoneticPr fontId="12"/>
  </si>
  <si>
    <t>戦いに性別は関係ない。
最後に立っていた奴が、強者だ！
わかるだろ！</t>
    <phoneticPr fontId="12"/>
  </si>
  <si>
    <t>憎しみに支配された拳は、
いつか己の身すら滅ぼしてしまうでしょう</t>
    <phoneticPr fontId="12"/>
  </si>
  <si>
    <t>いったい何にしびれてる？
電撃か？それとも俺の美貌にかい？</t>
    <phoneticPr fontId="12"/>
  </si>
  <si>
    <t>草薙京</t>
    <phoneticPr fontId="12"/>
  </si>
  <si>
    <t>ケリは…つけたぜ！！！</t>
    <phoneticPr fontId="12"/>
  </si>
  <si>
    <t>絶対無比の空手！
それが極限流だ！覚えておく事だぜ！</t>
    <phoneticPr fontId="12"/>
  </si>
  <si>
    <t>勝負は勝負！
負けたからってスネちゃダメよ！</t>
    <phoneticPr fontId="12"/>
  </si>
  <si>
    <t>ワイの力みくびるなんて
まだまだ、ひよっこって事やな！</t>
    <phoneticPr fontId="12"/>
  </si>
  <si>
    <t>甘い夢を見続けるなら、
夢の中だけで十分だぜ！
現実は厳しいって事だ！</t>
    <phoneticPr fontId="12"/>
  </si>
  <si>
    <t>相手の力量を見誤ると大怪我するよ。
気をつけるんだ！</t>
    <phoneticPr fontId="12"/>
  </si>
  <si>
    <t>勝利者はいつもこの俺！ジョー東様よ！
そこんとこ勘違いしちゃいけねーぜ！</t>
    <phoneticPr fontId="12"/>
  </si>
  <si>
    <t>おやすみなさい。百万回のごきげんよう…</t>
    <phoneticPr fontId="12"/>
  </si>
  <si>
    <t>いい試合でした。
私もつい本気になってしまったようです！
ハッハッハ！！</t>
    <phoneticPr fontId="12"/>
  </si>
  <si>
    <t>ってゆっかー、じぶんらよわすぎぃー、
みたいなぁーでヤンスぅー</t>
    <phoneticPr fontId="12"/>
  </si>
  <si>
    <t>なんでぇ。
もう、オレのオモチャが壊れちまったぜ！！
面白くねえな！</t>
    <phoneticPr fontId="12"/>
  </si>
  <si>
    <t>山崎竜二</t>
    <phoneticPr fontId="12"/>
  </si>
  <si>
    <t>およそ格闘家として
呼べるものじゃねえと思うがな！
そうだろ！</t>
  </si>
  <si>
    <t>およそ格闘家として
呼べるものじゃねえと思うがな！
そうだろ！</t>
    <phoneticPr fontId="12"/>
  </si>
  <si>
    <t>弱え～！正義って弱え～なぁ！！
うひゃっひゃっひゃっひゃぁぁ…！！</t>
  </si>
  <si>
    <t>弱え～！正義って弱え～なぁ！！
うひゃっひゃっひゃっひゃぁぁ…！！</t>
    <phoneticPr fontId="12"/>
  </si>
  <si>
    <t>ナイスバディで最強の格闘家の
私に勝とうなんてやっぱ、無謀って感じぃ！</t>
  </si>
  <si>
    <t>ナイスバディで最強の格闘家の
私に勝とうなんてやっぱ、無謀って感じぃ！</t>
    <phoneticPr fontId="12"/>
  </si>
  <si>
    <t>失せろ！キサマ等にくれてやるのは
痛み、苦しみという名の慈悲だけだ！！！</t>
  </si>
  <si>
    <t>失せろ！キサマ等にくれてやるのは
痛み、苦しみという名の慈悲だけだ！！！</t>
    <phoneticPr fontId="12"/>
  </si>
  <si>
    <t>意識が無くなるまでしばらくあるよ。
好きな歌でも口ずさんで待つんだね</t>
  </si>
  <si>
    <t>意識が無くなるまでしばらくあるよ。
好きな歌でも口ずさんで待つんだね</t>
    <phoneticPr fontId="12"/>
  </si>
  <si>
    <t>おしまいですか？ふふっ、つまんないの！</t>
  </si>
  <si>
    <t>おしまいですか？ふふっ、つまんないの！</t>
    <phoneticPr fontId="12"/>
  </si>
  <si>
    <t>全身全霊をかけた試合、楽しかったです。
ありがとうございました！</t>
  </si>
  <si>
    <t>全身全霊をかけた試合、楽しかったです。
ありがとうございました！</t>
    <phoneticPr fontId="12"/>
  </si>
  <si>
    <t>戦いに性別は関係ない。
最後に立っていた奴が、強者だ！
わかるだろ！</t>
  </si>
  <si>
    <t>憎しみに支配された拳は、
いつか己の身すら滅ぼしてしまうでしょう</t>
  </si>
  <si>
    <t>いったい何にしびれてる？
電撃か？それとも俺の美貌にかい？</t>
  </si>
  <si>
    <t>ケリは…つけたぜ！！！</t>
  </si>
  <si>
    <t>絶対無比の空手！
それが極限流だ！覚えておく事だぜ！</t>
  </si>
  <si>
    <t>勝負は勝負！
負けたからってスネちゃダメよ！</t>
  </si>
  <si>
    <t>ワイの力みくびるなんて
まだまだ、ひよっこって事やな！</t>
  </si>
  <si>
    <t>甘い夢を見続けるなら、
夢の中だけで十分だぜ！
現実は厳しいって事だ！</t>
  </si>
  <si>
    <t>相手の力量を見誤ると大怪我するよ。
気をつけるんだ！</t>
  </si>
  <si>
    <t>勝利者はいつもこの俺！ジョー東様よ！
そこんとこ勘違いしちゃいけねーぜ！</t>
  </si>
  <si>
    <t>おやすみなさい。百万回のごきげんよう…</t>
  </si>
  <si>
    <t>いい試合でした。
私もつい本気になってしまったようです！
ハッハッハ！！</t>
  </si>
  <si>
    <t>ってゆっかー、じぶんらよわすぎぃー、
みたいなぁーでヤンスぅー</t>
  </si>
  <si>
    <t>なんでぇ。
もう、オレのオモチャが壊れちまったぜ！！
面白くねえな！</t>
  </si>
  <si>
    <t xml:space="preserve">[effect:enemy_message, val1:1.2, val2:1.2],[effect:rush, count:3, val:0.23]    </t>
    <phoneticPr fontId="12"/>
  </si>
  <si>
    <t xml:space="preserve">[effect:enemy_message, val1:1.2, val2:1.2],[effect:rush, count:4, val:0.23]    </t>
    <phoneticPr fontId="12"/>
  </si>
  <si>
    <t xml:space="preserve">[effect:enemy_message, val1:1.2, val2:1.2],[effect:critical, val:1.1, animation:enemy_critical]    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</si>
</sst>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7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theme="1"/>
      <name val="ＭＳ Ｐゴシック"/>
      <family val="2"/>
      <charset val="128"/>
    </font>
    <font>
      <b/>
      <sz val="11"/>
      <color indexed="81"/>
      <name val="ＭＳ Ｐゴシック"/>
      <family val="3"/>
      <charset val="128"/>
    </font>
    <font>
      <sz val="10"/>
      <color theme="1"/>
      <name val="Liberation Sans"/>
      <family val="2"/>
    </font>
    <font>
      <sz val="13"/>
      <color rgb="FF000000"/>
      <name val="Helvetica Neue"/>
    </font>
    <font>
      <sz val="12"/>
      <color rgb="FF000000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color rgb="FF0070C0"/>
      <name val="ＭＳ Ｐゴシック"/>
      <family val="3"/>
      <charset val="128"/>
      <scheme val="minor"/>
    </font>
    <font>
      <sz val="10"/>
      <color theme="1"/>
      <name val="Arial"/>
    </font>
    <font>
      <sz val="10"/>
      <color rgb="FF000000"/>
      <name val="ＭＳ Ｐゴシック"/>
      <family val="3"/>
      <charset val="128"/>
      <scheme val="major"/>
    </font>
    <font>
      <sz val="14"/>
      <color theme="1"/>
      <name val="ＭＳ Ｐゴシック"/>
      <family val="3"/>
      <charset val="128"/>
      <scheme val="minor"/>
    </font>
    <font>
      <sz val="10"/>
      <name val="メイリオ"/>
      <family val="3"/>
      <charset val="128"/>
    </font>
    <font>
      <sz val="6"/>
      <name val="Arial"/>
      <family val="2"/>
    </font>
    <font>
      <sz val="9.6"/>
      <color rgb="FFFF0000"/>
      <name val="ＭＳ Ｐゴシック"/>
      <family val="2"/>
      <charset val="128"/>
    </font>
    <font>
      <sz val="10"/>
      <color rgb="FF00B0F0"/>
      <name val="ＭＳ Ｐゴシック"/>
      <family val="3"/>
      <charset val="128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rgb="FFC9DAF8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42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5" fillId="0" borderId="0"/>
    <xf numFmtId="38" fontId="26" fillId="0" borderId="0" applyFill="0" applyBorder="0" applyAlignment="0" applyProtection="0"/>
    <xf numFmtId="0" fontId="27" fillId="8" borderId="0" applyNumberFormat="0" applyBorder="0" applyAlignment="0" applyProtection="0"/>
    <xf numFmtId="0" fontId="28" fillId="9" borderId="0" applyNumberFormat="0" applyBorder="0" applyAlignment="0" applyProtection="0"/>
    <xf numFmtId="0" fontId="29" fillId="0" borderId="0"/>
    <xf numFmtId="0" fontId="30" fillId="0" borderId="0">
      <alignment vertical="center"/>
    </xf>
    <xf numFmtId="0" fontId="31" fillId="0" borderId="0">
      <alignment vertical="center"/>
    </xf>
    <xf numFmtId="0" fontId="32" fillId="10" borderId="0" applyNumberFormat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9" fillId="0" borderId="0"/>
    <xf numFmtId="0" fontId="9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38" fontId="8" fillId="0" borderId="0" applyFont="0" applyFill="0" applyBorder="0" applyAlignment="0" applyProtection="0">
      <alignment vertical="center"/>
    </xf>
    <xf numFmtId="0" fontId="36" fillId="15" borderId="12" applyNumberFormat="0" applyAlignment="0" applyProtection="0"/>
    <xf numFmtId="0" fontId="37" fillId="16" borderId="0" applyNumberFormat="0" applyBorder="0" applyAlignment="0" applyProtection="0"/>
    <xf numFmtId="0" fontId="38" fillId="17" borderId="13" applyNumberFormat="0" applyAlignment="0" applyProtection="0"/>
    <xf numFmtId="0" fontId="39" fillId="0" borderId="0" applyNumberFormat="0" applyFill="0" applyBorder="0" applyAlignment="0" applyProtection="0"/>
    <xf numFmtId="0" fontId="40" fillId="18" borderId="0" applyNumberFormat="0" applyBorder="0" applyAlignment="0" applyProtection="0"/>
    <xf numFmtId="0" fontId="41" fillId="19" borderId="14" applyNumberFormat="0" applyAlignment="0" applyProtection="0"/>
    <xf numFmtId="0" fontId="42" fillId="0" borderId="0" applyNumberFormat="0" applyFill="0" applyBorder="0" applyAlignment="0" applyProtection="0"/>
    <xf numFmtId="0" fontId="43" fillId="0" borderId="15" applyNumberFormat="0" applyFill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0" fontId="46" fillId="17" borderId="0" applyNumberFormat="0" applyBorder="0" applyAlignment="0" applyProtection="0"/>
    <xf numFmtId="0" fontId="46" fillId="16" borderId="0" applyNumberFormat="0" applyBorder="0" applyAlignment="0" applyProtection="0"/>
    <xf numFmtId="0" fontId="46" fillId="20" borderId="0" applyNumberFormat="0" applyBorder="0" applyAlignment="0" applyProtection="0"/>
    <xf numFmtId="0" fontId="46" fillId="17" borderId="0" applyNumberFormat="0" applyBorder="0" applyAlignment="0" applyProtection="0"/>
    <xf numFmtId="0" fontId="46" fillId="21" borderId="0" applyNumberFormat="0" applyBorder="0" applyAlignment="0" applyProtection="0"/>
    <xf numFmtId="0" fontId="46" fillId="15" borderId="0" applyNumberFormat="0" applyBorder="0" applyAlignment="0" applyProtection="0"/>
    <xf numFmtId="0" fontId="46" fillId="17" borderId="0" applyNumberFormat="0" applyBorder="0" applyAlignment="0" applyProtection="0"/>
    <xf numFmtId="0" fontId="46" fillId="22" borderId="0" applyNumberFormat="0" applyBorder="0" applyAlignment="0" applyProtection="0"/>
    <xf numFmtId="0" fontId="46" fillId="20" borderId="0" applyNumberFormat="0" applyBorder="0" applyAlignment="0" applyProtection="0"/>
    <xf numFmtId="0" fontId="46" fillId="17" borderId="0" applyNumberFormat="0" applyBorder="0" applyAlignment="0" applyProtection="0"/>
    <xf numFmtId="0" fontId="46" fillId="23" borderId="0" applyNumberFormat="0" applyBorder="0" applyAlignment="0" applyProtection="0"/>
    <xf numFmtId="0" fontId="46" fillId="16" borderId="0" applyNumberFormat="0" applyBorder="0" applyAlignment="0" applyProtection="0"/>
    <xf numFmtId="0" fontId="47" fillId="24" borderId="0" applyNumberFormat="0" applyBorder="0" applyAlignment="0" applyProtection="0"/>
    <xf numFmtId="0" fontId="47" fillId="22" borderId="0" applyNumberFormat="0" applyBorder="0" applyAlignment="0" applyProtection="0"/>
    <xf numFmtId="0" fontId="47" fillId="20" borderId="0" applyNumberFormat="0" applyBorder="0" applyAlignment="0" applyProtection="0"/>
    <xf numFmtId="0" fontId="47" fillId="17" borderId="0" applyNumberFormat="0" applyBorder="0" applyAlignment="0" applyProtection="0"/>
    <xf numFmtId="0" fontId="47" fillId="24" borderId="0" applyNumberFormat="0" applyBorder="0" applyAlignment="0" applyProtection="0"/>
    <xf numFmtId="0" fontId="47" fillId="16" borderId="0" applyNumberFormat="0" applyBorder="0" applyAlignment="0" applyProtection="0"/>
    <xf numFmtId="0" fontId="39" fillId="0" borderId="0" applyNumberFormat="0" applyFill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7" fillId="20" borderId="0" applyNumberFormat="0" applyBorder="0" applyAlignment="0" applyProtection="0"/>
    <xf numFmtId="0" fontId="47" fillId="26" borderId="0" applyNumberFormat="0" applyBorder="0" applyAlignment="0" applyProtection="0"/>
    <xf numFmtId="0" fontId="47" fillId="24" borderId="0" applyNumberFormat="0" applyBorder="0" applyAlignment="0" applyProtection="0"/>
    <xf numFmtId="0" fontId="47" fillId="22" borderId="0" applyNumberFormat="0" applyBorder="0" applyAlignment="0" applyProtection="0"/>
    <xf numFmtId="0" fontId="48" fillId="27" borderId="0" applyNumberFormat="0" applyBorder="0" applyAlignment="0" applyProtection="0"/>
    <xf numFmtId="0" fontId="37" fillId="16" borderId="0" applyNumberFormat="0" applyBorder="0" applyAlignment="0" applyProtection="0"/>
    <xf numFmtId="0" fontId="49" fillId="0" borderId="18" applyNumberFormat="0" applyFill="0" applyAlignment="0" applyProtection="0"/>
    <xf numFmtId="0" fontId="50" fillId="17" borderId="19" applyNumberFormat="0" applyAlignment="0" applyProtection="0"/>
    <xf numFmtId="0" fontId="50" fillId="28" borderId="19" applyNumberFormat="0" applyAlignment="0" applyProtection="0"/>
    <xf numFmtId="0" fontId="38" fillId="16" borderId="13" applyNumberFormat="0" applyAlignment="0" applyProtection="0"/>
    <xf numFmtId="0" fontId="51" fillId="0" borderId="20" applyNumberFormat="0" applyFill="0" applyAlignment="0" applyProtection="0"/>
    <xf numFmtId="0" fontId="52" fillId="28" borderId="13" applyNumberFormat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21" applyNumberFormat="0" applyFill="0" applyAlignment="0" applyProtection="0"/>
    <xf numFmtId="0" fontId="8" fillId="0" borderId="0"/>
    <xf numFmtId="0" fontId="8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38" fontId="5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" fillId="0" borderId="0"/>
    <xf numFmtId="0" fontId="3" fillId="0" borderId="0"/>
    <xf numFmtId="0" fontId="2" fillId="0" borderId="0"/>
    <xf numFmtId="0" fontId="2" fillId="0" borderId="0"/>
    <xf numFmtId="38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202">
    <xf numFmtId="0" fontId="0" fillId="0" borderId="0" xfId="0"/>
    <xf numFmtId="0" fontId="11" fillId="2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3" fillId="5" borderId="3" xfId="0" applyFont="1" applyFill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13" fillId="5" borderId="1" xfId="0" applyFont="1" applyFill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vertical="center"/>
    </xf>
    <xf numFmtId="0" fontId="11" fillId="3" borderId="7" xfId="0" applyFont="1" applyFill="1" applyBorder="1" applyAlignment="1">
      <alignment horizontal="center" vertical="center"/>
    </xf>
    <xf numFmtId="0" fontId="19" fillId="7" borderId="0" xfId="0" applyFont="1" applyFill="1" applyAlignment="1">
      <alignment vertical="center"/>
    </xf>
    <xf numFmtId="0" fontId="13" fillId="5" borderId="9" xfId="0" applyFont="1" applyFill="1" applyBorder="1" applyAlignment="1">
      <alignment vertical="center"/>
    </xf>
    <xf numFmtId="0" fontId="13" fillId="5" borderId="7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3" xfId="0" applyNumberFormat="1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vertical="center"/>
    </xf>
    <xf numFmtId="177" fontId="15" fillId="0" borderId="4" xfId="0" applyNumberFormat="1" applyFont="1" applyBorder="1" applyAlignment="1">
      <alignment vertical="center"/>
    </xf>
    <xf numFmtId="0" fontId="11" fillId="2" borderId="7" xfId="0" applyFont="1" applyFill="1" applyBorder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11" fillId="3" borderId="7" xfId="0" applyFont="1" applyFill="1" applyBorder="1" applyAlignment="1">
      <alignment horizontal="left" vertical="center"/>
    </xf>
    <xf numFmtId="0" fontId="11" fillId="3" borderId="8" xfId="0" applyFont="1" applyFill="1" applyBorder="1" applyAlignment="1">
      <alignment horizontal="left" vertical="center"/>
    </xf>
    <xf numFmtId="0" fontId="11" fillId="3" borderId="10" xfId="0" applyFont="1" applyFill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/>
    </xf>
    <xf numFmtId="0" fontId="13" fillId="4" borderId="7" xfId="0" applyFont="1" applyFill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6" borderId="7" xfId="0" applyFont="1" applyFill="1" applyBorder="1" applyAlignment="1">
      <alignment horizontal="left" vertical="center"/>
    </xf>
    <xf numFmtId="0" fontId="11" fillId="6" borderId="1" xfId="0" applyFont="1" applyFill="1" applyBorder="1" applyAlignment="1">
      <alignment horizontal="left" vertical="center"/>
    </xf>
    <xf numFmtId="0" fontId="13" fillId="0" borderId="7" xfId="0" applyFont="1" applyFill="1" applyBorder="1" applyAlignment="1">
      <alignment vertical="center"/>
    </xf>
    <xf numFmtId="0" fontId="21" fillId="7" borderId="0" xfId="0" applyFont="1" applyFill="1" applyAlignment="1">
      <alignment vertical="center"/>
    </xf>
    <xf numFmtId="0" fontId="23" fillId="6" borderId="7" xfId="0" applyFont="1" applyFill="1" applyBorder="1" applyAlignment="1">
      <alignment horizontal="center" vertical="center"/>
    </xf>
    <xf numFmtId="0" fontId="23" fillId="3" borderId="7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3" borderId="7" xfId="0" applyFont="1" applyFill="1" applyBorder="1" applyAlignment="1">
      <alignment horizontal="left" vertical="center"/>
    </xf>
    <xf numFmtId="0" fontId="23" fillId="0" borderId="7" xfId="0" applyFont="1" applyFill="1" applyBorder="1" applyAlignment="1">
      <alignment vertical="center"/>
    </xf>
    <xf numFmtId="0" fontId="23" fillId="3" borderId="7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7" xfId="0" applyFont="1" applyFill="1" applyBorder="1" applyAlignment="1">
      <alignment horizontal="left" vertical="center"/>
    </xf>
    <xf numFmtId="0" fontId="23" fillId="0" borderId="7" xfId="0" applyFont="1" applyFill="1" applyBorder="1" applyAlignment="1">
      <alignment horizontal="left" vertical="center" wrapText="1"/>
    </xf>
    <xf numFmtId="14" fontId="23" fillId="0" borderId="7" xfId="0" applyNumberFormat="1" applyFont="1" applyFill="1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0" fontId="20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0" fillId="11" borderId="7" xfId="434" applyFont="1" applyFill="1" applyBorder="1" applyAlignment="1"/>
    <xf numFmtId="0" fontId="23" fillId="3" borderId="7" xfId="0" applyFont="1" applyFill="1" applyBorder="1" applyAlignment="1">
      <alignment horizontal="left" vertical="center" wrapText="1"/>
    </xf>
    <xf numFmtId="0" fontId="0" fillId="0" borderId="7" xfId="615" applyFont="1" applyBorder="1"/>
    <xf numFmtId="0" fontId="11" fillId="0" borderId="7" xfId="0" applyFont="1" applyBorder="1" applyAlignment="1">
      <alignment vertical="center"/>
    </xf>
    <xf numFmtId="0" fontId="23" fillId="6" borderId="7" xfId="0" applyFont="1" applyFill="1" applyBorder="1" applyAlignment="1">
      <alignment horizontal="center"/>
    </xf>
    <xf numFmtId="0" fontId="33" fillId="6" borderId="7" xfId="0" applyFont="1" applyFill="1" applyBorder="1" applyAlignment="1">
      <alignment horizontal="center"/>
    </xf>
    <xf numFmtId="0" fontId="23" fillId="3" borderId="7" xfId="0" applyFont="1" applyFill="1" applyBorder="1" applyAlignment="1">
      <alignment horizontal="center"/>
    </xf>
    <xf numFmtId="0" fontId="23" fillId="13" borderId="7" xfId="0" applyFont="1" applyFill="1" applyBorder="1" applyAlignment="1">
      <alignment horizontal="center"/>
    </xf>
    <xf numFmtId="0" fontId="23" fillId="14" borderId="7" xfId="0" applyFont="1" applyFill="1" applyBorder="1" applyAlignment="1">
      <alignment horizontal="center"/>
    </xf>
    <xf numFmtId="0" fontId="0" fillId="14" borderId="7" xfId="0" applyFill="1" applyBorder="1"/>
    <xf numFmtId="0" fontId="34" fillId="0" borderId="7" xfId="0" applyFont="1" applyFill="1" applyBorder="1"/>
    <xf numFmtId="0" fontId="35" fillId="3" borderId="11" xfId="0" applyFont="1" applyFill="1" applyBorder="1" applyAlignment="1">
      <alignment vertical="center"/>
    </xf>
    <xf numFmtId="0" fontId="33" fillId="0" borderId="0" xfId="0" applyFont="1" applyFill="1"/>
    <xf numFmtId="0" fontId="23" fillId="29" borderId="7" xfId="0" applyFont="1" applyFill="1" applyBorder="1" applyAlignment="1">
      <alignment horizontal="center"/>
    </xf>
    <xf numFmtId="0" fontId="23" fillId="12" borderId="7" xfId="0" applyFont="1" applyFill="1" applyBorder="1" applyAlignment="1">
      <alignment horizontal="center"/>
    </xf>
    <xf numFmtId="56" fontId="23" fillId="13" borderId="7" xfId="0" applyNumberFormat="1" applyFont="1" applyFill="1" applyBorder="1" applyAlignment="1">
      <alignment horizontal="center"/>
    </xf>
    <xf numFmtId="0" fontId="11" fillId="30" borderId="7" xfId="0" applyFont="1" applyFill="1" applyBorder="1" applyAlignment="1">
      <alignment vertical="center"/>
    </xf>
    <xf numFmtId="0" fontId="23" fillId="6" borderId="22" xfId="0" applyFont="1" applyFill="1" applyBorder="1" applyAlignment="1">
      <alignment horizontal="center"/>
    </xf>
    <xf numFmtId="0" fontId="15" fillId="32" borderId="7" xfId="0" applyFont="1" applyFill="1" applyBorder="1" applyAlignment="1">
      <alignment horizontal="left" vertical="center"/>
    </xf>
    <xf numFmtId="0" fontId="23" fillId="31" borderId="7" xfId="432" applyFont="1" applyFill="1" applyBorder="1" applyAlignment="1">
      <alignment horizontal="left" vertical="center"/>
    </xf>
    <xf numFmtId="0" fontId="35" fillId="0" borderId="0" xfId="0" applyFont="1" applyFill="1" applyBorder="1" applyAlignment="1">
      <alignment vertical="center"/>
    </xf>
    <xf numFmtId="0" fontId="23" fillId="13" borderId="22" xfId="0" applyFont="1" applyFill="1" applyBorder="1" applyAlignment="1">
      <alignment horizontal="center"/>
    </xf>
    <xf numFmtId="0" fontId="23" fillId="0" borderId="0" xfId="432" applyFont="1" applyAlignment="1">
      <alignment vertical="center"/>
    </xf>
    <xf numFmtId="0" fontId="23" fillId="0" borderId="0" xfId="432" applyFont="1" applyAlignment="1">
      <alignment vertical="center" wrapText="1"/>
    </xf>
    <xf numFmtId="0" fontId="8" fillId="0" borderId="7" xfId="676" applyBorder="1"/>
    <xf numFmtId="0" fontId="8" fillId="11" borderId="7" xfId="676" applyFill="1" applyBorder="1"/>
    <xf numFmtId="0" fontId="7" fillId="6" borderId="7" xfId="434" applyFont="1" applyFill="1" applyBorder="1" applyAlignment="1"/>
    <xf numFmtId="0" fontId="0" fillId="0" borderId="0" xfId="0" applyFill="1" applyBorder="1"/>
    <xf numFmtId="0" fontId="0" fillId="31" borderId="7" xfId="0" applyFill="1" applyBorder="1"/>
    <xf numFmtId="0" fontId="0" fillId="33" borderId="7" xfId="0" applyFill="1" applyBorder="1"/>
    <xf numFmtId="0" fontId="8" fillId="33" borderId="7" xfId="676" applyFill="1" applyBorder="1"/>
    <xf numFmtId="0" fontId="0" fillId="6" borderId="0" xfId="0" applyFill="1"/>
    <xf numFmtId="0" fontId="0" fillId="33" borderId="7" xfId="676" applyFont="1" applyFill="1" applyBorder="1"/>
    <xf numFmtId="0" fontId="0" fillId="0" borderId="7" xfId="615" applyFont="1" applyFill="1" applyBorder="1"/>
    <xf numFmtId="0" fontId="6" fillId="6" borderId="7" xfId="434" applyFont="1" applyFill="1" applyBorder="1" applyAlignment="1"/>
    <xf numFmtId="0" fontId="55" fillId="34" borderId="7" xfId="0" applyFont="1" applyFill="1" applyBorder="1"/>
    <xf numFmtId="0" fontId="23" fillId="0" borderId="7" xfId="0" applyFont="1" applyBorder="1" applyAlignment="1">
      <alignment horizontal="left" vertical="center"/>
    </xf>
    <xf numFmtId="0" fontId="23" fillId="0" borderId="7" xfId="432" applyFont="1" applyBorder="1" applyAlignment="1">
      <alignment horizontal="left" vertical="center"/>
    </xf>
    <xf numFmtId="0" fontId="23" fillId="0" borderId="7" xfId="432" applyFont="1" applyBorder="1" applyAlignment="1">
      <alignment horizontal="left" vertical="center" wrapText="1"/>
    </xf>
    <xf numFmtId="3" fontId="11" fillId="0" borderId="7" xfId="0" applyNumberFormat="1" applyFont="1" applyFill="1" applyBorder="1" applyAlignment="1">
      <alignment horizontal="center" vertical="center"/>
    </xf>
    <xf numFmtId="0" fontId="34" fillId="0" borderId="7" xfId="0" applyFont="1" applyFill="1" applyBorder="1" applyAlignment="1">
      <alignment horizontal="left" vertical="center"/>
    </xf>
    <xf numFmtId="0" fontId="35" fillId="0" borderId="11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38" fontId="0" fillId="37" borderId="7" xfId="0" applyNumberFormat="1" applyFill="1" applyBorder="1"/>
    <xf numFmtId="9" fontId="0" fillId="0" borderId="0" xfId="0" applyNumberFormat="1"/>
    <xf numFmtId="40" fontId="0" fillId="35" borderId="7" xfId="0" applyNumberFormat="1" applyFill="1" applyBorder="1"/>
    <xf numFmtId="38" fontId="0" fillId="12" borderId="7" xfId="724" applyFont="1" applyFill="1" applyBorder="1"/>
    <xf numFmtId="40" fontId="0" fillId="37" borderId="7" xfId="725" applyNumberFormat="1" applyFont="1" applyFill="1" applyBorder="1"/>
    <xf numFmtId="38" fontId="0" fillId="37" borderId="7" xfId="725" applyFont="1" applyFill="1" applyBorder="1"/>
    <xf numFmtId="38" fontId="0" fillId="0" borderId="23" xfId="725" applyFont="1" applyFill="1" applyBorder="1"/>
    <xf numFmtId="38" fontId="0" fillId="0" borderId="0" xfId="725" applyFont="1" applyFill="1" applyBorder="1"/>
    <xf numFmtId="38" fontId="0" fillId="36" borderId="7" xfId="724" applyFont="1" applyFill="1" applyBorder="1"/>
    <xf numFmtId="38" fontId="0" fillId="6" borderId="7" xfId="724" applyFont="1" applyFill="1" applyBorder="1"/>
    <xf numFmtId="38" fontId="0" fillId="30" borderId="7" xfId="724" applyFont="1" applyFill="1" applyBorder="1"/>
    <xf numFmtId="38" fontId="0" fillId="0" borderId="23" xfId="0" applyNumberFormat="1" applyFill="1" applyBorder="1"/>
    <xf numFmtId="0" fontId="11" fillId="38" borderId="1" xfId="0" applyFont="1" applyFill="1" applyBorder="1" applyAlignment="1">
      <alignment horizontal="center" vertical="center"/>
    </xf>
    <xf numFmtId="0" fontId="13" fillId="38" borderId="1" xfId="0" applyFont="1" applyFill="1" applyBorder="1" applyAlignment="1">
      <alignment vertical="center"/>
    </xf>
    <xf numFmtId="0" fontId="0" fillId="38" borderId="7" xfId="0" applyFill="1" applyBorder="1"/>
    <xf numFmtId="0" fontId="55" fillId="39" borderId="7" xfId="0" applyFont="1" applyFill="1" applyBorder="1"/>
    <xf numFmtId="0" fontId="23" fillId="38" borderId="0" xfId="0" applyFont="1" applyFill="1" applyBorder="1" applyAlignment="1">
      <alignment horizontal="left" vertical="center"/>
    </xf>
    <xf numFmtId="0" fontId="0" fillId="38" borderId="0" xfId="0" applyFill="1"/>
    <xf numFmtId="0" fontId="57" fillId="6" borderId="7" xfId="0" applyFont="1" applyFill="1" applyBorder="1"/>
    <xf numFmtId="0" fontId="57" fillId="0" borderId="7" xfId="0" applyFont="1" applyBorder="1"/>
    <xf numFmtId="22" fontId="57" fillId="0" borderId="7" xfId="0" applyNumberFormat="1" applyFont="1" applyBorder="1"/>
    <xf numFmtId="0" fontId="11" fillId="6" borderId="7" xfId="0" applyFont="1" applyFill="1" applyBorder="1" applyAlignment="1">
      <alignment vertical="center"/>
    </xf>
    <xf numFmtId="0" fontId="0" fillId="0" borderId="24" xfId="0" applyBorder="1"/>
    <xf numFmtId="0" fontId="58" fillId="0" borderId="0" xfId="0" applyFont="1"/>
    <xf numFmtId="0" fontId="59" fillId="0" borderId="7" xfId="0" applyFont="1" applyBorder="1"/>
    <xf numFmtId="0" fontId="59" fillId="0" borderId="11" xfId="0" applyFont="1" applyBorder="1"/>
    <xf numFmtId="0" fontId="59" fillId="0" borderId="25" xfId="0" applyFont="1" applyBorder="1"/>
    <xf numFmtId="0" fontId="55" fillId="40" borderId="7" xfId="0" applyFont="1" applyFill="1" applyBorder="1"/>
    <xf numFmtId="0" fontId="55" fillId="34" borderId="24" xfId="0" applyFont="1" applyFill="1" applyBorder="1"/>
    <xf numFmtId="0" fontId="0" fillId="38" borderId="24" xfId="0" applyFill="1" applyBorder="1"/>
    <xf numFmtId="0" fontId="23" fillId="0" borderId="24" xfId="0" applyFont="1" applyBorder="1" applyAlignment="1">
      <alignment horizontal="left" vertical="center"/>
    </xf>
    <xf numFmtId="0" fontId="23" fillId="0" borderId="24" xfId="432" applyFont="1" applyBorder="1" applyAlignment="1">
      <alignment horizontal="left" vertical="center"/>
    </xf>
    <xf numFmtId="0" fontId="23" fillId="0" borderId="24" xfId="432" applyFont="1" applyBorder="1" applyAlignment="1">
      <alignment horizontal="left" vertical="center" wrapText="1"/>
    </xf>
    <xf numFmtId="0" fontId="57" fillId="0" borderId="24" xfId="0" applyFont="1" applyBorder="1"/>
    <xf numFmtId="22" fontId="57" fillId="0" borderId="24" xfId="0" applyNumberFormat="1" applyFont="1" applyBorder="1"/>
    <xf numFmtId="0" fontId="11" fillId="0" borderId="7" xfId="0" applyFont="1" applyBorder="1" applyAlignment="1">
      <alignment horizontal="center" vertical="center"/>
    </xf>
    <xf numFmtId="1" fontId="36" fillId="37" borderId="7" xfId="0" applyNumberFormat="1" applyFont="1" applyFill="1" applyBorder="1" applyAlignment="1">
      <alignment vertical="center"/>
    </xf>
    <xf numFmtId="0" fontId="11" fillId="3" borderId="7" xfId="0" applyFont="1" applyFill="1" applyBorder="1" applyAlignment="1">
      <alignment vertical="center"/>
    </xf>
    <xf numFmtId="0" fontId="11" fillId="0" borderId="7" xfId="0" applyFont="1" applyFill="1" applyBorder="1" applyAlignment="1">
      <alignment vertical="center"/>
    </xf>
    <xf numFmtId="0" fontId="11" fillId="37" borderId="7" xfId="0" applyFont="1" applyFill="1" applyBorder="1" applyAlignment="1">
      <alignment horizontal="left" vertical="center"/>
    </xf>
    <xf numFmtId="0" fontId="11" fillId="37" borderId="0" xfId="0" applyFont="1" applyFill="1" applyAlignment="1">
      <alignment vertical="center"/>
    </xf>
    <xf numFmtId="0" fontId="0" fillId="3" borderId="7" xfId="0" applyFill="1" applyBorder="1"/>
    <xf numFmtId="0" fontId="33" fillId="0" borderId="7" xfId="0" applyFont="1" applyFill="1" applyBorder="1"/>
    <xf numFmtId="0" fontId="60" fillId="0" borderId="7" xfId="0" applyFont="1" applyFill="1" applyBorder="1"/>
    <xf numFmtId="0" fontId="60" fillId="29" borderId="7" xfId="0" applyFont="1" applyFill="1" applyBorder="1"/>
    <xf numFmtId="0" fontId="60" fillId="13" borderId="7" xfId="0" applyFont="1" applyFill="1" applyBorder="1"/>
    <xf numFmtId="0" fontId="61" fillId="0" borderId="7" xfId="0" applyFont="1" applyFill="1" applyBorder="1"/>
    <xf numFmtId="0" fontId="35" fillId="0" borderId="11" xfId="0" applyFont="1" applyFill="1" applyBorder="1" applyAlignment="1">
      <alignment vertical="center"/>
    </xf>
    <xf numFmtId="0" fontId="31" fillId="6" borderId="7" xfId="434" applyFill="1" applyBorder="1" applyAlignment="1"/>
    <xf numFmtId="0" fontId="0" fillId="12" borderId="7" xfId="0" applyFill="1" applyBorder="1" applyAlignment="1">
      <alignment horizontal="right"/>
    </xf>
    <xf numFmtId="0" fontId="0" fillId="42" borderId="7" xfId="0" applyFill="1" applyBorder="1" applyAlignment="1">
      <alignment horizontal="right"/>
    </xf>
    <xf numFmtId="0" fontId="0" fillId="42" borderId="7" xfId="0" applyFont="1" applyFill="1" applyBorder="1" applyAlignment="1">
      <alignment horizontal="right"/>
    </xf>
    <xf numFmtId="0" fontId="31" fillId="0" borderId="7" xfId="434" applyBorder="1" applyAlignment="1"/>
    <xf numFmtId="0" fontId="0" fillId="12" borderId="7" xfId="0" applyFill="1" applyBorder="1"/>
    <xf numFmtId="0" fontId="59" fillId="41" borderId="7" xfId="0" applyFont="1" applyFill="1" applyBorder="1"/>
    <xf numFmtId="0" fontId="9" fillId="11" borderId="7" xfId="615" applyFill="1" applyBorder="1"/>
    <xf numFmtId="0" fontId="23" fillId="6" borderId="7" xfId="614" applyFont="1" applyFill="1" applyBorder="1" applyAlignment="1">
      <alignment horizontal="left"/>
    </xf>
    <xf numFmtId="0" fontId="0" fillId="6" borderId="7" xfId="615" applyFont="1" applyFill="1" applyBorder="1"/>
    <xf numFmtId="56" fontId="23" fillId="6" borderId="7" xfId="0" applyNumberFormat="1" applyFont="1" applyFill="1" applyBorder="1" applyAlignment="1">
      <alignment horizontal="center"/>
    </xf>
    <xf numFmtId="0" fontId="9" fillId="0" borderId="7" xfId="615" applyBorder="1"/>
    <xf numFmtId="0" fontId="23" fillId="6" borderId="7" xfId="11" applyFont="1" applyFill="1" applyBorder="1" applyAlignment="1">
      <alignment horizontal="left"/>
    </xf>
    <xf numFmtId="0" fontId="9" fillId="6" borderId="7" xfId="615" applyFill="1" applyBorder="1"/>
    <xf numFmtId="0" fontId="11" fillId="2" borderId="7" xfId="0" applyFont="1" applyFill="1" applyBorder="1" applyAlignment="1">
      <alignment horizontal="center" vertical="center"/>
    </xf>
    <xf numFmtId="0" fontId="11" fillId="0" borderId="6" xfId="0" applyFont="1" applyBorder="1" applyAlignment="1">
      <alignment vertical="center"/>
    </xf>
    <xf numFmtId="0" fontId="13" fillId="5" borderId="26" xfId="0" applyFont="1" applyFill="1" applyBorder="1" applyAlignment="1">
      <alignment vertical="center"/>
    </xf>
    <xf numFmtId="0" fontId="23" fillId="6" borderId="7" xfId="734" applyFont="1" applyFill="1" applyBorder="1" applyAlignment="1">
      <alignment horizontal="left"/>
    </xf>
    <xf numFmtId="0" fontId="21" fillId="7" borderId="0" xfId="734" applyFont="1" applyFill="1" applyAlignment="1">
      <alignment horizontal="center" vertical="center"/>
    </xf>
    <xf numFmtId="0" fontId="23" fillId="3" borderId="7" xfId="734" applyFont="1" applyFill="1" applyBorder="1" applyAlignment="1">
      <alignment horizontal="left"/>
    </xf>
    <xf numFmtId="0" fontId="0" fillId="6" borderId="7" xfId="735" applyFont="1" applyFill="1" applyBorder="1"/>
    <xf numFmtId="0" fontId="20" fillId="7" borderId="0" xfId="0" applyFont="1" applyFill="1" applyAlignment="1">
      <alignment horizontal="center"/>
    </xf>
    <xf numFmtId="0" fontId="62" fillId="6" borderId="7" xfId="0" applyFont="1" applyFill="1" applyBorder="1" applyAlignment="1">
      <alignment horizontal="center"/>
    </xf>
    <xf numFmtId="0" fontId="20" fillId="7" borderId="0" xfId="0" applyFont="1" applyFill="1" applyAlignment="1">
      <alignment horizontal="left" indent="1"/>
    </xf>
    <xf numFmtId="0" fontId="60" fillId="3" borderId="7" xfId="0" applyFont="1" applyFill="1" applyBorder="1"/>
    <xf numFmtId="22" fontId="60" fillId="0" borderId="7" xfId="0" quotePrefix="1" applyNumberFormat="1" applyFont="1" applyFill="1" applyBorder="1"/>
    <xf numFmtId="0" fontId="60" fillId="0" borderId="7" xfId="0" quotePrefix="1" applyFont="1" applyFill="1" applyBorder="1"/>
    <xf numFmtId="0" fontId="0" fillId="42" borderId="7" xfId="0" applyFill="1" applyBorder="1"/>
    <xf numFmtId="0" fontId="0" fillId="43" borderId="7" xfId="0" applyFill="1" applyBorder="1"/>
    <xf numFmtId="0" fontId="0" fillId="43" borderId="7" xfId="615" applyFont="1" applyFill="1" applyBorder="1"/>
    <xf numFmtId="0" fontId="0" fillId="35" borderId="7" xfId="0" applyFill="1" applyBorder="1" applyAlignment="1">
      <alignment horizontal="right"/>
    </xf>
    <xf numFmtId="0" fontId="0" fillId="30" borderId="7" xfId="0" applyFill="1" applyBorder="1" applyAlignment="1">
      <alignment horizontal="right"/>
    </xf>
    <xf numFmtId="38" fontId="0" fillId="35" borderId="7" xfId="724" applyFont="1" applyFill="1" applyBorder="1"/>
    <xf numFmtId="0" fontId="31" fillId="42" borderId="7" xfId="434" applyFill="1" applyBorder="1" applyAlignment="1"/>
    <xf numFmtId="0" fontId="0" fillId="0" borderId="0" xfId="0" applyAlignment="1"/>
    <xf numFmtId="0" fontId="63" fillId="0" borderId="7" xfId="0" applyFont="1" applyFill="1" applyBorder="1" applyAlignment="1">
      <alignment vertical="center"/>
    </xf>
    <xf numFmtId="0" fontId="64" fillId="0" borderId="7" xfId="0" applyFont="1" applyFill="1" applyBorder="1" applyAlignment="1">
      <alignment vertical="center"/>
    </xf>
    <xf numFmtId="0" fontId="64" fillId="0" borderId="7" xfId="0" applyFont="1" applyBorder="1" applyAlignment="1">
      <alignment vertical="center"/>
    </xf>
    <xf numFmtId="0" fontId="63" fillId="0" borderId="7" xfId="0" applyFont="1" applyBorder="1" applyAlignment="1">
      <alignment vertical="center"/>
    </xf>
    <xf numFmtId="0" fontId="65" fillId="0" borderId="7" xfId="0" applyFont="1" applyBorder="1"/>
    <xf numFmtId="0" fontId="66" fillId="0" borderId="0" xfId="0" applyFont="1"/>
    <xf numFmtId="0" fontId="18" fillId="0" borderId="7" xfId="0" applyFont="1" applyBorder="1" applyAlignment="1">
      <alignment vertical="center"/>
    </xf>
    <xf numFmtId="0" fontId="18" fillId="0" borderId="10" xfId="0" applyFont="1" applyBorder="1" applyAlignment="1">
      <alignment vertical="center"/>
    </xf>
    <xf numFmtId="0" fontId="18" fillId="0" borderId="11" xfId="0" applyFont="1" applyBorder="1" applyAlignment="1">
      <alignment vertical="center"/>
    </xf>
    <xf numFmtId="0" fontId="18" fillId="0" borderId="27" xfId="0" applyFont="1" applyBorder="1" applyAlignment="1">
      <alignment vertical="center"/>
    </xf>
    <xf numFmtId="0" fontId="0" fillId="0" borderId="28" xfId="0" applyBorder="1"/>
    <xf numFmtId="38" fontId="23" fillId="0" borderId="7" xfId="628" applyFont="1" applyFill="1" applyBorder="1" applyAlignment="1">
      <alignment wrapText="1"/>
    </xf>
    <xf numFmtId="0" fontId="0" fillId="0" borderId="0" xfId="737" applyNumberFormat="1" applyFont="1"/>
    <xf numFmtId="0" fontId="0" fillId="0" borderId="0" xfId="0" applyNumberFormat="1"/>
    <xf numFmtId="0" fontId="0" fillId="0" borderId="0" xfId="724" applyNumberFormat="1" applyFont="1"/>
    <xf numFmtId="0" fontId="19" fillId="7" borderId="29" xfId="0" applyFont="1" applyFill="1" applyBorder="1" applyAlignment="1">
      <alignment vertical="center"/>
    </xf>
    <xf numFmtId="0" fontId="13" fillId="38" borderId="7" xfId="0" applyFont="1" applyFill="1" applyBorder="1" applyAlignment="1">
      <alignment vertical="center"/>
    </xf>
    <xf numFmtId="0" fontId="67" fillId="0" borderId="0" xfId="0" applyFont="1"/>
    <xf numFmtId="0" fontId="68" fillId="44" borderId="30" xfId="0" applyFont="1" applyFill="1" applyBorder="1" applyAlignment="1">
      <alignment vertical="center" wrapText="1"/>
    </xf>
    <xf numFmtId="0" fontId="0" fillId="33" borderId="7" xfId="615" applyFont="1" applyFill="1" applyBorder="1"/>
    <xf numFmtId="0" fontId="70" fillId="0" borderId="7" xfId="0" applyFont="1" applyFill="1" applyBorder="1"/>
    <xf numFmtId="38" fontId="63" fillId="0" borderId="7" xfId="628" applyFont="1" applyFill="1" applyBorder="1" applyAlignment="1">
      <alignment wrapText="1"/>
    </xf>
    <xf numFmtId="0" fontId="71" fillId="0" borderId="7" xfId="0" applyFont="1" applyFill="1" applyBorder="1" applyAlignment="1">
      <alignment vertical="center"/>
    </xf>
  </cellXfs>
  <cellStyles count="74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パーセント" xfId="737" builtinId="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8" builtinId="8" hidden="1"/>
    <cellStyle name="ハイパーリンク" xfId="740" builtinId="8" hidden="1"/>
    <cellStyle name="桁区切り 2" xfId="429"/>
    <cellStyle name="桁区切り 2 2" xfId="628"/>
    <cellStyle name="桁区切り 2 2 2" xfId="736"/>
    <cellStyle name="桁区切り [0]" xfId="724" builtinId="6"/>
    <cellStyle name="桁区切り [0] 2" xfId="725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732"/>
    <cellStyle name="標準 4 2 3" xfId="734"/>
    <cellStyle name="標準 5" xfId="676"/>
    <cellStyle name="標準 5 2" xfId="677"/>
    <cellStyle name="標準 6" xfId="615"/>
    <cellStyle name="標準 6 2" xfId="733"/>
    <cellStyle name="標準 6 3" xfId="73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9" builtinId="9" hidden="1"/>
    <cellStyle name="表示済みのハイパーリンク" xfId="741" builtinId="9" hidden="1"/>
    <cellStyle name="赤字強調" xfId="431"/>
    <cellStyle name="青字強調" xfId="430"/>
  </cellStyles>
  <dxfs count="1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externalLink" Target="externalLinks/externalLink2.xml"/><Relationship Id="rId22" Type="http://schemas.openxmlformats.org/officeDocument/2006/relationships/externalLink" Target="externalLinks/externalLink3.xml"/><Relationship Id="rId23" Type="http://schemas.openxmlformats.org/officeDocument/2006/relationships/externalLink" Target="externalLinks/externalLink4.xml"/><Relationship Id="rId24" Type="http://schemas.openxmlformats.org/officeDocument/2006/relationships/externalLink" Target="externalLinks/externalLink5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48101</v>
          </cell>
        </row>
        <row r="259">
          <cell r="A259">
            <v>48501</v>
          </cell>
        </row>
        <row r="260">
          <cell r="A260">
            <v>48502</v>
          </cell>
        </row>
        <row r="261">
          <cell r="A261">
            <v>48503</v>
          </cell>
        </row>
        <row r="262">
          <cell r="A262">
            <v>48701</v>
          </cell>
        </row>
        <row r="263">
          <cell r="A263">
            <v>48702</v>
          </cell>
        </row>
        <row r="264">
          <cell r="A264">
            <v>41001</v>
          </cell>
        </row>
        <row r="265">
          <cell r="A265">
            <v>41002</v>
          </cell>
        </row>
        <row r="266">
          <cell r="A266">
            <v>41003</v>
          </cell>
        </row>
        <row r="267">
          <cell r="A267">
            <v>41004</v>
          </cell>
        </row>
        <row r="268">
          <cell r="A268">
            <v>41005</v>
          </cell>
        </row>
        <row r="269">
          <cell r="A269">
            <v>41006</v>
          </cell>
        </row>
        <row r="270">
          <cell r="A270">
            <v>41007</v>
          </cell>
        </row>
        <row r="271">
          <cell r="A271">
            <v>41008</v>
          </cell>
        </row>
        <row r="272">
          <cell r="A272">
            <v>41009</v>
          </cell>
        </row>
        <row r="273">
          <cell r="A273">
            <v>41010</v>
          </cell>
        </row>
        <row r="274">
          <cell r="A274">
            <v>41011</v>
          </cell>
        </row>
        <row r="275">
          <cell r="A275">
            <v>41012</v>
          </cell>
        </row>
        <row r="276">
          <cell r="A276">
            <v>41013</v>
          </cell>
        </row>
        <row r="277">
          <cell r="A277">
            <v>41014</v>
          </cell>
        </row>
        <row r="278">
          <cell r="A278">
            <v>41015</v>
          </cell>
        </row>
        <row r="279">
          <cell r="A279">
            <v>47001</v>
          </cell>
        </row>
        <row r="280">
          <cell r="A280">
            <v>47002</v>
          </cell>
        </row>
        <row r="281">
          <cell r="A281">
            <v>47003</v>
          </cell>
        </row>
        <row r="282">
          <cell r="A282">
            <v>47004</v>
          </cell>
        </row>
        <row r="283">
          <cell r="A283">
            <v>47005</v>
          </cell>
        </row>
        <row r="284">
          <cell r="A284">
            <v>47006</v>
          </cell>
        </row>
        <row r="285">
          <cell r="A285">
            <v>47007</v>
          </cell>
        </row>
        <row r="286">
          <cell r="A286">
            <v>47008</v>
          </cell>
        </row>
        <row r="287">
          <cell r="A287">
            <v>47009</v>
          </cell>
        </row>
        <row r="288">
          <cell r="A288">
            <v>47010</v>
          </cell>
        </row>
        <row r="289">
          <cell r="A289">
            <v>47011</v>
          </cell>
        </row>
        <row r="290">
          <cell r="A290">
            <v>47012</v>
          </cell>
        </row>
        <row r="291">
          <cell r="A291">
            <v>47013</v>
          </cell>
        </row>
        <row r="292">
          <cell r="A292">
            <v>47014</v>
          </cell>
        </row>
        <row r="293">
          <cell r="A293">
            <v>47015</v>
          </cell>
        </row>
        <row r="294">
          <cell r="A294">
            <v>47016</v>
          </cell>
        </row>
        <row r="295">
          <cell r="A295">
            <v>49001</v>
          </cell>
        </row>
        <row r="296">
          <cell r="A296">
            <v>49002</v>
          </cell>
        </row>
        <row r="297">
          <cell r="A297">
            <v>49003</v>
          </cell>
        </row>
        <row r="298">
          <cell r="A298">
            <v>49004</v>
          </cell>
        </row>
        <row r="299">
          <cell r="A299">
            <v>49005</v>
          </cell>
        </row>
        <row r="300">
          <cell r="A300">
            <v>49006</v>
          </cell>
        </row>
        <row r="301">
          <cell r="A301">
            <v>49007</v>
          </cell>
        </row>
        <row r="302">
          <cell r="A302">
            <v>49008</v>
          </cell>
        </row>
        <row r="303">
          <cell r="A303">
            <v>49009</v>
          </cell>
        </row>
        <row r="304">
          <cell r="A304">
            <v>49010</v>
          </cell>
        </row>
        <row r="305">
          <cell r="A305">
            <v>49011</v>
          </cell>
        </row>
        <row r="306">
          <cell r="A306">
            <v>49012</v>
          </cell>
        </row>
        <row r="307">
          <cell r="A307">
            <v>49013</v>
          </cell>
        </row>
        <row r="308">
          <cell r="A308">
            <v>49014</v>
          </cell>
        </row>
        <row r="309">
          <cell r="A309">
            <v>49015</v>
          </cell>
        </row>
        <row r="310">
          <cell r="A310">
            <v>49016</v>
          </cell>
        </row>
        <row r="311">
          <cell r="A311">
            <v>50001</v>
          </cell>
        </row>
        <row r="312">
          <cell r="A312">
            <v>50002</v>
          </cell>
        </row>
        <row r="313">
          <cell r="A313">
            <v>50003</v>
          </cell>
        </row>
        <row r="314">
          <cell r="A314">
            <v>50004</v>
          </cell>
        </row>
        <row r="315">
          <cell r="A315">
            <v>50005</v>
          </cell>
        </row>
        <row r="316">
          <cell r="A316">
            <v>50006</v>
          </cell>
        </row>
        <row r="317">
          <cell r="A317">
            <v>50007</v>
          </cell>
        </row>
        <row r="318">
          <cell r="A318">
            <v>50008</v>
          </cell>
        </row>
        <row r="319">
          <cell r="A319">
            <v>50009</v>
          </cell>
        </row>
        <row r="320">
          <cell r="A320">
            <v>50010</v>
          </cell>
        </row>
        <row r="321">
          <cell r="A321">
            <v>50011</v>
          </cell>
        </row>
        <row r="322">
          <cell r="A322">
            <v>50012</v>
          </cell>
        </row>
        <row r="323">
          <cell r="A323">
            <v>50013</v>
          </cell>
        </row>
        <row r="324">
          <cell r="A324">
            <v>50014</v>
          </cell>
        </row>
        <row r="325">
          <cell r="A325">
            <v>50015</v>
          </cell>
        </row>
        <row r="326">
          <cell r="A326">
            <v>50016</v>
          </cell>
        </row>
        <row r="327">
          <cell r="A327">
            <v>51001</v>
          </cell>
        </row>
        <row r="328">
          <cell r="A328">
            <v>51002</v>
          </cell>
        </row>
        <row r="329">
          <cell r="A329">
            <v>58001</v>
          </cell>
        </row>
        <row r="330">
          <cell r="A330">
            <v>58002</v>
          </cell>
        </row>
        <row r="331">
          <cell r="A331">
            <v>58003</v>
          </cell>
        </row>
        <row r="332">
          <cell r="A332">
            <v>58101</v>
          </cell>
        </row>
        <row r="333">
          <cell r="A333">
            <v>59001</v>
          </cell>
        </row>
        <row r="334">
          <cell r="A334">
            <v>59002</v>
          </cell>
        </row>
        <row r="335">
          <cell r="A335">
            <v>59003</v>
          </cell>
        </row>
        <row r="336">
          <cell r="A336">
            <v>60001</v>
          </cell>
        </row>
        <row r="337">
          <cell r="A337">
            <v>60002</v>
          </cell>
        </row>
        <row r="338">
          <cell r="A338">
            <v>60003</v>
          </cell>
        </row>
        <row r="339">
          <cell r="A339">
            <v>60004</v>
          </cell>
        </row>
        <row r="340">
          <cell r="A340">
            <v>60005</v>
          </cell>
        </row>
        <row r="341">
          <cell r="A341">
            <v>60006</v>
          </cell>
        </row>
        <row r="342">
          <cell r="A342">
            <v>60007</v>
          </cell>
        </row>
        <row r="343">
          <cell r="A343">
            <v>60010</v>
          </cell>
        </row>
        <row r="344">
          <cell r="A344">
            <v>60011</v>
          </cell>
        </row>
        <row r="345">
          <cell r="A345">
            <v>61011</v>
          </cell>
        </row>
        <row r="346">
          <cell r="A346">
            <v>60012</v>
          </cell>
        </row>
        <row r="347">
          <cell r="A347">
            <v>60013</v>
          </cell>
        </row>
        <row r="348">
          <cell r="A348">
            <v>60014</v>
          </cell>
        </row>
        <row r="349">
          <cell r="A349">
            <v>60015</v>
          </cell>
        </row>
        <row r="350">
          <cell r="A350">
            <v>60016</v>
          </cell>
        </row>
        <row r="351">
          <cell r="A351">
            <v>60017</v>
          </cell>
        </row>
        <row r="352">
          <cell r="A352">
            <v>60018</v>
          </cell>
        </row>
        <row r="353">
          <cell r="A353">
            <v>60019</v>
          </cell>
        </row>
        <row r="354">
          <cell r="A354">
            <v>60020</v>
          </cell>
        </row>
        <row r="355">
          <cell r="A355">
            <v>60025</v>
          </cell>
        </row>
        <row r="356">
          <cell r="A356">
            <v>60026</v>
          </cell>
        </row>
        <row r="357">
          <cell r="A357">
            <v>60027</v>
          </cell>
        </row>
        <row r="358">
          <cell r="A358">
            <v>60028</v>
          </cell>
        </row>
        <row r="359">
          <cell r="A359">
            <v>60029</v>
          </cell>
        </row>
        <row r="360">
          <cell r="A360">
            <v>60030</v>
          </cell>
        </row>
        <row r="361">
          <cell r="A361">
            <v>60031</v>
          </cell>
        </row>
        <row r="362">
          <cell r="A362">
            <v>60032</v>
          </cell>
        </row>
        <row r="363">
          <cell r="A363">
            <v>65523</v>
          </cell>
        </row>
        <row r="364">
          <cell r="A364">
            <v>65524</v>
          </cell>
        </row>
        <row r="365">
          <cell r="A365">
            <v>65525</v>
          </cell>
        </row>
        <row r="366">
          <cell r="A366">
            <v>65526</v>
          </cell>
        </row>
        <row r="367">
          <cell r="A367">
            <v>65527</v>
          </cell>
        </row>
        <row r="368">
          <cell r="A368">
            <v>65528</v>
          </cell>
        </row>
        <row r="369">
          <cell r="A369">
            <v>65529</v>
          </cell>
        </row>
        <row r="370">
          <cell r="A370">
            <v>65530</v>
          </cell>
        </row>
        <row r="371">
          <cell r="A371">
            <v>65531</v>
          </cell>
        </row>
        <row r="372">
          <cell r="A372">
            <v>65532</v>
          </cell>
        </row>
        <row r="373">
          <cell r="A373">
            <v>65533</v>
          </cell>
        </row>
        <row r="374">
          <cell r="A374">
            <v>65534</v>
          </cell>
        </row>
        <row r="375">
          <cell r="A375">
            <v>65535</v>
          </cell>
        </row>
        <row r="376">
          <cell r="A376">
            <v>60021</v>
          </cell>
        </row>
        <row r="377">
          <cell r="A377">
            <v>60022</v>
          </cell>
        </row>
        <row r="378">
          <cell r="A378">
            <v>60023</v>
          </cell>
        </row>
        <row r="379">
          <cell r="A37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47015_1</v>
          </cell>
        </row>
        <row r="883">
          <cell r="A883" t="str">
            <v>47015_2</v>
          </cell>
        </row>
        <row r="884">
          <cell r="A884" t="str">
            <v>47015_3</v>
          </cell>
        </row>
        <row r="885">
          <cell r="A885" t="str">
            <v>47016_1</v>
          </cell>
        </row>
        <row r="886">
          <cell r="A886" t="str">
            <v>47016_2</v>
          </cell>
        </row>
        <row r="887">
          <cell r="A887" t="str">
            <v>47016_3</v>
          </cell>
        </row>
        <row r="888">
          <cell r="A888" t="str">
            <v>48001_1</v>
          </cell>
        </row>
        <row r="889">
          <cell r="A889" t="str">
            <v>48002_1</v>
          </cell>
        </row>
        <row r="890">
          <cell r="A890" t="str">
            <v>48002_2</v>
          </cell>
        </row>
        <row r="891">
          <cell r="A891" t="str">
            <v>48002_3</v>
          </cell>
        </row>
        <row r="892">
          <cell r="A892" t="str">
            <v>48003_1</v>
          </cell>
        </row>
        <row r="893">
          <cell r="A893" t="str">
            <v>48003_2</v>
          </cell>
        </row>
        <row r="894">
          <cell r="A894" t="str">
            <v>48004_1</v>
          </cell>
        </row>
        <row r="895">
          <cell r="A895" t="str">
            <v>48004_2</v>
          </cell>
        </row>
        <row r="896">
          <cell r="A896" t="str">
            <v>48005_1</v>
          </cell>
        </row>
        <row r="897">
          <cell r="A897" t="str">
            <v>48005_2</v>
          </cell>
        </row>
        <row r="898">
          <cell r="A898" t="str">
            <v>48006_1</v>
          </cell>
        </row>
        <row r="899">
          <cell r="A899" t="str">
            <v>48006_2</v>
          </cell>
        </row>
        <row r="900">
          <cell r="A900" t="str">
            <v>48007_1</v>
          </cell>
        </row>
        <row r="901">
          <cell r="A901" t="str">
            <v>48007_2</v>
          </cell>
        </row>
        <row r="902">
          <cell r="A902" t="str">
            <v>48008_1</v>
          </cell>
        </row>
        <row r="903">
          <cell r="A903" t="str">
            <v>48008_2</v>
          </cell>
        </row>
        <row r="904">
          <cell r="A904" t="str">
            <v>48009_1</v>
          </cell>
        </row>
        <row r="905">
          <cell r="A905" t="str">
            <v>48009_2</v>
          </cell>
        </row>
        <row r="906">
          <cell r="A906" t="str">
            <v>48010_1</v>
          </cell>
        </row>
        <row r="907">
          <cell r="A907" t="str">
            <v>48011_1</v>
          </cell>
        </row>
        <row r="908">
          <cell r="A908" t="str">
            <v>48011_2</v>
          </cell>
        </row>
        <row r="909">
          <cell r="A909" t="str">
            <v>48012_1</v>
          </cell>
        </row>
        <row r="910">
          <cell r="A910" t="str">
            <v>48012_2</v>
          </cell>
        </row>
        <row r="911">
          <cell r="A911" t="str">
            <v>48013_1</v>
          </cell>
        </row>
        <row r="912">
          <cell r="A912" t="str">
            <v>48013_2</v>
          </cell>
        </row>
        <row r="913">
          <cell r="A913" t="str">
            <v>48014_1</v>
          </cell>
        </row>
        <row r="914">
          <cell r="A914" t="str">
            <v>48014_2</v>
          </cell>
        </row>
        <row r="915">
          <cell r="A915" t="str">
            <v>48015_1</v>
          </cell>
        </row>
        <row r="916">
          <cell r="A916" t="str">
            <v>48015_2</v>
          </cell>
        </row>
        <row r="917">
          <cell r="A917" t="str">
            <v>48101_1</v>
          </cell>
        </row>
        <row r="918">
          <cell r="A918" t="str">
            <v>48101_2</v>
          </cell>
        </row>
        <row r="919">
          <cell r="A919" t="str">
            <v>48501_1</v>
          </cell>
        </row>
        <row r="920">
          <cell r="A920" t="str">
            <v>48501_2</v>
          </cell>
        </row>
        <row r="921">
          <cell r="A921" t="str">
            <v>48502_1</v>
          </cell>
        </row>
        <row r="922">
          <cell r="A922" t="str">
            <v>48502_2</v>
          </cell>
        </row>
        <row r="923">
          <cell r="A923" t="str">
            <v>48503_1</v>
          </cell>
        </row>
        <row r="924">
          <cell r="A924" t="str">
            <v>48503_2</v>
          </cell>
        </row>
        <row r="925">
          <cell r="A925" t="str">
            <v>48701_1</v>
          </cell>
        </row>
        <row r="926">
          <cell r="A926" t="str">
            <v>48701_2</v>
          </cell>
        </row>
        <row r="927">
          <cell r="A927" t="str">
            <v>48702_1</v>
          </cell>
        </row>
        <row r="928">
          <cell r="A928" t="str">
            <v>48702_2</v>
          </cell>
        </row>
        <row r="929">
          <cell r="A929" t="str">
            <v>49001_1</v>
          </cell>
        </row>
        <row r="930">
          <cell r="A930" t="str">
            <v>49002_1</v>
          </cell>
        </row>
        <row r="931">
          <cell r="A931" t="str">
            <v>49002_2</v>
          </cell>
        </row>
        <row r="932">
          <cell r="A932" t="str">
            <v>49003_1</v>
          </cell>
        </row>
        <row r="933">
          <cell r="A933" t="str">
            <v>49003_2</v>
          </cell>
        </row>
        <row r="934">
          <cell r="A934" t="str">
            <v>49004_1</v>
          </cell>
        </row>
        <row r="935">
          <cell r="A935" t="str">
            <v>49004_2</v>
          </cell>
        </row>
        <row r="936">
          <cell r="A936" t="str">
            <v>49004_3</v>
          </cell>
        </row>
        <row r="937">
          <cell r="A937" t="str">
            <v>49005_1</v>
          </cell>
        </row>
        <row r="938">
          <cell r="A938" t="str">
            <v>49006_1</v>
          </cell>
        </row>
        <row r="939">
          <cell r="A939" t="str">
            <v>49006_2</v>
          </cell>
        </row>
        <row r="940">
          <cell r="A940" t="str">
            <v>49007_1</v>
          </cell>
        </row>
        <row r="941">
          <cell r="A941" t="str">
            <v>49007_2</v>
          </cell>
        </row>
        <row r="942">
          <cell r="A942" t="str">
            <v>49007_3</v>
          </cell>
        </row>
        <row r="943">
          <cell r="A943" t="str">
            <v>49008_1</v>
          </cell>
        </row>
        <row r="944">
          <cell r="A944" t="str">
            <v>49009_1</v>
          </cell>
        </row>
        <row r="945">
          <cell r="A945" t="str">
            <v>49010_1</v>
          </cell>
        </row>
        <row r="946">
          <cell r="A946" t="str">
            <v>49011_1</v>
          </cell>
        </row>
        <row r="947">
          <cell r="A947" t="str">
            <v>49012_1</v>
          </cell>
        </row>
        <row r="948">
          <cell r="A948" t="str">
            <v>49013_1</v>
          </cell>
        </row>
        <row r="949">
          <cell r="A949" t="str">
            <v>49014_1</v>
          </cell>
        </row>
        <row r="950">
          <cell r="A950" t="str">
            <v>49014_2</v>
          </cell>
        </row>
        <row r="951">
          <cell r="A951" t="str">
            <v>49015_1</v>
          </cell>
        </row>
        <row r="952">
          <cell r="A952" t="str">
            <v>49015_2</v>
          </cell>
        </row>
        <row r="953">
          <cell r="A953" t="str">
            <v>49015_3</v>
          </cell>
        </row>
        <row r="954">
          <cell r="A954" t="str">
            <v>49016_1</v>
          </cell>
        </row>
        <row r="955">
          <cell r="A955" t="str">
            <v>49016_2</v>
          </cell>
        </row>
        <row r="956">
          <cell r="A956" t="str">
            <v>50001_1</v>
          </cell>
        </row>
        <row r="957">
          <cell r="A957" t="str">
            <v>50002_1</v>
          </cell>
        </row>
        <row r="958">
          <cell r="A958" t="str">
            <v>50003_1</v>
          </cell>
        </row>
        <row r="959">
          <cell r="A959" t="str">
            <v>50004_1</v>
          </cell>
        </row>
        <row r="960">
          <cell r="A960" t="str">
            <v>50005_1</v>
          </cell>
        </row>
        <row r="961">
          <cell r="A961" t="str">
            <v>50006_1</v>
          </cell>
        </row>
        <row r="962">
          <cell r="A962" t="str">
            <v>50007_1</v>
          </cell>
        </row>
        <row r="963">
          <cell r="A963" t="str">
            <v>50008_1</v>
          </cell>
        </row>
        <row r="964">
          <cell r="A964" t="str">
            <v>50009_1</v>
          </cell>
        </row>
        <row r="965">
          <cell r="A965" t="str">
            <v>50010_1</v>
          </cell>
        </row>
        <row r="966">
          <cell r="A966" t="str">
            <v>50011_1</v>
          </cell>
        </row>
        <row r="967">
          <cell r="A967" t="str">
            <v>50012_1</v>
          </cell>
        </row>
        <row r="968">
          <cell r="A968" t="str">
            <v>50013_1</v>
          </cell>
        </row>
        <row r="969">
          <cell r="A969" t="str">
            <v>50014_1</v>
          </cell>
        </row>
        <row r="970">
          <cell r="A970" t="str">
            <v>50015_1</v>
          </cell>
        </row>
        <row r="971">
          <cell r="A971" t="str">
            <v>50016_1</v>
          </cell>
        </row>
        <row r="972">
          <cell r="A972" t="str">
            <v>51001_1</v>
          </cell>
        </row>
        <row r="973">
          <cell r="A973" t="str">
            <v>51002_1</v>
          </cell>
        </row>
        <row r="974">
          <cell r="A974" t="str">
            <v>58001_1</v>
          </cell>
        </row>
        <row r="975">
          <cell r="A975" t="str">
            <v>58002_1</v>
          </cell>
        </row>
        <row r="976">
          <cell r="A976" t="str">
            <v>58003_1</v>
          </cell>
        </row>
        <row r="977">
          <cell r="A977" t="str">
            <v>58101_1</v>
          </cell>
        </row>
        <row r="978">
          <cell r="A978" t="str">
            <v>59001_1</v>
          </cell>
        </row>
        <row r="979">
          <cell r="A979" t="str">
            <v>59002_1</v>
          </cell>
        </row>
        <row r="980">
          <cell r="A980" t="str">
            <v>59003_1</v>
          </cell>
        </row>
        <row r="981">
          <cell r="A981" t="str">
            <v>59003_2</v>
          </cell>
        </row>
        <row r="982">
          <cell r="A982" t="str">
            <v>60001_1</v>
          </cell>
        </row>
        <row r="983">
          <cell r="A983" t="str">
            <v>60002_1</v>
          </cell>
        </row>
        <row r="984">
          <cell r="A984" t="str">
            <v>60002_2</v>
          </cell>
        </row>
        <row r="985">
          <cell r="A985" t="str">
            <v>60003_1</v>
          </cell>
        </row>
        <row r="986">
          <cell r="A986" t="str">
            <v>60003_2</v>
          </cell>
        </row>
        <row r="987">
          <cell r="A987" t="str">
            <v>60003_3</v>
          </cell>
        </row>
        <row r="988">
          <cell r="A988" t="str">
            <v>60004_1</v>
          </cell>
        </row>
        <row r="989">
          <cell r="A989" t="str">
            <v>60005_1</v>
          </cell>
        </row>
        <row r="990">
          <cell r="A990" t="str">
            <v>60006_1</v>
          </cell>
        </row>
        <row r="991">
          <cell r="A991" t="str">
            <v>60006_2</v>
          </cell>
        </row>
        <row r="992">
          <cell r="A992" t="str">
            <v>60006_3</v>
          </cell>
        </row>
        <row r="993">
          <cell r="A993" t="str">
            <v>60007_1</v>
          </cell>
        </row>
        <row r="994">
          <cell r="A994" t="str">
            <v>60007_2</v>
          </cell>
        </row>
        <row r="995">
          <cell r="A995" t="str">
            <v>60007_3</v>
          </cell>
        </row>
        <row r="996">
          <cell r="A996" t="str">
            <v>60010_1</v>
          </cell>
        </row>
        <row r="997">
          <cell r="A997" t="str">
            <v>60011_1</v>
          </cell>
        </row>
        <row r="998">
          <cell r="A998" t="str">
            <v>60011_2</v>
          </cell>
        </row>
        <row r="999">
          <cell r="A999" t="str">
            <v>60012_1</v>
          </cell>
        </row>
        <row r="1000">
          <cell r="A1000" t="str">
            <v>60013_1</v>
          </cell>
        </row>
        <row r="1001">
          <cell r="A1001" t="str">
            <v>60013_2</v>
          </cell>
        </row>
        <row r="1002">
          <cell r="A1002" t="str">
            <v>60013_3</v>
          </cell>
        </row>
        <row r="1003">
          <cell r="A1003" t="str">
            <v>60014_1</v>
          </cell>
        </row>
        <row r="1004">
          <cell r="A1004" t="str">
            <v>60015_1</v>
          </cell>
        </row>
        <row r="1005">
          <cell r="A1005" t="str">
            <v>60016_1</v>
          </cell>
        </row>
        <row r="1006">
          <cell r="A1006" t="str">
            <v>60017_1</v>
          </cell>
        </row>
        <row r="1007">
          <cell r="A1007" t="str">
            <v>60018_1</v>
          </cell>
        </row>
        <row r="1008">
          <cell r="A1008" t="str">
            <v>60019_1</v>
          </cell>
        </row>
        <row r="1009">
          <cell r="A1009" t="str">
            <v>60020_1</v>
          </cell>
        </row>
        <row r="1010">
          <cell r="A1010" t="str">
            <v>60021_3</v>
          </cell>
        </row>
        <row r="1011">
          <cell r="A1011" t="str">
            <v>60022_3</v>
          </cell>
        </row>
        <row r="1012">
          <cell r="A1012" t="str">
            <v>60023_3</v>
          </cell>
        </row>
        <row r="1013">
          <cell r="A1013" t="str">
            <v>60024_3</v>
          </cell>
        </row>
        <row r="1014">
          <cell r="A1014" t="str">
            <v>60025_1</v>
          </cell>
        </row>
        <row r="1015">
          <cell r="A1015" t="str">
            <v>60026_1</v>
          </cell>
        </row>
        <row r="1016">
          <cell r="A1016" t="str">
            <v>61011_1</v>
          </cell>
        </row>
        <row r="1017">
          <cell r="A1017" t="str">
            <v>60027_1</v>
          </cell>
        </row>
        <row r="1018">
          <cell r="A1018" t="str">
            <v>60028_1</v>
          </cell>
        </row>
        <row r="1019">
          <cell r="A1019" t="str">
            <v>60029_1</v>
          </cell>
        </row>
        <row r="1020">
          <cell r="A1020" t="str">
            <v>60030_1</v>
          </cell>
        </row>
        <row r="1021">
          <cell r="A1021" t="str">
            <v>60031_1</v>
          </cell>
        </row>
        <row r="1022">
          <cell r="A1022" t="str">
            <v>60032_1</v>
          </cell>
        </row>
        <row r="1023">
          <cell r="A1023" t="str">
            <v>65523_1</v>
          </cell>
        </row>
        <row r="1024">
          <cell r="A1024" t="str">
            <v>65523_2</v>
          </cell>
        </row>
        <row r="1025">
          <cell r="A1025" t="str">
            <v>65523_3</v>
          </cell>
        </row>
        <row r="1026">
          <cell r="A1026" t="str">
            <v>65524_1</v>
          </cell>
        </row>
        <row r="1027">
          <cell r="A1027" t="str">
            <v>65524_2</v>
          </cell>
        </row>
        <row r="1028">
          <cell r="A1028" t="str">
            <v>65525_1</v>
          </cell>
        </row>
        <row r="1029">
          <cell r="A1029" t="str">
            <v>65526_1</v>
          </cell>
        </row>
        <row r="1030">
          <cell r="A1030" t="str">
            <v>65526_2</v>
          </cell>
        </row>
        <row r="1031">
          <cell r="A1031" t="str">
            <v>65527_1</v>
          </cell>
        </row>
        <row r="1032">
          <cell r="A1032" t="str">
            <v>65528_1</v>
          </cell>
        </row>
        <row r="1033">
          <cell r="A1033" t="str">
            <v>65529_1</v>
          </cell>
        </row>
        <row r="1034">
          <cell r="A1034" t="str">
            <v>65530_1</v>
          </cell>
        </row>
        <row r="1035">
          <cell r="A1035" t="str">
            <v>65531_1</v>
          </cell>
        </row>
        <row r="1036">
          <cell r="A1036" t="str">
            <v>65531_2</v>
          </cell>
        </row>
        <row r="1037">
          <cell r="A1037" t="str">
            <v>65532_1</v>
          </cell>
        </row>
        <row r="1038">
          <cell r="A1038" t="str">
            <v>65532_2</v>
          </cell>
        </row>
        <row r="1039">
          <cell r="A1039" t="str">
            <v>65533_1</v>
          </cell>
        </row>
        <row r="1040">
          <cell r="A1040" t="str">
            <v>65533_2</v>
          </cell>
        </row>
        <row r="1041">
          <cell r="A1041" t="str">
            <v>65534_1</v>
          </cell>
        </row>
        <row r="1042">
          <cell r="A1042" t="str">
            <v>65535_1</v>
          </cell>
        </row>
        <row r="1043">
          <cell r="A1043" t="str">
            <v>65535_2</v>
          </cell>
        </row>
        <row r="1044">
          <cell r="A1044" t="str">
            <v>65535_3</v>
          </cell>
        </row>
        <row r="1045">
          <cell r="A1045" t="str">
            <v>65535_4</v>
          </cell>
        </row>
        <row r="1046">
          <cell r="A1046" t="str">
            <v>65535_5</v>
          </cell>
        </row>
        <row r="1047">
          <cell r="A1047" t="str">
            <v>65535_6</v>
          </cell>
        </row>
        <row r="1048">
          <cell r="A1048" t="str">
            <v>65535_7</v>
          </cell>
        </row>
        <row r="1049">
          <cell r="A1049" t="str">
            <v>65535_8</v>
          </cell>
        </row>
        <row r="1050">
          <cell r="A1050" t="str">
            <v>65535_9</v>
          </cell>
        </row>
        <row r="1051">
          <cell r="A105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6001</v>
          </cell>
        </row>
        <row r="1465">
          <cell r="A1465">
            <v>6002</v>
          </cell>
        </row>
        <row r="1466">
          <cell r="A1466">
            <v>6003</v>
          </cell>
        </row>
        <row r="1467">
          <cell r="A1467">
            <v>6004</v>
          </cell>
        </row>
        <row r="1468">
          <cell r="A1468">
            <v>6005</v>
          </cell>
        </row>
        <row r="1469">
          <cell r="A1469">
            <v>6006</v>
          </cell>
        </row>
        <row r="1470">
          <cell r="A1470">
            <v>6007</v>
          </cell>
        </row>
        <row r="1471">
          <cell r="A1471">
            <v>6008</v>
          </cell>
        </row>
        <row r="1472">
          <cell r="A1472">
            <v>6009</v>
          </cell>
        </row>
        <row r="1473">
          <cell r="A1473">
            <v>6010</v>
          </cell>
        </row>
        <row r="1474">
          <cell r="A1474">
            <v>6011</v>
          </cell>
        </row>
        <row r="1475">
          <cell r="A1475">
            <v>6012</v>
          </cell>
        </row>
        <row r="1476">
          <cell r="A1476">
            <v>6013</v>
          </cell>
        </row>
        <row r="1477">
          <cell r="A1477">
            <v>6014</v>
          </cell>
        </row>
        <row r="1478">
          <cell r="A1478">
            <v>6015</v>
          </cell>
        </row>
        <row r="1479">
          <cell r="A1479">
            <v>6016</v>
          </cell>
        </row>
        <row r="1480">
          <cell r="A1480">
            <v>6017</v>
          </cell>
        </row>
        <row r="1481">
          <cell r="A1481">
            <v>6018</v>
          </cell>
        </row>
        <row r="1482">
          <cell r="A1482">
            <v>6019</v>
          </cell>
        </row>
        <row r="1483">
          <cell r="A1483">
            <v>6020</v>
          </cell>
        </row>
        <row r="1484">
          <cell r="A1484">
            <v>8001</v>
          </cell>
        </row>
        <row r="1485">
          <cell r="A1485">
            <v>8002</v>
          </cell>
        </row>
        <row r="1486">
          <cell r="A1486">
            <v>8003</v>
          </cell>
        </row>
        <row r="1487">
          <cell r="A1487">
            <v>8004</v>
          </cell>
        </row>
        <row r="1488">
          <cell r="A1488">
            <v>8005</v>
          </cell>
        </row>
        <row r="1489">
          <cell r="A1489">
            <v>8006</v>
          </cell>
        </row>
        <row r="1490">
          <cell r="A1490">
            <v>8007</v>
          </cell>
        </row>
        <row r="1491">
          <cell r="A1491">
            <v>8008</v>
          </cell>
        </row>
        <row r="1492">
          <cell r="A1492">
            <v>8009</v>
          </cell>
        </row>
        <row r="1493">
          <cell r="A1493">
            <v>8010</v>
          </cell>
        </row>
        <row r="1494">
          <cell r="A1494">
            <v>8011</v>
          </cell>
        </row>
        <row r="1495">
          <cell r="A1495">
            <v>8012</v>
          </cell>
        </row>
        <row r="1496">
          <cell r="A1496">
            <v>8013</v>
          </cell>
        </row>
        <row r="1497">
          <cell r="A1497">
            <v>8014</v>
          </cell>
        </row>
        <row r="1498">
          <cell r="A1498">
            <v>8015</v>
          </cell>
        </row>
        <row r="1499">
          <cell r="A1499">
            <v>8016</v>
          </cell>
        </row>
        <row r="1500">
          <cell r="A1500">
            <v>8017</v>
          </cell>
        </row>
        <row r="1501">
          <cell r="A1501">
            <v>8018</v>
          </cell>
        </row>
        <row r="1502">
          <cell r="A1502">
            <v>8019</v>
          </cell>
        </row>
        <row r="1503">
          <cell r="A1503">
            <v>8020</v>
          </cell>
        </row>
        <row r="1504">
          <cell r="A1504">
            <v>8021</v>
          </cell>
        </row>
        <row r="1505">
          <cell r="A1505">
            <v>8022</v>
          </cell>
        </row>
        <row r="1506">
          <cell r="A1506">
            <v>8023</v>
          </cell>
        </row>
        <row r="1507">
          <cell r="A1507">
            <v>8024</v>
          </cell>
        </row>
        <row r="1508">
          <cell r="A1508">
            <v>8025</v>
          </cell>
        </row>
        <row r="1509">
          <cell r="A1509">
            <v>8026</v>
          </cell>
        </row>
        <row r="1510">
          <cell r="A1510">
            <v>8027</v>
          </cell>
        </row>
        <row r="1511">
          <cell r="A1511">
            <v>8028</v>
          </cell>
        </row>
        <row r="1512">
          <cell r="A1512">
            <v>8029</v>
          </cell>
        </row>
        <row r="1513">
          <cell r="A1513">
            <v>8030</v>
          </cell>
        </row>
        <row r="1514">
          <cell r="A1514">
            <v>8031</v>
          </cell>
        </row>
        <row r="1515">
          <cell r="A1515">
            <v>8032</v>
          </cell>
        </row>
        <row r="1516">
          <cell r="A1516">
            <v>8033</v>
          </cell>
        </row>
        <row r="1517">
          <cell r="A1517">
            <v>8034</v>
          </cell>
        </row>
        <row r="1518">
          <cell r="A1518">
            <v>8035</v>
          </cell>
        </row>
        <row r="1519">
          <cell r="A1519">
            <v>8036</v>
          </cell>
        </row>
        <row r="1520">
          <cell r="A1520">
            <v>8037</v>
          </cell>
        </row>
        <row r="1521">
          <cell r="A1521">
            <v>8038</v>
          </cell>
        </row>
        <row r="1522">
          <cell r="A1522">
            <v>8039</v>
          </cell>
        </row>
        <row r="1523">
          <cell r="A1523">
            <v>8040</v>
          </cell>
        </row>
        <row r="1524">
          <cell r="A1524">
            <v>8041</v>
          </cell>
        </row>
        <row r="1525">
          <cell r="A1525">
            <v>8042</v>
          </cell>
        </row>
        <row r="1526">
          <cell r="A1526">
            <v>8043</v>
          </cell>
        </row>
        <row r="1527">
          <cell r="A1527">
            <v>8044</v>
          </cell>
        </row>
        <row r="1528">
          <cell r="A1528">
            <v>8045</v>
          </cell>
        </row>
        <row r="1529">
          <cell r="A1529">
            <v>8046</v>
          </cell>
        </row>
        <row r="1530">
          <cell r="A1530">
            <v>8047</v>
          </cell>
        </row>
        <row r="1531">
          <cell r="A1531">
            <v>8048</v>
          </cell>
        </row>
        <row r="1532">
          <cell r="A1532">
            <v>8049</v>
          </cell>
        </row>
        <row r="1533">
          <cell r="A1533">
            <v>8050</v>
          </cell>
        </row>
        <row r="1534">
          <cell r="A1534">
            <v>8051</v>
          </cell>
        </row>
        <row r="1535">
          <cell r="A1535">
            <v>8052</v>
          </cell>
        </row>
        <row r="1536">
          <cell r="A1536">
            <v>8053</v>
          </cell>
        </row>
        <row r="1537">
          <cell r="A1537">
            <v>8054</v>
          </cell>
        </row>
        <row r="1538">
          <cell r="A1538">
            <v>8055</v>
          </cell>
        </row>
        <row r="1539">
          <cell r="A1539">
            <v>8056</v>
          </cell>
        </row>
        <row r="1540">
          <cell r="A1540">
            <v>8057</v>
          </cell>
        </row>
        <row r="1541">
          <cell r="A1541">
            <v>8058</v>
          </cell>
        </row>
        <row r="1542">
          <cell r="A1542">
            <v>8059</v>
          </cell>
        </row>
        <row r="1543">
          <cell r="A1543">
            <v>8060</v>
          </cell>
        </row>
        <row r="1544">
          <cell r="A1544">
            <v>8061</v>
          </cell>
        </row>
        <row r="1545">
          <cell r="A1545">
            <v>8062</v>
          </cell>
        </row>
        <row r="1546">
          <cell r="A1546">
            <v>8063</v>
          </cell>
        </row>
        <row r="1547">
          <cell r="A1547">
            <v>8064</v>
          </cell>
        </row>
        <row r="1548">
          <cell r="A1548">
            <v>8065</v>
          </cell>
        </row>
        <row r="1549">
          <cell r="A1549">
            <v>8066</v>
          </cell>
        </row>
        <row r="1550">
          <cell r="A1550">
            <v>8067</v>
          </cell>
        </row>
        <row r="1551">
          <cell r="A1551">
            <v>8068</v>
          </cell>
        </row>
        <row r="1552">
          <cell r="A1552">
            <v>8069</v>
          </cell>
        </row>
        <row r="1553">
          <cell r="A1553">
            <v>8070</v>
          </cell>
        </row>
        <row r="1554">
          <cell r="A1554">
            <v>8071</v>
          </cell>
        </row>
        <row r="1555">
          <cell r="A1555">
            <v>8072</v>
          </cell>
        </row>
        <row r="1556">
          <cell r="A1556">
            <v>8073</v>
          </cell>
        </row>
        <row r="1557">
          <cell r="A1557">
            <v>8074</v>
          </cell>
        </row>
        <row r="1558">
          <cell r="A1558">
            <v>8077</v>
          </cell>
        </row>
        <row r="1559">
          <cell r="A1559">
            <v>8078</v>
          </cell>
        </row>
        <row r="1560">
          <cell r="A1560">
            <v>8079</v>
          </cell>
        </row>
        <row r="1561">
          <cell r="A1561">
            <v>8080</v>
          </cell>
        </row>
        <row r="1562">
          <cell r="A1562">
            <v>8081</v>
          </cell>
        </row>
        <row r="1563">
          <cell r="A1563">
            <v>8082</v>
          </cell>
        </row>
        <row r="1564">
          <cell r="A1564">
            <v>8083</v>
          </cell>
        </row>
        <row r="1565">
          <cell r="A1565">
            <v>8084</v>
          </cell>
        </row>
        <row r="1566">
          <cell r="A1566">
            <v>8085</v>
          </cell>
        </row>
        <row r="1567">
          <cell r="A1567">
            <v>8086</v>
          </cell>
        </row>
        <row r="1568">
          <cell r="A1568">
            <v>8087</v>
          </cell>
        </row>
        <row r="1569">
          <cell r="A1569">
            <v>8088</v>
          </cell>
        </row>
        <row r="1570">
          <cell r="A1570">
            <v>8089</v>
          </cell>
        </row>
        <row r="1571">
          <cell r="A1571">
            <v>8090</v>
          </cell>
        </row>
        <row r="1572">
          <cell r="A1572">
            <v>8095</v>
          </cell>
        </row>
        <row r="1573">
          <cell r="A1573">
            <v>8096</v>
          </cell>
        </row>
        <row r="1574">
          <cell r="A1574">
            <v>8097</v>
          </cell>
        </row>
        <row r="1575">
          <cell r="A1575">
            <v>8098</v>
          </cell>
        </row>
        <row r="1576">
          <cell r="A1576">
            <v>8099</v>
          </cell>
        </row>
        <row r="1577">
          <cell r="A1577">
            <v>8100</v>
          </cell>
        </row>
        <row r="1578">
          <cell r="A1578">
            <v>8101</v>
          </cell>
        </row>
        <row r="1579">
          <cell r="A1579">
            <v>8102</v>
          </cell>
        </row>
        <row r="1580">
          <cell r="A1580">
            <v>8103</v>
          </cell>
        </row>
        <row r="1581">
          <cell r="A1581">
            <v>8104</v>
          </cell>
        </row>
        <row r="1582">
          <cell r="A1582">
            <v>8105</v>
          </cell>
        </row>
        <row r="1583">
          <cell r="A1583">
            <v>8106</v>
          </cell>
        </row>
        <row r="1584">
          <cell r="A1584">
            <v>8111</v>
          </cell>
        </row>
        <row r="1585">
          <cell r="A1585">
            <v>8112</v>
          </cell>
        </row>
        <row r="1586">
          <cell r="A1586">
            <v>8113</v>
          </cell>
        </row>
        <row r="1587">
          <cell r="A1587">
            <v>8114</v>
          </cell>
        </row>
        <row r="1588">
          <cell r="A1588">
            <v>8115</v>
          </cell>
        </row>
        <row r="1589">
          <cell r="A1589">
            <v>8116</v>
          </cell>
        </row>
        <row r="1590">
          <cell r="A1590">
            <v>8117</v>
          </cell>
        </row>
        <row r="1591">
          <cell r="A1591">
            <v>8118</v>
          </cell>
        </row>
        <row r="1592">
          <cell r="A1592">
            <v>8119</v>
          </cell>
        </row>
        <row r="1593">
          <cell r="A1593">
            <v>8120</v>
          </cell>
        </row>
        <row r="1594">
          <cell r="A1594">
            <v>8121</v>
          </cell>
        </row>
        <row r="1595">
          <cell r="A1595">
            <v>8122</v>
          </cell>
        </row>
        <row r="1596">
          <cell r="A1596">
            <v>8127</v>
          </cell>
        </row>
        <row r="1597">
          <cell r="A1597">
            <v>8128</v>
          </cell>
        </row>
        <row r="1598">
          <cell r="A1598">
            <v>8129</v>
          </cell>
        </row>
        <row r="1599">
          <cell r="A1599">
            <v>8130</v>
          </cell>
        </row>
        <row r="1600">
          <cell r="A1600">
            <v>8131</v>
          </cell>
        </row>
        <row r="1601">
          <cell r="A1601">
            <v>8132</v>
          </cell>
        </row>
        <row r="1602">
          <cell r="A1602">
            <v>8133</v>
          </cell>
        </row>
        <row r="1603">
          <cell r="A1603">
            <v>8134</v>
          </cell>
        </row>
        <row r="1604">
          <cell r="A1604">
            <v>8135</v>
          </cell>
        </row>
        <row r="1605">
          <cell r="A1605">
            <v>8136</v>
          </cell>
        </row>
        <row r="1606">
          <cell r="A1606">
            <v>8137</v>
          </cell>
        </row>
        <row r="1607">
          <cell r="A1607">
            <v>8138</v>
          </cell>
        </row>
        <row r="1608">
          <cell r="A1608">
            <v>9001</v>
          </cell>
        </row>
        <row r="1609">
          <cell r="A1609">
            <v>9002</v>
          </cell>
        </row>
        <row r="1610">
          <cell r="A1610">
            <v>9003</v>
          </cell>
        </row>
        <row r="1611">
          <cell r="A1611">
            <v>9004</v>
          </cell>
        </row>
        <row r="1612">
          <cell r="A1612">
            <v>9005</v>
          </cell>
        </row>
        <row r="1613">
          <cell r="A1613">
            <v>9006</v>
          </cell>
        </row>
        <row r="1614">
          <cell r="A1614">
            <v>9007</v>
          </cell>
        </row>
        <row r="1615">
          <cell r="A1615">
            <v>9008</v>
          </cell>
        </row>
        <row r="1616">
          <cell r="A1616">
            <v>10101</v>
          </cell>
        </row>
        <row r="1617">
          <cell r="A1617">
            <v>10102</v>
          </cell>
        </row>
        <row r="1618">
          <cell r="A1618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AD25"/>
  <sheetViews>
    <sheetView topLeftCell="C1" workbookViewId="0">
      <selection activeCell="G23" sqref="G23:G24"/>
    </sheetView>
  </sheetViews>
  <sheetFormatPr baseColWidth="12" defaultRowHeight="15" x14ac:dyDescent="0.15"/>
  <cols>
    <col min="2" max="2" width="39.83203125" customWidth="1"/>
    <col min="5" max="5" width="44.6640625" customWidth="1"/>
    <col min="6" max="6" width="31.1640625" customWidth="1"/>
  </cols>
  <sheetData>
    <row r="1" spans="1:30" x14ac:dyDescent="0.15">
      <c r="A1" s="53" t="s">
        <v>40</v>
      </c>
      <c r="B1" s="49" t="s">
        <v>34</v>
      </c>
      <c r="C1" s="49" t="s">
        <v>35</v>
      </c>
      <c r="D1" s="49" t="s">
        <v>36</v>
      </c>
      <c r="E1" s="49" t="s">
        <v>37</v>
      </c>
      <c r="F1" s="49" t="s">
        <v>38</v>
      </c>
      <c r="G1" s="49" t="s">
        <v>39</v>
      </c>
      <c r="H1" s="49"/>
      <c r="I1" s="49"/>
      <c r="J1" s="49"/>
      <c r="K1" s="49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</row>
    <row r="2" spans="1:30" x14ac:dyDescent="0.15">
      <c r="A2" s="144" t="s">
        <v>485</v>
      </c>
      <c r="B2" s="82" t="s">
        <v>254</v>
      </c>
      <c r="C2" s="145">
        <v>39014</v>
      </c>
      <c r="D2" s="51" t="s">
        <v>486</v>
      </c>
      <c r="E2" s="50" t="str">
        <f>B2&amp;C2&amp;D2</f>
        <v>score_attack_expanded_floors_39014.tmp</v>
      </c>
      <c r="F2" s="51" t="s">
        <v>192</v>
      </c>
      <c r="G2" s="52" t="s">
        <v>0</v>
      </c>
      <c r="H2" s="52" t="s">
        <v>1</v>
      </c>
      <c r="I2" s="52" t="s">
        <v>12</v>
      </c>
      <c r="J2" s="69" t="s">
        <v>193</v>
      </c>
      <c r="K2" s="69" t="s">
        <v>194</v>
      </c>
      <c r="L2" s="69" t="s">
        <v>196</v>
      </c>
      <c r="M2" s="51" t="s">
        <v>198</v>
      </c>
      <c r="N2" s="51" t="s">
        <v>200</v>
      </c>
      <c r="O2" s="51" t="s">
        <v>202</v>
      </c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</row>
    <row r="3" spans="1:30" x14ac:dyDescent="0.15">
      <c r="A3" s="144" t="s">
        <v>485</v>
      </c>
      <c r="B3" s="82" t="s">
        <v>203</v>
      </c>
      <c r="C3" s="146">
        <f t="shared" ref="C3:C10" si="0">$C$2</f>
        <v>39014</v>
      </c>
      <c r="D3" s="51" t="s">
        <v>486</v>
      </c>
      <c r="E3" s="50" t="str">
        <f>B3&amp;C3&amp;D3</f>
        <v>score_attack_expanded_stages_39014.tmp</v>
      </c>
      <c r="F3" s="51" t="s">
        <v>204</v>
      </c>
      <c r="G3" s="52" t="s">
        <v>0</v>
      </c>
      <c r="H3" s="52" t="s">
        <v>1</v>
      </c>
      <c r="I3" s="31" t="s">
        <v>79</v>
      </c>
      <c r="J3" s="52"/>
      <c r="K3" s="52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</row>
    <row r="4" spans="1:30" x14ac:dyDescent="0.15">
      <c r="A4" s="144" t="s">
        <v>485</v>
      </c>
      <c r="B4" s="82" t="s">
        <v>255</v>
      </c>
      <c r="C4" s="146">
        <f t="shared" si="0"/>
        <v>39014</v>
      </c>
      <c r="D4" s="51" t="s">
        <v>486</v>
      </c>
      <c r="E4" s="50" t="str">
        <f>B4&amp;C4&amp;D4</f>
        <v>score_attack_params_damage_given_39014.tmp</v>
      </c>
      <c r="F4" s="51" t="s">
        <v>205</v>
      </c>
      <c r="G4" s="52" t="s">
        <v>80</v>
      </c>
      <c r="H4" s="52" t="s">
        <v>81</v>
      </c>
      <c r="I4" s="52" t="s">
        <v>82</v>
      </c>
      <c r="J4" s="52" t="s">
        <v>83</v>
      </c>
      <c r="K4" s="52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</row>
    <row r="5" spans="1:30" x14ac:dyDescent="0.15">
      <c r="A5" s="144" t="s">
        <v>485</v>
      </c>
      <c r="B5" s="82" t="s">
        <v>250</v>
      </c>
      <c r="C5" s="146">
        <f t="shared" si="0"/>
        <v>39014</v>
      </c>
      <c r="D5" s="51" t="s">
        <v>486</v>
      </c>
      <c r="E5" s="50" t="str">
        <f t="shared" ref="E5" si="1">B5&amp;C5&amp;D5</f>
        <v>score_attack_params_heal_39014.tmp</v>
      </c>
      <c r="F5" s="51" t="s">
        <v>251</v>
      </c>
      <c r="G5" s="52" t="s">
        <v>80</v>
      </c>
      <c r="H5" s="52" t="s">
        <v>81</v>
      </c>
      <c r="I5" s="52" t="s">
        <v>82</v>
      </c>
      <c r="J5" s="52" t="s">
        <v>83</v>
      </c>
      <c r="K5" s="52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</row>
    <row r="6" spans="1:30" x14ac:dyDescent="0.15">
      <c r="A6" s="144" t="s">
        <v>485</v>
      </c>
      <c r="B6" s="82" t="s">
        <v>249</v>
      </c>
      <c r="C6" s="146">
        <f t="shared" si="0"/>
        <v>39014</v>
      </c>
      <c r="D6" s="51" t="s">
        <v>486</v>
      </c>
      <c r="E6" s="50" t="str">
        <f t="shared" ref="E6:E7" si="2">B6&amp;C6&amp;D6</f>
        <v>score_attack_stage_evaluations_tmp_39014.tmp</v>
      </c>
      <c r="F6" s="51" t="s">
        <v>206</v>
      </c>
      <c r="G6" s="52" t="s">
        <v>84</v>
      </c>
      <c r="H6" s="52" t="s">
        <v>85</v>
      </c>
      <c r="I6" s="52" t="s">
        <v>86</v>
      </c>
      <c r="J6" s="52" t="s">
        <v>87</v>
      </c>
      <c r="K6" s="52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</row>
    <row r="7" spans="1:30" x14ac:dyDescent="0.15">
      <c r="A7" s="144" t="s">
        <v>485</v>
      </c>
      <c r="B7" s="82" t="s">
        <v>207</v>
      </c>
      <c r="C7" s="146">
        <f t="shared" si="0"/>
        <v>39014</v>
      </c>
      <c r="D7" s="51" t="s">
        <v>486</v>
      </c>
      <c r="E7" s="50" t="str">
        <f t="shared" si="2"/>
        <v>score_attack_stage_evaluations_i18n_39014.tmp</v>
      </c>
      <c r="F7" s="51" t="s">
        <v>206</v>
      </c>
      <c r="G7" s="52" t="s">
        <v>84</v>
      </c>
      <c r="H7" s="81" t="s">
        <v>88</v>
      </c>
      <c r="I7" s="81" t="s">
        <v>89</v>
      </c>
      <c r="J7" s="81" t="s">
        <v>90</v>
      </c>
      <c r="K7" s="52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</row>
    <row r="8" spans="1:30" x14ac:dyDescent="0.15">
      <c r="A8" s="177" t="s">
        <v>485</v>
      </c>
      <c r="B8" s="83" t="s">
        <v>74</v>
      </c>
      <c r="C8" s="146">
        <f t="shared" si="0"/>
        <v>39014</v>
      </c>
      <c r="D8" s="51" t="s">
        <v>486</v>
      </c>
      <c r="E8" s="78" t="str">
        <f>B8&amp;C8&amp;D8</f>
        <v>gifts_tmp_39014.tmp</v>
      </c>
      <c r="F8" s="55" t="s">
        <v>73</v>
      </c>
      <c r="G8" s="79" t="s">
        <v>75</v>
      </c>
      <c r="H8" s="79" t="s">
        <v>65</v>
      </c>
      <c r="I8" s="79" t="s">
        <v>66</v>
      </c>
      <c r="J8" s="79" t="s">
        <v>66</v>
      </c>
      <c r="K8" s="79" t="s">
        <v>66</v>
      </c>
      <c r="L8" s="79" t="s">
        <v>67</v>
      </c>
      <c r="M8" s="79" t="s">
        <v>67</v>
      </c>
      <c r="N8" s="79" t="s">
        <v>67</v>
      </c>
      <c r="O8" s="84" t="s">
        <v>25</v>
      </c>
      <c r="P8" s="84" t="s">
        <v>27</v>
      </c>
      <c r="Q8" s="84" t="s">
        <v>24</v>
      </c>
      <c r="R8" s="84" t="s">
        <v>96</v>
      </c>
      <c r="S8" s="84" t="s">
        <v>26</v>
      </c>
      <c r="T8" s="84" t="s">
        <v>3</v>
      </c>
      <c r="U8" s="84" t="s">
        <v>23</v>
      </c>
    </row>
    <row r="9" spans="1:30" x14ac:dyDescent="0.15">
      <c r="A9" s="177" t="s">
        <v>485</v>
      </c>
      <c r="B9" s="83" t="s">
        <v>76</v>
      </c>
      <c r="C9" s="146">
        <f t="shared" si="0"/>
        <v>39014</v>
      </c>
      <c r="D9" s="51" t="s">
        <v>486</v>
      </c>
      <c r="E9" s="78" t="str">
        <f>B9&amp;C9&amp;D9</f>
        <v>gifts_i18n_39014.tmp</v>
      </c>
      <c r="F9" s="55" t="s">
        <v>73</v>
      </c>
      <c r="G9" s="79" t="s">
        <v>75</v>
      </c>
      <c r="H9" s="79" t="s">
        <v>68</v>
      </c>
      <c r="I9" s="79" t="s">
        <v>77</v>
      </c>
      <c r="J9" s="79" t="s">
        <v>78</v>
      </c>
      <c r="K9" s="79" t="s">
        <v>71</v>
      </c>
      <c r="L9" s="79"/>
      <c r="M9" s="79"/>
      <c r="N9" s="79"/>
      <c r="O9" s="77"/>
    </row>
    <row r="10" spans="1:30" x14ac:dyDescent="0.15">
      <c r="A10" s="144" t="s">
        <v>485</v>
      </c>
      <c r="B10" s="85" t="s">
        <v>253</v>
      </c>
      <c r="C10" s="146">
        <f t="shared" si="0"/>
        <v>39014</v>
      </c>
      <c r="D10" s="51" t="s">
        <v>486</v>
      </c>
      <c r="E10" s="78" t="str">
        <f>B10&amp;C10&amp;D10</f>
        <v>score_attack_stage_evaluation_gifts_39014.tmp</v>
      </c>
      <c r="F10" s="86" t="s">
        <v>209</v>
      </c>
      <c r="G10" s="52" t="s">
        <v>99</v>
      </c>
      <c r="H10" s="52" t="s">
        <v>100</v>
      </c>
      <c r="I10" s="81" t="s">
        <v>101</v>
      </c>
      <c r="J10" s="72" t="s">
        <v>102</v>
      </c>
    </row>
    <row r="11" spans="1:30" x14ac:dyDescent="0.15">
      <c r="A11" s="144" t="s">
        <v>485</v>
      </c>
      <c r="B11" s="85" t="s">
        <v>103</v>
      </c>
      <c r="C11" s="147" t="str">
        <f>REPLACE($C$2,3,0,"0")</f>
        <v>390014</v>
      </c>
      <c r="D11" s="51" t="s">
        <v>486</v>
      </c>
      <c r="E11" s="78" t="str">
        <f t="shared" ref="E11:E12" si="3">B11&amp;C11&amp;D11</f>
        <v>gifts_tmp_390014.tmp</v>
      </c>
      <c r="F11" s="86" t="s">
        <v>248</v>
      </c>
      <c r="G11" s="87" t="s">
        <v>104</v>
      </c>
      <c r="H11" s="87" t="s">
        <v>105</v>
      </c>
      <c r="I11" s="87" t="s">
        <v>106</v>
      </c>
      <c r="J11" s="87" t="s">
        <v>106</v>
      </c>
      <c r="K11" s="87" t="s">
        <v>106</v>
      </c>
      <c r="L11" s="87" t="s">
        <v>107</v>
      </c>
      <c r="M11" s="87" t="s">
        <v>107</v>
      </c>
      <c r="N11" s="87" t="s">
        <v>107</v>
      </c>
      <c r="O11" s="84" t="s">
        <v>25</v>
      </c>
      <c r="P11" s="84" t="s">
        <v>27</v>
      </c>
      <c r="Q11" s="84" t="s">
        <v>24</v>
      </c>
      <c r="R11" s="84" t="s">
        <v>96</v>
      </c>
      <c r="S11" s="84" t="s">
        <v>26</v>
      </c>
      <c r="T11" s="84" t="s">
        <v>3</v>
      </c>
      <c r="U11" s="84" t="s">
        <v>23</v>
      </c>
    </row>
    <row r="12" spans="1:30" x14ac:dyDescent="0.15">
      <c r="A12" s="144" t="s">
        <v>485</v>
      </c>
      <c r="B12" s="85" t="s">
        <v>108</v>
      </c>
      <c r="C12" s="147" t="str">
        <f>REPLACE($C$2,3,0,"0")</f>
        <v>390014</v>
      </c>
      <c r="D12" s="51" t="s">
        <v>486</v>
      </c>
      <c r="E12" s="78" t="str">
        <f t="shared" si="3"/>
        <v>gifts_i18n_390014.tmp</v>
      </c>
      <c r="F12" s="86" t="s">
        <v>208</v>
      </c>
      <c r="G12" s="87" t="s">
        <v>104</v>
      </c>
      <c r="H12" s="87" t="s">
        <v>109</v>
      </c>
      <c r="I12" s="87" t="s">
        <v>110</v>
      </c>
      <c r="J12" s="87" t="s">
        <v>111</v>
      </c>
      <c r="K12" s="87" t="s">
        <v>112</v>
      </c>
      <c r="L12" s="87"/>
      <c r="M12" s="87"/>
      <c r="N12" s="87"/>
      <c r="O12" s="77"/>
    </row>
    <row r="13" spans="1:30" x14ac:dyDescent="0.15">
      <c r="A13" s="144" t="s">
        <v>485</v>
      </c>
      <c r="B13" s="85" t="s">
        <v>219</v>
      </c>
      <c r="C13" s="146">
        <f>$C$2</f>
        <v>39014</v>
      </c>
      <c r="D13" s="51" t="s">
        <v>486</v>
      </c>
      <c r="E13" s="78" t="str">
        <f>B13&amp;C13&amp;D13</f>
        <v>score_attack_unit_bonus_conditions_39014.tmp</v>
      </c>
      <c r="F13" s="86" t="s">
        <v>218</v>
      </c>
      <c r="G13" s="87" t="s">
        <v>210</v>
      </c>
      <c r="H13" s="87" t="s">
        <v>0</v>
      </c>
      <c r="I13" s="87" t="s">
        <v>1</v>
      </c>
      <c r="J13" s="87" t="s">
        <v>211</v>
      </c>
      <c r="K13" s="87" t="s">
        <v>212</v>
      </c>
      <c r="L13" s="87" t="s">
        <v>213</v>
      </c>
      <c r="M13" s="87" t="s">
        <v>214</v>
      </c>
      <c r="N13" s="87" t="s">
        <v>215</v>
      </c>
      <c r="O13" s="77" t="s">
        <v>216</v>
      </c>
    </row>
    <row r="14" spans="1:30" x14ac:dyDescent="0.15">
      <c r="A14" s="148" t="s">
        <v>485</v>
      </c>
      <c r="B14" s="172" t="s">
        <v>256</v>
      </c>
      <c r="C14" s="171">
        <f>C$2</f>
        <v>39014</v>
      </c>
      <c r="D14" s="51" t="s">
        <v>486</v>
      </c>
      <c r="E14" s="50" t="str">
        <f>B14&amp;C14&amp;D14</f>
        <v>floors_39014.tmp</v>
      </c>
      <c r="F14" s="51" t="s">
        <v>257</v>
      </c>
      <c r="G14" s="52" t="s">
        <v>0</v>
      </c>
      <c r="H14" s="52" t="s">
        <v>1</v>
      </c>
      <c r="I14" s="52" t="s">
        <v>12</v>
      </c>
      <c r="J14" s="52" t="s">
        <v>13</v>
      </c>
      <c r="K14" s="52" t="s">
        <v>14</v>
      </c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</row>
    <row r="15" spans="1:30" x14ac:dyDescent="0.15">
      <c r="A15" s="148" t="s">
        <v>485</v>
      </c>
      <c r="B15" s="172" t="s">
        <v>258</v>
      </c>
      <c r="C15" s="171">
        <f>C$2</f>
        <v>39014</v>
      </c>
      <c r="D15" s="51" t="s">
        <v>486</v>
      </c>
      <c r="E15" s="50" t="str">
        <f>B15&amp;C15&amp;D15</f>
        <v>enemy_habitats_39014.tmp</v>
      </c>
      <c r="F15" s="51" t="s">
        <v>259</v>
      </c>
      <c r="G15" s="52" t="s">
        <v>0</v>
      </c>
      <c r="H15" s="52" t="s">
        <v>1</v>
      </c>
      <c r="I15" s="52" t="s">
        <v>12</v>
      </c>
      <c r="J15" s="52" t="s">
        <v>2</v>
      </c>
      <c r="K15" s="52" t="s">
        <v>3</v>
      </c>
      <c r="L15" s="52" t="s">
        <v>260</v>
      </c>
      <c r="M15" s="52" t="s">
        <v>261</v>
      </c>
      <c r="N15" s="52" t="s">
        <v>262</v>
      </c>
      <c r="O15" s="52" t="s">
        <v>263</v>
      </c>
      <c r="P15" s="52" t="s">
        <v>4</v>
      </c>
      <c r="Q15" s="52" t="s">
        <v>5</v>
      </c>
      <c r="R15" s="52" t="s">
        <v>6</v>
      </c>
      <c r="S15" s="52" t="s">
        <v>7</v>
      </c>
      <c r="T15" s="52" t="s">
        <v>8</v>
      </c>
      <c r="U15" s="52" t="s">
        <v>9</v>
      </c>
      <c r="V15" s="52" t="s">
        <v>10</v>
      </c>
      <c r="W15" s="52" t="s">
        <v>11</v>
      </c>
      <c r="X15" s="52" t="s">
        <v>23</v>
      </c>
      <c r="Y15" s="52" t="s">
        <v>24</v>
      </c>
      <c r="Z15" s="52" t="s">
        <v>25</v>
      </c>
      <c r="AA15" s="52" t="s">
        <v>26</v>
      </c>
      <c r="AB15" s="52" t="s">
        <v>27</v>
      </c>
      <c r="AC15" s="52" t="s">
        <v>264</v>
      </c>
      <c r="AD15" s="52" t="s">
        <v>265</v>
      </c>
    </row>
    <row r="16" spans="1:30" x14ac:dyDescent="0.15">
      <c r="A16" s="148" t="s">
        <v>485</v>
      </c>
      <c r="B16" s="172" t="s">
        <v>266</v>
      </c>
      <c r="C16" s="171">
        <f t="shared" ref="C16:C25" si="4">C$2</f>
        <v>39014</v>
      </c>
      <c r="D16" s="51" t="s">
        <v>486</v>
      </c>
      <c r="E16" s="50" t="str">
        <f>B16&amp;C16&amp;D16</f>
        <v>enemy_habitat_S_39014.tmp</v>
      </c>
      <c r="F16" s="51" t="s">
        <v>267</v>
      </c>
      <c r="G16" s="52" t="s">
        <v>0</v>
      </c>
      <c r="H16" s="52" t="s">
        <v>1</v>
      </c>
      <c r="I16" s="52" t="s">
        <v>12</v>
      </c>
      <c r="J16" s="52" t="s">
        <v>268</v>
      </c>
      <c r="K16" s="52" t="s">
        <v>269</v>
      </c>
      <c r="L16" s="52" t="s">
        <v>270</v>
      </c>
      <c r="M16" s="52" t="s">
        <v>271</v>
      </c>
      <c r="N16" s="52" t="s">
        <v>272</v>
      </c>
      <c r="O16" s="52" t="s">
        <v>273</v>
      </c>
      <c r="P16" s="52" t="s">
        <v>274</v>
      </c>
      <c r="Q16" s="52" t="s">
        <v>275</v>
      </c>
      <c r="R16" s="52" t="s">
        <v>276</v>
      </c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</row>
    <row r="17" spans="1:30" x14ac:dyDescent="0.15">
      <c r="A17" s="148" t="s">
        <v>485</v>
      </c>
      <c r="B17" s="172" t="s">
        <v>277</v>
      </c>
      <c r="C17" s="171">
        <f t="shared" si="4"/>
        <v>39014</v>
      </c>
      <c r="D17" s="51" t="s">
        <v>486</v>
      </c>
      <c r="E17" s="50" t="str">
        <f>B17&amp;C17&amp;D17</f>
        <v>enemy_skill_sets_39014.tmp</v>
      </c>
      <c r="F17" s="51" t="s">
        <v>278</v>
      </c>
      <c r="G17" s="150" t="s">
        <v>263</v>
      </c>
      <c r="H17" s="150" t="s">
        <v>279</v>
      </c>
      <c r="I17" s="150" t="s">
        <v>280</v>
      </c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</row>
    <row r="18" spans="1:30" x14ac:dyDescent="0.15">
      <c r="A18" s="148" t="s">
        <v>485</v>
      </c>
      <c r="B18" s="172" t="s">
        <v>281</v>
      </c>
      <c r="C18" s="171">
        <f t="shared" si="4"/>
        <v>39014</v>
      </c>
      <c r="D18" s="51" t="s">
        <v>486</v>
      </c>
      <c r="E18" s="50" t="str">
        <f t="shared" ref="E18:E25" si="5">B18&amp;C18&amp;D18</f>
        <v>enemy_skills_tmp_39014.tmp</v>
      </c>
      <c r="F18" s="51" t="s">
        <v>282</v>
      </c>
      <c r="G18" s="52" t="s">
        <v>31</v>
      </c>
      <c r="H18" s="52" t="s">
        <v>283</v>
      </c>
      <c r="I18" s="52" t="s">
        <v>32</v>
      </c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</row>
    <row r="19" spans="1:30" x14ac:dyDescent="0.15">
      <c r="A19" s="148" t="s">
        <v>485</v>
      </c>
      <c r="B19" s="172" t="s">
        <v>284</v>
      </c>
      <c r="C19" s="171">
        <f t="shared" si="4"/>
        <v>39014</v>
      </c>
      <c r="D19" s="51" t="s">
        <v>486</v>
      </c>
      <c r="E19" s="50" t="str">
        <f>B19&amp;C19&amp;D19</f>
        <v>enemy_skills_i18n_39014.tmp</v>
      </c>
      <c r="F19" s="51" t="s">
        <v>285</v>
      </c>
      <c r="G19" s="52" t="s">
        <v>31</v>
      </c>
      <c r="H19" s="52" t="s">
        <v>286</v>
      </c>
      <c r="I19" s="52" t="s">
        <v>287</v>
      </c>
      <c r="J19" s="52" t="s">
        <v>288</v>
      </c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</row>
    <row r="20" spans="1:30" x14ac:dyDescent="0.15">
      <c r="A20" s="148" t="s">
        <v>485</v>
      </c>
      <c r="B20" s="172" t="s">
        <v>289</v>
      </c>
      <c r="C20" s="171">
        <f t="shared" si="4"/>
        <v>39014</v>
      </c>
      <c r="D20" s="51" t="s">
        <v>486</v>
      </c>
      <c r="E20" s="50" t="str">
        <f t="shared" si="5"/>
        <v>enemy_skill_triggers_39014.tmp</v>
      </c>
      <c r="F20" s="51" t="s">
        <v>290</v>
      </c>
      <c r="G20" s="52" t="s">
        <v>280</v>
      </c>
      <c r="H20" s="52" t="s">
        <v>291</v>
      </c>
      <c r="I20" s="52" t="s">
        <v>292</v>
      </c>
      <c r="J20" s="52" t="s">
        <v>293</v>
      </c>
      <c r="K20" s="52" t="s">
        <v>294</v>
      </c>
      <c r="L20" s="52" t="s">
        <v>295</v>
      </c>
      <c r="M20" s="52" t="s">
        <v>296</v>
      </c>
      <c r="N20" s="52" t="s">
        <v>297</v>
      </c>
      <c r="O20" s="52" t="s">
        <v>298</v>
      </c>
      <c r="P20" s="52" t="s">
        <v>299</v>
      </c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</row>
    <row r="21" spans="1:30" x14ac:dyDescent="0.15">
      <c r="A21" s="148" t="s">
        <v>485</v>
      </c>
      <c r="B21" s="173" t="s">
        <v>300</v>
      </c>
      <c r="C21" s="171">
        <f t="shared" si="4"/>
        <v>39014</v>
      </c>
      <c r="D21" s="51" t="s">
        <v>486</v>
      </c>
      <c r="E21" s="151" t="str">
        <f t="shared" si="5"/>
        <v>stage_bug_bonuses_39014.tmp</v>
      </c>
      <c r="F21" s="55" t="s">
        <v>301</v>
      </c>
      <c r="G21" s="152" t="s">
        <v>302</v>
      </c>
      <c r="H21" s="152" t="s">
        <v>303</v>
      </c>
      <c r="I21" s="152" t="s">
        <v>304</v>
      </c>
      <c r="J21" s="153" t="s">
        <v>305</v>
      </c>
      <c r="K21" s="152" t="s">
        <v>306</v>
      </c>
      <c r="L21" s="152" t="s">
        <v>307</v>
      </c>
      <c r="M21" s="152" t="s">
        <v>308</v>
      </c>
      <c r="N21" s="152" t="s">
        <v>271</v>
      </c>
      <c r="O21" s="152" t="s">
        <v>309</v>
      </c>
      <c r="P21" s="152" t="s">
        <v>310</v>
      </c>
      <c r="Q21" s="152" t="s">
        <v>311</v>
      </c>
      <c r="R21" s="152" t="s">
        <v>312</v>
      </c>
      <c r="S21" s="152" t="s">
        <v>313</v>
      </c>
      <c r="T21" s="152" t="s">
        <v>314</v>
      </c>
      <c r="U21" s="152" t="s">
        <v>315</v>
      </c>
      <c r="V21" s="152" t="s">
        <v>316</v>
      </c>
      <c r="W21" s="152" t="s">
        <v>317</v>
      </c>
      <c r="X21" s="51"/>
      <c r="Y21" s="51"/>
      <c r="Z21" s="51"/>
      <c r="AA21" s="51"/>
      <c r="AB21" s="51"/>
      <c r="AC21" s="51"/>
      <c r="AD21" s="51"/>
    </row>
    <row r="22" spans="1:30" x14ac:dyDescent="0.15">
      <c r="A22" s="148" t="s">
        <v>485</v>
      </c>
      <c r="B22" s="173" t="s">
        <v>318</v>
      </c>
      <c r="C22" s="171">
        <f>C$2</f>
        <v>39014</v>
      </c>
      <c r="D22" s="51" t="s">
        <v>486</v>
      </c>
      <c r="E22" s="151" t="str">
        <f t="shared" si="5"/>
        <v>stage_hints_data_c_39014.tmp</v>
      </c>
      <c r="F22" s="55" t="s">
        <v>319</v>
      </c>
      <c r="G22" s="57" t="s">
        <v>302</v>
      </c>
      <c r="H22" s="57" t="s">
        <v>303</v>
      </c>
      <c r="I22" s="154" t="s">
        <v>320</v>
      </c>
      <c r="J22" s="153" t="s">
        <v>321</v>
      </c>
      <c r="K22" s="153" t="s">
        <v>322</v>
      </c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</row>
    <row r="23" spans="1:30" x14ac:dyDescent="0.15">
      <c r="A23" s="148" t="s">
        <v>485</v>
      </c>
      <c r="B23" s="173" t="s">
        <v>323</v>
      </c>
      <c r="C23" s="171">
        <f t="shared" si="4"/>
        <v>39014</v>
      </c>
      <c r="D23" s="51" t="s">
        <v>486</v>
      </c>
      <c r="E23" s="151" t="str">
        <f t="shared" si="5"/>
        <v>stage_hints_data_f_39014.tmp</v>
      </c>
      <c r="F23" s="55" t="s">
        <v>324</v>
      </c>
      <c r="G23" s="57" t="s">
        <v>302</v>
      </c>
      <c r="H23" s="57" t="s">
        <v>303</v>
      </c>
      <c r="I23" s="154" t="s">
        <v>320</v>
      </c>
      <c r="J23" s="153" t="s">
        <v>321</v>
      </c>
      <c r="K23" s="153" t="s">
        <v>322</v>
      </c>
      <c r="L23" s="198" t="s">
        <v>596</v>
      </c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</row>
    <row r="24" spans="1:30" x14ac:dyDescent="0.15">
      <c r="A24" s="148" t="s">
        <v>485</v>
      </c>
      <c r="B24" s="173" t="s">
        <v>325</v>
      </c>
      <c r="C24" s="171">
        <f t="shared" si="4"/>
        <v>39014</v>
      </c>
      <c r="D24" s="51" t="s">
        <v>486</v>
      </c>
      <c r="E24" s="151" t="str">
        <f t="shared" si="5"/>
        <v>stage_hints_i18n_39014.tmp</v>
      </c>
      <c r="F24" s="55" t="s">
        <v>324</v>
      </c>
      <c r="G24" s="154" t="s">
        <v>320</v>
      </c>
      <c r="H24" s="156" t="s">
        <v>326</v>
      </c>
      <c r="I24" s="57" t="s">
        <v>327</v>
      </c>
      <c r="J24" s="157" t="s">
        <v>328</v>
      </c>
      <c r="K24" s="153" t="s">
        <v>329</v>
      </c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</row>
    <row r="25" spans="1:30" x14ac:dyDescent="0.15">
      <c r="A25" s="148" t="s">
        <v>485</v>
      </c>
      <c r="B25" s="173" t="s">
        <v>330</v>
      </c>
      <c r="C25" s="171">
        <f t="shared" si="4"/>
        <v>39014</v>
      </c>
      <c r="D25" s="51" t="s">
        <v>486</v>
      </c>
      <c r="E25" s="151" t="str">
        <f t="shared" si="5"/>
        <v>stage_bonuses_39014.tmp</v>
      </c>
      <c r="F25" s="55" t="s">
        <v>331</v>
      </c>
      <c r="G25" s="57" t="s">
        <v>332</v>
      </c>
      <c r="H25" s="57" t="s">
        <v>333</v>
      </c>
      <c r="I25" s="57" t="s">
        <v>334</v>
      </c>
      <c r="J25" s="57" t="s">
        <v>335</v>
      </c>
      <c r="K25" s="57" t="s">
        <v>336</v>
      </c>
      <c r="L25" s="57" t="s">
        <v>337</v>
      </c>
      <c r="M25" s="57" t="s">
        <v>338</v>
      </c>
      <c r="N25" s="57" t="s">
        <v>339</v>
      </c>
      <c r="O25" s="57" t="s">
        <v>340</v>
      </c>
      <c r="P25" s="57" t="s">
        <v>341</v>
      </c>
      <c r="Q25" s="57" t="s">
        <v>342</v>
      </c>
      <c r="R25" s="57" t="s">
        <v>343</v>
      </c>
      <c r="S25" s="57" t="s">
        <v>344</v>
      </c>
      <c r="T25" s="57" t="s">
        <v>345</v>
      </c>
      <c r="U25" s="57" t="s">
        <v>346</v>
      </c>
      <c r="V25" s="57" t="s">
        <v>347</v>
      </c>
      <c r="W25" s="57" t="s">
        <v>348</v>
      </c>
      <c r="X25" s="57" t="s">
        <v>349</v>
      </c>
      <c r="Y25" s="155"/>
      <c r="Z25" s="155"/>
      <c r="AA25" s="155"/>
      <c r="AB25" s="155"/>
      <c r="AC25" s="155"/>
      <c r="AD25" s="155"/>
    </row>
  </sheetData>
  <phoneticPr fontId="12"/>
  <dataValidations count="1">
    <dataValidation type="list" allowBlank="1" showInputMessage="1" showErrorMessage="1" sqref="A2:A25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Q7"/>
  <sheetViews>
    <sheetView showGridLines="0" topLeftCell="C1" workbookViewId="0">
      <pane ySplit="1" topLeftCell="A2" activePane="bottomLeft" state="frozen"/>
      <selection activeCell="V2" sqref="V2:X34"/>
      <selection pane="bottomLeft" activeCell="O4" sqref="O4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7.664062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27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5" width="13" style="3"/>
    <col min="16" max="16" width="18" style="3" customWidth="1"/>
    <col min="17" max="16384" width="13" style="3"/>
  </cols>
  <sheetData>
    <row r="1" spans="1:17" ht="21" customHeight="1" x14ac:dyDescent="0.15">
      <c r="A1" s="14" t="s">
        <v>18</v>
      </c>
      <c r="B1" s="14" t="s">
        <v>22</v>
      </c>
      <c r="C1" s="1" t="s">
        <v>0</v>
      </c>
      <c r="D1" s="2" t="s">
        <v>16</v>
      </c>
      <c r="E1" s="13" t="s">
        <v>20</v>
      </c>
      <c r="F1" s="1" t="s">
        <v>1</v>
      </c>
      <c r="G1" s="20" t="s">
        <v>19</v>
      </c>
      <c r="H1" s="13" t="s">
        <v>21</v>
      </c>
      <c r="I1" s="1" t="s">
        <v>12</v>
      </c>
      <c r="J1" s="108" t="s">
        <v>13</v>
      </c>
      <c r="K1" s="108" t="s">
        <v>14</v>
      </c>
      <c r="L1" s="69" t="s">
        <v>193</v>
      </c>
      <c r="M1" s="69" t="s">
        <v>194</v>
      </c>
      <c r="N1" s="69" t="s">
        <v>195</v>
      </c>
      <c r="O1" s="69" t="s">
        <v>197</v>
      </c>
      <c r="P1" s="69" t="s">
        <v>199</v>
      </c>
      <c r="Q1" s="69" t="s">
        <v>201</v>
      </c>
    </row>
    <row r="2" spans="1:17" ht="21" customHeight="1" x14ac:dyDescent="0.15">
      <c r="A2" s="14" t="str">
        <f>G2&amp;"-"&amp;I2</f>
        <v>39014_2-1</v>
      </c>
      <c r="B2" s="14" t="str">
        <f>IF(COUNTIF(enemy_habitats!$H:$H,A2),"OK","NG")</f>
        <v>OK</v>
      </c>
      <c r="C2" s="7">
        <f>output!C2</f>
        <v>39014</v>
      </c>
      <c r="D2" s="10" t="str">
        <f ca="1">VLOOKUP($C2,OFFSET([2]quests!$A$1,0,0,COUNTA([2]quests!$A:$A),MATCH(D$1,[2]quests!$1:$1,0)-MATCH($C$1,[2]quests!$1:$1,0)+1),MATCH(D$1,[2]quests!$1:$1,0)-MATCH($C$1,[2]quests!$1:$1,0)+1,FALSE)</f>
        <v>金券</v>
      </c>
      <c r="E2" s="16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18">
        <v>2</v>
      </c>
      <c r="G2" s="20" t="str">
        <f>C2&amp;"_"&amp;F2</f>
        <v>39014_2</v>
      </c>
      <c r="H2" s="13" t="str">
        <f ca="1">VLOOKUP($G2,OFFSET([2]stages!$A$1,0,0,COUNTA([2]stages!$A:$A),MATCH(H$1,[2]stages!$2:$2,0)-MATCH($G$1,[2]stages!$2:$2,0)+1),MATCH(H$1,[2]stages!$2:$2,0)-MATCH($G$1,[2]stages!$2:$2,0)+1,FALSE)</f>
        <v>【超級】金券(スコアアタック)</v>
      </c>
      <c r="I2" s="18">
        <v>1</v>
      </c>
      <c r="J2" s="109">
        <v>60</v>
      </c>
      <c r="K2" s="109">
        <v>60</v>
      </c>
      <c r="L2" s="117">
        <v>3901411</v>
      </c>
      <c r="M2" s="117">
        <v>3901411</v>
      </c>
      <c r="N2" s="56">
        <v>5</v>
      </c>
      <c r="O2" s="56">
        <v>-50000</v>
      </c>
      <c r="P2" s="56">
        <v>1200000</v>
      </c>
      <c r="Q2" s="56">
        <v>300000</v>
      </c>
    </row>
    <row r="3" spans="1:17" ht="21" customHeight="1" x14ac:dyDescent="0.15">
      <c r="A3" s="14" t="str">
        <f t="shared" ref="A3:A4" si="0">G3&amp;"-"&amp;I3</f>
        <v>39014_2-2</v>
      </c>
      <c r="B3" s="14" t="str">
        <f>IF(COUNTIF(enemy_habitats!$H:$H,A3),"OK","NG")</f>
        <v>OK</v>
      </c>
      <c r="C3" s="7">
        <f>$C$2</f>
        <v>39014</v>
      </c>
      <c r="D3" s="10" t="str">
        <f ca="1">VLOOKUP($C3,OFFSET([2]quests!$A$1,0,0,COUNTA([2]quests!$A:$A),MATCH(D$1,[2]quests!$1:$1,0)-MATCH($C$1,[2]quests!$1:$1,0)+1),MATCH(D$1,[2]quests!$1:$1,0)-MATCH($C$1,[2]quests!$1:$1,0)+1,FALSE)</f>
        <v>金券</v>
      </c>
      <c r="E3" s="16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18">
        <v>2</v>
      </c>
      <c r="G3" s="20" t="str">
        <f t="shared" ref="G3:G4" si="1">C3&amp;"_"&amp;F3</f>
        <v>39014_2</v>
      </c>
      <c r="H3" s="13" t="str">
        <f ca="1">VLOOKUP($G3,OFFSET([2]stages!$A$1,0,0,COUNTA([2]stages!$A:$A),MATCH(H$1,[2]stages!$2:$2,0)-MATCH($G$1,[2]stages!$2:$2,0)+1),MATCH(H$1,[2]stages!$2:$2,0)-MATCH($G$1,[2]stages!$2:$2,0)+1,FALSE)</f>
        <v>【超級】金券(スコアアタック)</v>
      </c>
      <c r="I3" s="18">
        <v>2</v>
      </c>
      <c r="J3" s="109">
        <v>60</v>
      </c>
      <c r="K3" s="109">
        <v>60</v>
      </c>
      <c r="L3" s="117">
        <v>3901412</v>
      </c>
      <c r="M3" s="117">
        <v>3901412</v>
      </c>
      <c r="N3" s="56">
        <v>4</v>
      </c>
      <c r="O3" s="56">
        <v>-150000</v>
      </c>
      <c r="P3" s="56">
        <v>1500000</v>
      </c>
      <c r="Q3" s="56">
        <v>300000</v>
      </c>
    </row>
    <row r="4" spans="1:17" ht="21" customHeight="1" x14ac:dyDescent="0.15">
      <c r="A4" s="194" t="str">
        <f t="shared" si="0"/>
        <v>39014_2-3</v>
      </c>
      <c r="B4" s="194" t="str">
        <f>IF(COUNTIF(enemy_habitats!$H:$H,A4),"OK","NG")</f>
        <v>OK</v>
      </c>
      <c r="C4" s="134">
        <f t="shared" ref="C4" si="2">$C$2</f>
        <v>39014</v>
      </c>
      <c r="D4" s="16" t="str">
        <f ca="1">VLOOKUP($C4,OFFSET([2]quests!$A$1,0,0,COUNTA([2]quests!$A:$A),MATCH(D$1,[2]quests!$1:$1,0)-MATCH($C$1,[2]quests!$1:$1,0)+1),MATCH(D$1,[2]quests!$1:$1,0)-MATCH($C$1,[2]quests!$1:$1,0)+1,FALSE)</f>
        <v>金券</v>
      </c>
      <c r="E4" s="16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95">
        <v>2</v>
      </c>
      <c r="G4" s="20" t="str">
        <f t="shared" si="1"/>
        <v>39014_2</v>
      </c>
      <c r="H4" s="13" t="str">
        <f ca="1">VLOOKUP($G4,OFFSET([2]stages!$A$1,0,0,COUNTA([2]stages!$A:$A),MATCH(H$1,[2]stages!$2:$2,0)-MATCH($G$1,[2]stages!$2:$2,0)+1),MATCH(H$1,[2]stages!$2:$2,0)-MATCH($G$1,[2]stages!$2:$2,0)+1,FALSE)</f>
        <v>【超級】金券(スコアアタック)</v>
      </c>
      <c r="I4" s="95">
        <v>3</v>
      </c>
      <c r="J4" s="195">
        <v>60</v>
      </c>
      <c r="K4" s="195">
        <v>60</v>
      </c>
      <c r="L4" s="117">
        <v>3901413</v>
      </c>
      <c r="M4" s="117">
        <v>3901413</v>
      </c>
      <c r="N4" s="56">
        <v>5</v>
      </c>
      <c r="O4" s="56">
        <v>-200000</v>
      </c>
      <c r="P4" s="56">
        <v>2500000</v>
      </c>
      <c r="Q4" s="56">
        <v>500000</v>
      </c>
    </row>
    <row r="7" spans="1:17" ht="21" customHeight="1" x14ac:dyDescent="0.15">
      <c r="D7" s="3" t="s">
        <v>252</v>
      </c>
    </row>
  </sheetData>
  <sheetProtection selectLockedCells="1" selectUnlockedCells="1"/>
  <phoneticPr fontId="12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topLeftCell="E1" workbookViewId="0">
      <selection activeCell="G3" sqref="G3"/>
    </sheetView>
  </sheetViews>
  <sheetFormatPr baseColWidth="12" defaultRowHeight="15" outlineLevelCol="1" x14ac:dyDescent="0.15"/>
  <cols>
    <col min="1" max="1" width="9" style="3" customWidth="1"/>
    <col min="2" max="2" width="16" style="3" customWidth="1" outlineLevel="1"/>
    <col min="3" max="3" width="13" style="3" customWidth="1" outlineLevel="1"/>
    <col min="4" max="4" width="8" style="3" customWidth="1"/>
    <col min="5" max="5" width="11.6640625" style="17" customWidth="1" outlineLevel="1"/>
    <col min="6" max="6" width="25.6640625" style="3" customWidth="1" outlineLevel="1"/>
    <col min="7" max="7" width="12.83203125" style="3" customWidth="1"/>
  </cols>
  <sheetData>
    <row r="1" spans="1:7" ht="24" customHeight="1" x14ac:dyDescent="0.15">
      <c r="A1" s="1" t="s">
        <v>0</v>
      </c>
      <c r="B1" s="2" t="s">
        <v>15</v>
      </c>
      <c r="C1" s="13" t="s">
        <v>20</v>
      </c>
      <c r="D1" s="1" t="s">
        <v>1</v>
      </c>
      <c r="E1" s="20" t="s">
        <v>17</v>
      </c>
      <c r="F1" s="13" t="s">
        <v>15</v>
      </c>
      <c r="G1" s="1" t="s">
        <v>79</v>
      </c>
    </row>
    <row r="2" spans="1:7" ht="24" customHeight="1" x14ac:dyDescent="0.15">
      <c r="A2" s="7">
        <f>output!C2</f>
        <v>39014</v>
      </c>
      <c r="B2" s="10" t="str">
        <f ca="1">VLOOKUP($A2,OFFSET([2]quests!$A$1,0,0,COUNTA([2]quests!$A:$A),MATCH(B$1,[2]quests!$1:$1,0)-MATCH($A$1,[2]quests!$1:$1,0)+1),MATCH(B$1,[2]quests!$1:$1,0)-MATCH($A$1,[2]quests!$1:$1,0)+1,FALSE)</f>
        <v>金券</v>
      </c>
      <c r="C2" s="16">
        <f ca="1">VLOOKUP($A2,OFFSET([2]quests!$A$1,0,0,COUNTA([2]quests!$A:$A),MATCH(C$1,[2]quests!$1:$1,0)-MATCH($C$1,[2]quests!$1:$1,0)+1),MATCH(C$1,[2]quests!$1:$1,0)-MATCH($C$1,[2]quests!$1:$1,0)+1,FALSE)</f>
        <v>39014</v>
      </c>
      <c r="D2" s="18">
        <v>2</v>
      </c>
      <c r="E2" s="20" t="str">
        <f>A2&amp;"_"&amp;D2</f>
        <v>39014_2</v>
      </c>
      <c r="F2" s="13" t="str">
        <f ca="1">VLOOKUP($E2,OFFSET([2]stages!$A$1,0,0,COUNTA([2]stages!$A:$A),MATCH(F$1,[2]stages!$2:$2,0)-MATCH($E$1,[2]stages!$2:$2,0)+1),MATCH(F$1,[2]stages!$2:$2,0)-MATCH($E$1,[2]stages!$2:$2,0)+1,FALSE)</f>
        <v>【超級】金券(スコアアタック)</v>
      </c>
      <c r="G2" s="92">
        <v>2000000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I23"/>
  <sheetViews>
    <sheetView workbookViewId="0">
      <selection activeCell="D4" sqref="D4"/>
    </sheetView>
  </sheetViews>
  <sheetFormatPr baseColWidth="12" defaultRowHeight="15" x14ac:dyDescent="0.15"/>
  <cols>
    <col min="5" max="5" width="13.83203125" bestFit="1" customWidth="1"/>
    <col min="11" max="11" width="12.83203125" customWidth="1"/>
  </cols>
  <sheetData>
    <row r="1" spans="1:9" x14ac:dyDescent="0.15">
      <c r="A1" s="52" t="s">
        <v>427</v>
      </c>
      <c r="B1" s="52" t="s">
        <v>472</v>
      </c>
      <c r="C1" s="52" t="s">
        <v>187</v>
      </c>
      <c r="D1" s="52" t="s">
        <v>188</v>
      </c>
      <c r="E1" s="52" t="s">
        <v>189</v>
      </c>
      <c r="F1" s="52" t="s">
        <v>190</v>
      </c>
      <c r="G1" s="52" t="s">
        <v>191</v>
      </c>
    </row>
    <row r="2" spans="1:9" x14ac:dyDescent="0.15">
      <c r="A2" s="171">
        <f>output!C2</f>
        <v>39014</v>
      </c>
      <c r="B2" s="149">
        <v>11</v>
      </c>
      <c r="C2" s="175" t="str">
        <f>A2&amp;B2</f>
        <v>3901411</v>
      </c>
      <c r="D2" s="104">
        <v>0</v>
      </c>
      <c r="E2" s="99">
        <v>0</v>
      </c>
      <c r="F2" s="100">
        <f>(E3-E2)/(D3-D2)</f>
        <v>2.6666666666666665</v>
      </c>
      <c r="G2" s="96">
        <f t="shared" ref="G2:G3" si="0">E2-F2*D2</f>
        <v>0</v>
      </c>
      <c r="I2">
        <f t="shared" ref="I2:I16" si="1">D2*F2+G2</f>
        <v>0</v>
      </c>
    </row>
    <row r="3" spans="1:9" x14ac:dyDescent="0.15">
      <c r="A3" s="171">
        <f>$A$2</f>
        <v>39014</v>
      </c>
      <c r="B3" s="171">
        <f>$B$2</f>
        <v>11</v>
      </c>
      <c r="C3" s="175" t="str">
        <f>$C$2</f>
        <v>3901411</v>
      </c>
      <c r="D3" s="104">
        <v>300000</v>
      </c>
      <c r="E3" s="99">
        <v>800000</v>
      </c>
      <c r="F3" s="100">
        <f>(E4-E3)/(D4-D3)</f>
        <v>0.82222222222222219</v>
      </c>
      <c r="G3" s="96">
        <f t="shared" si="0"/>
        <v>553333.33333333337</v>
      </c>
      <c r="H3" s="97">
        <v>1</v>
      </c>
      <c r="I3">
        <f t="shared" si="1"/>
        <v>800000</v>
      </c>
    </row>
    <row r="4" spans="1:9" x14ac:dyDescent="0.15">
      <c r="A4" s="171">
        <f t="shared" ref="A4:A16" si="2">$A$2</f>
        <v>39014</v>
      </c>
      <c r="B4" s="171">
        <f t="shared" ref="B4" si="3">$B$2</f>
        <v>11</v>
      </c>
      <c r="C4" s="175" t="str">
        <f t="shared" ref="C4" si="4">$C$2</f>
        <v>3901411</v>
      </c>
      <c r="D4" s="106">
        <v>750000</v>
      </c>
      <c r="E4" s="99">
        <v>1170000</v>
      </c>
      <c r="F4" s="98">
        <v>0.03</v>
      </c>
      <c r="G4" s="96">
        <f>E4-F4*D4</f>
        <v>1147500</v>
      </c>
      <c r="H4" s="97">
        <v>1.2</v>
      </c>
      <c r="I4">
        <f t="shared" si="1"/>
        <v>1170000</v>
      </c>
    </row>
    <row r="5" spans="1:9" x14ac:dyDescent="0.15">
      <c r="A5" s="171">
        <f t="shared" si="2"/>
        <v>39014</v>
      </c>
      <c r="B5" s="149">
        <v>12</v>
      </c>
      <c r="C5" s="174" t="str">
        <f>A5&amp;B5</f>
        <v>3901412</v>
      </c>
      <c r="D5" s="105">
        <v>0</v>
      </c>
      <c r="E5" s="99">
        <v>0</v>
      </c>
      <c r="F5" s="100">
        <f t="shared" ref="F5:F6" si="5">(E6-E5)/(D6-D5)</f>
        <v>2.5455844122715714</v>
      </c>
      <c r="G5" s="96">
        <f t="shared" ref="G5:G6" si="6">E5-F5*D5</f>
        <v>0</v>
      </c>
      <c r="I5">
        <f t="shared" si="1"/>
        <v>0</v>
      </c>
    </row>
    <row r="6" spans="1:9" x14ac:dyDescent="0.15">
      <c r="A6" s="171">
        <f t="shared" si="2"/>
        <v>39014</v>
      </c>
      <c r="B6" s="171">
        <f>$B$5</f>
        <v>12</v>
      </c>
      <c r="C6" s="174" t="str">
        <f>$C$5</f>
        <v>3901412</v>
      </c>
      <c r="D6" s="105">
        <v>180000</v>
      </c>
      <c r="E6" s="99">
        <f>D6*SQRT(F19)*1.8</f>
        <v>458205.19420888287</v>
      </c>
      <c r="F6" s="100">
        <f t="shared" si="5"/>
        <v>7.5858415485692774</v>
      </c>
      <c r="G6" s="96">
        <f t="shared" si="6"/>
        <v>-907246.28453358717</v>
      </c>
      <c r="H6" s="97">
        <v>1</v>
      </c>
      <c r="I6">
        <f t="shared" si="1"/>
        <v>458205.19420888287</v>
      </c>
    </row>
    <row r="7" spans="1:9" x14ac:dyDescent="0.15">
      <c r="A7" s="171">
        <f t="shared" si="2"/>
        <v>39014</v>
      </c>
      <c r="B7" s="171">
        <f t="shared" ref="B7:B10" si="7">$B$5</f>
        <v>12</v>
      </c>
      <c r="C7" s="174" t="str">
        <f t="shared" ref="C7:C10" si="8">$C$5</f>
        <v>3901412</v>
      </c>
      <c r="D7" s="176">
        <f>D6*1.2</f>
        <v>216000</v>
      </c>
      <c r="E7" s="99">
        <f>E6*SQRT(F20)^2</f>
        <v>731295.48995737685</v>
      </c>
      <c r="F7" s="100">
        <f>(E8-E7)/(D8-D7)</f>
        <v>2.7492311652533008</v>
      </c>
      <c r="G7" s="96">
        <f>E7-F7*D7</f>
        <v>137461.55826266389</v>
      </c>
      <c r="H7" s="97">
        <v>1.2</v>
      </c>
      <c r="I7">
        <f t="shared" si="1"/>
        <v>731295.48995737685</v>
      </c>
    </row>
    <row r="8" spans="1:9" x14ac:dyDescent="0.15">
      <c r="A8" s="171">
        <f t="shared" si="2"/>
        <v>39014</v>
      </c>
      <c r="B8" s="171">
        <f t="shared" si="7"/>
        <v>12</v>
      </c>
      <c r="C8" s="174" t="str">
        <f t="shared" si="8"/>
        <v>3901412</v>
      </c>
      <c r="D8" s="176">
        <f>D6*1.5</f>
        <v>270000</v>
      </c>
      <c r="E8" s="99">
        <f>E6*SQRT(F21)^2</f>
        <v>879753.97288105509</v>
      </c>
      <c r="F8" s="100">
        <f>(E9-E8)/(D9-D8)</f>
        <v>3.2379833724094413</v>
      </c>
      <c r="G8" s="101">
        <f>E8-F8*D8</f>
        <v>5498.4623305059504</v>
      </c>
      <c r="H8" s="97">
        <v>1.5</v>
      </c>
      <c r="I8">
        <f t="shared" si="1"/>
        <v>879753.97288105509</v>
      </c>
    </row>
    <row r="9" spans="1:9" x14ac:dyDescent="0.15">
      <c r="A9" s="171">
        <f t="shared" si="2"/>
        <v>39014</v>
      </c>
      <c r="B9" s="171">
        <f t="shared" si="7"/>
        <v>12</v>
      </c>
      <c r="C9" s="174" t="str">
        <f t="shared" si="8"/>
        <v>3901412</v>
      </c>
      <c r="D9" s="176">
        <f>D6*2</f>
        <v>360000</v>
      </c>
      <c r="E9" s="99">
        <f>E6*SQRT(F22)^2</f>
        <v>1171172.4763979048</v>
      </c>
      <c r="F9" s="100">
        <f>(E10-E9)/(D10-D9)</f>
        <v>1.4357096085211649</v>
      </c>
      <c r="G9" s="96">
        <f>E9-F9*D9</f>
        <v>654317.01733028539</v>
      </c>
      <c r="H9" s="97">
        <v>2</v>
      </c>
      <c r="I9">
        <f t="shared" si="1"/>
        <v>1171172.4763979048</v>
      </c>
    </row>
    <row r="10" spans="1:9" x14ac:dyDescent="0.15">
      <c r="A10" s="171">
        <f t="shared" si="2"/>
        <v>39014</v>
      </c>
      <c r="B10" s="171">
        <f t="shared" si="7"/>
        <v>12</v>
      </c>
      <c r="C10" s="174" t="str">
        <f t="shared" si="8"/>
        <v>3901412</v>
      </c>
      <c r="D10" s="176">
        <f>D6*3</f>
        <v>540000</v>
      </c>
      <c r="E10" s="99">
        <f>E6*SQRT(F23)^2</f>
        <v>1429600.2059317145</v>
      </c>
      <c r="F10" s="98">
        <v>0.01</v>
      </c>
      <c r="G10" s="101">
        <f>E10-F10*D10</f>
        <v>1424200.2059317145</v>
      </c>
      <c r="H10" s="97">
        <v>3</v>
      </c>
      <c r="I10">
        <f t="shared" si="1"/>
        <v>1429600.2059317145</v>
      </c>
    </row>
    <row r="11" spans="1:9" x14ac:dyDescent="0.15">
      <c r="A11" s="171">
        <f t="shared" si="2"/>
        <v>39014</v>
      </c>
      <c r="B11" s="149">
        <v>13</v>
      </c>
      <c r="C11" s="175" t="str">
        <f>A11&amp;B11</f>
        <v>3901413</v>
      </c>
      <c r="D11" s="104">
        <v>0</v>
      </c>
      <c r="E11" s="99">
        <v>0</v>
      </c>
      <c r="F11" s="100">
        <f t="shared" ref="F11" si="9">(E12-E11)/(D12-D11)</f>
        <v>1.8384776310850237</v>
      </c>
      <c r="G11" s="96">
        <f t="shared" ref="G11:G14" si="10">E11-F11*D11</f>
        <v>0</v>
      </c>
      <c r="I11">
        <f t="shared" si="1"/>
        <v>0</v>
      </c>
    </row>
    <row r="12" spans="1:9" x14ac:dyDescent="0.15">
      <c r="A12" s="171">
        <f t="shared" si="2"/>
        <v>39014</v>
      </c>
      <c r="B12" s="171">
        <f>$B$11</f>
        <v>13</v>
      </c>
      <c r="C12" s="175" t="str">
        <f>$C$11</f>
        <v>3901413</v>
      </c>
      <c r="D12" s="104">
        <v>430000</v>
      </c>
      <c r="E12" s="99">
        <f>D12*SQRT(F19)*1.3</f>
        <v>790545.38136656024</v>
      </c>
      <c r="F12" s="100">
        <f>(E13-E12)/(D13-D12)</f>
        <v>5.4786633406333669</v>
      </c>
      <c r="G12" s="96">
        <f t="shared" si="10"/>
        <v>-1565279.8551057875</v>
      </c>
      <c r="H12" s="97">
        <v>1</v>
      </c>
      <c r="I12">
        <f t="shared" si="1"/>
        <v>790545.38136656024</v>
      </c>
    </row>
    <row r="13" spans="1:9" x14ac:dyDescent="0.15">
      <c r="A13" s="171">
        <f t="shared" si="2"/>
        <v>39014</v>
      </c>
      <c r="B13" s="171">
        <f t="shared" ref="B13:B16" si="11">$B$11</f>
        <v>13</v>
      </c>
      <c r="C13" s="175" t="str">
        <f t="shared" ref="C13:C16" si="12">$C$11</f>
        <v>3901413</v>
      </c>
      <c r="D13" s="106">
        <f>D12*1.2</f>
        <v>516000</v>
      </c>
      <c r="E13" s="99">
        <f>E12*SQRT(F20)^2</f>
        <v>1261710.4286610298</v>
      </c>
      <c r="F13" s="100">
        <f>(E14-E13)/(D14-D13)</f>
        <v>1.9855558415718282</v>
      </c>
      <c r="G13" s="96">
        <f>E13-F13*D13</f>
        <v>237163.61440996639</v>
      </c>
      <c r="H13" s="97">
        <v>1.2</v>
      </c>
      <c r="I13">
        <f t="shared" si="1"/>
        <v>1261710.4286610298</v>
      </c>
    </row>
    <row r="14" spans="1:9" x14ac:dyDescent="0.15">
      <c r="A14" s="171">
        <f t="shared" si="2"/>
        <v>39014</v>
      </c>
      <c r="B14" s="171">
        <f t="shared" si="11"/>
        <v>13</v>
      </c>
      <c r="C14" s="175" t="str">
        <f t="shared" si="12"/>
        <v>3901413</v>
      </c>
      <c r="D14" s="106">
        <f>D12*1.5</f>
        <v>645000</v>
      </c>
      <c r="E14" s="99">
        <f>E12*SQRT(F21)^2</f>
        <v>1517847.1322237956</v>
      </c>
      <c r="F14" s="100">
        <f>(E15-E14)/(D15-D14)</f>
        <v>2.3385435467401519</v>
      </c>
      <c r="G14" s="96">
        <f t="shared" si="10"/>
        <v>9486.5445763976313</v>
      </c>
      <c r="H14" s="97">
        <v>1.5</v>
      </c>
      <c r="I14">
        <f t="shared" si="1"/>
        <v>1517847.1322237956</v>
      </c>
    </row>
    <row r="15" spans="1:9" x14ac:dyDescent="0.15">
      <c r="A15" s="171">
        <f t="shared" si="2"/>
        <v>39014</v>
      </c>
      <c r="B15" s="171">
        <f t="shared" si="11"/>
        <v>13</v>
      </c>
      <c r="C15" s="175" t="str">
        <f t="shared" si="12"/>
        <v>3901413</v>
      </c>
      <c r="D15" s="106">
        <f>D12*2</f>
        <v>860000</v>
      </c>
      <c r="E15" s="99">
        <f>E12*SQRT(F22)^2</f>
        <v>2020633.9947729283</v>
      </c>
      <c r="F15" s="100">
        <f>(E16-E15)/(D16-D15)</f>
        <v>0.79761644917842556</v>
      </c>
      <c r="G15" s="96">
        <f>E15-F15*D15</f>
        <v>1334683.8484794823</v>
      </c>
      <c r="H15" s="97">
        <v>2</v>
      </c>
      <c r="I15">
        <f t="shared" si="1"/>
        <v>2020633.9947729283</v>
      </c>
    </row>
    <row r="16" spans="1:9" x14ac:dyDescent="0.15">
      <c r="A16" s="171">
        <f t="shared" si="2"/>
        <v>39014</v>
      </c>
      <c r="B16" s="171">
        <f t="shared" si="11"/>
        <v>13</v>
      </c>
      <c r="C16" s="175" t="str">
        <f t="shared" si="12"/>
        <v>3901413</v>
      </c>
      <c r="D16" s="106">
        <f>D12*3.3</f>
        <v>1419000</v>
      </c>
      <c r="E16" s="99">
        <f>E12*SQRT(F23)^2</f>
        <v>2466501.5898636682</v>
      </c>
      <c r="F16" s="98">
        <v>0.01</v>
      </c>
      <c r="G16" s="101">
        <f>E16-F16*D16</f>
        <v>2452311.5898636682</v>
      </c>
      <c r="H16" s="97">
        <v>3</v>
      </c>
      <c r="I16">
        <f t="shared" si="1"/>
        <v>2466501.5898636682</v>
      </c>
    </row>
    <row r="17" spans="4:8" x14ac:dyDescent="0.15">
      <c r="E17">
        <v>2237060</v>
      </c>
    </row>
    <row r="18" spans="4:8" x14ac:dyDescent="0.15">
      <c r="F18" t="s">
        <v>186</v>
      </c>
    </row>
    <row r="19" spans="4:8" x14ac:dyDescent="0.15">
      <c r="D19" s="107">
        <f>D3+D6+D12</f>
        <v>910000</v>
      </c>
      <c r="E19" s="102">
        <f>SUM(E4,E10,E16)</f>
        <v>5066101.7957953829</v>
      </c>
      <c r="F19">
        <f>G19*H19</f>
        <v>2</v>
      </c>
      <c r="G19">
        <v>1</v>
      </c>
      <c r="H19" s="191">
        <v>2</v>
      </c>
    </row>
    <row r="20" spans="4:8" x14ac:dyDescent="0.15">
      <c r="D20" s="80"/>
      <c r="E20" s="103"/>
      <c r="F20">
        <f t="shared" ref="F20:F23" si="13">G20*H20</f>
        <v>1.5959999999999999</v>
      </c>
      <c r="G20">
        <v>1.1399999999999999</v>
      </c>
      <c r="H20" s="191">
        <v>1.4</v>
      </c>
    </row>
    <row r="21" spans="4:8" x14ac:dyDescent="0.15">
      <c r="D21" s="80"/>
      <c r="E21" s="103"/>
      <c r="F21">
        <f t="shared" si="13"/>
        <v>1.92</v>
      </c>
      <c r="G21">
        <v>1.28</v>
      </c>
      <c r="H21" s="191">
        <v>1.5</v>
      </c>
    </row>
    <row r="22" spans="4:8" x14ac:dyDescent="0.15">
      <c r="F22">
        <f t="shared" si="13"/>
        <v>2.556</v>
      </c>
      <c r="G22">
        <v>1.42</v>
      </c>
      <c r="H22" s="191">
        <v>1.8</v>
      </c>
    </row>
    <row r="23" spans="4:8" x14ac:dyDescent="0.15">
      <c r="F23">
        <f t="shared" si="13"/>
        <v>3.12</v>
      </c>
      <c r="G23">
        <v>1.56</v>
      </c>
      <c r="H23" s="191">
        <v>2</v>
      </c>
    </row>
  </sheetData>
  <phoneticPr fontId="12"/>
  <pageMargins left="0.7" right="0.7" top="0.75" bottom="0.75" header="0.3" footer="0.3"/>
  <pageSetup paperSize="9"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>
    <tabColor rgb="FFFF0000"/>
  </sheetPr>
  <dimension ref="A1:I26"/>
  <sheetViews>
    <sheetView workbookViewId="0">
      <selection activeCell="D15" sqref="D15"/>
    </sheetView>
  </sheetViews>
  <sheetFormatPr baseColWidth="12" defaultRowHeight="15" x14ac:dyDescent="0.15"/>
  <cols>
    <col min="5" max="5" width="13.83203125" bestFit="1" customWidth="1"/>
  </cols>
  <sheetData>
    <row r="1" spans="1:9" x14ac:dyDescent="0.15">
      <c r="A1" s="52" t="s">
        <v>427</v>
      </c>
      <c r="B1" s="52" t="s">
        <v>472</v>
      </c>
      <c r="C1" s="52" t="s">
        <v>187</v>
      </c>
      <c r="D1" s="52" t="s">
        <v>81</v>
      </c>
      <c r="E1" s="52" t="s">
        <v>189</v>
      </c>
      <c r="F1" s="52" t="s">
        <v>82</v>
      </c>
      <c r="G1" s="52" t="s">
        <v>83</v>
      </c>
    </row>
    <row r="2" spans="1:9" x14ac:dyDescent="0.15">
      <c r="A2" s="171">
        <f>output!C2</f>
        <v>39014</v>
      </c>
      <c r="B2" s="149">
        <v>11</v>
      </c>
      <c r="C2" s="175" t="str">
        <f>A2&amp;B2</f>
        <v>3901411</v>
      </c>
      <c r="D2" s="104">
        <v>0</v>
      </c>
      <c r="E2" s="99">
        <v>0</v>
      </c>
      <c r="F2" s="100">
        <f>(E3-E2)/(D3-D2)</f>
        <v>20</v>
      </c>
      <c r="G2" s="96">
        <f t="shared" ref="G2:G3" si="0">E2-F2*D2</f>
        <v>0</v>
      </c>
      <c r="I2">
        <f t="shared" ref="I2:I19" si="1">D2*F2+G2</f>
        <v>0</v>
      </c>
    </row>
    <row r="3" spans="1:9" x14ac:dyDescent="0.15">
      <c r="A3" s="171">
        <f>$A$2</f>
        <v>39014</v>
      </c>
      <c r="B3" s="171">
        <f>$B$2</f>
        <v>11</v>
      </c>
      <c r="C3" s="175" t="str">
        <f>$C$2</f>
        <v>3901411</v>
      </c>
      <c r="D3" s="104">
        <v>15000</v>
      </c>
      <c r="E3" s="99">
        <v>300000</v>
      </c>
      <c r="F3" s="100">
        <f>(E4-E3)/(D4-D3)</f>
        <v>21.000000000000018</v>
      </c>
      <c r="G3" s="96">
        <f t="shared" si="0"/>
        <v>-15000.000000000291</v>
      </c>
      <c r="H3" s="97">
        <v>1</v>
      </c>
      <c r="I3">
        <f t="shared" si="1"/>
        <v>300000</v>
      </c>
    </row>
    <row r="4" spans="1:9" x14ac:dyDescent="0.15">
      <c r="A4" s="171">
        <f t="shared" ref="A4:A19" si="2">$A$2</f>
        <v>39014</v>
      </c>
      <c r="B4" s="171">
        <f t="shared" ref="B4:B7" si="3">$B$2</f>
        <v>11</v>
      </c>
      <c r="C4" s="175" t="str">
        <f t="shared" ref="C4:C7" si="4">$C$2</f>
        <v>3901411</v>
      </c>
      <c r="D4" s="106">
        <f>D3*1.2</f>
        <v>18000</v>
      </c>
      <c r="E4" s="99">
        <f>E3*SQRT(F23)^2</f>
        <v>363000.00000000006</v>
      </c>
      <c r="F4" s="100">
        <f>(E5-E4)/(D5-D4)</f>
        <v>20.666666666666654</v>
      </c>
      <c r="G4" s="96">
        <f>E4-F4*D4</f>
        <v>-8999.999999999709</v>
      </c>
      <c r="H4" s="97">
        <v>1.2</v>
      </c>
      <c r="I4">
        <f t="shared" si="1"/>
        <v>363000.00000000006</v>
      </c>
    </row>
    <row r="5" spans="1:9" x14ac:dyDescent="0.15">
      <c r="A5" s="171">
        <f t="shared" si="2"/>
        <v>39014</v>
      </c>
      <c r="B5" s="171">
        <f t="shared" si="3"/>
        <v>11</v>
      </c>
      <c r="C5" s="175" t="str">
        <f t="shared" si="4"/>
        <v>3901411</v>
      </c>
      <c r="D5" s="106">
        <f>D3*1.5</f>
        <v>22500</v>
      </c>
      <c r="E5" s="99">
        <f>E3*SQRT(F24)^2</f>
        <v>456000</v>
      </c>
      <c r="F5" s="100">
        <f>(E6-E5)/(D6-D5)</f>
        <v>20.399999999999984</v>
      </c>
      <c r="G5" s="101">
        <f>E5-F5*D5</f>
        <v>-2999.9999999996508</v>
      </c>
      <c r="H5" s="97">
        <v>1.5</v>
      </c>
      <c r="I5">
        <f t="shared" si="1"/>
        <v>456000</v>
      </c>
    </row>
    <row r="6" spans="1:9" x14ac:dyDescent="0.15">
      <c r="A6" s="171">
        <f t="shared" si="2"/>
        <v>39014</v>
      </c>
      <c r="B6" s="171">
        <f t="shared" si="3"/>
        <v>11</v>
      </c>
      <c r="C6" s="175" t="str">
        <f t="shared" si="4"/>
        <v>3901411</v>
      </c>
      <c r="D6" s="106">
        <f>D3*2</f>
        <v>30000</v>
      </c>
      <c r="E6" s="99">
        <f>E3*SQRT(F25)^2</f>
        <v>608999.99999999988</v>
      </c>
      <c r="F6" s="100">
        <f>(E7-E6)/(D7-D6)</f>
        <v>20</v>
      </c>
      <c r="G6" s="101">
        <f>E6-F6*D6</f>
        <v>8999.9999999998836</v>
      </c>
      <c r="H6" s="97">
        <v>2</v>
      </c>
      <c r="I6">
        <f t="shared" si="1"/>
        <v>608999.99999999988</v>
      </c>
    </row>
    <row r="7" spans="1:9" x14ac:dyDescent="0.15">
      <c r="A7" s="171">
        <f t="shared" si="2"/>
        <v>39014</v>
      </c>
      <c r="B7" s="171">
        <f t="shared" si="3"/>
        <v>11</v>
      </c>
      <c r="C7" s="175" t="str">
        <f t="shared" si="4"/>
        <v>3901411</v>
      </c>
      <c r="D7" s="106">
        <f>D3*2.5</f>
        <v>37500</v>
      </c>
      <c r="E7" s="99">
        <f>E3*SQRT(F26)^2</f>
        <v>758999.99999999988</v>
      </c>
      <c r="F7" s="98">
        <v>0.01</v>
      </c>
      <c r="G7" s="96">
        <f>E7-F7*D7</f>
        <v>758624.99999999988</v>
      </c>
      <c r="H7" s="97">
        <v>2.5</v>
      </c>
      <c r="I7">
        <f t="shared" si="1"/>
        <v>758999.99999999988</v>
      </c>
    </row>
    <row r="8" spans="1:9" x14ac:dyDescent="0.15">
      <c r="A8" s="171">
        <f t="shared" si="2"/>
        <v>39014</v>
      </c>
      <c r="B8" s="149">
        <v>12</v>
      </c>
      <c r="C8" s="174" t="str">
        <f>A8&amp;B8</f>
        <v>3901412</v>
      </c>
      <c r="D8" s="105">
        <v>0</v>
      </c>
      <c r="E8" s="99">
        <v>0</v>
      </c>
      <c r="F8" s="100">
        <f t="shared" ref="F8:F9" si="5">(E9-E8)/(D9-D8)</f>
        <v>12</v>
      </c>
      <c r="G8" s="96">
        <f t="shared" ref="G8:G9" si="6">E8-F8*D8</f>
        <v>0</v>
      </c>
      <c r="I8">
        <f t="shared" si="1"/>
        <v>0</v>
      </c>
    </row>
    <row r="9" spans="1:9" x14ac:dyDescent="0.15">
      <c r="A9" s="171">
        <f t="shared" si="2"/>
        <v>39014</v>
      </c>
      <c r="B9" s="171">
        <f>$B$8</f>
        <v>12</v>
      </c>
      <c r="C9" s="174" t="str">
        <f>$C$8</f>
        <v>3901412</v>
      </c>
      <c r="D9" s="105">
        <v>25000</v>
      </c>
      <c r="E9" s="99">
        <v>300000</v>
      </c>
      <c r="F9" s="100">
        <f t="shared" si="5"/>
        <v>12.600000000000012</v>
      </c>
      <c r="G9" s="96">
        <f t="shared" si="6"/>
        <v>-15000.000000000291</v>
      </c>
      <c r="H9" s="97">
        <v>1</v>
      </c>
      <c r="I9">
        <f t="shared" si="1"/>
        <v>300000</v>
      </c>
    </row>
    <row r="10" spans="1:9" x14ac:dyDescent="0.15">
      <c r="A10" s="171">
        <f t="shared" si="2"/>
        <v>39014</v>
      </c>
      <c r="B10" s="171">
        <f t="shared" ref="B10:B13" si="7">$B$8</f>
        <v>12</v>
      </c>
      <c r="C10" s="174" t="str">
        <f t="shared" ref="C10:C13" si="8">$C$8</f>
        <v>3901412</v>
      </c>
      <c r="D10" s="176">
        <f>D9*1.2</f>
        <v>30000</v>
      </c>
      <c r="E10" s="99">
        <f>E9*SQRT(F23)^2</f>
        <v>363000.00000000006</v>
      </c>
      <c r="F10" s="100">
        <f>(E11-E10)/(D11-D10)</f>
        <v>12.399999999999991</v>
      </c>
      <c r="G10" s="96">
        <f>E10-F10*D10</f>
        <v>-8999.999999999709</v>
      </c>
      <c r="H10" s="97">
        <v>1.2</v>
      </c>
      <c r="I10">
        <f t="shared" si="1"/>
        <v>363000.00000000006</v>
      </c>
    </row>
    <row r="11" spans="1:9" x14ac:dyDescent="0.15">
      <c r="A11" s="171">
        <f t="shared" si="2"/>
        <v>39014</v>
      </c>
      <c r="B11" s="171">
        <f t="shared" si="7"/>
        <v>12</v>
      </c>
      <c r="C11" s="174" t="str">
        <f t="shared" si="8"/>
        <v>3901412</v>
      </c>
      <c r="D11" s="176">
        <f>D9*1.5</f>
        <v>37500</v>
      </c>
      <c r="E11" s="99">
        <f>E9*SQRT(F24)^2</f>
        <v>456000</v>
      </c>
      <c r="F11" s="100">
        <f>(E12-E11)/(D12-D11)</f>
        <v>12.239999999999991</v>
      </c>
      <c r="G11" s="101">
        <f>E11-F11*D11</f>
        <v>-2999.9999999996508</v>
      </c>
      <c r="H11" s="97">
        <v>1.5</v>
      </c>
      <c r="I11">
        <f t="shared" si="1"/>
        <v>456000</v>
      </c>
    </row>
    <row r="12" spans="1:9" x14ac:dyDescent="0.15">
      <c r="A12" s="171">
        <f t="shared" si="2"/>
        <v>39014</v>
      </c>
      <c r="B12" s="171">
        <f t="shared" si="7"/>
        <v>12</v>
      </c>
      <c r="C12" s="174" t="str">
        <f t="shared" si="8"/>
        <v>3901412</v>
      </c>
      <c r="D12" s="176">
        <f>D9*2</f>
        <v>50000</v>
      </c>
      <c r="E12" s="99">
        <f>E9*SQRT(F25)^2</f>
        <v>608999.99999999988</v>
      </c>
      <c r="F12" s="100">
        <f>(E13-E12)/(D13-D12)</f>
        <v>12</v>
      </c>
      <c r="G12" s="96">
        <f>E12-F12*D12</f>
        <v>8999.9999999998836</v>
      </c>
      <c r="H12" s="97">
        <v>2</v>
      </c>
      <c r="I12">
        <f t="shared" si="1"/>
        <v>608999.99999999988</v>
      </c>
    </row>
    <row r="13" spans="1:9" x14ac:dyDescent="0.15">
      <c r="A13" s="171">
        <f t="shared" si="2"/>
        <v>39014</v>
      </c>
      <c r="B13" s="171">
        <f t="shared" si="7"/>
        <v>12</v>
      </c>
      <c r="C13" s="174" t="str">
        <f t="shared" si="8"/>
        <v>3901412</v>
      </c>
      <c r="D13" s="176">
        <f>D9*2.5</f>
        <v>62500</v>
      </c>
      <c r="E13" s="99">
        <f>E9*SQRT(F26)^2</f>
        <v>758999.99999999988</v>
      </c>
      <c r="F13" s="98">
        <v>0.01</v>
      </c>
      <c r="G13" s="101">
        <f>E13-F13*D13</f>
        <v>758374.99999999988</v>
      </c>
      <c r="H13" s="97">
        <v>2.5</v>
      </c>
      <c r="I13">
        <f t="shared" si="1"/>
        <v>758999.99999999988</v>
      </c>
    </row>
    <row r="14" spans="1:9" x14ac:dyDescent="0.15">
      <c r="A14" s="171">
        <f t="shared" si="2"/>
        <v>39014</v>
      </c>
      <c r="B14" s="149">
        <v>13</v>
      </c>
      <c r="C14" s="175" t="str">
        <f>A14&amp;B14</f>
        <v>3901413</v>
      </c>
      <c r="D14" s="104">
        <v>0</v>
      </c>
      <c r="E14" s="99">
        <v>0</v>
      </c>
      <c r="F14" s="100">
        <f t="shared" ref="F14" si="9">(E15-E14)/(D15-D14)</f>
        <v>8.3333333333333339</v>
      </c>
      <c r="G14" s="96">
        <f t="shared" ref="G14:G17" si="10">E14-F14*D14</f>
        <v>0</v>
      </c>
      <c r="I14">
        <f t="shared" si="1"/>
        <v>0</v>
      </c>
    </row>
    <row r="15" spans="1:9" x14ac:dyDescent="0.15">
      <c r="A15" s="171">
        <f t="shared" si="2"/>
        <v>39014</v>
      </c>
      <c r="B15" s="171">
        <f>$B$14</f>
        <v>13</v>
      </c>
      <c r="C15" s="175" t="str">
        <f>$C$14</f>
        <v>3901413</v>
      </c>
      <c r="D15" s="104">
        <v>60000</v>
      </c>
      <c r="E15" s="99">
        <v>500000</v>
      </c>
      <c r="F15" s="100">
        <f>(E16-E15)/(D16-D15)</f>
        <v>8.7500000000000089</v>
      </c>
      <c r="G15" s="96">
        <f t="shared" si="10"/>
        <v>-25000.000000000582</v>
      </c>
      <c r="H15" s="97">
        <v>1</v>
      </c>
      <c r="I15">
        <f t="shared" si="1"/>
        <v>500000</v>
      </c>
    </row>
    <row r="16" spans="1:9" x14ac:dyDescent="0.15">
      <c r="A16" s="171">
        <f t="shared" si="2"/>
        <v>39014</v>
      </c>
      <c r="B16" s="171">
        <f t="shared" ref="B16:B19" si="11">$B$14</f>
        <v>13</v>
      </c>
      <c r="C16" s="175" t="str">
        <f t="shared" ref="C16:C19" si="12">$C$14</f>
        <v>3901413</v>
      </c>
      <c r="D16" s="106">
        <f>D15*1.2</f>
        <v>72000</v>
      </c>
      <c r="E16" s="99">
        <f>E15*SQRT(F23)^2</f>
        <v>605000.00000000012</v>
      </c>
      <c r="F16" s="100">
        <f>(E17-E16)/(D17-D16)</f>
        <v>8.6111111111111054</v>
      </c>
      <c r="G16" s="96">
        <f t="shared" si="10"/>
        <v>-14999.999999999418</v>
      </c>
      <c r="H16" s="97">
        <v>1.2</v>
      </c>
      <c r="I16">
        <f t="shared" si="1"/>
        <v>605000.00000000012</v>
      </c>
    </row>
    <row r="17" spans="1:9" x14ac:dyDescent="0.15">
      <c r="A17" s="171">
        <f t="shared" si="2"/>
        <v>39014</v>
      </c>
      <c r="B17" s="171">
        <f t="shared" si="11"/>
        <v>13</v>
      </c>
      <c r="C17" s="175" t="str">
        <f t="shared" si="12"/>
        <v>3901413</v>
      </c>
      <c r="D17" s="106">
        <f>D15*1.5</f>
        <v>90000</v>
      </c>
      <c r="E17" s="99">
        <f>E15*SQRT(F24)^2</f>
        <v>760000</v>
      </c>
      <c r="F17" s="100">
        <f>(E18-E17)/(D18-D17)</f>
        <v>8.4999999999999964</v>
      </c>
      <c r="G17" s="96">
        <f t="shared" si="10"/>
        <v>-4999.9999999996508</v>
      </c>
      <c r="H17" s="97">
        <v>1.5</v>
      </c>
      <c r="I17">
        <f t="shared" si="1"/>
        <v>760000</v>
      </c>
    </row>
    <row r="18" spans="1:9" x14ac:dyDescent="0.15">
      <c r="A18" s="171">
        <f t="shared" si="2"/>
        <v>39014</v>
      </c>
      <c r="B18" s="171">
        <f t="shared" si="11"/>
        <v>13</v>
      </c>
      <c r="C18" s="175" t="str">
        <f t="shared" si="12"/>
        <v>3901413</v>
      </c>
      <c r="D18" s="106">
        <f>D15*2</f>
        <v>120000</v>
      </c>
      <c r="E18" s="99">
        <f>E15*SQRT(F25)^2</f>
        <v>1014999.9999999999</v>
      </c>
      <c r="F18" s="100">
        <f>(E19-E18)/(D19-D18)</f>
        <v>4.1666666666666687</v>
      </c>
      <c r="G18" s="96">
        <f>E18-F18*D18</f>
        <v>514999.99999999965</v>
      </c>
      <c r="H18" s="97">
        <v>2</v>
      </c>
      <c r="I18">
        <f t="shared" si="1"/>
        <v>1014999.9999999999</v>
      </c>
    </row>
    <row r="19" spans="1:9" x14ac:dyDescent="0.15">
      <c r="A19" s="171">
        <f t="shared" si="2"/>
        <v>39014</v>
      </c>
      <c r="B19" s="171">
        <f t="shared" si="11"/>
        <v>13</v>
      </c>
      <c r="C19" s="175" t="str">
        <f t="shared" si="12"/>
        <v>3901413</v>
      </c>
      <c r="D19" s="106">
        <f>D15*3</f>
        <v>180000</v>
      </c>
      <c r="E19" s="99">
        <f>E15*SQRT(F26)^2</f>
        <v>1265000</v>
      </c>
      <c r="F19" s="98">
        <v>0.01</v>
      </c>
      <c r="G19" s="101">
        <f>E19-F19*D19</f>
        <v>1263200</v>
      </c>
      <c r="H19" s="97">
        <v>3</v>
      </c>
      <c r="I19">
        <f t="shared" si="1"/>
        <v>1265000</v>
      </c>
    </row>
    <row r="21" spans="1:9" x14ac:dyDescent="0.15">
      <c r="F21" t="s">
        <v>186</v>
      </c>
    </row>
    <row r="22" spans="1:9" x14ac:dyDescent="0.15">
      <c r="D22" s="107">
        <f>D3+D9+D15</f>
        <v>100000</v>
      </c>
      <c r="E22" s="102">
        <f>SUM(E7,E13,E19)</f>
        <v>2783000</v>
      </c>
      <c r="F22" s="193">
        <f>G22*H22</f>
        <v>40</v>
      </c>
      <c r="G22">
        <v>1</v>
      </c>
      <c r="H22" s="192">
        <v>40</v>
      </c>
    </row>
    <row r="23" spans="1:9" x14ac:dyDescent="0.15">
      <c r="D23" s="80"/>
      <c r="E23" s="103"/>
      <c r="F23" s="193">
        <f>G23*H23</f>
        <v>1.21</v>
      </c>
      <c r="G23">
        <v>1.21</v>
      </c>
      <c r="H23" s="192">
        <v>1</v>
      </c>
    </row>
    <row r="24" spans="1:9" x14ac:dyDescent="0.15">
      <c r="D24" s="80"/>
      <c r="E24" s="103"/>
      <c r="F24" s="193">
        <f>G24*H24</f>
        <v>1.52</v>
      </c>
      <c r="G24">
        <v>1.52</v>
      </c>
      <c r="H24" s="192">
        <v>1</v>
      </c>
    </row>
    <row r="25" spans="1:9" x14ac:dyDescent="0.15">
      <c r="F25" s="193">
        <f>G25*H25</f>
        <v>2.0299999999999998</v>
      </c>
      <c r="G25">
        <v>2.0299999999999998</v>
      </c>
      <c r="H25" s="192">
        <v>1</v>
      </c>
    </row>
    <row r="26" spans="1:9" x14ac:dyDescent="0.15">
      <c r="F26" s="193">
        <f>G26*H26</f>
        <v>2.5299999999999998</v>
      </c>
      <c r="G26">
        <v>2.5299999999999998</v>
      </c>
      <c r="H26" s="192">
        <v>1</v>
      </c>
    </row>
  </sheetData>
  <phoneticPr fontId="12"/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H8"/>
  <sheetViews>
    <sheetView workbookViewId="0">
      <selection activeCell="G22" sqref="G22"/>
    </sheetView>
  </sheetViews>
  <sheetFormatPr baseColWidth="12" defaultRowHeight="15" x14ac:dyDescent="0.15"/>
  <cols>
    <col min="7" max="7" width="34.5" bestFit="1" customWidth="1"/>
  </cols>
  <sheetData>
    <row r="1" spans="1:8" x14ac:dyDescent="0.15">
      <c r="A1" s="52" t="s">
        <v>84</v>
      </c>
      <c r="B1" s="52" t="s">
        <v>85</v>
      </c>
      <c r="C1" s="52" t="s">
        <v>86</v>
      </c>
      <c r="D1" s="52" t="s">
        <v>87</v>
      </c>
      <c r="E1" s="81" t="s">
        <v>88</v>
      </c>
      <c r="F1" s="81" t="s">
        <v>89</v>
      </c>
      <c r="G1" s="81" t="s">
        <v>90</v>
      </c>
    </row>
    <row r="2" spans="1:8" x14ac:dyDescent="0.15">
      <c r="A2" s="51">
        <v>19</v>
      </c>
      <c r="B2" s="51">
        <f>output!C2</f>
        <v>39014</v>
      </c>
      <c r="C2" s="51">
        <v>2</v>
      </c>
      <c r="D2" s="51">
        <v>10000000</v>
      </c>
      <c r="E2" s="51" t="s">
        <v>133</v>
      </c>
      <c r="F2" s="51" t="s">
        <v>134</v>
      </c>
      <c r="G2" s="51" t="s">
        <v>135</v>
      </c>
      <c r="H2" t="s">
        <v>473</v>
      </c>
    </row>
    <row r="3" spans="1:8" x14ac:dyDescent="0.15">
      <c r="A3" s="51">
        <v>20</v>
      </c>
      <c r="B3" s="51">
        <f>$B$2</f>
        <v>39014</v>
      </c>
      <c r="C3" s="51">
        <v>2</v>
      </c>
      <c r="D3" s="51">
        <v>8500000</v>
      </c>
      <c r="E3" s="51" t="s">
        <v>133</v>
      </c>
      <c r="F3" s="51" t="s">
        <v>136</v>
      </c>
      <c r="G3" s="51" t="s">
        <v>137</v>
      </c>
    </row>
    <row r="4" spans="1:8" x14ac:dyDescent="0.15">
      <c r="A4" s="51">
        <v>21</v>
      </c>
      <c r="B4" s="51">
        <f t="shared" ref="B4:B6" si="0">$B$2</f>
        <v>39014</v>
      </c>
      <c r="C4" s="51">
        <v>2</v>
      </c>
      <c r="D4" s="51">
        <v>7000000</v>
      </c>
      <c r="E4" s="51" t="s">
        <v>133</v>
      </c>
      <c r="F4" s="51" t="s">
        <v>138</v>
      </c>
      <c r="G4" s="51" t="s">
        <v>139</v>
      </c>
    </row>
    <row r="5" spans="1:8" x14ac:dyDescent="0.15">
      <c r="A5" s="51">
        <v>22</v>
      </c>
      <c r="B5" s="51">
        <f t="shared" si="0"/>
        <v>39014</v>
      </c>
      <c r="C5" s="51">
        <v>2</v>
      </c>
      <c r="D5" s="51">
        <v>3000000</v>
      </c>
      <c r="E5" s="51" t="s">
        <v>133</v>
      </c>
      <c r="F5" s="51" t="s">
        <v>140</v>
      </c>
      <c r="G5" s="51" t="s">
        <v>141</v>
      </c>
    </row>
    <row r="6" spans="1:8" x14ac:dyDescent="0.15">
      <c r="A6" s="51">
        <v>23</v>
      </c>
      <c r="B6" s="51">
        <f t="shared" si="0"/>
        <v>39014</v>
      </c>
      <c r="C6" s="51">
        <v>2</v>
      </c>
      <c r="D6" s="51">
        <v>2000000</v>
      </c>
      <c r="E6" s="51" t="s">
        <v>133</v>
      </c>
      <c r="F6" s="51" t="s">
        <v>142</v>
      </c>
      <c r="G6" s="51" t="s">
        <v>143</v>
      </c>
    </row>
    <row r="7" spans="1:8" ht="16" thickBot="1" x14ac:dyDescent="0.2">
      <c r="A7" s="118">
        <v>24</v>
      </c>
      <c r="B7" s="118">
        <f>$B$2</f>
        <v>39014</v>
      </c>
      <c r="C7" s="51">
        <v>2</v>
      </c>
      <c r="D7" s="118">
        <v>0</v>
      </c>
      <c r="E7" s="118" t="s">
        <v>133</v>
      </c>
      <c r="F7" s="118" t="s">
        <v>144</v>
      </c>
      <c r="G7" s="118" t="s">
        <v>145</v>
      </c>
    </row>
    <row r="8" spans="1:8" ht="16" thickTop="1" x14ac:dyDescent="0.15"/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X20"/>
  <sheetViews>
    <sheetView zoomScale="106" workbookViewId="0">
      <selection activeCell="C2" sqref="C2:C9"/>
    </sheetView>
  </sheetViews>
  <sheetFormatPr baseColWidth="12" defaultRowHeight="15" x14ac:dyDescent="0.15"/>
  <cols>
    <col min="1" max="1" width="11.83203125" bestFit="1" customWidth="1"/>
    <col min="2" max="2" width="8" bestFit="1" customWidth="1"/>
    <col min="3" max="3" width="8" style="113" bestFit="1" customWidth="1"/>
    <col min="4" max="4" width="10.1640625" style="113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28.83203125" customWidth="1"/>
    <col min="18" max="18" width="16.83203125" customWidth="1"/>
    <col min="19" max="19" width="20.1640625" customWidth="1"/>
    <col min="20" max="20" width="7.5" bestFit="1" customWidth="1"/>
  </cols>
  <sheetData>
    <row r="1" spans="1:24" x14ac:dyDescent="0.15">
      <c r="A1" s="52" t="s">
        <v>113</v>
      </c>
      <c r="B1" s="52" t="s">
        <v>114</v>
      </c>
      <c r="C1" s="110" t="s">
        <v>115</v>
      </c>
      <c r="D1" s="110" t="s">
        <v>116</v>
      </c>
      <c r="E1" s="81" t="s">
        <v>117</v>
      </c>
      <c r="F1" s="71" t="s">
        <v>118</v>
      </c>
      <c r="G1" s="71" t="s">
        <v>119</v>
      </c>
      <c r="H1" s="71" t="s">
        <v>120</v>
      </c>
      <c r="I1" s="71" t="s">
        <v>121</v>
      </c>
      <c r="J1" s="71" t="s">
        <v>122</v>
      </c>
      <c r="K1" s="72" t="s">
        <v>123</v>
      </c>
      <c r="L1" s="72" t="s">
        <v>124</v>
      </c>
      <c r="M1" s="72" t="s">
        <v>125</v>
      </c>
      <c r="N1" s="72" t="s">
        <v>126</v>
      </c>
      <c r="O1" s="72" t="s">
        <v>127</v>
      </c>
      <c r="P1" s="72" t="s">
        <v>128</v>
      </c>
      <c r="Q1" s="72" t="s">
        <v>129</v>
      </c>
      <c r="R1" s="72" t="s">
        <v>130</v>
      </c>
      <c r="S1" s="72" t="s">
        <v>131</v>
      </c>
      <c r="T1" s="72" t="s">
        <v>132</v>
      </c>
    </row>
    <row r="2" spans="1:24" ht="47" customHeight="1" x14ac:dyDescent="0.15">
      <c r="A2" s="88">
        <v>19</v>
      </c>
      <c r="B2" s="88">
        <f>output!C2</f>
        <v>39014</v>
      </c>
      <c r="C2" s="111">
        <v>2</v>
      </c>
      <c r="D2" s="111">
        <v>10000000</v>
      </c>
      <c r="E2" s="89" t="str">
        <f>$B$2&amp;0&amp;1</f>
        <v>3901401</v>
      </c>
      <c r="F2" s="90" t="s">
        <v>148</v>
      </c>
      <c r="G2" s="90">
        <v>3</v>
      </c>
      <c r="H2" s="90" t="s">
        <v>149</v>
      </c>
      <c r="I2" s="90">
        <v>0</v>
      </c>
      <c r="J2" s="90">
        <v>0</v>
      </c>
      <c r="K2" s="90">
        <v>0</v>
      </c>
      <c r="L2" s="90">
        <v>0</v>
      </c>
      <c r="M2" s="90">
        <v>1</v>
      </c>
      <c r="N2" s="90">
        <v>1</v>
      </c>
      <c r="O2" s="90">
        <v>1</v>
      </c>
      <c r="P2" s="90" t="s">
        <v>146</v>
      </c>
      <c r="Q2" s="90" t="s">
        <v>227</v>
      </c>
      <c r="R2" s="90" t="s">
        <v>240</v>
      </c>
      <c r="S2" s="91" t="s">
        <v>241</v>
      </c>
      <c r="T2" s="51">
        <v>1</v>
      </c>
      <c r="U2" s="178" t="s">
        <v>474</v>
      </c>
      <c r="W2" s="112"/>
      <c r="X2" s="113"/>
    </row>
    <row r="3" spans="1:24" ht="47" customHeight="1" x14ac:dyDescent="0.15">
      <c r="A3" s="88">
        <v>20</v>
      </c>
      <c r="B3" s="88">
        <f>$B$2</f>
        <v>39014</v>
      </c>
      <c r="C3" s="111">
        <v>2</v>
      </c>
      <c r="D3" s="111">
        <v>10000000</v>
      </c>
      <c r="E3" s="89" t="str">
        <f>$B$2&amp;0&amp;2</f>
        <v>3901402</v>
      </c>
      <c r="F3" s="90" t="s">
        <v>148</v>
      </c>
      <c r="G3" s="90">
        <v>2</v>
      </c>
      <c r="H3" s="90" t="s">
        <v>149</v>
      </c>
      <c r="I3" s="90">
        <v>0</v>
      </c>
      <c r="J3" s="90">
        <v>0</v>
      </c>
      <c r="K3" s="90">
        <v>0</v>
      </c>
      <c r="L3" s="90">
        <v>0</v>
      </c>
      <c r="M3" s="90">
        <v>1</v>
      </c>
      <c r="N3" s="90">
        <v>1</v>
      </c>
      <c r="O3" s="90">
        <v>1</v>
      </c>
      <c r="P3" s="90" t="s">
        <v>146</v>
      </c>
      <c r="Q3" s="90" t="s">
        <v>228</v>
      </c>
      <c r="R3" s="90" t="s">
        <v>240</v>
      </c>
      <c r="S3" s="91" t="s">
        <v>242</v>
      </c>
      <c r="T3" s="51">
        <v>1</v>
      </c>
      <c r="W3" s="113"/>
      <c r="X3" s="113"/>
    </row>
    <row r="4" spans="1:24" ht="47" customHeight="1" x14ac:dyDescent="0.15">
      <c r="A4" s="88">
        <v>21</v>
      </c>
      <c r="B4" s="88">
        <f t="shared" ref="B4:B8" si="0">$B$2</f>
        <v>39014</v>
      </c>
      <c r="C4" s="111">
        <v>2</v>
      </c>
      <c r="D4" s="111">
        <v>10000000</v>
      </c>
      <c r="E4" s="89" t="str">
        <f>$B$2&amp;0&amp;3</f>
        <v>3901403</v>
      </c>
      <c r="F4" s="90" t="s">
        <v>147</v>
      </c>
      <c r="G4" s="90">
        <v>1</v>
      </c>
      <c r="H4" s="90">
        <v>1</v>
      </c>
      <c r="I4" s="90">
        <v>0</v>
      </c>
      <c r="J4" s="90">
        <v>0</v>
      </c>
      <c r="K4" s="90">
        <v>0</v>
      </c>
      <c r="L4" s="90">
        <v>0</v>
      </c>
      <c r="M4" s="90">
        <v>1</v>
      </c>
      <c r="N4" s="90">
        <v>1</v>
      </c>
      <c r="O4" s="90">
        <v>1</v>
      </c>
      <c r="P4" s="90" t="s">
        <v>146</v>
      </c>
      <c r="Q4" s="90" t="s">
        <v>226</v>
      </c>
      <c r="R4" s="90" t="s">
        <v>240</v>
      </c>
      <c r="S4" s="91" t="s">
        <v>243</v>
      </c>
      <c r="T4" s="51">
        <v>1</v>
      </c>
    </row>
    <row r="5" spans="1:24" ht="47" customHeight="1" x14ac:dyDescent="0.15">
      <c r="A5" s="123">
        <v>22</v>
      </c>
      <c r="B5" s="88">
        <f t="shared" si="0"/>
        <v>39014</v>
      </c>
      <c r="C5" s="111">
        <v>2</v>
      </c>
      <c r="D5" s="111">
        <v>8500000</v>
      </c>
      <c r="E5" s="89" t="str">
        <f>$B$2&amp;0&amp;4</f>
        <v>3901404</v>
      </c>
      <c r="F5" s="90" t="s">
        <v>229</v>
      </c>
      <c r="G5" s="90">
        <v>335</v>
      </c>
      <c r="H5" s="90">
        <v>1</v>
      </c>
      <c r="I5" s="90">
        <v>0</v>
      </c>
      <c r="J5" s="90">
        <v>0</v>
      </c>
      <c r="K5" s="90">
        <v>0</v>
      </c>
      <c r="L5" s="90">
        <v>0</v>
      </c>
      <c r="M5" s="90">
        <v>1</v>
      </c>
      <c r="N5" s="90">
        <v>1</v>
      </c>
      <c r="O5" s="90">
        <v>1</v>
      </c>
      <c r="P5" s="90" t="s">
        <v>146</v>
      </c>
      <c r="Q5" s="90" t="s">
        <v>230</v>
      </c>
      <c r="R5" s="90" t="s">
        <v>240</v>
      </c>
      <c r="S5" s="91" t="s">
        <v>244</v>
      </c>
      <c r="T5" s="51">
        <v>1</v>
      </c>
    </row>
    <row r="6" spans="1:24" ht="47" customHeight="1" x14ac:dyDescent="0.15">
      <c r="A6" s="123">
        <v>22</v>
      </c>
      <c r="B6" s="88">
        <f t="shared" si="0"/>
        <v>39014</v>
      </c>
      <c r="C6" s="111">
        <v>2</v>
      </c>
      <c r="D6" s="111">
        <v>7000000</v>
      </c>
      <c r="E6" s="89" t="str">
        <f>$B$2&amp;0&amp;5</f>
        <v>3901405</v>
      </c>
      <c r="F6" s="90" t="s">
        <v>229</v>
      </c>
      <c r="G6" s="90">
        <v>339</v>
      </c>
      <c r="H6" s="90">
        <v>1</v>
      </c>
      <c r="I6" s="90">
        <v>0</v>
      </c>
      <c r="J6" s="90">
        <v>0</v>
      </c>
      <c r="K6" s="90">
        <v>0</v>
      </c>
      <c r="L6" s="90">
        <v>0</v>
      </c>
      <c r="M6" s="90">
        <v>1</v>
      </c>
      <c r="N6" s="90">
        <v>1</v>
      </c>
      <c r="O6" s="90">
        <v>1</v>
      </c>
      <c r="P6" s="90" t="s">
        <v>146</v>
      </c>
      <c r="Q6" s="90" t="s">
        <v>231</v>
      </c>
      <c r="R6" s="90" t="s">
        <v>240</v>
      </c>
      <c r="S6" s="91" t="s">
        <v>245</v>
      </c>
      <c r="T6" s="51">
        <v>1</v>
      </c>
    </row>
    <row r="7" spans="1:24" ht="47" customHeight="1" x14ac:dyDescent="0.15">
      <c r="A7" s="123">
        <v>22</v>
      </c>
      <c r="B7" s="88">
        <f t="shared" si="0"/>
        <v>39014</v>
      </c>
      <c r="C7" s="111">
        <v>2</v>
      </c>
      <c r="D7" s="111">
        <v>5500000</v>
      </c>
      <c r="E7" s="89" t="str">
        <f>$B$2&amp;0&amp;6</f>
        <v>3901406</v>
      </c>
      <c r="F7" s="90" t="s">
        <v>229</v>
      </c>
      <c r="G7" s="90">
        <v>343</v>
      </c>
      <c r="H7" s="90">
        <v>1</v>
      </c>
      <c r="I7" s="90">
        <v>0</v>
      </c>
      <c r="J7" s="90">
        <v>0</v>
      </c>
      <c r="K7" s="90">
        <v>0</v>
      </c>
      <c r="L7" s="90">
        <v>0</v>
      </c>
      <c r="M7" s="90">
        <v>1</v>
      </c>
      <c r="N7" s="90">
        <v>1</v>
      </c>
      <c r="O7" s="90">
        <v>1</v>
      </c>
      <c r="P7" s="90" t="s">
        <v>146</v>
      </c>
      <c r="Q7" s="90" t="s">
        <v>232</v>
      </c>
      <c r="R7" s="90" t="s">
        <v>240</v>
      </c>
      <c r="S7" s="91" t="s">
        <v>246</v>
      </c>
      <c r="T7" s="51">
        <v>1</v>
      </c>
    </row>
    <row r="8" spans="1:24" ht="47" customHeight="1" x14ac:dyDescent="0.15">
      <c r="A8" s="123">
        <v>22</v>
      </c>
      <c r="B8" s="88">
        <f t="shared" si="0"/>
        <v>39014</v>
      </c>
      <c r="C8" s="111">
        <v>2</v>
      </c>
      <c r="D8" s="111">
        <v>4000000</v>
      </c>
      <c r="E8" s="89" t="str">
        <f>$B$2&amp;0&amp;7</f>
        <v>3901407</v>
      </c>
      <c r="F8" s="90" t="s">
        <v>229</v>
      </c>
      <c r="G8" s="90">
        <v>347</v>
      </c>
      <c r="H8" s="90">
        <v>1</v>
      </c>
      <c r="I8" s="90">
        <v>0</v>
      </c>
      <c r="J8" s="90">
        <v>0</v>
      </c>
      <c r="K8" s="90">
        <v>0</v>
      </c>
      <c r="L8" s="90">
        <v>0</v>
      </c>
      <c r="M8" s="90">
        <v>1</v>
      </c>
      <c r="N8" s="90">
        <v>1</v>
      </c>
      <c r="O8" s="90">
        <v>1</v>
      </c>
      <c r="P8" s="90" t="s">
        <v>146</v>
      </c>
      <c r="Q8" s="90" t="s">
        <v>233</v>
      </c>
      <c r="R8" s="90" t="s">
        <v>240</v>
      </c>
      <c r="S8" s="91" t="s">
        <v>246</v>
      </c>
      <c r="T8" s="51">
        <v>1</v>
      </c>
    </row>
    <row r="9" spans="1:24" ht="47" customHeight="1" thickBot="1" x14ac:dyDescent="0.2">
      <c r="A9" s="124">
        <v>23</v>
      </c>
      <c r="B9" s="124">
        <f>$B$2</f>
        <v>39014</v>
      </c>
      <c r="C9" s="111">
        <v>2</v>
      </c>
      <c r="D9" s="125">
        <v>3000000</v>
      </c>
      <c r="E9" s="126" t="str">
        <f>$B$2&amp;0&amp;8</f>
        <v>3901408</v>
      </c>
      <c r="F9" s="127" t="s">
        <v>150</v>
      </c>
      <c r="G9" s="127">
        <v>100000</v>
      </c>
      <c r="H9" s="127" t="s">
        <v>149</v>
      </c>
      <c r="I9" s="127">
        <v>0</v>
      </c>
      <c r="J9" s="127">
        <v>0</v>
      </c>
      <c r="K9" s="127">
        <v>0</v>
      </c>
      <c r="L9" s="127">
        <v>0</v>
      </c>
      <c r="M9" s="127">
        <v>1</v>
      </c>
      <c r="N9" s="127">
        <v>1</v>
      </c>
      <c r="O9" s="127">
        <v>1</v>
      </c>
      <c r="P9" s="127" t="s">
        <v>146</v>
      </c>
      <c r="Q9" s="127" t="s">
        <v>234</v>
      </c>
      <c r="R9" s="127" t="s">
        <v>240</v>
      </c>
      <c r="S9" s="128" t="s">
        <v>247</v>
      </c>
      <c r="T9" s="118">
        <v>1</v>
      </c>
    </row>
    <row r="10" spans="1:24" ht="16" thickTop="1" x14ac:dyDescent="0.15"/>
    <row r="11" spans="1:24" x14ac:dyDescent="0.15">
      <c r="A11" s="178"/>
      <c r="C11" s="112"/>
    </row>
    <row r="14" spans="1:24" ht="17" x14ac:dyDescent="0.2">
      <c r="E14" s="119"/>
      <c r="K14" s="120">
        <v>1</v>
      </c>
      <c r="L14" s="119" t="s">
        <v>220</v>
      </c>
    </row>
    <row r="15" spans="1:24" ht="17" x14ac:dyDescent="0.2">
      <c r="E15" s="119"/>
      <c r="K15" s="121">
        <v>2</v>
      </c>
      <c r="L15" s="119" t="s">
        <v>221</v>
      </c>
    </row>
    <row r="16" spans="1:24" ht="17" x14ac:dyDescent="0.2">
      <c r="E16" s="119"/>
      <c r="K16" s="121">
        <v>3</v>
      </c>
      <c r="L16" s="119" t="s">
        <v>222</v>
      </c>
    </row>
    <row r="17" spans="5:12" ht="17" x14ac:dyDescent="0.2">
      <c r="E17" s="119"/>
      <c r="K17" s="121">
        <v>4</v>
      </c>
      <c r="L17" s="119" t="s">
        <v>223</v>
      </c>
    </row>
    <row r="18" spans="5:12" ht="17" x14ac:dyDescent="0.2">
      <c r="E18" s="119"/>
      <c r="K18" s="121">
        <v>5</v>
      </c>
      <c r="L18" s="119" t="s">
        <v>224</v>
      </c>
    </row>
    <row r="19" spans="5:12" ht="18" thickBot="1" x14ac:dyDescent="0.25">
      <c r="E19" s="119"/>
      <c r="K19" s="122">
        <v>6</v>
      </c>
      <c r="L19" s="119" t="s">
        <v>225</v>
      </c>
    </row>
    <row r="20" spans="5:12" ht="16" thickTop="1" x14ac:dyDescent="0.15"/>
  </sheetData>
  <phoneticPr fontId="1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C1" workbookViewId="0">
      <selection activeCell="C6" sqref="C6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57" t="s">
        <v>60</v>
      </c>
      <c r="B1" s="59" t="s">
        <v>15</v>
      </c>
      <c r="C1" s="59" t="s">
        <v>20</v>
      </c>
      <c r="D1" s="57" t="s">
        <v>62</v>
      </c>
      <c r="E1" s="57" t="s">
        <v>63</v>
      </c>
      <c r="F1" s="74" t="s">
        <v>72</v>
      </c>
      <c r="G1" s="70" t="s">
        <v>64</v>
      </c>
      <c r="H1" s="71" t="s">
        <v>65</v>
      </c>
      <c r="I1" s="71" t="s">
        <v>66</v>
      </c>
      <c r="J1" s="71" t="s">
        <v>67</v>
      </c>
      <c r="K1" s="71" t="s">
        <v>91</v>
      </c>
      <c r="L1" s="71" t="s">
        <v>92</v>
      </c>
      <c r="M1" s="72" t="s">
        <v>93</v>
      </c>
      <c r="N1" s="72" t="s">
        <v>94</v>
      </c>
      <c r="O1" s="72" t="s">
        <v>95</v>
      </c>
      <c r="P1" s="72" t="s">
        <v>97</v>
      </c>
      <c r="Q1" s="72" t="s">
        <v>98</v>
      </c>
      <c r="R1" s="72" t="s">
        <v>68</v>
      </c>
      <c r="S1" s="72" t="s">
        <v>69</v>
      </c>
      <c r="T1" s="72" t="s">
        <v>70</v>
      </c>
      <c r="U1" s="72" t="s">
        <v>71</v>
      </c>
    </row>
    <row r="2" spans="1:21" ht="28" x14ac:dyDescent="0.15">
      <c r="A2" s="63">
        <f>score_attack_expanded_floors!$C$2</f>
        <v>39014</v>
      </c>
      <c r="B2" s="64" t="str">
        <f ca="1">VLOOKUP($A2,OFFSET([2]quests!$A$1,0,0,COUNTA([2]quests!$A:$A),MATCH(B$1,[2]quests!$1:$1,0)-MATCH($A$1,[2]quests!$1:$1,0)+1),MATCH(B$1,[2]quests!$1:$1,0)-MATCH($A$1,[2]quests!$1:$1,0)+1,FALSE)</f>
        <v>金券</v>
      </c>
      <c r="C2" s="64" t="str">
        <f ca="1">VLOOKUP($A2,OFFSET([2]quests!$A$1,0,0,COUNTA([2]quests!$A:$A),MATCH(C$1,[2]quests!$1:$1,0)-MATCH($A$1,[2]quests!$1:$1,0)+1),MATCH(C$1,[2]quests!$1:$1,0)-MATCH($A$1,[2]quests!$1:$1,0)+1,FALSE)</f>
        <v>コラボクエスト</v>
      </c>
      <c r="D2" s="93">
        <v>1</v>
      </c>
      <c r="E2" s="94">
        <v>1</v>
      </c>
      <c r="F2" s="73" t="str">
        <f>A2&amp;TEXT(E2,"0000")</f>
        <v>390140001</v>
      </c>
      <c r="G2" t="str">
        <f>F2&amp;TEXT(COUNTIF(F$2:F2,F2),"00")</f>
        <v>39014000101</v>
      </c>
      <c r="H2" s="75" t="s">
        <v>151</v>
      </c>
      <c r="I2" s="75">
        <v>601</v>
      </c>
      <c r="J2" s="75">
        <v>1</v>
      </c>
      <c r="K2" s="75">
        <v>0</v>
      </c>
      <c r="L2" s="75">
        <v>0</v>
      </c>
      <c r="M2" s="75">
        <v>0</v>
      </c>
      <c r="N2" s="75">
        <v>0</v>
      </c>
      <c r="O2" s="75">
        <v>1</v>
      </c>
      <c r="P2" s="75">
        <v>1</v>
      </c>
      <c r="Q2" s="75">
        <v>1</v>
      </c>
      <c r="R2" s="75" t="s">
        <v>133</v>
      </c>
      <c r="S2" s="75" t="s">
        <v>152</v>
      </c>
      <c r="T2" s="75" t="s">
        <v>153</v>
      </c>
      <c r="U2" s="76" t="s">
        <v>154</v>
      </c>
    </row>
    <row r="3" spans="1:21" ht="28" x14ac:dyDescent="0.15">
      <c r="A3" s="63">
        <f>score_attack_expanded_floors!$C$2</f>
        <v>39014</v>
      </c>
      <c r="B3" s="64" t="str">
        <f ca="1">VLOOKUP($A3,OFFSET([2]quests!$A$1,0,0,COUNTA([2]quests!$A:$A),MATCH(B$1,[2]quests!$1:$1,0)-MATCH($A$1,[2]quests!$1:$1,0)+1),MATCH(B$1,[2]quests!$1:$1,0)-MATCH($A$1,[2]quests!$1:$1,0)+1,FALSE)</f>
        <v>金券</v>
      </c>
      <c r="C3" s="64" t="str">
        <f ca="1">VLOOKUP($A3,OFFSET([2]quests!$A$1,0,0,COUNTA([2]quests!$A:$A),MATCH(C$1,[2]quests!$1:$1,0)-MATCH($A$1,[2]quests!$1:$1,0)+1),MATCH(C$1,[2]quests!$1:$1,0)-MATCH($A$1,[2]quests!$1:$1,0)+1,FALSE)</f>
        <v>コラボクエスト</v>
      </c>
      <c r="D3" s="93">
        <v>1</v>
      </c>
      <c r="E3" s="94">
        <v>1</v>
      </c>
      <c r="F3" s="73" t="str">
        <f t="shared" ref="F3:F42" si="0">A3&amp;TEXT(E3,"0000")</f>
        <v>390140001</v>
      </c>
      <c r="G3" t="str">
        <f>F3&amp;TEXT(COUNTIF(F$2:F3,F3),"00")</f>
        <v>39014000102</v>
      </c>
      <c r="H3" s="75" t="s">
        <v>151</v>
      </c>
      <c r="I3" s="75">
        <v>600</v>
      </c>
      <c r="J3" s="75">
        <v>2</v>
      </c>
      <c r="K3" s="75">
        <v>0</v>
      </c>
      <c r="L3" s="75">
        <v>0</v>
      </c>
      <c r="M3" s="75">
        <v>0</v>
      </c>
      <c r="N3" s="75">
        <v>0</v>
      </c>
      <c r="O3" s="75">
        <v>1</v>
      </c>
      <c r="P3" s="75">
        <v>1</v>
      </c>
      <c r="Q3" s="75">
        <v>1</v>
      </c>
      <c r="R3" s="75" t="s">
        <v>133</v>
      </c>
      <c r="S3" s="75" t="s">
        <v>155</v>
      </c>
      <c r="T3" s="75" t="s">
        <v>153</v>
      </c>
      <c r="U3" s="76" t="s">
        <v>154</v>
      </c>
    </row>
    <row r="4" spans="1:21" ht="28" x14ac:dyDescent="0.15">
      <c r="A4" s="63">
        <f>score_attack_expanded_floors!$C$2</f>
        <v>39014</v>
      </c>
      <c r="B4" s="64" t="str">
        <f ca="1">VLOOKUP($A4,OFFSET([2]quests!$A$1,0,0,COUNTA([2]quests!$A:$A),MATCH(B$1,[2]quests!$1:$1,0)-MATCH($A$1,[2]quests!$1:$1,0)+1),MATCH(B$1,[2]quests!$1:$1,0)-MATCH($A$1,[2]quests!$1:$1,0)+1,FALSE)</f>
        <v>金券</v>
      </c>
      <c r="C4" s="64" t="str">
        <f ca="1">VLOOKUP($A4,OFFSET([2]quests!$A$1,0,0,COUNTA([2]quests!$A:$A),MATCH(C$1,[2]quests!$1:$1,0)-MATCH($A$1,[2]quests!$1:$1,0)+1),MATCH(C$1,[2]quests!$1:$1,0)-MATCH($A$1,[2]quests!$1:$1,0)+1,FALSE)</f>
        <v>コラボクエスト</v>
      </c>
      <c r="D4" s="93">
        <v>1</v>
      </c>
      <c r="E4" s="94">
        <v>1</v>
      </c>
      <c r="F4" s="73" t="str">
        <f t="shared" si="0"/>
        <v>390140001</v>
      </c>
      <c r="G4" t="str">
        <f>F4&amp;TEXT(COUNTIF(F$2:F4,F4),"00")</f>
        <v>39014000103</v>
      </c>
      <c r="H4" s="75" t="s">
        <v>156</v>
      </c>
      <c r="I4" s="75">
        <v>10</v>
      </c>
      <c r="J4" s="75" t="s">
        <v>157</v>
      </c>
      <c r="K4" s="75">
        <v>0</v>
      </c>
      <c r="L4" s="75">
        <v>0</v>
      </c>
      <c r="M4" s="75">
        <v>0</v>
      </c>
      <c r="N4" s="75">
        <v>0</v>
      </c>
      <c r="O4" s="75">
        <v>1</v>
      </c>
      <c r="P4" s="75">
        <v>1</v>
      </c>
      <c r="Q4" s="75">
        <v>1</v>
      </c>
      <c r="R4" s="75" t="s">
        <v>133</v>
      </c>
      <c r="S4" s="75" t="s">
        <v>158</v>
      </c>
      <c r="T4" s="75" t="s">
        <v>153</v>
      </c>
      <c r="U4" s="76" t="s">
        <v>154</v>
      </c>
    </row>
    <row r="5" spans="1:21" ht="28" x14ac:dyDescent="0.15">
      <c r="A5" s="63">
        <f>score_attack_expanded_floors!$C$2</f>
        <v>39014</v>
      </c>
      <c r="B5" s="64" t="str">
        <f ca="1">VLOOKUP($A5,OFFSET([2]quests!$A$1,0,0,COUNTA([2]quests!$A:$A),MATCH(B$1,[2]quests!$1:$1,0)-MATCH($A$1,[2]quests!$1:$1,0)+1),MATCH(B$1,[2]quests!$1:$1,0)-MATCH($A$1,[2]quests!$1:$1,0)+1,FALSE)</f>
        <v>金券</v>
      </c>
      <c r="C5" s="64" t="str">
        <f ca="1">VLOOKUP($A5,OFFSET([2]quests!$A$1,0,0,COUNTA([2]quests!$A:$A),MATCH(C$1,[2]quests!$1:$1,0)-MATCH($A$1,[2]quests!$1:$1,0)+1),MATCH(C$1,[2]quests!$1:$1,0)-MATCH($A$1,[2]quests!$1:$1,0)+1,FALSE)</f>
        <v>コラボクエスト</v>
      </c>
      <c r="D5" s="93">
        <v>1</v>
      </c>
      <c r="E5" s="94">
        <v>1</v>
      </c>
      <c r="F5" s="73" t="str">
        <f t="shared" si="0"/>
        <v>390140001</v>
      </c>
      <c r="G5" t="str">
        <f>F5&amp;TEXT(COUNTIF(F$2:F5,F5),"00")</f>
        <v>39014000104</v>
      </c>
      <c r="H5" s="75" t="s">
        <v>159</v>
      </c>
      <c r="I5" s="75">
        <v>837</v>
      </c>
      <c r="J5" s="75">
        <v>1</v>
      </c>
      <c r="K5" s="75">
        <v>0</v>
      </c>
      <c r="L5" s="75">
        <v>0</v>
      </c>
      <c r="M5" s="75">
        <v>0</v>
      </c>
      <c r="N5" s="75">
        <v>0</v>
      </c>
      <c r="O5" s="75">
        <v>1</v>
      </c>
      <c r="P5" s="75">
        <v>1</v>
      </c>
      <c r="Q5" s="75">
        <v>1</v>
      </c>
      <c r="R5" s="75" t="s">
        <v>133</v>
      </c>
      <c r="S5" s="75" t="s">
        <v>160</v>
      </c>
      <c r="T5" s="75" t="s">
        <v>153</v>
      </c>
      <c r="U5" s="76" t="s">
        <v>154</v>
      </c>
    </row>
    <row r="6" spans="1:21" ht="28" x14ac:dyDescent="0.15">
      <c r="A6" s="63">
        <f>score_attack_expanded_floors!$C$2</f>
        <v>39014</v>
      </c>
      <c r="B6" s="64" t="str">
        <f ca="1">VLOOKUP($A6,OFFSET([2]quests!$A$1,0,0,COUNTA([2]quests!$A:$A),MATCH(B$1,[2]quests!$1:$1,0)-MATCH($A$1,[2]quests!$1:$1,0)+1),MATCH(B$1,[2]quests!$1:$1,0)-MATCH($A$1,[2]quests!$1:$1,0)+1,FALSE)</f>
        <v>金券</v>
      </c>
      <c r="C6" s="64" t="str">
        <f ca="1">VLOOKUP($A6,OFFSET([2]quests!$A$1,0,0,COUNTA([2]quests!$A:$A),MATCH(C$1,[2]quests!$1:$1,0)-MATCH($A$1,[2]quests!$1:$1,0)+1),MATCH(C$1,[2]quests!$1:$1,0)-MATCH($A$1,[2]quests!$1:$1,0)+1,FALSE)</f>
        <v>コラボクエスト</v>
      </c>
      <c r="D6" s="93">
        <v>1</v>
      </c>
      <c r="E6" s="94">
        <v>1</v>
      </c>
      <c r="F6" s="73" t="str">
        <f t="shared" si="0"/>
        <v>390140001</v>
      </c>
      <c r="G6" t="str">
        <f>F6&amp;TEXT(COUNTIF(F$2:F6,F6),"00")</f>
        <v>39014000105</v>
      </c>
      <c r="H6" s="75" t="s">
        <v>159</v>
      </c>
      <c r="I6" s="75">
        <v>614</v>
      </c>
      <c r="J6" s="75">
        <v>1</v>
      </c>
      <c r="K6" s="75">
        <v>0</v>
      </c>
      <c r="L6" s="75">
        <v>0</v>
      </c>
      <c r="M6" s="75">
        <v>0</v>
      </c>
      <c r="N6" s="75">
        <v>0</v>
      </c>
      <c r="O6" s="75">
        <v>1</v>
      </c>
      <c r="P6" s="75">
        <v>1</v>
      </c>
      <c r="Q6" s="75">
        <v>1</v>
      </c>
      <c r="R6" s="75" t="s">
        <v>133</v>
      </c>
      <c r="S6" s="75" t="s">
        <v>161</v>
      </c>
      <c r="T6" s="75" t="s">
        <v>153</v>
      </c>
      <c r="U6" s="76" t="s">
        <v>154</v>
      </c>
    </row>
    <row r="7" spans="1:21" ht="28" x14ac:dyDescent="0.15">
      <c r="A7" s="63">
        <f>score_attack_expanded_floors!$C$2</f>
        <v>39014</v>
      </c>
      <c r="B7" s="64" t="str">
        <f ca="1">VLOOKUP($A7,OFFSET([2]quests!$A$1,0,0,COUNTA([2]quests!$A:$A),MATCH(B$1,[2]quests!$1:$1,0)-MATCH($A$1,[2]quests!$1:$1,0)+1),MATCH(B$1,[2]quests!$1:$1,0)-MATCH($A$1,[2]quests!$1:$1,0)+1,FALSE)</f>
        <v>金券</v>
      </c>
      <c r="C7" s="64" t="str">
        <f ca="1">VLOOKUP($A7,OFFSET([2]quests!$A$1,0,0,COUNTA([2]quests!$A:$A),MATCH(C$1,[2]quests!$1:$1,0)-MATCH($A$1,[2]quests!$1:$1,0)+1),MATCH(C$1,[2]quests!$1:$1,0)-MATCH($A$1,[2]quests!$1:$1,0)+1,FALSE)</f>
        <v>コラボクエスト</v>
      </c>
      <c r="D7" s="93">
        <v>2</v>
      </c>
      <c r="E7" s="94">
        <v>2</v>
      </c>
      <c r="F7" s="73" t="str">
        <f t="shared" si="0"/>
        <v>390140002</v>
      </c>
      <c r="G7" t="str">
        <f>F7&amp;TEXT(COUNTIF(F$2:F7,F7),"00")</f>
        <v>39014000201</v>
      </c>
      <c r="H7" s="75" t="s">
        <v>151</v>
      </c>
      <c r="I7" s="75">
        <v>601</v>
      </c>
      <c r="J7" s="75">
        <v>1</v>
      </c>
      <c r="K7" s="75">
        <v>0</v>
      </c>
      <c r="L7" s="75">
        <v>0</v>
      </c>
      <c r="M7" s="75">
        <v>0</v>
      </c>
      <c r="N7" s="75">
        <v>0</v>
      </c>
      <c r="O7" s="75">
        <v>1</v>
      </c>
      <c r="P7" s="75">
        <v>1</v>
      </c>
      <c r="Q7" s="75">
        <v>1</v>
      </c>
      <c r="R7" s="75" t="s">
        <v>133</v>
      </c>
      <c r="S7" s="75" t="s">
        <v>152</v>
      </c>
      <c r="T7" s="75" t="s">
        <v>153</v>
      </c>
      <c r="U7" s="76" t="s">
        <v>154</v>
      </c>
    </row>
    <row r="8" spans="1:21" ht="28" x14ac:dyDescent="0.15">
      <c r="A8" s="63">
        <f>score_attack_expanded_floors!$C$2</f>
        <v>39014</v>
      </c>
      <c r="B8" s="64" t="str">
        <f ca="1">VLOOKUP($A8,OFFSET([2]quests!$A$1,0,0,COUNTA([2]quests!$A:$A),MATCH(B$1,[2]quests!$1:$1,0)-MATCH($A$1,[2]quests!$1:$1,0)+1),MATCH(B$1,[2]quests!$1:$1,0)-MATCH($A$1,[2]quests!$1:$1,0)+1,FALSE)</f>
        <v>金券</v>
      </c>
      <c r="C8" s="64" t="str">
        <f ca="1">VLOOKUP($A8,OFFSET([2]quests!$A$1,0,0,COUNTA([2]quests!$A:$A),MATCH(C$1,[2]quests!$1:$1,0)-MATCH($A$1,[2]quests!$1:$1,0)+1),MATCH(C$1,[2]quests!$1:$1,0)-MATCH($A$1,[2]quests!$1:$1,0)+1,FALSE)</f>
        <v>コラボクエスト</v>
      </c>
      <c r="D8" s="93">
        <v>2</v>
      </c>
      <c r="E8" s="94">
        <v>2</v>
      </c>
      <c r="F8" s="73" t="str">
        <f t="shared" si="0"/>
        <v>390140002</v>
      </c>
      <c r="G8" t="str">
        <f>F8&amp;TEXT(COUNTIF(F$2:F8,F8),"00")</f>
        <v>39014000202</v>
      </c>
      <c r="H8" s="75" t="s">
        <v>151</v>
      </c>
      <c r="I8" s="75">
        <v>600</v>
      </c>
      <c r="J8" s="75">
        <v>1</v>
      </c>
      <c r="K8" s="75">
        <v>0</v>
      </c>
      <c r="L8" s="75">
        <v>0</v>
      </c>
      <c r="M8" s="75">
        <v>0</v>
      </c>
      <c r="N8" s="75">
        <v>0</v>
      </c>
      <c r="O8" s="75">
        <v>1</v>
      </c>
      <c r="P8" s="75">
        <v>1</v>
      </c>
      <c r="Q8" s="75">
        <v>1</v>
      </c>
      <c r="R8" s="75" t="s">
        <v>133</v>
      </c>
      <c r="S8" s="75" t="s">
        <v>162</v>
      </c>
      <c r="T8" s="75" t="s">
        <v>153</v>
      </c>
      <c r="U8" s="76" t="s">
        <v>154</v>
      </c>
    </row>
    <row r="9" spans="1:21" ht="28" x14ac:dyDescent="0.15">
      <c r="A9" s="63">
        <f>score_attack_expanded_floors!$C$2</f>
        <v>39014</v>
      </c>
      <c r="B9" s="64" t="str">
        <f ca="1">VLOOKUP($A9,OFFSET([2]quests!$A$1,0,0,COUNTA([2]quests!$A:$A),MATCH(B$1,[2]quests!$1:$1,0)-MATCH($A$1,[2]quests!$1:$1,0)+1),MATCH(B$1,[2]quests!$1:$1,0)-MATCH($A$1,[2]quests!$1:$1,0)+1,FALSE)</f>
        <v>金券</v>
      </c>
      <c r="C9" s="64" t="str">
        <f ca="1">VLOOKUP($A9,OFFSET([2]quests!$A$1,0,0,COUNTA([2]quests!$A:$A),MATCH(C$1,[2]quests!$1:$1,0)-MATCH($A$1,[2]quests!$1:$1,0)+1),MATCH(C$1,[2]quests!$1:$1,0)-MATCH($A$1,[2]quests!$1:$1,0)+1,FALSE)</f>
        <v>コラボクエスト</v>
      </c>
      <c r="D9" s="93">
        <v>2</v>
      </c>
      <c r="E9" s="94">
        <v>2</v>
      </c>
      <c r="F9" s="73" t="str">
        <f t="shared" si="0"/>
        <v>390140002</v>
      </c>
      <c r="G9" t="str">
        <f>F9&amp;TEXT(COUNTIF(F$2:F9,F9),"00")</f>
        <v>39014000203</v>
      </c>
      <c r="H9" s="75" t="s">
        <v>156</v>
      </c>
      <c r="I9" s="75">
        <v>5</v>
      </c>
      <c r="J9" s="75" t="s">
        <v>157</v>
      </c>
      <c r="K9" s="75">
        <v>0</v>
      </c>
      <c r="L9" s="75">
        <v>0</v>
      </c>
      <c r="M9" s="75">
        <v>0</v>
      </c>
      <c r="N9" s="75">
        <v>0</v>
      </c>
      <c r="O9" s="75">
        <v>1</v>
      </c>
      <c r="P9" s="75">
        <v>1</v>
      </c>
      <c r="Q9" s="75">
        <v>1</v>
      </c>
      <c r="R9" s="75" t="s">
        <v>133</v>
      </c>
      <c r="S9" s="75" t="s">
        <v>163</v>
      </c>
      <c r="T9" s="75" t="s">
        <v>153</v>
      </c>
      <c r="U9" s="76" t="s">
        <v>154</v>
      </c>
    </row>
    <row r="10" spans="1:21" ht="28" x14ac:dyDescent="0.15">
      <c r="A10" s="63">
        <f>score_attack_expanded_floors!$C$2</f>
        <v>39014</v>
      </c>
      <c r="B10" s="64" t="str">
        <f ca="1">VLOOKUP($A10,OFFSET([2]quests!$A$1,0,0,COUNTA([2]quests!$A:$A),MATCH(B$1,[2]quests!$1:$1,0)-MATCH($A$1,[2]quests!$1:$1,0)+1),MATCH(B$1,[2]quests!$1:$1,0)-MATCH($A$1,[2]quests!$1:$1,0)+1,FALSE)</f>
        <v>金券</v>
      </c>
      <c r="C10" s="64" t="str">
        <f ca="1">VLOOKUP($A10,OFFSET([2]quests!$A$1,0,0,COUNTA([2]quests!$A:$A),MATCH(C$1,[2]quests!$1:$1,0)-MATCH($A$1,[2]quests!$1:$1,0)+1),MATCH(C$1,[2]quests!$1:$1,0)-MATCH($A$1,[2]quests!$1:$1,0)+1,FALSE)</f>
        <v>コラボクエスト</v>
      </c>
      <c r="D10" s="93">
        <v>2</v>
      </c>
      <c r="E10" s="94">
        <v>2</v>
      </c>
      <c r="F10" s="73" t="str">
        <f t="shared" si="0"/>
        <v>390140002</v>
      </c>
      <c r="G10" t="str">
        <f>F10&amp;TEXT(COUNTIF(F$2:F10,F10),"00")</f>
        <v>39014000204</v>
      </c>
      <c r="H10" s="75" t="s">
        <v>159</v>
      </c>
      <c r="I10" s="75">
        <v>610</v>
      </c>
      <c r="J10" s="75">
        <v>1</v>
      </c>
      <c r="K10" s="75">
        <v>0</v>
      </c>
      <c r="L10" s="75">
        <v>0</v>
      </c>
      <c r="M10" s="75">
        <v>0</v>
      </c>
      <c r="N10" s="75">
        <v>0</v>
      </c>
      <c r="O10" s="75">
        <v>1</v>
      </c>
      <c r="P10" s="75">
        <v>1</v>
      </c>
      <c r="Q10" s="75">
        <v>1</v>
      </c>
      <c r="R10" s="75" t="s">
        <v>133</v>
      </c>
      <c r="S10" s="75" t="s">
        <v>164</v>
      </c>
      <c r="T10" s="75" t="s">
        <v>153</v>
      </c>
      <c r="U10" s="76" t="s">
        <v>154</v>
      </c>
    </row>
    <row r="11" spans="1:21" ht="28" x14ac:dyDescent="0.15">
      <c r="A11" s="63">
        <f>score_attack_expanded_floors!$C$2</f>
        <v>39014</v>
      </c>
      <c r="B11" s="64" t="str">
        <f ca="1">VLOOKUP($A11,OFFSET([2]quests!$A$1,0,0,COUNTA([2]quests!$A:$A),MATCH(B$1,[2]quests!$1:$1,0)-MATCH($A$1,[2]quests!$1:$1,0)+1),MATCH(B$1,[2]quests!$1:$1,0)-MATCH($A$1,[2]quests!$1:$1,0)+1,FALSE)</f>
        <v>金券</v>
      </c>
      <c r="C11" s="64" t="str">
        <f ca="1">VLOOKUP($A11,OFFSET([2]quests!$A$1,0,0,COUNTA([2]quests!$A:$A),MATCH(C$1,[2]quests!$1:$1,0)-MATCH($A$1,[2]quests!$1:$1,0)+1),MATCH(C$1,[2]quests!$1:$1,0)-MATCH($A$1,[2]quests!$1:$1,0)+1,FALSE)</f>
        <v>コラボクエスト</v>
      </c>
      <c r="D11" s="93">
        <v>2</v>
      </c>
      <c r="E11" s="94">
        <v>2</v>
      </c>
      <c r="F11" s="73" t="str">
        <f t="shared" si="0"/>
        <v>390140002</v>
      </c>
      <c r="G11" t="str">
        <f>F11&amp;TEXT(COUNTIF(F$2:F11,F11),"00")</f>
        <v>39014000205</v>
      </c>
      <c r="H11" s="75" t="s">
        <v>151</v>
      </c>
      <c r="I11" s="75">
        <v>1</v>
      </c>
      <c r="J11" s="75">
        <v>3</v>
      </c>
      <c r="K11" s="75">
        <v>0</v>
      </c>
      <c r="L11" s="75">
        <v>0</v>
      </c>
      <c r="M11" s="75">
        <v>0</v>
      </c>
      <c r="N11" s="75">
        <v>0</v>
      </c>
      <c r="O11" s="75">
        <v>1</v>
      </c>
      <c r="P11" s="75">
        <v>1</v>
      </c>
      <c r="Q11" s="75">
        <v>1</v>
      </c>
      <c r="R11" s="75" t="s">
        <v>133</v>
      </c>
      <c r="S11" s="75" t="s">
        <v>165</v>
      </c>
      <c r="T11" s="75" t="s">
        <v>153</v>
      </c>
      <c r="U11" s="76" t="s">
        <v>154</v>
      </c>
    </row>
    <row r="12" spans="1:21" ht="28" x14ac:dyDescent="0.15">
      <c r="A12" s="63">
        <f>score_attack_expanded_floors!$C$2</f>
        <v>39014</v>
      </c>
      <c r="B12" s="64" t="str">
        <f ca="1">VLOOKUP($A12,OFFSET([2]quests!$A$1,0,0,COUNTA([2]quests!$A:$A),MATCH(B$1,[2]quests!$1:$1,0)-MATCH($A$1,[2]quests!$1:$1,0)+1),MATCH(B$1,[2]quests!$1:$1,0)-MATCH($A$1,[2]quests!$1:$1,0)+1,FALSE)</f>
        <v>金券</v>
      </c>
      <c r="C12" s="64" t="str">
        <f ca="1">VLOOKUP($A12,OFFSET([2]quests!$A$1,0,0,COUNTA([2]quests!$A:$A),MATCH(C$1,[2]quests!$1:$1,0)-MATCH($A$1,[2]quests!$1:$1,0)+1),MATCH(C$1,[2]quests!$1:$1,0)-MATCH($A$1,[2]quests!$1:$1,0)+1,FALSE)</f>
        <v>コラボクエスト</v>
      </c>
      <c r="D12" s="93">
        <v>3</v>
      </c>
      <c r="E12" s="94">
        <v>3</v>
      </c>
      <c r="F12" s="73" t="str">
        <f t="shared" si="0"/>
        <v>390140003</v>
      </c>
      <c r="G12" t="str">
        <f>F12&amp;TEXT(COUNTIF(F$2:F12,F12),"00")</f>
        <v>39014000301</v>
      </c>
      <c r="H12" s="75" t="s">
        <v>151</v>
      </c>
      <c r="I12" s="75">
        <v>600</v>
      </c>
      <c r="J12" s="75">
        <v>3</v>
      </c>
      <c r="K12" s="75">
        <v>0</v>
      </c>
      <c r="L12" s="75">
        <v>0</v>
      </c>
      <c r="M12" s="75">
        <v>0</v>
      </c>
      <c r="N12" s="75">
        <v>0</v>
      </c>
      <c r="O12" s="75">
        <v>1</v>
      </c>
      <c r="P12" s="75">
        <v>1</v>
      </c>
      <c r="Q12" s="75">
        <v>1</v>
      </c>
      <c r="R12" s="75" t="s">
        <v>133</v>
      </c>
      <c r="S12" s="75" t="s">
        <v>166</v>
      </c>
      <c r="T12" s="75" t="s">
        <v>153</v>
      </c>
      <c r="U12" s="76" t="s">
        <v>154</v>
      </c>
    </row>
    <row r="13" spans="1:21" ht="28" x14ac:dyDescent="0.15">
      <c r="A13" s="63">
        <f>score_attack_expanded_floors!$C$2</f>
        <v>39014</v>
      </c>
      <c r="B13" s="64" t="str">
        <f ca="1">VLOOKUP($A13,OFFSET([2]quests!$A$1,0,0,COUNTA([2]quests!$A:$A),MATCH(B$1,[2]quests!$1:$1,0)-MATCH($A$1,[2]quests!$1:$1,0)+1),MATCH(B$1,[2]quests!$1:$1,0)-MATCH($A$1,[2]quests!$1:$1,0)+1,FALSE)</f>
        <v>金券</v>
      </c>
      <c r="C13" s="64" t="str">
        <f ca="1">VLOOKUP($A13,OFFSET([2]quests!$A$1,0,0,COUNTA([2]quests!$A:$A),MATCH(C$1,[2]quests!$1:$1,0)-MATCH($A$1,[2]quests!$1:$1,0)+1),MATCH(C$1,[2]quests!$1:$1,0)-MATCH($A$1,[2]quests!$1:$1,0)+1,FALSE)</f>
        <v>コラボクエスト</v>
      </c>
      <c r="D13" s="93">
        <v>3</v>
      </c>
      <c r="E13" s="94">
        <v>3</v>
      </c>
      <c r="F13" s="73" t="str">
        <f t="shared" si="0"/>
        <v>390140003</v>
      </c>
      <c r="G13" t="str">
        <f>F13&amp;TEXT(COUNTIF(F$2:F13,F13),"00")</f>
        <v>39014000302</v>
      </c>
      <c r="H13" s="75" t="s">
        <v>159</v>
      </c>
      <c r="I13" s="75">
        <v>335</v>
      </c>
      <c r="J13" s="75">
        <v>1</v>
      </c>
      <c r="K13" s="75">
        <v>0</v>
      </c>
      <c r="L13" s="75">
        <v>0</v>
      </c>
      <c r="M13" s="75">
        <v>0</v>
      </c>
      <c r="N13" s="75">
        <v>0</v>
      </c>
      <c r="O13" s="75">
        <v>1</v>
      </c>
      <c r="P13" s="75">
        <v>1</v>
      </c>
      <c r="Q13" s="75">
        <v>1</v>
      </c>
      <c r="R13" s="75" t="s">
        <v>133</v>
      </c>
      <c r="S13" s="75" t="s">
        <v>167</v>
      </c>
      <c r="T13" s="75" t="s">
        <v>153</v>
      </c>
      <c r="U13" s="76" t="s">
        <v>154</v>
      </c>
    </row>
    <row r="14" spans="1:21" ht="28" x14ac:dyDescent="0.15">
      <c r="A14" s="63">
        <f>score_attack_expanded_floors!$C$2</f>
        <v>39014</v>
      </c>
      <c r="B14" s="64" t="str">
        <f ca="1">VLOOKUP($A14,OFFSET([2]quests!$A$1,0,0,COUNTA([2]quests!$A:$A),MATCH(B$1,[2]quests!$1:$1,0)-MATCH($A$1,[2]quests!$1:$1,0)+1),MATCH(B$1,[2]quests!$1:$1,0)-MATCH($A$1,[2]quests!$1:$1,0)+1,FALSE)</f>
        <v>金券</v>
      </c>
      <c r="C14" s="64" t="str">
        <f ca="1">VLOOKUP($A14,OFFSET([2]quests!$A$1,0,0,COUNTA([2]quests!$A:$A),MATCH(C$1,[2]quests!$1:$1,0)-MATCH($A$1,[2]quests!$1:$1,0)+1),MATCH(C$1,[2]quests!$1:$1,0)-MATCH($A$1,[2]quests!$1:$1,0)+1,FALSE)</f>
        <v>コラボクエスト</v>
      </c>
      <c r="D14" s="93">
        <v>3</v>
      </c>
      <c r="E14" s="94">
        <v>3</v>
      </c>
      <c r="F14" s="73" t="str">
        <f t="shared" si="0"/>
        <v>390140003</v>
      </c>
      <c r="G14" t="str">
        <f>F14&amp;TEXT(COUNTIF(F$2:F14,F14),"00")</f>
        <v>39014000303</v>
      </c>
      <c r="H14" s="75" t="s">
        <v>159</v>
      </c>
      <c r="I14" s="75">
        <v>339</v>
      </c>
      <c r="J14" s="75">
        <v>1</v>
      </c>
      <c r="K14" s="75">
        <v>0</v>
      </c>
      <c r="L14" s="75">
        <v>0</v>
      </c>
      <c r="M14" s="75">
        <v>0</v>
      </c>
      <c r="N14" s="75">
        <v>0</v>
      </c>
      <c r="O14" s="75">
        <v>1</v>
      </c>
      <c r="P14" s="75">
        <v>1</v>
      </c>
      <c r="Q14" s="75">
        <v>1</v>
      </c>
      <c r="R14" s="75" t="s">
        <v>133</v>
      </c>
      <c r="S14" s="75" t="s">
        <v>168</v>
      </c>
      <c r="T14" s="75" t="s">
        <v>153</v>
      </c>
      <c r="U14" s="76" t="s">
        <v>154</v>
      </c>
    </row>
    <row r="15" spans="1:21" ht="28" x14ac:dyDescent="0.15">
      <c r="A15" s="63">
        <f>score_attack_expanded_floors!$C$2</f>
        <v>39014</v>
      </c>
      <c r="B15" s="64" t="str">
        <f ca="1">VLOOKUP($A15,OFFSET([2]quests!$A$1,0,0,COUNTA([2]quests!$A:$A),MATCH(B$1,[2]quests!$1:$1,0)-MATCH($A$1,[2]quests!$1:$1,0)+1),MATCH(B$1,[2]quests!$1:$1,0)-MATCH($A$1,[2]quests!$1:$1,0)+1,FALSE)</f>
        <v>金券</v>
      </c>
      <c r="C15" s="64" t="str">
        <f ca="1">VLOOKUP($A15,OFFSET([2]quests!$A$1,0,0,COUNTA([2]quests!$A:$A),MATCH(C$1,[2]quests!$1:$1,0)-MATCH($A$1,[2]quests!$1:$1,0)+1),MATCH(C$1,[2]quests!$1:$1,0)-MATCH($A$1,[2]quests!$1:$1,0)+1,FALSE)</f>
        <v>コラボクエスト</v>
      </c>
      <c r="D15" s="93">
        <v>3</v>
      </c>
      <c r="E15" s="94">
        <v>3</v>
      </c>
      <c r="F15" s="73" t="str">
        <f t="shared" si="0"/>
        <v>390140003</v>
      </c>
      <c r="G15" t="str">
        <f>F15&amp;TEXT(COUNTIF(F$2:F15,F15),"00")</f>
        <v>39014000304</v>
      </c>
      <c r="H15" s="75" t="s">
        <v>159</v>
      </c>
      <c r="I15" s="75">
        <v>343</v>
      </c>
      <c r="J15" s="75">
        <v>1</v>
      </c>
      <c r="K15" s="75">
        <v>0</v>
      </c>
      <c r="L15" s="75">
        <v>0</v>
      </c>
      <c r="M15" s="75">
        <v>0</v>
      </c>
      <c r="N15" s="75">
        <v>0</v>
      </c>
      <c r="O15" s="75">
        <v>1</v>
      </c>
      <c r="P15" s="75">
        <v>1</v>
      </c>
      <c r="Q15" s="75">
        <v>1</v>
      </c>
      <c r="R15" s="75" t="s">
        <v>133</v>
      </c>
      <c r="S15" s="75" t="s">
        <v>169</v>
      </c>
      <c r="T15" s="75" t="s">
        <v>153</v>
      </c>
      <c r="U15" s="76" t="s">
        <v>154</v>
      </c>
    </row>
    <row r="16" spans="1:21" ht="28" x14ac:dyDescent="0.15">
      <c r="A16" s="63">
        <f>score_attack_expanded_floors!$C$2</f>
        <v>39014</v>
      </c>
      <c r="B16" s="64" t="str">
        <f ca="1">VLOOKUP($A16,OFFSET([2]quests!$A$1,0,0,COUNTA([2]quests!$A:$A),MATCH(B$1,[2]quests!$1:$1,0)-MATCH($A$1,[2]quests!$1:$1,0)+1),MATCH(B$1,[2]quests!$1:$1,0)-MATCH($A$1,[2]quests!$1:$1,0)+1,FALSE)</f>
        <v>金券</v>
      </c>
      <c r="C16" s="64" t="str">
        <f ca="1">VLOOKUP($A16,OFFSET([2]quests!$A$1,0,0,COUNTA([2]quests!$A:$A),MATCH(C$1,[2]quests!$1:$1,0)-MATCH($A$1,[2]quests!$1:$1,0)+1),MATCH(C$1,[2]quests!$1:$1,0)-MATCH($A$1,[2]quests!$1:$1,0)+1,FALSE)</f>
        <v>コラボクエスト</v>
      </c>
      <c r="D16" s="93">
        <v>3</v>
      </c>
      <c r="E16" s="94">
        <v>3</v>
      </c>
      <c r="F16" s="73" t="str">
        <f t="shared" si="0"/>
        <v>390140003</v>
      </c>
      <c r="G16" t="str">
        <f>F16&amp;TEXT(COUNTIF(F$2:F16,F16),"00")</f>
        <v>39014000305</v>
      </c>
      <c r="H16" s="75" t="s">
        <v>159</v>
      </c>
      <c r="I16" s="75">
        <v>347</v>
      </c>
      <c r="J16" s="75">
        <v>1</v>
      </c>
      <c r="K16" s="75">
        <v>0</v>
      </c>
      <c r="L16" s="75">
        <v>0</v>
      </c>
      <c r="M16" s="75">
        <v>0</v>
      </c>
      <c r="N16" s="75">
        <v>0</v>
      </c>
      <c r="O16" s="75">
        <v>1</v>
      </c>
      <c r="P16" s="75">
        <v>1</v>
      </c>
      <c r="Q16" s="75">
        <v>1</v>
      </c>
      <c r="R16" s="75" t="s">
        <v>133</v>
      </c>
      <c r="S16" s="75" t="s">
        <v>170</v>
      </c>
      <c r="T16" s="75" t="s">
        <v>153</v>
      </c>
      <c r="U16" s="76" t="s">
        <v>154</v>
      </c>
    </row>
    <row r="17" spans="1:21" ht="28" x14ac:dyDescent="0.15">
      <c r="A17" s="63">
        <f>score_attack_expanded_floors!$C$2</f>
        <v>39014</v>
      </c>
      <c r="B17" s="64" t="str">
        <f ca="1">VLOOKUP($A17,OFFSET([2]quests!$A$1,0,0,COUNTA([2]quests!$A:$A),MATCH(B$1,[2]quests!$1:$1,0)-MATCH($A$1,[2]quests!$1:$1,0)+1),MATCH(B$1,[2]quests!$1:$1,0)-MATCH($A$1,[2]quests!$1:$1,0)+1,FALSE)</f>
        <v>金券</v>
      </c>
      <c r="C17" s="64" t="str">
        <f ca="1">VLOOKUP($A17,OFFSET([2]quests!$A$1,0,0,COUNTA([2]quests!$A:$A),MATCH(C$1,[2]quests!$1:$1,0)-MATCH($A$1,[2]quests!$1:$1,0)+1),MATCH(C$1,[2]quests!$1:$1,0)-MATCH($A$1,[2]quests!$1:$1,0)+1,FALSE)</f>
        <v>コラボクエスト</v>
      </c>
      <c r="D17" s="93">
        <v>3</v>
      </c>
      <c r="E17" s="94">
        <v>3</v>
      </c>
      <c r="F17" s="73" t="str">
        <f t="shared" si="0"/>
        <v>390140003</v>
      </c>
      <c r="G17" t="str">
        <f>F17&amp;TEXT(COUNTIF(F$2:F17,F17),"00")</f>
        <v>39014000306</v>
      </c>
      <c r="H17" s="75" t="s">
        <v>156</v>
      </c>
      <c r="I17" s="75">
        <v>5</v>
      </c>
      <c r="J17" s="75" t="s">
        <v>157</v>
      </c>
      <c r="K17" s="75">
        <v>0</v>
      </c>
      <c r="L17" s="75">
        <v>0</v>
      </c>
      <c r="M17" s="75">
        <v>0</v>
      </c>
      <c r="N17" s="75">
        <v>0</v>
      </c>
      <c r="O17" s="75">
        <v>1</v>
      </c>
      <c r="P17" s="75">
        <v>1</v>
      </c>
      <c r="Q17" s="75">
        <v>1</v>
      </c>
      <c r="R17" s="75" t="s">
        <v>133</v>
      </c>
      <c r="S17" s="75" t="s">
        <v>163</v>
      </c>
      <c r="T17" s="75" t="s">
        <v>153</v>
      </c>
      <c r="U17" s="76" t="s">
        <v>154</v>
      </c>
    </row>
    <row r="18" spans="1:21" ht="28" x14ac:dyDescent="0.15">
      <c r="A18" s="63">
        <f>score_attack_expanded_floors!$C$2</f>
        <v>39014</v>
      </c>
      <c r="B18" s="64" t="str">
        <f ca="1">VLOOKUP($A18,OFFSET([2]quests!$A$1,0,0,COUNTA([2]quests!$A:$A),MATCH(B$1,[2]quests!$1:$1,0)-MATCH($A$1,[2]quests!$1:$1,0)+1),MATCH(B$1,[2]quests!$1:$1,0)-MATCH($A$1,[2]quests!$1:$1,0)+1,FALSE)</f>
        <v>金券</v>
      </c>
      <c r="C18" s="64" t="str">
        <f ca="1">VLOOKUP($A18,OFFSET([2]quests!$A$1,0,0,COUNTA([2]quests!$A:$A),MATCH(C$1,[2]quests!$1:$1,0)-MATCH($A$1,[2]quests!$1:$1,0)+1),MATCH(C$1,[2]quests!$1:$1,0)-MATCH($A$1,[2]quests!$1:$1,0)+1,FALSE)</f>
        <v>コラボクエスト</v>
      </c>
      <c r="D18" s="93">
        <v>3</v>
      </c>
      <c r="E18" s="94">
        <v>3</v>
      </c>
      <c r="F18" s="73" t="str">
        <f t="shared" si="0"/>
        <v>390140003</v>
      </c>
      <c r="G18" t="str">
        <f>F18&amp;TEXT(COUNTIF(F$2:F18,F18),"00")</f>
        <v>39014000307</v>
      </c>
      <c r="H18" s="75" t="s">
        <v>159</v>
      </c>
      <c r="I18" s="75">
        <v>125</v>
      </c>
      <c r="J18" s="75">
        <v>1</v>
      </c>
      <c r="K18" s="75">
        <v>0</v>
      </c>
      <c r="L18" s="75">
        <v>0</v>
      </c>
      <c r="M18" s="75">
        <v>0</v>
      </c>
      <c r="N18" s="75">
        <v>0</v>
      </c>
      <c r="O18" s="75">
        <v>1</v>
      </c>
      <c r="P18" s="75">
        <v>1</v>
      </c>
      <c r="Q18" s="75">
        <v>1</v>
      </c>
      <c r="R18" s="75" t="s">
        <v>133</v>
      </c>
      <c r="S18" s="75" t="s">
        <v>171</v>
      </c>
      <c r="T18" s="75" t="s">
        <v>153</v>
      </c>
      <c r="U18" s="76" t="s">
        <v>154</v>
      </c>
    </row>
    <row r="19" spans="1:21" ht="28" x14ac:dyDescent="0.15">
      <c r="A19" s="63">
        <f>score_attack_expanded_floors!$C$2</f>
        <v>39014</v>
      </c>
      <c r="B19" s="64" t="str">
        <f ca="1">VLOOKUP($A19,OFFSET([2]quests!$A$1,0,0,COUNTA([2]quests!$A:$A),MATCH(B$1,[2]quests!$1:$1,0)-MATCH($A$1,[2]quests!$1:$1,0)+1),MATCH(B$1,[2]quests!$1:$1,0)-MATCH($A$1,[2]quests!$1:$1,0)+1,FALSE)</f>
        <v>金券</v>
      </c>
      <c r="C19" s="64" t="str">
        <f ca="1">VLOOKUP($A19,OFFSET([2]quests!$A$1,0,0,COUNTA([2]quests!$A:$A),MATCH(C$1,[2]quests!$1:$1,0)-MATCH($A$1,[2]quests!$1:$1,0)+1),MATCH(C$1,[2]quests!$1:$1,0)-MATCH($A$1,[2]quests!$1:$1,0)+1,FALSE)</f>
        <v>コラボクエスト</v>
      </c>
      <c r="D19" s="93">
        <v>3</v>
      </c>
      <c r="E19" s="94">
        <v>3</v>
      </c>
      <c r="F19" s="73" t="str">
        <f t="shared" si="0"/>
        <v>390140003</v>
      </c>
      <c r="G19" t="str">
        <f>F19&amp;TEXT(COUNTIF(F$2:F19,F19),"00")</f>
        <v>39014000308</v>
      </c>
      <c r="H19" s="75" t="s">
        <v>151</v>
      </c>
      <c r="I19" s="75">
        <v>1</v>
      </c>
      <c r="J19" s="75">
        <v>1</v>
      </c>
      <c r="K19" s="75">
        <v>0</v>
      </c>
      <c r="L19" s="75">
        <v>0</v>
      </c>
      <c r="M19" s="75">
        <v>0</v>
      </c>
      <c r="N19" s="75">
        <v>0</v>
      </c>
      <c r="O19" s="75">
        <v>1</v>
      </c>
      <c r="P19" s="75">
        <v>1</v>
      </c>
      <c r="Q19" s="75">
        <v>1</v>
      </c>
      <c r="R19" s="75" t="s">
        <v>133</v>
      </c>
      <c r="S19" s="75" t="s">
        <v>172</v>
      </c>
      <c r="T19" s="75" t="s">
        <v>153</v>
      </c>
      <c r="U19" s="76" t="s">
        <v>154</v>
      </c>
    </row>
    <row r="20" spans="1:21" ht="28" x14ac:dyDescent="0.15">
      <c r="A20" s="63">
        <f>score_attack_expanded_floors!$C$2</f>
        <v>39014</v>
      </c>
      <c r="B20" s="64" t="str">
        <f ca="1">VLOOKUP($A20,OFFSET([2]quests!$A$1,0,0,COUNTA([2]quests!$A:$A),MATCH(B$1,[2]quests!$1:$1,0)-MATCH($A$1,[2]quests!$1:$1,0)+1),MATCH(B$1,[2]quests!$1:$1,0)-MATCH($A$1,[2]quests!$1:$1,0)+1,FALSE)</f>
        <v>金券</v>
      </c>
      <c r="C20" s="64" t="str">
        <f ca="1">VLOOKUP($A20,OFFSET([2]quests!$A$1,0,0,COUNTA([2]quests!$A:$A),MATCH(C$1,[2]quests!$1:$1,0)-MATCH($A$1,[2]quests!$1:$1,0)+1),MATCH(C$1,[2]quests!$1:$1,0)-MATCH($A$1,[2]quests!$1:$1,0)+1,FALSE)</f>
        <v>コラボクエスト</v>
      </c>
      <c r="D20" s="93">
        <v>4</v>
      </c>
      <c r="E20" s="94">
        <v>5</v>
      </c>
      <c r="F20" s="73" t="str">
        <f t="shared" si="0"/>
        <v>390140005</v>
      </c>
      <c r="G20" t="str">
        <f>F20&amp;TEXT(COUNTIF(F$2:F20,F20),"00")</f>
        <v>39014000501</v>
      </c>
      <c r="H20" s="75" t="s">
        <v>151</v>
      </c>
      <c r="I20" s="75">
        <v>600</v>
      </c>
      <c r="J20" s="75">
        <v>2</v>
      </c>
      <c r="K20" s="75">
        <v>0</v>
      </c>
      <c r="L20" s="75">
        <v>0</v>
      </c>
      <c r="M20" s="75">
        <v>0</v>
      </c>
      <c r="N20" s="75">
        <v>0</v>
      </c>
      <c r="O20" s="75">
        <v>1</v>
      </c>
      <c r="P20" s="75">
        <v>1</v>
      </c>
      <c r="Q20" s="75">
        <v>1</v>
      </c>
      <c r="R20" s="75" t="s">
        <v>133</v>
      </c>
      <c r="S20" s="75" t="s">
        <v>155</v>
      </c>
      <c r="T20" s="75" t="s">
        <v>153</v>
      </c>
      <c r="U20" s="76" t="s">
        <v>154</v>
      </c>
    </row>
    <row r="21" spans="1:21" ht="28" x14ac:dyDescent="0.15">
      <c r="A21" s="63">
        <f>score_attack_expanded_floors!$C$2</f>
        <v>39014</v>
      </c>
      <c r="B21" s="64" t="str">
        <f ca="1">VLOOKUP($A21,OFFSET([2]quests!$A$1,0,0,COUNTA([2]quests!$A:$A),MATCH(B$1,[2]quests!$1:$1,0)-MATCH($A$1,[2]quests!$1:$1,0)+1),MATCH(B$1,[2]quests!$1:$1,0)-MATCH($A$1,[2]quests!$1:$1,0)+1,FALSE)</f>
        <v>金券</v>
      </c>
      <c r="C21" s="64" t="str">
        <f ca="1">VLOOKUP($A21,OFFSET([2]quests!$A$1,0,0,COUNTA([2]quests!$A:$A),MATCH(C$1,[2]quests!$1:$1,0)-MATCH($A$1,[2]quests!$1:$1,0)+1),MATCH(C$1,[2]quests!$1:$1,0)-MATCH($A$1,[2]quests!$1:$1,0)+1,FALSE)</f>
        <v>コラボクエスト</v>
      </c>
      <c r="D21" s="93">
        <v>4</v>
      </c>
      <c r="E21" s="94">
        <v>5</v>
      </c>
      <c r="F21" s="73" t="str">
        <f t="shared" si="0"/>
        <v>390140005</v>
      </c>
      <c r="G21" t="str">
        <f>F21&amp;TEXT(COUNTIF(F$2:F21,F21),"00")</f>
        <v>39014000502</v>
      </c>
      <c r="H21" s="75" t="s">
        <v>159</v>
      </c>
      <c r="I21" s="75">
        <v>335</v>
      </c>
      <c r="J21" s="75">
        <v>1</v>
      </c>
      <c r="K21" s="75">
        <v>0</v>
      </c>
      <c r="L21" s="75">
        <v>0</v>
      </c>
      <c r="M21" s="75">
        <v>0</v>
      </c>
      <c r="N21" s="75">
        <v>0</v>
      </c>
      <c r="O21" s="75">
        <v>1</v>
      </c>
      <c r="P21" s="75">
        <v>1</v>
      </c>
      <c r="Q21" s="75">
        <v>1</v>
      </c>
      <c r="R21" s="75" t="s">
        <v>133</v>
      </c>
      <c r="S21" s="75" t="s">
        <v>167</v>
      </c>
      <c r="T21" s="75" t="s">
        <v>153</v>
      </c>
      <c r="U21" s="76" t="s">
        <v>154</v>
      </c>
    </row>
    <row r="22" spans="1:21" ht="28" x14ac:dyDescent="0.15">
      <c r="A22" s="63">
        <f>score_attack_expanded_floors!$C$2</f>
        <v>39014</v>
      </c>
      <c r="B22" s="64" t="str">
        <f ca="1">VLOOKUP($A22,OFFSET([2]quests!$A$1,0,0,COUNTA([2]quests!$A:$A),MATCH(B$1,[2]quests!$1:$1,0)-MATCH($A$1,[2]quests!$1:$1,0)+1),MATCH(B$1,[2]quests!$1:$1,0)-MATCH($A$1,[2]quests!$1:$1,0)+1,FALSE)</f>
        <v>金券</v>
      </c>
      <c r="C22" s="64" t="str">
        <f ca="1">VLOOKUP($A22,OFFSET([2]quests!$A$1,0,0,COUNTA([2]quests!$A:$A),MATCH(C$1,[2]quests!$1:$1,0)-MATCH($A$1,[2]quests!$1:$1,0)+1),MATCH(C$1,[2]quests!$1:$1,0)-MATCH($A$1,[2]quests!$1:$1,0)+1,FALSE)</f>
        <v>コラボクエスト</v>
      </c>
      <c r="D22" s="93">
        <v>4</v>
      </c>
      <c r="E22" s="94">
        <v>5</v>
      </c>
      <c r="F22" s="73" t="str">
        <f t="shared" si="0"/>
        <v>390140005</v>
      </c>
      <c r="G22" t="str">
        <f>F22&amp;TEXT(COUNTIF(F$2:F22,F22),"00")</f>
        <v>39014000503</v>
      </c>
      <c r="H22" s="75" t="s">
        <v>159</v>
      </c>
      <c r="I22" s="75">
        <v>339</v>
      </c>
      <c r="J22" s="75">
        <v>1</v>
      </c>
      <c r="K22" s="75">
        <v>0</v>
      </c>
      <c r="L22" s="75">
        <v>0</v>
      </c>
      <c r="M22" s="75">
        <v>0</v>
      </c>
      <c r="N22" s="75">
        <v>0</v>
      </c>
      <c r="O22" s="75">
        <v>1</v>
      </c>
      <c r="P22" s="75">
        <v>1</v>
      </c>
      <c r="Q22" s="75">
        <v>1</v>
      </c>
      <c r="R22" s="75" t="s">
        <v>133</v>
      </c>
      <c r="S22" s="75" t="s">
        <v>168</v>
      </c>
      <c r="T22" s="75" t="s">
        <v>153</v>
      </c>
      <c r="U22" s="76" t="s">
        <v>154</v>
      </c>
    </row>
    <row r="23" spans="1:21" ht="28" x14ac:dyDescent="0.15">
      <c r="A23" s="63">
        <f>score_attack_expanded_floors!$C$2</f>
        <v>39014</v>
      </c>
      <c r="B23" s="64" t="str">
        <f ca="1">VLOOKUP($A23,OFFSET([2]quests!$A$1,0,0,COUNTA([2]quests!$A:$A),MATCH(B$1,[2]quests!$1:$1,0)-MATCH($A$1,[2]quests!$1:$1,0)+1),MATCH(B$1,[2]quests!$1:$1,0)-MATCH($A$1,[2]quests!$1:$1,0)+1,FALSE)</f>
        <v>金券</v>
      </c>
      <c r="C23" s="64" t="str">
        <f ca="1">VLOOKUP($A23,OFFSET([2]quests!$A$1,0,0,COUNTA([2]quests!$A:$A),MATCH(C$1,[2]quests!$1:$1,0)-MATCH($A$1,[2]quests!$1:$1,0)+1),MATCH(C$1,[2]quests!$1:$1,0)-MATCH($A$1,[2]quests!$1:$1,0)+1,FALSE)</f>
        <v>コラボクエスト</v>
      </c>
      <c r="D23" s="93">
        <v>4</v>
      </c>
      <c r="E23" s="94">
        <v>5</v>
      </c>
      <c r="F23" s="73" t="str">
        <f t="shared" si="0"/>
        <v>390140005</v>
      </c>
      <c r="G23" t="str">
        <f>F23&amp;TEXT(COUNTIF(F$2:F23,F23),"00")</f>
        <v>39014000504</v>
      </c>
      <c r="H23" s="75" t="s">
        <v>159</v>
      </c>
      <c r="I23" s="75">
        <v>343</v>
      </c>
      <c r="J23" s="75">
        <v>1</v>
      </c>
      <c r="K23" s="75">
        <v>0</v>
      </c>
      <c r="L23" s="75">
        <v>0</v>
      </c>
      <c r="M23" s="75">
        <v>0</v>
      </c>
      <c r="N23" s="75">
        <v>0</v>
      </c>
      <c r="O23" s="75">
        <v>1</v>
      </c>
      <c r="P23" s="75">
        <v>1</v>
      </c>
      <c r="Q23" s="75">
        <v>1</v>
      </c>
      <c r="R23" s="75" t="s">
        <v>133</v>
      </c>
      <c r="S23" s="75" t="s">
        <v>169</v>
      </c>
      <c r="T23" s="75" t="s">
        <v>153</v>
      </c>
      <c r="U23" s="76" t="s">
        <v>154</v>
      </c>
    </row>
    <row r="24" spans="1:21" ht="28" x14ac:dyDescent="0.15">
      <c r="A24" s="63">
        <f>score_attack_expanded_floors!$C$2</f>
        <v>39014</v>
      </c>
      <c r="B24" s="64" t="str">
        <f ca="1">VLOOKUP($A24,OFFSET([2]quests!$A$1,0,0,COUNTA([2]quests!$A:$A),MATCH(B$1,[2]quests!$1:$1,0)-MATCH($A$1,[2]quests!$1:$1,0)+1),MATCH(B$1,[2]quests!$1:$1,0)-MATCH($A$1,[2]quests!$1:$1,0)+1,FALSE)</f>
        <v>金券</v>
      </c>
      <c r="C24" s="64" t="str">
        <f ca="1">VLOOKUP($A24,OFFSET([2]quests!$A$1,0,0,COUNTA([2]quests!$A:$A),MATCH(C$1,[2]quests!$1:$1,0)-MATCH($A$1,[2]quests!$1:$1,0)+1),MATCH(C$1,[2]quests!$1:$1,0)-MATCH($A$1,[2]quests!$1:$1,0)+1,FALSE)</f>
        <v>コラボクエスト</v>
      </c>
      <c r="D24" s="93">
        <v>4</v>
      </c>
      <c r="E24" s="94">
        <v>5</v>
      </c>
      <c r="F24" s="73" t="str">
        <f t="shared" si="0"/>
        <v>390140005</v>
      </c>
      <c r="G24" t="str">
        <f>F24&amp;TEXT(COUNTIF(F$2:F24,F24),"00")</f>
        <v>39014000505</v>
      </c>
      <c r="H24" s="75" t="s">
        <v>159</v>
      </c>
      <c r="I24" s="75">
        <v>347</v>
      </c>
      <c r="J24" s="75">
        <v>1</v>
      </c>
      <c r="K24" s="75">
        <v>0</v>
      </c>
      <c r="L24" s="75">
        <v>0</v>
      </c>
      <c r="M24" s="75">
        <v>0</v>
      </c>
      <c r="N24" s="75">
        <v>0</v>
      </c>
      <c r="O24" s="75">
        <v>1</v>
      </c>
      <c r="P24" s="75">
        <v>1</v>
      </c>
      <c r="Q24" s="75">
        <v>1</v>
      </c>
      <c r="R24" s="75" t="s">
        <v>133</v>
      </c>
      <c r="S24" s="75" t="s">
        <v>170</v>
      </c>
      <c r="T24" s="75" t="s">
        <v>153</v>
      </c>
      <c r="U24" s="76" t="s">
        <v>154</v>
      </c>
    </row>
    <row r="25" spans="1:21" ht="28" x14ac:dyDescent="0.15">
      <c r="A25" s="63">
        <f>score_attack_expanded_floors!$C$2</f>
        <v>39014</v>
      </c>
      <c r="B25" s="64" t="str">
        <f ca="1">VLOOKUP($A25,OFFSET([2]quests!$A$1,0,0,COUNTA([2]quests!$A:$A),MATCH(B$1,[2]quests!$1:$1,0)-MATCH($A$1,[2]quests!$1:$1,0)+1),MATCH(B$1,[2]quests!$1:$1,0)-MATCH($A$1,[2]quests!$1:$1,0)+1,FALSE)</f>
        <v>金券</v>
      </c>
      <c r="C25" s="64" t="str">
        <f ca="1">VLOOKUP($A25,OFFSET([2]quests!$A$1,0,0,COUNTA([2]quests!$A:$A),MATCH(C$1,[2]quests!$1:$1,0)-MATCH($A$1,[2]quests!$1:$1,0)+1),MATCH(C$1,[2]quests!$1:$1,0)-MATCH($A$1,[2]quests!$1:$1,0)+1,FALSE)</f>
        <v>コラボクエスト</v>
      </c>
      <c r="D25" s="93">
        <v>4</v>
      </c>
      <c r="E25" s="94">
        <v>5</v>
      </c>
      <c r="F25" s="73" t="str">
        <f t="shared" si="0"/>
        <v>390140005</v>
      </c>
      <c r="G25" t="str">
        <f>F25&amp;TEXT(COUNTIF(F$2:F25,F25),"00")</f>
        <v>39014000506</v>
      </c>
      <c r="H25" s="75" t="s">
        <v>156</v>
      </c>
      <c r="I25" s="75">
        <v>5</v>
      </c>
      <c r="J25" s="75" t="s">
        <v>157</v>
      </c>
      <c r="K25" s="75">
        <v>0</v>
      </c>
      <c r="L25" s="75">
        <v>0</v>
      </c>
      <c r="M25" s="75">
        <v>0</v>
      </c>
      <c r="N25" s="75">
        <v>0</v>
      </c>
      <c r="O25" s="75">
        <v>1</v>
      </c>
      <c r="P25" s="75">
        <v>1</v>
      </c>
      <c r="Q25" s="75">
        <v>1</v>
      </c>
      <c r="R25" s="75" t="s">
        <v>133</v>
      </c>
      <c r="S25" s="75" t="s">
        <v>163</v>
      </c>
      <c r="T25" s="75" t="s">
        <v>153</v>
      </c>
      <c r="U25" s="76" t="s">
        <v>154</v>
      </c>
    </row>
    <row r="26" spans="1:21" ht="28" x14ac:dyDescent="0.15">
      <c r="A26" s="63">
        <f>score_attack_expanded_floors!$C$2</f>
        <v>39014</v>
      </c>
      <c r="B26" s="64" t="str">
        <f ca="1">VLOOKUP($A26,OFFSET([2]quests!$A$1,0,0,COUNTA([2]quests!$A:$A),MATCH(B$1,[2]quests!$1:$1,0)-MATCH($A$1,[2]quests!$1:$1,0)+1),MATCH(B$1,[2]quests!$1:$1,0)-MATCH($A$1,[2]quests!$1:$1,0)+1,FALSE)</f>
        <v>金券</v>
      </c>
      <c r="C26" s="64" t="str">
        <f ca="1">VLOOKUP($A26,OFFSET([2]quests!$A$1,0,0,COUNTA([2]quests!$A:$A),MATCH(C$1,[2]quests!$1:$1,0)-MATCH($A$1,[2]quests!$1:$1,0)+1),MATCH(C$1,[2]quests!$1:$1,0)-MATCH($A$1,[2]quests!$1:$1,0)+1,FALSE)</f>
        <v>コラボクエスト</v>
      </c>
      <c r="D26" s="93">
        <v>4</v>
      </c>
      <c r="E26" s="94">
        <v>5</v>
      </c>
      <c r="F26" s="73" t="str">
        <f t="shared" si="0"/>
        <v>390140005</v>
      </c>
      <c r="G26" t="str">
        <f>F26&amp;TEXT(COUNTIF(F$2:F26,F26),"00")</f>
        <v>39014000507</v>
      </c>
      <c r="H26" s="75" t="s">
        <v>173</v>
      </c>
      <c r="I26" s="75">
        <v>2000</v>
      </c>
      <c r="J26" s="75" t="s">
        <v>157</v>
      </c>
      <c r="K26" s="75">
        <v>0</v>
      </c>
      <c r="L26" s="75">
        <v>0</v>
      </c>
      <c r="M26" s="75">
        <v>0</v>
      </c>
      <c r="N26" s="75">
        <v>0</v>
      </c>
      <c r="O26" s="75">
        <v>1</v>
      </c>
      <c r="P26" s="75">
        <v>1</v>
      </c>
      <c r="Q26" s="75">
        <v>1</v>
      </c>
      <c r="R26" s="75" t="s">
        <v>133</v>
      </c>
      <c r="S26" s="75" t="s">
        <v>174</v>
      </c>
      <c r="T26" s="75" t="s">
        <v>153</v>
      </c>
      <c r="U26" s="76" t="s">
        <v>154</v>
      </c>
    </row>
    <row r="27" spans="1:21" ht="28" x14ac:dyDescent="0.15">
      <c r="A27" s="63">
        <f>score_attack_expanded_floors!$C$2</f>
        <v>39014</v>
      </c>
      <c r="B27" s="64" t="str">
        <f ca="1">VLOOKUP($A27,OFFSET([2]quests!$A$1,0,0,COUNTA([2]quests!$A:$A),MATCH(B$1,[2]quests!$1:$1,0)-MATCH($A$1,[2]quests!$1:$1,0)+1),MATCH(B$1,[2]quests!$1:$1,0)-MATCH($A$1,[2]quests!$1:$1,0)+1,FALSE)</f>
        <v>金券</v>
      </c>
      <c r="C27" s="64" t="str">
        <f ca="1">VLOOKUP($A27,OFFSET([2]quests!$A$1,0,0,COUNTA([2]quests!$A:$A),MATCH(C$1,[2]quests!$1:$1,0)-MATCH($A$1,[2]quests!$1:$1,0)+1),MATCH(C$1,[2]quests!$1:$1,0)-MATCH($A$1,[2]quests!$1:$1,0)+1,FALSE)</f>
        <v>コラボクエスト</v>
      </c>
      <c r="D27" s="93">
        <v>6</v>
      </c>
      <c r="E27" s="94">
        <v>10</v>
      </c>
      <c r="F27" s="73" t="str">
        <f t="shared" si="0"/>
        <v>390140010</v>
      </c>
      <c r="G27" t="str">
        <f>F27&amp;TEXT(COUNTIF(F$2:F27,F27),"00")</f>
        <v>39014001001</v>
      </c>
      <c r="H27" s="75" t="s">
        <v>151</v>
      </c>
      <c r="I27" s="75">
        <v>600</v>
      </c>
      <c r="J27" s="75">
        <v>1</v>
      </c>
      <c r="K27" s="75">
        <v>0</v>
      </c>
      <c r="L27" s="75">
        <v>0</v>
      </c>
      <c r="M27" s="75">
        <v>0</v>
      </c>
      <c r="N27" s="75">
        <v>0</v>
      </c>
      <c r="O27" s="75">
        <v>1</v>
      </c>
      <c r="P27" s="75">
        <v>1</v>
      </c>
      <c r="Q27" s="75">
        <v>1</v>
      </c>
      <c r="R27" s="75" t="s">
        <v>133</v>
      </c>
      <c r="S27" s="75" t="s">
        <v>162</v>
      </c>
      <c r="T27" s="75" t="s">
        <v>153</v>
      </c>
      <c r="U27" s="76" t="s">
        <v>154</v>
      </c>
    </row>
    <row r="28" spans="1:21" ht="28" x14ac:dyDescent="0.15">
      <c r="A28" s="63">
        <f>score_attack_expanded_floors!$C$2</f>
        <v>39014</v>
      </c>
      <c r="B28" s="64" t="str">
        <f ca="1">VLOOKUP($A28,OFFSET([2]quests!$A$1,0,0,COUNTA([2]quests!$A:$A),MATCH(B$1,[2]quests!$1:$1,0)-MATCH($A$1,[2]quests!$1:$1,0)+1),MATCH(B$1,[2]quests!$1:$1,0)-MATCH($A$1,[2]quests!$1:$1,0)+1,FALSE)</f>
        <v>金券</v>
      </c>
      <c r="C28" s="64" t="str">
        <f ca="1">VLOOKUP($A28,OFFSET([2]quests!$A$1,0,0,COUNTA([2]quests!$A:$A),MATCH(C$1,[2]quests!$1:$1,0)-MATCH($A$1,[2]quests!$1:$1,0)+1),MATCH(C$1,[2]quests!$1:$1,0)-MATCH($A$1,[2]quests!$1:$1,0)+1,FALSE)</f>
        <v>コラボクエスト</v>
      </c>
      <c r="D28" s="93">
        <v>6</v>
      </c>
      <c r="E28" s="94">
        <v>10</v>
      </c>
      <c r="F28" s="73" t="str">
        <f t="shared" si="0"/>
        <v>390140010</v>
      </c>
      <c r="G28" t="str">
        <f>F28&amp;TEXT(COUNTIF(F$2:F28,F28),"00")</f>
        <v>39014001002</v>
      </c>
      <c r="H28" s="75" t="s">
        <v>159</v>
      </c>
      <c r="I28" s="75">
        <v>334</v>
      </c>
      <c r="J28" s="75">
        <v>1</v>
      </c>
      <c r="K28" s="75">
        <v>0</v>
      </c>
      <c r="L28" s="75">
        <v>0</v>
      </c>
      <c r="M28" s="75">
        <v>0</v>
      </c>
      <c r="N28" s="75">
        <v>0</v>
      </c>
      <c r="O28" s="75">
        <v>1</v>
      </c>
      <c r="P28" s="75">
        <v>1</v>
      </c>
      <c r="Q28" s="75">
        <v>1</v>
      </c>
      <c r="R28" s="75" t="s">
        <v>133</v>
      </c>
      <c r="S28" s="75" t="s">
        <v>175</v>
      </c>
      <c r="T28" s="75" t="s">
        <v>153</v>
      </c>
      <c r="U28" s="76" t="s">
        <v>154</v>
      </c>
    </row>
    <row r="29" spans="1:21" ht="28" x14ac:dyDescent="0.15">
      <c r="A29" s="63">
        <f>score_attack_expanded_floors!$C$2</f>
        <v>39014</v>
      </c>
      <c r="B29" s="64" t="str">
        <f ca="1">VLOOKUP($A29,OFFSET([2]quests!$A$1,0,0,COUNTA([2]quests!$A:$A),MATCH(B$1,[2]quests!$1:$1,0)-MATCH($A$1,[2]quests!$1:$1,0)+1),MATCH(B$1,[2]quests!$1:$1,0)-MATCH($A$1,[2]quests!$1:$1,0)+1,FALSE)</f>
        <v>金券</v>
      </c>
      <c r="C29" s="64" t="str">
        <f ca="1">VLOOKUP($A29,OFFSET([2]quests!$A$1,0,0,COUNTA([2]quests!$A:$A),MATCH(C$1,[2]quests!$1:$1,0)-MATCH($A$1,[2]quests!$1:$1,0)+1),MATCH(C$1,[2]quests!$1:$1,0)-MATCH($A$1,[2]quests!$1:$1,0)+1,FALSE)</f>
        <v>コラボクエスト</v>
      </c>
      <c r="D29" s="93">
        <v>6</v>
      </c>
      <c r="E29" s="94">
        <v>10</v>
      </c>
      <c r="F29" s="73" t="str">
        <f t="shared" si="0"/>
        <v>390140010</v>
      </c>
      <c r="G29" t="str">
        <f>F29&amp;TEXT(COUNTIF(F$2:F29,F29),"00")</f>
        <v>39014001003</v>
      </c>
      <c r="H29" s="75" t="s">
        <v>159</v>
      </c>
      <c r="I29" s="75">
        <v>338</v>
      </c>
      <c r="J29" s="75">
        <v>1</v>
      </c>
      <c r="K29" s="75">
        <v>0</v>
      </c>
      <c r="L29" s="75">
        <v>0</v>
      </c>
      <c r="M29" s="75">
        <v>0</v>
      </c>
      <c r="N29" s="75">
        <v>0</v>
      </c>
      <c r="O29" s="75">
        <v>1</v>
      </c>
      <c r="P29" s="75">
        <v>1</v>
      </c>
      <c r="Q29" s="75">
        <v>1</v>
      </c>
      <c r="R29" s="75" t="s">
        <v>133</v>
      </c>
      <c r="S29" s="75" t="s">
        <v>176</v>
      </c>
      <c r="T29" s="75" t="s">
        <v>153</v>
      </c>
      <c r="U29" s="76" t="s">
        <v>154</v>
      </c>
    </row>
    <row r="30" spans="1:21" ht="28" x14ac:dyDescent="0.15">
      <c r="A30" s="63">
        <f>score_attack_expanded_floors!$C$2</f>
        <v>39014</v>
      </c>
      <c r="B30" s="64" t="str">
        <f ca="1">VLOOKUP($A30,OFFSET([2]quests!$A$1,0,0,COUNTA([2]quests!$A:$A),MATCH(B$1,[2]quests!$1:$1,0)-MATCH($A$1,[2]quests!$1:$1,0)+1),MATCH(B$1,[2]quests!$1:$1,0)-MATCH($A$1,[2]quests!$1:$1,0)+1,FALSE)</f>
        <v>金券</v>
      </c>
      <c r="C30" s="64" t="str">
        <f ca="1">VLOOKUP($A30,OFFSET([2]quests!$A$1,0,0,COUNTA([2]quests!$A:$A),MATCH(C$1,[2]quests!$1:$1,0)-MATCH($A$1,[2]quests!$1:$1,0)+1),MATCH(C$1,[2]quests!$1:$1,0)-MATCH($A$1,[2]quests!$1:$1,0)+1,FALSE)</f>
        <v>コラボクエスト</v>
      </c>
      <c r="D30" s="93">
        <v>6</v>
      </c>
      <c r="E30" s="94">
        <v>10</v>
      </c>
      <c r="F30" s="73" t="str">
        <f t="shared" si="0"/>
        <v>390140010</v>
      </c>
      <c r="G30" t="str">
        <f>F30&amp;TEXT(COUNTIF(F$2:F30,F30),"00")</f>
        <v>39014001004</v>
      </c>
      <c r="H30" s="75" t="s">
        <v>159</v>
      </c>
      <c r="I30" s="75">
        <v>342</v>
      </c>
      <c r="J30" s="75">
        <v>1</v>
      </c>
      <c r="K30" s="75">
        <v>0</v>
      </c>
      <c r="L30" s="75">
        <v>0</v>
      </c>
      <c r="M30" s="75">
        <v>0</v>
      </c>
      <c r="N30" s="75">
        <v>0</v>
      </c>
      <c r="O30" s="75">
        <v>1</v>
      </c>
      <c r="P30" s="75">
        <v>1</v>
      </c>
      <c r="Q30" s="75">
        <v>1</v>
      </c>
      <c r="R30" s="75" t="s">
        <v>133</v>
      </c>
      <c r="S30" s="75" t="s">
        <v>177</v>
      </c>
      <c r="T30" s="75" t="s">
        <v>153</v>
      </c>
      <c r="U30" s="76" t="s">
        <v>154</v>
      </c>
    </row>
    <row r="31" spans="1:21" ht="28" x14ac:dyDescent="0.15">
      <c r="A31" s="63">
        <f>score_attack_expanded_floors!$C$2</f>
        <v>39014</v>
      </c>
      <c r="B31" s="64" t="str">
        <f ca="1">VLOOKUP($A31,OFFSET([2]quests!$A$1,0,0,COUNTA([2]quests!$A:$A),MATCH(B$1,[2]quests!$1:$1,0)-MATCH($A$1,[2]quests!$1:$1,0)+1),MATCH(B$1,[2]quests!$1:$1,0)-MATCH($A$1,[2]quests!$1:$1,0)+1,FALSE)</f>
        <v>金券</v>
      </c>
      <c r="C31" s="64" t="str">
        <f ca="1">VLOOKUP($A31,OFFSET([2]quests!$A$1,0,0,COUNTA([2]quests!$A:$A),MATCH(C$1,[2]quests!$1:$1,0)-MATCH($A$1,[2]quests!$1:$1,0)+1),MATCH(C$1,[2]quests!$1:$1,0)-MATCH($A$1,[2]quests!$1:$1,0)+1,FALSE)</f>
        <v>コラボクエスト</v>
      </c>
      <c r="D31" s="93">
        <v>6</v>
      </c>
      <c r="E31" s="94">
        <v>10</v>
      </c>
      <c r="F31" s="73" t="str">
        <f t="shared" si="0"/>
        <v>390140010</v>
      </c>
      <c r="G31" t="str">
        <f>F31&amp;TEXT(COUNTIF(F$2:F31,F31),"00")</f>
        <v>39014001005</v>
      </c>
      <c r="H31" s="75" t="s">
        <v>159</v>
      </c>
      <c r="I31" s="75">
        <v>346</v>
      </c>
      <c r="J31" s="75">
        <v>1</v>
      </c>
      <c r="K31" s="75">
        <v>0</v>
      </c>
      <c r="L31" s="75">
        <v>0</v>
      </c>
      <c r="M31" s="75">
        <v>0</v>
      </c>
      <c r="N31" s="75">
        <v>0</v>
      </c>
      <c r="O31" s="75">
        <v>1</v>
      </c>
      <c r="P31" s="75">
        <v>1</v>
      </c>
      <c r="Q31" s="75">
        <v>1</v>
      </c>
      <c r="R31" s="75" t="s">
        <v>133</v>
      </c>
      <c r="S31" s="75" t="s">
        <v>178</v>
      </c>
      <c r="T31" s="75" t="s">
        <v>153</v>
      </c>
      <c r="U31" s="76" t="s">
        <v>154</v>
      </c>
    </row>
    <row r="32" spans="1:21" ht="28" x14ac:dyDescent="0.15">
      <c r="A32" s="63">
        <f>score_attack_expanded_floors!$C$2</f>
        <v>39014</v>
      </c>
      <c r="B32" s="64" t="str">
        <f ca="1">VLOOKUP($A32,OFFSET([2]quests!$A$1,0,0,COUNTA([2]quests!$A:$A),MATCH(B$1,[2]quests!$1:$1,0)-MATCH($A$1,[2]quests!$1:$1,0)+1),MATCH(B$1,[2]quests!$1:$1,0)-MATCH($A$1,[2]quests!$1:$1,0)+1,FALSE)</f>
        <v>金券</v>
      </c>
      <c r="C32" s="64" t="str">
        <f ca="1">VLOOKUP($A32,OFFSET([2]quests!$A$1,0,0,COUNTA([2]quests!$A:$A),MATCH(C$1,[2]quests!$1:$1,0)-MATCH($A$1,[2]quests!$1:$1,0)+1),MATCH(C$1,[2]quests!$1:$1,0)-MATCH($A$1,[2]quests!$1:$1,0)+1,FALSE)</f>
        <v>コラボクエスト</v>
      </c>
      <c r="D32" s="93">
        <v>6</v>
      </c>
      <c r="E32" s="94">
        <v>10</v>
      </c>
      <c r="F32" s="73" t="str">
        <f t="shared" si="0"/>
        <v>390140010</v>
      </c>
      <c r="G32" t="str">
        <f>F32&amp;TEXT(COUNTIF(F$2:F32,F32),"00")</f>
        <v>39014001006</v>
      </c>
      <c r="H32" s="75" t="s">
        <v>156</v>
      </c>
      <c r="I32" s="75">
        <v>3</v>
      </c>
      <c r="J32" s="75" t="s">
        <v>157</v>
      </c>
      <c r="K32" s="75">
        <v>0</v>
      </c>
      <c r="L32" s="75">
        <v>0</v>
      </c>
      <c r="M32" s="75">
        <v>0</v>
      </c>
      <c r="N32" s="75">
        <v>0</v>
      </c>
      <c r="O32" s="75">
        <v>1</v>
      </c>
      <c r="P32" s="75">
        <v>1</v>
      </c>
      <c r="Q32" s="75">
        <v>1</v>
      </c>
      <c r="R32" s="75" t="s">
        <v>133</v>
      </c>
      <c r="S32" s="75" t="s">
        <v>179</v>
      </c>
      <c r="T32" s="75" t="s">
        <v>153</v>
      </c>
      <c r="U32" s="76" t="s">
        <v>154</v>
      </c>
    </row>
    <row r="33" spans="1:21" ht="28" x14ac:dyDescent="0.15">
      <c r="A33" s="63">
        <f>score_attack_expanded_floors!$C$2</f>
        <v>39014</v>
      </c>
      <c r="B33" s="64" t="str">
        <f ca="1">VLOOKUP($A33,OFFSET([2]quests!$A$1,0,0,COUNTA([2]quests!$A:$A),MATCH(B$1,[2]quests!$1:$1,0)-MATCH($A$1,[2]quests!$1:$1,0)+1),MATCH(B$1,[2]quests!$1:$1,0)-MATCH($A$1,[2]quests!$1:$1,0)+1,FALSE)</f>
        <v>金券</v>
      </c>
      <c r="C33" s="64" t="str">
        <f ca="1">VLOOKUP($A33,OFFSET([2]quests!$A$1,0,0,COUNTA([2]quests!$A:$A),MATCH(C$1,[2]quests!$1:$1,0)-MATCH($A$1,[2]quests!$1:$1,0)+1),MATCH(C$1,[2]quests!$1:$1,0)-MATCH($A$1,[2]quests!$1:$1,0)+1,FALSE)</f>
        <v>コラボクエスト</v>
      </c>
      <c r="D33" s="93">
        <v>6</v>
      </c>
      <c r="E33" s="94">
        <v>10</v>
      </c>
      <c r="F33" s="73" t="str">
        <f t="shared" si="0"/>
        <v>390140010</v>
      </c>
      <c r="G33" t="str">
        <f>F33&amp;TEXT(COUNTIF(F$2:F33,F33),"00")</f>
        <v>39014001007</v>
      </c>
      <c r="H33" s="75" t="s">
        <v>173</v>
      </c>
      <c r="I33" s="75">
        <v>2000</v>
      </c>
      <c r="J33" s="75" t="s">
        <v>157</v>
      </c>
      <c r="K33" s="75">
        <v>0</v>
      </c>
      <c r="L33" s="75">
        <v>0</v>
      </c>
      <c r="M33" s="75">
        <v>0</v>
      </c>
      <c r="N33" s="75">
        <v>0</v>
      </c>
      <c r="O33" s="75">
        <v>1</v>
      </c>
      <c r="P33" s="75">
        <v>1</v>
      </c>
      <c r="Q33" s="75">
        <v>1</v>
      </c>
      <c r="R33" s="75" t="s">
        <v>133</v>
      </c>
      <c r="S33" s="75" t="s">
        <v>174</v>
      </c>
      <c r="T33" s="75" t="s">
        <v>153</v>
      </c>
      <c r="U33" s="76" t="s">
        <v>154</v>
      </c>
    </row>
    <row r="34" spans="1:21" ht="28" x14ac:dyDescent="0.15">
      <c r="A34" s="63">
        <f>score_attack_expanded_floors!$C$2</f>
        <v>39014</v>
      </c>
      <c r="B34" s="64" t="str">
        <f ca="1">VLOOKUP($A34,OFFSET([2]quests!$A$1,0,0,COUNTA([2]quests!$A:$A),MATCH(B$1,[2]quests!$1:$1,0)-MATCH($A$1,[2]quests!$1:$1,0)+1),MATCH(B$1,[2]quests!$1:$1,0)-MATCH($A$1,[2]quests!$1:$1,0)+1,FALSE)</f>
        <v>金券</v>
      </c>
      <c r="C34" s="64" t="str">
        <f ca="1">VLOOKUP($A34,OFFSET([2]quests!$A$1,0,0,COUNTA([2]quests!$A:$A),MATCH(C$1,[2]quests!$1:$1,0)-MATCH($A$1,[2]quests!$1:$1,0)+1),MATCH(C$1,[2]quests!$1:$1,0)-MATCH($A$1,[2]quests!$1:$1,0)+1,FALSE)</f>
        <v>コラボクエスト</v>
      </c>
      <c r="D34" s="93">
        <v>11</v>
      </c>
      <c r="E34" s="94">
        <v>25</v>
      </c>
      <c r="F34" s="73" t="str">
        <f t="shared" si="0"/>
        <v>390140025</v>
      </c>
      <c r="G34" t="str">
        <f>F34&amp;TEXT(COUNTIF(F$2:F34,F34),"00")</f>
        <v>39014002501</v>
      </c>
      <c r="H34" s="75" t="s">
        <v>156</v>
      </c>
      <c r="I34" s="75">
        <v>3</v>
      </c>
      <c r="J34" s="75" t="s">
        <v>157</v>
      </c>
      <c r="K34" s="75">
        <v>0</v>
      </c>
      <c r="L34" s="75">
        <v>0</v>
      </c>
      <c r="M34" s="75">
        <v>0</v>
      </c>
      <c r="N34" s="75">
        <v>0</v>
      </c>
      <c r="O34" s="75">
        <v>1</v>
      </c>
      <c r="P34" s="75">
        <v>1</v>
      </c>
      <c r="Q34" s="75">
        <v>1</v>
      </c>
      <c r="R34" s="75" t="s">
        <v>133</v>
      </c>
      <c r="S34" s="75" t="s">
        <v>179</v>
      </c>
      <c r="T34" s="75" t="s">
        <v>153</v>
      </c>
      <c r="U34" s="76" t="s">
        <v>154</v>
      </c>
    </row>
    <row r="35" spans="1:21" ht="28" x14ac:dyDescent="0.15">
      <c r="A35" s="63">
        <f>score_attack_expanded_floors!$C$2</f>
        <v>39014</v>
      </c>
      <c r="B35" s="64" t="str">
        <f ca="1">VLOOKUP($A35,OFFSET([2]quests!$A$1,0,0,COUNTA([2]quests!$A:$A),MATCH(B$1,[2]quests!$1:$1,0)-MATCH($A$1,[2]quests!$1:$1,0)+1),MATCH(B$1,[2]quests!$1:$1,0)-MATCH($A$1,[2]quests!$1:$1,0)+1,FALSE)</f>
        <v>金券</v>
      </c>
      <c r="C35" s="64" t="str">
        <f ca="1">VLOOKUP($A35,OFFSET([2]quests!$A$1,0,0,COUNTA([2]quests!$A:$A),MATCH(C$1,[2]quests!$1:$1,0)-MATCH($A$1,[2]quests!$1:$1,0)+1),MATCH(C$1,[2]quests!$1:$1,0)-MATCH($A$1,[2]quests!$1:$1,0)+1,FALSE)</f>
        <v>コラボクエスト</v>
      </c>
      <c r="D35" s="93">
        <v>11</v>
      </c>
      <c r="E35" s="94">
        <v>25</v>
      </c>
      <c r="F35" s="73" t="str">
        <f t="shared" si="0"/>
        <v>390140025</v>
      </c>
      <c r="G35" t="str">
        <f>F35&amp;TEXT(COUNTIF(F$2:F35,F35),"00")</f>
        <v>39014002502</v>
      </c>
      <c r="H35" s="75" t="s">
        <v>173</v>
      </c>
      <c r="I35" s="75">
        <v>2000</v>
      </c>
      <c r="J35" s="75" t="s">
        <v>157</v>
      </c>
      <c r="K35" s="75">
        <v>0</v>
      </c>
      <c r="L35" s="75">
        <v>0</v>
      </c>
      <c r="M35" s="75">
        <v>0</v>
      </c>
      <c r="N35" s="75">
        <v>0</v>
      </c>
      <c r="O35" s="75">
        <v>1</v>
      </c>
      <c r="P35" s="75">
        <v>1</v>
      </c>
      <c r="Q35" s="75">
        <v>1</v>
      </c>
      <c r="R35" s="75" t="s">
        <v>133</v>
      </c>
      <c r="S35" s="75" t="s">
        <v>174</v>
      </c>
      <c r="T35" s="75" t="s">
        <v>153</v>
      </c>
      <c r="U35" s="76" t="s">
        <v>154</v>
      </c>
    </row>
    <row r="36" spans="1:21" ht="28" x14ac:dyDescent="0.15">
      <c r="A36" s="63">
        <f>score_attack_expanded_floors!$C$2</f>
        <v>39014</v>
      </c>
      <c r="B36" s="64" t="str">
        <f ca="1">VLOOKUP($A36,OFFSET([2]quests!$A$1,0,0,COUNTA([2]quests!$A:$A),MATCH(B$1,[2]quests!$1:$1,0)-MATCH($A$1,[2]quests!$1:$1,0)+1),MATCH(B$1,[2]quests!$1:$1,0)-MATCH($A$1,[2]quests!$1:$1,0)+1,FALSE)</f>
        <v>金券</v>
      </c>
      <c r="C36" s="64" t="str">
        <f ca="1">VLOOKUP($A36,OFFSET([2]quests!$A$1,0,0,COUNTA([2]quests!$A:$A),MATCH(C$1,[2]quests!$1:$1,0)-MATCH($A$1,[2]quests!$1:$1,0)+1),MATCH(C$1,[2]quests!$1:$1,0)-MATCH($A$1,[2]quests!$1:$1,0)+1,FALSE)</f>
        <v>コラボクエスト</v>
      </c>
      <c r="D36" s="93">
        <v>11</v>
      </c>
      <c r="E36" s="94">
        <v>25</v>
      </c>
      <c r="F36" s="73" t="str">
        <f t="shared" si="0"/>
        <v>390140025</v>
      </c>
      <c r="G36" t="str">
        <f>F36&amp;TEXT(COUNTIF(F$2:F36,F36),"00")</f>
        <v>39014002503</v>
      </c>
      <c r="H36" s="75" t="s">
        <v>61</v>
      </c>
      <c r="I36" s="75">
        <v>200000</v>
      </c>
      <c r="J36" s="75" t="s">
        <v>157</v>
      </c>
      <c r="K36" s="75">
        <v>0</v>
      </c>
      <c r="L36" s="75">
        <v>0</v>
      </c>
      <c r="M36" s="75">
        <v>0</v>
      </c>
      <c r="N36" s="75">
        <v>0</v>
      </c>
      <c r="O36" s="75">
        <v>1</v>
      </c>
      <c r="P36" s="75">
        <v>1</v>
      </c>
      <c r="Q36" s="75">
        <v>1</v>
      </c>
      <c r="R36" s="75" t="s">
        <v>133</v>
      </c>
      <c r="S36" s="75" t="s">
        <v>180</v>
      </c>
      <c r="T36" s="75" t="s">
        <v>153</v>
      </c>
      <c r="U36" s="76" t="s">
        <v>154</v>
      </c>
    </row>
    <row r="37" spans="1:21" ht="28" x14ac:dyDescent="0.15">
      <c r="A37" s="63">
        <f>score_attack_expanded_floors!$C$2</f>
        <v>39014</v>
      </c>
      <c r="B37" s="64" t="str">
        <f ca="1">VLOOKUP($A37,OFFSET([2]quests!$A$1,0,0,COUNTA([2]quests!$A:$A),MATCH(B$1,[2]quests!$1:$1,0)-MATCH($A$1,[2]quests!$1:$1,0)+1),MATCH(B$1,[2]quests!$1:$1,0)-MATCH($A$1,[2]quests!$1:$1,0)+1,FALSE)</f>
        <v>金券</v>
      </c>
      <c r="C37" s="64" t="str">
        <f ca="1">VLOOKUP($A37,OFFSET([2]quests!$A$1,0,0,COUNTA([2]quests!$A:$A),MATCH(C$1,[2]quests!$1:$1,0)-MATCH($A$1,[2]quests!$1:$1,0)+1),MATCH(C$1,[2]quests!$1:$1,0)-MATCH($A$1,[2]quests!$1:$1,0)+1,FALSE)</f>
        <v>コラボクエスト</v>
      </c>
      <c r="D37" s="93">
        <v>26</v>
      </c>
      <c r="E37" s="94">
        <v>35</v>
      </c>
      <c r="F37" s="73" t="str">
        <f t="shared" si="0"/>
        <v>390140035</v>
      </c>
      <c r="G37" t="str">
        <f>F37&amp;TEXT(COUNTIF(F$2:F37,F37),"00")</f>
        <v>39014003501</v>
      </c>
      <c r="H37" s="75" t="s">
        <v>156</v>
      </c>
      <c r="I37" s="75">
        <v>2</v>
      </c>
      <c r="J37" s="75" t="s">
        <v>157</v>
      </c>
      <c r="K37" s="75">
        <v>0</v>
      </c>
      <c r="L37" s="75">
        <v>0</v>
      </c>
      <c r="M37" s="75">
        <v>0</v>
      </c>
      <c r="N37" s="75">
        <v>0</v>
      </c>
      <c r="O37" s="75">
        <v>1</v>
      </c>
      <c r="P37" s="75">
        <v>1</v>
      </c>
      <c r="Q37" s="75">
        <v>1</v>
      </c>
      <c r="R37" s="75" t="s">
        <v>133</v>
      </c>
      <c r="S37" s="75" t="s">
        <v>181</v>
      </c>
      <c r="T37" s="75" t="s">
        <v>153</v>
      </c>
      <c r="U37" s="76" t="s">
        <v>154</v>
      </c>
    </row>
    <row r="38" spans="1:21" ht="28" x14ac:dyDescent="0.15">
      <c r="A38" s="63">
        <f>score_attack_expanded_floors!$C$2</f>
        <v>39014</v>
      </c>
      <c r="B38" s="64" t="str">
        <f ca="1">VLOOKUP($A38,OFFSET([2]quests!$A$1,0,0,COUNTA([2]quests!$A:$A),MATCH(B$1,[2]quests!$1:$1,0)-MATCH($A$1,[2]quests!$1:$1,0)+1),MATCH(B$1,[2]quests!$1:$1,0)-MATCH($A$1,[2]quests!$1:$1,0)+1,FALSE)</f>
        <v>金券</v>
      </c>
      <c r="C38" s="64" t="str">
        <f ca="1">VLOOKUP($A38,OFFSET([2]quests!$A$1,0,0,COUNTA([2]quests!$A:$A),MATCH(C$1,[2]quests!$1:$1,0)-MATCH($A$1,[2]quests!$1:$1,0)+1),MATCH(C$1,[2]quests!$1:$1,0)-MATCH($A$1,[2]quests!$1:$1,0)+1,FALSE)</f>
        <v>コラボクエスト</v>
      </c>
      <c r="D38" s="93">
        <v>26</v>
      </c>
      <c r="E38" s="94">
        <v>35</v>
      </c>
      <c r="F38" s="73" t="str">
        <f t="shared" si="0"/>
        <v>390140035</v>
      </c>
      <c r="G38" t="str">
        <f>F38&amp;TEXT(COUNTIF(F$2:F38,F38),"00")</f>
        <v>39014003502</v>
      </c>
      <c r="H38" s="75" t="s">
        <v>173</v>
      </c>
      <c r="I38" s="75">
        <v>1000</v>
      </c>
      <c r="J38" s="75" t="s">
        <v>157</v>
      </c>
      <c r="K38" s="75">
        <v>0</v>
      </c>
      <c r="L38" s="75">
        <v>0</v>
      </c>
      <c r="M38" s="75">
        <v>0</v>
      </c>
      <c r="N38" s="75">
        <v>0</v>
      </c>
      <c r="O38" s="75">
        <v>1</v>
      </c>
      <c r="P38" s="75">
        <v>1</v>
      </c>
      <c r="Q38" s="75">
        <v>1</v>
      </c>
      <c r="R38" s="75" t="s">
        <v>133</v>
      </c>
      <c r="S38" s="75" t="s">
        <v>182</v>
      </c>
      <c r="T38" s="75" t="s">
        <v>153</v>
      </c>
      <c r="U38" s="76" t="s">
        <v>154</v>
      </c>
    </row>
    <row r="39" spans="1:21" ht="28" x14ac:dyDescent="0.15">
      <c r="A39" s="63">
        <f>score_attack_expanded_floors!$C$2</f>
        <v>39014</v>
      </c>
      <c r="B39" s="64" t="str">
        <f ca="1">VLOOKUP($A39,OFFSET([2]quests!$A$1,0,0,COUNTA([2]quests!$A:$A),MATCH(B$1,[2]quests!$1:$1,0)-MATCH($A$1,[2]quests!$1:$1,0)+1),MATCH(B$1,[2]quests!$1:$1,0)-MATCH($A$1,[2]quests!$1:$1,0)+1,FALSE)</f>
        <v>金券</v>
      </c>
      <c r="C39" s="64" t="str">
        <f ca="1">VLOOKUP($A39,OFFSET([2]quests!$A$1,0,0,COUNTA([2]quests!$A:$A),MATCH(C$1,[2]quests!$1:$1,0)-MATCH($A$1,[2]quests!$1:$1,0)+1),MATCH(C$1,[2]quests!$1:$1,0)-MATCH($A$1,[2]quests!$1:$1,0)+1,FALSE)</f>
        <v>コラボクエスト</v>
      </c>
      <c r="D39" s="93">
        <v>26</v>
      </c>
      <c r="E39" s="94">
        <v>35</v>
      </c>
      <c r="F39" s="73" t="str">
        <f t="shared" si="0"/>
        <v>390140035</v>
      </c>
      <c r="G39" t="str">
        <f>F39&amp;TEXT(COUNTIF(F$2:F39,F39),"00")</f>
        <v>39014003503</v>
      </c>
      <c r="H39" s="75" t="s">
        <v>61</v>
      </c>
      <c r="I39" s="75">
        <v>150000</v>
      </c>
      <c r="J39" s="75" t="s">
        <v>157</v>
      </c>
      <c r="K39" s="75">
        <v>0</v>
      </c>
      <c r="L39" s="75">
        <v>0</v>
      </c>
      <c r="M39" s="75">
        <v>0</v>
      </c>
      <c r="N39" s="75">
        <v>0</v>
      </c>
      <c r="O39" s="75">
        <v>1</v>
      </c>
      <c r="P39" s="75">
        <v>1</v>
      </c>
      <c r="Q39" s="75">
        <v>1</v>
      </c>
      <c r="R39" s="75" t="s">
        <v>133</v>
      </c>
      <c r="S39" s="75" t="s">
        <v>183</v>
      </c>
      <c r="T39" s="75" t="s">
        <v>153</v>
      </c>
      <c r="U39" s="76" t="s">
        <v>154</v>
      </c>
    </row>
    <row r="40" spans="1:21" ht="28" x14ac:dyDescent="0.15">
      <c r="A40" s="63">
        <f>score_attack_expanded_floors!$C$2</f>
        <v>39014</v>
      </c>
      <c r="B40" s="64" t="str">
        <f ca="1">VLOOKUP($A40,OFFSET([2]quests!$A$1,0,0,COUNTA([2]quests!$A:$A),MATCH(B$1,[2]quests!$1:$1,0)-MATCH($A$1,[2]quests!$1:$1,0)+1),MATCH(B$1,[2]quests!$1:$1,0)-MATCH($A$1,[2]quests!$1:$1,0)+1,FALSE)</f>
        <v>金券</v>
      </c>
      <c r="C40" s="64" t="str">
        <f ca="1">VLOOKUP($A40,OFFSET([2]quests!$A$1,0,0,COUNTA([2]quests!$A:$A),MATCH(C$1,[2]quests!$1:$1,0)-MATCH($A$1,[2]quests!$1:$1,0)+1),MATCH(C$1,[2]quests!$1:$1,0)-MATCH($A$1,[2]quests!$1:$1,0)+1,FALSE)</f>
        <v>コラボクエスト</v>
      </c>
      <c r="D40" s="93">
        <v>36</v>
      </c>
      <c r="E40" s="94">
        <v>1000</v>
      </c>
      <c r="F40" s="73" t="str">
        <f t="shared" si="0"/>
        <v>390141000</v>
      </c>
      <c r="G40" t="str">
        <f>F40&amp;TEXT(COUNTIF(F$2:F40,F40),"00")</f>
        <v>39014100001</v>
      </c>
      <c r="H40" s="75" t="s">
        <v>156</v>
      </c>
      <c r="I40" s="75">
        <v>1</v>
      </c>
      <c r="J40" s="75" t="s">
        <v>157</v>
      </c>
      <c r="K40" s="75">
        <v>0</v>
      </c>
      <c r="L40" s="75">
        <v>0</v>
      </c>
      <c r="M40" s="75">
        <v>0</v>
      </c>
      <c r="N40" s="75">
        <v>0</v>
      </c>
      <c r="O40" s="75">
        <v>1</v>
      </c>
      <c r="P40" s="75">
        <v>1</v>
      </c>
      <c r="Q40" s="75">
        <v>1</v>
      </c>
      <c r="R40" s="75" t="s">
        <v>133</v>
      </c>
      <c r="S40" s="75" t="s">
        <v>184</v>
      </c>
      <c r="T40" s="75" t="s">
        <v>153</v>
      </c>
      <c r="U40" s="76" t="s">
        <v>154</v>
      </c>
    </row>
    <row r="41" spans="1:21" ht="28" x14ac:dyDescent="0.15">
      <c r="A41" s="63">
        <f>score_attack_expanded_floors!$C$2</f>
        <v>39014</v>
      </c>
      <c r="B41" s="64" t="str">
        <f ca="1">VLOOKUP($A41,OFFSET([2]quests!$A$1,0,0,COUNTA([2]quests!$A:$A),MATCH(B$1,[2]quests!$1:$1,0)-MATCH($A$1,[2]quests!$1:$1,0)+1),MATCH(B$1,[2]quests!$1:$1,0)-MATCH($A$1,[2]quests!$1:$1,0)+1,FALSE)</f>
        <v>金券</v>
      </c>
      <c r="C41" s="64" t="str">
        <f ca="1">VLOOKUP($A41,OFFSET([2]quests!$A$1,0,0,COUNTA([2]quests!$A:$A),MATCH(C$1,[2]quests!$1:$1,0)-MATCH($A$1,[2]quests!$1:$1,0)+1),MATCH(C$1,[2]quests!$1:$1,0)-MATCH($A$1,[2]quests!$1:$1,0)+1,FALSE)</f>
        <v>コラボクエスト</v>
      </c>
      <c r="D41" s="93">
        <v>36</v>
      </c>
      <c r="E41" s="94">
        <v>1000</v>
      </c>
      <c r="F41" s="73" t="str">
        <f t="shared" si="0"/>
        <v>390141000</v>
      </c>
      <c r="G41" t="str">
        <f>F41&amp;TEXT(COUNTIF(F$2:F41,F41),"00")</f>
        <v>39014100002</v>
      </c>
      <c r="H41" s="75" t="s">
        <v>173</v>
      </c>
      <c r="I41" s="75">
        <v>1000</v>
      </c>
      <c r="J41" s="75" t="s">
        <v>157</v>
      </c>
      <c r="K41" s="75">
        <v>0</v>
      </c>
      <c r="L41" s="75">
        <v>0</v>
      </c>
      <c r="M41" s="75">
        <v>0</v>
      </c>
      <c r="N41" s="75">
        <v>0</v>
      </c>
      <c r="O41" s="75">
        <v>1</v>
      </c>
      <c r="P41" s="75">
        <v>1</v>
      </c>
      <c r="Q41" s="75">
        <v>1</v>
      </c>
      <c r="R41" s="75" t="s">
        <v>133</v>
      </c>
      <c r="S41" s="75" t="s">
        <v>182</v>
      </c>
      <c r="T41" s="75" t="s">
        <v>153</v>
      </c>
      <c r="U41" s="76" t="s">
        <v>154</v>
      </c>
    </row>
    <row r="42" spans="1:21" ht="28" x14ac:dyDescent="0.15">
      <c r="A42" s="63">
        <f>score_attack_expanded_floors!$C$2</f>
        <v>39014</v>
      </c>
      <c r="B42" s="64" t="str">
        <f ca="1">VLOOKUP($A42,OFFSET([2]quests!$A$1,0,0,COUNTA([2]quests!$A:$A),MATCH(B$1,[2]quests!$1:$1,0)-MATCH($A$1,[2]quests!$1:$1,0)+1),MATCH(B$1,[2]quests!$1:$1,0)-MATCH($A$1,[2]quests!$1:$1,0)+1,FALSE)</f>
        <v>金券</v>
      </c>
      <c r="C42" s="64" t="str">
        <f ca="1">VLOOKUP($A42,OFFSET([2]quests!$A$1,0,0,COUNTA([2]quests!$A:$A),MATCH(C$1,[2]quests!$1:$1,0)-MATCH($A$1,[2]quests!$1:$1,0)+1),MATCH(C$1,[2]quests!$1:$1,0)-MATCH($A$1,[2]quests!$1:$1,0)+1,FALSE)</f>
        <v>コラボクエスト</v>
      </c>
      <c r="D42" s="93">
        <v>36</v>
      </c>
      <c r="E42" s="94">
        <v>1000</v>
      </c>
      <c r="F42" s="73" t="str">
        <f t="shared" si="0"/>
        <v>390141000</v>
      </c>
      <c r="G42" t="str">
        <f>F42&amp;TEXT(COUNTIF(F$2:F42,F42),"00")</f>
        <v>39014100003</v>
      </c>
      <c r="H42" s="75" t="s">
        <v>61</v>
      </c>
      <c r="I42" s="75">
        <v>100000</v>
      </c>
      <c r="J42" s="75" t="s">
        <v>157</v>
      </c>
      <c r="K42" s="75">
        <v>0</v>
      </c>
      <c r="L42" s="75">
        <v>0</v>
      </c>
      <c r="M42" s="75">
        <v>0</v>
      </c>
      <c r="N42" s="75">
        <v>0</v>
      </c>
      <c r="O42" s="75">
        <v>1</v>
      </c>
      <c r="P42" s="75">
        <v>1</v>
      </c>
      <c r="Q42" s="75">
        <v>1</v>
      </c>
      <c r="R42" s="75" t="s">
        <v>133</v>
      </c>
      <c r="S42" s="75" t="s">
        <v>185</v>
      </c>
      <c r="T42" s="75" t="s">
        <v>153</v>
      </c>
      <c r="U42" s="76" t="s">
        <v>154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I4"/>
  <sheetViews>
    <sheetView workbookViewId="0">
      <selection activeCell="A2" sqref="A2"/>
    </sheetView>
  </sheetViews>
  <sheetFormatPr baseColWidth="12" defaultRowHeight="15" x14ac:dyDescent="0.15"/>
  <cols>
    <col min="1" max="1" width="27.1640625" bestFit="1" customWidth="1"/>
  </cols>
  <sheetData>
    <row r="1" spans="1:9" x14ac:dyDescent="0.15">
      <c r="A1" s="114" t="s">
        <v>210</v>
      </c>
      <c r="B1" s="114" t="s">
        <v>0</v>
      </c>
      <c r="C1" s="114" t="s">
        <v>1</v>
      </c>
      <c r="D1" s="114" t="s">
        <v>211</v>
      </c>
      <c r="E1" s="114" t="s">
        <v>212</v>
      </c>
      <c r="F1" s="114" t="s">
        <v>213</v>
      </c>
      <c r="G1" s="114" t="s">
        <v>214</v>
      </c>
      <c r="H1" s="114" t="s">
        <v>215</v>
      </c>
      <c r="I1" s="114" t="s">
        <v>216</v>
      </c>
    </row>
    <row r="2" spans="1:9" ht="26" customHeight="1" x14ac:dyDescent="0.15">
      <c r="A2" s="115">
        <v>5</v>
      </c>
      <c r="B2" s="115">
        <f>output!C2</f>
        <v>39014</v>
      </c>
      <c r="C2" s="115">
        <v>2</v>
      </c>
      <c r="D2" s="115" t="s">
        <v>533</v>
      </c>
      <c r="E2" s="115">
        <v>50</v>
      </c>
      <c r="F2" s="115" t="s">
        <v>542</v>
      </c>
      <c r="G2" s="115">
        <v>7.0000000000000007E-2</v>
      </c>
      <c r="H2" s="116">
        <v>36526</v>
      </c>
      <c r="I2" s="116">
        <v>371454</v>
      </c>
    </row>
    <row r="3" spans="1:9" ht="26" customHeight="1" thickBot="1" x14ac:dyDescent="0.2">
      <c r="A3" s="115">
        <v>6</v>
      </c>
      <c r="B3" s="129">
        <f>$B$2</f>
        <v>39014</v>
      </c>
      <c r="C3" s="115">
        <v>2</v>
      </c>
      <c r="D3" s="129" t="s">
        <v>535</v>
      </c>
      <c r="E3" s="129" t="s">
        <v>534</v>
      </c>
      <c r="F3" s="129" t="s">
        <v>217</v>
      </c>
      <c r="G3" s="129">
        <v>0.03</v>
      </c>
      <c r="H3" s="130">
        <v>36526</v>
      </c>
      <c r="I3" s="130">
        <v>371454</v>
      </c>
    </row>
    <row r="4" spans="1:9" ht="16" thickTop="1" x14ac:dyDescent="0.15"/>
  </sheetData>
  <phoneticPr fontId="1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D2" sqref="D2"/>
      <selection pane="bottomLeft" activeCell="B6" sqref="B6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350</v>
      </c>
      <c r="B1" s="14" t="s">
        <v>351</v>
      </c>
      <c r="C1" s="158" t="s">
        <v>0</v>
      </c>
      <c r="D1" s="13" t="s">
        <v>352</v>
      </c>
      <c r="E1" s="13" t="s">
        <v>20</v>
      </c>
      <c r="F1" s="158" t="s">
        <v>1</v>
      </c>
      <c r="G1" s="20" t="s">
        <v>353</v>
      </c>
      <c r="H1" s="13" t="s">
        <v>352</v>
      </c>
      <c r="I1" s="158" t="s">
        <v>12</v>
      </c>
      <c r="J1" s="158" t="s">
        <v>13</v>
      </c>
      <c r="K1" s="158" t="s">
        <v>14</v>
      </c>
    </row>
    <row r="2" spans="1:11" ht="21" customHeight="1" x14ac:dyDescent="0.15">
      <c r="A2" s="14" t="str">
        <f t="shared" ref="A2:A7" si="0">G2&amp;"-"&amp;I2</f>
        <v>39014_1-1</v>
      </c>
      <c r="B2" s="14" t="str">
        <f>IF(COUNTIF(enemy_habitats!$H:$H,A2),"OK","NG")</f>
        <v>OK</v>
      </c>
      <c r="C2" s="134">
        <f>output!C2</f>
        <v>39014</v>
      </c>
      <c r="D2" s="16" t="str">
        <f ca="1">VLOOKUP($C2,OFFSET([2]quests!$A$1,0,0,COUNTA([2]quests!$A:$A),MATCH(D$1,[2]quests!$1:$1,0)-MATCH($C$1,[2]quests!$1:$1,0)+1),MATCH(D$1,[2]quests!$1:$1,0)-MATCH($C$1,[2]quests!$1:$1,0)+1,FALSE)</f>
        <v>金券</v>
      </c>
      <c r="E2" s="16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95">
        <v>1</v>
      </c>
      <c r="G2" s="20" t="str">
        <f t="shared" ref="G2:G7" si="1">C2&amp;"_"&amp;F2</f>
        <v>39014_1</v>
      </c>
      <c r="H2" s="13" t="str">
        <f ca="1">VLOOKUP($G2,OFFSET([2]stages!$A$1,0,0,COUNTA([2]stages!$A:$A),MATCH(H$1,[2]stages!$2:$2,0)-MATCH($G$1,[2]stages!$2:$2,0)+1),MATCH(H$1,[2]stages!$2:$2,0)-MATCH($G$1,[2]stages!$2:$2,0)+1,FALSE)</f>
        <v>【超級】金券</v>
      </c>
      <c r="I2" s="95">
        <v>1</v>
      </c>
      <c r="J2" s="32">
        <v>60</v>
      </c>
      <c r="K2" s="32">
        <v>60</v>
      </c>
    </row>
    <row r="3" spans="1:11" ht="21" customHeight="1" x14ac:dyDescent="0.15">
      <c r="A3" s="14" t="str">
        <f t="shared" si="0"/>
        <v>39014_1-2</v>
      </c>
      <c r="B3" s="14" t="str">
        <f>IF(COUNTIF(enemy_habitats!$H:$H,A3),"OK","NG")</f>
        <v>OK</v>
      </c>
      <c r="C3" s="134">
        <f>$C$2</f>
        <v>39014</v>
      </c>
      <c r="D3" s="16" t="str">
        <f ca="1">VLOOKUP($C3,OFFSET([2]quests!$A$1,0,0,COUNTA([2]quests!$A:$A),MATCH(D$1,[2]quests!$1:$1,0)-MATCH($C$1,[2]quests!$1:$1,0)+1),MATCH(D$1,[2]quests!$1:$1,0)-MATCH($C$1,[2]quests!$1:$1,0)+1,FALSE)</f>
        <v>金券</v>
      </c>
      <c r="E3" s="16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95">
        <v>1</v>
      </c>
      <c r="G3" s="20" t="str">
        <f t="shared" si="1"/>
        <v>39014_1</v>
      </c>
      <c r="H3" s="13" t="str">
        <f ca="1">VLOOKUP($G3,OFFSET([2]stages!$A$1,0,0,COUNTA([2]stages!$A:$A),MATCH(H$1,[2]stages!$2:$2,0)-MATCH($G$1,[2]stages!$2:$2,0)+1),MATCH(H$1,[2]stages!$2:$2,0)-MATCH($G$1,[2]stages!$2:$2,0)+1,FALSE)</f>
        <v>【超級】金券</v>
      </c>
      <c r="I3" s="95">
        <v>2</v>
      </c>
      <c r="J3" s="32">
        <v>60</v>
      </c>
      <c r="K3" s="32">
        <v>60</v>
      </c>
    </row>
    <row r="4" spans="1:11" ht="21" customHeight="1" x14ac:dyDescent="0.15">
      <c r="A4" s="14" t="str">
        <f t="shared" si="0"/>
        <v>39014_1-3</v>
      </c>
      <c r="B4" s="14" t="str">
        <f>IF(COUNTIF(enemy_habitats!$H:$H,A4),"OK","NG")</f>
        <v>OK</v>
      </c>
      <c r="C4" s="134">
        <f>$C$2</f>
        <v>39014</v>
      </c>
      <c r="D4" s="16" t="str">
        <f ca="1">VLOOKUP($C4,OFFSET([2]quests!$A$1,0,0,COUNTA([2]quests!$A:$A),MATCH(D$1,[2]quests!$1:$1,0)-MATCH($C$1,[2]quests!$1:$1,0)+1),MATCH(D$1,[2]quests!$1:$1,0)-MATCH($C$1,[2]quests!$1:$1,0)+1,FALSE)</f>
        <v>金券</v>
      </c>
      <c r="E4" s="16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95">
        <v>1</v>
      </c>
      <c r="G4" s="20" t="str">
        <f t="shared" si="1"/>
        <v>39014_1</v>
      </c>
      <c r="H4" s="13" t="str">
        <f ca="1">VLOOKUP($G4,OFFSET([2]stages!$A$1,0,0,COUNTA([2]stages!$A:$A),MATCH(H$1,[2]stages!$2:$2,0)-MATCH($G$1,[2]stages!$2:$2,0)+1),MATCH(H$1,[2]stages!$2:$2,0)-MATCH($G$1,[2]stages!$2:$2,0)+1,FALSE)</f>
        <v>【超級】金券</v>
      </c>
      <c r="I4" s="95">
        <v>3</v>
      </c>
      <c r="J4" s="32">
        <v>60</v>
      </c>
      <c r="K4" s="32">
        <v>60</v>
      </c>
    </row>
    <row r="5" spans="1:11" ht="21" customHeight="1" x14ac:dyDescent="0.15">
      <c r="A5" s="14" t="str">
        <f t="shared" si="0"/>
        <v>39014_2-1</v>
      </c>
      <c r="B5" s="14" t="str">
        <f>IF(COUNTIF(enemy_habitats!$H:$H,A5),"OK","NG")</f>
        <v>OK</v>
      </c>
      <c r="C5" s="134">
        <f>output!C5</f>
        <v>39014</v>
      </c>
      <c r="D5" s="16" t="str">
        <f ca="1">VLOOKUP($C5,OFFSET([2]quests!$A$1,0,0,COUNTA([2]quests!$A:$A),MATCH(D$1,[2]quests!$1:$1,0)-MATCH($C$1,[2]quests!$1:$1,0)+1),MATCH(D$1,[2]quests!$1:$1,0)-MATCH($C$1,[2]quests!$1:$1,0)+1,FALSE)</f>
        <v>金券</v>
      </c>
      <c r="E5" s="16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95">
        <v>2</v>
      </c>
      <c r="G5" s="20" t="str">
        <f t="shared" si="1"/>
        <v>39014_2</v>
      </c>
      <c r="H5" s="13" t="str">
        <f ca="1">VLOOKUP($G5,OFFSET([2]stages!$A$1,0,0,COUNTA([2]stages!$A:$A),MATCH(H$1,[2]stages!$2:$2,0)-MATCH($G$1,[2]stages!$2:$2,0)+1),MATCH(H$1,[2]stages!$2:$2,0)-MATCH($G$1,[2]stages!$2:$2,0)+1,FALSE)</f>
        <v>【超級】金券(スコアアタック)</v>
      </c>
      <c r="I5" s="95">
        <v>1</v>
      </c>
      <c r="J5" s="32">
        <v>60</v>
      </c>
      <c r="K5" s="32">
        <v>60</v>
      </c>
    </row>
    <row r="6" spans="1:11" ht="21" customHeight="1" x14ac:dyDescent="0.15">
      <c r="A6" s="14" t="str">
        <f t="shared" si="0"/>
        <v>39014_2-2</v>
      </c>
      <c r="B6" s="14" t="str">
        <f>IF(COUNTIF(enemy_habitats!$H:$H,A6),"OK","NG")</f>
        <v>OK</v>
      </c>
      <c r="C6" s="134">
        <f>$C$2</f>
        <v>39014</v>
      </c>
      <c r="D6" s="16" t="str">
        <f ca="1">VLOOKUP($C6,OFFSET([2]quests!$A$1,0,0,COUNTA([2]quests!$A:$A),MATCH(D$1,[2]quests!$1:$1,0)-MATCH($C$1,[2]quests!$1:$1,0)+1),MATCH(D$1,[2]quests!$1:$1,0)-MATCH($C$1,[2]quests!$1:$1,0)+1,FALSE)</f>
        <v>金券</v>
      </c>
      <c r="E6" s="16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95">
        <v>2</v>
      </c>
      <c r="G6" s="20" t="str">
        <f t="shared" si="1"/>
        <v>39014_2</v>
      </c>
      <c r="H6" s="13" t="str">
        <f ca="1">VLOOKUP($G6,OFFSET([2]stages!$A$1,0,0,COUNTA([2]stages!$A:$A),MATCH(H$1,[2]stages!$2:$2,0)-MATCH($G$1,[2]stages!$2:$2,0)+1),MATCH(H$1,[2]stages!$2:$2,0)-MATCH($G$1,[2]stages!$2:$2,0)+1,FALSE)</f>
        <v>【超級】金券(スコアアタック)</v>
      </c>
      <c r="I6" s="95">
        <v>2</v>
      </c>
      <c r="J6" s="32">
        <v>60</v>
      </c>
      <c r="K6" s="32">
        <v>60</v>
      </c>
    </row>
    <row r="7" spans="1:11" ht="21" customHeight="1" x14ac:dyDescent="0.15">
      <c r="A7" s="14" t="str">
        <f t="shared" si="0"/>
        <v>39014_2-3</v>
      </c>
      <c r="B7" s="14" t="str">
        <f>IF(COUNTIF(enemy_habitats!$H:$H,A7),"OK","NG")</f>
        <v>OK</v>
      </c>
      <c r="C7" s="134">
        <f>$C$2</f>
        <v>39014</v>
      </c>
      <c r="D7" s="16" t="str">
        <f ca="1">VLOOKUP($C7,OFFSET([2]quests!$A$1,0,0,COUNTA([2]quests!$A:$A),MATCH(D$1,[2]quests!$1:$1,0)-MATCH($C$1,[2]quests!$1:$1,0)+1),MATCH(D$1,[2]quests!$1:$1,0)-MATCH($C$1,[2]quests!$1:$1,0)+1,FALSE)</f>
        <v>金券</v>
      </c>
      <c r="E7" s="16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95">
        <v>2</v>
      </c>
      <c r="G7" s="20" t="str">
        <f t="shared" si="1"/>
        <v>39014_2</v>
      </c>
      <c r="H7" s="13" t="str">
        <f ca="1">VLOOKUP($G7,OFFSET([2]stages!$A$1,0,0,COUNTA([2]stages!$A:$A),MATCH(H$1,[2]stages!$2:$2,0)-MATCH($G$1,[2]stages!$2:$2,0)+1),MATCH(H$1,[2]stages!$2:$2,0)-MATCH($G$1,[2]stages!$2:$2,0)+1,FALSE)</f>
        <v>【超級】金券(スコアアタック)</v>
      </c>
      <c r="I7" s="95">
        <v>3</v>
      </c>
      <c r="J7" s="32">
        <v>60</v>
      </c>
      <c r="K7" s="32">
        <v>60</v>
      </c>
    </row>
  </sheetData>
  <sheetProtection selectLockedCells="1" selectUnlockedCells="1"/>
  <phoneticPr fontId="12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P9"/>
  <sheetViews>
    <sheetView showGridLines="0" workbookViewId="0">
      <pane xSplit="17" ySplit="1" topLeftCell="AD2" activePane="bottomRight" state="frozen"/>
      <selection activeCell="D2" sqref="D2"/>
      <selection pane="topRight" activeCell="D2" sqref="D2"/>
      <selection pane="bottomLeft" activeCell="D2" sqref="D2"/>
      <selection pane="bottomRight" activeCell="AJ10" sqref="AJ10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36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1" bestFit="1" customWidth="1" outlineLevel="1"/>
    <col min="32" max="32" width="8" style="12" bestFit="1" customWidth="1" outlineLevel="1"/>
    <col min="33" max="33" width="12" style="12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29" customFormat="1" ht="21" customHeight="1" x14ac:dyDescent="0.15">
      <c r="A1" s="23" t="s">
        <v>354</v>
      </c>
      <c r="B1" s="22" t="s">
        <v>0</v>
      </c>
      <c r="C1" s="22" t="s">
        <v>1</v>
      </c>
      <c r="D1" s="24" t="s">
        <v>355</v>
      </c>
      <c r="E1" s="24" t="s">
        <v>356</v>
      </c>
      <c r="F1" s="24" t="s">
        <v>356</v>
      </c>
      <c r="G1" s="22" t="s">
        <v>357</v>
      </c>
      <c r="H1" s="24" t="s">
        <v>358</v>
      </c>
      <c r="I1" s="24" t="s">
        <v>13</v>
      </c>
      <c r="J1" s="24" t="s">
        <v>14</v>
      </c>
      <c r="K1" s="30" t="s">
        <v>359</v>
      </c>
      <c r="L1" s="30" t="s">
        <v>2</v>
      </c>
      <c r="M1" s="25" t="s">
        <v>356</v>
      </c>
      <c r="N1" s="24" t="s">
        <v>360</v>
      </c>
      <c r="O1" s="24" t="s">
        <v>361</v>
      </c>
      <c r="P1" s="26" t="s">
        <v>362</v>
      </c>
      <c r="Q1" s="24" t="s">
        <v>363</v>
      </c>
      <c r="R1" s="22" t="s">
        <v>3</v>
      </c>
      <c r="S1" s="22" t="s">
        <v>364</v>
      </c>
      <c r="T1" s="135" t="s">
        <v>365</v>
      </c>
      <c r="U1" s="22" t="s">
        <v>366</v>
      </c>
      <c r="V1" s="135" t="s">
        <v>367</v>
      </c>
      <c r="W1" s="22" t="s">
        <v>368</v>
      </c>
      <c r="X1" s="24" t="s">
        <v>369</v>
      </c>
      <c r="Y1" s="22" t="s">
        <v>370</v>
      </c>
      <c r="Z1" s="22" t="s">
        <v>4</v>
      </c>
      <c r="AA1" s="22" t="s">
        <v>5</v>
      </c>
      <c r="AB1" s="22" t="s">
        <v>6</v>
      </c>
      <c r="AC1" s="22" t="s">
        <v>7</v>
      </c>
      <c r="AD1" s="27" t="s">
        <v>8</v>
      </c>
      <c r="AE1" s="28" t="s">
        <v>371</v>
      </c>
      <c r="AF1" s="28" t="s">
        <v>372</v>
      </c>
      <c r="AG1" s="28" t="s">
        <v>373</v>
      </c>
      <c r="AH1" s="27" t="s">
        <v>9</v>
      </c>
      <c r="AI1" s="22" t="s">
        <v>10</v>
      </c>
      <c r="AJ1" s="22" t="s">
        <v>11</v>
      </c>
      <c r="AK1" s="22" t="s">
        <v>342</v>
      </c>
      <c r="AL1" s="22" t="s">
        <v>343</v>
      </c>
      <c r="AM1" s="22" t="s">
        <v>344</v>
      </c>
      <c r="AN1" s="22" t="s">
        <v>345</v>
      </c>
      <c r="AO1" s="22" t="s">
        <v>346</v>
      </c>
      <c r="AP1" s="30" t="s">
        <v>341</v>
      </c>
    </row>
    <row r="2" spans="1:42" ht="21" customHeight="1" x14ac:dyDescent="0.15">
      <c r="A2" s="14" t="str">
        <f t="shared" ref="A2:A9" si="0">B2&amp;"_"&amp;C2&amp;"-"&amp;G2&amp;"/"&amp;L2&amp;"&lt;lv"&amp;R2&amp;"&gt;s"&amp;AC2</f>
        <v>39014_1-1/1578&lt;lv79&gt;s3</v>
      </c>
      <c r="B2" s="19">
        <v>39014</v>
      </c>
      <c r="C2" s="95">
        <v>1</v>
      </c>
      <c r="D2" s="13" t="str">
        <f t="shared" ref="D2:D9" si="1">B2&amp;"_"&amp;C2</f>
        <v>39014_1</v>
      </c>
      <c r="E2" s="4" t="str">
        <f ca="1">VLOOKUP($B2,OFFSET([2]quests!$A$1,0,0,COUNTA([2]quests!$A:$A),MATCH(E$1,[2]quests!$1:$1,0)-MATCH($B$1,[2]quests!$1:$1,0)+1),MATCH(E$1,[2]quests!$1:$1,0)-MATCH($B$1,[2]quests!$1:$1,0)+1,FALSE)</f>
        <v>金券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【超級】金券</v>
      </c>
      <c r="G2" s="95">
        <v>1</v>
      </c>
      <c r="H2" s="13" t="str">
        <f t="shared" ref="H2:H9" si="2">B2&amp;"_"&amp;C2&amp;"-"&amp;G2</f>
        <v>39014_1-1</v>
      </c>
      <c r="I2" s="4">
        <v>60</v>
      </c>
      <c r="J2" s="4">
        <v>60</v>
      </c>
      <c r="K2" s="32" t="s">
        <v>374</v>
      </c>
      <c r="L2" s="131">
        <v>1578</v>
      </c>
      <c r="M2" s="15" t="str">
        <f ca="1">VLOOKUP($L2,OFFSET([3]enemies!$A$1,0,0,COUNTA([3]enemies!$A:$A),MATCH(M$1,[3]enemies!$1:$1,0)-MATCH($L$1,[3]enemies!$1:$1,0)+1),MATCH(M$1,[3]enemies!$1:$1,0)-MATCH($L$1,[3]enemies!$1:$1,0)+1,FALSE)</f>
        <v>Hydra01</v>
      </c>
      <c r="N2" s="15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5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5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79</v>
      </c>
      <c r="S2" s="21">
        <f>80000/186527</f>
        <v>0.42889233194122028</v>
      </c>
      <c r="T2" s="132">
        <f>186527*S2</f>
        <v>80000</v>
      </c>
      <c r="U2" s="21">
        <f>3000/7546</f>
        <v>0.39756162205141798</v>
      </c>
      <c r="V2" s="132">
        <f>7546*U2</f>
        <v>3000</v>
      </c>
      <c r="W2" s="5">
        <v>0</v>
      </c>
      <c r="X2" s="4" t="e">
        <v>#N/A</v>
      </c>
      <c r="Y2" s="4">
        <v>39014001</v>
      </c>
      <c r="Z2" s="6">
        <v>1</v>
      </c>
      <c r="AA2" s="6">
        <v>100</v>
      </c>
      <c r="AB2" s="6">
        <v>0</v>
      </c>
      <c r="AC2" s="15">
        <v>3</v>
      </c>
      <c r="AD2" s="133">
        <f t="shared" ref="AD2:AD9" si="3">L2</f>
        <v>1578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Hydra01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134">
        <v>1</v>
      </c>
      <c r="AI2" s="133">
        <f t="shared" ref="AI2:AI9" ca="1" si="4">AF2</f>
        <v>5</v>
      </c>
      <c r="AJ2" s="159">
        <v>0</v>
      </c>
      <c r="AK2" s="134">
        <v>0</v>
      </c>
      <c r="AL2" s="134">
        <v>0</v>
      </c>
      <c r="AM2" s="134">
        <v>0</v>
      </c>
      <c r="AN2" s="134">
        <v>0</v>
      </c>
      <c r="AO2" s="134">
        <v>1</v>
      </c>
      <c r="AP2" s="56">
        <v>1</v>
      </c>
    </row>
    <row r="3" spans="1:42" ht="21" customHeight="1" x14ac:dyDescent="0.15">
      <c r="A3" s="14" t="str">
        <f t="shared" si="0"/>
        <v>39014_1-1/1577&lt;lv80&gt;s1</v>
      </c>
      <c r="B3" s="19">
        <v>39014</v>
      </c>
      <c r="C3" s="95">
        <v>1</v>
      </c>
      <c r="D3" s="13" t="str">
        <f t="shared" si="1"/>
        <v>39014_1</v>
      </c>
      <c r="E3" s="4" t="str">
        <f ca="1">VLOOKUP($B3,OFFSET([2]quests!$A$1,0,0,COUNTA([2]quests!$A:$A),MATCH(E$1,[2]quests!$1:$1,0)-MATCH($B$1,[2]quests!$1:$1,0)+1),MATCH(E$1,[2]quests!$1:$1,0)-MATCH($B$1,[2]quests!$1:$1,0)+1,FALSE)</f>
        <v>金券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【超級】金券</v>
      </c>
      <c r="G3" s="95">
        <v>1</v>
      </c>
      <c r="H3" s="13" t="str">
        <f t="shared" si="2"/>
        <v>39014_1-1</v>
      </c>
      <c r="I3" s="4">
        <v>60</v>
      </c>
      <c r="J3" s="4">
        <v>60</v>
      </c>
      <c r="K3" s="32" t="s">
        <v>374</v>
      </c>
      <c r="L3" s="131">
        <v>1577</v>
      </c>
      <c r="M3" s="15" t="str">
        <f ca="1">VLOOKUP($L3,OFFSET([3]enemies!$A$1,0,0,COUNTA([3]enemies!$A:$A),MATCH(M$1,[3]enemies!$1:$1,0)-MATCH($L$1,[3]enemies!$1:$1,0)+1),MATCH(M$1,[3]enemies!$1:$1,0)-MATCH($L$1,[3]enemies!$1:$1,0)+1,FALSE)</f>
        <v>Perseus01</v>
      </c>
      <c r="N3" s="15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5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5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1">
        <v>0.5</v>
      </c>
      <c r="T3" s="132">
        <f>127633*S3</f>
        <v>63816.5</v>
      </c>
      <c r="U3" s="21">
        <f>3000/11836</f>
        <v>0.25346400811084824</v>
      </c>
      <c r="V3" s="132">
        <f>11836*U3</f>
        <v>2999.9999999999995</v>
      </c>
      <c r="W3" s="5">
        <v>0</v>
      </c>
      <c r="X3" s="4" t="e">
        <v>#N/A</v>
      </c>
      <c r="Y3" s="4">
        <v>39014002</v>
      </c>
      <c r="Z3" s="6">
        <v>1</v>
      </c>
      <c r="AA3" s="6">
        <v>100</v>
      </c>
      <c r="AB3" s="6">
        <v>0</v>
      </c>
      <c r="AC3" s="15">
        <v>1</v>
      </c>
      <c r="AD3" s="133">
        <f t="shared" si="3"/>
        <v>1577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Perseus01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134">
        <v>1</v>
      </c>
      <c r="AI3" s="133">
        <f t="shared" ca="1" si="4"/>
        <v>5</v>
      </c>
      <c r="AJ3" s="159">
        <v>0</v>
      </c>
      <c r="AK3" s="134">
        <v>0</v>
      </c>
      <c r="AL3" s="134">
        <v>0</v>
      </c>
      <c r="AM3" s="134">
        <v>0</v>
      </c>
      <c r="AN3" s="134">
        <v>0</v>
      </c>
      <c r="AO3" s="134">
        <v>1</v>
      </c>
      <c r="AP3" s="56">
        <v>1</v>
      </c>
    </row>
    <row r="4" spans="1:42" ht="21" customHeight="1" x14ac:dyDescent="0.15">
      <c r="A4" s="14" t="str">
        <f t="shared" si="0"/>
        <v>39014_1-2/1575&lt;lv80&gt;s1</v>
      </c>
      <c r="B4" s="19">
        <v>39014</v>
      </c>
      <c r="C4" s="95">
        <v>1</v>
      </c>
      <c r="D4" s="13" t="str">
        <f t="shared" si="1"/>
        <v>39014_1</v>
      </c>
      <c r="E4" s="4" t="str">
        <f ca="1">VLOOKUP($B4,OFFSET([2]quests!$A$1,0,0,COUNTA([2]quests!$A:$A),MATCH(E$1,[2]quests!$1:$1,0)-MATCH($B$1,[2]quests!$1:$1,0)+1),MATCH(E$1,[2]quests!$1:$1,0)-MATCH($B$1,[2]quests!$1:$1,0)+1,FALSE)</f>
        <v>金券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【超級】金券</v>
      </c>
      <c r="G4" s="95">
        <v>2</v>
      </c>
      <c r="H4" s="13" t="str">
        <f t="shared" si="2"/>
        <v>39014_1-2</v>
      </c>
      <c r="I4" s="4">
        <v>60</v>
      </c>
      <c r="J4" s="4">
        <v>60</v>
      </c>
      <c r="K4" s="32" t="s">
        <v>374</v>
      </c>
      <c r="L4" s="131">
        <v>1575</v>
      </c>
      <c r="M4" s="15" t="str">
        <f ca="1">VLOOKUP($L4,OFFSET([3]enemies!$A$1,0,0,COUNTA([3]enemies!$A:$A),MATCH(M$1,[3]enemies!$1:$1,0)-MATCH($L$1,[3]enemies!$1:$1,0)+1),MATCH(M$1,[3]enemies!$1:$1,0)-MATCH($L$1,[3]enemies!$1:$1,0)+1,FALSE)</f>
        <v>Aquarius01</v>
      </c>
      <c r="N4" s="15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5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5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5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1">
        <f>150000/130237</f>
        <v>1.1517464315056398</v>
      </c>
      <c r="T4" s="132">
        <f>130237*S4</f>
        <v>150000</v>
      </c>
      <c r="U4" s="21">
        <f>5000/11484</f>
        <v>0.43538836642284917</v>
      </c>
      <c r="V4" s="132">
        <f>11484*U4</f>
        <v>5000</v>
      </c>
      <c r="W4" s="5">
        <v>0</v>
      </c>
      <c r="X4" s="4" t="e">
        <v>#N/A</v>
      </c>
      <c r="Y4" s="4">
        <v>39014003</v>
      </c>
      <c r="Z4" s="6">
        <v>1</v>
      </c>
      <c r="AA4" s="6">
        <v>100</v>
      </c>
      <c r="AB4" s="6">
        <v>0</v>
      </c>
      <c r="AC4" s="15">
        <v>1</v>
      </c>
      <c r="AD4" s="133">
        <f t="shared" si="3"/>
        <v>1575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Aquarius01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134">
        <v>1</v>
      </c>
      <c r="AI4" s="133">
        <f t="shared" ca="1" si="4"/>
        <v>5</v>
      </c>
      <c r="AJ4" s="159">
        <v>0</v>
      </c>
      <c r="AK4" s="134">
        <v>0</v>
      </c>
      <c r="AL4" s="134">
        <v>0</v>
      </c>
      <c r="AM4" s="134">
        <v>0</v>
      </c>
      <c r="AN4" s="134">
        <v>0</v>
      </c>
      <c r="AO4" s="134">
        <v>1</v>
      </c>
      <c r="AP4" s="56">
        <v>1</v>
      </c>
    </row>
    <row r="5" spans="1:42" ht="21" customHeight="1" x14ac:dyDescent="0.15">
      <c r="A5" s="14" t="str">
        <f t="shared" si="0"/>
        <v>39014_1-3/1575&lt;lv81&gt;s1</v>
      </c>
      <c r="B5" s="19">
        <v>39014</v>
      </c>
      <c r="C5" s="95">
        <v>1</v>
      </c>
      <c r="D5" s="13" t="str">
        <f t="shared" si="1"/>
        <v>39014_1</v>
      </c>
      <c r="E5" s="4" t="str">
        <f ca="1">VLOOKUP($B5,OFFSET([2]quests!$A$1,0,0,COUNTA([2]quests!$A:$A),MATCH(E$1,[2]quests!$1:$1,0)-MATCH($B$1,[2]quests!$1:$1,0)+1),MATCH(E$1,[2]quests!$1:$1,0)-MATCH($B$1,[2]quests!$1:$1,0)+1,FALSE)</f>
        <v>金券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【超級】金券</v>
      </c>
      <c r="G5" s="95">
        <v>3</v>
      </c>
      <c r="H5" s="13" t="str">
        <f t="shared" si="2"/>
        <v>39014_1-3</v>
      </c>
      <c r="I5" s="4">
        <v>60</v>
      </c>
      <c r="J5" s="4">
        <v>60</v>
      </c>
      <c r="K5" s="32">
        <v>1</v>
      </c>
      <c r="L5" s="131">
        <v>1575</v>
      </c>
      <c r="M5" s="15" t="str">
        <f ca="1">VLOOKUP($L5,OFFSET([3]enemies!$A$1,0,0,COUNTA([3]enemies!$A:$A),MATCH(M$1,[3]enemies!$1:$1,0)-MATCH($L$1,[3]enemies!$1:$1,0)+1),MATCH(M$1,[3]enemies!$1:$1,0)-MATCH($L$1,[3]enemies!$1:$1,0)+1,FALSE)</f>
        <v>Aquarius01</v>
      </c>
      <c r="N5" s="15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5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5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5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81</v>
      </c>
      <c r="S5" s="21">
        <f>170000/131835</f>
        <v>1.2894906511927788</v>
      </c>
      <c r="T5" s="132">
        <f>131835*S5</f>
        <v>170000</v>
      </c>
      <c r="U5" s="21">
        <f>6000/11625</f>
        <v>0.5161290322580645</v>
      </c>
      <c r="V5" s="132">
        <f>11625*U5</f>
        <v>6000</v>
      </c>
      <c r="W5" s="5">
        <v>0</v>
      </c>
      <c r="X5" s="4" t="e">
        <v>#N/A</v>
      </c>
      <c r="Y5" s="4">
        <v>39014004</v>
      </c>
      <c r="Z5" s="6">
        <v>1</v>
      </c>
      <c r="AA5" s="6">
        <v>100</v>
      </c>
      <c r="AB5" s="6">
        <v>1</v>
      </c>
      <c r="AC5" s="15">
        <v>1</v>
      </c>
      <c r="AD5" s="133">
        <f t="shared" si="3"/>
        <v>1575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Aquarius01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134">
        <v>1</v>
      </c>
      <c r="AI5" s="133">
        <f t="shared" ca="1" si="4"/>
        <v>5</v>
      </c>
      <c r="AJ5" s="159">
        <v>100</v>
      </c>
      <c r="AK5" s="134">
        <v>0</v>
      </c>
      <c r="AL5" s="134">
        <v>0</v>
      </c>
      <c r="AM5" s="134">
        <v>0</v>
      </c>
      <c r="AN5" s="134">
        <v>0</v>
      </c>
      <c r="AO5" s="134">
        <v>1</v>
      </c>
      <c r="AP5" s="56">
        <v>1</v>
      </c>
    </row>
    <row r="6" spans="1:42" ht="21" customHeight="1" x14ac:dyDescent="0.15">
      <c r="A6" s="14" t="str">
        <f t="shared" si="0"/>
        <v>39014_2-1/1578&lt;lv79&gt;s3</v>
      </c>
      <c r="B6" s="19">
        <v>39014</v>
      </c>
      <c r="C6" s="95">
        <v>2</v>
      </c>
      <c r="D6" s="13" t="str">
        <f t="shared" si="1"/>
        <v>39014_2</v>
      </c>
      <c r="E6" s="4" t="str">
        <f ca="1">VLOOKUP($B6,OFFSET([2]quests!$A$1,0,0,COUNTA([2]quests!$A:$A),MATCH(E$1,[2]quests!$1:$1,0)-MATCH($B$1,[2]quests!$1:$1,0)+1),MATCH(E$1,[2]quests!$1:$1,0)-MATCH($B$1,[2]quests!$1:$1,0)+1,FALSE)</f>
        <v>金券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【超級】金券(スコアアタック)</v>
      </c>
      <c r="G6" s="95">
        <v>1</v>
      </c>
      <c r="H6" s="13" t="str">
        <f t="shared" si="2"/>
        <v>39014_2-1</v>
      </c>
      <c r="I6" s="4">
        <v>60</v>
      </c>
      <c r="J6" s="4">
        <v>60</v>
      </c>
      <c r="K6" s="32" t="s">
        <v>149</v>
      </c>
      <c r="L6" s="131">
        <v>1578</v>
      </c>
      <c r="M6" s="15" t="str">
        <f ca="1">VLOOKUP($L6,OFFSET([3]enemies!$A$1,0,0,COUNTA([3]enemies!$A:$A),MATCH(M$1,[3]enemies!$1:$1,0)-MATCH($L$1,[3]enemies!$1:$1,0)+1),MATCH(M$1,[3]enemies!$1:$1,0)-MATCH($L$1,[3]enemies!$1:$1,0)+1,FALSE)</f>
        <v>Hydra01</v>
      </c>
      <c r="N6" s="15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5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5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5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79</v>
      </c>
      <c r="S6" s="21">
        <f>80000/186527</f>
        <v>0.42889233194122028</v>
      </c>
      <c r="T6" s="132">
        <f>186527*S6</f>
        <v>80000</v>
      </c>
      <c r="U6" s="21">
        <f>3000/7546</f>
        <v>0.39756162205141798</v>
      </c>
      <c r="V6" s="132">
        <f>7546*U6</f>
        <v>3000</v>
      </c>
      <c r="W6" s="5">
        <v>0</v>
      </c>
      <c r="X6" s="4" t="e">
        <v>#N/A</v>
      </c>
      <c r="Y6" s="4">
        <v>39014001</v>
      </c>
      <c r="Z6" s="6">
        <v>1</v>
      </c>
      <c r="AA6" s="6">
        <v>100</v>
      </c>
      <c r="AB6" s="6">
        <v>0</v>
      </c>
      <c r="AC6" s="15">
        <v>3</v>
      </c>
      <c r="AD6" s="133">
        <f t="shared" si="3"/>
        <v>1578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Hydra01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134">
        <v>1</v>
      </c>
      <c r="AI6" s="133">
        <f t="shared" ca="1" si="4"/>
        <v>5</v>
      </c>
      <c r="AJ6" s="159">
        <v>0</v>
      </c>
      <c r="AK6" s="134">
        <v>0</v>
      </c>
      <c r="AL6" s="134">
        <v>0</v>
      </c>
      <c r="AM6" s="134">
        <v>0</v>
      </c>
      <c r="AN6" s="134">
        <v>0</v>
      </c>
      <c r="AO6" s="134">
        <v>1</v>
      </c>
      <c r="AP6" s="56">
        <v>1</v>
      </c>
    </row>
    <row r="7" spans="1:42" ht="21" customHeight="1" x14ac:dyDescent="0.15">
      <c r="A7" s="14" t="str">
        <f t="shared" si="0"/>
        <v>39014_2-1/1577&lt;lv80&gt;s1</v>
      </c>
      <c r="B7" s="19">
        <v>39014</v>
      </c>
      <c r="C7" s="95">
        <v>2</v>
      </c>
      <c r="D7" s="13" t="str">
        <f t="shared" si="1"/>
        <v>39014_2</v>
      </c>
      <c r="E7" s="4" t="str">
        <f ca="1">VLOOKUP($B7,OFFSET([2]quests!$A$1,0,0,COUNTA([2]quests!$A:$A),MATCH(E$1,[2]quests!$1:$1,0)-MATCH($B$1,[2]quests!$1:$1,0)+1),MATCH(E$1,[2]quests!$1:$1,0)-MATCH($B$1,[2]quests!$1:$1,0)+1,FALSE)</f>
        <v>金券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【超級】金券(スコアアタック)</v>
      </c>
      <c r="G7" s="95">
        <v>1</v>
      </c>
      <c r="H7" s="13" t="str">
        <f t="shared" si="2"/>
        <v>39014_2-1</v>
      </c>
      <c r="I7" s="4">
        <v>60</v>
      </c>
      <c r="J7" s="4">
        <v>60</v>
      </c>
      <c r="K7" s="32" t="s">
        <v>149</v>
      </c>
      <c r="L7" s="131">
        <v>1577</v>
      </c>
      <c r="M7" s="15" t="str">
        <f ca="1">VLOOKUP($L7,OFFSET([3]enemies!$A$1,0,0,COUNTA([3]enemies!$A:$A),MATCH(M$1,[3]enemies!$1:$1,0)-MATCH($L$1,[3]enemies!$1:$1,0)+1),MATCH(M$1,[3]enemies!$1:$1,0)-MATCH($L$1,[3]enemies!$1:$1,0)+1,FALSE)</f>
        <v>Perseus01</v>
      </c>
      <c r="N7" s="15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5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5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5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1">
        <v>0.5</v>
      </c>
      <c r="T7" s="132">
        <f>127633*S7</f>
        <v>63816.5</v>
      </c>
      <c r="U7" s="21">
        <f>3000/11836</f>
        <v>0.25346400811084824</v>
      </c>
      <c r="V7" s="132">
        <f>11836*U7</f>
        <v>2999.9999999999995</v>
      </c>
      <c r="W7" s="5">
        <v>0</v>
      </c>
      <c r="X7" s="4" t="e">
        <v>#N/A</v>
      </c>
      <c r="Y7" s="4">
        <v>39014002</v>
      </c>
      <c r="Z7" s="6">
        <v>1</v>
      </c>
      <c r="AA7" s="6">
        <v>100</v>
      </c>
      <c r="AB7" s="6">
        <v>0</v>
      </c>
      <c r="AC7" s="15">
        <v>1</v>
      </c>
      <c r="AD7" s="133">
        <f t="shared" si="3"/>
        <v>1577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Perseus01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134">
        <v>1</v>
      </c>
      <c r="AI7" s="133">
        <f t="shared" ca="1" si="4"/>
        <v>5</v>
      </c>
      <c r="AJ7" s="159">
        <v>0</v>
      </c>
      <c r="AK7" s="134">
        <v>0</v>
      </c>
      <c r="AL7" s="134">
        <v>0</v>
      </c>
      <c r="AM7" s="134">
        <v>0</v>
      </c>
      <c r="AN7" s="134">
        <v>0</v>
      </c>
      <c r="AO7" s="134">
        <v>1</v>
      </c>
      <c r="AP7" s="56">
        <v>1</v>
      </c>
    </row>
    <row r="8" spans="1:42" ht="21" customHeight="1" x14ac:dyDescent="0.15">
      <c r="A8" s="14" t="str">
        <f t="shared" si="0"/>
        <v>39014_2-2/1575&lt;lv80&gt;s1</v>
      </c>
      <c r="B8" s="19">
        <v>39014</v>
      </c>
      <c r="C8" s="95">
        <v>2</v>
      </c>
      <c r="D8" s="13" t="str">
        <f t="shared" si="1"/>
        <v>39014_2</v>
      </c>
      <c r="E8" s="4" t="str">
        <f ca="1">VLOOKUP($B8,OFFSET([2]quests!$A$1,0,0,COUNTA([2]quests!$A:$A),MATCH(E$1,[2]quests!$1:$1,0)-MATCH($B$1,[2]quests!$1:$1,0)+1),MATCH(E$1,[2]quests!$1:$1,0)-MATCH($B$1,[2]quests!$1:$1,0)+1,FALSE)</f>
        <v>金券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【超級】金券(スコアアタック)</v>
      </c>
      <c r="G8" s="95">
        <v>2</v>
      </c>
      <c r="H8" s="13" t="str">
        <f t="shared" si="2"/>
        <v>39014_2-2</v>
      </c>
      <c r="I8" s="4">
        <v>60</v>
      </c>
      <c r="J8" s="4">
        <v>60</v>
      </c>
      <c r="K8" s="32" t="s">
        <v>149</v>
      </c>
      <c r="L8" s="131">
        <v>1575</v>
      </c>
      <c r="M8" s="15" t="str">
        <f ca="1">VLOOKUP($L8,OFFSET([3]enemies!$A$1,0,0,COUNTA([3]enemies!$A:$A),MATCH(M$1,[3]enemies!$1:$1,0)-MATCH($L$1,[3]enemies!$1:$1,0)+1),MATCH(M$1,[3]enemies!$1:$1,0)-MATCH($L$1,[3]enemies!$1:$1,0)+1,FALSE)</f>
        <v>Aquarius01</v>
      </c>
      <c r="N8" s="15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5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5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5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1">
        <f>150000/130237</f>
        <v>1.1517464315056398</v>
      </c>
      <c r="T8" s="132">
        <f>130237*S8</f>
        <v>150000</v>
      </c>
      <c r="U8" s="21">
        <f>5000/11484</f>
        <v>0.43538836642284917</v>
      </c>
      <c r="V8" s="132">
        <f>11484*U8</f>
        <v>5000</v>
      </c>
      <c r="W8" s="5">
        <v>0</v>
      </c>
      <c r="X8" s="4" t="e">
        <v>#N/A</v>
      </c>
      <c r="Y8" s="4">
        <v>39014003</v>
      </c>
      <c r="Z8" s="6">
        <v>1</v>
      </c>
      <c r="AA8" s="6">
        <v>100</v>
      </c>
      <c r="AB8" s="6">
        <v>0</v>
      </c>
      <c r="AC8" s="15">
        <v>1</v>
      </c>
      <c r="AD8" s="133">
        <f t="shared" si="3"/>
        <v>1575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Aquarius01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134">
        <v>1</v>
      </c>
      <c r="AI8" s="133">
        <f t="shared" ca="1" si="4"/>
        <v>5</v>
      </c>
      <c r="AJ8" s="159">
        <v>0</v>
      </c>
      <c r="AK8" s="134">
        <v>0</v>
      </c>
      <c r="AL8" s="134">
        <v>0</v>
      </c>
      <c r="AM8" s="134">
        <v>0</v>
      </c>
      <c r="AN8" s="134">
        <v>0</v>
      </c>
      <c r="AO8" s="134">
        <v>1</v>
      </c>
      <c r="AP8" s="56">
        <v>1</v>
      </c>
    </row>
    <row r="9" spans="1:42" ht="21" customHeight="1" x14ac:dyDescent="0.15">
      <c r="A9" s="14" t="str">
        <f t="shared" si="0"/>
        <v>39014_2-3/1575&lt;lv81&gt;s1</v>
      </c>
      <c r="B9" s="19">
        <v>39014</v>
      </c>
      <c r="C9" s="95">
        <v>2</v>
      </c>
      <c r="D9" s="13" t="str">
        <f t="shared" si="1"/>
        <v>39014_2</v>
      </c>
      <c r="E9" s="4" t="str">
        <f ca="1">VLOOKUP($B9,OFFSET([2]quests!$A$1,0,0,COUNTA([2]quests!$A:$A),MATCH(E$1,[2]quests!$1:$1,0)-MATCH($B$1,[2]quests!$1:$1,0)+1),MATCH(E$1,[2]quests!$1:$1,0)-MATCH($B$1,[2]quests!$1:$1,0)+1,FALSE)</f>
        <v>金券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【超級】金券(スコアアタック)</v>
      </c>
      <c r="G9" s="95">
        <v>3</v>
      </c>
      <c r="H9" s="13" t="str">
        <f t="shared" si="2"/>
        <v>39014_2-3</v>
      </c>
      <c r="I9" s="4">
        <v>60</v>
      </c>
      <c r="J9" s="4">
        <v>60</v>
      </c>
      <c r="K9" s="32">
        <v>1</v>
      </c>
      <c r="L9" s="131">
        <v>1575</v>
      </c>
      <c r="M9" s="15" t="str">
        <f ca="1">VLOOKUP($L9,OFFSET([3]enemies!$A$1,0,0,COUNTA([3]enemies!$A:$A),MATCH(M$1,[3]enemies!$1:$1,0)-MATCH($L$1,[3]enemies!$1:$1,0)+1),MATCH(M$1,[3]enemies!$1:$1,0)-MATCH($L$1,[3]enemies!$1:$1,0)+1,FALSE)</f>
        <v>Aquarius01</v>
      </c>
      <c r="N9" s="15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5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5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5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81</v>
      </c>
      <c r="S9" s="21">
        <f>170000/131835</f>
        <v>1.2894906511927788</v>
      </c>
      <c r="T9" s="132">
        <f>131835*S9</f>
        <v>170000</v>
      </c>
      <c r="U9" s="21">
        <f>6000/11625</f>
        <v>0.5161290322580645</v>
      </c>
      <c r="V9" s="132">
        <f>11625*U9</f>
        <v>6000</v>
      </c>
      <c r="W9" s="5">
        <v>0</v>
      </c>
      <c r="X9" s="4" t="e">
        <v>#N/A</v>
      </c>
      <c r="Y9" s="4">
        <v>39014004</v>
      </c>
      <c r="Z9" s="6">
        <v>1</v>
      </c>
      <c r="AA9" s="6">
        <v>100</v>
      </c>
      <c r="AB9" s="6">
        <v>1</v>
      </c>
      <c r="AC9" s="15">
        <v>1</v>
      </c>
      <c r="AD9" s="133">
        <f t="shared" si="3"/>
        <v>1575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Aquarius01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134">
        <v>1</v>
      </c>
      <c r="AI9" s="133">
        <f t="shared" ca="1" si="4"/>
        <v>5</v>
      </c>
      <c r="AJ9" s="159">
        <v>0</v>
      </c>
      <c r="AK9" s="134">
        <v>0</v>
      </c>
      <c r="AL9" s="134">
        <v>0</v>
      </c>
      <c r="AM9" s="134">
        <v>0</v>
      </c>
      <c r="AN9" s="134">
        <v>0</v>
      </c>
      <c r="AO9" s="134">
        <v>1</v>
      </c>
      <c r="AP9" s="56">
        <v>1</v>
      </c>
    </row>
  </sheetData>
  <sheetProtection selectLockedCells="1" selectUnlockedCells="1"/>
  <autoFilter ref="B1:AJ2"/>
  <phoneticPr fontId="12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AA3"/>
  <sheetViews>
    <sheetView showGridLines="0" zoomScale="75" zoomScaleNormal="75" zoomScalePageLayoutView="75" workbookViewId="0">
      <pane xSplit="18" ySplit="1" topLeftCell="S2" activePane="bottomRight" state="frozen"/>
      <selection activeCell="D2" sqref="D2"/>
      <selection pane="topRight" activeCell="D2" sqref="D2"/>
      <selection pane="bottomLeft" activeCell="D2" sqref="D2"/>
      <selection pane="bottomRight" activeCell="X3" sqref="X3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29" customFormat="1" ht="21" customHeight="1" x14ac:dyDescent="0.15">
      <c r="A1" s="23" t="s">
        <v>354</v>
      </c>
      <c r="B1" s="22" t="s">
        <v>0</v>
      </c>
      <c r="C1" s="22" t="s">
        <v>1</v>
      </c>
      <c r="D1" s="24" t="s">
        <v>355</v>
      </c>
      <c r="E1" s="24" t="s">
        <v>356</v>
      </c>
      <c r="F1" s="24" t="s">
        <v>356</v>
      </c>
      <c r="G1" s="22" t="s">
        <v>357</v>
      </c>
      <c r="H1" s="24" t="s">
        <v>358</v>
      </c>
      <c r="I1" s="24" t="s">
        <v>13</v>
      </c>
      <c r="J1" s="24" t="s">
        <v>14</v>
      </c>
      <c r="K1" s="30" t="s">
        <v>359</v>
      </c>
      <c r="L1" s="30" t="s">
        <v>375</v>
      </c>
      <c r="M1" s="30" t="s">
        <v>2</v>
      </c>
      <c r="N1" s="25" t="s">
        <v>356</v>
      </c>
      <c r="O1" s="24" t="s">
        <v>360</v>
      </c>
      <c r="P1" s="24" t="s">
        <v>361</v>
      </c>
      <c r="Q1" s="26" t="s">
        <v>362</v>
      </c>
      <c r="R1" s="24" t="s">
        <v>363</v>
      </c>
      <c r="S1" s="22" t="s">
        <v>3</v>
      </c>
      <c r="T1" s="22" t="s">
        <v>376</v>
      </c>
      <c r="U1" s="135" t="s">
        <v>377</v>
      </c>
      <c r="V1" s="22" t="s">
        <v>378</v>
      </c>
      <c r="W1" s="135" t="s">
        <v>379</v>
      </c>
      <c r="X1" s="22" t="s">
        <v>380</v>
      </c>
      <c r="Y1" s="22" t="s">
        <v>381</v>
      </c>
      <c r="Z1" s="24" t="s">
        <v>382</v>
      </c>
      <c r="AA1" s="22" t="s">
        <v>7</v>
      </c>
    </row>
    <row r="2" spans="1:27" ht="21" customHeight="1" x14ac:dyDescent="0.15">
      <c r="A2" s="14" t="str">
        <f>B2&amp;"_"&amp;C2&amp;"-"&amp;G2&amp;"/"&amp;M2&amp;"&lt;lv"&amp;S2&amp;"&gt;sq"&amp;K2&amp;"st"&amp;L2</f>
        <v>39014_1-3/1576&lt;lv80&gt;sq1st2</v>
      </c>
      <c r="B2" s="19">
        <v>39014</v>
      </c>
      <c r="C2" s="95">
        <v>1</v>
      </c>
      <c r="D2" s="13" t="str">
        <f>B2&amp;"_"&amp;C2</f>
        <v>39014_1</v>
      </c>
      <c r="E2" s="4" t="str">
        <f ca="1">VLOOKUP($B2,OFFSET([2]quests!$A$1,0,0,COUNTA([2]quests!$A:$A),MATCH(E$1,[2]quests!$1:$1,0)-MATCH($B$1,[2]quests!$1:$1,0)+1),MATCH(E$1,[2]quests!$1:$1,0)-MATCH($B$1,[2]quests!$1:$1,0)+1,FALSE)</f>
        <v>金券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【超級】金券</v>
      </c>
      <c r="G2" s="95">
        <v>3</v>
      </c>
      <c r="H2" s="13" t="str">
        <f>B2&amp;"_"&amp;C2&amp;"-"&amp;G2</f>
        <v>39014_1-3</v>
      </c>
      <c r="I2" s="4">
        <v>60</v>
      </c>
      <c r="J2" s="4">
        <v>60</v>
      </c>
      <c r="K2" s="32">
        <v>1</v>
      </c>
      <c r="L2" s="32">
        <v>2</v>
      </c>
      <c r="M2" s="131">
        <v>1576</v>
      </c>
      <c r="N2" s="15" t="str">
        <f ca="1">VLOOKUP($M2,OFFSET([3]enemies!$A$1,0,0,COUNTA([3]enemies!$A:$A),MATCH(N$1,[3]enemies!$1:$1,0)-MATCH($M$1,[3]enemies!$1:$1,0)+1),MATCH(N$1,[3]enemies!$1:$1,0)-MATCH($M$1,[3]enemies!$1:$1,0)+1,FALSE)</f>
        <v>Aquarius02</v>
      </c>
      <c r="O2" s="15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5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5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1">
        <v>1.7</v>
      </c>
      <c r="U2" s="132">
        <f>130237*T2</f>
        <v>221402.9</v>
      </c>
      <c r="V2" s="21">
        <f>6000/11484</f>
        <v>0.52246603970741901</v>
      </c>
      <c r="W2" s="132">
        <f>11484*V2</f>
        <v>6000</v>
      </c>
      <c r="X2" s="5">
        <v>0</v>
      </c>
      <c r="Y2" s="4" t="e">
        <v>#N/A</v>
      </c>
      <c r="Z2" s="4">
        <v>39014005</v>
      </c>
      <c r="AA2" s="160">
        <v>1</v>
      </c>
    </row>
    <row r="3" spans="1:27" ht="21" customHeight="1" x14ac:dyDescent="0.15">
      <c r="A3" s="14" t="str">
        <f>B3&amp;"_"&amp;C3&amp;"-"&amp;G3&amp;"/"&amp;M3&amp;"&lt;lv"&amp;S3&amp;"&gt;sq"&amp;K3&amp;"st"&amp;L3</f>
        <v>39014_2-3/1576&lt;lv80&gt;sq1st2</v>
      </c>
      <c r="B3" s="19">
        <v>39014</v>
      </c>
      <c r="C3" s="95">
        <v>2</v>
      </c>
      <c r="D3" s="13" t="str">
        <f>B3&amp;"_"&amp;C3</f>
        <v>39014_2</v>
      </c>
      <c r="E3" s="4" t="str">
        <f ca="1">VLOOKUP($B3,OFFSET([2]quests!$A$1,0,0,COUNTA([2]quests!$A:$A),MATCH(E$1,[2]quests!$1:$1,0)-MATCH($B$1,[2]quests!$1:$1,0)+1),MATCH(E$1,[2]quests!$1:$1,0)-MATCH($B$1,[2]quests!$1:$1,0)+1,FALSE)</f>
        <v>金券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【超級】金券(スコアアタック)</v>
      </c>
      <c r="G3" s="95">
        <v>3</v>
      </c>
      <c r="H3" s="13" t="str">
        <f>B3&amp;"_"&amp;C3&amp;"-"&amp;G3</f>
        <v>39014_2-3</v>
      </c>
      <c r="I3" s="4">
        <v>60</v>
      </c>
      <c r="J3" s="4">
        <v>60</v>
      </c>
      <c r="K3" s="32">
        <v>1</v>
      </c>
      <c r="L3" s="32">
        <v>2</v>
      </c>
      <c r="M3" s="131">
        <v>1576</v>
      </c>
      <c r="N3" s="15" t="str">
        <f ca="1">VLOOKUP($M3,OFFSET([3]enemies!$A$1,0,0,COUNTA([3]enemies!$A:$A),MATCH(N$1,[3]enemies!$1:$1,0)-MATCH($M$1,[3]enemies!$1:$1,0)+1),MATCH(N$1,[3]enemies!$1:$1,0)-MATCH($M$1,[3]enemies!$1:$1,0)+1,FALSE)</f>
        <v>Aquarius02</v>
      </c>
      <c r="O3" s="15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5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5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5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1">
        <v>1.7</v>
      </c>
      <c r="U3" s="132">
        <f>130237*T3</f>
        <v>221402.9</v>
      </c>
      <c r="V3" s="21">
        <f>6000/11484</f>
        <v>0.52246603970741901</v>
      </c>
      <c r="W3" s="132">
        <f>11484*V3</f>
        <v>6000</v>
      </c>
      <c r="X3" s="5">
        <v>0</v>
      </c>
      <c r="Y3" s="4" t="e">
        <v>#N/A</v>
      </c>
      <c r="Z3" s="4">
        <v>39014005</v>
      </c>
      <c r="AA3" s="160">
        <v>1</v>
      </c>
    </row>
  </sheetData>
  <sheetProtection selectLockedCells="1" selectUnlockedCells="1"/>
  <autoFilter ref="B1:AA2"/>
  <phoneticPr fontId="12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26"/>
  <sheetViews>
    <sheetView showGridLines="0" workbookViewId="0">
      <pane xSplit="5" ySplit="1" topLeftCell="F102" activePane="bottomRight" state="frozen"/>
      <selection activeCell="D2" sqref="D2"/>
      <selection pane="topRight" activeCell="D2" sqref="D2"/>
      <selection pane="bottomLeft" activeCell="D2" sqref="D2"/>
      <selection pane="bottomRight" activeCell="E4" sqref="E4"/>
    </sheetView>
  </sheetViews>
  <sheetFormatPr baseColWidth="12" defaultColWidth="12.83203125" defaultRowHeight="21" customHeight="1" outlineLevelCol="1" x14ac:dyDescent="0.15"/>
  <cols>
    <col min="1" max="1" width="11.33203125" style="33" bestFit="1" customWidth="1"/>
    <col min="2" max="2" width="9.5" style="43" bestFit="1" customWidth="1"/>
    <col min="3" max="3" width="9.6640625" style="43" customWidth="1"/>
    <col min="4" max="4" width="18.5" style="43" customWidth="1" outlineLevel="1"/>
    <col min="5" max="5" width="44.1640625" style="43" bestFit="1" customWidth="1" outlineLevel="1"/>
    <col min="6" max="6" width="10.83203125" style="43" bestFit="1" customWidth="1"/>
    <col min="7" max="7" width="8.33203125" style="43" bestFit="1" customWidth="1" outlineLevel="1"/>
    <col min="8" max="9" width="12.83203125" style="43" outlineLevel="1"/>
    <col min="10" max="10" width="17.6640625" style="43" bestFit="1" customWidth="1" outlineLevel="1"/>
    <col min="11" max="15" width="12.83203125" style="43" outlineLevel="1"/>
    <col min="16" max="16" width="8.33203125" style="39" bestFit="1" customWidth="1"/>
    <col min="17" max="17" width="9.6640625" style="39" customWidth="1"/>
    <col min="18" max="18" width="56.5" style="39" bestFit="1" customWidth="1"/>
    <col min="19" max="16384" width="12.83203125" style="39"/>
  </cols>
  <sheetData>
    <row r="1" spans="1:18" ht="21" customHeight="1" x14ac:dyDescent="0.15">
      <c r="A1" s="33" t="s">
        <v>383</v>
      </c>
      <c r="B1" s="34" t="s">
        <v>384</v>
      </c>
      <c r="C1" s="34" t="s">
        <v>385</v>
      </c>
      <c r="D1" s="35" t="s">
        <v>386</v>
      </c>
      <c r="E1" s="35" t="s">
        <v>387</v>
      </c>
      <c r="F1" s="36" t="s">
        <v>388</v>
      </c>
      <c r="G1" s="37" t="s">
        <v>389</v>
      </c>
      <c r="H1" s="37" t="s">
        <v>390</v>
      </c>
      <c r="I1" s="37" t="s">
        <v>391</v>
      </c>
      <c r="J1" s="37" t="s">
        <v>392</v>
      </c>
      <c r="K1" s="38" t="s">
        <v>393</v>
      </c>
      <c r="L1" s="38" t="s">
        <v>394</v>
      </c>
      <c r="M1" s="37" t="s">
        <v>395</v>
      </c>
      <c r="N1" s="37" t="s">
        <v>396</v>
      </c>
      <c r="O1" s="37" t="s">
        <v>397</v>
      </c>
      <c r="P1" s="35" t="s">
        <v>28</v>
      </c>
      <c r="Q1" s="35" t="s">
        <v>29</v>
      </c>
      <c r="R1" s="35" t="s">
        <v>30</v>
      </c>
    </row>
    <row r="2" spans="1:18" ht="21" customHeight="1" x14ac:dyDescent="0.15">
      <c r="A2" s="33" t="str">
        <f t="shared" ref="A2" si="0">B2&amp;"_"&amp;C2</f>
        <v>39014001_39014001</v>
      </c>
      <c r="B2" s="41">
        <v>39014001</v>
      </c>
      <c r="C2" s="179">
        <v>39014001</v>
      </c>
      <c r="D2" s="40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チョイと顔を見合わせ_x000D_笑っている</v>
      </c>
      <c r="E2" s="40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179">
        <v>39014001</v>
      </c>
      <c r="G2" s="42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2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2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1"/>
      <c r="Q2" s="41"/>
      <c r="R2" s="41"/>
    </row>
    <row r="3" spans="1:18" ht="21" customHeight="1" x14ac:dyDescent="0.15">
      <c r="A3" s="33" t="str">
        <f t="shared" ref="A3:A65" si="1">B3&amp;"_"&amp;C3</f>
        <v>39014001_39014002</v>
      </c>
      <c r="B3" s="41">
        <v>39014001</v>
      </c>
      <c r="C3" s="179">
        <v>39014002</v>
      </c>
      <c r="D3" s="40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チョイと顔を見合わせ_x000D_笑っている</v>
      </c>
      <c r="E3" s="40" t="str">
        <f ca="1">VLOOKUP($C3,OFFSET(enemy_skills!$A$1,0,0,COUNTA(enemy_skills!$A:$A),MATCH(E$1,enemy_skills!$1:$1,0)-MATCH("enemy_skill_id",enemy_skills!$1:$1,0)+1),MATCH(E$1,enemy_skills!$1:$1,0)-MATCH("enemy_skill_id",enemy_skills!$1:$1,0)+1,FALSE)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状態異常耐性+_x000D_全ユニットのスキルターンを2ターン短縮+_x000D_全ユニットの攻撃力&amp;回復力を980UP</v>
      </c>
      <c r="F3" s="179">
        <v>39014002</v>
      </c>
      <c r="G3" s="42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2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" s="42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2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2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2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2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2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3" s="42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1"/>
      <c r="Q3" s="41"/>
      <c r="R3" s="41"/>
    </row>
    <row r="4" spans="1:18" ht="21" customHeight="1" x14ac:dyDescent="0.15">
      <c r="A4" s="33" t="str">
        <f t="shared" si="1"/>
        <v>39014001_39014003</v>
      </c>
      <c r="B4" s="41">
        <v>39014001</v>
      </c>
      <c r="C4" s="179">
        <v>39014003</v>
      </c>
      <c r="D4" s="40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チョイと顔を見合わせ_x000D_笑っている</v>
      </c>
      <c r="E4" s="40" t="str">
        <f ca="1">VLOOKUP($C4,OFFSET(enemy_skills!$A$1,0,0,COUNTA(enemy_skills!$A:$A),MATCH(E$1,enemy_skills!$1:$1,0)-MATCH("enemy_skill_id",enemy_skills!$1:$1,0)+1),MATCH(E$1,enemy_skills!$1:$1,0)-MATCH("enemy_skill_id",enemy_skills!$1:$1,0)+1,FALSE)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状態異常耐性+_x000D_全ユニットのスキルターンを2ターン短縮+_x000D_全ユニットの攻撃力&amp;回復力を980UP</v>
      </c>
      <c r="F4" s="179">
        <v>39014003</v>
      </c>
      <c r="G4" s="42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2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4" s="42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2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2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2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2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2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4" s="42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1"/>
      <c r="Q4" s="41"/>
      <c r="R4" s="41"/>
    </row>
    <row r="5" spans="1:18" ht="21" customHeight="1" x14ac:dyDescent="0.15">
      <c r="A5" s="33" t="str">
        <f t="shared" si="1"/>
        <v>39014001_39014004</v>
      </c>
      <c r="B5" s="41">
        <v>39014001</v>
      </c>
      <c r="C5" s="179">
        <v>39014004</v>
      </c>
      <c r="D5" s="40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コーハン行くッス！！</v>
      </c>
      <c r="E5" s="40" t="str">
        <f ca="1">VLOOKUP($C5,OFFSET(enemy_skills!$A$1,0,0,COUNTA(enemy_skills!$A:$A),MATCH(E$1,enemy_skills!$1:$1,0)-MATCH("enemy_skill_id",enemy_skills!$1:$1,0)+1),MATCH(E$1,enemy_skills!$1:$1,0)-MATCH("enemy_skill_id",enemy_skills!$1:$1,0)+1,FALSE)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特定エリアを赤パネルに変換+_x000D_単体攻撃</v>
      </c>
      <c r="F5" s="179">
        <v>39014004</v>
      </c>
      <c r="G5" s="42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2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2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2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2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2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2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2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2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1"/>
      <c r="Q5" s="41"/>
      <c r="R5" s="41"/>
    </row>
    <row r="6" spans="1:18" ht="21" customHeight="1" x14ac:dyDescent="0.15">
      <c r="A6" s="33" t="str">
        <f t="shared" si="1"/>
        <v>39014001_39014005</v>
      </c>
      <c r="B6" s="41">
        <v>39014001</v>
      </c>
      <c r="C6" s="179">
        <v>39014005</v>
      </c>
      <c r="D6" s="40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いっくどー！</v>
      </c>
      <c r="E6" s="40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クリティカル！！</v>
      </c>
      <c r="F6" s="179">
        <v>39014005</v>
      </c>
      <c r="G6" s="42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2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" s="42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2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2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2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2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2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2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1"/>
      <c r="Q6" s="41"/>
      <c r="R6" s="41"/>
    </row>
    <row r="7" spans="1:18" ht="21" customHeight="1" x14ac:dyDescent="0.15">
      <c r="A7" s="33" t="str">
        <f t="shared" si="1"/>
        <v>39014002_39014006</v>
      </c>
      <c r="B7" s="41">
        <v>39014002</v>
      </c>
      <c r="C7" s="180">
        <v>39014006</v>
      </c>
      <c r="D7" s="40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チャンと顔を見合わせ_x000D_笑っている</v>
      </c>
      <c r="E7" s="40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" s="180">
        <v>39014006</v>
      </c>
      <c r="G7" s="42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2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2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2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2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2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2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2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2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1"/>
      <c r="Q7" s="41"/>
      <c r="R7" s="41"/>
    </row>
    <row r="8" spans="1:18" ht="21" customHeight="1" x14ac:dyDescent="0.15">
      <c r="A8" s="33" t="str">
        <f t="shared" si="1"/>
        <v>39014002_39014007</v>
      </c>
      <c r="B8" s="41">
        <v>39014002</v>
      </c>
      <c r="C8" s="180">
        <v>39014007</v>
      </c>
      <c r="D8" s="40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チャンと顔を見合わせ_x000D_笑っている</v>
      </c>
      <c r="E8" s="40" t="str">
        <f ca="1">VLOOKUP($C8,OFFSET(enemy_skills!$A$1,0,0,COUNTA(enemy_skills!$A:$A),MATCH(E$1,enemy_skills!$1:$1,0)-MATCH("enemy_skill_id",enemy_skills!$1:$1,0)+1),MATCH(E$1,enemy_skills!$1:$1,0)-MATCH("enemy_skill_id",enemy_skills!$1:$1,0)+1,FALSE)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状態異常耐性+_x000D_全ユニットのスキルターンを2ターン短縮+_x000D_全ユニットの攻撃力&amp;回復力を980UP</v>
      </c>
      <c r="F8" s="180">
        <v>39014007</v>
      </c>
      <c r="G8" s="42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2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8" s="42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2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2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2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2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2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8" s="42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1"/>
      <c r="Q8" s="41"/>
      <c r="R8" s="41"/>
    </row>
    <row r="9" spans="1:18" ht="21" customHeight="1" x14ac:dyDescent="0.15">
      <c r="A9" s="33" t="str">
        <f t="shared" si="1"/>
        <v>39014002_39014008</v>
      </c>
      <c r="B9" s="41">
        <v>39014002</v>
      </c>
      <c r="C9" s="180">
        <v>39014008</v>
      </c>
      <c r="D9" s="40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チャンと顔を見合わせ_x000D_笑っている</v>
      </c>
      <c r="E9" s="40" t="str">
        <f ca="1">VLOOKUP($C9,OFFSET(enemy_skills!$A$1,0,0,COUNTA(enemy_skills!$A:$A),MATCH(E$1,enemy_skills!$1:$1,0)-MATCH("enemy_skill_id",enemy_skills!$1:$1,0)+1),MATCH(E$1,enemy_skills!$1:$1,0)-MATCH("enemy_skill_id",enemy_skills!$1:$1,0)+1,FALSE)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状態異常耐性+_x000D_全ユニットのスキルターンを2ターン短縮+_x000D_全ユニットの攻撃力&amp;回復力を980UP</v>
      </c>
      <c r="F9" s="180">
        <v>39014008</v>
      </c>
      <c r="G9" s="42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2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9" s="42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2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2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2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2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2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9" s="42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1"/>
      <c r="Q9" s="41"/>
      <c r="R9" s="41"/>
    </row>
    <row r="10" spans="1:18" ht="21" customHeight="1" x14ac:dyDescent="0.15">
      <c r="A10" s="33" t="str">
        <f t="shared" si="1"/>
        <v>39014002_39014009</v>
      </c>
      <c r="B10" s="41">
        <v>39014002</v>
      </c>
      <c r="C10" s="180">
        <v>39014009</v>
      </c>
      <c r="D10" s="40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斬るでヤンス！</v>
      </c>
      <c r="E10" s="40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特定エリアを黄パネルに変換+_x000D_単体攻撃</v>
      </c>
      <c r="F10" s="180">
        <v>39014009</v>
      </c>
      <c r="G10" s="42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2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2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2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2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2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2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2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2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1"/>
      <c r="Q10" s="41"/>
      <c r="R10" s="41"/>
    </row>
    <row r="11" spans="1:18" ht="21" customHeight="1" x14ac:dyDescent="0.15">
      <c r="A11" s="33" t="str">
        <f t="shared" si="1"/>
        <v>39014002_39014010</v>
      </c>
      <c r="B11" s="41">
        <v>39014002</v>
      </c>
      <c r="C11" s="180">
        <v>39014010</v>
      </c>
      <c r="D11" s="40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キリキリまいまーい！</v>
      </c>
      <c r="E11" s="40" t="str">
        <f ca="1">VLOOKUP($C11,OFFSET(enemy_skills!$A$1,0,0,COUNTA(enemy_skills!$A:$A),MATCH(E$1,enemy_skills!$1:$1,0)-MATCH("enemy_skill_id",enemy_skills!$1:$1,0)+1),MATCH(E$1,enemy_skills!$1:$1,0)-MATCH("enemy_skill_id",enemy_skills!$1:$1,0)+1,FALSE)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1" s="180">
        <v>39014010</v>
      </c>
      <c r="G11" s="42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2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1" s="42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2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2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2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2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2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2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1"/>
      <c r="Q11" s="41"/>
      <c r="R11" s="41"/>
    </row>
    <row r="12" spans="1:18" ht="21" customHeight="1" x14ac:dyDescent="0.15">
      <c r="A12" s="33" t="str">
        <f t="shared" si="1"/>
        <v>39014003_39014011</v>
      </c>
      <c r="B12" s="41">
        <v>39014003</v>
      </c>
      <c r="C12" s="179">
        <v>39014011</v>
      </c>
      <c r="D12" s="40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ゆくぞっ！！</v>
      </c>
      <c r="E12" s="40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" s="179">
        <v>39014011</v>
      </c>
      <c r="G12" s="42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2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2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2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2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2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2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2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" s="42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1"/>
      <c r="Q12" s="41"/>
      <c r="R12" s="41"/>
    </row>
    <row r="13" spans="1:18" ht="21" customHeight="1" x14ac:dyDescent="0.15">
      <c r="A13" s="33" t="str">
        <f t="shared" si="1"/>
        <v>39014003_39014012</v>
      </c>
      <c r="B13" s="41">
        <v>39014003</v>
      </c>
      <c r="C13" s="179">
        <v>39014012</v>
      </c>
      <c r="D13" s="40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君はいつまで高校生なんだ！_x000D_ここは一つ私が気合を入れてあげよう！</v>
      </c>
      <c r="E13" s="40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　</v>
      </c>
      <c r="F13" s="179">
        <v>39014012</v>
      </c>
      <c r="G13" s="42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2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503</v>
      </c>
      <c r="I13" s="42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2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2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2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2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2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13" s="42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1"/>
      <c r="Q13" s="41"/>
      <c r="R13" s="41"/>
    </row>
    <row r="14" spans="1:18" ht="21" customHeight="1" x14ac:dyDescent="0.15">
      <c r="A14" s="33" t="str">
        <f t="shared" si="1"/>
        <v>39014003_39014013</v>
      </c>
      <c r="B14" s="41">
        <v>39014003</v>
      </c>
      <c r="C14" s="179">
        <v>39014013</v>
      </c>
      <c r="D14" s="40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君はいつまで高校生なんだ！_x000D_ここは一つ私が気合を入れてあげよう！</v>
      </c>
      <c r="E14" s="40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4" s="179">
        <v>39014013</v>
      </c>
      <c r="G14" s="42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2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14" s="42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2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2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2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2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2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14" s="42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1"/>
      <c r="Q14" s="41"/>
      <c r="R14" s="41"/>
    </row>
    <row r="15" spans="1:18" ht="21" customHeight="1" x14ac:dyDescent="0.15">
      <c r="A15" s="33" t="str">
        <f t="shared" si="1"/>
        <v>39014003_39014014</v>
      </c>
      <c r="B15" s="41">
        <v>39014003</v>
      </c>
      <c r="C15" s="179">
        <v>39014014</v>
      </c>
      <c r="D15" s="40" t="str">
        <f ca="1">VLOOKUP($C15,OFFSET(enemy_skills!$A$1,0,0,COUNTA(enemy_skills!$A:$A),MATCH(D$1,enemy_skills!$1:$1,0)-MATCH("enemy_skill_id",enemy_skills!$1:$1,0)+1),MATCH(D$1,enemy_skills!$1:$1,0)-MATCH("enemy_skill_id",enemy_skills!$1:$1,0)+1,FALSE)</f>
        <v>誰であろうと手加減しませんよ！</v>
      </c>
      <c r="E15" s="40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5" s="179">
        <v>39014014</v>
      </c>
      <c r="G15" s="42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2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15" s="42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2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2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2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2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2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15" s="42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1"/>
      <c r="Q15" s="41"/>
      <c r="R15" s="41"/>
    </row>
    <row r="16" spans="1:18" ht="21" customHeight="1" x14ac:dyDescent="0.15">
      <c r="A16" s="33" t="str">
        <f t="shared" si="1"/>
        <v>39014003_39014015</v>
      </c>
      <c r="B16" s="41">
        <v>39014003</v>
      </c>
      <c r="C16" s="179">
        <v>39014015</v>
      </c>
      <c r="D16" s="40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誰であろうと手加減しませんよ！</v>
      </c>
      <c r="E16" s="40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179">
        <v>39014015</v>
      </c>
      <c r="G16" s="42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2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6" s="42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2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2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2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2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2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16" s="42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1"/>
      <c r="Q16" s="41"/>
      <c r="R16" s="41"/>
    </row>
    <row r="17" spans="1:18" ht="21" customHeight="1" x14ac:dyDescent="0.15">
      <c r="A17" s="33" t="str">
        <f t="shared" si="1"/>
        <v>39014003_39014016</v>
      </c>
      <c r="B17" s="41">
        <v>39014003</v>
      </c>
      <c r="C17" s="179">
        <v>39014016</v>
      </c>
      <c r="D17" s="40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テコンドーの足技！_x000D_お見せしましょう！！</v>
      </c>
      <c r="E17" s="40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7" s="179">
        <v>39014016</v>
      </c>
      <c r="G17" s="42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2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17" s="42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2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2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2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2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2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17" s="42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1"/>
      <c r="Q17" s="41"/>
      <c r="R17" s="41"/>
    </row>
    <row r="18" spans="1:18" ht="21" customHeight="1" x14ac:dyDescent="0.15">
      <c r="A18" s="33" t="str">
        <f t="shared" si="1"/>
        <v>39014003_39014017</v>
      </c>
      <c r="B18" s="41">
        <v>39014003</v>
      </c>
      <c r="C18" s="179">
        <v>39014017</v>
      </c>
      <c r="D18" s="40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テコンドーの足技！_x000D_お見せしましょう！！</v>
      </c>
      <c r="E18" s="40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8" s="179">
        <v>39014017</v>
      </c>
      <c r="G18" s="42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2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18" s="42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2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2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2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2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2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18" s="42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1"/>
      <c r="Q18" s="41"/>
      <c r="R18" s="41"/>
    </row>
    <row r="19" spans="1:18" ht="21" customHeight="1" x14ac:dyDescent="0.15">
      <c r="A19" s="33" t="str">
        <f t="shared" si="1"/>
        <v>39014003_39014018</v>
      </c>
      <c r="B19" s="41">
        <v>39014003</v>
      </c>
      <c r="C19" s="179">
        <v>39014018</v>
      </c>
      <c r="D19" s="40" t="str">
        <f ca="1">VLOOKUP($C19,OFFSET(enemy_skills!$A$1,0,0,COUNTA(enemy_skills!$A:$A),MATCH(D$1,enemy_skills!$1:$1,0)-MATCH("enemy_skill_id",enemy_skills!$1:$1,0)+1),MATCH(D$1,enemy_skills!$1:$1,0)-MATCH("enemy_skill_id",enemy_skills!$1:$1,0)+1,FALSE)</f>
        <v>自分のことばかり考えていると_x000D_大事なものを失うぞ！</v>
      </c>
      <c r="E19" s="40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9" s="179">
        <v>39014018</v>
      </c>
      <c r="G19" s="42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2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19" s="42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2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2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2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2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2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19" s="42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1"/>
      <c r="Q19" s="41"/>
      <c r="R19" s="41"/>
    </row>
    <row r="20" spans="1:18" ht="21" customHeight="1" x14ac:dyDescent="0.15">
      <c r="A20" s="33" t="str">
        <f t="shared" si="1"/>
        <v>39014003_39014019</v>
      </c>
      <c r="B20" s="41">
        <v>39014003</v>
      </c>
      <c r="C20" s="179">
        <v>39014019</v>
      </c>
      <c r="D20" s="40" t="str">
        <f ca="1">VLOOKUP($C20,OFFSET(enemy_skills!$A$1,0,0,COUNTA(enemy_skills!$A:$A),MATCH(D$1,enemy_skills!$1:$1,0)-MATCH("enemy_skill_id",enemy_skills!$1:$1,0)+1),MATCH(D$1,enemy_skills!$1:$1,0)-MATCH("enemy_skill_id",enemy_skills!$1:$1,0)+1,FALSE)</f>
        <v>自分のことばかり考えていると_x000D_大事なものを失うぞ！</v>
      </c>
      <c r="E20" s="40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0" s="179">
        <v>39014019</v>
      </c>
      <c r="G20" s="42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2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0" s="42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2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2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2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2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2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20" s="42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1"/>
      <c r="Q20" s="41"/>
      <c r="R20" s="41"/>
    </row>
    <row r="21" spans="1:18" ht="21" customHeight="1" x14ac:dyDescent="0.15">
      <c r="A21" s="33" t="str">
        <f t="shared" si="1"/>
        <v>39014003_39014020</v>
      </c>
      <c r="B21" s="41">
        <v>39014003</v>
      </c>
      <c r="C21" s="179">
        <v>39014020</v>
      </c>
      <c r="D21" s="40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悪は許さん！！</v>
      </c>
      <c r="E21" s="40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1" s="179">
        <v>39014020</v>
      </c>
      <c r="G21" s="42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2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21" s="42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2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2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2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2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2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21" s="42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1"/>
      <c r="Q21" s="41"/>
      <c r="R21" s="41"/>
    </row>
    <row r="22" spans="1:18" ht="21" customHeight="1" x14ac:dyDescent="0.15">
      <c r="A22" s="33" t="str">
        <f t="shared" si="1"/>
        <v>39014003_39014021</v>
      </c>
      <c r="B22" s="41">
        <v>39014003</v>
      </c>
      <c r="C22" s="179">
        <v>39014021</v>
      </c>
      <c r="D22" s="40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悪は許さん！！</v>
      </c>
      <c r="E22" s="40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2" s="179">
        <v>39014021</v>
      </c>
      <c r="G22" s="42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2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22" s="42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2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2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2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2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2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22" s="42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1"/>
      <c r="Q22" s="41"/>
      <c r="R22" s="41"/>
    </row>
    <row r="23" spans="1:18" ht="21" customHeight="1" x14ac:dyDescent="0.15">
      <c r="A23" s="33" t="str">
        <f t="shared" si="1"/>
        <v>39014003_39014022</v>
      </c>
      <c r="B23" s="41">
        <v>39014003</v>
      </c>
      <c r="C23" s="179">
        <v>39014022</v>
      </c>
      <c r="D23" s="40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悪は許さん！！</v>
      </c>
      <c r="E23" s="40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3" s="179">
        <v>39014022</v>
      </c>
      <c r="G23" s="42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2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3" s="42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2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2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2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2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2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23" s="42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1"/>
      <c r="Q23" s="41"/>
      <c r="R23" s="41"/>
    </row>
    <row r="24" spans="1:18" ht="21" customHeight="1" x14ac:dyDescent="0.15">
      <c r="A24" s="33" t="str">
        <f t="shared" si="1"/>
        <v>39014003_39014023</v>
      </c>
      <c r="B24" s="41">
        <v>39014003</v>
      </c>
      <c r="C24" s="179">
        <v>39014023</v>
      </c>
      <c r="D24" s="40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ハッハッハ！_x000D_私に追いついてみなさい！</v>
      </c>
      <c r="E24" s="40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4" s="179">
        <v>39014023</v>
      </c>
      <c r="G24" s="42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2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24" s="42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2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2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2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2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2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24" s="42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1"/>
      <c r="Q24" s="41"/>
      <c r="R24" s="41"/>
    </row>
    <row r="25" spans="1:18" ht="21" customHeight="1" x14ac:dyDescent="0.15">
      <c r="A25" s="33" t="str">
        <f t="shared" si="1"/>
        <v>39014003_39014024</v>
      </c>
      <c r="B25" s="41">
        <v>39014003</v>
      </c>
      <c r="C25" s="179">
        <v>39014024</v>
      </c>
      <c r="D25" s="40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ハッハッハ！_x000D_私に追いついてみなさい！</v>
      </c>
      <c r="E25" s="40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5" s="179">
        <v>39014024</v>
      </c>
      <c r="G25" s="42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2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5" s="42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2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2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2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2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2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25" s="42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1"/>
      <c r="Q25" s="41"/>
      <c r="R25" s="41"/>
    </row>
    <row r="26" spans="1:18" ht="21" customHeight="1" x14ac:dyDescent="0.15">
      <c r="A26" s="33" t="str">
        <f t="shared" si="1"/>
        <v>39014003_39014025</v>
      </c>
      <c r="B26" s="41">
        <v>39014003</v>
      </c>
      <c r="C26" s="179">
        <v>39014025</v>
      </c>
      <c r="D26" s="40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ここだっ！！</v>
      </c>
      <c r="E26" s="40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属性パネルをお邪魔パネルに5個変換+_x000D_単体攻撃</v>
      </c>
      <c r="F26" s="179">
        <v>39014025</v>
      </c>
      <c r="G26" s="42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2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2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2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2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2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2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2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2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1"/>
      <c r="Q26" s="41"/>
      <c r="R26" s="41"/>
    </row>
    <row r="27" spans="1:18" ht="21" customHeight="1" x14ac:dyDescent="0.15">
      <c r="A27" s="33" t="str">
        <f t="shared" si="1"/>
        <v>39014003_39014026</v>
      </c>
      <c r="B27" s="41">
        <v>39014003</v>
      </c>
      <c r="C27" s="179">
        <v>39014026</v>
      </c>
      <c r="D27" s="40" t="str">
        <f ca="1">VLOOKUP($C27,OFFSET(enemy_skills!$A$1,0,0,COUNTA(enemy_skills!$A:$A),MATCH(D$1,enemy_skills!$1:$1,0)-MATCH("enemy_skill_id",enemy_skills!$1:$1,0)+1),MATCH(D$1,enemy_skills!$1:$1,0)-MATCH("enemy_skill_id",enemy_skills!$1:$1,0)+1,FALSE)</f>
        <v>見切った！！</v>
      </c>
      <c r="E27" s="40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27" s="179">
        <v>39014026</v>
      </c>
      <c r="G27" s="42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2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7" s="42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2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2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2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2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2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2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1"/>
      <c r="Q27" s="41"/>
      <c r="R27" s="41"/>
    </row>
    <row r="28" spans="1:18" ht="21" customHeight="1" x14ac:dyDescent="0.15">
      <c r="A28" s="33" t="str">
        <f t="shared" si="1"/>
        <v>39014003_39014027</v>
      </c>
      <c r="B28" s="41">
        <v>39014003</v>
      </c>
      <c r="C28" s="179">
        <v>39014027</v>
      </c>
      <c r="D28" s="40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飛燕斬！！</v>
      </c>
      <c r="E28" s="40" t="str">
        <f ca="1">VLOOKUP($C28,OFFSET(enemy_skills!$A$1,0,0,COUNTA(enemy_skills!$A:$A),MATCH(E$1,enemy_skills!$1:$1,0)-MATCH("enemy_skill_id",enemy_skills!$1:$1,0)+1),MATCH(E$1,enemy_skills!$1:$1,0)-MATCH("enemy_skill_id",enemy_skills!$1:$1,0)+1,FALSE)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8" s="179">
        <v>39014027</v>
      </c>
      <c r="G28" s="42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2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8" s="42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2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2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2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2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8" s="42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2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1"/>
      <c r="Q28" s="41"/>
      <c r="R28" s="41"/>
    </row>
    <row r="29" spans="1:18" ht="21" customHeight="1" x14ac:dyDescent="0.15">
      <c r="A29" s="33" t="str">
        <f t="shared" si="1"/>
        <v>39014003_39014028</v>
      </c>
      <c r="B29" s="41">
        <v>39014003</v>
      </c>
      <c r="C29" s="179">
        <v>39014028</v>
      </c>
      <c r="D29" s="40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半月斬！！</v>
      </c>
      <c r="E29" s="40" t="str">
        <f ca="1">VLOOKUP($C29,OFFSET(enemy_skills!$A$1,0,0,COUNTA(enemy_skills!$A:$A),MATCH(E$1,enemy_skills!$1:$1,0)-MATCH("enemy_skill_id",enemy_skills!$1:$1,0)+1),MATCH(E$1,enemy_skills!$1:$1,0)-MATCH("enemy_skill_id",enemy_skills!$1:$1,0)+1,FALSE)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9" s="179">
        <v>39014028</v>
      </c>
      <c r="G29" s="42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2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9" s="42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2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2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2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2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" s="42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2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1"/>
      <c r="Q29" s="41"/>
      <c r="R29" s="41"/>
    </row>
    <row r="30" spans="1:18" ht="21" customHeight="1" x14ac:dyDescent="0.15">
      <c r="A30" s="33" t="str">
        <f t="shared" si="1"/>
        <v>39014003_39014029</v>
      </c>
      <c r="B30" s="41">
        <v>39014003</v>
      </c>
      <c r="C30" s="179">
        <v>39014029</v>
      </c>
      <c r="D30" s="40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飛翔脚！！</v>
      </c>
      <c r="E30" s="40" t="str">
        <f ca="1">VLOOKUP($C30,OFFSET(enemy_skills!$A$1,0,0,COUNTA(enemy_skills!$A:$A),MATCH(E$1,enemy_skills!$1:$1,0)-MATCH("enemy_skill_id",enemy_skills!$1:$1,0)+1),MATCH(E$1,enemy_skills!$1:$1,0)-MATCH("enemy_skill_id",enemy_skills!$1:$1,0)+1,FALSE)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0" s="179">
        <v>39014029</v>
      </c>
      <c r="G30" s="42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2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0" s="42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2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2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2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2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0" s="42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2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1"/>
      <c r="Q30" s="41"/>
      <c r="R30" s="41"/>
    </row>
    <row r="31" spans="1:18" ht="21" customHeight="1" x14ac:dyDescent="0.15">
      <c r="A31" s="33" t="str">
        <f t="shared" si="1"/>
        <v>39014003_39014030</v>
      </c>
      <c r="B31" s="41">
        <v>39014003</v>
      </c>
      <c r="C31" s="179">
        <v>39014030</v>
      </c>
      <c r="D31" s="40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はあぁ！！</v>
      </c>
      <c r="E31" s="40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キムは構えている</v>
      </c>
      <c r="F31" s="179">
        <v>39014030</v>
      </c>
      <c r="G31" s="42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2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1" s="42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2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2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2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2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1" s="42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2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1"/>
      <c r="Q31" s="41"/>
      <c r="R31" s="41"/>
    </row>
    <row r="32" spans="1:18" ht="21" customHeight="1" x14ac:dyDescent="0.15">
      <c r="A32" s="33" t="str">
        <f t="shared" si="1"/>
        <v>39014003_39014031</v>
      </c>
      <c r="B32" s="41">
        <v>39014003</v>
      </c>
      <c r="C32" s="179">
        <v>39014031</v>
      </c>
      <c r="D32" s="40" t="str">
        <f ca="1">VLOOKUP($C32,OFFSET(enemy_skills!$A$1,0,0,COUNTA(enemy_skills!$A:$A),MATCH(D$1,enemy_skills!$1:$1,0)-MATCH("enemy_skill_id",enemy_skills!$1:$1,0)+1),MATCH(D$1,enemy_skills!$1:$1,0)-MATCH("enemy_skill_id",enemy_skills!$1:$1,0)+1,FALSE)</f>
        <v>鳳凰脚！！_x000D_あたたた…あたぁ！！</v>
      </c>
      <c r="E32" s="40" t="str">
        <f ca="1">VLOOKUP($C32,OFFSET(enemy_skills!$A$1,0,0,COUNTA(enemy_skills!$A:$A),MATCH(E$1,enemy_skills!$1:$1,0)-MATCH("enemy_skill_id",enemy_skills!$1:$1,0)+1),MATCH(E$1,enemy_skills!$1:$1,0)-MATCH("enemy_skill_id",enemy_skills!$1:$1,0)+1,FALSE)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32" s="179">
        <v>39014031</v>
      </c>
      <c r="G32" s="42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2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2" s="42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2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2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2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2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2" s="42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2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1"/>
      <c r="Q32" s="41"/>
      <c r="R32" s="41"/>
    </row>
    <row r="33" spans="1:18" ht="21" customHeight="1" x14ac:dyDescent="0.15">
      <c r="A33" s="33" t="str">
        <f t="shared" si="1"/>
        <v>39014003_39014032</v>
      </c>
      <c r="B33" s="41">
        <v>39014003</v>
      </c>
      <c r="C33" s="179">
        <v>39014032</v>
      </c>
      <c r="D33" s="40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はあぁ！！</v>
      </c>
      <c r="E33" s="40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キムは構えている</v>
      </c>
      <c r="F33" s="179">
        <v>39014032</v>
      </c>
      <c r="G33" s="42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2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33" s="42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2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2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2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2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33" s="42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2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1"/>
      <c r="Q33" s="41"/>
      <c r="R33" s="41"/>
    </row>
    <row r="34" spans="1:18" ht="21" customHeight="1" x14ac:dyDescent="0.15">
      <c r="A34" s="33" t="str">
        <f t="shared" si="1"/>
        <v>39014003_39014033</v>
      </c>
      <c r="B34" s="41">
        <v>39014003</v>
      </c>
      <c r="C34" s="179">
        <v>39014033</v>
      </c>
      <c r="D34" s="40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鳳凰脚！！_x000D_あたたた…あたぁ！！</v>
      </c>
      <c r="E34" s="40" t="str">
        <f ca="1">VLOOKUP($C34,OFFSET(enemy_skills!$A$1,0,0,COUNTA(enemy_skills!$A:$A),MATCH(E$1,enemy_skills!$1:$1,0)-MATCH("enemy_skill_id",enemy_skills!$1:$1,0)+1),MATCH(E$1,enemy_skills!$1:$1,0)-MATCH("enemy_skill_id",enemy_skills!$1:$1,0)+1,FALSE)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34" s="179">
        <v>39014033</v>
      </c>
      <c r="G34" s="42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2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34" s="42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2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2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2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2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34" s="42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2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1"/>
      <c r="Q34" s="41"/>
      <c r="R34" s="41"/>
    </row>
    <row r="35" spans="1:18" ht="21" customHeight="1" x14ac:dyDescent="0.15">
      <c r="A35" s="33" t="str">
        <f t="shared" si="1"/>
        <v>39014003_39014034</v>
      </c>
      <c r="B35" s="41">
        <v>39014003</v>
      </c>
      <c r="C35" s="179">
        <v>39014034</v>
      </c>
      <c r="D35" s="40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はあぁ！！</v>
      </c>
      <c r="E35" s="40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キムは構えている</v>
      </c>
      <c r="F35" s="179">
        <v>39014034</v>
      </c>
      <c r="G35" s="42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2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35" s="42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2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2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2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2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14</v>
      </c>
      <c r="N35" s="42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2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1"/>
      <c r="Q35" s="41"/>
      <c r="R35" s="41"/>
    </row>
    <row r="36" spans="1:18" ht="21" customHeight="1" x14ac:dyDescent="0.15">
      <c r="A36" s="33" t="str">
        <f t="shared" si="1"/>
        <v>39014003_39014035</v>
      </c>
      <c r="B36" s="41">
        <v>39014003</v>
      </c>
      <c r="C36" s="179">
        <v>39014035</v>
      </c>
      <c r="D36" s="40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鳳凰脚！！_x000D_あたたた…あたぁ！！</v>
      </c>
      <c r="E36" s="40" t="str">
        <f ca="1">VLOOKUP($C36,OFFSET(enemy_skills!$A$1,0,0,COUNTA(enemy_skills!$A:$A),MATCH(E$1,enemy_skills!$1:$1,0)-MATCH("enemy_skill_id",enemy_skills!$1:$1,0)+1),MATCH(E$1,enemy_skills!$1:$1,0)-MATCH("enemy_skill_id",enemy_skills!$1:$1,0)+1,FALSE)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36" s="179">
        <v>39014035</v>
      </c>
      <c r="G36" s="42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2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36" s="42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2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2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2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2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15</v>
      </c>
      <c r="N36" s="42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2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1"/>
      <c r="Q36" s="41"/>
      <c r="R36" s="41"/>
    </row>
    <row r="37" spans="1:18" ht="21" customHeight="1" x14ac:dyDescent="0.15">
      <c r="A37" s="33" t="str">
        <f t="shared" si="1"/>
        <v>39014003_39014036</v>
      </c>
      <c r="B37" s="41">
        <v>39014003</v>
      </c>
      <c r="C37" s="179">
        <v>39014036</v>
      </c>
      <c r="D37" s="40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はあぁ！！</v>
      </c>
      <c r="E37" s="40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キムは構えている</v>
      </c>
      <c r="F37" s="179">
        <v>39014036</v>
      </c>
      <c r="G37" s="42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2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37" s="42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2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2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2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2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19</v>
      </c>
      <c r="N37" s="42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2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1"/>
      <c r="Q37" s="41"/>
      <c r="R37" s="41"/>
    </row>
    <row r="38" spans="1:18" ht="21" customHeight="1" x14ac:dyDescent="0.15">
      <c r="A38" s="33" t="str">
        <f t="shared" si="1"/>
        <v>39014003_39014037</v>
      </c>
      <c r="B38" s="41">
        <v>39014003</v>
      </c>
      <c r="C38" s="179">
        <v>39014037</v>
      </c>
      <c r="D38" s="40" t="str">
        <f ca="1">VLOOKUP($C38,OFFSET(enemy_skills!$A$1,0,0,COUNTA(enemy_skills!$A:$A),MATCH(D$1,enemy_skills!$1:$1,0)-MATCH("enemy_skill_id",enemy_skills!$1:$1,0)+1),MATCH(D$1,enemy_skills!$1:$1,0)-MATCH("enemy_skill_id",enemy_skills!$1:$1,0)+1,FALSE)</f>
        <v>鳳凰脚！！_x000D_あたたた…あたぁ！！</v>
      </c>
      <c r="E38" s="40" t="str">
        <f ca="1">VLOOKUP($C38,OFFSET(enemy_skills!$A$1,0,0,COUNTA(enemy_skills!$A:$A),MATCH(E$1,enemy_skills!$1:$1,0)-MATCH("enemy_skill_id",enemy_skills!$1:$1,0)+1),MATCH(E$1,enemy_skills!$1:$1,0)-MATCH("enemy_skill_id",enemy_skills!$1:$1,0)+1,FALSE)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38" s="179">
        <v>39014037</v>
      </c>
      <c r="G38" s="42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2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8" s="42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2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2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2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2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20</v>
      </c>
      <c r="N38" s="42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2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1"/>
      <c r="Q38" s="41"/>
      <c r="R38" s="41"/>
    </row>
    <row r="39" spans="1:18" ht="21" customHeight="1" x14ac:dyDescent="0.15">
      <c r="A39" s="33" t="str">
        <f t="shared" si="1"/>
        <v>39014004_39014038</v>
      </c>
      <c r="B39" s="41">
        <v>39014004</v>
      </c>
      <c r="C39" s="181">
        <v>39014038</v>
      </c>
      <c r="D39" s="40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まだまだ…これからですよ！</v>
      </c>
      <c r="E39" s="40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9" s="181">
        <v>39014038</v>
      </c>
      <c r="G39" s="42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2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2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2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2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2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2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2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9" s="42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1"/>
      <c r="Q39" s="41"/>
      <c r="R39" s="41"/>
    </row>
    <row r="40" spans="1:18" ht="21" customHeight="1" x14ac:dyDescent="0.15">
      <c r="A40" s="33" t="str">
        <f t="shared" si="1"/>
        <v>39014004_39014039</v>
      </c>
      <c r="B40" s="41">
        <v>39014004</v>
      </c>
      <c r="C40" s="181">
        <v>39014039</v>
      </c>
      <c r="D40" s="40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0" s="40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0" s="181">
        <v>39014039</v>
      </c>
      <c r="G40" s="42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2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503</v>
      </c>
      <c r="I40" s="42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2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2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2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2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2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40" s="42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1"/>
      <c r="Q40" s="41"/>
      <c r="R40" s="41"/>
    </row>
    <row r="41" spans="1:18" ht="21" customHeight="1" x14ac:dyDescent="0.15">
      <c r="A41" s="33" t="str">
        <f t="shared" si="1"/>
        <v>39014004_39014040</v>
      </c>
      <c r="B41" s="41">
        <v>39014004</v>
      </c>
      <c r="C41" s="181">
        <v>39014040</v>
      </c>
      <c r="D41" s="40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1" s="40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1" s="181">
        <v>39014040</v>
      </c>
      <c r="G41" s="42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2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41" s="42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2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2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2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2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2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41" s="42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1"/>
      <c r="Q41" s="41"/>
      <c r="R41" s="41"/>
    </row>
    <row r="42" spans="1:18" ht="21" customHeight="1" x14ac:dyDescent="0.15">
      <c r="A42" s="33" t="str">
        <f t="shared" si="1"/>
        <v>39014004_39014041</v>
      </c>
      <c r="B42" s="41">
        <v>39014004</v>
      </c>
      <c r="C42" s="181">
        <v>39014041</v>
      </c>
      <c r="D42" s="40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2" s="40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2" s="181">
        <v>39014041</v>
      </c>
      <c r="G42" s="42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2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42" s="42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2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2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2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2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2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42" s="42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1"/>
      <c r="Q42" s="41"/>
      <c r="R42" s="41"/>
    </row>
    <row r="43" spans="1:18" ht="21" customHeight="1" x14ac:dyDescent="0.15">
      <c r="A43" s="33" t="str">
        <f t="shared" si="1"/>
        <v>39014004_39014042</v>
      </c>
      <c r="B43" s="41">
        <v>39014004</v>
      </c>
      <c r="C43" s="181">
        <v>39014042</v>
      </c>
      <c r="D43" s="40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3" s="40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3" s="181">
        <v>39014042</v>
      </c>
      <c r="G43" s="42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2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3" s="42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2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2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2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2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2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43" s="42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1"/>
      <c r="Q43" s="41"/>
      <c r="R43" s="41"/>
    </row>
    <row r="44" spans="1:18" ht="21" customHeight="1" x14ac:dyDescent="0.15">
      <c r="A44" s="33" t="str">
        <f t="shared" si="1"/>
        <v>39014004_39014043</v>
      </c>
      <c r="B44" s="41">
        <v>39014004</v>
      </c>
      <c r="C44" s="181">
        <v>39014043</v>
      </c>
      <c r="D44" s="40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4" s="40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状態異常耐性+_x000D_全ユニットのスキルターンを4ターン短縮</v>
      </c>
      <c r="F44" s="181">
        <v>39014043</v>
      </c>
      <c r="G44" s="42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2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44" s="42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2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2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2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2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2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44" s="42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1"/>
      <c r="Q44" s="41"/>
      <c r="R44" s="41"/>
    </row>
    <row r="45" spans="1:18" ht="21" customHeight="1" x14ac:dyDescent="0.15">
      <c r="A45" s="33" t="str">
        <f t="shared" si="1"/>
        <v>39014004_39014044</v>
      </c>
      <c r="B45" s="41">
        <v>39014004</v>
      </c>
      <c r="C45" s="181">
        <v>39014044</v>
      </c>
      <c r="D45" s="40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5" s="40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状態異常耐性+_x000D_全ユニットのスキルターンを4ターン短縮</v>
      </c>
      <c r="F45" s="181">
        <v>39014044</v>
      </c>
      <c r="G45" s="42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2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45" s="42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2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2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2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2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2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45" s="42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1"/>
      <c r="Q45" s="41"/>
      <c r="R45" s="41"/>
    </row>
    <row r="46" spans="1:18" ht="21" customHeight="1" x14ac:dyDescent="0.15">
      <c r="A46" s="33" t="str">
        <f t="shared" si="1"/>
        <v>39014004_39014045</v>
      </c>
      <c r="B46" s="41">
        <v>39014004</v>
      </c>
      <c r="C46" s="181">
        <v>39014045</v>
      </c>
      <c r="D46" s="40" t="str">
        <f ca="1">VLOOKUP($C46,OFFSET(enemy_skills!$A$1,0,0,COUNTA(enemy_skills!$A:$A),MATCH(D$1,enemy_skills!$1:$1,0)-MATCH("enemy_skill_id",enemy_skills!$1:$1,0)+1),MATCH(D$1,enemy_skills!$1:$1,0)-MATCH("enemy_skill_id",enemy_skills!$1:$1,0)+1,FALSE)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6" s="40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状態異常耐性+_x000D_全ユニットのスキルターンを4ターン短縮</v>
      </c>
      <c r="F46" s="181">
        <v>39014045</v>
      </c>
      <c r="G46" s="42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2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46" s="42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2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2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2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2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2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46" s="42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1"/>
      <c r="Q46" s="41"/>
      <c r="R46" s="41"/>
    </row>
    <row r="47" spans="1:18" ht="21" customHeight="1" x14ac:dyDescent="0.15">
      <c r="A47" s="33" t="str">
        <f t="shared" si="1"/>
        <v>39014004_39014046</v>
      </c>
      <c r="B47" s="41">
        <v>39014004</v>
      </c>
      <c r="C47" s="181">
        <v>39014046</v>
      </c>
      <c r="D47" s="40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7" s="40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状態異常耐性+_x000D_全ユニットのスキルターンを4ターン短縮</v>
      </c>
      <c r="F47" s="181">
        <v>39014046</v>
      </c>
      <c r="G47" s="42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2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47" s="42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2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2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2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2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2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47" s="42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1"/>
      <c r="Q47" s="41"/>
      <c r="R47" s="41"/>
    </row>
    <row r="48" spans="1:18" ht="21" customHeight="1" x14ac:dyDescent="0.15">
      <c r="A48" s="33" t="str">
        <f t="shared" si="1"/>
        <v>39014004_39014047</v>
      </c>
      <c r="B48" s="41">
        <v>39014004</v>
      </c>
      <c r="C48" s="181">
        <v>39014047</v>
      </c>
      <c r="D48" s="40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8" s="40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8" s="181">
        <v>39014047</v>
      </c>
      <c r="G48" s="42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2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48" s="42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2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2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2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2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2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48" s="42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1"/>
      <c r="Q48" s="41"/>
      <c r="R48" s="41"/>
    </row>
    <row r="49" spans="1:18" ht="21" customHeight="1" x14ac:dyDescent="0.15">
      <c r="A49" s="33" t="str">
        <f t="shared" si="1"/>
        <v>39014004_39014048</v>
      </c>
      <c r="B49" s="41">
        <v>39014004</v>
      </c>
      <c r="C49" s="181">
        <v>39014048</v>
      </c>
      <c r="D49" s="40" t="str">
        <f ca="1">VLOOKUP($C49,OFFSET(enemy_skills!$A$1,0,0,COUNTA(enemy_skills!$A:$A),MATCH(D$1,enemy_skills!$1:$1,0)-MATCH("enemy_skill_id",enemy_skills!$1:$1,0)+1),MATCH(D$1,enemy_skills!$1:$1,0)-MATCH("enemy_skill_id",enemy_skills!$1:$1,0)+1,FALSE)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49" s="40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9" s="181">
        <v>39014048</v>
      </c>
      <c r="G49" s="42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2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49" s="42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2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2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2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2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2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49" s="42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1"/>
      <c r="Q49" s="41"/>
      <c r="R49" s="41"/>
    </row>
    <row r="50" spans="1:18" ht="21" customHeight="1" x14ac:dyDescent="0.15">
      <c r="A50" s="33" t="str">
        <f t="shared" si="1"/>
        <v>39014004_39014049</v>
      </c>
      <c r="B50" s="41">
        <v>39014004</v>
      </c>
      <c r="C50" s="181">
        <v>39014049</v>
      </c>
      <c r="D50" s="40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50" s="40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0" s="181">
        <v>39014049</v>
      </c>
      <c r="G50" s="42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2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50" s="42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2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2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2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2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2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50" s="42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1"/>
      <c r="Q50" s="41"/>
      <c r="R50" s="41"/>
    </row>
    <row r="51" spans="1:18" ht="21" customHeight="1" x14ac:dyDescent="0.15">
      <c r="A51" s="33" t="str">
        <f t="shared" si="1"/>
        <v>39014004_39014050</v>
      </c>
      <c r="B51" s="41">
        <v>39014004</v>
      </c>
      <c r="C51" s="181">
        <v>39014050</v>
      </c>
      <c r="D51" s="40" t="str">
        <f ca="1">VLOOKUP($C51,OFFSET(enemy_skills!$A$1,0,0,COUNTA(enemy_skills!$A:$A),MATCH(D$1,enemy_skills!$1:$1,0)-MATCH("enemy_skill_id",enemy_skills!$1:$1,0)+1),MATCH(D$1,enemy_skills!$1:$1,0)-MATCH("enemy_skill_id",enemy_skills!$1:$1,0)+1,FALSE)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51" s="40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1" s="181">
        <v>39014050</v>
      </c>
      <c r="G51" s="42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2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51" s="42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2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2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2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2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2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51" s="42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1"/>
      <c r="Q51" s="41"/>
      <c r="R51" s="41"/>
    </row>
    <row r="52" spans="1:18" ht="21" customHeight="1" x14ac:dyDescent="0.15">
      <c r="A52" s="33" t="str">
        <f t="shared" si="1"/>
        <v>39014004_39014051</v>
      </c>
      <c r="B52" s="41">
        <v>39014004</v>
      </c>
      <c r="C52" s="181">
        <v>39014051</v>
      </c>
      <c r="D52" s="40" t="str">
        <f ca="1">VLOOKUP($C52,OFFSET(enemy_skills!$A$1,0,0,COUNTA(enemy_skills!$A:$A),MATCH(D$1,enemy_skills!$1:$1,0)-MATCH("enemy_skill_id",enemy_skills!$1:$1,0)+1),MATCH(D$1,enemy_skills!$1:$1,0)-MATCH("enemy_skill_id",enemy_skills!$1:$1,0)+1,FALSE)</f>
        <v>私が君を止めてみせよう！</v>
      </c>
      <c r="E52" s="40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2" s="181">
        <v>39014051</v>
      </c>
      <c r="G52" s="42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2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2" s="42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2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2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2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2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2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52" s="42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1"/>
      <c r="Q52" s="41"/>
      <c r="R52" s="41"/>
    </row>
    <row r="53" spans="1:18" ht="21" customHeight="1" x14ac:dyDescent="0.15">
      <c r="A53" s="33" t="str">
        <f t="shared" si="1"/>
        <v>39014004_39014052</v>
      </c>
      <c r="B53" s="41">
        <v>39014004</v>
      </c>
      <c r="C53" s="181">
        <v>39014052</v>
      </c>
      <c r="D53" s="40" t="str">
        <f ca="1">VLOOKUP($C53,OFFSET(enemy_skills!$A$1,0,0,COUNTA(enemy_skills!$A:$A),MATCH(D$1,enemy_skills!$1:$1,0)-MATCH("enemy_skill_id",enemy_skills!$1:$1,0)+1),MATCH(D$1,enemy_skills!$1:$1,0)-MATCH("enemy_skill_id",enemy_skills!$1:$1,0)+1,FALSE)</f>
        <v>飛燕斬！！</v>
      </c>
      <c r="E53" s="40" t="str">
        <f ca="1">VLOOKUP($C53,OFFSET(enemy_skills!$A$1,0,0,COUNTA(enemy_skills!$A:$A),MATCH(E$1,enemy_skills!$1:$1,0)-MATCH("enemy_skill_id",enemy_skills!$1:$1,0)+1),MATCH(E$1,enemy_skills!$1:$1,0)-MATCH("enemy_skill_id",enemy_skills!$1:$1,0)+1,FALSE)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3" s="181">
        <v>39014052</v>
      </c>
      <c r="G53" s="42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2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3" s="42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2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2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2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2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2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2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1"/>
      <c r="Q53" s="41"/>
      <c r="R53" s="41"/>
    </row>
    <row r="54" spans="1:18" ht="21" customHeight="1" x14ac:dyDescent="0.15">
      <c r="A54" s="33" t="str">
        <f t="shared" si="1"/>
        <v>39014004_39014053</v>
      </c>
      <c r="B54" s="41">
        <v>39014004</v>
      </c>
      <c r="C54" s="181">
        <v>39014053</v>
      </c>
      <c r="D54" s="40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半月斬！！</v>
      </c>
      <c r="E54" s="40" t="str">
        <f ca="1">VLOOKUP($C54,OFFSET(enemy_skills!$A$1,0,0,COUNTA(enemy_skills!$A:$A),MATCH(E$1,enemy_skills!$1:$1,0)-MATCH("enemy_skill_id",enemy_skills!$1:$1,0)+1),MATCH(E$1,enemy_skills!$1:$1,0)-MATCH("enemy_skill_id",enemy_skills!$1:$1,0)+1,FALSE)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54" s="181">
        <v>39014053</v>
      </c>
      <c r="G54" s="42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2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4" s="42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2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2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2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2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2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2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1"/>
      <c r="Q54" s="41"/>
      <c r="R54" s="41"/>
    </row>
    <row r="55" spans="1:18" ht="21" customHeight="1" x14ac:dyDescent="0.15">
      <c r="A55" s="33" t="str">
        <f t="shared" si="1"/>
        <v>39014004_39014054</v>
      </c>
      <c r="B55" s="41">
        <v>39014004</v>
      </c>
      <c r="C55" s="181">
        <v>39014054</v>
      </c>
      <c r="D55" s="40" t="str">
        <f ca="1">VLOOKUP($C55,OFFSET(enemy_skills!$A$1,0,0,COUNTA(enemy_skills!$A:$A),MATCH(D$1,enemy_skills!$1:$1,0)-MATCH("enemy_skill_id",enemy_skills!$1:$1,0)+1),MATCH(D$1,enemy_skills!$1:$1,0)-MATCH("enemy_skill_id",enemy_skills!$1:$1,0)+1,FALSE)</f>
        <v>飛翔脚！！</v>
      </c>
      <c r="E55" s="40" t="str">
        <f ca="1">VLOOKUP($C55,OFFSET(enemy_skills!$A$1,0,0,COUNTA(enemy_skills!$A:$A),MATCH(E$1,enemy_skills!$1:$1,0)-MATCH("enemy_skill_id",enemy_skills!$1:$1,0)+1),MATCH(E$1,enemy_skills!$1:$1,0)-MATCH("enemy_skill_id",enemy_skills!$1:$1,0)+1,FALSE)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55" s="181">
        <v>39014054</v>
      </c>
      <c r="G55" s="42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2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5" s="42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2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2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2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2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2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2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1"/>
      <c r="Q55" s="41"/>
      <c r="R55" s="41"/>
    </row>
    <row r="56" spans="1:18" ht="21" customHeight="1" x14ac:dyDescent="0.15">
      <c r="A56" s="33" t="str">
        <f t="shared" si="1"/>
        <v>39014004_39014055</v>
      </c>
      <c r="B56" s="41">
        <v>39014004</v>
      </c>
      <c r="C56" s="181">
        <v>39014055</v>
      </c>
      <c r="D56" s="40" t="str">
        <f ca="1">VLOOKUP($C56,OFFSET(enemy_skills!$A$1,0,0,COUNTA(enemy_skills!$A:$A),MATCH(D$1,enemy_skills!$1:$1,0)-MATCH("enemy_skill_id",enemy_skills!$1:$1,0)+1),MATCH(D$1,enemy_skills!$1:$1,0)-MATCH("enemy_skill_id",enemy_skills!$1:$1,0)+1,FALSE)</f>
        <v>隙ありっ！！</v>
      </c>
      <c r="E56" s="40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黄パネルをプロテクト(2個)</v>
      </c>
      <c r="F56" s="181">
        <v>39014055</v>
      </c>
      <c r="G56" s="42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2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6" s="42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2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2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2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2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6" s="42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2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1"/>
      <c r="Q56" s="41"/>
      <c r="R56" s="41"/>
    </row>
    <row r="57" spans="1:18" ht="21" customHeight="1" x14ac:dyDescent="0.15">
      <c r="A57" s="33" t="str">
        <f t="shared" si="1"/>
        <v>39014004_39014056</v>
      </c>
      <c r="B57" s="41">
        <v>39014004</v>
      </c>
      <c r="C57" s="181">
        <v>39014056</v>
      </c>
      <c r="D57" s="40" t="str">
        <f ca="1">VLOOKUP($C57,OFFSET(enemy_skills!$A$1,0,0,COUNTA(enemy_skills!$A:$A),MATCH(D$1,enemy_skills!$1:$1,0)-MATCH("enemy_skill_id",enemy_skills!$1:$1,0)+1),MATCH(D$1,enemy_skills!$1:$1,0)-MATCH("enemy_skill_id",enemy_skills!$1:$1,0)+1,FALSE)</f>
        <v>鳳凰脚！！_x000D_あたたた…あたぁ！！</v>
      </c>
      <c r="E57" s="40" t="str">
        <f ca="1">VLOOKUP($C57,OFFSET(enemy_skills!$A$1,0,0,COUNTA(enemy_skills!$A:$A),MATCH(E$1,enemy_skills!$1:$1,0)-MATCH("enemy_skill_id",enemy_skills!$1:$1,0)+1),MATCH(E$1,enemy_skills!$1:$1,0)-MATCH("enemy_skill_id",enemy_skills!$1:$1,0)+1,FALSE)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57" s="181">
        <v>39014056</v>
      </c>
      <c r="G57" s="42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2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7" s="42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2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2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2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2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7" s="42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2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1"/>
      <c r="Q57" s="41"/>
      <c r="R57" s="41"/>
    </row>
    <row r="58" spans="1:18" ht="21" customHeight="1" x14ac:dyDescent="0.15">
      <c r="A58" s="33" t="str">
        <f t="shared" si="1"/>
        <v>39014005_39014057</v>
      </c>
      <c r="B58" s="41">
        <v>39014005</v>
      </c>
      <c r="C58" s="182">
        <v>39014057</v>
      </c>
      <c r="D58" s="40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いいだろう！_x000D_全力でかかってきたまえ！！</v>
      </c>
      <c r="E58" s="40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8" s="182">
        <v>39014057</v>
      </c>
      <c r="G58" s="42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2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2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2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2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2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2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2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8" s="42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1"/>
      <c r="Q58" s="41"/>
      <c r="R58" s="41"/>
    </row>
    <row r="59" spans="1:18" ht="21" customHeight="1" x14ac:dyDescent="0.15">
      <c r="A59" s="33" t="str">
        <f t="shared" si="1"/>
        <v>39014005_39014058</v>
      </c>
      <c r="B59" s="41">
        <v>39014005</v>
      </c>
      <c r="C59" s="182">
        <v>39014058</v>
      </c>
      <c r="D59" s="40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59" s="40" t="str">
        <f ca="1">VLOOKUP($C59,OFFSET(enemy_skills!$A$1,0,0,COUNTA(enemy_skills!$A:$A),MATCH(E$1,enemy_skills!$1:$1,0)-MATCH("enemy_skill_id",enemy_skills!$1:$1,0)+1),MATCH(E$1,enemy_skills!$1:$1,0)-MATCH("enemy_skill_id",enemy_skills!$1:$1,0)+1,FALSE)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9" s="182">
        <v>39014058</v>
      </c>
      <c r="G59" s="42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2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503</v>
      </c>
      <c r="I59" s="42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2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2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2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2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2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59" s="42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1"/>
      <c r="Q59" s="41"/>
      <c r="R59" s="41"/>
    </row>
    <row r="60" spans="1:18" ht="21" customHeight="1" x14ac:dyDescent="0.15">
      <c r="A60" s="33" t="str">
        <f t="shared" si="1"/>
        <v>39014005_39014059</v>
      </c>
      <c r="B60" s="41">
        <v>39014005</v>
      </c>
      <c r="C60" s="182">
        <v>39014059</v>
      </c>
      <c r="D60" s="40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60" s="40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0" s="182">
        <v>39014059</v>
      </c>
      <c r="G60" s="42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2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60" s="42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2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2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2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2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2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60" s="42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1"/>
      <c r="Q60" s="41"/>
      <c r="R60" s="41"/>
    </row>
    <row r="61" spans="1:18" ht="21" customHeight="1" x14ac:dyDescent="0.15">
      <c r="A61" s="33" t="str">
        <f t="shared" si="1"/>
        <v>39014005_39014060</v>
      </c>
      <c r="B61" s="41">
        <v>39014005</v>
      </c>
      <c r="C61" s="182">
        <v>39014060</v>
      </c>
      <c r="D61" s="40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61" s="40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1" s="182">
        <v>39014060</v>
      </c>
      <c r="G61" s="42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2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61" s="42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2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2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2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2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2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61" s="42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1"/>
      <c r="Q61" s="41"/>
      <c r="R61" s="41"/>
    </row>
    <row r="62" spans="1:18" ht="21" customHeight="1" x14ac:dyDescent="0.15">
      <c r="A62" s="33" t="str">
        <f t="shared" si="1"/>
        <v>39014005_39014061</v>
      </c>
      <c r="B62" s="41">
        <v>39014005</v>
      </c>
      <c r="C62" s="182">
        <v>39014061</v>
      </c>
      <c r="D62" s="40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62" s="40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2" s="182">
        <v>39014061</v>
      </c>
      <c r="G62" s="42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2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2" s="42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2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2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2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2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2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62" s="42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1"/>
      <c r="Q62" s="41"/>
      <c r="R62" s="41"/>
    </row>
    <row r="63" spans="1:18" ht="21" customHeight="1" x14ac:dyDescent="0.15">
      <c r="A63" s="33" t="str">
        <f t="shared" si="1"/>
        <v>39014005_39014062</v>
      </c>
      <c r="B63" s="41">
        <v>39014005</v>
      </c>
      <c r="C63" s="182">
        <v>39014062</v>
      </c>
      <c r="D63" s="40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63" s="40" t="str">
        <f ca="1">VLOOKUP($C63,OFFSET(enemy_skills!$A$1,0,0,COUNTA(enemy_skills!$A:$A),MATCH(E$1,enemy_skills!$1:$1,0)-MATCH("enemy_skill_id",enemy_skills!$1:$1,0)+1),MATCH(E$1,enemy_skills!$1:$1,0)-MATCH("enemy_skill_id",enemy_skills!$1:$1,0)+1,FALSE)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3" s="182">
        <v>39014062</v>
      </c>
      <c r="G63" s="42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2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63" s="42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2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2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2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2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2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63" s="42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1"/>
      <c r="Q63" s="41"/>
      <c r="R63" s="41"/>
    </row>
    <row r="64" spans="1:18" ht="21" customHeight="1" x14ac:dyDescent="0.15">
      <c r="A64" s="33" t="str">
        <f t="shared" si="1"/>
        <v>39014005_39014063</v>
      </c>
      <c r="B64" s="41">
        <v>39014005</v>
      </c>
      <c r="C64" s="182">
        <v>39014063</v>
      </c>
      <c r="D64" s="40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64" s="40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4" s="182">
        <v>39014063</v>
      </c>
      <c r="G64" s="42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2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64" s="42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2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2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2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2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2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64" s="42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1"/>
      <c r="Q64" s="41"/>
      <c r="R64" s="41"/>
    </row>
    <row r="65" spans="1:18" ht="21" customHeight="1" x14ac:dyDescent="0.15">
      <c r="A65" s="33" t="str">
        <f t="shared" si="1"/>
        <v>39014005_39014064</v>
      </c>
      <c r="B65" s="41">
        <v>39014005</v>
      </c>
      <c r="C65" s="182">
        <v>39014064</v>
      </c>
      <c r="D65" s="40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65" s="40" t="str">
        <f ca="1">VLOOKUP($C65,OFFSET(enemy_skills!$A$1,0,0,COUNTA(enemy_skills!$A:$A),MATCH(E$1,enemy_skills!$1:$1,0)-MATCH("enemy_skill_id",enemy_skills!$1:$1,0)+1),MATCH(E$1,enemy_skills!$1:$1,0)-MATCH("enemy_skill_id",enemy_skills!$1:$1,0)+1,FALSE)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5" s="182">
        <v>39014064</v>
      </c>
      <c r="G65" s="42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2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65" s="42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2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2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2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2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2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65" s="42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1"/>
      <c r="Q65" s="41"/>
      <c r="R65" s="41"/>
    </row>
    <row r="66" spans="1:18" ht="21" customHeight="1" x14ac:dyDescent="0.15">
      <c r="A66" s="33" t="str">
        <f t="shared" ref="A66:A94" si="2">B66&amp;"_"&amp;C66</f>
        <v>39014005_39014065</v>
      </c>
      <c r="B66" s="41">
        <v>39014005</v>
      </c>
      <c r="C66" s="182">
        <v>39014065</v>
      </c>
      <c r="D66" s="40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66" s="40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6" s="182">
        <v>39014065</v>
      </c>
      <c r="G66" s="42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2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66" s="42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2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2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2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2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2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66" s="42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1"/>
      <c r="Q66" s="41"/>
      <c r="R66" s="41"/>
    </row>
    <row r="67" spans="1:18" ht="21" customHeight="1" x14ac:dyDescent="0.15">
      <c r="A67" s="33" t="str">
        <f t="shared" si="2"/>
        <v>39014005_39014066</v>
      </c>
      <c r="B67" s="41">
        <v>39014005</v>
      </c>
      <c r="C67" s="182">
        <v>39014066</v>
      </c>
      <c r="D67" s="40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67" s="40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7" s="182">
        <v>39014066</v>
      </c>
      <c r="G67" s="42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2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67" s="42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2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2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2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2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2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67" s="42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1"/>
      <c r="Q67" s="41"/>
      <c r="R67" s="41"/>
    </row>
    <row r="68" spans="1:18" ht="21" customHeight="1" x14ac:dyDescent="0.15">
      <c r="A68" s="33" t="str">
        <f t="shared" si="2"/>
        <v>39014005_39014067</v>
      </c>
      <c r="B68" s="41">
        <v>39014005</v>
      </c>
      <c r="C68" s="182">
        <v>39014067</v>
      </c>
      <c r="D68" s="40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68" s="40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8" s="182">
        <v>39014067</v>
      </c>
      <c r="G68" s="42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2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68" s="42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2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2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2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2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2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68" s="42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1"/>
      <c r="Q68" s="41"/>
      <c r="R68" s="41"/>
    </row>
    <row r="69" spans="1:18" ht="21" customHeight="1" x14ac:dyDescent="0.15">
      <c r="A69" s="33" t="str">
        <f t="shared" si="2"/>
        <v>39014005_39014068</v>
      </c>
      <c r="B69" s="41">
        <v>39014005</v>
      </c>
      <c r="C69" s="182">
        <v>39014068</v>
      </c>
      <c r="D69" s="40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69" s="40" t="str">
        <f ca="1">VLOOKUP($C69,OFFSET(enemy_skills!$A$1,0,0,COUNTA(enemy_skills!$A:$A),MATCH(E$1,enemy_skills!$1:$1,0)-MATCH("enemy_skill_id",enemy_skills!$1:$1,0)+1),MATCH(E$1,enemy_skills!$1:$1,0)-MATCH("enemy_skill_id",enemy_skills!$1:$1,0)+1,FALSE)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9" s="182">
        <v>39014068</v>
      </c>
      <c r="G69" s="42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2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69" s="42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2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2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2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2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2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69" s="42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1"/>
      <c r="Q69" s="41"/>
      <c r="R69" s="41"/>
    </row>
    <row r="70" spans="1:18" ht="21" customHeight="1" x14ac:dyDescent="0.15">
      <c r="A70" s="33" t="str">
        <f t="shared" si="2"/>
        <v>39014005_39014069</v>
      </c>
      <c r="B70" s="41">
        <v>39014005</v>
      </c>
      <c r="C70" s="182">
        <v>39014069</v>
      </c>
      <c r="D70" s="40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70" s="40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0" s="182">
        <v>39014069</v>
      </c>
      <c r="G70" s="42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2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70" s="42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2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2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2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2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2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70" s="42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1"/>
      <c r="Q70" s="41"/>
      <c r="R70" s="41"/>
    </row>
    <row r="71" spans="1:18" ht="21" customHeight="1" x14ac:dyDescent="0.15">
      <c r="A71" s="33" t="str">
        <f t="shared" si="2"/>
        <v>39014005_39014070</v>
      </c>
      <c r="B71" s="41">
        <v>39014005</v>
      </c>
      <c r="C71" s="182">
        <v>39014070</v>
      </c>
      <c r="D71" s="40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なかなかのお手前で！</v>
      </c>
      <c r="E71" s="40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1" s="182">
        <v>39014070</v>
      </c>
      <c r="G71" s="42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2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71" s="42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2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2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2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2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2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71" s="42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1"/>
      <c r="Q71" s="41"/>
      <c r="R71" s="41"/>
    </row>
    <row r="72" spans="1:18" ht="21" customHeight="1" x14ac:dyDescent="0.15">
      <c r="A72" s="33" t="str">
        <f t="shared" si="2"/>
        <v>39014005_39014071</v>
      </c>
      <c r="B72" s="41">
        <v>39014005</v>
      </c>
      <c r="C72" s="182">
        <v>39014071</v>
      </c>
      <c r="D72" s="40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ここだっ！！</v>
      </c>
      <c r="E72" s="40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属性パネルをお邪魔パネルに5個変換+_x000D_単体攻撃</v>
      </c>
      <c r="F72" s="182">
        <v>39014071</v>
      </c>
      <c r="G72" s="42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2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72" s="42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2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2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2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2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2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2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1"/>
      <c r="Q72" s="41"/>
      <c r="R72" s="41"/>
    </row>
    <row r="73" spans="1:18" ht="21" customHeight="1" x14ac:dyDescent="0.15">
      <c r="A73" s="33" t="str">
        <f t="shared" si="2"/>
        <v>39014005_39014072</v>
      </c>
      <c r="B73" s="41">
        <v>39014005</v>
      </c>
      <c r="C73" s="182">
        <v>39014072</v>
      </c>
      <c r="D73" s="40" t="str">
        <f ca="1">VLOOKUP($C73,OFFSET(enemy_skills!$A$1,0,0,COUNTA(enemy_skills!$A:$A),MATCH(D$1,enemy_skills!$1:$1,0)-MATCH("enemy_skill_id",enemy_skills!$1:$1,0)+1),MATCH(D$1,enemy_skills!$1:$1,0)-MATCH("enemy_skill_id",enemy_skills!$1:$1,0)+1,FALSE)</f>
        <v>見切った！！</v>
      </c>
      <c r="E73" s="40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73" s="182">
        <v>39014072</v>
      </c>
      <c r="G73" s="42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2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3" s="42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2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2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2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2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3" s="42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2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1"/>
      <c r="Q73" s="41"/>
      <c r="R73" s="41"/>
    </row>
    <row r="74" spans="1:18" ht="21" customHeight="1" x14ac:dyDescent="0.15">
      <c r="A74" s="33" t="str">
        <f t="shared" si="2"/>
        <v>39014005_39014073</v>
      </c>
      <c r="B74" s="41">
        <v>39014005</v>
      </c>
      <c r="C74" s="182">
        <v>39014073</v>
      </c>
      <c r="D74" s="40" t="str">
        <f ca="1">VLOOKUP($C74,OFFSET(enemy_skills!$A$1,0,0,COUNTA(enemy_skills!$A:$A),MATCH(D$1,enemy_skills!$1:$1,0)-MATCH("enemy_skill_id",enemy_skills!$1:$1,0)+1),MATCH(D$1,enemy_skills!$1:$1,0)-MATCH("enemy_skill_id",enemy_skills!$1:$1,0)+1,FALSE)</f>
        <v>飛燕斬！！</v>
      </c>
      <c r="E74" s="40" t="str">
        <f ca="1">VLOOKUP($C74,OFFSET(enemy_skills!$A$1,0,0,COUNTA(enemy_skills!$A:$A),MATCH(E$1,enemy_skills!$1:$1,0)-MATCH("enemy_skill_id",enemy_skills!$1:$1,0)+1),MATCH(E$1,enemy_skills!$1:$1,0)-MATCH("enemy_skill_id",enemy_skills!$1:$1,0)+1,FALSE)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74" s="182">
        <v>39014073</v>
      </c>
      <c r="G74" s="42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2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4" s="42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2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2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2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2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4" s="42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2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1"/>
      <c r="Q74" s="41"/>
      <c r="R74" s="41"/>
    </row>
    <row r="75" spans="1:18" ht="21" customHeight="1" x14ac:dyDescent="0.15">
      <c r="A75" s="33" t="str">
        <f t="shared" si="2"/>
        <v>39014005_39014074</v>
      </c>
      <c r="B75" s="41">
        <v>39014005</v>
      </c>
      <c r="C75" s="182">
        <v>39014074</v>
      </c>
      <c r="D75" s="40" t="str">
        <f ca="1">VLOOKUP($C75,OFFSET(enemy_skills!$A$1,0,0,COUNTA(enemy_skills!$A:$A),MATCH(D$1,enemy_skills!$1:$1,0)-MATCH("enemy_skill_id",enemy_skills!$1:$1,0)+1),MATCH(D$1,enemy_skills!$1:$1,0)-MATCH("enemy_skill_id",enemy_skills!$1:$1,0)+1,FALSE)</f>
        <v>半月斬！！</v>
      </c>
      <c r="E75" s="40" t="str">
        <f ca="1">VLOOKUP($C75,OFFSET(enemy_skills!$A$1,0,0,COUNTA(enemy_skills!$A:$A),MATCH(E$1,enemy_skills!$1:$1,0)-MATCH("enemy_skill_id",enemy_skills!$1:$1,0)+1),MATCH(E$1,enemy_skills!$1:$1,0)-MATCH("enemy_skill_id",enemy_skills!$1:$1,0)+1,FALSE)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5" s="182">
        <v>39014074</v>
      </c>
      <c r="G75" s="42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2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5" s="42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2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2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2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2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5" s="42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2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1"/>
      <c r="Q75" s="41"/>
      <c r="R75" s="41"/>
    </row>
    <row r="76" spans="1:18" ht="21" customHeight="1" x14ac:dyDescent="0.15">
      <c r="A76" s="33" t="str">
        <f t="shared" si="2"/>
        <v>39014005_39014075</v>
      </c>
      <c r="B76" s="41">
        <v>39014005</v>
      </c>
      <c r="C76" s="182">
        <v>39014075</v>
      </c>
      <c r="D76" s="40" t="str">
        <f ca="1">VLOOKUP($C76,OFFSET(enemy_skills!$A$1,0,0,COUNTA(enemy_skills!$A:$A),MATCH(D$1,enemy_skills!$1:$1,0)-MATCH("enemy_skill_id",enemy_skills!$1:$1,0)+1),MATCH(D$1,enemy_skills!$1:$1,0)-MATCH("enemy_skill_id",enemy_skills!$1:$1,0)+1,FALSE)</f>
        <v>飛翔脚！！</v>
      </c>
      <c r="E76" s="40" t="str">
        <f ca="1">VLOOKUP($C76,OFFSET(enemy_skills!$A$1,0,0,COUNTA(enemy_skills!$A:$A),MATCH(E$1,enemy_skills!$1:$1,0)-MATCH("enemy_skill_id",enemy_skills!$1:$1,0)+1),MATCH(E$1,enemy_skills!$1:$1,0)-MATCH("enemy_skill_id",enemy_skills!$1:$1,0)+1,FALSE)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76" s="182">
        <v>39014075</v>
      </c>
      <c r="G76" s="42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2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6" s="42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2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2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2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2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6" s="42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2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1"/>
      <c r="Q76" s="41"/>
      <c r="R76" s="41"/>
    </row>
    <row r="77" spans="1:18" ht="21" customHeight="1" x14ac:dyDescent="0.15">
      <c r="A77" s="33" t="str">
        <f t="shared" si="2"/>
        <v>39014005_39014076</v>
      </c>
      <c r="B77" s="41">
        <v>39014005</v>
      </c>
      <c r="C77" s="182">
        <v>39014076</v>
      </c>
      <c r="D77" s="40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はあぁ！！</v>
      </c>
      <c r="E77" s="40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キムは構えている</v>
      </c>
      <c r="F77" s="182">
        <v>39014076</v>
      </c>
      <c r="G77" s="42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2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7" s="42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2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2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2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2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7" s="42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2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1"/>
      <c r="Q77" s="41"/>
      <c r="R77" s="41"/>
    </row>
    <row r="78" spans="1:18" ht="21" customHeight="1" x14ac:dyDescent="0.15">
      <c r="A78" s="33" t="str">
        <f t="shared" si="2"/>
        <v>39014005_39014077</v>
      </c>
      <c r="B78" s="41">
        <v>39014005</v>
      </c>
      <c r="C78" s="182">
        <v>39014077</v>
      </c>
      <c r="D78" s="40" t="str">
        <f ca="1">VLOOKUP($C78,OFFSET(enemy_skills!$A$1,0,0,COUNTA(enemy_skills!$A:$A),MATCH(D$1,enemy_skills!$1:$1,0)-MATCH("enemy_skill_id",enemy_skills!$1:$1,0)+1),MATCH(D$1,enemy_skills!$1:$1,0)-MATCH("enemy_skill_id",enemy_skills!$1:$1,0)+1,FALSE)</f>
        <v>鳳凰脚！！_x000D_あたたた…あたぁ！！</v>
      </c>
      <c r="E78" s="40" t="str">
        <f ca="1">VLOOKUP($C78,OFFSET(enemy_skills!$A$1,0,0,COUNTA(enemy_skills!$A:$A),MATCH(E$1,enemy_skills!$1:$1,0)-MATCH("enemy_skill_id",enemy_skills!$1:$1,0)+1),MATCH(E$1,enemy_skills!$1:$1,0)-MATCH("enemy_skill_id",enemy_skills!$1:$1,0)+1,FALSE)</f>
        <v>21回連続攻撃</v>
      </c>
      <c r="F78" s="182">
        <v>39014077</v>
      </c>
      <c r="G78" s="42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2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78" s="42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2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2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2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2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8" s="42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2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1"/>
      <c r="Q78" s="41"/>
      <c r="R78" s="41"/>
    </row>
    <row r="79" spans="1:18" ht="21" customHeight="1" x14ac:dyDescent="0.15">
      <c r="A79" s="33" t="str">
        <f t="shared" si="2"/>
        <v>39014005_39014078</v>
      </c>
      <c r="B79" s="41">
        <v>39014005</v>
      </c>
      <c r="C79" s="182">
        <v>39014078</v>
      </c>
      <c r="D79" s="40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はあぁ！！</v>
      </c>
      <c r="E79" s="40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キムは構えている</v>
      </c>
      <c r="F79" s="182">
        <v>39014078</v>
      </c>
      <c r="G79" s="42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2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79" s="42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2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2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2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2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79" s="42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2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1"/>
      <c r="Q79" s="41"/>
      <c r="R79" s="41"/>
    </row>
    <row r="80" spans="1:18" ht="21" customHeight="1" x14ac:dyDescent="0.15">
      <c r="A80" s="33" t="str">
        <f t="shared" si="2"/>
        <v>39014005_39014079</v>
      </c>
      <c r="B80" s="41">
        <v>39014005</v>
      </c>
      <c r="C80" s="182">
        <v>39014079</v>
      </c>
      <c r="D80" s="40" t="str">
        <f ca="1">VLOOKUP($C80,OFFSET(enemy_skills!$A$1,0,0,COUNTA(enemy_skills!$A:$A),MATCH(D$1,enemy_skills!$1:$1,0)-MATCH("enemy_skill_id",enemy_skills!$1:$1,0)+1),MATCH(D$1,enemy_skills!$1:$1,0)-MATCH("enemy_skill_id",enemy_skills!$1:$1,0)+1,FALSE)</f>
        <v>鳳凰脚！！_x000D_あたたた…あたぁ！！</v>
      </c>
      <c r="E80" s="40" t="str">
        <f ca="1">VLOOKUP($C80,OFFSET(enemy_skills!$A$1,0,0,COUNTA(enemy_skills!$A:$A),MATCH(E$1,enemy_skills!$1:$1,0)-MATCH("enemy_skill_id",enemy_skills!$1:$1,0)+1),MATCH(E$1,enemy_skills!$1:$1,0)-MATCH("enemy_skill_id",enemy_skills!$1:$1,0)+1,FALSE)</f>
        <v>21回連続攻撃</v>
      </c>
      <c r="F80" s="182">
        <v>39014079</v>
      </c>
      <c r="G80" s="42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2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80" s="42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2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2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2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2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80" s="42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2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1"/>
      <c r="Q80" s="41"/>
      <c r="R80" s="41"/>
    </row>
    <row r="81" spans="1:18" ht="21" customHeight="1" x14ac:dyDescent="0.15">
      <c r="A81" s="33" t="str">
        <f t="shared" si="2"/>
        <v>39014005_39014080</v>
      </c>
      <c r="B81" s="41">
        <v>39014005</v>
      </c>
      <c r="C81" s="182">
        <v>39014080</v>
      </c>
      <c r="D81" s="40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はあぁ！！</v>
      </c>
      <c r="E81" s="40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キムは構えている</v>
      </c>
      <c r="F81" s="182">
        <v>39014080</v>
      </c>
      <c r="G81" s="42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2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81" s="42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2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2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2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2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14</v>
      </c>
      <c r="N81" s="42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2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1"/>
      <c r="Q81" s="41"/>
      <c r="R81" s="41"/>
    </row>
    <row r="82" spans="1:18" ht="21" customHeight="1" x14ac:dyDescent="0.15">
      <c r="A82" s="33" t="str">
        <f t="shared" si="2"/>
        <v>39014005_39014081</v>
      </c>
      <c r="B82" s="41">
        <v>39014005</v>
      </c>
      <c r="C82" s="182">
        <v>39014081</v>
      </c>
      <c r="D82" s="40" t="str">
        <f ca="1">VLOOKUP($C82,OFFSET(enemy_skills!$A$1,0,0,COUNTA(enemy_skills!$A:$A),MATCH(D$1,enemy_skills!$1:$1,0)-MATCH("enemy_skill_id",enemy_skills!$1:$1,0)+1),MATCH(D$1,enemy_skills!$1:$1,0)-MATCH("enemy_skill_id",enemy_skills!$1:$1,0)+1,FALSE)</f>
        <v>鳳凰脚！！_x000D_あたたた…あたぁ！！</v>
      </c>
      <c r="E82" s="40" t="str">
        <f ca="1">VLOOKUP($C82,OFFSET(enemy_skills!$A$1,0,0,COUNTA(enemy_skills!$A:$A),MATCH(E$1,enemy_skills!$1:$1,0)-MATCH("enemy_skill_id",enemy_skills!$1:$1,0)+1),MATCH(E$1,enemy_skills!$1:$1,0)-MATCH("enemy_skill_id",enemy_skills!$1:$1,0)+1,FALSE)</f>
        <v>21回連続攻撃</v>
      </c>
      <c r="F82" s="182">
        <v>39014081</v>
      </c>
      <c r="G82" s="42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2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82" s="42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2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2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2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2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15</v>
      </c>
      <c r="N82" s="42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2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1"/>
      <c r="Q82" s="41"/>
      <c r="R82" s="41"/>
    </row>
    <row r="83" spans="1:18" ht="21" customHeight="1" x14ac:dyDescent="0.15">
      <c r="A83" s="33" t="str">
        <f t="shared" si="2"/>
        <v>39014005_39014082</v>
      </c>
      <c r="B83" s="41">
        <v>39014005</v>
      </c>
      <c r="C83" s="182">
        <v>39014082</v>
      </c>
      <c r="D83" s="40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はあぁ！！</v>
      </c>
      <c r="E83" s="40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キムは構えている</v>
      </c>
      <c r="F83" s="182">
        <v>39014082</v>
      </c>
      <c r="G83" s="42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2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83" s="42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2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2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2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2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19</v>
      </c>
      <c r="N83" s="42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2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1"/>
      <c r="Q83" s="41"/>
      <c r="R83" s="41"/>
    </row>
    <row r="84" spans="1:18" ht="21" customHeight="1" x14ac:dyDescent="0.15">
      <c r="A84" s="33" t="str">
        <f t="shared" si="2"/>
        <v>39014005_39014083</v>
      </c>
      <c r="B84" s="41">
        <v>39014005</v>
      </c>
      <c r="C84" s="182">
        <v>39014083</v>
      </c>
      <c r="D84" s="40" t="str">
        <f ca="1">VLOOKUP($C84,OFFSET(enemy_skills!$A$1,0,0,COUNTA(enemy_skills!$A:$A),MATCH(D$1,enemy_skills!$1:$1,0)-MATCH("enemy_skill_id",enemy_skills!$1:$1,0)+1),MATCH(D$1,enemy_skills!$1:$1,0)-MATCH("enemy_skill_id",enemy_skills!$1:$1,0)+1,FALSE)</f>
        <v>鳳凰脚！！_x000D_あたたた…あたぁ！！</v>
      </c>
      <c r="E84" s="40" t="str">
        <f ca="1">VLOOKUP($C84,OFFSET(enemy_skills!$A$1,0,0,COUNTA(enemy_skills!$A:$A),MATCH(E$1,enemy_skills!$1:$1,0)-MATCH("enemy_skill_id",enemy_skills!$1:$1,0)+1),MATCH(E$1,enemy_skills!$1:$1,0)-MATCH("enemy_skill_id",enemy_skills!$1:$1,0)+1,FALSE)</f>
        <v>21回連続攻撃</v>
      </c>
      <c r="F84" s="182">
        <v>39014083</v>
      </c>
      <c r="G84" s="42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2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84" s="42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2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2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2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2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20</v>
      </c>
      <c r="N84" s="42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2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1"/>
      <c r="Q84" s="41"/>
      <c r="R84" s="41"/>
    </row>
    <row r="85" spans="1:18" ht="21" customHeight="1" x14ac:dyDescent="0.15">
      <c r="A85" s="33" t="str">
        <f t="shared" si="2"/>
        <v>39014005_39014084</v>
      </c>
      <c r="B85" s="41">
        <v>39014005</v>
      </c>
      <c r="C85" s="182">
        <v>39014084</v>
      </c>
      <c r="D85" s="40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くっ…</v>
      </c>
      <c r="E85" s="40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ウああああああぁぁぁぁーーっ！！</v>
      </c>
      <c r="F85" s="182">
        <v>39014084</v>
      </c>
      <c r="G85" s="42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2" t="str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5" s="42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2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2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2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2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2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5" s="42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1"/>
      <c r="Q85" s="41"/>
      <c r="R85" s="41"/>
    </row>
    <row r="86" spans="1:18" ht="21" customHeight="1" x14ac:dyDescent="0.15">
      <c r="A86" s="33" t="str">
        <f t="shared" si="2"/>
        <v>39014005_39014085</v>
      </c>
      <c r="B86" s="41">
        <v>39014005</v>
      </c>
      <c r="C86" s="182">
        <v>39014085</v>
      </c>
      <c r="D86" s="40" t="str">
        <f ca="1">VLOOKUP($C86,OFFSET(enemy_skills!$A$1,0,0,COUNTA(enemy_skills!$A:$A),MATCH(D$1,enemy_skills!$1:$1,0)-MATCH("enemy_skill_id",enemy_skills!$1:$1,0)+1),MATCH(D$1,enemy_skills!$1:$1,0)-MATCH("enemy_skill_id",enemy_skills!$1:$1,0)+1,FALSE)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6" s="40" t="str">
        <f ca="1">VLOOKUP($C86,OFFSET(enemy_skills!$A$1,0,0,COUNTA(enemy_skills!$A:$A),MATCH(E$1,enemy_skills!$1:$1,0)-MATCH("enemy_skill_id",enemy_skills!$1:$1,0)+1),MATCH(E$1,enemy_skills!$1:$1,0)-MATCH("enemy_skill_id",enemy_skills!$1:$1,0)+1,FALSE)</f>
        <v>無念！</v>
      </c>
      <c r="F86" s="182">
        <v>39014085</v>
      </c>
      <c r="G86" s="42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2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503</v>
      </c>
      <c r="I86" s="42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2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2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2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2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2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86" s="42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1"/>
      <c r="Q86" s="41"/>
      <c r="R86" s="41"/>
    </row>
    <row r="87" spans="1:18" ht="21" customHeight="1" x14ac:dyDescent="0.15">
      <c r="A87" s="33" t="str">
        <f t="shared" si="2"/>
        <v>39014005_39014086</v>
      </c>
      <c r="B87" s="41">
        <v>39014005</v>
      </c>
      <c r="C87" s="182">
        <v>39014086</v>
      </c>
      <c r="D87" s="40" t="str">
        <f ca="1">VLOOKUP($C87,OFFSET(enemy_skills!$A$1,0,0,COUNTA(enemy_skills!$A:$A),MATCH(D$1,enemy_skills!$1:$1,0)-MATCH("enemy_skill_id",enemy_skills!$1:$1,0)+1),MATCH(D$1,enemy_skills!$1:$1,0)-MATCH("enemy_skill_id",enemy_skills!$1:$1,0)+1,FALSE)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7" s="40" t="str">
        <f ca="1">VLOOKUP($C87,OFFSET(enemy_skills!$A$1,0,0,COUNTA(enemy_skills!$A:$A),MATCH(E$1,enemy_skills!$1:$1,0)-MATCH("enemy_skill_id",enemy_skills!$1:$1,0)+1),MATCH(E$1,enemy_skills!$1:$1,0)-MATCH("enemy_skill_id",enemy_skills!$1:$1,0)+1,FALSE)</f>
        <v>無念！</v>
      </c>
      <c r="F87" s="182">
        <v>39014086</v>
      </c>
      <c r="G87" s="42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2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87" s="42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2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2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2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2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2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87" s="42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1"/>
      <c r="Q87" s="41"/>
      <c r="R87" s="41"/>
    </row>
    <row r="88" spans="1:18" ht="21" customHeight="1" x14ac:dyDescent="0.15">
      <c r="A88" s="33" t="str">
        <f t="shared" si="2"/>
        <v>39014005_39014087</v>
      </c>
      <c r="B88" s="41">
        <v>39014005</v>
      </c>
      <c r="C88" s="182">
        <v>39014087</v>
      </c>
      <c r="D88" s="40" t="str">
        <f ca="1">VLOOKUP($C88,OFFSET(enemy_skills!$A$1,0,0,COUNTA(enemy_skills!$A:$A),MATCH(D$1,enemy_skills!$1:$1,0)-MATCH("enemy_skill_id",enemy_skills!$1:$1,0)+1),MATCH(D$1,enemy_skills!$1:$1,0)-MATCH("enemy_skill_id",enemy_skills!$1:$1,0)+1,FALSE)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8" s="40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無念！</v>
      </c>
      <c r="F88" s="182">
        <v>39014087</v>
      </c>
      <c r="G88" s="42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2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88" s="42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2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2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2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2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2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88" s="42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1"/>
      <c r="Q88" s="41"/>
      <c r="R88" s="41"/>
    </row>
    <row r="89" spans="1:18" ht="21" customHeight="1" x14ac:dyDescent="0.15">
      <c r="A89" s="33" t="str">
        <f t="shared" si="2"/>
        <v>39014005_39014088</v>
      </c>
      <c r="B89" s="41">
        <v>39014005</v>
      </c>
      <c r="C89" s="182">
        <v>39014088</v>
      </c>
      <c r="D89" s="40" t="str">
        <f ca="1">VLOOKUP($C89,OFFSET(enemy_skills!$A$1,0,0,COUNTA(enemy_skills!$A:$A),MATCH(D$1,enemy_skills!$1:$1,0)-MATCH("enemy_skill_id",enemy_skills!$1:$1,0)+1),MATCH(D$1,enemy_skills!$1:$1,0)-MATCH("enemy_skill_id",enemy_skills!$1:$1,0)+1,FALSE)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89" s="40" t="str">
        <f ca="1">VLOOKUP($C89,OFFSET(enemy_skills!$A$1,0,0,COUNTA(enemy_skills!$A:$A),MATCH(E$1,enemy_skills!$1:$1,0)-MATCH("enemy_skill_id",enemy_skills!$1:$1,0)+1),MATCH(E$1,enemy_skills!$1:$1,0)-MATCH("enemy_skill_id",enemy_skills!$1:$1,0)+1,FALSE)</f>
        <v>無念！</v>
      </c>
      <c r="F89" s="182">
        <v>39014088</v>
      </c>
      <c r="G89" s="42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2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9" s="42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2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2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2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2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2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89" s="42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1"/>
      <c r="Q89" s="41"/>
      <c r="R89" s="41"/>
    </row>
    <row r="90" spans="1:18" ht="21" customHeight="1" x14ac:dyDescent="0.15">
      <c r="A90" s="33" t="str">
        <f t="shared" si="2"/>
        <v>39014005_39014089</v>
      </c>
      <c r="B90" s="41">
        <v>39014005</v>
      </c>
      <c r="C90" s="182">
        <v>39014089</v>
      </c>
      <c r="D90" s="40" t="str">
        <f ca="1">VLOOKUP($C90,OFFSET(enemy_skills!$A$1,0,0,COUNTA(enemy_skills!$A:$A),MATCH(D$1,enemy_skills!$1:$1,0)-MATCH("enemy_skill_id",enemy_skills!$1:$1,0)+1),MATCH(D$1,enemy_skills!$1:$1,0)-MATCH("enemy_skill_id",enemy_skills!$1:$1,0)+1,FALSE)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0" s="40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無念！</v>
      </c>
      <c r="F90" s="182">
        <v>39014089</v>
      </c>
      <c r="G90" s="42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2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90" s="42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2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2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2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2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2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90" s="42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1"/>
      <c r="Q90" s="41"/>
      <c r="R90" s="41"/>
    </row>
    <row r="91" spans="1:18" ht="21" customHeight="1" x14ac:dyDescent="0.15">
      <c r="A91" s="33" t="str">
        <f t="shared" si="2"/>
        <v>39014005_39014090</v>
      </c>
      <c r="B91" s="41">
        <v>39014005</v>
      </c>
      <c r="C91" s="182">
        <v>39014090</v>
      </c>
      <c r="D91" s="40" t="str">
        <f ca="1">VLOOKUP($C91,OFFSET(enemy_skills!$A$1,0,0,COUNTA(enemy_skills!$A:$A),MATCH(D$1,enemy_skills!$1:$1,0)-MATCH("enemy_skill_id",enemy_skills!$1:$1,0)+1),MATCH(D$1,enemy_skills!$1:$1,0)-MATCH("enemy_skill_id",enemy_skills!$1:$1,0)+1,FALSE)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1" s="40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無念！</v>
      </c>
      <c r="F91" s="182">
        <v>39014090</v>
      </c>
      <c r="G91" s="42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2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91" s="42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2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2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2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2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2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91" s="42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1"/>
      <c r="Q91" s="41"/>
      <c r="R91" s="41"/>
    </row>
    <row r="92" spans="1:18" ht="21" customHeight="1" x14ac:dyDescent="0.15">
      <c r="A92" s="33" t="str">
        <f t="shared" si="2"/>
        <v>39014005_39014091</v>
      </c>
      <c r="B92" s="41">
        <v>39014005</v>
      </c>
      <c r="C92" s="182">
        <v>39014091</v>
      </c>
      <c r="D92" s="40" t="str">
        <f ca="1">VLOOKUP($C92,OFFSET(enemy_skills!$A$1,0,0,COUNTA(enemy_skills!$A:$A),MATCH(D$1,enemy_skills!$1:$1,0)-MATCH("enemy_skill_id",enemy_skills!$1:$1,0)+1),MATCH(D$1,enemy_skills!$1:$1,0)-MATCH("enemy_skill_id",enemy_skills!$1:$1,0)+1,FALSE)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2" s="40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無念！</v>
      </c>
      <c r="F92" s="182">
        <v>39014091</v>
      </c>
      <c r="G92" s="42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2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92" s="42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2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2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2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2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2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92" s="42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1"/>
      <c r="Q92" s="41"/>
      <c r="R92" s="41"/>
    </row>
    <row r="93" spans="1:18" ht="21" customHeight="1" x14ac:dyDescent="0.15">
      <c r="A93" s="33" t="str">
        <f t="shared" si="2"/>
        <v>39014005_39014092</v>
      </c>
      <c r="B93" s="41">
        <v>39014005</v>
      </c>
      <c r="C93" s="182">
        <v>39014092</v>
      </c>
      <c r="D93" s="40" t="str">
        <f ca="1">VLOOKUP($C93,OFFSET(enemy_skills!$A$1,0,0,COUNTA(enemy_skills!$A:$A),MATCH(D$1,enemy_skills!$1:$1,0)-MATCH("enemy_skill_id",enemy_skills!$1:$1,0)+1),MATCH(D$1,enemy_skills!$1:$1,0)-MATCH("enemy_skill_id",enemy_skills!$1:$1,0)+1,FALSE)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3" s="40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無念！</v>
      </c>
      <c r="F93" s="182">
        <v>39014092</v>
      </c>
      <c r="G93" s="42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2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93" s="42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2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2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2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2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2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93" s="42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1"/>
      <c r="Q93" s="41"/>
      <c r="R93" s="41"/>
    </row>
    <row r="94" spans="1:18" ht="21" customHeight="1" x14ac:dyDescent="0.15">
      <c r="A94" s="33" t="str">
        <f t="shared" si="2"/>
        <v>39014005_39014093</v>
      </c>
      <c r="B94" s="41">
        <v>39014005</v>
      </c>
      <c r="C94" s="182">
        <v>39014093</v>
      </c>
      <c r="D94" s="40" t="str">
        <f ca="1">VLOOKUP($C94,OFFSET(enemy_skills!$A$1,0,0,COUNTA(enemy_skills!$A:$A),MATCH(D$1,enemy_skills!$1:$1,0)-MATCH("enemy_skill_id",enemy_skills!$1:$1,0)+1),MATCH(D$1,enemy_skills!$1:$1,0)-MATCH("enemy_skill_id",enemy_skills!$1:$1,0)+1,FALSE)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4" s="40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無念！</v>
      </c>
      <c r="F94" s="182">
        <v>39014093</v>
      </c>
      <c r="G94" s="42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2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94" s="42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2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2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2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2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2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94" s="42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1"/>
      <c r="Q94" s="41"/>
      <c r="R94" s="41"/>
    </row>
    <row r="95" spans="1:18" ht="21" customHeight="1" x14ac:dyDescent="0.15">
      <c r="A95" s="33" t="str">
        <f t="shared" ref="A95:A120" si="3">B95&amp;"_"&amp;C95</f>
        <v>39014005_39014094</v>
      </c>
      <c r="B95" s="41">
        <v>39014005</v>
      </c>
      <c r="C95" s="182">
        <v>39014094</v>
      </c>
      <c r="D95" s="40" t="str">
        <f ca="1">VLOOKUP($C95,OFFSET(enemy_skills!$A$1,0,0,COUNTA(enemy_skills!$A:$A),MATCH(D$1,enemy_skills!$1:$1,0)-MATCH("enemy_skill_id",enemy_skills!$1:$1,0)+1),MATCH(D$1,enemy_skills!$1:$1,0)-MATCH("enemy_skill_id",enemy_skills!$1:$1,0)+1,FALSE)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5" s="40" t="str">
        <f ca="1">VLOOKUP($C95,OFFSET(enemy_skills!$A$1,0,0,COUNTA(enemy_skills!$A:$A),MATCH(E$1,enemy_skills!$1:$1,0)-MATCH("enemy_skill_id",enemy_skills!$1:$1,0)+1),MATCH(E$1,enemy_skills!$1:$1,0)-MATCH("enemy_skill_id",enemy_skills!$1:$1,0)+1,FALSE)</f>
        <v>無念！</v>
      </c>
      <c r="F95" s="182">
        <v>39014094</v>
      </c>
      <c r="G95" s="42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2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95" s="42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2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2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2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2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2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95" s="42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1"/>
      <c r="Q95" s="41"/>
      <c r="R95" s="41"/>
    </row>
    <row r="96" spans="1:18" ht="21" customHeight="1" x14ac:dyDescent="0.15">
      <c r="A96" s="33" t="str">
        <f t="shared" si="3"/>
        <v>39014005_39014095</v>
      </c>
      <c r="B96" s="41">
        <v>39014005</v>
      </c>
      <c r="C96" s="182">
        <v>39014095</v>
      </c>
      <c r="D96" s="40" t="str">
        <f ca="1">VLOOKUP($C96,OFFSET(enemy_skills!$A$1,0,0,COUNTA(enemy_skills!$A:$A),MATCH(D$1,enemy_skills!$1:$1,0)-MATCH("enemy_skill_id",enemy_skills!$1:$1,0)+1),MATCH(D$1,enemy_skills!$1:$1,0)-MATCH("enemy_skill_id",enemy_skills!$1:$1,0)+1,FALSE)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6" s="40" t="str">
        <f ca="1">VLOOKUP($C96,OFFSET(enemy_skills!$A$1,0,0,COUNTA(enemy_skills!$A:$A),MATCH(E$1,enemy_skills!$1:$1,0)-MATCH("enemy_skill_id",enemy_skills!$1:$1,0)+1),MATCH(E$1,enemy_skills!$1:$1,0)-MATCH("enemy_skill_id",enemy_skills!$1:$1,0)+1,FALSE)</f>
        <v>無念！</v>
      </c>
      <c r="F96" s="182">
        <v>39014095</v>
      </c>
      <c r="G96" s="42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2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96" s="42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2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2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2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2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2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96" s="42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1"/>
      <c r="Q96" s="41"/>
      <c r="R96" s="41"/>
    </row>
    <row r="97" spans="1:18" ht="21" customHeight="1" x14ac:dyDescent="0.15">
      <c r="A97" s="33" t="str">
        <f t="shared" si="3"/>
        <v>39014005_39014096</v>
      </c>
      <c r="B97" s="41">
        <v>39014005</v>
      </c>
      <c r="C97" s="182">
        <v>39014096</v>
      </c>
      <c r="D97" s="40" t="str">
        <f ca="1">VLOOKUP($C97,OFFSET(enemy_skills!$A$1,0,0,COUNTA(enemy_skills!$A:$A),MATCH(D$1,enemy_skills!$1:$1,0)-MATCH("enemy_skill_id",enemy_skills!$1:$1,0)+1),MATCH(D$1,enemy_skills!$1:$1,0)-MATCH("enemy_skill_id",enemy_skills!$1:$1,0)+1,FALSE)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7" s="40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無念！</v>
      </c>
      <c r="F97" s="182">
        <v>39014096</v>
      </c>
      <c r="G97" s="42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2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97" s="42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2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2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2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42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2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97" s="42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1"/>
      <c r="Q97" s="41"/>
      <c r="R97" s="41"/>
    </row>
    <row r="98" spans="1:18" ht="21" customHeight="1" x14ac:dyDescent="0.15">
      <c r="A98" s="33" t="str">
        <f t="shared" si="3"/>
        <v>39014005_39014097</v>
      </c>
      <c r="B98" s="41">
        <v>39014005</v>
      </c>
      <c r="C98" s="182">
        <v>39014097</v>
      </c>
      <c r="D98" s="40" t="str">
        <f ca="1">VLOOKUP($C98,OFFSET(enemy_skills!$A$1,0,0,COUNTA(enemy_skills!$A:$A),MATCH(D$1,enemy_skills!$1:$1,0)-MATCH("enemy_skill_id",enemy_skills!$1:$1,0)+1),MATCH(D$1,enemy_skills!$1:$1,0)-MATCH("enemy_skill_id",enemy_skills!$1:$1,0)+1,FALSE)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8" s="40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無念！</v>
      </c>
      <c r="F98" s="182">
        <v>39014097</v>
      </c>
      <c r="G98" s="42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2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98" s="42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2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2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2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8" s="42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2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98" s="42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1"/>
      <c r="Q98" s="41"/>
      <c r="R98" s="41"/>
    </row>
    <row r="99" spans="1:18" ht="21" customHeight="1" x14ac:dyDescent="0.15">
      <c r="A99" s="33" t="str">
        <f t="shared" si="3"/>
        <v>39014005_39014098</v>
      </c>
      <c r="B99" s="41">
        <v>39014005</v>
      </c>
      <c r="C99" s="182">
        <v>39014098</v>
      </c>
      <c r="D99" s="40" t="str">
        <f ca="1">VLOOKUP($C99,OFFSET(enemy_skills!$A$1,0,0,COUNTA(enemy_skills!$A:$A),MATCH(D$1,enemy_skills!$1:$1,0)-MATCH("enemy_skill_id",enemy_skills!$1:$1,0)+1),MATCH(D$1,enemy_skills!$1:$1,0)-MATCH("enemy_skill_id",enemy_skills!$1:$1,0)+1,FALSE)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99" s="40" t="str">
        <f ca="1">VLOOKUP($C99,OFFSET(enemy_skills!$A$1,0,0,COUNTA(enemy_skills!$A:$A),MATCH(E$1,enemy_skills!$1:$1,0)-MATCH("enemy_skill_id",enemy_skills!$1:$1,0)+1),MATCH(E$1,enemy_skills!$1:$1,0)-MATCH("enemy_skill_id",enemy_skills!$1:$1,0)+1,FALSE)</f>
        <v>無念！</v>
      </c>
      <c r="F99" s="182">
        <v>39014098</v>
      </c>
      <c r="G99" s="42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2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9" s="42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2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2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2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42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2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99" s="42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1"/>
      <c r="Q99" s="41"/>
      <c r="R99" s="41"/>
    </row>
    <row r="100" spans="1:18" ht="21" customHeight="1" x14ac:dyDescent="0.15">
      <c r="A100" s="33" t="str">
        <f t="shared" si="3"/>
        <v>39014005_39014099</v>
      </c>
      <c r="B100" s="41">
        <v>39014005</v>
      </c>
      <c r="C100" s="182">
        <v>39014099</v>
      </c>
      <c r="D100" s="40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00" s="40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無念！</v>
      </c>
      <c r="F100" s="182">
        <v>39014099</v>
      </c>
      <c r="G100" s="42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2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00" s="42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2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2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2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0" s="42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2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100" s="42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1"/>
      <c r="Q100" s="41"/>
      <c r="R100" s="41"/>
    </row>
    <row r="101" spans="1:18" ht="21" customHeight="1" x14ac:dyDescent="0.15">
      <c r="A101" s="33" t="str">
        <f t="shared" si="3"/>
        <v>39014005_39014100</v>
      </c>
      <c r="B101" s="41">
        <v>39014005</v>
      </c>
      <c r="C101" s="182">
        <v>39014100</v>
      </c>
      <c r="D101" s="40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01" s="40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無念！</v>
      </c>
      <c r="F101" s="182">
        <v>39014100</v>
      </c>
      <c r="G101" s="42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2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01" s="42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2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2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2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2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2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101" s="42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1"/>
      <c r="Q101" s="41"/>
      <c r="R101" s="41"/>
    </row>
    <row r="102" spans="1:18" ht="21" customHeight="1" x14ac:dyDescent="0.15">
      <c r="A102" s="33" t="str">
        <f t="shared" si="3"/>
        <v>39014005_39014101</v>
      </c>
      <c r="B102" s="41">
        <v>39014005</v>
      </c>
      <c r="C102" s="182">
        <v>39014101</v>
      </c>
      <c r="D102" s="40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02" s="40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無念！</v>
      </c>
      <c r="F102" s="182">
        <v>39014101</v>
      </c>
      <c r="G102" s="42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2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02" s="42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2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2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2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2" s="42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2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102" s="42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1"/>
      <c r="Q102" s="41"/>
      <c r="R102" s="41"/>
    </row>
    <row r="103" spans="1:18" ht="21" customHeight="1" x14ac:dyDescent="0.15">
      <c r="A103" s="33" t="str">
        <f t="shared" si="3"/>
        <v>39014005_39014102</v>
      </c>
      <c r="B103" s="41">
        <v>39014005</v>
      </c>
      <c r="C103" s="182">
        <v>39014102</v>
      </c>
      <c r="D103" s="40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03" s="40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無念！</v>
      </c>
      <c r="F103" s="182">
        <v>39014102</v>
      </c>
      <c r="G103" s="42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2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03" s="42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2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2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2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42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2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103" s="42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1"/>
      <c r="Q103" s="41"/>
      <c r="R103" s="41"/>
    </row>
    <row r="104" spans="1:18" ht="21" customHeight="1" x14ac:dyDescent="0.15">
      <c r="A104" s="33" t="str">
        <f t="shared" si="3"/>
        <v>39014005_39014103</v>
      </c>
      <c r="B104" s="41">
        <v>39014005</v>
      </c>
      <c r="C104" s="182">
        <v>39014103</v>
      </c>
      <c r="D104" s="40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04" s="40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無念！</v>
      </c>
      <c r="F104" s="182">
        <v>39014103</v>
      </c>
      <c r="G104" s="42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2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04" s="42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2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2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2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4" s="42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2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104" s="42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1"/>
      <c r="Q104" s="41"/>
      <c r="R104" s="41"/>
    </row>
    <row r="105" spans="1:18" ht="21" customHeight="1" x14ac:dyDescent="0.15">
      <c r="A105" s="33" t="str">
        <f t="shared" si="3"/>
        <v>39014005_39014104</v>
      </c>
      <c r="B105" s="41">
        <v>39014005</v>
      </c>
      <c r="C105" s="182">
        <v>39014104</v>
      </c>
      <c r="D105" s="40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05" s="40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無念！</v>
      </c>
      <c r="F105" s="182">
        <v>39014104</v>
      </c>
      <c r="G105" s="42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2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105" s="42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2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2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2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5" s="42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2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105" s="42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1"/>
      <c r="Q105" s="41"/>
      <c r="R105" s="41"/>
    </row>
    <row r="106" spans="1:18" ht="21" customHeight="1" x14ac:dyDescent="0.15">
      <c r="A106" s="33" t="str">
        <f t="shared" si="3"/>
        <v>39014005_39014105</v>
      </c>
      <c r="B106" s="41">
        <v>39014005</v>
      </c>
      <c r="C106" s="182">
        <v>39014105</v>
      </c>
      <c r="D106" s="40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06" s="40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無念！</v>
      </c>
      <c r="F106" s="182">
        <v>39014105</v>
      </c>
      <c r="G106" s="42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2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106" s="42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2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2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2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6" s="42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2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1564</v>
      </c>
      <c r="O106" s="42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1"/>
      <c r="Q106" s="41"/>
      <c r="R106" s="41"/>
    </row>
    <row r="107" spans="1:18" ht="21" customHeight="1" x14ac:dyDescent="0.15">
      <c r="A107" s="33" t="str">
        <f t="shared" si="3"/>
        <v>39014005_39014106</v>
      </c>
      <c r="B107" s="41">
        <v>39014005</v>
      </c>
      <c r="C107" s="182">
        <v>39014106</v>
      </c>
      <c r="D107" s="40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07" s="40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無念！</v>
      </c>
      <c r="F107" s="182">
        <v>39014106</v>
      </c>
      <c r="G107" s="42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2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107" s="42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2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2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2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7" s="42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2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107" s="42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1"/>
      <c r="Q107" s="41"/>
      <c r="R107" s="41"/>
    </row>
    <row r="108" spans="1:18" ht="21" customHeight="1" x14ac:dyDescent="0.15">
      <c r="A108" s="33" t="str">
        <f t="shared" si="3"/>
        <v>39014005_39014107</v>
      </c>
      <c r="B108" s="41">
        <v>39014005</v>
      </c>
      <c r="C108" s="182">
        <v>39014107</v>
      </c>
      <c r="D108" s="40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08" s="40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無念！</v>
      </c>
      <c r="F108" s="182">
        <v>39014107</v>
      </c>
      <c r="G108" s="42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2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108" s="42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2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2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2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8" s="42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2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108" s="42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1"/>
      <c r="Q108" s="41"/>
      <c r="R108" s="41"/>
    </row>
    <row r="109" spans="1:18" ht="21" customHeight="1" x14ac:dyDescent="0.15">
      <c r="A109" s="33" t="str">
        <f t="shared" si="3"/>
        <v>39014005_39014108</v>
      </c>
      <c r="B109" s="41">
        <v>39014005</v>
      </c>
      <c r="C109" s="182">
        <v>39014108</v>
      </c>
      <c r="D109" s="40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09" s="40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無念！</v>
      </c>
      <c r="F109" s="182">
        <v>39014108</v>
      </c>
      <c r="G109" s="42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2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9" s="42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2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2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2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9" s="42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2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1569</v>
      </c>
      <c r="O109" s="42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1"/>
      <c r="Q109" s="41"/>
      <c r="R109" s="41"/>
    </row>
    <row r="110" spans="1:18" ht="21" customHeight="1" x14ac:dyDescent="0.15">
      <c r="A110" s="33" t="str">
        <f t="shared" si="3"/>
        <v>39014005_39014109</v>
      </c>
      <c r="B110" s="41">
        <v>39014005</v>
      </c>
      <c r="C110" s="182">
        <v>39014109</v>
      </c>
      <c r="D110" s="40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10" s="40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無念！</v>
      </c>
      <c r="F110" s="182">
        <v>39014109</v>
      </c>
      <c r="G110" s="42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2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10" s="42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2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2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2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0" s="42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2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110" s="42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1"/>
      <c r="Q110" s="41"/>
      <c r="R110" s="41"/>
    </row>
    <row r="111" spans="1:18" ht="21" customHeight="1" x14ac:dyDescent="0.15">
      <c r="A111" s="33" t="str">
        <f t="shared" si="3"/>
        <v>39014005_39014110</v>
      </c>
      <c r="B111" s="41">
        <v>39014005</v>
      </c>
      <c r="C111" s="182">
        <v>39014110</v>
      </c>
      <c r="D111" s="40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11" s="40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無念！</v>
      </c>
      <c r="F111" s="182">
        <v>39014110</v>
      </c>
      <c r="G111" s="42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2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111" s="42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2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2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2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1" s="42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2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111" s="42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1"/>
      <c r="Q111" s="41"/>
      <c r="R111" s="41"/>
    </row>
    <row r="112" spans="1:18" ht="21" customHeight="1" x14ac:dyDescent="0.15">
      <c r="A112" s="33" t="str">
        <f t="shared" si="3"/>
        <v>39014005_39014111</v>
      </c>
      <c r="B112" s="41">
        <v>39014005</v>
      </c>
      <c r="C112" s="182">
        <v>39014111</v>
      </c>
      <c r="D112" s="40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12" s="40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無念！</v>
      </c>
      <c r="F112" s="182">
        <v>39014111</v>
      </c>
      <c r="G112" s="42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2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112" s="42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2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2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2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2" s="42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2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112" s="42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1"/>
      <c r="Q112" s="41"/>
      <c r="R112" s="41"/>
    </row>
    <row r="113" spans="1:18" ht="21" customHeight="1" x14ac:dyDescent="0.15">
      <c r="A113" s="33" t="str">
        <f t="shared" si="3"/>
        <v>39014005_39014112</v>
      </c>
      <c r="B113" s="41">
        <v>39014005</v>
      </c>
      <c r="C113" s="182">
        <v>39014112</v>
      </c>
      <c r="D113" s="40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13" s="40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無念！</v>
      </c>
      <c r="F113" s="182">
        <v>39014112</v>
      </c>
      <c r="G113" s="42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2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113" s="42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2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2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2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3" s="42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2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113" s="42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1"/>
      <c r="Q113" s="41"/>
      <c r="R113" s="41"/>
    </row>
    <row r="114" spans="1:18" ht="21" customHeight="1" x14ac:dyDescent="0.15">
      <c r="A114" s="33" t="str">
        <f t="shared" si="3"/>
        <v>39014005_39014113</v>
      </c>
      <c r="B114" s="41">
        <v>39014005</v>
      </c>
      <c r="C114" s="182">
        <v>39014113</v>
      </c>
      <c r="D114" s="40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14" s="40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無念！</v>
      </c>
      <c r="F114" s="182">
        <v>39014113</v>
      </c>
      <c r="G114" s="42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2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114" s="42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2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2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2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4" s="42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2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114" s="42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1"/>
      <c r="Q114" s="41"/>
      <c r="R114" s="41"/>
    </row>
    <row r="115" spans="1:18" ht="21" customHeight="1" x14ac:dyDescent="0.15">
      <c r="A115" s="33" t="str">
        <f t="shared" si="3"/>
        <v>39014005_39014114</v>
      </c>
      <c r="B115" s="41">
        <v>39014005</v>
      </c>
      <c r="C115" s="182">
        <v>39014114</v>
      </c>
      <c r="D115" s="40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15" s="40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無念！</v>
      </c>
      <c r="F115" s="182">
        <v>39014114</v>
      </c>
      <c r="G115" s="42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2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116</v>
      </c>
      <c r="I115" s="42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2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2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2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5" s="42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2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115" s="42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1"/>
      <c r="Q115" s="41"/>
      <c r="R115" s="41"/>
    </row>
    <row r="116" spans="1:18" ht="21" customHeight="1" x14ac:dyDescent="0.15">
      <c r="A116" s="33" t="str">
        <f t="shared" si="3"/>
        <v>39014005_39014115</v>
      </c>
      <c r="B116" s="41">
        <v>39014005</v>
      </c>
      <c r="C116" s="182">
        <v>39014115</v>
      </c>
      <c r="D116" s="40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16" s="40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無念！</v>
      </c>
      <c r="F116" s="182">
        <v>39014115</v>
      </c>
      <c r="G116" s="42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2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117</v>
      </c>
      <c r="I116" s="42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2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2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2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6" s="42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2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1576</v>
      </c>
      <c r="O116" s="42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1"/>
      <c r="Q116" s="41"/>
      <c r="R116" s="41"/>
    </row>
    <row r="117" spans="1:18" ht="21" customHeight="1" x14ac:dyDescent="0.15">
      <c r="A117" s="33" t="str">
        <f t="shared" si="3"/>
        <v>39014005_39014116</v>
      </c>
      <c r="B117" s="41">
        <v>39014005</v>
      </c>
      <c r="C117" s="182">
        <v>39014116</v>
      </c>
      <c r="D117" s="40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17" s="40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無念！</v>
      </c>
      <c r="F117" s="182">
        <v>39014116</v>
      </c>
      <c r="G117" s="42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2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118</v>
      </c>
      <c r="I117" s="42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2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2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2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7" s="42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2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117" s="42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1"/>
      <c r="Q117" s="41"/>
      <c r="R117" s="41"/>
    </row>
    <row r="118" spans="1:18" ht="21" customHeight="1" x14ac:dyDescent="0.15">
      <c r="A118" s="33" t="str">
        <f t="shared" si="3"/>
        <v>39014005_39014117</v>
      </c>
      <c r="B118" s="41">
        <v>39014005</v>
      </c>
      <c r="C118" s="182">
        <v>39014117</v>
      </c>
      <c r="D118" s="40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18" s="40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無念！</v>
      </c>
      <c r="F118" s="182">
        <v>39014117</v>
      </c>
      <c r="G118" s="42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2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119</v>
      </c>
      <c r="I118" s="42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2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2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2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8" s="42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2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118" s="42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1"/>
      <c r="Q118" s="41"/>
      <c r="R118" s="41"/>
    </row>
    <row r="119" spans="1:18" ht="21" customHeight="1" x14ac:dyDescent="0.15">
      <c r="A119" s="33" t="str">
        <f t="shared" si="3"/>
        <v>39014005_39014118</v>
      </c>
      <c r="B119" s="41">
        <v>39014005</v>
      </c>
      <c r="C119" s="182">
        <v>39014118</v>
      </c>
      <c r="D119" s="40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19" s="40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無念！</v>
      </c>
      <c r="F119" s="182">
        <v>39014118</v>
      </c>
      <c r="G119" s="42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2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9" s="42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2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2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2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9" s="42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2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119" s="42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1"/>
      <c r="Q119" s="41"/>
      <c r="R119" s="41"/>
    </row>
    <row r="120" spans="1:18" ht="21" customHeight="1" x14ac:dyDescent="0.15">
      <c r="A120" s="33" t="str">
        <f t="shared" si="3"/>
        <v>39014005_39014119</v>
      </c>
      <c r="B120" s="41">
        <v>39014005</v>
      </c>
      <c r="C120" s="182">
        <v>39014119</v>
      </c>
      <c r="D120" s="40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20" s="40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無念！</v>
      </c>
      <c r="F120" s="182">
        <v>39014119</v>
      </c>
      <c r="G120" s="42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2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120" s="42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2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2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2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0" s="42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2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1582</v>
      </c>
      <c r="O120" s="42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1"/>
      <c r="Q120" s="41"/>
      <c r="R120" s="41"/>
    </row>
    <row r="121" spans="1:18" ht="21" customHeight="1" x14ac:dyDescent="0.15">
      <c r="A121" s="33" t="str">
        <f t="shared" ref="A121:A122" si="4">B121&amp;"_"&amp;C121</f>
        <v>39014005_39014120</v>
      </c>
      <c r="B121" s="41">
        <v>39014005</v>
      </c>
      <c r="C121" s="182">
        <v>39014120</v>
      </c>
      <c r="D121" s="40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21" s="40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無念！</v>
      </c>
      <c r="F121" s="182">
        <v>39014120</v>
      </c>
      <c r="G121" s="42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2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121" s="42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2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2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2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1" s="42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2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1583</v>
      </c>
      <c r="O121" s="42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1"/>
      <c r="Q121" s="41"/>
      <c r="R121" s="41"/>
    </row>
    <row r="122" spans="1:18" ht="21" customHeight="1" x14ac:dyDescent="0.15">
      <c r="A122" s="33" t="str">
        <f t="shared" si="4"/>
        <v>39014005_39014121</v>
      </c>
      <c r="B122" s="41">
        <v>39014005</v>
      </c>
      <c r="C122" s="182">
        <v>39014121</v>
      </c>
      <c r="D122" s="40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22" s="40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無念！</v>
      </c>
      <c r="F122" s="182">
        <v>39014121</v>
      </c>
      <c r="G122" s="42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2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123</v>
      </c>
      <c r="I122" s="42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2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2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2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2" s="42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2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122" s="42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1"/>
      <c r="Q122" s="41"/>
      <c r="R122" s="41"/>
    </row>
    <row r="123" spans="1:18" ht="21" customHeight="1" x14ac:dyDescent="0.15">
      <c r="A123" s="33" t="str">
        <f t="shared" ref="A123:A126" si="5">B123&amp;"_"&amp;C123</f>
        <v>39014005_39014122</v>
      </c>
      <c r="B123" s="41">
        <v>39014005</v>
      </c>
      <c r="C123" s="182">
        <v>39014122</v>
      </c>
      <c r="D123" s="40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23" s="40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無念！</v>
      </c>
      <c r="F123" s="182">
        <v>39014122</v>
      </c>
      <c r="G123" s="42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2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124</v>
      </c>
      <c r="I123" s="42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2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2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2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3" s="42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2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123" s="42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1"/>
      <c r="Q123" s="41"/>
      <c r="R123" s="41"/>
    </row>
    <row r="124" spans="1:18" ht="21" customHeight="1" x14ac:dyDescent="0.15">
      <c r="A124" s="33" t="str">
        <f t="shared" si="5"/>
        <v>39014005_39014123</v>
      </c>
      <c r="B124" s="41">
        <v>39014005</v>
      </c>
      <c r="C124" s="182">
        <v>39014123</v>
      </c>
      <c r="D124" s="40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24" s="40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無念！</v>
      </c>
      <c r="F124" s="182">
        <v>39014123</v>
      </c>
      <c r="G124" s="42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2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125</v>
      </c>
      <c r="I124" s="42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2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2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2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4" s="42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2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124" s="42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1"/>
      <c r="Q124" s="41"/>
      <c r="R124" s="41"/>
    </row>
    <row r="125" spans="1:18" ht="21" customHeight="1" x14ac:dyDescent="0.15">
      <c r="A125" s="33" t="str">
        <f t="shared" si="5"/>
        <v>39014005_39014124</v>
      </c>
      <c r="B125" s="41">
        <v>39014005</v>
      </c>
      <c r="C125" s="182">
        <v>39014124</v>
      </c>
      <c r="D125" s="40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25" s="40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無念！</v>
      </c>
      <c r="F125" s="182">
        <v>39014124</v>
      </c>
      <c r="G125" s="42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2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126</v>
      </c>
      <c r="I125" s="42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2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2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2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5" s="42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2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125" s="42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1"/>
      <c r="Q125" s="41"/>
      <c r="R125" s="41"/>
    </row>
    <row r="126" spans="1:18" ht="21" customHeight="1" x14ac:dyDescent="0.15">
      <c r="A126" s="33" t="str">
        <f t="shared" si="5"/>
        <v>39014005_39014125</v>
      </c>
      <c r="B126" s="41">
        <v>39014005</v>
      </c>
      <c r="C126" s="182">
        <v>39014125</v>
      </c>
      <c r="D126" s="40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私としたことが…</v>
      </c>
      <c r="E126" s="40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無念！</v>
      </c>
      <c r="F126" s="182">
        <v>39014125</v>
      </c>
      <c r="G126" s="42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2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127</v>
      </c>
      <c r="I126" s="42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2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2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2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6" s="42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2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126" s="42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1"/>
      <c r="Q126" s="41"/>
      <c r="R126" s="41"/>
    </row>
  </sheetData>
  <autoFilter ref="A1:R1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28"/>
  <sheetViews>
    <sheetView showGridLines="0" tabSelected="1" workbookViewId="0">
      <pane ySplit="1" topLeftCell="A60" activePane="bottomLeft" state="frozenSplit"/>
      <selection activeCell="D2" sqref="D2"/>
      <selection pane="bottomLeft" activeCell="B62" sqref="B62"/>
    </sheetView>
  </sheetViews>
  <sheetFormatPr baseColWidth="12" defaultColWidth="12.83203125" defaultRowHeight="21" customHeight="1" outlineLevelCol="1" x14ac:dyDescent="0.15"/>
  <cols>
    <col min="1" max="1" width="12.83203125" style="43"/>
    <col min="2" max="2" width="67.1640625" style="43" customWidth="1"/>
    <col min="3" max="4" width="12.83203125" style="43"/>
    <col min="5" max="5" width="23.6640625" style="43" bestFit="1" customWidth="1"/>
    <col min="6" max="6" width="44.1640625" style="43" bestFit="1" customWidth="1"/>
    <col min="7" max="7" width="52" style="43" customWidth="1" outlineLevel="1"/>
    <col min="8" max="8" width="18.33203125" style="43" customWidth="1" outlineLevel="1"/>
    <col min="9" max="11" width="18.6640625" style="43" customWidth="1" outlineLevel="1"/>
    <col min="12" max="12" width="23.6640625" style="43" customWidth="1"/>
    <col min="13" max="18" width="23.6640625" style="43" customWidth="1" outlineLevel="1"/>
    <col min="19" max="19" width="23.6640625" style="43" customWidth="1"/>
    <col min="20" max="24" width="23.6640625" style="43" customWidth="1" outlineLevel="1"/>
    <col min="25" max="25" width="23.6640625" style="43" customWidth="1"/>
    <col min="26" max="27" width="12.83203125" style="43"/>
    <col min="28" max="28" width="44.5" style="43" customWidth="1"/>
    <col min="29" max="16384" width="12.83203125" style="43"/>
  </cols>
  <sheetData>
    <row r="1" spans="1:28" ht="21" customHeight="1" x14ac:dyDescent="0.15">
      <c r="A1" s="34" t="s">
        <v>31</v>
      </c>
      <c r="B1" s="34" t="s">
        <v>398</v>
      </c>
      <c r="C1" s="34" t="s">
        <v>32</v>
      </c>
      <c r="D1" s="34" t="s">
        <v>399</v>
      </c>
      <c r="E1" s="34" t="s">
        <v>400</v>
      </c>
      <c r="F1" s="34" t="s">
        <v>401</v>
      </c>
      <c r="G1" s="35" t="s">
        <v>42</v>
      </c>
      <c r="H1" s="35" t="s">
        <v>48</v>
      </c>
      <c r="I1" s="35" t="s">
        <v>50</v>
      </c>
      <c r="J1" s="35" t="s">
        <v>49</v>
      </c>
      <c r="K1" s="35" t="s">
        <v>51</v>
      </c>
      <c r="L1" s="35" t="s">
        <v>43</v>
      </c>
      <c r="M1" s="35" t="s">
        <v>41</v>
      </c>
      <c r="N1" s="35" t="s">
        <v>44</v>
      </c>
      <c r="O1" s="35" t="s">
        <v>52</v>
      </c>
      <c r="P1" s="35" t="s">
        <v>53</v>
      </c>
      <c r="Q1" s="35" t="s">
        <v>54</v>
      </c>
      <c r="R1" s="35" t="s">
        <v>55</v>
      </c>
      <c r="S1" s="35" t="s">
        <v>45</v>
      </c>
      <c r="T1" s="35" t="s">
        <v>46</v>
      </c>
      <c r="U1" s="35" t="s">
        <v>56</v>
      </c>
      <c r="V1" s="35" t="s">
        <v>57</v>
      </c>
      <c r="W1" s="35" t="s">
        <v>58</v>
      </c>
      <c r="X1" s="35" t="s">
        <v>59</v>
      </c>
      <c r="Y1" s="35" t="s">
        <v>47</v>
      </c>
      <c r="Z1" s="35" t="s">
        <v>28</v>
      </c>
      <c r="AA1" s="35" t="s">
        <v>29</v>
      </c>
      <c r="AB1" s="35" t="s">
        <v>30</v>
      </c>
    </row>
    <row r="2" spans="1:28" ht="31" customHeight="1" x14ac:dyDescent="0.15">
      <c r="A2" s="179">
        <v>39014001</v>
      </c>
      <c r="B2" s="183" t="s">
        <v>487</v>
      </c>
      <c r="C2" s="44">
        <v>1</v>
      </c>
      <c r="D2" s="44" t="s">
        <v>430</v>
      </c>
      <c r="E2" s="45" t="s">
        <v>488</v>
      </c>
      <c r="F2" s="45" t="s">
        <v>489</v>
      </c>
      <c r="G2" s="54" t="str">
        <f t="shared" ref="G2:G86" si="0">IFERROR(LEFT(B2,FIND("],",B2)),B2)</f>
        <v>[effect:enemy_message, val1:1.5, val2:1.2]</v>
      </c>
      <c r="H2" s="54">
        <f t="shared" ref="H2:H86" si="1">FIND("effect:",G2)+7</f>
        <v>9</v>
      </c>
      <c r="I2" s="54">
        <f t="shared" ref="I2:I86" si="2">IFERROR(FIND(",",G2),LEN(G2))</f>
        <v>22</v>
      </c>
      <c r="J2" s="54" t="e">
        <f t="shared" ref="J2:J86" si="3">FIND("target:",G2)+7</f>
        <v>#VALUE!</v>
      </c>
      <c r="K2" s="54">
        <f t="shared" ref="K2:K86" si="4">FIND(",",G2,I2+1)</f>
        <v>32</v>
      </c>
      <c r="L2" s="54" t="str">
        <f>IFERROR(VLOOKUP(MID(G2,J2,K2-J2),[5]skilldef!$C:$D,2,FALSE),"-") &amp; " / " &amp; IFERROR(VLOOKUP(MID(G2,H2,I2-H2),[5]skilldef!$A:$B,2,FALSE),"-")</f>
        <v>- / -</v>
      </c>
      <c r="M2" s="54" t="str">
        <f t="shared" ref="M2:M86" si="5">IFERROR(RIGHT(B2,LEN(B2)-FIND("],",B2)-1),"none")</f>
        <v xml:space="preserve">[effect:tolerance, target:myself, turn:-1, count:-1, tolerance_effect:all, animation:enemy_tolerance]    </v>
      </c>
      <c r="N2" s="42" t="str">
        <f>IFERROR(LEFT(M2,FIND("],",M2)+S32),M2)</f>
        <v xml:space="preserve">[effect:tolerance, target:myself, turn:-1, count:-1, tolerance_effect:all, animation:enemy_tolerance]    </v>
      </c>
      <c r="O2" s="54">
        <f t="shared" ref="O2:O86" si="6">FIND("effect:",N2)+7</f>
        <v>9</v>
      </c>
      <c r="P2" s="54">
        <f t="shared" ref="P2:P86" si="7">IFERROR(FIND(",",N2),LEN(N2))</f>
        <v>18</v>
      </c>
      <c r="Q2" s="54">
        <f t="shared" ref="Q2:Q86" si="8">FIND("target:",N2)+7</f>
        <v>27</v>
      </c>
      <c r="R2" s="54">
        <f t="shared" ref="R2:R86" si="9">FIND(",",N2,P2+1)</f>
        <v>33</v>
      </c>
      <c r="S2" s="54" t="str">
        <f>IFERROR(VLOOKUP(MID(N2,Q2,R2-Q2),[5]skilldef!$C:$D,2,FALSE),"-") &amp; " / " &amp; IFERROR(VLOOKUP(MID(N2,O2,P2-O2),[5]skilldef!$A:$B,2,FALSE),"-")</f>
        <v>自分自身に / 状態異常耐性</v>
      </c>
      <c r="T2" s="42" t="str">
        <f t="shared" ref="T2:T86" si="10">IFERROR(RIGHT(M2,LEN(M2)-FIND("],",M2)-1),"none")</f>
        <v>none</v>
      </c>
      <c r="U2" s="54" t="e">
        <f t="shared" ref="U2:U86" si="11">FIND("effect:",T2)+7</f>
        <v>#VALUE!</v>
      </c>
      <c r="V2" s="54">
        <f t="shared" ref="V2:V86" si="12">IFERROR(FIND(",",T2),LEN(T2))</f>
        <v>4</v>
      </c>
      <c r="W2" s="54" t="e">
        <f t="shared" ref="W2:W86" si="13">FIND("target:",T2)+7</f>
        <v>#VALUE!</v>
      </c>
      <c r="X2" s="54" t="e">
        <f t="shared" ref="X2:X86" si="14">FIND(",",T2,V2+1)</f>
        <v>#VALUE!</v>
      </c>
      <c r="Y2" s="54" t="str">
        <f>IFERROR(VLOOKUP(MID(T2,W2,X2-W2),[5]skilldef!$C:$D,2,FALSE),"-") &amp; " / " &amp; IFERROR(VLOOKUP(MID(T2,U2,V2-U2),[5]skilldef!$A:$B,2,FALSE),"-")</f>
        <v>- / -</v>
      </c>
      <c r="Z2" s="44"/>
      <c r="AA2" s="46"/>
      <c r="AB2" s="44"/>
    </row>
    <row r="3" spans="1:28" ht="31" customHeight="1" x14ac:dyDescent="0.15">
      <c r="A3" s="179">
        <v>39014002</v>
      </c>
      <c r="B3" s="183" t="s">
        <v>581</v>
      </c>
      <c r="C3" s="44">
        <v>1</v>
      </c>
      <c r="D3" s="44" t="s">
        <v>430</v>
      </c>
      <c r="E3" s="45" t="s">
        <v>488</v>
      </c>
      <c r="F3" s="45" t="s">
        <v>580</v>
      </c>
      <c r="G3" s="54" t="str">
        <f t="shared" ref="G3" si="15">IFERROR(LEFT(B3,FIND("],",B3)),B3)</f>
        <v>[effect:enemy_message, val1:1.5, val2:4.6]</v>
      </c>
      <c r="H3" s="54">
        <f t="shared" ref="H3" si="16">FIND("effect:",G3)+7</f>
        <v>9</v>
      </c>
      <c r="I3" s="54">
        <f t="shared" ref="I3" si="17">IFERROR(FIND(",",G3),LEN(G3))</f>
        <v>22</v>
      </c>
      <c r="J3" s="54" t="e">
        <f t="shared" ref="J3" si="18">FIND("target:",G3)+7</f>
        <v>#VALUE!</v>
      </c>
      <c r="K3" s="54">
        <f t="shared" ref="K3" si="19">FIND(",",G3,I3+1)</f>
        <v>32</v>
      </c>
      <c r="L3" s="54" t="str">
        <f>IFERROR(VLOOKUP(MID(G3,J3,K3-J3),[5]skilldef!$C:$D,2,FALSE),"-") &amp; " / " &amp; IFERROR(VLOOKUP(MID(G3,H3,I3-H3),[5]skilldef!$A:$B,2,FALSE),"-")</f>
        <v>- / -</v>
      </c>
      <c r="M3" s="54" t="str">
        <f t="shared" ref="M3" si="20">IFERROR(RIGHT(B3,LEN(B3)-FIND("],",B3)-1),"none")</f>
        <v>[effect:tolerance, target:myself, turn:-1, count:-1, tolerance_effect:all, animation:enemy_tolerance],[effect:sp_boost, target:unit_all, val:2, animation:sp_boost_one03],[effect:enhance_unit, target:unit_all, turn:-1, status:attack, val:980, calc:add],[effect:enhance_unit, target:unit_all, turn:-1, status:heal, val:980, calc:add]</v>
      </c>
      <c r="N3" s="42" t="str">
        <f>IFERROR(LEFT(M3,FIND("],",M3)+S33),M3)</f>
        <v>[effect:tolerance, target:myself, turn:-1, count:-1, tolerance_effect:all, animation:enemy_tolerance],[effect:sp_boost, target:unit_all, val:2, animation:sp_boost_one03],[effect:enhance_unit, target:unit_all, turn:-1, status:attack, val:980, calc:add],[effect:enhance_unit, target:unit_all, turn:-1, status:heal, val:980, calc:add]</v>
      </c>
      <c r="O3" s="54">
        <f t="shared" ref="O3" si="21">FIND("effect:",N3)+7</f>
        <v>9</v>
      </c>
      <c r="P3" s="54">
        <f t="shared" ref="P3" si="22">IFERROR(FIND(",",N3),LEN(N3))</f>
        <v>18</v>
      </c>
      <c r="Q3" s="54">
        <f t="shared" ref="Q3" si="23">FIND("target:",N3)+7</f>
        <v>27</v>
      </c>
      <c r="R3" s="54">
        <f t="shared" ref="R3" si="24">FIND(",",N3,P3+1)</f>
        <v>33</v>
      </c>
      <c r="S3" s="54" t="str">
        <f>IFERROR(VLOOKUP(MID(N3,Q3,R3-Q3),[5]skilldef!$C:$D,2,FALSE),"-") &amp; " / " &amp; IFERROR(VLOOKUP(MID(N3,O3,P3-O3),[5]skilldef!$A:$B,2,FALSE),"-")</f>
        <v>自分自身に / 状態異常耐性</v>
      </c>
      <c r="T3" s="42" t="str">
        <f t="shared" ref="T3" si="25">IFERROR(RIGHT(M3,LEN(M3)-FIND("],",M3)-1),"none")</f>
        <v>[effect:sp_boost, target:unit_all, val:2, animation:sp_boost_one03],[effect:enhance_unit, target:unit_all, turn:-1, status:attack, val:980, calc:add],[effect:enhance_unit, target:unit_all, turn:-1, status:heal, val:980, calc:add]</v>
      </c>
      <c r="U3" s="54">
        <f t="shared" ref="U3" si="26">FIND("effect:",T3)+7</f>
        <v>9</v>
      </c>
      <c r="V3" s="54">
        <f t="shared" ref="V3" si="27">IFERROR(FIND(",",T3),LEN(T3))</f>
        <v>17</v>
      </c>
      <c r="W3" s="54">
        <f t="shared" ref="W3" si="28">FIND("target:",T3)+7</f>
        <v>26</v>
      </c>
      <c r="X3" s="54">
        <f t="shared" ref="X3" si="29">FIND(",",T3,V3+1)</f>
        <v>34</v>
      </c>
      <c r="Y3" s="54" t="str">
        <f>IFERROR(VLOOKUP(MID(T3,W3,X3-W3),[5]skilldef!$C:$D,2,FALSE),"-") &amp; " / " &amp; IFERROR(VLOOKUP(MID(T3,U3,V3-U3),[5]skilldef!$A:$B,2,FALSE),"-")</f>
        <v>味方全体に / -</v>
      </c>
      <c r="Z3" s="44"/>
      <c r="AA3" s="46"/>
      <c r="AB3" s="44"/>
    </row>
    <row r="4" spans="1:28" ht="31" customHeight="1" x14ac:dyDescent="0.15">
      <c r="A4" s="179">
        <v>39014003</v>
      </c>
      <c r="B4" s="183" t="s">
        <v>581</v>
      </c>
      <c r="C4" s="44">
        <v>1</v>
      </c>
      <c r="D4" s="44" t="s">
        <v>430</v>
      </c>
      <c r="E4" s="45" t="s">
        <v>488</v>
      </c>
      <c r="F4" s="45" t="s">
        <v>580</v>
      </c>
      <c r="G4" s="54" t="str">
        <f t="shared" ref="G4:G5" si="30">IFERROR(LEFT(B4,FIND("],",B4)),B4)</f>
        <v>[effect:enemy_message, val1:1.5, val2:4.6]</v>
      </c>
      <c r="H4" s="54">
        <f t="shared" ref="H4:H5" si="31">FIND("effect:",G4)+7</f>
        <v>9</v>
      </c>
      <c r="I4" s="54">
        <f t="shared" ref="I4:I5" si="32">IFERROR(FIND(",",G4),LEN(G4))</f>
        <v>22</v>
      </c>
      <c r="J4" s="54" t="e">
        <f t="shared" ref="J4:J5" si="33">FIND("target:",G4)+7</f>
        <v>#VALUE!</v>
      </c>
      <c r="K4" s="54">
        <f t="shared" ref="K4:K5" si="34">FIND(",",G4,I4+1)</f>
        <v>32</v>
      </c>
      <c r="L4" s="54" t="str">
        <f>IFERROR(VLOOKUP(MID(G4,J4,K4-J4),[5]skilldef!$C:$D,2,FALSE),"-") &amp; " / " &amp; IFERROR(VLOOKUP(MID(G4,H4,I4-H4),[5]skilldef!$A:$B,2,FALSE),"-")</f>
        <v>- / -</v>
      </c>
      <c r="M4" s="54" t="str">
        <f t="shared" ref="M4:M5" si="35">IFERROR(RIGHT(B4,LEN(B4)-FIND("],",B4)-1),"none")</f>
        <v>[effect:tolerance, target:myself, turn:-1, count:-1, tolerance_effect:all, animation:enemy_tolerance],[effect:sp_boost, target:unit_all, val:2, animation:sp_boost_one03],[effect:enhance_unit, target:unit_all, turn:-1, status:attack, val:980, calc:add],[effect:enhance_unit, target:unit_all, turn:-1, status:heal, val:980, calc:add]</v>
      </c>
      <c r="N4" s="42" t="str">
        <f>IFERROR(LEFT(M4,FIND("],",M4)+S34),M4)</f>
        <v>[effect:tolerance, target:myself, turn:-1, count:-1, tolerance_effect:all, animation:enemy_tolerance],[effect:sp_boost, target:unit_all, val:2, animation:sp_boost_one03],[effect:enhance_unit, target:unit_all, turn:-1, status:attack, val:980, calc:add],[effect:enhance_unit, target:unit_all, turn:-1, status:heal, val:980, calc:add]</v>
      </c>
      <c r="O4" s="54">
        <f t="shared" ref="O4:O5" si="36">FIND("effect:",N4)+7</f>
        <v>9</v>
      </c>
      <c r="P4" s="54">
        <f t="shared" ref="P4:P5" si="37">IFERROR(FIND(",",N4),LEN(N4))</f>
        <v>18</v>
      </c>
      <c r="Q4" s="54">
        <f t="shared" ref="Q4:Q5" si="38">FIND("target:",N4)+7</f>
        <v>27</v>
      </c>
      <c r="R4" s="54">
        <f t="shared" ref="R4:R5" si="39">FIND(",",N4,P4+1)</f>
        <v>33</v>
      </c>
      <c r="S4" s="54" t="str">
        <f>IFERROR(VLOOKUP(MID(N4,Q4,R4-Q4),[5]skilldef!$C:$D,2,FALSE),"-") &amp; " / " &amp; IFERROR(VLOOKUP(MID(N4,O4,P4-O4),[5]skilldef!$A:$B,2,FALSE),"-")</f>
        <v>自分自身に / 状態異常耐性</v>
      </c>
      <c r="T4" s="42" t="str">
        <f t="shared" ref="T4:T5" si="40">IFERROR(RIGHT(M4,LEN(M4)-FIND("],",M4)-1),"none")</f>
        <v>[effect:sp_boost, target:unit_all, val:2, animation:sp_boost_one03],[effect:enhance_unit, target:unit_all, turn:-1, status:attack, val:980, calc:add],[effect:enhance_unit, target:unit_all, turn:-1, status:heal, val:980, calc:add]</v>
      </c>
      <c r="U4" s="54">
        <f t="shared" ref="U4:U5" si="41">FIND("effect:",T4)+7</f>
        <v>9</v>
      </c>
      <c r="V4" s="54">
        <f t="shared" ref="V4:V5" si="42">IFERROR(FIND(",",T4),LEN(T4))</f>
        <v>17</v>
      </c>
      <c r="W4" s="54">
        <f t="shared" ref="W4:W5" si="43">FIND("target:",T4)+7</f>
        <v>26</v>
      </c>
      <c r="X4" s="54">
        <f t="shared" ref="X4:X5" si="44">FIND(",",T4,V4+1)</f>
        <v>34</v>
      </c>
      <c r="Y4" s="54" t="str">
        <f>IFERROR(VLOOKUP(MID(T4,W4,X4-W4),[5]skilldef!$C:$D,2,FALSE),"-") &amp; " / " &amp; IFERROR(VLOOKUP(MID(T4,U4,V4-U4),[5]skilldef!$A:$B,2,FALSE),"-")</f>
        <v>味方全体に / -</v>
      </c>
      <c r="Z4" s="44"/>
      <c r="AA4" s="46"/>
      <c r="AB4" s="44"/>
    </row>
    <row r="5" spans="1:28" ht="21" customHeight="1" x14ac:dyDescent="0.15">
      <c r="A5" s="179">
        <v>39014004</v>
      </c>
      <c r="B5" s="183" t="s">
        <v>490</v>
      </c>
      <c r="C5" s="44">
        <v>1</v>
      </c>
      <c r="D5" s="44" t="s">
        <v>484</v>
      </c>
      <c r="E5" s="45" t="s">
        <v>491</v>
      </c>
      <c r="F5" s="45" t="s">
        <v>492</v>
      </c>
      <c r="G5" s="54" t="str">
        <f t="shared" si="30"/>
        <v>[effect:enemy_message, val1:1.2, val2:1.8]</v>
      </c>
      <c r="H5" s="54">
        <f t="shared" si="31"/>
        <v>9</v>
      </c>
      <c r="I5" s="54">
        <f t="shared" si="32"/>
        <v>22</v>
      </c>
      <c r="J5" s="54" t="e">
        <f t="shared" si="33"/>
        <v>#VALUE!</v>
      </c>
      <c r="K5" s="54">
        <f t="shared" si="34"/>
        <v>32</v>
      </c>
      <c r="L5" s="54" t="str">
        <f>IFERROR(VLOOKUP(MID(G5,J5,K5-J5),[5]skilldef!$C:$D,2,FALSE),"-") &amp; " / " &amp; IFERROR(VLOOKUP(MID(G5,H5,I5-H5),[5]skilldef!$A:$B,2,FALSE),"-")</f>
        <v>- / -</v>
      </c>
      <c r="M5" s="54" t="str">
        <f t="shared" si="35"/>
        <v>[effect:change_range_block,block_change:1, base_type:0, square_count:6, position01:8, value_h01:4, value_w01:2, position02:13, value_h02:2, value_w02:4,new_block:block_red, target:normal, count:0, val:0, animation:change_range_block],[effect:rush, count:1, val:0.5]</v>
      </c>
      <c r="N5" s="42" t="str">
        <f>IFERROR(LEFT(M5,FIND("],",M5)+S38),M5)</f>
        <v>[effect:change_range_block,block_change:1, base_type:0, square_count:6, position01:8, value_h01:4, value_w01:2, position02:13, value_h02:2, value_w02:4,new_block:block_red, target:normal, count:0, val:0, animation:change_range_block],[effect:rush, count:1, val:0.5]</v>
      </c>
      <c r="O5" s="54">
        <f t="shared" si="36"/>
        <v>9</v>
      </c>
      <c r="P5" s="54">
        <f t="shared" si="37"/>
        <v>27</v>
      </c>
      <c r="Q5" s="54">
        <f t="shared" si="38"/>
        <v>181</v>
      </c>
      <c r="R5" s="54">
        <f t="shared" si="39"/>
        <v>42</v>
      </c>
      <c r="S5" s="54" t="str">
        <f>IFERROR(VLOOKUP(MID(N5,Q5,R5-Q5),[5]skilldef!$C:$D,2,FALSE),"-") &amp; " / " &amp; IFERROR(VLOOKUP(MID(N5,O5,P5-O5),[5]skilldef!$A:$B,2,FALSE),"-")</f>
        <v>- / -</v>
      </c>
      <c r="T5" s="42" t="str">
        <f t="shared" si="40"/>
        <v>[effect:rush, count:1, val:0.5]</v>
      </c>
      <c r="U5" s="54">
        <f t="shared" si="41"/>
        <v>9</v>
      </c>
      <c r="V5" s="54">
        <f t="shared" si="42"/>
        <v>13</v>
      </c>
      <c r="W5" s="54" t="e">
        <f t="shared" si="43"/>
        <v>#VALUE!</v>
      </c>
      <c r="X5" s="54">
        <f t="shared" si="44"/>
        <v>22</v>
      </c>
      <c r="Y5" s="54" t="str">
        <f>IFERROR(VLOOKUP(MID(T5,W5,X5-W5),[5]skilldef!$C:$D,2,FALSE),"-") &amp; " / " &amp; IFERROR(VLOOKUP(MID(T5,U5,V5-U5),[5]skilldef!$A:$B,2,FALSE),"-")</f>
        <v>- / 連続攻撃</v>
      </c>
      <c r="Z5" s="44"/>
      <c r="AA5" s="46"/>
      <c r="AB5" s="44"/>
    </row>
    <row r="6" spans="1:28" ht="21" customHeight="1" x14ac:dyDescent="0.15">
      <c r="A6" s="179">
        <v>39014005</v>
      </c>
      <c r="B6" s="183" t="s">
        <v>665</v>
      </c>
      <c r="C6" s="44">
        <v>1</v>
      </c>
      <c r="D6" s="44" t="s">
        <v>430</v>
      </c>
      <c r="E6" s="45" t="s">
        <v>493</v>
      </c>
      <c r="F6" s="45" t="s">
        <v>494</v>
      </c>
      <c r="G6" s="54" t="str">
        <f t="shared" si="0"/>
        <v>[effect:enemy_message, val1:1.2, val2:1.2]</v>
      </c>
      <c r="H6" s="54">
        <f t="shared" si="1"/>
        <v>9</v>
      </c>
      <c r="I6" s="54">
        <f t="shared" si="2"/>
        <v>22</v>
      </c>
      <c r="J6" s="54" t="e">
        <f t="shared" si="3"/>
        <v>#VALUE!</v>
      </c>
      <c r="K6" s="54">
        <f t="shared" si="4"/>
        <v>32</v>
      </c>
      <c r="L6" s="54" t="str">
        <f>IFERROR(VLOOKUP(MID(G6,J6,K6-J6),[5]skilldef!$C:$D,2,FALSE),"-") &amp; " / " &amp; IFERROR(VLOOKUP(MID(G6,H6,I6-H6),[5]skilldef!$A:$B,2,FALSE),"-")</f>
        <v>- / -</v>
      </c>
      <c r="M6" s="54" t="str">
        <f t="shared" si="5"/>
        <v xml:space="preserve">[effect:critical, val:1.1, animation:enemy_critical]    </v>
      </c>
      <c r="N6" s="42" t="str">
        <f>IFERROR(LEFT(M6,FIND("],",M6)+S72),M6)</f>
        <v xml:space="preserve">[effect:critical, val:1.1, animation:enemy_critical]    </v>
      </c>
      <c r="O6" s="54">
        <f t="shared" si="6"/>
        <v>9</v>
      </c>
      <c r="P6" s="54">
        <f t="shared" si="7"/>
        <v>17</v>
      </c>
      <c r="Q6" s="54" t="e">
        <f t="shared" si="8"/>
        <v>#VALUE!</v>
      </c>
      <c r="R6" s="54">
        <f t="shared" si="9"/>
        <v>26</v>
      </c>
      <c r="S6" s="54" t="str">
        <f>IFERROR(VLOOKUP(MID(N6,Q6,R6-Q6),[5]skilldef!$C:$D,2,FALSE),"-") &amp; " / " &amp; IFERROR(VLOOKUP(MID(N6,O6,P6-O6),[5]skilldef!$A:$B,2,FALSE),"-")</f>
        <v>- / 大攻撃</v>
      </c>
      <c r="T6" s="42" t="str">
        <f t="shared" si="10"/>
        <v>none</v>
      </c>
      <c r="U6" s="54" t="e">
        <f t="shared" si="11"/>
        <v>#VALUE!</v>
      </c>
      <c r="V6" s="54">
        <f t="shared" si="12"/>
        <v>4</v>
      </c>
      <c r="W6" s="54" t="e">
        <f t="shared" si="13"/>
        <v>#VALUE!</v>
      </c>
      <c r="X6" s="54" t="e">
        <f t="shared" si="14"/>
        <v>#VALUE!</v>
      </c>
      <c r="Y6" s="54" t="str">
        <f>IFERROR(VLOOKUP(MID(T6,W6,X6-W6),[5]skilldef!$C:$D,2,FALSE),"-") &amp; " / " &amp; IFERROR(VLOOKUP(MID(T6,U6,V6-U6),[5]skilldef!$A:$B,2,FALSE),"-")</f>
        <v>- / -</v>
      </c>
      <c r="Z6" s="44"/>
      <c r="AA6" s="46"/>
      <c r="AB6" s="44"/>
    </row>
    <row r="7" spans="1:28" ht="32" customHeight="1" x14ac:dyDescent="0.15">
      <c r="A7" s="180">
        <v>39014006</v>
      </c>
      <c r="B7" s="183" t="s">
        <v>487</v>
      </c>
      <c r="C7" s="44">
        <v>1</v>
      </c>
      <c r="D7" s="44" t="s">
        <v>430</v>
      </c>
      <c r="E7" s="45" t="s">
        <v>495</v>
      </c>
      <c r="F7" s="45" t="s">
        <v>496</v>
      </c>
      <c r="G7" s="54" t="str">
        <f t="shared" si="0"/>
        <v>[effect:enemy_message, val1:1.5, val2:1.2]</v>
      </c>
      <c r="H7" s="54">
        <f t="shared" si="1"/>
        <v>9</v>
      </c>
      <c r="I7" s="54">
        <f t="shared" si="2"/>
        <v>22</v>
      </c>
      <c r="J7" s="54" t="e">
        <f t="shared" si="3"/>
        <v>#VALUE!</v>
      </c>
      <c r="K7" s="54">
        <f t="shared" si="4"/>
        <v>32</v>
      </c>
      <c r="L7" s="54" t="str">
        <f>IFERROR(VLOOKUP(MID(G7,J7,K7-J7),[5]skilldef!$C:$D,2,FALSE),"-") &amp; " / " &amp; IFERROR(VLOOKUP(MID(G7,H7,I7-H7),[5]skilldef!$A:$B,2,FALSE),"-")</f>
        <v>- / -</v>
      </c>
      <c r="M7" s="54" t="str">
        <f t="shared" si="5"/>
        <v xml:space="preserve">[effect:tolerance, target:myself, turn:-1, count:-1, tolerance_effect:all, animation:enemy_tolerance]    </v>
      </c>
      <c r="N7" s="42" t="str">
        <f>IFERROR(LEFT(M7,FIND("],",M7)+S73),M7)</f>
        <v xml:space="preserve">[effect:tolerance, target:myself, turn:-1, count:-1, tolerance_effect:all, animation:enemy_tolerance]    </v>
      </c>
      <c r="O7" s="54">
        <f t="shared" si="6"/>
        <v>9</v>
      </c>
      <c r="P7" s="54">
        <f t="shared" si="7"/>
        <v>18</v>
      </c>
      <c r="Q7" s="54">
        <f t="shared" si="8"/>
        <v>27</v>
      </c>
      <c r="R7" s="54">
        <f t="shared" si="9"/>
        <v>33</v>
      </c>
      <c r="S7" s="54" t="str">
        <f>IFERROR(VLOOKUP(MID(N7,Q7,R7-Q7),[5]skilldef!$C:$D,2,FALSE),"-") &amp; " / " &amp; IFERROR(VLOOKUP(MID(N7,O7,P7-O7),[5]skilldef!$A:$B,2,FALSE),"-")</f>
        <v>自分自身に / 状態異常耐性</v>
      </c>
      <c r="T7" s="42" t="str">
        <f t="shared" si="10"/>
        <v>none</v>
      </c>
      <c r="U7" s="54" t="e">
        <f t="shared" si="11"/>
        <v>#VALUE!</v>
      </c>
      <c r="V7" s="54">
        <f t="shared" si="12"/>
        <v>4</v>
      </c>
      <c r="W7" s="54" t="e">
        <f t="shared" si="13"/>
        <v>#VALUE!</v>
      </c>
      <c r="X7" s="54" t="e">
        <f t="shared" si="14"/>
        <v>#VALUE!</v>
      </c>
      <c r="Y7" s="54" t="str">
        <f>IFERROR(VLOOKUP(MID(T7,W7,X7-W7),[5]skilldef!$C:$D,2,FALSE),"-") &amp; " / " &amp; IFERROR(VLOOKUP(MID(T7,U7,V7-U7),[5]skilldef!$A:$B,2,FALSE),"-")</f>
        <v>- / -</v>
      </c>
      <c r="Z7" s="44"/>
      <c r="AA7" s="46"/>
      <c r="AB7" s="44"/>
    </row>
    <row r="8" spans="1:28" ht="32" customHeight="1" x14ac:dyDescent="0.15">
      <c r="A8" s="180">
        <v>39014007</v>
      </c>
      <c r="B8" s="183" t="s">
        <v>581</v>
      </c>
      <c r="C8" s="44">
        <v>1</v>
      </c>
      <c r="D8" s="44" t="s">
        <v>430</v>
      </c>
      <c r="E8" s="45" t="s">
        <v>550</v>
      </c>
      <c r="F8" s="45" t="s">
        <v>580</v>
      </c>
      <c r="G8" s="54" t="str">
        <f t="shared" ref="G8" si="45">IFERROR(LEFT(B8,FIND("],",B8)),B8)</f>
        <v>[effect:enemy_message, val1:1.5, val2:4.6]</v>
      </c>
      <c r="H8" s="54">
        <f t="shared" ref="H8" si="46">FIND("effect:",G8)+7</f>
        <v>9</v>
      </c>
      <c r="I8" s="54">
        <f t="shared" ref="I8" si="47">IFERROR(FIND(",",G8),LEN(G8))</f>
        <v>22</v>
      </c>
      <c r="J8" s="54" t="e">
        <f t="shared" ref="J8" si="48">FIND("target:",G8)+7</f>
        <v>#VALUE!</v>
      </c>
      <c r="K8" s="54">
        <f t="shared" ref="K8" si="49">FIND(",",G8,I8+1)</f>
        <v>32</v>
      </c>
      <c r="L8" s="54" t="str">
        <f>IFERROR(VLOOKUP(MID(G8,J8,K8-J8),[5]skilldef!$C:$D,2,FALSE),"-") &amp; " / " &amp; IFERROR(VLOOKUP(MID(G8,H8,I8-H8),[5]skilldef!$A:$B,2,FALSE),"-")</f>
        <v>- / -</v>
      </c>
      <c r="M8" s="54" t="str">
        <f t="shared" ref="M8" si="50">IFERROR(RIGHT(B8,LEN(B8)-FIND("],",B8)-1),"none")</f>
        <v>[effect:tolerance, target:myself, turn:-1, count:-1, tolerance_effect:all, animation:enemy_tolerance],[effect:sp_boost, target:unit_all, val:2, animation:sp_boost_one03],[effect:enhance_unit, target:unit_all, turn:-1, status:attack, val:980, calc:add],[effect:enhance_unit, target:unit_all, turn:-1, status:heal, val:980, calc:add]</v>
      </c>
      <c r="N8" s="42" t="str">
        <f>IFERROR(LEFT(M8,FIND("],",M8)+S74),M8)</f>
        <v>[effect:tolerance, target:myself, turn:-1, count:-1, tolerance_effect:all, animation:enemy_tolerance],[effect:sp_boost, target:unit_all, val:2, animation:sp_boost_one03],[effect:enhance_unit, target:unit_all, turn:-1, status:attack, val:980, calc:add],[effect:enhance_unit, target:unit_all, turn:-1, status:heal, val:980, calc:add]</v>
      </c>
      <c r="O8" s="54">
        <f t="shared" ref="O8" si="51">FIND("effect:",N8)+7</f>
        <v>9</v>
      </c>
      <c r="P8" s="54">
        <f t="shared" ref="P8" si="52">IFERROR(FIND(",",N8),LEN(N8))</f>
        <v>18</v>
      </c>
      <c r="Q8" s="54">
        <f t="shared" ref="Q8" si="53">FIND("target:",N8)+7</f>
        <v>27</v>
      </c>
      <c r="R8" s="54">
        <f t="shared" ref="R8" si="54">FIND(",",N8,P8+1)</f>
        <v>33</v>
      </c>
      <c r="S8" s="54" t="str">
        <f>IFERROR(VLOOKUP(MID(N8,Q8,R8-Q8),[5]skilldef!$C:$D,2,FALSE),"-") &amp; " / " &amp; IFERROR(VLOOKUP(MID(N8,O8,P8-O8),[5]skilldef!$A:$B,2,FALSE),"-")</f>
        <v>自分自身に / 状態異常耐性</v>
      </c>
      <c r="T8" s="42" t="str">
        <f t="shared" ref="T8" si="55">IFERROR(RIGHT(M8,LEN(M8)-FIND("],",M8)-1),"none")</f>
        <v>[effect:sp_boost, target:unit_all, val:2, animation:sp_boost_one03],[effect:enhance_unit, target:unit_all, turn:-1, status:attack, val:980, calc:add],[effect:enhance_unit, target:unit_all, turn:-1, status:heal, val:980, calc:add]</v>
      </c>
      <c r="U8" s="54">
        <f t="shared" ref="U8" si="56">FIND("effect:",T8)+7</f>
        <v>9</v>
      </c>
      <c r="V8" s="54">
        <f t="shared" ref="V8" si="57">IFERROR(FIND(",",T8),LEN(T8))</f>
        <v>17</v>
      </c>
      <c r="W8" s="54">
        <f t="shared" ref="W8" si="58">FIND("target:",T8)+7</f>
        <v>26</v>
      </c>
      <c r="X8" s="54">
        <f t="shared" ref="X8" si="59">FIND(",",T8,V8+1)</f>
        <v>34</v>
      </c>
      <c r="Y8" s="54" t="str">
        <f>IFERROR(VLOOKUP(MID(T8,W8,X8-W8),[5]skilldef!$C:$D,2,FALSE),"-") &amp; " / " &amp; IFERROR(VLOOKUP(MID(T8,U8,V8-U8),[5]skilldef!$A:$B,2,FALSE),"-")</f>
        <v>味方全体に / -</v>
      </c>
      <c r="Z8" s="44"/>
      <c r="AA8" s="46"/>
      <c r="AB8" s="44"/>
    </row>
    <row r="9" spans="1:28" ht="32" customHeight="1" x14ac:dyDescent="0.15">
      <c r="A9" s="180">
        <v>39014008</v>
      </c>
      <c r="B9" s="183" t="s">
        <v>581</v>
      </c>
      <c r="C9" s="44">
        <v>1</v>
      </c>
      <c r="D9" s="44" t="s">
        <v>430</v>
      </c>
      <c r="E9" s="45" t="s">
        <v>495</v>
      </c>
      <c r="F9" s="45" t="s">
        <v>580</v>
      </c>
      <c r="G9" s="54" t="str">
        <f t="shared" ref="G9:G10" si="60">IFERROR(LEFT(B9,FIND("],",B9)),B9)</f>
        <v>[effect:enemy_message, val1:1.5, val2:4.6]</v>
      </c>
      <c r="H9" s="54">
        <f t="shared" ref="H9:H10" si="61">FIND("effect:",G9)+7</f>
        <v>9</v>
      </c>
      <c r="I9" s="54">
        <f t="shared" ref="I9:I10" si="62">IFERROR(FIND(",",G9),LEN(G9))</f>
        <v>22</v>
      </c>
      <c r="J9" s="54" t="e">
        <f t="shared" ref="J9:J10" si="63">FIND("target:",G9)+7</f>
        <v>#VALUE!</v>
      </c>
      <c r="K9" s="54">
        <f t="shared" ref="K9:K10" si="64">FIND(",",G9,I9+1)</f>
        <v>32</v>
      </c>
      <c r="L9" s="54" t="str">
        <f>IFERROR(VLOOKUP(MID(G9,J9,K9-J9),[5]skilldef!$C:$D,2,FALSE),"-") &amp; " / " &amp; IFERROR(VLOOKUP(MID(G9,H9,I9-H9),[5]skilldef!$A:$B,2,FALSE),"-")</f>
        <v>- / -</v>
      </c>
      <c r="M9" s="54" t="str">
        <f t="shared" ref="M9:M10" si="65">IFERROR(RIGHT(B9,LEN(B9)-FIND("],",B9)-1),"none")</f>
        <v>[effect:tolerance, target:myself, turn:-1, count:-1, tolerance_effect:all, animation:enemy_tolerance],[effect:sp_boost, target:unit_all, val:2, animation:sp_boost_one03],[effect:enhance_unit, target:unit_all, turn:-1, status:attack, val:980, calc:add],[effect:enhance_unit, target:unit_all, turn:-1, status:heal, val:980, calc:add]</v>
      </c>
      <c r="N9" s="42" t="str">
        <f>IFERROR(LEFT(M9,FIND("],",M9)+S75),M9)</f>
        <v>[effect:tolerance, target:myself, turn:-1, count:-1, tolerance_effect:all, animation:enemy_tolerance],[effect:sp_boost, target:unit_all, val:2, animation:sp_boost_one03],[effect:enhance_unit, target:unit_all, turn:-1, status:attack, val:980, calc:add],[effect:enhance_unit, target:unit_all, turn:-1, status:heal, val:980, calc:add]</v>
      </c>
      <c r="O9" s="54">
        <f t="shared" ref="O9:O10" si="66">FIND("effect:",N9)+7</f>
        <v>9</v>
      </c>
      <c r="P9" s="54">
        <f t="shared" ref="P9:P10" si="67">IFERROR(FIND(",",N9),LEN(N9))</f>
        <v>18</v>
      </c>
      <c r="Q9" s="54">
        <f t="shared" ref="Q9:Q10" si="68">FIND("target:",N9)+7</f>
        <v>27</v>
      </c>
      <c r="R9" s="54">
        <f t="shared" ref="R9:R10" si="69">FIND(",",N9,P9+1)</f>
        <v>33</v>
      </c>
      <c r="S9" s="54" t="str">
        <f>IFERROR(VLOOKUP(MID(N9,Q9,R9-Q9),[5]skilldef!$C:$D,2,FALSE),"-") &amp; " / " &amp; IFERROR(VLOOKUP(MID(N9,O9,P9-O9),[5]skilldef!$A:$B,2,FALSE),"-")</f>
        <v>自分自身に / 状態異常耐性</v>
      </c>
      <c r="T9" s="42" t="str">
        <f t="shared" ref="T9:T10" si="70">IFERROR(RIGHT(M9,LEN(M9)-FIND("],",M9)-1),"none")</f>
        <v>[effect:sp_boost, target:unit_all, val:2, animation:sp_boost_one03],[effect:enhance_unit, target:unit_all, turn:-1, status:attack, val:980, calc:add],[effect:enhance_unit, target:unit_all, turn:-1, status:heal, val:980, calc:add]</v>
      </c>
      <c r="U9" s="54">
        <f t="shared" ref="U9:U10" si="71">FIND("effect:",T9)+7</f>
        <v>9</v>
      </c>
      <c r="V9" s="54">
        <f t="shared" ref="V9:V10" si="72">IFERROR(FIND(",",T9),LEN(T9))</f>
        <v>17</v>
      </c>
      <c r="W9" s="54">
        <f t="shared" ref="W9:W10" si="73">FIND("target:",T9)+7</f>
        <v>26</v>
      </c>
      <c r="X9" s="54">
        <f t="shared" ref="X9:X10" si="74">FIND(",",T9,V9+1)</f>
        <v>34</v>
      </c>
      <c r="Y9" s="54" t="str">
        <f>IFERROR(VLOOKUP(MID(T9,W9,X9-W9),[5]skilldef!$C:$D,2,FALSE),"-") &amp; " / " &amp; IFERROR(VLOOKUP(MID(T9,U9,V9-U9),[5]skilldef!$A:$B,2,FALSE),"-")</f>
        <v>味方全体に / -</v>
      </c>
      <c r="Z9" s="44"/>
      <c r="AA9" s="46"/>
      <c r="AB9" s="44"/>
    </row>
    <row r="10" spans="1:28" ht="21" customHeight="1" x14ac:dyDescent="0.15">
      <c r="A10" s="180">
        <v>39014009</v>
      </c>
      <c r="B10" s="183" t="s">
        <v>497</v>
      </c>
      <c r="C10" s="44">
        <v>1</v>
      </c>
      <c r="D10" s="44" t="s">
        <v>484</v>
      </c>
      <c r="E10" s="45" t="s">
        <v>498</v>
      </c>
      <c r="F10" s="45" t="s">
        <v>499</v>
      </c>
      <c r="G10" s="54" t="str">
        <f t="shared" si="60"/>
        <v>[effect:enemy_message, val1:1.2, val2:1.8]</v>
      </c>
      <c r="H10" s="54">
        <f t="shared" si="61"/>
        <v>9</v>
      </c>
      <c r="I10" s="54">
        <f t="shared" si="62"/>
        <v>22</v>
      </c>
      <c r="J10" s="54" t="e">
        <f t="shared" si="63"/>
        <v>#VALUE!</v>
      </c>
      <c r="K10" s="54">
        <f t="shared" si="64"/>
        <v>32</v>
      </c>
      <c r="L10" s="54" t="str">
        <f>IFERROR(VLOOKUP(MID(G10,J10,K10-J10),[5]skilldef!$C:$D,2,FALSE),"-") &amp; " / " &amp; IFERROR(VLOOKUP(MID(G10,H10,I10-H10),[5]skilldef!$A:$B,2,FALSE),"-")</f>
        <v>- / -</v>
      </c>
      <c r="M10" s="54" t="str">
        <f t="shared" si="65"/>
        <v>[effect:change_range_block,block_change:1,base_type:0, square_count:7, position01:0, position02:3, position03:6, value_h01:7, value_h02:7, value_h03:7,  value_w01:1, value_w02:1, value_w03:1, new_block:block_yellow,  target:normal, count:0, val:0, animation:change_range_block],[effect:rush, count:1, val:0.4]</v>
      </c>
      <c r="N10" s="42" t="str">
        <f>IFERROR(LEFT(M10,FIND("],",M10)+S77),M10)</f>
        <v>[effect:change_range_block,block_change:1,base_type:0, square_count:7, position01:0, position02:3, position03:6, value_h01:7, value_h02:7, value_h03:7,  value_w01:1, value_w02:1, value_w03:1, new_block:block_yellow,  target:normal, count:0, val:0, animation:change_range_block],[effect:rush, count:1, val:0.4]</v>
      </c>
      <c r="O10" s="54">
        <f t="shared" si="66"/>
        <v>9</v>
      </c>
      <c r="P10" s="54">
        <f t="shared" si="67"/>
        <v>27</v>
      </c>
      <c r="Q10" s="54">
        <f t="shared" si="68"/>
        <v>225</v>
      </c>
      <c r="R10" s="54">
        <f t="shared" si="69"/>
        <v>42</v>
      </c>
      <c r="S10" s="54" t="str">
        <f>IFERROR(VLOOKUP(MID(N10,Q10,R10-Q10),[5]skilldef!$C:$D,2,FALSE),"-") &amp; " / " &amp; IFERROR(VLOOKUP(MID(N10,O10,P10-O10),[5]skilldef!$A:$B,2,FALSE),"-")</f>
        <v>- / -</v>
      </c>
      <c r="T10" s="42" t="str">
        <f t="shared" si="70"/>
        <v>[effect:rush, count:1, val:0.4]</v>
      </c>
      <c r="U10" s="54">
        <f t="shared" si="71"/>
        <v>9</v>
      </c>
      <c r="V10" s="54">
        <f t="shared" si="72"/>
        <v>13</v>
      </c>
      <c r="W10" s="54" t="e">
        <f t="shared" si="73"/>
        <v>#VALUE!</v>
      </c>
      <c r="X10" s="54">
        <f t="shared" si="74"/>
        <v>22</v>
      </c>
      <c r="Y10" s="54" t="str">
        <f>IFERROR(VLOOKUP(MID(T10,W10,X10-W10),[5]skilldef!$C:$D,2,FALSE),"-") &amp; " / " &amp; IFERROR(VLOOKUP(MID(T10,U10,V10-U10),[5]skilldef!$A:$B,2,FALSE),"-")</f>
        <v>- / 連続攻撃</v>
      </c>
      <c r="Z10" s="44"/>
      <c r="AA10" s="46"/>
      <c r="AB10" s="44"/>
    </row>
    <row r="11" spans="1:28" ht="21" customHeight="1" x14ac:dyDescent="0.15">
      <c r="A11" s="180">
        <v>39014010</v>
      </c>
      <c r="B11" s="183" t="s">
        <v>500</v>
      </c>
      <c r="C11" s="44">
        <v>1</v>
      </c>
      <c r="D11" s="44" t="s">
        <v>430</v>
      </c>
      <c r="E11" s="45" t="s">
        <v>501</v>
      </c>
      <c r="F11" s="45" t="s">
        <v>502</v>
      </c>
      <c r="G11" s="54" t="str">
        <f t="shared" si="0"/>
        <v>[effect:enemy_message, val1:1.2, val2:1.2]</v>
      </c>
      <c r="H11" s="54">
        <f t="shared" si="1"/>
        <v>9</v>
      </c>
      <c r="I11" s="54">
        <f t="shared" si="2"/>
        <v>22</v>
      </c>
      <c r="J11" s="54" t="e">
        <f t="shared" si="3"/>
        <v>#VALUE!</v>
      </c>
      <c r="K11" s="54">
        <f t="shared" si="4"/>
        <v>32</v>
      </c>
      <c r="L11" s="54" t="str">
        <f>IFERROR(VLOOKUP(MID(G11,J11,K11-J11),[5]skilldef!$C:$D,2,FALSE),"-") &amp; " / " &amp; IFERROR(VLOOKUP(MID(G11,H11,I11-H11),[5]skilldef!$A:$B,2,FALSE),"-")</f>
        <v>- / -</v>
      </c>
      <c r="M11" s="54" t="str">
        <f t="shared" si="5"/>
        <v xml:space="preserve">[effect:rush, count:4, val:0.1]    </v>
      </c>
      <c r="N11" s="42" t="str">
        <f>IFERROR(LEFT(M11,FIND("],",M11)+S78),M11)</f>
        <v xml:space="preserve">[effect:rush, count:4, val:0.1]    </v>
      </c>
      <c r="O11" s="54">
        <f t="shared" si="6"/>
        <v>9</v>
      </c>
      <c r="P11" s="54">
        <f t="shared" si="7"/>
        <v>13</v>
      </c>
      <c r="Q11" s="54" t="e">
        <f t="shared" si="8"/>
        <v>#VALUE!</v>
      </c>
      <c r="R11" s="54">
        <f t="shared" si="9"/>
        <v>22</v>
      </c>
      <c r="S11" s="54" t="str">
        <f>IFERROR(VLOOKUP(MID(N11,Q11,R11-Q11),[5]skilldef!$C:$D,2,FALSE),"-") &amp; " / " &amp; IFERROR(VLOOKUP(MID(N11,O11,P11-O11),[5]skilldef!$A:$B,2,FALSE),"-")</f>
        <v>- / 連続攻撃</v>
      </c>
      <c r="T11" s="42" t="str">
        <f t="shared" si="10"/>
        <v>none</v>
      </c>
      <c r="U11" s="54" t="e">
        <f t="shared" si="11"/>
        <v>#VALUE!</v>
      </c>
      <c r="V11" s="54">
        <f t="shared" si="12"/>
        <v>4</v>
      </c>
      <c r="W11" s="54" t="e">
        <f t="shared" si="13"/>
        <v>#VALUE!</v>
      </c>
      <c r="X11" s="54" t="e">
        <f t="shared" si="14"/>
        <v>#VALUE!</v>
      </c>
      <c r="Y11" s="54" t="str">
        <f>IFERROR(VLOOKUP(MID(T11,W11,X11-W11),[5]skilldef!$C:$D,2,FALSE),"-") &amp; " / " &amp; IFERROR(VLOOKUP(MID(T11,U11,V11-U11),[5]skilldef!$A:$B,2,FALSE),"-")</f>
        <v>- / -</v>
      </c>
      <c r="Z11" s="44"/>
      <c r="AA11" s="46"/>
      <c r="AB11" s="44"/>
    </row>
    <row r="12" spans="1:28" ht="21" customHeight="1" x14ac:dyDescent="0.15">
      <c r="A12" s="179">
        <v>39014011</v>
      </c>
      <c r="B12" s="183" t="s">
        <v>543</v>
      </c>
      <c r="C12" s="44">
        <v>1</v>
      </c>
      <c r="D12" s="44" t="s">
        <v>430</v>
      </c>
      <c r="E12" s="45" t="s">
        <v>504</v>
      </c>
      <c r="F12" s="45" t="s">
        <v>496</v>
      </c>
      <c r="G12" s="54" t="str">
        <f t="shared" si="0"/>
        <v>[effect:enemy_message, val1:1.2, val2:1.2]</v>
      </c>
      <c r="H12" s="54">
        <f t="shared" si="1"/>
        <v>9</v>
      </c>
      <c r="I12" s="54">
        <f t="shared" si="2"/>
        <v>22</v>
      </c>
      <c r="J12" s="54" t="e">
        <f t="shared" si="3"/>
        <v>#VALUE!</v>
      </c>
      <c r="K12" s="54">
        <f t="shared" si="4"/>
        <v>32</v>
      </c>
      <c r="L12" s="54" t="str">
        <f>IFERROR(VLOOKUP(MID(G12,J12,K12-J12),[5]skilldef!$C:$D,2,FALSE),"-") &amp; " / " &amp; IFERROR(VLOOKUP(MID(G12,H12,I12-H12),[5]skilldef!$A:$B,2,FALSE),"-")</f>
        <v>- / -</v>
      </c>
      <c r="M12" s="54" t="str">
        <f t="shared" si="5"/>
        <v>[effect:tolerance, target:myself, turn:-1, count:-1, tolerance_effect:all, animation:enemy_tolerance],[effect:play_bgm, turn:-1, bgm_path:BGM/BattleNormal9800]</v>
      </c>
      <c r="N12" s="42" t="str">
        <f t="shared" ref="N12:N22" si="75">IFERROR(LEFT(M12,FIND("],",M12)+S85),M12)</f>
        <v>[effect:tolerance, target:myself, turn:-1, count:-1, tolerance_effect:all, animation:enemy_tolerance],[effect:play_bgm, turn:-1, bgm_path:BGM/BattleNormal9800]</v>
      </c>
      <c r="O12" s="54">
        <f t="shared" si="6"/>
        <v>9</v>
      </c>
      <c r="P12" s="54">
        <f t="shared" si="7"/>
        <v>18</v>
      </c>
      <c r="Q12" s="54">
        <f t="shared" si="8"/>
        <v>27</v>
      </c>
      <c r="R12" s="54">
        <f t="shared" si="9"/>
        <v>33</v>
      </c>
      <c r="S12" s="54" t="str">
        <f>IFERROR(VLOOKUP(MID(N12,Q12,R12-Q12),[5]skilldef!$C:$D,2,FALSE),"-") &amp; " / " &amp; IFERROR(VLOOKUP(MID(N12,O12,P12-O12),[5]skilldef!$A:$B,2,FALSE),"-")</f>
        <v>自分自身に / 状態異常耐性</v>
      </c>
      <c r="T12" s="42" t="str">
        <f t="shared" si="10"/>
        <v>[effect:play_bgm, turn:-1, bgm_path:BGM/BattleNormal9800]</v>
      </c>
      <c r="U12" s="54">
        <f t="shared" si="11"/>
        <v>9</v>
      </c>
      <c r="V12" s="54">
        <f t="shared" si="12"/>
        <v>17</v>
      </c>
      <c r="W12" s="54" t="e">
        <f t="shared" si="13"/>
        <v>#VALUE!</v>
      </c>
      <c r="X12" s="54">
        <f t="shared" si="14"/>
        <v>26</v>
      </c>
      <c r="Y12" s="54" t="str">
        <f>IFERROR(VLOOKUP(MID(T12,W12,X12-W12),[5]skilldef!$C:$D,2,FALSE),"-") &amp; " / " &amp; IFERROR(VLOOKUP(MID(T12,U12,V12-U12),[5]skilldef!$A:$B,2,FALSE),"-")</f>
        <v>- / -</v>
      </c>
      <c r="Z12" s="44"/>
      <c r="AA12" s="46"/>
      <c r="AB12" s="44"/>
    </row>
    <row r="13" spans="1:28" ht="21" customHeight="1" x14ac:dyDescent="0.15">
      <c r="A13" s="179">
        <v>39014012</v>
      </c>
      <c r="B13" s="183" t="s">
        <v>551</v>
      </c>
      <c r="C13" s="44">
        <v>1</v>
      </c>
      <c r="D13" s="44" t="s">
        <v>430</v>
      </c>
      <c r="E13" s="45" t="s">
        <v>536</v>
      </c>
      <c r="F13" s="45" t="s">
        <v>506</v>
      </c>
      <c r="G13" s="54" t="str">
        <f t="shared" si="0"/>
        <v>[effect:enemy_message, val1:3.1, val2:1.2]</v>
      </c>
      <c r="H13" s="54">
        <f t="shared" si="1"/>
        <v>9</v>
      </c>
      <c r="I13" s="54">
        <f t="shared" si="2"/>
        <v>22</v>
      </c>
      <c r="J13" s="54" t="e">
        <f t="shared" si="3"/>
        <v>#VALUE!</v>
      </c>
      <c r="K13" s="54">
        <f t="shared" si="4"/>
        <v>32</v>
      </c>
      <c r="L13" s="54" t="str">
        <f>IFERROR(VLOOKUP(MID(G13,J13,K13-J13),[5]skilldef!$C:$D,2,FALSE),"-") &amp; " / " &amp; IFERROR(VLOOKUP(MID(G13,H13,I13-H13),[5]skilldef!$A:$B,2,FALSE),"-")</f>
        <v>- / -</v>
      </c>
      <c r="M13" s="54" t="str">
        <f t="shared" si="5"/>
        <v>[effect:tolerance, target:myself, turn:-1, count:-1, tolerance_effect:all, animation:enemy_tolerance],[effect:play_bgm, turn:-1, bgm_path:BGM/BattleNormal9800]</v>
      </c>
      <c r="N13" s="42" t="str">
        <f t="shared" si="75"/>
        <v>[effect:tolerance, target:myself, turn:-1, count:-1, tolerance_effect:all, animation:enemy_tolerance],[effect:play_bgm, turn:-1, bgm_path:BGM/BattleNormal9800]</v>
      </c>
      <c r="O13" s="54">
        <f t="shared" si="6"/>
        <v>9</v>
      </c>
      <c r="P13" s="54">
        <f t="shared" si="7"/>
        <v>18</v>
      </c>
      <c r="Q13" s="54">
        <f t="shared" si="8"/>
        <v>27</v>
      </c>
      <c r="R13" s="54">
        <f t="shared" si="9"/>
        <v>33</v>
      </c>
      <c r="S13" s="54" t="str">
        <f>IFERROR(VLOOKUP(MID(N13,Q13,R13-Q13),[5]skilldef!$C:$D,2,FALSE),"-") &amp; " / " &amp; IFERROR(VLOOKUP(MID(N13,O13,P13-O13),[5]skilldef!$A:$B,2,FALSE),"-")</f>
        <v>自分自身に / 状態異常耐性</v>
      </c>
      <c r="T13" s="42" t="str">
        <f t="shared" si="10"/>
        <v>[effect:play_bgm, turn:-1, bgm_path:BGM/BattleNormal9800]</v>
      </c>
      <c r="U13" s="54">
        <f t="shared" si="11"/>
        <v>9</v>
      </c>
      <c r="V13" s="54">
        <f t="shared" si="12"/>
        <v>17</v>
      </c>
      <c r="W13" s="54" t="e">
        <f t="shared" si="13"/>
        <v>#VALUE!</v>
      </c>
      <c r="X13" s="54">
        <f t="shared" si="14"/>
        <v>26</v>
      </c>
      <c r="Y13" s="54" t="str">
        <f>IFERROR(VLOOKUP(MID(T13,W13,X13-W13),[5]skilldef!$C:$D,2,FALSE),"-") &amp; " / " &amp; IFERROR(VLOOKUP(MID(T13,U13,V13-U13),[5]skilldef!$A:$B,2,FALSE),"-")</f>
        <v>- / -</v>
      </c>
      <c r="Z13" s="44"/>
      <c r="AA13" s="46"/>
      <c r="AB13" s="44"/>
    </row>
    <row r="14" spans="1:28" ht="21" customHeight="1" x14ac:dyDescent="0.15">
      <c r="A14" s="179">
        <v>39014013</v>
      </c>
      <c r="B14" s="183" t="s">
        <v>585</v>
      </c>
      <c r="C14" s="44">
        <v>1</v>
      </c>
      <c r="D14" s="44" t="s">
        <v>430</v>
      </c>
      <c r="E14" s="45" t="s">
        <v>536</v>
      </c>
      <c r="F14" s="45" t="s">
        <v>496</v>
      </c>
      <c r="G14" s="54" t="str">
        <f t="shared" si="0"/>
        <v>[effect:enemy_message, val1:3.1, val2:1.2]</v>
      </c>
      <c r="H14" s="54">
        <f t="shared" si="1"/>
        <v>9</v>
      </c>
      <c r="I14" s="54">
        <f t="shared" si="2"/>
        <v>22</v>
      </c>
      <c r="J14" s="54" t="e">
        <f t="shared" si="3"/>
        <v>#VALUE!</v>
      </c>
      <c r="K14" s="54">
        <f t="shared" si="4"/>
        <v>32</v>
      </c>
      <c r="L14" s="54" t="str">
        <f>IFERROR(VLOOKUP(MID(G14,J14,K14-J14),[5]skilldef!$C:$D,2,FALSE),"-") &amp; " / " &amp; IFERROR(VLOOKUP(MID(G14,H14,I14-H14),[5]skilldef!$A:$B,2,FALSE),"-")</f>
        <v>- / -</v>
      </c>
      <c r="M14" s="54" t="str">
        <f t="shared" si="5"/>
        <v>[effect:tolerance, target:myself, turn:-1, count:-1, tolerance_effect:all, animation:enemy_tolerance],[effect:play_bgm, turn:-1, bgm_path:BGM/BattleNormal9800]</v>
      </c>
      <c r="N14" s="42" t="str">
        <f t="shared" si="75"/>
        <v>[effect:tolerance, target:myself, turn:-1, count:-1, tolerance_effect:all, animation:enemy_tolerance],[effect:play_bgm, turn:-1, bgm_path:BGM/BattleNormal9800]</v>
      </c>
      <c r="O14" s="54">
        <f t="shared" si="6"/>
        <v>9</v>
      </c>
      <c r="P14" s="54">
        <f t="shared" si="7"/>
        <v>18</v>
      </c>
      <c r="Q14" s="54">
        <f t="shared" si="8"/>
        <v>27</v>
      </c>
      <c r="R14" s="54">
        <f t="shared" si="9"/>
        <v>33</v>
      </c>
      <c r="S14" s="54" t="str">
        <f>IFERROR(VLOOKUP(MID(N14,Q14,R14-Q14),[5]skilldef!$C:$D,2,FALSE),"-") &amp; " / " &amp; IFERROR(VLOOKUP(MID(N14,O14,P14-O14),[5]skilldef!$A:$B,2,FALSE),"-")</f>
        <v>自分自身に / 状態異常耐性</v>
      </c>
      <c r="T14" s="42" t="str">
        <f t="shared" si="10"/>
        <v>[effect:play_bgm, turn:-1, bgm_path:BGM/BattleNormal9800]</v>
      </c>
      <c r="U14" s="54">
        <f t="shared" si="11"/>
        <v>9</v>
      </c>
      <c r="V14" s="54">
        <f t="shared" si="12"/>
        <v>17</v>
      </c>
      <c r="W14" s="54" t="e">
        <f t="shared" si="13"/>
        <v>#VALUE!</v>
      </c>
      <c r="X14" s="54">
        <f t="shared" si="14"/>
        <v>26</v>
      </c>
      <c r="Y14" s="54" t="str">
        <f>IFERROR(VLOOKUP(MID(T14,W14,X14-W14),[5]skilldef!$C:$D,2,FALSE),"-") &amp; " / " &amp; IFERROR(VLOOKUP(MID(T14,U14,V14-U14),[5]skilldef!$A:$B,2,FALSE),"-")</f>
        <v>- / -</v>
      </c>
      <c r="Z14" s="44"/>
      <c r="AA14" s="46"/>
      <c r="AB14" s="44"/>
    </row>
    <row r="15" spans="1:28" ht="21" customHeight="1" x14ac:dyDescent="0.15">
      <c r="A15" s="179">
        <v>39014014</v>
      </c>
      <c r="B15" s="183" t="s">
        <v>554</v>
      </c>
      <c r="C15" s="44">
        <v>1</v>
      </c>
      <c r="D15" s="44" t="s">
        <v>430</v>
      </c>
      <c r="E15" s="45" t="s">
        <v>507</v>
      </c>
      <c r="F15" s="45" t="s">
        <v>496</v>
      </c>
      <c r="G15" s="54" t="str">
        <f t="shared" si="0"/>
        <v>[effect:enemy_message, val1:1.5, val2:1.2]</v>
      </c>
      <c r="H15" s="54">
        <f t="shared" si="1"/>
        <v>9</v>
      </c>
      <c r="I15" s="54">
        <f t="shared" si="2"/>
        <v>22</v>
      </c>
      <c r="J15" s="54" t="e">
        <f t="shared" si="3"/>
        <v>#VALUE!</v>
      </c>
      <c r="K15" s="54">
        <f t="shared" si="4"/>
        <v>32</v>
      </c>
      <c r="L15" s="54" t="str">
        <f>IFERROR(VLOOKUP(MID(G15,J15,K15-J15),[5]skilldef!$C:$D,2,FALSE),"-") &amp; " / " &amp; IFERROR(VLOOKUP(MID(G15,H15,I15-H15),[5]skilldef!$A:$B,2,FALSE),"-")</f>
        <v>- / -</v>
      </c>
      <c r="M15" s="54" t="str">
        <f t="shared" si="5"/>
        <v>[effect:tolerance, target:myself, turn:-1, count:-1, tolerance_effect:all, animation:enemy_tolerance],[effect:play_bgm, turn:-1, bgm_path:BGM/BattleNormal9800]</v>
      </c>
      <c r="N15" s="42" t="str">
        <f t="shared" si="75"/>
        <v>[effect:tolerance, target:myself, turn:-1, count:-1, tolerance_effect:all, animation:enemy_tolerance],[effect:play_bgm, turn:-1, bgm_path:BGM/BattleNormal9800]</v>
      </c>
      <c r="O15" s="54">
        <f t="shared" si="6"/>
        <v>9</v>
      </c>
      <c r="P15" s="54">
        <f t="shared" si="7"/>
        <v>18</v>
      </c>
      <c r="Q15" s="54">
        <f t="shared" si="8"/>
        <v>27</v>
      </c>
      <c r="R15" s="54">
        <f t="shared" si="9"/>
        <v>33</v>
      </c>
      <c r="S15" s="54" t="str">
        <f>IFERROR(VLOOKUP(MID(N15,Q15,R15-Q15),[5]skilldef!$C:$D,2,FALSE),"-") &amp; " / " &amp; IFERROR(VLOOKUP(MID(N15,O15,P15-O15),[5]skilldef!$A:$B,2,FALSE),"-")</f>
        <v>自分自身に / 状態異常耐性</v>
      </c>
      <c r="T15" s="42" t="str">
        <f t="shared" si="10"/>
        <v>[effect:play_bgm, turn:-1, bgm_path:BGM/BattleNormal9800]</v>
      </c>
      <c r="U15" s="54">
        <f t="shared" si="11"/>
        <v>9</v>
      </c>
      <c r="V15" s="54">
        <f t="shared" si="12"/>
        <v>17</v>
      </c>
      <c r="W15" s="54" t="e">
        <f t="shared" si="13"/>
        <v>#VALUE!</v>
      </c>
      <c r="X15" s="54">
        <f t="shared" si="14"/>
        <v>26</v>
      </c>
      <c r="Y15" s="54" t="str">
        <f>IFERROR(VLOOKUP(MID(T15,W15,X15-W15),[5]skilldef!$C:$D,2,FALSE),"-") &amp; " / " &amp; IFERROR(VLOOKUP(MID(T15,U15,V15-U15),[5]skilldef!$A:$B,2,FALSE),"-")</f>
        <v>- / -</v>
      </c>
      <c r="Z15" s="44"/>
      <c r="AA15" s="46"/>
      <c r="AB15" s="44"/>
    </row>
    <row r="16" spans="1:28" ht="21" customHeight="1" x14ac:dyDescent="0.15">
      <c r="A16" s="179">
        <v>39014015</v>
      </c>
      <c r="B16" s="183" t="s">
        <v>554</v>
      </c>
      <c r="C16" s="44">
        <v>1</v>
      </c>
      <c r="D16" s="44" t="s">
        <v>430</v>
      </c>
      <c r="E16" s="45" t="s">
        <v>507</v>
      </c>
      <c r="F16" s="45" t="s">
        <v>496</v>
      </c>
      <c r="G16" s="54" t="str">
        <f t="shared" si="0"/>
        <v>[effect:enemy_message, val1:1.5, val2:1.2]</v>
      </c>
      <c r="H16" s="54">
        <f t="shared" si="1"/>
        <v>9</v>
      </c>
      <c r="I16" s="54">
        <f t="shared" si="2"/>
        <v>22</v>
      </c>
      <c r="J16" s="54" t="e">
        <f t="shared" si="3"/>
        <v>#VALUE!</v>
      </c>
      <c r="K16" s="54">
        <f t="shared" si="4"/>
        <v>32</v>
      </c>
      <c r="L16" s="54" t="str">
        <f>IFERROR(VLOOKUP(MID(G16,J16,K16-J16),[5]skilldef!$C:$D,2,FALSE),"-") &amp; " / " &amp; IFERROR(VLOOKUP(MID(G16,H16,I16-H16),[5]skilldef!$A:$B,2,FALSE),"-")</f>
        <v>- / -</v>
      </c>
      <c r="M16" s="54" t="str">
        <f t="shared" si="5"/>
        <v>[effect:tolerance, target:myself, turn:-1, count:-1, tolerance_effect:all, animation:enemy_tolerance],[effect:play_bgm, turn:-1, bgm_path:BGM/BattleNormal9800]</v>
      </c>
      <c r="N16" s="42" t="str">
        <f t="shared" si="75"/>
        <v>[effect:tolerance, target:myself, turn:-1, count:-1, tolerance_effect:all, animation:enemy_tolerance],[effect:play_bgm, turn:-1, bgm_path:BGM/BattleNormal9800]</v>
      </c>
      <c r="O16" s="54">
        <f t="shared" si="6"/>
        <v>9</v>
      </c>
      <c r="P16" s="54">
        <f t="shared" si="7"/>
        <v>18</v>
      </c>
      <c r="Q16" s="54">
        <f t="shared" si="8"/>
        <v>27</v>
      </c>
      <c r="R16" s="54">
        <f t="shared" si="9"/>
        <v>33</v>
      </c>
      <c r="S16" s="54" t="str">
        <f>IFERROR(VLOOKUP(MID(N16,Q16,R16-Q16),[5]skilldef!$C:$D,2,FALSE),"-") &amp; " / " &amp; IFERROR(VLOOKUP(MID(N16,O16,P16-O16),[5]skilldef!$A:$B,2,FALSE),"-")</f>
        <v>自分自身に / 状態異常耐性</v>
      </c>
      <c r="T16" s="42" t="str">
        <f t="shared" si="10"/>
        <v>[effect:play_bgm, turn:-1, bgm_path:BGM/BattleNormal9800]</v>
      </c>
      <c r="U16" s="54">
        <f t="shared" si="11"/>
        <v>9</v>
      </c>
      <c r="V16" s="54">
        <f t="shared" si="12"/>
        <v>17</v>
      </c>
      <c r="W16" s="54" t="e">
        <f t="shared" si="13"/>
        <v>#VALUE!</v>
      </c>
      <c r="X16" s="54">
        <f t="shared" si="14"/>
        <v>26</v>
      </c>
      <c r="Y16" s="54" t="str">
        <f>IFERROR(VLOOKUP(MID(T16,W16,X16-W16),[5]skilldef!$C:$D,2,FALSE),"-") &amp; " / " &amp; IFERROR(VLOOKUP(MID(T16,U16,V16-U16),[5]skilldef!$A:$B,2,FALSE),"-")</f>
        <v>- / -</v>
      </c>
      <c r="Z16" s="44"/>
      <c r="AA16" s="46"/>
      <c r="AB16" s="44"/>
    </row>
    <row r="17" spans="1:28" ht="21" customHeight="1" x14ac:dyDescent="0.15">
      <c r="A17" s="179">
        <v>39014016</v>
      </c>
      <c r="B17" s="183" t="s">
        <v>552</v>
      </c>
      <c r="C17" s="44">
        <v>1</v>
      </c>
      <c r="D17" s="44" t="s">
        <v>430</v>
      </c>
      <c r="E17" s="45" t="s">
        <v>508</v>
      </c>
      <c r="F17" s="45" t="s">
        <v>496</v>
      </c>
      <c r="G17" s="54" t="str">
        <f t="shared" si="0"/>
        <v>[effect:enemy_message, val1:1.9, val2:1.2]</v>
      </c>
      <c r="H17" s="54">
        <f t="shared" si="1"/>
        <v>9</v>
      </c>
      <c r="I17" s="54">
        <f t="shared" si="2"/>
        <v>22</v>
      </c>
      <c r="J17" s="54" t="e">
        <f t="shared" si="3"/>
        <v>#VALUE!</v>
      </c>
      <c r="K17" s="54">
        <f t="shared" si="4"/>
        <v>32</v>
      </c>
      <c r="L17" s="54" t="str">
        <f>IFERROR(VLOOKUP(MID(G17,J17,K17-J17),[5]skilldef!$C:$D,2,FALSE),"-") &amp; " / " &amp; IFERROR(VLOOKUP(MID(G17,H17,I17-H17),[5]skilldef!$A:$B,2,FALSE),"-")</f>
        <v>- / -</v>
      </c>
      <c r="M17" s="54" t="str">
        <f t="shared" si="5"/>
        <v>[effect:tolerance, target:myself, turn:-1, count:-1, tolerance_effect:all, animation:enemy_tolerance],[effect:play_bgm, turn:-1, bgm_path:BGM/BattleNormal9800]</v>
      </c>
      <c r="N17" s="42" t="str">
        <f t="shared" si="75"/>
        <v>[effect:tolerance, target:myself, turn:-1, count:-1, tolerance_effect:all, animation:enemy_tolerance],[effect:play_bgm, turn:-1, bgm_path:BGM/BattleNormal9800]</v>
      </c>
      <c r="O17" s="54">
        <f t="shared" si="6"/>
        <v>9</v>
      </c>
      <c r="P17" s="54">
        <f t="shared" si="7"/>
        <v>18</v>
      </c>
      <c r="Q17" s="54">
        <f t="shared" si="8"/>
        <v>27</v>
      </c>
      <c r="R17" s="54">
        <f t="shared" si="9"/>
        <v>33</v>
      </c>
      <c r="S17" s="54" t="str">
        <f>IFERROR(VLOOKUP(MID(N17,Q17,R17-Q17),[5]skilldef!$C:$D,2,FALSE),"-") &amp; " / " &amp; IFERROR(VLOOKUP(MID(N17,O17,P17-O17),[5]skilldef!$A:$B,2,FALSE),"-")</f>
        <v>自分自身に / 状態異常耐性</v>
      </c>
      <c r="T17" s="42" t="str">
        <f t="shared" si="10"/>
        <v>[effect:play_bgm, turn:-1, bgm_path:BGM/BattleNormal9800]</v>
      </c>
      <c r="U17" s="54">
        <f t="shared" si="11"/>
        <v>9</v>
      </c>
      <c r="V17" s="54">
        <f t="shared" si="12"/>
        <v>17</v>
      </c>
      <c r="W17" s="54" t="e">
        <f t="shared" si="13"/>
        <v>#VALUE!</v>
      </c>
      <c r="X17" s="54">
        <f t="shared" si="14"/>
        <v>26</v>
      </c>
      <c r="Y17" s="54" t="str">
        <f>IFERROR(VLOOKUP(MID(T17,W17,X17-W17),[5]skilldef!$C:$D,2,FALSE),"-") &amp; " / " &amp; IFERROR(VLOOKUP(MID(T17,U17,V17-U17),[5]skilldef!$A:$B,2,FALSE),"-")</f>
        <v>- / -</v>
      </c>
      <c r="Z17" s="44"/>
      <c r="AA17" s="46"/>
      <c r="AB17" s="44"/>
    </row>
    <row r="18" spans="1:28" ht="21" customHeight="1" x14ac:dyDescent="0.15">
      <c r="A18" s="179">
        <v>39014017</v>
      </c>
      <c r="B18" s="183" t="s">
        <v>586</v>
      </c>
      <c r="C18" s="44">
        <v>1</v>
      </c>
      <c r="D18" s="44" t="s">
        <v>430</v>
      </c>
      <c r="E18" s="45" t="s">
        <v>508</v>
      </c>
      <c r="F18" s="45" t="s">
        <v>496</v>
      </c>
      <c r="G18" s="54" t="str">
        <f t="shared" si="0"/>
        <v>[effect:enemy_message, val1:1.9, val2:1.2]</v>
      </c>
      <c r="H18" s="54">
        <f t="shared" si="1"/>
        <v>9</v>
      </c>
      <c r="I18" s="54">
        <f t="shared" si="2"/>
        <v>22</v>
      </c>
      <c r="J18" s="54" t="e">
        <f t="shared" si="3"/>
        <v>#VALUE!</v>
      </c>
      <c r="K18" s="54">
        <f t="shared" si="4"/>
        <v>32</v>
      </c>
      <c r="L18" s="54" t="str">
        <f>IFERROR(VLOOKUP(MID(G18,J18,K18-J18),[5]skilldef!$C:$D,2,FALSE),"-") &amp; " / " &amp; IFERROR(VLOOKUP(MID(G18,H18,I18-H18),[5]skilldef!$A:$B,2,FALSE),"-")</f>
        <v>- / -</v>
      </c>
      <c r="M18" s="54" t="str">
        <f t="shared" si="5"/>
        <v>[effect:tolerance, target:myself, turn:-1, count:-1, tolerance_effect:all, animation:enemy_tolerance],[effect:play_bgm, turn:-1, bgm_path:BGM/BattleNormal9800]</v>
      </c>
      <c r="N18" s="42" t="str">
        <f t="shared" si="75"/>
        <v>[effect:tolerance, target:myself, turn:-1, count:-1, tolerance_effect:all, animation:enemy_tolerance],[effect:play_bgm, turn:-1, bgm_path:BGM/BattleNormal9800]</v>
      </c>
      <c r="O18" s="54">
        <f t="shared" si="6"/>
        <v>9</v>
      </c>
      <c r="P18" s="54">
        <f t="shared" si="7"/>
        <v>18</v>
      </c>
      <c r="Q18" s="54">
        <f t="shared" si="8"/>
        <v>27</v>
      </c>
      <c r="R18" s="54">
        <f t="shared" si="9"/>
        <v>33</v>
      </c>
      <c r="S18" s="54" t="str">
        <f>IFERROR(VLOOKUP(MID(N18,Q18,R18-Q18),[5]skilldef!$C:$D,2,FALSE),"-") &amp; " / " &amp; IFERROR(VLOOKUP(MID(N18,O18,P18-O18),[5]skilldef!$A:$B,2,FALSE),"-")</f>
        <v>自分自身に / 状態異常耐性</v>
      </c>
      <c r="T18" s="42" t="str">
        <f t="shared" si="10"/>
        <v>[effect:play_bgm, turn:-1, bgm_path:BGM/BattleNormal9800]</v>
      </c>
      <c r="U18" s="54">
        <f t="shared" si="11"/>
        <v>9</v>
      </c>
      <c r="V18" s="54">
        <f t="shared" si="12"/>
        <v>17</v>
      </c>
      <c r="W18" s="54" t="e">
        <f t="shared" si="13"/>
        <v>#VALUE!</v>
      </c>
      <c r="X18" s="54">
        <f t="shared" si="14"/>
        <v>26</v>
      </c>
      <c r="Y18" s="54" t="str">
        <f>IFERROR(VLOOKUP(MID(T18,W18,X18-W18),[5]skilldef!$C:$D,2,FALSE),"-") &amp; " / " &amp; IFERROR(VLOOKUP(MID(T18,U18,V18-U18),[5]skilldef!$A:$B,2,FALSE),"-")</f>
        <v>- / -</v>
      </c>
      <c r="Z18" s="44"/>
      <c r="AA18" s="46"/>
      <c r="AB18" s="44"/>
    </row>
    <row r="19" spans="1:28" ht="33" customHeight="1" x14ac:dyDescent="0.15">
      <c r="A19" s="179">
        <v>39014018</v>
      </c>
      <c r="B19" s="183" t="s">
        <v>553</v>
      </c>
      <c r="C19" s="44">
        <v>1</v>
      </c>
      <c r="D19" s="44" t="s">
        <v>430</v>
      </c>
      <c r="E19" s="45" t="s">
        <v>509</v>
      </c>
      <c r="F19" s="45" t="s">
        <v>496</v>
      </c>
      <c r="G19" s="54" t="str">
        <f t="shared" si="0"/>
        <v>[effect:enemy_message, val1:2.4, val2:1.2]</v>
      </c>
      <c r="H19" s="54">
        <f t="shared" si="1"/>
        <v>9</v>
      </c>
      <c r="I19" s="54">
        <f t="shared" si="2"/>
        <v>22</v>
      </c>
      <c r="J19" s="54" t="e">
        <f t="shared" si="3"/>
        <v>#VALUE!</v>
      </c>
      <c r="K19" s="54">
        <f t="shared" si="4"/>
        <v>32</v>
      </c>
      <c r="L19" s="54" t="str">
        <f>IFERROR(VLOOKUP(MID(G19,J19,K19-J19),[5]skilldef!$C:$D,2,FALSE),"-") &amp; " / " &amp; IFERROR(VLOOKUP(MID(G19,H19,I19-H19),[5]skilldef!$A:$B,2,FALSE),"-")</f>
        <v>- / -</v>
      </c>
      <c r="M19" s="54" t="str">
        <f t="shared" si="5"/>
        <v>[effect:tolerance, target:myself, turn:-1, count:-1, tolerance_effect:all, animation:enemy_tolerance],[effect:play_bgm, turn:-1, bgm_path:BGM/BattleNormal9800]</v>
      </c>
      <c r="N19" s="42" t="str">
        <f t="shared" si="75"/>
        <v>[effect:tolerance, target:myself, turn:-1, count:-1, tolerance_effect:all, animation:enemy_tolerance],[effect:play_bgm, turn:-1, bgm_path:BGM/BattleNormal9800]</v>
      </c>
      <c r="O19" s="54">
        <f t="shared" si="6"/>
        <v>9</v>
      </c>
      <c r="P19" s="54">
        <f t="shared" si="7"/>
        <v>18</v>
      </c>
      <c r="Q19" s="54">
        <f t="shared" si="8"/>
        <v>27</v>
      </c>
      <c r="R19" s="54">
        <f t="shared" si="9"/>
        <v>33</v>
      </c>
      <c r="S19" s="54" t="str">
        <f>IFERROR(VLOOKUP(MID(N19,Q19,R19-Q19),[5]skilldef!$C:$D,2,FALSE),"-") &amp; " / " &amp; IFERROR(VLOOKUP(MID(N19,O19,P19-O19),[5]skilldef!$A:$B,2,FALSE),"-")</f>
        <v>自分自身に / 状態異常耐性</v>
      </c>
      <c r="T19" s="42" t="str">
        <f t="shared" si="10"/>
        <v>[effect:play_bgm, turn:-1, bgm_path:BGM/BattleNormal9800]</v>
      </c>
      <c r="U19" s="54">
        <f t="shared" si="11"/>
        <v>9</v>
      </c>
      <c r="V19" s="54">
        <f t="shared" si="12"/>
        <v>17</v>
      </c>
      <c r="W19" s="54" t="e">
        <f t="shared" si="13"/>
        <v>#VALUE!</v>
      </c>
      <c r="X19" s="54">
        <f t="shared" si="14"/>
        <v>26</v>
      </c>
      <c r="Y19" s="54" t="str">
        <f>IFERROR(VLOOKUP(MID(T19,W19,X19-W19),[5]skilldef!$C:$D,2,FALSE),"-") &amp; " / " &amp; IFERROR(VLOOKUP(MID(T19,U19,V19-U19),[5]skilldef!$A:$B,2,FALSE),"-")</f>
        <v>- / -</v>
      </c>
      <c r="Z19" s="44"/>
      <c r="AA19" s="46"/>
      <c r="AB19" s="44"/>
    </row>
    <row r="20" spans="1:28" ht="30" customHeight="1" x14ac:dyDescent="0.15">
      <c r="A20" s="179">
        <v>39014019</v>
      </c>
      <c r="B20" s="183" t="s">
        <v>553</v>
      </c>
      <c r="C20" s="44">
        <v>1</v>
      </c>
      <c r="D20" s="44" t="s">
        <v>430</v>
      </c>
      <c r="E20" s="45" t="s">
        <v>509</v>
      </c>
      <c r="F20" s="45" t="s">
        <v>496</v>
      </c>
      <c r="G20" s="54" t="str">
        <f t="shared" si="0"/>
        <v>[effect:enemy_message, val1:2.4, val2:1.2]</v>
      </c>
      <c r="H20" s="54">
        <f t="shared" si="1"/>
        <v>9</v>
      </c>
      <c r="I20" s="54">
        <f t="shared" si="2"/>
        <v>22</v>
      </c>
      <c r="J20" s="54" t="e">
        <f t="shared" si="3"/>
        <v>#VALUE!</v>
      </c>
      <c r="K20" s="54">
        <f t="shared" si="4"/>
        <v>32</v>
      </c>
      <c r="L20" s="54" t="str">
        <f>IFERROR(VLOOKUP(MID(G20,J20,K20-J20),[5]skilldef!$C:$D,2,FALSE),"-") &amp; " / " &amp; IFERROR(VLOOKUP(MID(G20,H20,I20-H20),[5]skilldef!$A:$B,2,FALSE),"-")</f>
        <v>- / -</v>
      </c>
      <c r="M20" s="54" t="str">
        <f t="shared" si="5"/>
        <v>[effect:tolerance, target:myself, turn:-1, count:-1, tolerance_effect:all, animation:enemy_tolerance],[effect:play_bgm, turn:-1, bgm_path:BGM/BattleNormal9800]</v>
      </c>
      <c r="N20" s="42" t="str">
        <f t="shared" si="75"/>
        <v>[effect:tolerance, target:myself, turn:-1, count:-1, tolerance_effect:all, animation:enemy_tolerance],[effect:play_bgm, turn:-1, bgm_path:BGM/BattleNormal9800]</v>
      </c>
      <c r="O20" s="54">
        <f t="shared" si="6"/>
        <v>9</v>
      </c>
      <c r="P20" s="54">
        <f t="shared" si="7"/>
        <v>18</v>
      </c>
      <c r="Q20" s="54">
        <f t="shared" si="8"/>
        <v>27</v>
      </c>
      <c r="R20" s="54">
        <f t="shared" si="9"/>
        <v>33</v>
      </c>
      <c r="S20" s="54" t="str">
        <f>IFERROR(VLOOKUP(MID(N20,Q20,R20-Q20),[5]skilldef!$C:$D,2,FALSE),"-") &amp; " / " &amp; IFERROR(VLOOKUP(MID(N20,O20,P20-O20),[5]skilldef!$A:$B,2,FALSE),"-")</f>
        <v>自分自身に / 状態異常耐性</v>
      </c>
      <c r="T20" s="42" t="str">
        <f t="shared" si="10"/>
        <v>[effect:play_bgm, turn:-1, bgm_path:BGM/BattleNormal9800]</v>
      </c>
      <c r="U20" s="54">
        <f t="shared" si="11"/>
        <v>9</v>
      </c>
      <c r="V20" s="54">
        <f t="shared" si="12"/>
        <v>17</v>
      </c>
      <c r="W20" s="54" t="e">
        <f t="shared" si="13"/>
        <v>#VALUE!</v>
      </c>
      <c r="X20" s="54">
        <f t="shared" si="14"/>
        <v>26</v>
      </c>
      <c r="Y20" s="54" t="str">
        <f>IFERROR(VLOOKUP(MID(T20,W20,X20-W20),[5]skilldef!$C:$D,2,FALSE),"-") &amp; " / " &amp; IFERROR(VLOOKUP(MID(T20,U20,V20-U20),[5]skilldef!$A:$B,2,FALSE),"-")</f>
        <v>- / -</v>
      </c>
      <c r="Z20" s="44"/>
      <c r="AA20" s="46"/>
      <c r="AB20" s="44"/>
    </row>
    <row r="21" spans="1:28" ht="21" customHeight="1" x14ac:dyDescent="0.15">
      <c r="A21" s="179">
        <v>39014020</v>
      </c>
      <c r="B21" s="183" t="s">
        <v>543</v>
      </c>
      <c r="C21" s="44">
        <v>1</v>
      </c>
      <c r="D21" s="44" t="s">
        <v>430</v>
      </c>
      <c r="E21" s="45" t="s">
        <v>510</v>
      </c>
      <c r="F21" s="45" t="s">
        <v>496</v>
      </c>
      <c r="G21" s="54" t="str">
        <f t="shared" si="0"/>
        <v>[effect:enemy_message, val1:1.2, val2:1.2]</v>
      </c>
      <c r="H21" s="54">
        <f t="shared" si="1"/>
        <v>9</v>
      </c>
      <c r="I21" s="54">
        <f t="shared" si="2"/>
        <v>22</v>
      </c>
      <c r="J21" s="54" t="e">
        <f t="shared" si="3"/>
        <v>#VALUE!</v>
      </c>
      <c r="K21" s="54">
        <f t="shared" si="4"/>
        <v>32</v>
      </c>
      <c r="L21" s="54" t="str">
        <f>IFERROR(VLOOKUP(MID(G21,J21,K21-J21),[5]skilldef!$C:$D,2,FALSE),"-") &amp; " / " &amp; IFERROR(VLOOKUP(MID(G21,H21,I21-H21),[5]skilldef!$A:$B,2,FALSE),"-")</f>
        <v>- / -</v>
      </c>
      <c r="M21" s="54" t="str">
        <f t="shared" si="5"/>
        <v>[effect:tolerance, target:myself, turn:-1, count:-1, tolerance_effect:all, animation:enemy_tolerance],[effect:play_bgm, turn:-1, bgm_path:BGM/BattleNormal9800]</v>
      </c>
      <c r="N21" s="42" t="str">
        <f t="shared" si="75"/>
        <v>[effect:tolerance, target:myself, turn:-1, count:-1, tolerance_effect:all, animation:enemy_tolerance],[effect:play_bgm, turn:-1, bgm_path:BGM/BattleNormal9800]</v>
      </c>
      <c r="O21" s="54">
        <f t="shared" si="6"/>
        <v>9</v>
      </c>
      <c r="P21" s="54">
        <f t="shared" si="7"/>
        <v>18</v>
      </c>
      <c r="Q21" s="54">
        <f t="shared" si="8"/>
        <v>27</v>
      </c>
      <c r="R21" s="54">
        <f t="shared" si="9"/>
        <v>33</v>
      </c>
      <c r="S21" s="54" t="str">
        <f>IFERROR(VLOOKUP(MID(N21,Q21,R21-Q21),[5]skilldef!$C:$D,2,FALSE),"-") &amp; " / " &amp; IFERROR(VLOOKUP(MID(N21,O21,P21-O21),[5]skilldef!$A:$B,2,FALSE),"-")</f>
        <v>自分自身に / 状態異常耐性</v>
      </c>
      <c r="T21" s="42" t="str">
        <f t="shared" si="10"/>
        <v>[effect:play_bgm, turn:-1, bgm_path:BGM/BattleNormal9800]</v>
      </c>
      <c r="U21" s="54">
        <f t="shared" si="11"/>
        <v>9</v>
      </c>
      <c r="V21" s="54">
        <f t="shared" si="12"/>
        <v>17</v>
      </c>
      <c r="W21" s="54" t="e">
        <f t="shared" si="13"/>
        <v>#VALUE!</v>
      </c>
      <c r="X21" s="54">
        <f t="shared" si="14"/>
        <v>26</v>
      </c>
      <c r="Y21" s="54" t="str">
        <f>IFERROR(VLOOKUP(MID(T21,W21,X21-W21),[5]skilldef!$C:$D,2,FALSE),"-") &amp; " / " &amp; IFERROR(VLOOKUP(MID(T21,U21,V21-U21),[5]skilldef!$A:$B,2,FALSE),"-")</f>
        <v>- / -</v>
      </c>
      <c r="Z21" s="44"/>
      <c r="AA21" s="46"/>
      <c r="AB21" s="44"/>
    </row>
    <row r="22" spans="1:28" ht="21" customHeight="1" x14ac:dyDescent="0.15">
      <c r="A22" s="179">
        <v>39014021</v>
      </c>
      <c r="B22" s="183" t="s">
        <v>543</v>
      </c>
      <c r="C22" s="44">
        <v>1</v>
      </c>
      <c r="D22" s="44" t="s">
        <v>430</v>
      </c>
      <c r="E22" s="45" t="s">
        <v>510</v>
      </c>
      <c r="F22" s="45" t="s">
        <v>496</v>
      </c>
      <c r="G22" s="54" t="str">
        <f t="shared" si="0"/>
        <v>[effect:enemy_message, val1:1.2, val2:1.2]</v>
      </c>
      <c r="H22" s="54">
        <f t="shared" si="1"/>
        <v>9</v>
      </c>
      <c r="I22" s="54">
        <f t="shared" si="2"/>
        <v>22</v>
      </c>
      <c r="J22" s="54" t="e">
        <f t="shared" si="3"/>
        <v>#VALUE!</v>
      </c>
      <c r="K22" s="54">
        <f t="shared" si="4"/>
        <v>32</v>
      </c>
      <c r="L22" s="54" t="str">
        <f>IFERROR(VLOOKUP(MID(G22,J22,K22-J22),[5]skilldef!$C:$D,2,FALSE),"-") &amp; " / " &amp; IFERROR(VLOOKUP(MID(G22,H22,I22-H22),[5]skilldef!$A:$B,2,FALSE),"-")</f>
        <v>- / -</v>
      </c>
      <c r="M22" s="54" t="str">
        <f t="shared" si="5"/>
        <v>[effect:tolerance, target:myself, turn:-1, count:-1, tolerance_effect:all, animation:enemy_tolerance],[effect:play_bgm, turn:-1, bgm_path:BGM/BattleNormal9800]</v>
      </c>
      <c r="N22" s="42" t="str">
        <f t="shared" si="75"/>
        <v>[effect:tolerance, target:myself, turn:-1, count:-1, tolerance_effect:all, animation:enemy_tolerance],[effect:play_bgm, turn:-1, bgm_path:BGM/BattleNormal9800]</v>
      </c>
      <c r="O22" s="54">
        <f t="shared" si="6"/>
        <v>9</v>
      </c>
      <c r="P22" s="54">
        <f t="shared" si="7"/>
        <v>18</v>
      </c>
      <c r="Q22" s="54">
        <f t="shared" si="8"/>
        <v>27</v>
      </c>
      <c r="R22" s="54">
        <f t="shared" si="9"/>
        <v>33</v>
      </c>
      <c r="S22" s="54" t="str">
        <f>IFERROR(VLOOKUP(MID(N22,Q22,R22-Q22),[5]skilldef!$C:$D,2,FALSE),"-") &amp; " / " &amp; IFERROR(VLOOKUP(MID(N22,O22,P22-O22),[5]skilldef!$A:$B,2,FALSE),"-")</f>
        <v>自分自身に / 状態異常耐性</v>
      </c>
      <c r="T22" s="42" t="str">
        <f t="shared" si="10"/>
        <v>[effect:play_bgm, turn:-1, bgm_path:BGM/BattleNormal9800]</v>
      </c>
      <c r="U22" s="54">
        <f t="shared" si="11"/>
        <v>9</v>
      </c>
      <c r="V22" s="54">
        <f t="shared" si="12"/>
        <v>17</v>
      </c>
      <c r="W22" s="54" t="e">
        <f t="shared" si="13"/>
        <v>#VALUE!</v>
      </c>
      <c r="X22" s="54">
        <f t="shared" si="14"/>
        <v>26</v>
      </c>
      <c r="Y22" s="54" t="str">
        <f>IFERROR(VLOOKUP(MID(T22,W22,X22-W22),[5]skilldef!$C:$D,2,FALSE),"-") &amp; " / " &amp; IFERROR(VLOOKUP(MID(T22,U22,V22-U22),[5]skilldef!$A:$B,2,FALSE),"-")</f>
        <v>- / -</v>
      </c>
      <c r="Z22" s="44"/>
      <c r="AA22" s="46"/>
      <c r="AB22" s="44"/>
    </row>
    <row r="23" spans="1:28" ht="21" customHeight="1" x14ac:dyDescent="0.15">
      <c r="A23" s="179">
        <v>39014022</v>
      </c>
      <c r="B23" s="183" t="s">
        <v>543</v>
      </c>
      <c r="C23" s="44">
        <v>1</v>
      </c>
      <c r="D23" s="44" t="s">
        <v>430</v>
      </c>
      <c r="E23" s="45" t="s">
        <v>587</v>
      </c>
      <c r="F23" s="45" t="s">
        <v>496</v>
      </c>
      <c r="G23" s="54" t="str">
        <f t="shared" si="0"/>
        <v>[effect:enemy_message, val1:1.2, val2:1.2]</v>
      </c>
      <c r="H23" s="54">
        <f t="shared" si="1"/>
        <v>9</v>
      </c>
      <c r="I23" s="54">
        <f t="shared" si="2"/>
        <v>22</v>
      </c>
      <c r="J23" s="54" t="e">
        <f t="shared" si="3"/>
        <v>#VALUE!</v>
      </c>
      <c r="K23" s="54">
        <f t="shared" si="4"/>
        <v>32</v>
      </c>
      <c r="L23" s="54" t="str">
        <f>IFERROR(VLOOKUP(MID(G23,J23,K23-J23),[5]skilldef!$C:$D,2,FALSE),"-") &amp; " / " &amp; IFERROR(VLOOKUP(MID(G23,H23,I23-H23),[5]skilldef!$A:$B,2,FALSE),"-")</f>
        <v>- / -</v>
      </c>
      <c r="M23" s="54" t="str">
        <f t="shared" si="5"/>
        <v>[effect:tolerance, target:myself, turn:-1, count:-1, tolerance_effect:all, animation:enemy_tolerance],[effect:play_bgm, turn:-1, bgm_path:BGM/BattleNormal9800]</v>
      </c>
      <c r="N23" s="42" t="str">
        <f>IFERROR(LEFT(M23,FIND("],",M23)+S97),M23)</f>
        <v>[effect:tolerance, target:myself, turn:-1, count:-1, tolerance_effect:all, animation:enemy_tolerance],[effect:play_bgm, turn:-1, bgm_path:BGM/BattleNormal9800]</v>
      </c>
      <c r="O23" s="54">
        <f t="shared" si="6"/>
        <v>9</v>
      </c>
      <c r="P23" s="54">
        <f t="shared" si="7"/>
        <v>18</v>
      </c>
      <c r="Q23" s="54">
        <f t="shared" si="8"/>
        <v>27</v>
      </c>
      <c r="R23" s="54">
        <f t="shared" si="9"/>
        <v>33</v>
      </c>
      <c r="S23" s="54" t="str">
        <f>IFERROR(VLOOKUP(MID(N23,Q23,R23-Q23),[5]skilldef!$C:$D,2,FALSE),"-") &amp; " / " &amp; IFERROR(VLOOKUP(MID(N23,O23,P23-O23),[5]skilldef!$A:$B,2,FALSE),"-")</f>
        <v>自分自身に / 状態異常耐性</v>
      </c>
      <c r="T23" s="42" t="str">
        <f t="shared" si="10"/>
        <v>[effect:play_bgm, turn:-1, bgm_path:BGM/BattleNormal9800]</v>
      </c>
      <c r="U23" s="54">
        <f t="shared" si="11"/>
        <v>9</v>
      </c>
      <c r="V23" s="54">
        <f t="shared" si="12"/>
        <v>17</v>
      </c>
      <c r="W23" s="54" t="e">
        <f t="shared" si="13"/>
        <v>#VALUE!</v>
      </c>
      <c r="X23" s="54">
        <f t="shared" si="14"/>
        <v>26</v>
      </c>
      <c r="Y23" s="54" t="str">
        <f>IFERROR(VLOOKUP(MID(T23,W23,X23-W23),[5]skilldef!$C:$D,2,FALSE),"-") &amp; " / " &amp; IFERROR(VLOOKUP(MID(T23,U23,V23-U23),[5]skilldef!$A:$B,2,FALSE),"-")</f>
        <v>- / -</v>
      </c>
      <c r="Z23" s="44"/>
      <c r="AA23" s="46"/>
      <c r="AB23" s="44"/>
    </row>
    <row r="24" spans="1:28" ht="21" customHeight="1" x14ac:dyDescent="0.15">
      <c r="A24" s="179">
        <v>39014023</v>
      </c>
      <c r="B24" s="183" t="s">
        <v>588</v>
      </c>
      <c r="C24" s="44">
        <v>1</v>
      </c>
      <c r="D24" s="44" t="s">
        <v>430</v>
      </c>
      <c r="E24" s="45" t="s">
        <v>505</v>
      </c>
      <c r="F24" s="45" t="s">
        <v>496</v>
      </c>
      <c r="G24" s="54" t="str">
        <f t="shared" si="0"/>
        <v>[effect:enemy_message, val1:1.8, val2:1.2]</v>
      </c>
      <c r="H24" s="54">
        <f t="shared" si="1"/>
        <v>9</v>
      </c>
      <c r="I24" s="54">
        <f t="shared" si="2"/>
        <v>22</v>
      </c>
      <c r="J24" s="54" t="e">
        <f t="shared" si="3"/>
        <v>#VALUE!</v>
      </c>
      <c r="K24" s="54">
        <f t="shared" si="4"/>
        <v>32</v>
      </c>
      <c r="L24" s="54" t="str">
        <f>IFERROR(VLOOKUP(MID(G24,J24,K24-J24),[5]skilldef!$C:$D,2,FALSE),"-") &amp; " / " &amp; IFERROR(VLOOKUP(MID(G24,H24,I24-H24),[5]skilldef!$A:$B,2,FALSE),"-")</f>
        <v>- / -</v>
      </c>
      <c r="M24" s="54" t="str">
        <f t="shared" si="5"/>
        <v>[effect:tolerance, target:myself, turn:-1, count:-1, tolerance_effect:all, animation:enemy_tolerance],[effect:play_bgm, turn:-1, bgm_path:BGM/BattleNormal9800]</v>
      </c>
      <c r="N24" s="42" t="str">
        <f>IFERROR(LEFT(M24,FIND("],",M24)+S97),M24)</f>
        <v>[effect:tolerance, target:myself, turn:-1, count:-1, tolerance_effect:all, animation:enemy_tolerance],[effect:play_bgm, turn:-1, bgm_path:BGM/BattleNormal9800]</v>
      </c>
      <c r="O24" s="54">
        <f t="shared" si="6"/>
        <v>9</v>
      </c>
      <c r="P24" s="54">
        <f t="shared" si="7"/>
        <v>18</v>
      </c>
      <c r="Q24" s="54">
        <f t="shared" si="8"/>
        <v>27</v>
      </c>
      <c r="R24" s="54">
        <f t="shared" si="9"/>
        <v>33</v>
      </c>
      <c r="S24" s="54" t="str">
        <f>IFERROR(VLOOKUP(MID(N24,Q24,R24-Q24),[5]skilldef!$C:$D,2,FALSE),"-") &amp; " / " &amp; IFERROR(VLOOKUP(MID(N24,O24,P24-O24),[5]skilldef!$A:$B,2,FALSE),"-")</f>
        <v>自分自身に / 状態異常耐性</v>
      </c>
      <c r="T24" s="42" t="str">
        <f t="shared" si="10"/>
        <v>[effect:play_bgm, turn:-1, bgm_path:BGM/BattleNormal9800]</v>
      </c>
      <c r="U24" s="54">
        <f t="shared" si="11"/>
        <v>9</v>
      </c>
      <c r="V24" s="54">
        <f t="shared" si="12"/>
        <v>17</v>
      </c>
      <c r="W24" s="54" t="e">
        <f t="shared" si="13"/>
        <v>#VALUE!</v>
      </c>
      <c r="X24" s="54">
        <f t="shared" si="14"/>
        <v>26</v>
      </c>
      <c r="Y24" s="54" t="str">
        <f>IFERROR(VLOOKUP(MID(T24,W24,X24-W24),[5]skilldef!$C:$D,2,FALSE),"-") &amp; " / " &amp; IFERROR(VLOOKUP(MID(T24,U24,V24-U24),[5]skilldef!$A:$B,2,FALSE),"-")</f>
        <v>- / -</v>
      </c>
      <c r="Z24" s="44"/>
      <c r="AA24" s="46"/>
      <c r="AB24" s="44"/>
    </row>
    <row r="25" spans="1:28" ht="21" customHeight="1" x14ac:dyDescent="0.15">
      <c r="A25" s="179">
        <v>39014024</v>
      </c>
      <c r="B25" s="183" t="s">
        <v>588</v>
      </c>
      <c r="C25" s="44">
        <v>1</v>
      </c>
      <c r="D25" s="44" t="s">
        <v>430</v>
      </c>
      <c r="E25" s="45" t="s">
        <v>505</v>
      </c>
      <c r="F25" s="45" t="s">
        <v>496</v>
      </c>
      <c r="G25" s="54" t="str">
        <f t="shared" si="0"/>
        <v>[effect:enemy_message, val1:1.8, val2:1.2]</v>
      </c>
      <c r="H25" s="54">
        <f t="shared" si="1"/>
        <v>9</v>
      </c>
      <c r="I25" s="54">
        <f t="shared" si="2"/>
        <v>22</v>
      </c>
      <c r="J25" s="54" t="e">
        <f t="shared" si="3"/>
        <v>#VALUE!</v>
      </c>
      <c r="K25" s="54">
        <f t="shared" si="4"/>
        <v>32</v>
      </c>
      <c r="L25" s="54" t="str">
        <f>IFERROR(VLOOKUP(MID(G25,J25,K25-J25),[5]skilldef!$C:$D,2,FALSE),"-") &amp; " / " &amp; IFERROR(VLOOKUP(MID(G25,H25,I25-H25),[5]skilldef!$A:$B,2,FALSE),"-")</f>
        <v>- / -</v>
      </c>
      <c r="M25" s="54" t="str">
        <f t="shared" si="5"/>
        <v>[effect:tolerance, target:myself, turn:-1, count:-1, tolerance_effect:all, animation:enemy_tolerance],[effect:play_bgm, turn:-1, bgm_path:BGM/BattleNormal9800]</v>
      </c>
      <c r="N25" s="42" t="str">
        <f>IFERROR(LEFT(M25,FIND("],",M25)+S98),M25)</f>
        <v>[effect:tolerance, target:myself, turn:-1, count:-1, tolerance_effect:all, animation:enemy_tolerance],[effect:play_bgm, turn:-1, bgm_path:BGM/BattleNormal9800]</v>
      </c>
      <c r="O25" s="54">
        <f t="shared" si="6"/>
        <v>9</v>
      </c>
      <c r="P25" s="54">
        <f t="shared" si="7"/>
        <v>18</v>
      </c>
      <c r="Q25" s="54">
        <f t="shared" si="8"/>
        <v>27</v>
      </c>
      <c r="R25" s="54">
        <f t="shared" si="9"/>
        <v>33</v>
      </c>
      <c r="S25" s="54" t="str">
        <f>IFERROR(VLOOKUP(MID(N25,Q25,R25-Q25),[5]skilldef!$C:$D,2,FALSE),"-") &amp; " / " &amp; IFERROR(VLOOKUP(MID(N25,O25,P25-O25),[5]skilldef!$A:$B,2,FALSE),"-")</f>
        <v>自分自身に / 状態異常耐性</v>
      </c>
      <c r="T25" s="42" t="str">
        <f t="shared" si="10"/>
        <v>[effect:play_bgm, turn:-1, bgm_path:BGM/BattleNormal9800]</v>
      </c>
      <c r="U25" s="54">
        <f t="shared" si="11"/>
        <v>9</v>
      </c>
      <c r="V25" s="54">
        <f t="shared" si="12"/>
        <v>17</v>
      </c>
      <c r="W25" s="54" t="e">
        <f t="shared" si="13"/>
        <v>#VALUE!</v>
      </c>
      <c r="X25" s="54">
        <f t="shared" si="14"/>
        <v>26</v>
      </c>
      <c r="Y25" s="54" t="str">
        <f>IFERROR(VLOOKUP(MID(T25,W25,X25-W25),[5]skilldef!$C:$D,2,FALSE),"-") &amp; " / " &amp; IFERROR(VLOOKUP(MID(T25,U25,V25-U25),[5]skilldef!$A:$B,2,FALSE),"-")</f>
        <v>- / -</v>
      </c>
      <c r="Z25" s="44"/>
      <c r="AA25" s="46"/>
      <c r="AB25" s="44"/>
    </row>
    <row r="26" spans="1:28" ht="21" customHeight="1" x14ac:dyDescent="0.15">
      <c r="A26" s="179">
        <v>39014025</v>
      </c>
      <c r="B26" s="183" t="s">
        <v>583</v>
      </c>
      <c r="C26" s="44">
        <v>1</v>
      </c>
      <c r="D26" s="44" t="s">
        <v>430</v>
      </c>
      <c r="E26" s="45" t="s">
        <v>511</v>
      </c>
      <c r="F26" s="45" t="s">
        <v>582</v>
      </c>
      <c r="G26" s="54" t="str">
        <f t="shared" si="0"/>
        <v>[effect:enemy_message, val1:1.2, val2:2.2]</v>
      </c>
      <c r="H26" s="54">
        <f t="shared" si="1"/>
        <v>9</v>
      </c>
      <c r="I26" s="54">
        <f t="shared" si="2"/>
        <v>22</v>
      </c>
      <c r="J26" s="54" t="e">
        <f t="shared" si="3"/>
        <v>#VALUE!</v>
      </c>
      <c r="K26" s="54">
        <f t="shared" si="4"/>
        <v>32</v>
      </c>
      <c r="L26" s="54" t="str">
        <f>IFERROR(VLOOKUP(MID(G26,J26,K26-J26),[5]skilldef!$C:$D,2,FALSE),"-") &amp; " / " &amp; IFERROR(VLOOKUP(MID(G26,H26,I26-H26),[5]skilldef!$A:$B,2,FALSE),"-")</f>
        <v>- / -</v>
      </c>
      <c r="M26" s="54" t="str">
        <f t="shared" si="5"/>
        <v>[effect:force_change_block, new_block:jammer, target:normal, ignore01:jammer, count:5, val:0, animation:change_block] ,[effect:rush, count:1, val:0.2]</v>
      </c>
      <c r="N26" s="42" t="str">
        <f>IFERROR(LEFT(M26,FIND("],",M26)+S44),M26)</f>
        <v>[effect:force_change_block, new_block:jammer, target:normal, ignore01:jammer, count:5, val:0, animation:change_block] ,[effect:rush, count:1, val:0.2]</v>
      </c>
      <c r="O26" s="54">
        <f t="shared" si="6"/>
        <v>9</v>
      </c>
      <c r="P26" s="54">
        <f t="shared" si="7"/>
        <v>27</v>
      </c>
      <c r="Q26" s="54">
        <f t="shared" si="8"/>
        <v>54</v>
      </c>
      <c r="R26" s="54">
        <f t="shared" si="9"/>
        <v>45</v>
      </c>
      <c r="S26" s="54" t="str">
        <f>IFERROR(VLOOKUP(MID(N26,Q26,R26-Q26),[5]skilldef!$C:$D,2,FALSE),"-") &amp; " / " &amp; IFERROR(VLOOKUP(MID(N26,O26,P26-O26),[5]skilldef!$A:$B,2,FALSE),"-")</f>
        <v>- / -</v>
      </c>
      <c r="T26" s="42" t="str">
        <f t="shared" si="10"/>
        <v>none</v>
      </c>
      <c r="U26" s="54" t="e">
        <f t="shared" si="11"/>
        <v>#VALUE!</v>
      </c>
      <c r="V26" s="54">
        <f t="shared" si="12"/>
        <v>4</v>
      </c>
      <c r="W26" s="54" t="e">
        <f t="shared" si="13"/>
        <v>#VALUE!</v>
      </c>
      <c r="X26" s="54" t="e">
        <f t="shared" si="14"/>
        <v>#VALUE!</v>
      </c>
      <c r="Y26" s="54" t="str">
        <f>IFERROR(VLOOKUP(MID(T26,W26,X26-W26),[5]skilldef!$C:$D,2,FALSE),"-") &amp; " / " &amp; IFERROR(VLOOKUP(MID(T26,U26,V26-U26),[5]skilldef!$A:$B,2,FALSE),"-")</f>
        <v>- / -</v>
      </c>
      <c r="Z26" s="44"/>
      <c r="AA26" s="46"/>
      <c r="AB26" s="44"/>
    </row>
    <row r="27" spans="1:28" ht="21" customHeight="1" x14ac:dyDescent="0.15">
      <c r="A27" s="179">
        <v>39014026</v>
      </c>
      <c r="B27" s="183" t="s">
        <v>555</v>
      </c>
      <c r="C27" s="44">
        <v>1</v>
      </c>
      <c r="D27" s="44" t="s">
        <v>430</v>
      </c>
      <c r="E27" s="45" t="s">
        <v>512</v>
      </c>
      <c r="F27" s="45" t="s">
        <v>566</v>
      </c>
      <c r="G27" s="54" t="str">
        <f t="shared" si="0"/>
        <v>[effect:enemy_message, val1:1.2, val2:1.5]</v>
      </c>
      <c r="H27" s="54">
        <f t="shared" si="1"/>
        <v>9</v>
      </c>
      <c r="I27" s="54">
        <f t="shared" si="2"/>
        <v>22</v>
      </c>
      <c r="J27" s="54" t="e">
        <f t="shared" si="3"/>
        <v>#VALUE!</v>
      </c>
      <c r="K27" s="54">
        <f t="shared" si="4"/>
        <v>32</v>
      </c>
      <c r="L27" s="54" t="str">
        <f>IFERROR(VLOOKUP(MID(G27,J27,K27-J27),[5]skilldef!$C:$D,2,FALSE),"-") &amp; " / " &amp; IFERROR(VLOOKUP(MID(G27,H27,I27-H27),[5]skilldef!$A:$B,2,FALSE),"-")</f>
        <v>- / -</v>
      </c>
      <c r="M27" s="54" t="str">
        <f t="shared" si="5"/>
        <v xml:space="preserve">[effect:break_attack,_fix,target:unit_one, val:0.03, lowest_val:2000, count:-1, color:blue, block01:jammer]    </v>
      </c>
      <c r="N27" s="42" t="str">
        <f>IFERROR(LEFT(M27,FIND("],",M27)+S45),M27)</f>
        <v xml:space="preserve">[effect:break_attack,_fix,target:unit_one, val:0.03, lowest_val:2000, count:-1, color:blue, block01:jammer]    </v>
      </c>
      <c r="O27" s="54">
        <f t="shared" si="6"/>
        <v>9</v>
      </c>
      <c r="P27" s="54">
        <f t="shared" si="7"/>
        <v>21</v>
      </c>
      <c r="Q27" s="54">
        <f t="shared" si="8"/>
        <v>34</v>
      </c>
      <c r="R27" s="54">
        <f t="shared" si="9"/>
        <v>26</v>
      </c>
      <c r="S27" s="54" t="str">
        <f>IFERROR(VLOOKUP(MID(N27,Q27,R27-Q27),[5]skilldef!$C:$D,2,FALSE),"-") &amp; " / " &amp; IFERROR(VLOOKUP(MID(N27,O27,P27-O27),[5]skilldef!$A:$B,2,FALSE),"-")</f>
        <v>- / -</v>
      </c>
      <c r="T27" s="42" t="str">
        <f t="shared" si="10"/>
        <v>none</v>
      </c>
      <c r="U27" s="54" t="e">
        <f t="shared" si="11"/>
        <v>#VALUE!</v>
      </c>
      <c r="V27" s="54">
        <f t="shared" si="12"/>
        <v>4</v>
      </c>
      <c r="W27" s="54" t="e">
        <f t="shared" si="13"/>
        <v>#VALUE!</v>
      </c>
      <c r="X27" s="54" t="e">
        <f t="shared" si="14"/>
        <v>#VALUE!</v>
      </c>
      <c r="Y27" s="54" t="str">
        <f>IFERROR(VLOOKUP(MID(T27,W27,X27-W27),[5]skilldef!$C:$D,2,FALSE),"-") &amp; " / " &amp; IFERROR(VLOOKUP(MID(T27,U27,V27-U27),[5]skilldef!$A:$B,2,FALSE),"-")</f>
        <v>- / -</v>
      </c>
      <c r="Z27" s="44"/>
      <c r="AA27" s="46"/>
      <c r="AB27" s="44"/>
    </row>
    <row r="28" spans="1:28" ht="21" customHeight="1" x14ac:dyDescent="0.15">
      <c r="A28" s="179">
        <v>39014027</v>
      </c>
      <c r="B28" s="183" t="s">
        <v>589</v>
      </c>
      <c r="C28" s="44">
        <v>1</v>
      </c>
      <c r="D28" s="44" t="s">
        <v>430</v>
      </c>
      <c r="E28" s="45" t="s">
        <v>513</v>
      </c>
      <c r="F28" s="45" t="s">
        <v>567</v>
      </c>
      <c r="G28" s="54" t="str">
        <f t="shared" si="0"/>
        <v>[effect:enemy_message, val1:1.2, val2:1.2]</v>
      </c>
      <c r="H28" s="54">
        <f t="shared" si="1"/>
        <v>9</v>
      </c>
      <c r="I28" s="54">
        <f t="shared" si="2"/>
        <v>22</v>
      </c>
      <c r="J28" s="54" t="e">
        <f t="shared" si="3"/>
        <v>#VALUE!</v>
      </c>
      <c r="K28" s="54">
        <f t="shared" si="4"/>
        <v>32</v>
      </c>
      <c r="L28" s="54" t="str">
        <f>IFERROR(VLOOKUP(MID(G28,J28,K28-J28),[5]skilldef!$C:$D,2,FALSE),"-") &amp; " / " &amp; IFERROR(VLOOKUP(MID(G28,H28,I28-H28),[5]skilldef!$A:$B,2,FALSE),"-")</f>
        <v>- / -</v>
      </c>
      <c r="M28" s="54" t="str">
        <f t="shared" si="5"/>
        <v xml:space="preserve">[effect:rush, count:2, val:0.23]    </v>
      </c>
      <c r="N28" s="42" t="str">
        <f>IFERROR(LEFT(M28,FIND("],",M28)+S86),M28)</f>
        <v xml:space="preserve">[effect:rush, count:2, val:0.23]    </v>
      </c>
      <c r="O28" s="54">
        <f t="shared" si="6"/>
        <v>9</v>
      </c>
      <c r="P28" s="54">
        <f t="shared" si="7"/>
        <v>13</v>
      </c>
      <c r="Q28" s="54" t="e">
        <f t="shared" si="8"/>
        <v>#VALUE!</v>
      </c>
      <c r="R28" s="54">
        <f t="shared" si="9"/>
        <v>22</v>
      </c>
      <c r="S28" s="54" t="str">
        <f>IFERROR(VLOOKUP(MID(N28,Q28,R28-Q28),[5]skilldef!$C:$D,2,FALSE),"-") &amp; " / " &amp; IFERROR(VLOOKUP(MID(N28,O28,P28-O28),[5]skilldef!$A:$B,2,FALSE),"-")</f>
        <v>- / 連続攻撃</v>
      </c>
      <c r="T28" s="42" t="str">
        <f t="shared" si="10"/>
        <v>none</v>
      </c>
      <c r="U28" s="54" t="e">
        <f t="shared" si="11"/>
        <v>#VALUE!</v>
      </c>
      <c r="V28" s="54">
        <f t="shared" si="12"/>
        <v>4</v>
      </c>
      <c r="W28" s="54" t="e">
        <f t="shared" si="13"/>
        <v>#VALUE!</v>
      </c>
      <c r="X28" s="54" t="e">
        <f t="shared" si="14"/>
        <v>#VALUE!</v>
      </c>
      <c r="Y28" s="54" t="str">
        <f>IFERROR(VLOOKUP(MID(T28,W28,X28-W28),[5]skilldef!$C:$D,2,FALSE),"-") &amp; " / " &amp; IFERROR(VLOOKUP(MID(T28,U28,V28-U28),[5]skilldef!$A:$B,2,FALSE),"-")</f>
        <v>- / -</v>
      </c>
      <c r="Z28" s="44"/>
      <c r="AA28" s="46"/>
      <c r="AB28" s="44"/>
    </row>
    <row r="29" spans="1:28" ht="21" customHeight="1" x14ac:dyDescent="0.15">
      <c r="A29" s="179">
        <v>39014028</v>
      </c>
      <c r="B29" s="183" t="s">
        <v>663</v>
      </c>
      <c r="C29" s="44">
        <v>1</v>
      </c>
      <c r="D29" s="44" t="s">
        <v>430</v>
      </c>
      <c r="E29" s="45" t="s">
        <v>514</v>
      </c>
      <c r="F29" s="45" t="s">
        <v>515</v>
      </c>
      <c r="G29" s="54" t="str">
        <f t="shared" si="0"/>
        <v>[effect:enemy_message, val1:1.2, val2:1.2]</v>
      </c>
      <c r="H29" s="54">
        <f t="shared" si="1"/>
        <v>9</v>
      </c>
      <c r="I29" s="54">
        <f t="shared" si="2"/>
        <v>22</v>
      </c>
      <c r="J29" s="54" t="e">
        <f t="shared" si="3"/>
        <v>#VALUE!</v>
      </c>
      <c r="K29" s="54">
        <f t="shared" si="4"/>
        <v>32</v>
      </c>
      <c r="L29" s="54" t="str">
        <f>IFERROR(VLOOKUP(MID(G29,J29,K29-J29),[5]skilldef!$C:$D,2,FALSE),"-") &amp; " / " &amp; IFERROR(VLOOKUP(MID(G29,H29,I29-H29),[5]skilldef!$A:$B,2,FALSE),"-")</f>
        <v>- / -</v>
      </c>
      <c r="M29" s="54" t="str">
        <f t="shared" si="5"/>
        <v xml:space="preserve">[effect:rush, count:3, val:0.23]    </v>
      </c>
      <c r="N29" s="42" t="str">
        <f t="shared" ref="N29:N38" si="76">IFERROR(LEFT(M29,FIND("],",M29)+S86),M29)</f>
        <v xml:space="preserve">[effect:rush, count:3, val:0.23]    </v>
      </c>
      <c r="O29" s="54">
        <f t="shared" si="6"/>
        <v>9</v>
      </c>
      <c r="P29" s="54">
        <f t="shared" si="7"/>
        <v>13</v>
      </c>
      <c r="Q29" s="54" t="e">
        <f t="shared" si="8"/>
        <v>#VALUE!</v>
      </c>
      <c r="R29" s="54">
        <f t="shared" si="9"/>
        <v>22</v>
      </c>
      <c r="S29" s="54" t="str">
        <f>IFERROR(VLOOKUP(MID(N29,Q29,R29-Q29),[5]skilldef!$C:$D,2,FALSE),"-") &amp; " / " &amp; IFERROR(VLOOKUP(MID(N29,O29,P29-O29),[5]skilldef!$A:$B,2,FALSE),"-")</f>
        <v>- / 連続攻撃</v>
      </c>
      <c r="T29" s="42" t="str">
        <f t="shared" si="10"/>
        <v>none</v>
      </c>
      <c r="U29" s="54" t="e">
        <f t="shared" si="11"/>
        <v>#VALUE!</v>
      </c>
      <c r="V29" s="54">
        <f t="shared" si="12"/>
        <v>4</v>
      </c>
      <c r="W29" s="54" t="e">
        <f t="shared" si="13"/>
        <v>#VALUE!</v>
      </c>
      <c r="X29" s="54" t="e">
        <f t="shared" si="14"/>
        <v>#VALUE!</v>
      </c>
      <c r="Y29" s="54" t="str">
        <f>IFERROR(VLOOKUP(MID(T29,W29,X29-W29),[5]skilldef!$C:$D,2,FALSE),"-") &amp; " / " &amp; IFERROR(VLOOKUP(MID(T29,U29,V29-U29),[5]skilldef!$A:$B,2,FALSE),"-")</f>
        <v>- / -</v>
      </c>
      <c r="Z29" s="44"/>
      <c r="AA29" s="46"/>
      <c r="AB29" s="44"/>
    </row>
    <row r="30" spans="1:28" ht="21" customHeight="1" x14ac:dyDescent="0.15">
      <c r="A30" s="179">
        <v>39014029</v>
      </c>
      <c r="B30" s="183" t="s">
        <v>664</v>
      </c>
      <c r="C30" s="44">
        <v>1</v>
      </c>
      <c r="D30" s="44" t="s">
        <v>430</v>
      </c>
      <c r="E30" s="45" t="s">
        <v>516</v>
      </c>
      <c r="F30" s="45" t="s">
        <v>517</v>
      </c>
      <c r="G30" s="54" t="str">
        <f t="shared" si="0"/>
        <v>[effect:enemy_message, val1:1.2, val2:1.2]</v>
      </c>
      <c r="H30" s="54">
        <f t="shared" si="1"/>
        <v>9</v>
      </c>
      <c r="I30" s="54">
        <f t="shared" si="2"/>
        <v>22</v>
      </c>
      <c r="J30" s="54" t="e">
        <f t="shared" si="3"/>
        <v>#VALUE!</v>
      </c>
      <c r="K30" s="54">
        <f t="shared" si="4"/>
        <v>32</v>
      </c>
      <c r="L30" s="54" t="str">
        <f>IFERROR(VLOOKUP(MID(G30,J30,K30-J30),[5]skilldef!$C:$D,2,FALSE),"-") &amp; " / " &amp; IFERROR(VLOOKUP(MID(G30,H30,I30-H30),[5]skilldef!$A:$B,2,FALSE),"-")</f>
        <v>- / -</v>
      </c>
      <c r="M30" s="54" t="str">
        <f t="shared" si="5"/>
        <v xml:space="preserve">[effect:rush, count:4, val:0.23]    </v>
      </c>
      <c r="N30" s="42" t="str">
        <f t="shared" si="76"/>
        <v xml:space="preserve">[effect:rush, count:4, val:0.23]    </v>
      </c>
      <c r="O30" s="54">
        <f t="shared" si="6"/>
        <v>9</v>
      </c>
      <c r="P30" s="54">
        <f t="shared" si="7"/>
        <v>13</v>
      </c>
      <c r="Q30" s="54" t="e">
        <f t="shared" si="8"/>
        <v>#VALUE!</v>
      </c>
      <c r="R30" s="54">
        <f t="shared" si="9"/>
        <v>22</v>
      </c>
      <c r="S30" s="54" t="str">
        <f>IFERROR(VLOOKUP(MID(N30,Q30,R30-Q30),[5]skilldef!$C:$D,2,FALSE),"-") &amp; " / " &amp; IFERROR(VLOOKUP(MID(N30,O30,P30-O30),[5]skilldef!$A:$B,2,FALSE),"-")</f>
        <v>- / 連続攻撃</v>
      </c>
      <c r="T30" s="42" t="str">
        <f t="shared" si="10"/>
        <v>none</v>
      </c>
      <c r="U30" s="54" t="e">
        <f t="shared" si="11"/>
        <v>#VALUE!</v>
      </c>
      <c r="V30" s="54">
        <f t="shared" si="12"/>
        <v>4</v>
      </c>
      <c r="W30" s="54" t="e">
        <f t="shared" si="13"/>
        <v>#VALUE!</v>
      </c>
      <c r="X30" s="54" t="e">
        <f t="shared" si="14"/>
        <v>#VALUE!</v>
      </c>
      <c r="Y30" s="54" t="str">
        <f>IFERROR(VLOOKUP(MID(T30,W30,X30-W30),[5]skilldef!$C:$D,2,FALSE),"-") &amp; " / " &amp; IFERROR(VLOOKUP(MID(T30,U30,V30-U30),[5]skilldef!$A:$B,2,FALSE),"-")</f>
        <v>- / -</v>
      </c>
      <c r="Z30" s="44"/>
      <c r="AA30" s="46"/>
      <c r="AB30" s="44"/>
    </row>
    <row r="31" spans="1:28" ht="41" customHeight="1" x14ac:dyDescent="0.15">
      <c r="A31" s="179">
        <v>39014030</v>
      </c>
      <c r="B31" s="183" t="s">
        <v>564</v>
      </c>
      <c r="C31" s="44">
        <v>1</v>
      </c>
      <c r="D31" s="44" t="s">
        <v>430</v>
      </c>
      <c r="E31" s="45" t="s">
        <v>563</v>
      </c>
      <c r="F31" s="45" t="s">
        <v>562</v>
      </c>
      <c r="G31" s="54" t="str">
        <f t="shared" si="0"/>
        <v>[effect:enemy_message, val1:1.2, val2:1.2]</v>
      </c>
      <c r="H31" s="54">
        <f t="shared" si="1"/>
        <v>9</v>
      </c>
      <c r="I31" s="54">
        <f t="shared" si="2"/>
        <v>22</v>
      </c>
      <c r="J31" s="54" t="e">
        <f t="shared" si="3"/>
        <v>#VALUE!</v>
      </c>
      <c r="K31" s="54">
        <f t="shared" si="4"/>
        <v>32</v>
      </c>
      <c r="L31" s="54" t="str">
        <f>IFERROR(VLOOKUP(MID(G31,J31,K31-J31),[5]skilldef!$C:$D,2,FALSE),"-") &amp; " / " &amp; IFERROR(VLOOKUP(MID(G31,H31,I31-H31),[5]skilldef!$A:$B,2,FALSE),"-")</f>
        <v>- / -</v>
      </c>
      <c r="M31" s="54" t="str">
        <f t="shared" si="5"/>
        <v>none</v>
      </c>
      <c r="N31" s="42" t="str">
        <f t="shared" si="76"/>
        <v>none</v>
      </c>
      <c r="O31" s="54" t="e">
        <f t="shared" si="6"/>
        <v>#VALUE!</v>
      </c>
      <c r="P31" s="54">
        <f t="shared" si="7"/>
        <v>4</v>
      </c>
      <c r="Q31" s="54" t="e">
        <f t="shared" si="8"/>
        <v>#VALUE!</v>
      </c>
      <c r="R31" s="54" t="e">
        <f t="shared" si="9"/>
        <v>#VALUE!</v>
      </c>
      <c r="S31" s="54" t="str">
        <f>IFERROR(VLOOKUP(MID(N31,Q31,R31-Q31),[5]skilldef!$C:$D,2,FALSE),"-") &amp; " / " &amp; IFERROR(VLOOKUP(MID(N31,O31,P31-O31),[5]skilldef!$A:$B,2,FALSE),"-")</f>
        <v>- / -</v>
      </c>
      <c r="T31" s="42" t="str">
        <f t="shared" si="10"/>
        <v>none</v>
      </c>
      <c r="U31" s="54" t="e">
        <f t="shared" si="11"/>
        <v>#VALUE!</v>
      </c>
      <c r="V31" s="54">
        <f t="shared" si="12"/>
        <v>4</v>
      </c>
      <c r="W31" s="54" t="e">
        <f t="shared" si="13"/>
        <v>#VALUE!</v>
      </c>
      <c r="X31" s="54" t="e">
        <f t="shared" si="14"/>
        <v>#VALUE!</v>
      </c>
      <c r="Y31" s="54" t="str">
        <f>IFERROR(VLOOKUP(MID(T31,W31,X31-W31),[5]skilldef!$C:$D,2,FALSE),"-") &amp; " / " &amp; IFERROR(VLOOKUP(MID(T31,U31,V31-U31),[5]skilldef!$A:$B,2,FALSE),"-")</f>
        <v>- / -</v>
      </c>
      <c r="Z31" s="44"/>
      <c r="AA31" s="46"/>
      <c r="AB31" s="44"/>
    </row>
    <row r="32" spans="1:28" ht="43" customHeight="1" x14ac:dyDescent="0.15">
      <c r="A32" s="179">
        <v>39014031</v>
      </c>
      <c r="B32" s="183" t="s">
        <v>569</v>
      </c>
      <c r="C32" s="44">
        <v>1</v>
      </c>
      <c r="D32" s="44" t="s">
        <v>430</v>
      </c>
      <c r="E32" s="45" t="s">
        <v>565</v>
      </c>
      <c r="F32" s="45" t="s">
        <v>568</v>
      </c>
      <c r="G32" s="54" t="str">
        <f t="shared" si="0"/>
        <v>[effect:enemy_message, val1:1.5, val2:1.2]</v>
      </c>
      <c r="H32" s="54">
        <f t="shared" si="1"/>
        <v>9</v>
      </c>
      <c r="I32" s="54">
        <f t="shared" si="2"/>
        <v>22</v>
      </c>
      <c r="J32" s="54" t="e">
        <f t="shared" si="3"/>
        <v>#VALUE!</v>
      </c>
      <c r="K32" s="54">
        <f t="shared" si="4"/>
        <v>32</v>
      </c>
      <c r="L32" s="54" t="str">
        <f>IFERROR(VLOOKUP(MID(G32,J32,K32-J32),[5]skilldef!$C:$D,2,FALSE),"-") &amp; " / " &amp; IFERROR(VLOOKUP(MID(G32,H32,I32-H32),[5]skilldef!$A:$B,2,FALSE),"-")</f>
        <v>- / -</v>
      </c>
      <c r="M32" s="54" t="str">
        <f t="shared" si="5"/>
        <v xml:space="preserve">[effect:rush, count:12, val:0.083]    </v>
      </c>
      <c r="N32" s="42" t="str">
        <f t="shared" si="76"/>
        <v xml:space="preserve">[effect:rush, count:12, val:0.083]    </v>
      </c>
      <c r="O32" s="54">
        <f t="shared" si="6"/>
        <v>9</v>
      </c>
      <c r="P32" s="54">
        <f t="shared" si="7"/>
        <v>13</v>
      </c>
      <c r="Q32" s="54" t="e">
        <f t="shared" si="8"/>
        <v>#VALUE!</v>
      </c>
      <c r="R32" s="54">
        <f t="shared" si="9"/>
        <v>23</v>
      </c>
      <c r="S32" s="54" t="str">
        <f>IFERROR(VLOOKUP(MID(N32,Q32,R32-Q32),[5]skilldef!$C:$D,2,FALSE),"-") &amp; " / " &amp; IFERROR(VLOOKUP(MID(N32,O32,P32-O32),[5]skilldef!$A:$B,2,FALSE),"-")</f>
        <v>- / 連続攻撃</v>
      </c>
      <c r="T32" s="42" t="str">
        <f t="shared" si="10"/>
        <v>none</v>
      </c>
      <c r="U32" s="54" t="e">
        <f t="shared" si="11"/>
        <v>#VALUE!</v>
      </c>
      <c r="V32" s="54">
        <f t="shared" si="12"/>
        <v>4</v>
      </c>
      <c r="W32" s="54" t="e">
        <f t="shared" si="13"/>
        <v>#VALUE!</v>
      </c>
      <c r="X32" s="54" t="e">
        <f t="shared" si="14"/>
        <v>#VALUE!</v>
      </c>
      <c r="Y32" s="54" t="str">
        <f>IFERROR(VLOOKUP(MID(T32,W32,X32-W32),[5]skilldef!$C:$D,2,FALSE),"-") &amp; " / " &amp; IFERROR(VLOOKUP(MID(T32,U32,V32-U32),[5]skilldef!$A:$B,2,FALSE),"-")</f>
        <v>- / -</v>
      </c>
      <c r="Z32" s="44"/>
      <c r="AA32" s="46"/>
      <c r="AB32" s="44"/>
    </row>
    <row r="33" spans="1:28" ht="31" customHeight="1" x14ac:dyDescent="0.15">
      <c r="A33" s="179">
        <v>39014032</v>
      </c>
      <c r="B33" s="183" t="s">
        <v>564</v>
      </c>
      <c r="C33" s="44">
        <v>1</v>
      </c>
      <c r="D33" s="44" t="s">
        <v>430</v>
      </c>
      <c r="E33" s="45" t="s">
        <v>563</v>
      </c>
      <c r="F33" s="45" t="s">
        <v>562</v>
      </c>
      <c r="G33" s="54" t="str">
        <f t="shared" si="0"/>
        <v>[effect:enemy_message, val1:1.2, val2:1.2]</v>
      </c>
      <c r="H33" s="54">
        <f t="shared" si="1"/>
        <v>9</v>
      </c>
      <c r="I33" s="54">
        <f t="shared" si="2"/>
        <v>22</v>
      </c>
      <c r="J33" s="54" t="e">
        <f t="shared" si="3"/>
        <v>#VALUE!</v>
      </c>
      <c r="K33" s="54">
        <f t="shared" si="4"/>
        <v>32</v>
      </c>
      <c r="L33" s="54" t="str">
        <f>IFERROR(VLOOKUP(MID(G33,J33,K33-J33),[5]skilldef!$C:$D,2,FALSE),"-") &amp; " / " &amp; IFERROR(VLOOKUP(MID(G33,H33,I33-H33),[5]skilldef!$A:$B,2,FALSE),"-")</f>
        <v>- / -</v>
      </c>
      <c r="M33" s="54" t="str">
        <f t="shared" si="5"/>
        <v>none</v>
      </c>
      <c r="N33" s="42" t="str">
        <f t="shared" si="76"/>
        <v>none</v>
      </c>
      <c r="O33" s="54" t="e">
        <f t="shared" si="6"/>
        <v>#VALUE!</v>
      </c>
      <c r="P33" s="54">
        <f t="shared" si="7"/>
        <v>4</v>
      </c>
      <c r="Q33" s="54" t="e">
        <f t="shared" si="8"/>
        <v>#VALUE!</v>
      </c>
      <c r="R33" s="54" t="e">
        <f t="shared" si="9"/>
        <v>#VALUE!</v>
      </c>
      <c r="S33" s="54" t="str">
        <f>IFERROR(VLOOKUP(MID(N33,Q33,R33-Q33),[5]skilldef!$C:$D,2,FALSE),"-") &amp; " / " &amp; IFERROR(VLOOKUP(MID(N33,O33,P33-O33),[5]skilldef!$A:$B,2,FALSE),"-")</f>
        <v>- / -</v>
      </c>
      <c r="T33" s="42" t="str">
        <f t="shared" si="10"/>
        <v>none</v>
      </c>
      <c r="U33" s="54" t="e">
        <f t="shared" si="11"/>
        <v>#VALUE!</v>
      </c>
      <c r="V33" s="54">
        <f t="shared" si="12"/>
        <v>4</v>
      </c>
      <c r="W33" s="54" t="e">
        <f t="shared" si="13"/>
        <v>#VALUE!</v>
      </c>
      <c r="X33" s="54" t="e">
        <f t="shared" si="14"/>
        <v>#VALUE!</v>
      </c>
      <c r="Y33" s="54" t="str">
        <f>IFERROR(VLOOKUP(MID(T33,W33,X33-W33),[5]skilldef!$C:$D,2,FALSE),"-") &amp; " / " &amp; IFERROR(VLOOKUP(MID(T33,U33,V33-U33),[5]skilldef!$A:$B,2,FALSE),"-")</f>
        <v>- / -</v>
      </c>
      <c r="Z33" s="44"/>
      <c r="AA33" s="46"/>
      <c r="AB33" s="44"/>
    </row>
    <row r="34" spans="1:28" ht="33" customHeight="1" x14ac:dyDescent="0.15">
      <c r="A34" s="179">
        <v>39014033</v>
      </c>
      <c r="B34" s="183" t="s">
        <v>569</v>
      </c>
      <c r="C34" s="44">
        <v>1</v>
      </c>
      <c r="D34" s="44" t="s">
        <v>430</v>
      </c>
      <c r="E34" s="45" t="s">
        <v>565</v>
      </c>
      <c r="F34" s="45" t="s">
        <v>568</v>
      </c>
      <c r="G34" s="54" t="str">
        <f t="shared" si="0"/>
        <v>[effect:enemy_message, val1:1.5, val2:1.2]</v>
      </c>
      <c r="H34" s="54">
        <f t="shared" si="1"/>
        <v>9</v>
      </c>
      <c r="I34" s="54">
        <f t="shared" si="2"/>
        <v>22</v>
      </c>
      <c r="J34" s="54" t="e">
        <f t="shared" si="3"/>
        <v>#VALUE!</v>
      </c>
      <c r="K34" s="54">
        <f t="shared" si="4"/>
        <v>32</v>
      </c>
      <c r="L34" s="54" t="str">
        <f>IFERROR(VLOOKUP(MID(G34,J34,K34-J34),[5]skilldef!$C:$D,2,FALSE),"-") &amp; " / " &amp; IFERROR(VLOOKUP(MID(G34,H34,I34-H34),[5]skilldef!$A:$B,2,FALSE),"-")</f>
        <v>- / -</v>
      </c>
      <c r="M34" s="54" t="str">
        <f t="shared" si="5"/>
        <v xml:space="preserve">[effect:rush, count:12, val:0.083]    </v>
      </c>
      <c r="N34" s="42" t="str">
        <f t="shared" si="76"/>
        <v xml:space="preserve">[effect:rush, count:12, val:0.083]    </v>
      </c>
      <c r="O34" s="54">
        <f t="shared" si="6"/>
        <v>9</v>
      </c>
      <c r="P34" s="54">
        <f t="shared" si="7"/>
        <v>13</v>
      </c>
      <c r="Q34" s="54" t="e">
        <f t="shared" si="8"/>
        <v>#VALUE!</v>
      </c>
      <c r="R34" s="54">
        <f t="shared" si="9"/>
        <v>23</v>
      </c>
      <c r="S34" s="54" t="str">
        <f>IFERROR(VLOOKUP(MID(N34,Q34,R34-Q34),[5]skilldef!$C:$D,2,FALSE),"-") &amp; " / " &amp; IFERROR(VLOOKUP(MID(N34,O34,P34-O34),[5]skilldef!$A:$B,2,FALSE),"-")</f>
        <v>- / 連続攻撃</v>
      </c>
      <c r="T34" s="42" t="str">
        <f t="shared" si="10"/>
        <v>none</v>
      </c>
      <c r="U34" s="54" t="e">
        <f t="shared" si="11"/>
        <v>#VALUE!</v>
      </c>
      <c r="V34" s="54">
        <f t="shared" si="12"/>
        <v>4</v>
      </c>
      <c r="W34" s="54" t="e">
        <f t="shared" si="13"/>
        <v>#VALUE!</v>
      </c>
      <c r="X34" s="54" t="e">
        <f t="shared" si="14"/>
        <v>#VALUE!</v>
      </c>
      <c r="Y34" s="54" t="str">
        <f>IFERROR(VLOOKUP(MID(T34,W34,X34-W34),[5]skilldef!$C:$D,2,FALSE),"-") &amp; " / " &amp; IFERROR(VLOOKUP(MID(T34,U34,V34-U34),[5]skilldef!$A:$B,2,FALSE),"-")</f>
        <v>- / -</v>
      </c>
      <c r="Z34" s="44"/>
      <c r="AA34" s="46"/>
      <c r="AB34" s="44"/>
    </row>
    <row r="35" spans="1:28" ht="35" customHeight="1" x14ac:dyDescent="0.15">
      <c r="A35" s="179">
        <v>39014034</v>
      </c>
      <c r="B35" s="183" t="s">
        <v>564</v>
      </c>
      <c r="C35" s="44">
        <v>1</v>
      </c>
      <c r="D35" s="44" t="s">
        <v>430</v>
      </c>
      <c r="E35" s="45" t="s">
        <v>563</v>
      </c>
      <c r="F35" s="45" t="s">
        <v>562</v>
      </c>
      <c r="G35" s="54" t="str">
        <f t="shared" si="0"/>
        <v>[effect:enemy_message, val1:1.2, val2:1.2]</v>
      </c>
      <c r="H35" s="54">
        <f t="shared" si="1"/>
        <v>9</v>
      </c>
      <c r="I35" s="54">
        <f t="shared" si="2"/>
        <v>22</v>
      </c>
      <c r="J35" s="54" t="e">
        <f t="shared" si="3"/>
        <v>#VALUE!</v>
      </c>
      <c r="K35" s="54">
        <f t="shared" si="4"/>
        <v>32</v>
      </c>
      <c r="L35" s="54" t="str">
        <f>IFERROR(VLOOKUP(MID(G35,J35,K35-J35),[5]skilldef!$C:$D,2,FALSE),"-") &amp; " / " &amp; IFERROR(VLOOKUP(MID(G35,H35,I35-H35),[5]skilldef!$A:$B,2,FALSE),"-")</f>
        <v>- / -</v>
      </c>
      <c r="M35" s="54" t="str">
        <f t="shared" si="5"/>
        <v>none</v>
      </c>
      <c r="N35" s="42" t="str">
        <f t="shared" si="76"/>
        <v>none</v>
      </c>
      <c r="O35" s="54" t="e">
        <f t="shared" si="6"/>
        <v>#VALUE!</v>
      </c>
      <c r="P35" s="54">
        <f t="shared" si="7"/>
        <v>4</v>
      </c>
      <c r="Q35" s="54" t="e">
        <f t="shared" si="8"/>
        <v>#VALUE!</v>
      </c>
      <c r="R35" s="54" t="e">
        <f t="shared" si="9"/>
        <v>#VALUE!</v>
      </c>
      <c r="S35" s="54" t="str">
        <f>IFERROR(VLOOKUP(MID(N35,Q35,R35-Q35),[5]skilldef!$C:$D,2,FALSE),"-") &amp; " / " &amp; IFERROR(VLOOKUP(MID(N35,O35,P35-O35),[5]skilldef!$A:$B,2,FALSE),"-")</f>
        <v>- / -</v>
      </c>
      <c r="T35" s="42" t="str">
        <f t="shared" si="10"/>
        <v>none</v>
      </c>
      <c r="U35" s="54" t="e">
        <f t="shared" si="11"/>
        <v>#VALUE!</v>
      </c>
      <c r="V35" s="54">
        <f t="shared" si="12"/>
        <v>4</v>
      </c>
      <c r="W35" s="54" t="e">
        <f t="shared" si="13"/>
        <v>#VALUE!</v>
      </c>
      <c r="X35" s="54" t="e">
        <f t="shared" si="14"/>
        <v>#VALUE!</v>
      </c>
      <c r="Y35" s="54" t="str">
        <f>IFERROR(VLOOKUP(MID(T35,W35,X35-W35),[5]skilldef!$C:$D,2,FALSE),"-") &amp; " / " &amp; IFERROR(VLOOKUP(MID(T35,U35,V35-U35),[5]skilldef!$A:$B,2,FALSE),"-")</f>
        <v>- / -</v>
      </c>
      <c r="Z35" s="44"/>
      <c r="AA35" s="46"/>
      <c r="AB35" s="44"/>
    </row>
    <row r="36" spans="1:28" ht="44" customHeight="1" x14ac:dyDescent="0.15">
      <c r="A36" s="179">
        <v>39014035</v>
      </c>
      <c r="B36" s="183" t="s">
        <v>569</v>
      </c>
      <c r="C36" s="44">
        <v>1</v>
      </c>
      <c r="D36" s="44" t="s">
        <v>430</v>
      </c>
      <c r="E36" s="45" t="s">
        <v>565</v>
      </c>
      <c r="F36" s="45" t="s">
        <v>568</v>
      </c>
      <c r="G36" s="54" t="str">
        <f t="shared" si="0"/>
        <v>[effect:enemy_message, val1:1.5, val2:1.2]</v>
      </c>
      <c r="H36" s="54">
        <f t="shared" si="1"/>
        <v>9</v>
      </c>
      <c r="I36" s="54">
        <f t="shared" si="2"/>
        <v>22</v>
      </c>
      <c r="J36" s="54" t="e">
        <f t="shared" si="3"/>
        <v>#VALUE!</v>
      </c>
      <c r="K36" s="54">
        <f t="shared" si="4"/>
        <v>32</v>
      </c>
      <c r="L36" s="54" t="str">
        <f>IFERROR(VLOOKUP(MID(G36,J36,K36-J36),[5]skilldef!$C:$D,2,FALSE),"-") &amp; " / " &amp; IFERROR(VLOOKUP(MID(G36,H36,I36-H36),[5]skilldef!$A:$B,2,FALSE),"-")</f>
        <v>- / -</v>
      </c>
      <c r="M36" s="54" t="str">
        <f t="shared" si="5"/>
        <v xml:space="preserve">[effect:rush, count:12, val:0.083]    </v>
      </c>
      <c r="N36" s="42" t="str">
        <f t="shared" si="76"/>
        <v xml:space="preserve">[effect:rush, count:12, val:0.083]    </v>
      </c>
      <c r="O36" s="54">
        <f t="shared" si="6"/>
        <v>9</v>
      </c>
      <c r="P36" s="54">
        <f t="shared" si="7"/>
        <v>13</v>
      </c>
      <c r="Q36" s="54" t="e">
        <f t="shared" si="8"/>
        <v>#VALUE!</v>
      </c>
      <c r="R36" s="54">
        <f t="shared" si="9"/>
        <v>23</v>
      </c>
      <c r="S36" s="54" t="str">
        <f>IFERROR(VLOOKUP(MID(N36,Q36,R36-Q36),[5]skilldef!$C:$D,2,FALSE),"-") &amp; " / " &amp; IFERROR(VLOOKUP(MID(N36,O36,P36-O36),[5]skilldef!$A:$B,2,FALSE),"-")</f>
        <v>- / 連続攻撃</v>
      </c>
      <c r="T36" s="42" t="str">
        <f t="shared" si="10"/>
        <v>none</v>
      </c>
      <c r="U36" s="54" t="e">
        <f t="shared" si="11"/>
        <v>#VALUE!</v>
      </c>
      <c r="V36" s="54">
        <f t="shared" si="12"/>
        <v>4</v>
      </c>
      <c r="W36" s="54" t="e">
        <f t="shared" si="13"/>
        <v>#VALUE!</v>
      </c>
      <c r="X36" s="54" t="e">
        <f t="shared" si="14"/>
        <v>#VALUE!</v>
      </c>
      <c r="Y36" s="54" t="str">
        <f>IFERROR(VLOOKUP(MID(T36,W36,X36-W36),[5]skilldef!$C:$D,2,FALSE),"-") &amp; " / " &amp; IFERROR(VLOOKUP(MID(T36,U36,V36-U36),[5]skilldef!$A:$B,2,FALSE),"-")</f>
        <v>- / -</v>
      </c>
      <c r="Z36" s="44"/>
      <c r="AA36" s="46"/>
      <c r="AB36" s="44"/>
    </row>
    <row r="37" spans="1:28" ht="38" customHeight="1" x14ac:dyDescent="0.15">
      <c r="A37" s="179">
        <v>39014036</v>
      </c>
      <c r="B37" s="183" t="s">
        <v>564</v>
      </c>
      <c r="C37" s="44">
        <v>1</v>
      </c>
      <c r="D37" s="44" t="s">
        <v>430</v>
      </c>
      <c r="E37" s="45" t="s">
        <v>563</v>
      </c>
      <c r="F37" s="45" t="s">
        <v>562</v>
      </c>
      <c r="G37" s="54" t="str">
        <f t="shared" si="0"/>
        <v>[effect:enemy_message, val1:1.2, val2:1.2]</v>
      </c>
      <c r="H37" s="54">
        <f t="shared" si="1"/>
        <v>9</v>
      </c>
      <c r="I37" s="54">
        <f t="shared" si="2"/>
        <v>22</v>
      </c>
      <c r="J37" s="54" t="e">
        <f t="shared" si="3"/>
        <v>#VALUE!</v>
      </c>
      <c r="K37" s="54">
        <f t="shared" si="4"/>
        <v>32</v>
      </c>
      <c r="L37" s="54" t="str">
        <f>IFERROR(VLOOKUP(MID(G37,J37,K37-J37),[5]skilldef!$C:$D,2,FALSE),"-") &amp; " / " &amp; IFERROR(VLOOKUP(MID(G37,H37,I37-H37),[5]skilldef!$A:$B,2,FALSE),"-")</f>
        <v>- / -</v>
      </c>
      <c r="M37" s="54" t="str">
        <f t="shared" si="5"/>
        <v>none</v>
      </c>
      <c r="N37" s="42" t="str">
        <f t="shared" si="76"/>
        <v>none</v>
      </c>
      <c r="O37" s="54" t="e">
        <f t="shared" si="6"/>
        <v>#VALUE!</v>
      </c>
      <c r="P37" s="54">
        <f t="shared" si="7"/>
        <v>4</v>
      </c>
      <c r="Q37" s="54" t="e">
        <f t="shared" si="8"/>
        <v>#VALUE!</v>
      </c>
      <c r="R37" s="54" t="e">
        <f t="shared" si="9"/>
        <v>#VALUE!</v>
      </c>
      <c r="S37" s="54" t="str">
        <f>IFERROR(VLOOKUP(MID(N37,Q37,R37-Q37),[5]skilldef!$C:$D,2,FALSE),"-") &amp; " / " &amp; IFERROR(VLOOKUP(MID(N37,O37,P37-O37),[5]skilldef!$A:$B,2,FALSE),"-")</f>
        <v>- / -</v>
      </c>
      <c r="T37" s="42" t="str">
        <f t="shared" si="10"/>
        <v>none</v>
      </c>
      <c r="U37" s="54" t="e">
        <f t="shared" si="11"/>
        <v>#VALUE!</v>
      </c>
      <c r="V37" s="54">
        <f t="shared" si="12"/>
        <v>4</v>
      </c>
      <c r="W37" s="54" t="e">
        <f t="shared" si="13"/>
        <v>#VALUE!</v>
      </c>
      <c r="X37" s="54" t="e">
        <f t="shared" si="14"/>
        <v>#VALUE!</v>
      </c>
      <c r="Y37" s="54" t="str">
        <f>IFERROR(VLOOKUP(MID(T37,W37,X37-W37),[5]skilldef!$C:$D,2,FALSE),"-") &amp; " / " &amp; IFERROR(VLOOKUP(MID(T37,U37,V37-U37),[5]skilldef!$A:$B,2,FALSE),"-")</f>
        <v>- / -</v>
      </c>
      <c r="Z37" s="44"/>
      <c r="AA37" s="46"/>
      <c r="AB37" s="44"/>
    </row>
    <row r="38" spans="1:28" ht="44" customHeight="1" x14ac:dyDescent="0.15">
      <c r="A38" s="179">
        <v>39014037</v>
      </c>
      <c r="B38" s="183" t="s">
        <v>570</v>
      </c>
      <c r="C38" s="44">
        <v>1</v>
      </c>
      <c r="D38" s="44" t="s">
        <v>430</v>
      </c>
      <c r="E38" s="45" t="s">
        <v>565</v>
      </c>
      <c r="F38" s="45" t="s">
        <v>568</v>
      </c>
      <c r="G38" s="54" t="str">
        <f t="shared" si="0"/>
        <v>[effect:enemy_message, val1:1.5, val2:1.2]</v>
      </c>
      <c r="H38" s="54">
        <f t="shared" si="1"/>
        <v>9</v>
      </c>
      <c r="I38" s="54">
        <f t="shared" si="2"/>
        <v>22</v>
      </c>
      <c r="J38" s="54" t="e">
        <f t="shared" si="3"/>
        <v>#VALUE!</v>
      </c>
      <c r="K38" s="54">
        <f t="shared" si="4"/>
        <v>32</v>
      </c>
      <c r="L38" s="54" t="str">
        <f>IFERROR(VLOOKUP(MID(G38,J38,K38-J38),[5]skilldef!$C:$D,2,FALSE),"-") &amp; " / " &amp; IFERROR(VLOOKUP(MID(G38,H38,I38-H38),[5]skilldef!$A:$B,2,FALSE),"-")</f>
        <v>- / -</v>
      </c>
      <c r="M38" s="54" t="str">
        <f t="shared" si="5"/>
        <v xml:space="preserve">[effect:rush, count:12, val:20]    </v>
      </c>
      <c r="N38" s="42" t="str">
        <f t="shared" si="76"/>
        <v xml:space="preserve">[effect:rush, count:12, val:20]    </v>
      </c>
      <c r="O38" s="54">
        <f t="shared" si="6"/>
        <v>9</v>
      </c>
      <c r="P38" s="54">
        <f t="shared" si="7"/>
        <v>13</v>
      </c>
      <c r="Q38" s="54" t="e">
        <f t="shared" si="8"/>
        <v>#VALUE!</v>
      </c>
      <c r="R38" s="54">
        <f t="shared" si="9"/>
        <v>23</v>
      </c>
      <c r="S38" s="54" t="str">
        <f>IFERROR(VLOOKUP(MID(N38,Q38,R38-Q38),[5]skilldef!$C:$D,2,FALSE),"-") &amp; " / " &amp; IFERROR(VLOOKUP(MID(N38,O38,P38-O38),[5]skilldef!$A:$B,2,FALSE),"-")</f>
        <v>- / 連続攻撃</v>
      </c>
      <c r="T38" s="42" t="str">
        <f t="shared" si="10"/>
        <v>none</v>
      </c>
      <c r="U38" s="54" t="e">
        <f t="shared" si="11"/>
        <v>#VALUE!</v>
      </c>
      <c r="V38" s="54">
        <f t="shared" si="12"/>
        <v>4</v>
      </c>
      <c r="W38" s="54" t="e">
        <f t="shared" si="13"/>
        <v>#VALUE!</v>
      </c>
      <c r="X38" s="54" t="e">
        <f t="shared" si="14"/>
        <v>#VALUE!</v>
      </c>
      <c r="Y38" s="54" t="str">
        <f>IFERROR(VLOOKUP(MID(T38,W38,X38-W38),[5]skilldef!$C:$D,2,FALSE),"-") &amp; " / " &amp; IFERROR(VLOOKUP(MID(T38,U38,V38-U38),[5]skilldef!$A:$B,2,FALSE),"-")</f>
        <v>- / -</v>
      </c>
      <c r="Z38" s="44"/>
      <c r="AA38" s="46"/>
      <c r="AB38" s="44"/>
    </row>
    <row r="39" spans="1:28" ht="38" customHeight="1" x14ac:dyDescent="0.15">
      <c r="A39" s="181">
        <v>39014038</v>
      </c>
      <c r="B39" s="183" t="s">
        <v>556</v>
      </c>
      <c r="C39" s="44">
        <v>1</v>
      </c>
      <c r="D39" s="44" t="s">
        <v>430</v>
      </c>
      <c r="E39" s="45" t="s">
        <v>518</v>
      </c>
      <c r="F39" s="45" t="s">
        <v>489</v>
      </c>
      <c r="G39" s="54" t="str">
        <f t="shared" si="0"/>
        <v>[effect:enemy_message, val1:1.3, val2:1.2]</v>
      </c>
      <c r="H39" s="54">
        <f t="shared" si="1"/>
        <v>9</v>
      </c>
      <c r="I39" s="54">
        <f t="shared" si="2"/>
        <v>22</v>
      </c>
      <c r="J39" s="54" t="e">
        <f t="shared" si="3"/>
        <v>#VALUE!</v>
      </c>
      <c r="K39" s="54">
        <f t="shared" si="4"/>
        <v>32</v>
      </c>
      <c r="L39" s="54" t="str">
        <f>IFERROR(VLOOKUP(MID(G39,J39,K39-J39),[5]skilldef!$C:$D,2,FALSE),"-") &amp; " / " &amp; IFERROR(VLOOKUP(MID(G39,H39,I39-H39),[5]skilldef!$A:$B,2,FALSE),"-")</f>
        <v>- / -</v>
      </c>
      <c r="M39" s="54" t="str">
        <f t="shared" si="5"/>
        <v xml:space="preserve">[effect:tolerance, target:myself, turn:-1, count:-1, tolerance_effect:all, animation:enemy_tolerance]    </v>
      </c>
      <c r="N39" s="42" t="str">
        <f>IFERROR(LEFT(M39,FIND("],",M39)+S90),M39)</f>
        <v xml:space="preserve">[effect:tolerance, target:myself, turn:-1, count:-1, tolerance_effect:all, animation:enemy_tolerance]    </v>
      </c>
      <c r="O39" s="54">
        <f t="shared" si="6"/>
        <v>9</v>
      </c>
      <c r="P39" s="54">
        <f t="shared" si="7"/>
        <v>18</v>
      </c>
      <c r="Q39" s="54">
        <f t="shared" si="8"/>
        <v>27</v>
      </c>
      <c r="R39" s="54">
        <f t="shared" si="9"/>
        <v>33</v>
      </c>
      <c r="S39" s="54" t="str">
        <f>IFERROR(VLOOKUP(MID(N39,Q39,R39-Q39),[5]skilldef!$C:$D,2,FALSE),"-") &amp; " / " &amp; IFERROR(VLOOKUP(MID(N39,O39,P39-O39),[5]skilldef!$A:$B,2,FALSE),"-")</f>
        <v>自分自身に / 状態異常耐性</v>
      </c>
      <c r="T39" s="42" t="str">
        <f t="shared" si="10"/>
        <v>none</v>
      </c>
      <c r="U39" s="54" t="e">
        <f t="shared" si="11"/>
        <v>#VALUE!</v>
      </c>
      <c r="V39" s="54">
        <f t="shared" si="12"/>
        <v>4</v>
      </c>
      <c r="W39" s="54" t="e">
        <f t="shared" si="13"/>
        <v>#VALUE!</v>
      </c>
      <c r="X39" s="54" t="e">
        <f t="shared" si="14"/>
        <v>#VALUE!</v>
      </c>
      <c r="Y39" s="54" t="str">
        <f>IFERROR(VLOOKUP(MID(T39,W39,X39-W39),[5]skilldef!$C:$D,2,FALSE),"-") &amp; " / " &amp; IFERROR(VLOOKUP(MID(T39,U39,V39-U39),[5]skilldef!$A:$B,2,FALSE),"-")</f>
        <v>- / -</v>
      </c>
      <c r="Z39" s="44"/>
      <c r="AA39" s="46"/>
      <c r="AB39" s="44"/>
    </row>
    <row r="40" spans="1:28" ht="31" customHeight="1" x14ac:dyDescent="0.15">
      <c r="A40" s="181">
        <v>39014039</v>
      </c>
      <c r="B40" s="183" t="s">
        <v>503</v>
      </c>
      <c r="C40" s="44">
        <v>1</v>
      </c>
      <c r="D40" s="44" t="s">
        <v>430</v>
      </c>
      <c r="E40" s="45" t="s">
        <v>519</v>
      </c>
      <c r="F40" s="45" t="s">
        <v>489</v>
      </c>
      <c r="G40" s="54" t="str">
        <f t="shared" si="0"/>
        <v>[effect:enemy_message, val1:1.2, val2:1.2]</v>
      </c>
      <c r="H40" s="54">
        <f t="shared" si="1"/>
        <v>9</v>
      </c>
      <c r="I40" s="54">
        <f t="shared" si="2"/>
        <v>22</v>
      </c>
      <c r="J40" s="54" t="e">
        <f t="shared" si="3"/>
        <v>#VALUE!</v>
      </c>
      <c r="K40" s="54">
        <f t="shared" si="4"/>
        <v>32</v>
      </c>
      <c r="L40" s="54" t="str">
        <f>IFERROR(VLOOKUP(MID(G40,J40,K40-J40),[5]skilldef!$C:$D,2,FALSE),"-") &amp; " / " &amp; IFERROR(VLOOKUP(MID(G40,H40,I40-H40),[5]skilldef!$A:$B,2,FALSE),"-")</f>
        <v>- / -</v>
      </c>
      <c r="M40" s="54" t="str">
        <f t="shared" si="5"/>
        <v xml:space="preserve">[effect:tolerance, target:myself, turn:-1, count:-1, tolerance_effect:all, animation:enemy_tolerance]    </v>
      </c>
      <c r="N40" s="42" t="str">
        <f t="shared" ref="N40:N50" si="77">IFERROR(LEFT(M40,FIND("],",M40)+S112),M40)</f>
        <v xml:space="preserve">[effect:tolerance, target:myself, turn:-1, count:-1, tolerance_effect:all, animation:enemy_tolerance]    </v>
      </c>
      <c r="O40" s="54">
        <f t="shared" si="6"/>
        <v>9</v>
      </c>
      <c r="P40" s="54">
        <f t="shared" si="7"/>
        <v>18</v>
      </c>
      <c r="Q40" s="54">
        <f t="shared" si="8"/>
        <v>27</v>
      </c>
      <c r="R40" s="54">
        <f t="shared" si="9"/>
        <v>33</v>
      </c>
      <c r="S40" s="54" t="str">
        <f>IFERROR(VLOOKUP(MID(N40,Q40,R40-Q40),[5]skilldef!$C:$D,2,FALSE),"-") &amp; " / " &amp; IFERROR(VLOOKUP(MID(N40,O40,P40-O40),[5]skilldef!$A:$B,2,FALSE),"-")</f>
        <v>自分自身に / 状態異常耐性</v>
      </c>
      <c r="T40" s="42" t="str">
        <f t="shared" si="10"/>
        <v>none</v>
      </c>
      <c r="U40" s="54" t="e">
        <f t="shared" si="11"/>
        <v>#VALUE!</v>
      </c>
      <c r="V40" s="54">
        <f t="shared" si="12"/>
        <v>4</v>
      </c>
      <c r="W40" s="54" t="e">
        <f t="shared" si="13"/>
        <v>#VALUE!</v>
      </c>
      <c r="X40" s="54" t="e">
        <f t="shared" si="14"/>
        <v>#VALUE!</v>
      </c>
      <c r="Y40" s="54" t="str">
        <f>IFERROR(VLOOKUP(MID(T40,W40,X40-W40),[5]skilldef!$C:$D,2,FALSE),"-") &amp; " / " &amp; IFERROR(VLOOKUP(MID(T40,U40,V40-U40),[5]skilldef!$A:$B,2,FALSE),"-")</f>
        <v>- / -</v>
      </c>
      <c r="Z40" s="44"/>
      <c r="AA40" s="46"/>
      <c r="AB40" s="44"/>
    </row>
    <row r="41" spans="1:28" ht="31" customHeight="1" x14ac:dyDescent="0.15">
      <c r="A41" s="181">
        <v>39014040</v>
      </c>
      <c r="B41" s="183" t="s">
        <v>503</v>
      </c>
      <c r="C41" s="44">
        <v>1</v>
      </c>
      <c r="D41" s="44" t="s">
        <v>430</v>
      </c>
      <c r="E41" s="45" t="s">
        <v>519</v>
      </c>
      <c r="F41" s="45" t="s">
        <v>489</v>
      </c>
      <c r="G41" s="54" t="str">
        <f t="shared" si="0"/>
        <v>[effect:enemy_message, val1:1.2, val2:1.2]</v>
      </c>
      <c r="H41" s="54">
        <f t="shared" si="1"/>
        <v>9</v>
      </c>
      <c r="I41" s="54">
        <f t="shared" si="2"/>
        <v>22</v>
      </c>
      <c r="J41" s="54" t="e">
        <f t="shared" si="3"/>
        <v>#VALUE!</v>
      </c>
      <c r="K41" s="54">
        <f t="shared" si="4"/>
        <v>32</v>
      </c>
      <c r="L41" s="54" t="str">
        <f>IFERROR(VLOOKUP(MID(G41,J41,K41-J41),[5]skilldef!$C:$D,2,FALSE),"-") &amp; " / " &amp; IFERROR(VLOOKUP(MID(G41,H41,I41-H41),[5]skilldef!$A:$B,2,FALSE),"-")</f>
        <v>- / -</v>
      </c>
      <c r="M41" s="54" t="str">
        <f t="shared" si="5"/>
        <v xml:space="preserve">[effect:tolerance, target:myself, turn:-1, count:-1, tolerance_effect:all, animation:enemy_tolerance]    </v>
      </c>
      <c r="N41" s="42" t="str">
        <f t="shared" si="77"/>
        <v xml:space="preserve">[effect:tolerance, target:myself, turn:-1, count:-1, tolerance_effect:all, animation:enemy_tolerance]    </v>
      </c>
      <c r="O41" s="54">
        <f t="shared" si="6"/>
        <v>9</v>
      </c>
      <c r="P41" s="54">
        <f t="shared" si="7"/>
        <v>18</v>
      </c>
      <c r="Q41" s="54">
        <f t="shared" si="8"/>
        <v>27</v>
      </c>
      <c r="R41" s="54">
        <f t="shared" si="9"/>
        <v>33</v>
      </c>
      <c r="S41" s="54" t="str">
        <f>IFERROR(VLOOKUP(MID(N41,Q41,R41-Q41),[5]skilldef!$C:$D,2,FALSE),"-") &amp; " / " &amp; IFERROR(VLOOKUP(MID(N41,O41,P41-O41),[5]skilldef!$A:$B,2,FALSE),"-")</f>
        <v>自分自身に / 状態異常耐性</v>
      </c>
      <c r="T41" s="42" t="str">
        <f t="shared" si="10"/>
        <v>none</v>
      </c>
      <c r="U41" s="54" t="e">
        <f t="shared" si="11"/>
        <v>#VALUE!</v>
      </c>
      <c r="V41" s="54">
        <f t="shared" si="12"/>
        <v>4</v>
      </c>
      <c r="W41" s="54" t="e">
        <f t="shared" si="13"/>
        <v>#VALUE!</v>
      </c>
      <c r="X41" s="54" t="e">
        <f t="shared" si="14"/>
        <v>#VALUE!</v>
      </c>
      <c r="Y41" s="54" t="str">
        <f>IFERROR(VLOOKUP(MID(T41,W41,X41-W41),[5]skilldef!$C:$D,2,FALSE),"-") &amp; " / " &amp; IFERROR(VLOOKUP(MID(T41,U41,V41-U41),[5]skilldef!$A:$B,2,FALSE),"-")</f>
        <v>- / -</v>
      </c>
      <c r="Z41" s="44"/>
      <c r="AA41" s="46"/>
      <c r="AB41" s="44"/>
    </row>
    <row r="42" spans="1:28" ht="31" customHeight="1" x14ac:dyDescent="0.15">
      <c r="A42" s="181">
        <v>39014041</v>
      </c>
      <c r="B42" s="183" t="s">
        <v>503</v>
      </c>
      <c r="C42" s="44">
        <v>1</v>
      </c>
      <c r="D42" s="44" t="s">
        <v>430</v>
      </c>
      <c r="E42" s="45" t="s">
        <v>519</v>
      </c>
      <c r="F42" s="45" t="s">
        <v>489</v>
      </c>
      <c r="G42" s="54" t="str">
        <f t="shared" si="0"/>
        <v>[effect:enemy_message, val1:1.2, val2:1.2]</v>
      </c>
      <c r="H42" s="54">
        <f t="shared" si="1"/>
        <v>9</v>
      </c>
      <c r="I42" s="54">
        <f t="shared" si="2"/>
        <v>22</v>
      </c>
      <c r="J42" s="54" t="e">
        <f t="shared" si="3"/>
        <v>#VALUE!</v>
      </c>
      <c r="K42" s="54">
        <f t="shared" si="4"/>
        <v>32</v>
      </c>
      <c r="L42" s="54" t="str">
        <f>IFERROR(VLOOKUP(MID(G42,J42,K42-J42),[5]skilldef!$C:$D,2,FALSE),"-") &amp; " / " &amp; IFERROR(VLOOKUP(MID(G42,H42,I42-H42),[5]skilldef!$A:$B,2,FALSE),"-")</f>
        <v>- / -</v>
      </c>
      <c r="M42" s="54" t="str">
        <f t="shared" si="5"/>
        <v xml:space="preserve">[effect:tolerance, target:myself, turn:-1, count:-1, tolerance_effect:all, animation:enemy_tolerance]    </v>
      </c>
      <c r="N42" s="42" t="str">
        <f t="shared" si="77"/>
        <v xml:space="preserve">[effect:tolerance, target:myself, turn:-1, count:-1, tolerance_effect:all, animation:enemy_tolerance]    </v>
      </c>
      <c r="O42" s="54">
        <f t="shared" si="6"/>
        <v>9</v>
      </c>
      <c r="P42" s="54">
        <f t="shared" si="7"/>
        <v>18</v>
      </c>
      <c r="Q42" s="54">
        <f t="shared" si="8"/>
        <v>27</v>
      </c>
      <c r="R42" s="54">
        <f t="shared" si="9"/>
        <v>33</v>
      </c>
      <c r="S42" s="54" t="str">
        <f>IFERROR(VLOOKUP(MID(N42,Q42,R42-Q42),[5]skilldef!$C:$D,2,FALSE),"-") &amp; " / " &amp; IFERROR(VLOOKUP(MID(N42,O42,P42-O42),[5]skilldef!$A:$B,2,FALSE),"-")</f>
        <v>自分自身に / 状態異常耐性</v>
      </c>
      <c r="T42" s="42" t="str">
        <f t="shared" si="10"/>
        <v>none</v>
      </c>
      <c r="U42" s="54" t="e">
        <f t="shared" si="11"/>
        <v>#VALUE!</v>
      </c>
      <c r="V42" s="54">
        <f t="shared" si="12"/>
        <v>4</v>
      </c>
      <c r="W42" s="54" t="e">
        <f t="shared" si="13"/>
        <v>#VALUE!</v>
      </c>
      <c r="X42" s="54" t="e">
        <f t="shared" si="14"/>
        <v>#VALUE!</v>
      </c>
      <c r="Y42" s="54" t="str">
        <f>IFERROR(VLOOKUP(MID(T42,W42,X42-W42),[5]skilldef!$C:$D,2,FALSE),"-") &amp; " / " &amp; IFERROR(VLOOKUP(MID(T42,U42,V42-U42),[5]skilldef!$A:$B,2,FALSE),"-")</f>
        <v>- / -</v>
      </c>
      <c r="Z42" s="44"/>
      <c r="AA42" s="46"/>
      <c r="AB42" s="44"/>
    </row>
    <row r="43" spans="1:28" ht="31" customHeight="1" x14ac:dyDescent="0.15">
      <c r="A43" s="181">
        <v>39014042</v>
      </c>
      <c r="B43" s="183" t="s">
        <v>503</v>
      </c>
      <c r="C43" s="44">
        <v>1</v>
      </c>
      <c r="D43" s="44" t="s">
        <v>430</v>
      </c>
      <c r="E43" s="45" t="s">
        <v>519</v>
      </c>
      <c r="F43" s="45" t="s">
        <v>489</v>
      </c>
      <c r="G43" s="54" t="str">
        <f t="shared" si="0"/>
        <v>[effect:enemy_message, val1:1.2, val2:1.2]</v>
      </c>
      <c r="H43" s="54">
        <f t="shared" si="1"/>
        <v>9</v>
      </c>
      <c r="I43" s="54">
        <f t="shared" si="2"/>
        <v>22</v>
      </c>
      <c r="J43" s="54" t="e">
        <f t="shared" si="3"/>
        <v>#VALUE!</v>
      </c>
      <c r="K43" s="54">
        <f t="shared" si="4"/>
        <v>32</v>
      </c>
      <c r="L43" s="54" t="str">
        <f>IFERROR(VLOOKUP(MID(G43,J43,K43-J43),[5]skilldef!$C:$D,2,FALSE),"-") &amp; " / " &amp; IFERROR(VLOOKUP(MID(G43,H43,I43-H43),[5]skilldef!$A:$B,2,FALSE),"-")</f>
        <v>- / -</v>
      </c>
      <c r="M43" s="54" t="str">
        <f t="shared" si="5"/>
        <v xml:space="preserve">[effect:tolerance, target:myself, turn:-1, count:-1, tolerance_effect:all, animation:enemy_tolerance]    </v>
      </c>
      <c r="N43" s="42" t="str">
        <f t="shared" si="77"/>
        <v xml:space="preserve">[effect:tolerance, target:myself, turn:-1, count:-1, tolerance_effect:all, animation:enemy_tolerance]    </v>
      </c>
      <c r="O43" s="54">
        <f t="shared" si="6"/>
        <v>9</v>
      </c>
      <c r="P43" s="54">
        <f t="shared" si="7"/>
        <v>18</v>
      </c>
      <c r="Q43" s="54">
        <f t="shared" si="8"/>
        <v>27</v>
      </c>
      <c r="R43" s="54">
        <f t="shared" si="9"/>
        <v>33</v>
      </c>
      <c r="S43" s="54" t="str">
        <f>IFERROR(VLOOKUP(MID(N43,Q43,R43-Q43),[5]skilldef!$C:$D,2,FALSE),"-") &amp; " / " &amp; IFERROR(VLOOKUP(MID(N43,O43,P43-O43),[5]skilldef!$A:$B,2,FALSE),"-")</f>
        <v>自分自身に / 状態異常耐性</v>
      </c>
      <c r="T43" s="42" t="str">
        <f t="shared" si="10"/>
        <v>none</v>
      </c>
      <c r="U43" s="54" t="e">
        <f t="shared" si="11"/>
        <v>#VALUE!</v>
      </c>
      <c r="V43" s="54">
        <f t="shared" si="12"/>
        <v>4</v>
      </c>
      <c r="W43" s="54" t="e">
        <f t="shared" si="13"/>
        <v>#VALUE!</v>
      </c>
      <c r="X43" s="54" t="e">
        <f t="shared" si="14"/>
        <v>#VALUE!</v>
      </c>
      <c r="Y43" s="54" t="str">
        <f>IFERROR(VLOOKUP(MID(T43,W43,X43-W43),[5]skilldef!$C:$D,2,FALSE),"-") &amp; " / " &amp; IFERROR(VLOOKUP(MID(T43,U43,V43-U43),[5]skilldef!$A:$B,2,FALSE),"-")</f>
        <v>- / -</v>
      </c>
      <c r="Z43" s="44"/>
      <c r="AA43" s="46"/>
      <c r="AB43" s="44"/>
    </row>
    <row r="44" spans="1:28" ht="31" customHeight="1" x14ac:dyDescent="0.15">
      <c r="A44" s="181">
        <v>39014043</v>
      </c>
      <c r="B44" s="183" t="s">
        <v>557</v>
      </c>
      <c r="C44" s="44">
        <v>1</v>
      </c>
      <c r="D44" s="44" t="s">
        <v>430</v>
      </c>
      <c r="E44" s="45" t="s">
        <v>519</v>
      </c>
      <c r="F44" s="45" t="s">
        <v>537</v>
      </c>
      <c r="G44" s="54" t="str">
        <f t="shared" si="0"/>
        <v>[effect:enemy_message, val1:1.2, val2:2.6]</v>
      </c>
      <c r="H44" s="54">
        <f t="shared" si="1"/>
        <v>9</v>
      </c>
      <c r="I44" s="54">
        <f t="shared" si="2"/>
        <v>22</v>
      </c>
      <c r="J44" s="54" t="e">
        <f t="shared" si="3"/>
        <v>#VALUE!</v>
      </c>
      <c r="K44" s="54">
        <f t="shared" si="4"/>
        <v>32</v>
      </c>
      <c r="L44" s="54" t="str">
        <f>IFERROR(VLOOKUP(MID(G44,J44,K44-J44),[5]skilldef!$C:$D,2,FALSE),"-") &amp; " / " &amp; IFERROR(VLOOKUP(MID(G44,H44,I44-H44),[5]skilldef!$A:$B,2,FALSE),"-")</f>
        <v>- / -</v>
      </c>
      <c r="M44" s="54" t="str">
        <f t="shared" si="5"/>
        <v>[effect:tolerance, target:myself, turn:-1, count:-1, tolerance_effect:all, animation:enemy_tolerance],[effect:sp_boost, target:unit_all, val:4, animation:sp_boost_one01]</v>
      </c>
      <c r="N44" s="42" t="str">
        <f t="shared" si="77"/>
        <v>[effect:tolerance, target:myself, turn:-1, count:-1, tolerance_effect:all, animation:enemy_tolerance],[effect:sp_boost, target:unit_all, val:4, animation:sp_boost_one01]</v>
      </c>
      <c r="O44" s="54">
        <f t="shared" si="6"/>
        <v>9</v>
      </c>
      <c r="P44" s="54">
        <f t="shared" si="7"/>
        <v>18</v>
      </c>
      <c r="Q44" s="54">
        <f t="shared" si="8"/>
        <v>27</v>
      </c>
      <c r="R44" s="54">
        <f t="shared" si="9"/>
        <v>33</v>
      </c>
      <c r="S44" s="54" t="str">
        <f>IFERROR(VLOOKUP(MID(N44,Q44,R44-Q44),[5]skilldef!$C:$D,2,FALSE),"-") &amp; " / " &amp; IFERROR(VLOOKUP(MID(N44,O44,P44-O44),[5]skilldef!$A:$B,2,FALSE),"-")</f>
        <v>自分自身に / 状態異常耐性</v>
      </c>
      <c r="T44" s="42" t="str">
        <f t="shared" si="10"/>
        <v>[effect:sp_boost, target:unit_all, val:4, animation:sp_boost_one01]</v>
      </c>
      <c r="U44" s="54">
        <f t="shared" si="11"/>
        <v>9</v>
      </c>
      <c r="V44" s="54">
        <f t="shared" si="12"/>
        <v>17</v>
      </c>
      <c r="W44" s="54">
        <f t="shared" si="13"/>
        <v>26</v>
      </c>
      <c r="X44" s="54">
        <f t="shared" si="14"/>
        <v>34</v>
      </c>
      <c r="Y44" s="54" t="str">
        <f>IFERROR(VLOOKUP(MID(T44,W44,X44-W44),[5]skilldef!$C:$D,2,FALSE),"-") &amp; " / " &amp; IFERROR(VLOOKUP(MID(T44,U44,V44-U44),[5]skilldef!$A:$B,2,FALSE),"-")</f>
        <v>味方全体に / -</v>
      </c>
      <c r="Z44" s="44"/>
      <c r="AA44" s="46"/>
      <c r="AB44" s="44"/>
    </row>
    <row r="45" spans="1:28" ht="31" customHeight="1" x14ac:dyDescent="0.15">
      <c r="A45" s="181">
        <v>39014044</v>
      </c>
      <c r="B45" s="183" t="s">
        <v>558</v>
      </c>
      <c r="C45" s="44">
        <v>1</v>
      </c>
      <c r="D45" s="44" t="s">
        <v>430</v>
      </c>
      <c r="E45" s="45" t="s">
        <v>519</v>
      </c>
      <c r="F45" s="45" t="s">
        <v>537</v>
      </c>
      <c r="G45" s="54" t="str">
        <f t="shared" si="0"/>
        <v>[effect:enemy_message, val1:1.2, val2:2.6]</v>
      </c>
      <c r="H45" s="54">
        <f t="shared" si="1"/>
        <v>9</v>
      </c>
      <c r="I45" s="54">
        <f t="shared" si="2"/>
        <v>22</v>
      </c>
      <c r="J45" s="54" t="e">
        <f t="shared" si="3"/>
        <v>#VALUE!</v>
      </c>
      <c r="K45" s="54">
        <f t="shared" si="4"/>
        <v>32</v>
      </c>
      <c r="L45" s="54" t="str">
        <f>IFERROR(VLOOKUP(MID(G45,J45,K45-J45),[5]skilldef!$C:$D,2,FALSE),"-") &amp; " / " &amp; IFERROR(VLOOKUP(MID(G45,H45,I45-H45),[5]skilldef!$A:$B,2,FALSE),"-")</f>
        <v>- / -</v>
      </c>
      <c r="M45" s="54" t="str">
        <f t="shared" si="5"/>
        <v>[effect:tolerance, target:myself, turn:-1, count:-1, tolerance_effect:all, animation:enemy_tolerance],[effect:sp_boost, target:unit_all, val:4, animation:sp_boost_one02]</v>
      </c>
      <c r="N45" s="42" t="str">
        <f t="shared" si="77"/>
        <v>[effect:tolerance, target:myself, turn:-1, count:-1, tolerance_effect:all, animation:enemy_tolerance],[effect:sp_boost, target:unit_all, val:4, animation:sp_boost_one02]</v>
      </c>
      <c r="O45" s="54">
        <f t="shared" si="6"/>
        <v>9</v>
      </c>
      <c r="P45" s="54">
        <f t="shared" si="7"/>
        <v>18</v>
      </c>
      <c r="Q45" s="54">
        <f t="shared" si="8"/>
        <v>27</v>
      </c>
      <c r="R45" s="54">
        <f t="shared" si="9"/>
        <v>33</v>
      </c>
      <c r="S45" s="54" t="str">
        <f>IFERROR(VLOOKUP(MID(N45,Q45,R45-Q45),[5]skilldef!$C:$D,2,FALSE),"-") &amp; " / " &amp; IFERROR(VLOOKUP(MID(N45,O45,P45-O45),[5]skilldef!$A:$B,2,FALSE),"-")</f>
        <v>自分自身に / 状態異常耐性</v>
      </c>
      <c r="T45" s="42" t="str">
        <f t="shared" si="10"/>
        <v>[effect:sp_boost, target:unit_all, val:4, animation:sp_boost_one02]</v>
      </c>
      <c r="U45" s="54">
        <f t="shared" si="11"/>
        <v>9</v>
      </c>
      <c r="V45" s="54">
        <f t="shared" si="12"/>
        <v>17</v>
      </c>
      <c r="W45" s="54">
        <f t="shared" si="13"/>
        <v>26</v>
      </c>
      <c r="X45" s="54">
        <f t="shared" si="14"/>
        <v>34</v>
      </c>
      <c r="Y45" s="54" t="str">
        <f>IFERROR(VLOOKUP(MID(T45,W45,X45-W45),[5]skilldef!$C:$D,2,FALSE),"-") &amp; " / " &amp; IFERROR(VLOOKUP(MID(T45,U45,V45-U45),[5]skilldef!$A:$B,2,FALSE),"-")</f>
        <v>味方全体に / -</v>
      </c>
      <c r="Z45" s="44"/>
      <c r="AA45" s="46"/>
      <c r="AB45" s="44"/>
    </row>
    <row r="46" spans="1:28" ht="32" customHeight="1" x14ac:dyDescent="0.15">
      <c r="A46" s="181">
        <v>39014045</v>
      </c>
      <c r="B46" s="183" t="s">
        <v>559</v>
      </c>
      <c r="C46" s="44">
        <v>1</v>
      </c>
      <c r="D46" s="44" t="s">
        <v>430</v>
      </c>
      <c r="E46" s="45" t="s">
        <v>519</v>
      </c>
      <c r="F46" s="45" t="s">
        <v>537</v>
      </c>
      <c r="G46" s="54" t="str">
        <f t="shared" si="0"/>
        <v>[effect:enemy_message, val1:1.2, val2:2.6]</v>
      </c>
      <c r="H46" s="54">
        <f t="shared" si="1"/>
        <v>9</v>
      </c>
      <c r="I46" s="54">
        <f t="shared" si="2"/>
        <v>22</v>
      </c>
      <c r="J46" s="54" t="e">
        <f t="shared" si="3"/>
        <v>#VALUE!</v>
      </c>
      <c r="K46" s="54">
        <f t="shared" si="4"/>
        <v>32</v>
      </c>
      <c r="L46" s="54" t="str">
        <f>IFERROR(VLOOKUP(MID(G46,J46,K46-J46),[5]skilldef!$C:$D,2,FALSE),"-") &amp; " / " &amp; IFERROR(VLOOKUP(MID(G46,H46,I46-H46),[5]skilldef!$A:$B,2,FALSE),"-")</f>
        <v>- / -</v>
      </c>
      <c r="M46" s="54" t="str">
        <f t="shared" si="5"/>
        <v xml:space="preserve">[effect:tolerance, target:myself, turn:-1, count:-1, tolerance_effect:all, animation:enemy_tolerance],[effect:sp_boost, target:unit_all, val:4, animation:sp_boost_one03]    </v>
      </c>
      <c r="N46" s="42" t="str">
        <f t="shared" si="77"/>
        <v xml:space="preserve">[effect:tolerance, target:myself, turn:-1, count:-1, tolerance_effect:all, animation:enemy_tolerance],[effect:sp_boost, target:unit_all, val:4, animation:sp_boost_one03]    </v>
      </c>
      <c r="O46" s="54">
        <f t="shared" si="6"/>
        <v>9</v>
      </c>
      <c r="P46" s="54">
        <f t="shared" si="7"/>
        <v>18</v>
      </c>
      <c r="Q46" s="54">
        <f t="shared" si="8"/>
        <v>27</v>
      </c>
      <c r="R46" s="54">
        <f t="shared" si="9"/>
        <v>33</v>
      </c>
      <c r="S46" s="54" t="str">
        <f>IFERROR(VLOOKUP(MID(N46,Q46,R46-Q46),[5]skilldef!$C:$D,2,FALSE),"-") &amp; " / " &amp; IFERROR(VLOOKUP(MID(N46,O46,P46-O46),[5]skilldef!$A:$B,2,FALSE),"-")</f>
        <v>自分自身に / 状態異常耐性</v>
      </c>
      <c r="T46" s="42" t="str">
        <f t="shared" si="10"/>
        <v xml:space="preserve">[effect:sp_boost, target:unit_all, val:4, animation:sp_boost_one03]    </v>
      </c>
      <c r="U46" s="54">
        <f t="shared" si="11"/>
        <v>9</v>
      </c>
      <c r="V46" s="54">
        <f t="shared" si="12"/>
        <v>17</v>
      </c>
      <c r="W46" s="54">
        <f t="shared" si="13"/>
        <v>26</v>
      </c>
      <c r="X46" s="54">
        <f t="shared" si="14"/>
        <v>34</v>
      </c>
      <c r="Y46" s="54" t="str">
        <f>IFERROR(VLOOKUP(MID(T46,W46,X46-W46),[5]skilldef!$C:$D,2,FALSE),"-") &amp; " / " &amp; IFERROR(VLOOKUP(MID(T46,U46,V46-U46),[5]skilldef!$A:$B,2,FALSE),"-")</f>
        <v>味方全体に / -</v>
      </c>
      <c r="Z46" s="44"/>
      <c r="AA46" s="46"/>
      <c r="AB46" s="44"/>
    </row>
    <row r="47" spans="1:28" ht="32" customHeight="1" x14ac:dyDescent="0.15">
      <c r="A47" s="181">
        <v>39014046</v>
      </c>
      <c r="B47" s="183" t="s">
        <v>560</v>
      </c>
      <c r="C47" s="44">
        <v>1</v>
      </c>
      <c r="D47" s="44" t="s">
        <v>430</v>
      </c>
      <c r="E47" s="45" t="s">
        <v>519</v>
      </c>
      <c r="F47" s="45" t="s">
        <v>537</v>
      </c>
      <c r="G47" s="54" t="str">
        <f t="shared" si="0"/>
        <v>[effect:enemy_message, val1:1.2, val2:2.6]</v>
      </c>
      <c r="H47" s="54">
        <f t="shared" si="1"/>
        <v>9</v>
      </c>
      <c r="I47" s="54">
        <f t="shared" si="2"/>
        <v>22</v>
      </c>
      <c r="J47" s="54" t="e">
        <f t="shared" si="3"/>
        <v>#VALUE!</v>
      </c>
      <c r="K47" s="54">
        <f t="shared" si="4"/>
        <v>32</v>
      </c>
      <c r="L47" s="54" t="str">
        <f>IFERROR(VLOOKUP(MID(G47,J47,K47-J47),[5]skilldef!$C:$D,2,FALSE),"-") &amp; " / " &amp; IFERROR(VLOOKUP(MID(G47,H47,I47-H47),[5]skilldef!$A:$B,2,FALSE),"-")</f>
        <v>- / -</v>
      </c>
      <c r="M47" s="54" t="str">
        <f t="shared" si="5"/>
        <v>[effect:tolerance, target:myself, turn:-1, count:-1, tolerance_effect:all, animation:enemy_tolerance],[effect:sp_boost, target:unit_all, val:4, animation:sp_boost_one04]</v>
      </c>
      <c r="N47" s="42" t="str">
        <f t="shared" si="77"/>
        <v>[effect:tolerance, target:myself, turn:-1, count:-1, tolerance_effect:all, animation:enemy_tolerance],[effect:sp_boost, target:unit_all, val:4, animation:sp_boost_one04]</v>
      </c>
      <c r="O47" s="54">
        <f t="shared" si="6"/>
        <v>9</v>
      </c>
      <c r="P47" s="54">
        <f t="shared" si="7"/>
        <v>18</v>
      </c>
      <c r="Q47" s="54">
        <f t="shared" si="8"/>
        <v>27</v>
      </c>
      <c r="R47" s="54">
        <f t="shared" si="9"/>
        <v>33</v>
      </c>
      <c r="S47" s="54" t="str">
        <f>IFERROR(VLOOKUP(MID(N47,Q47,R47-Q47),[5]skilldef!$C:$D,2,FALSE),"-") &amp; " / " &amp; IFERROR(VLOOKUP(MID(N47,O47,P47-O47),[5]skilldef!$A:$B,2,FALSE),"-")</f>
        <v>自分自身に / 状態異常耐性</v>
      </c>
      <c r="T47" s="42" t="str">
        <f t="shared" si="10"/>
        <v>[effect:sp_boost, target:unit_all, val:4, animation:sp_boost_one04]</v>
      </c>
      <c r="U47" s="54">
        <f t="shared" si="11"/>
        <v>9</v>
      </c>
      <c r="V47" s="54">
        <f t="shared" si="12"/>
        <v>17</v>
      </c>
      <c r="W47" s="54">
        <f t="shared" si="13"/>
        <v>26</v>
      </c>
      <c r="X47" s="54">
        <f t="shared" si="14"/>
        <v>34</v>
      </c>
      <c r="Y47" s="54" t="str">
        <f>IFERROR(VLOOKUP(MID(T47,W47,X47-W47),[5]skilldef!$C:$D,2,FALSE),"-") &amp; " / " &amp; IFERROR(VLOOKUP(MID(T47,U47,V47-U47),[5]skilldef!$A:$B,2,FALSE),"-")</f>
        <v>味方全体に / -</v>
      </c>
      <c r="Z47" s="44"/>
      <c r="AA47" s="46"/>
      <c r="AB47" s="44"/>
    </row>
    <row r="48" spans="1:28" ht="30" customHeight="1" x14ac:dyDescent="0.15">
      <c r="A48" s="181">
        <v>39014047</v>
      </c>
      <c r="B48" s="183" t="s">
        <v>538</v>
      </c>
      <c r="C48" s="44">
        <v>1</v>
      </c>
      <c r="D48" s="44" t="s">
        <v>430</v>
      </c>
      <c r="E48" s="45" t="s">
        <v>519</v>
      </c>
      <c r="F48" s="45" t="s">
        <v>489</v>
      </c>
      <c r="G48" s="54" t="str">
        <f t="shared" si="0"/>
        <v>[effect:enemy_message, val1:1.2, val2:1.2]</v>
      </c>
      <c r="H48" s="54">
        <f t="shared" si="1"/>
        <v>9</v>
      </c>
      <c r="I48" s="54">
        <f t="shared" si="2"/>
        <v>22</v>
      </c>
      <c r="J48" s="54" t="e">
        <f t="shared" si="3"/>
        <v>#VALUE!</v>
      </c>
      <c r="K48" s="54">
        <f t="shared" si="4"/>
        <v>32</v>
      </c>
      <c r="L48" s="54" t="str">
        <f>IFERROR(VLOOKUP(MID(G48,J48,K48-J48),[5]skilldef!$C:$D,2,FALSE),"-") &amp; " / " &amp; IFERROR(VLOOKUP(MID(G48,H48,I48-H48),[5]skilldef!$A:$B,2,FALSE),"-")</f>
        <v>- / -</v>
      </c>
      <c r="M48" s="54" t="str">
        <f t="shared" si="5"/>
        <v>[effect:tolerance, target:myself, turn:-1, count:-1, tolerance_effect:all, animation:enemy_tolerance]</v>
      </c>
      <c r="N48" s="42" t="str">
        <f t="shared" si="77"/>
        <v>[effect:tolerance, target:myself, turn:-1, count:-1, tolerance_effect:all, animation:enemy_tolerance]</v>
      </c>
      <c r="O48" s="54">
        <f t="shared" si="6"/>
        <v>9</v>
      </c>
      <c r="P48" s="54">
        <f t="shared" si="7"/>
        <v>18</v>
      </c>
      <c r="Q48" s="54">
        <f t="shared" si="8"/>
        <v>27</v>
      </c>
      <c r="R48" s="54">
        <f t="shared" si="9"/>
        <v>33</v>
      </c>
      <c r="S48" s="54" t="str">
        <f>IFERROR(VLOOKUP(MID(N48,Q48,R48-Q48),[5]skilldef!$C:$D,2,FALSE),"-") &amp; " / " &amp; IFERROR(VLOOKUP(MID(N48,O48,P48-O48),[5]skilldef!$A:$B,2,FALSE),"-")</f>
        <v>自分自身に / 状態異常耐性</v>
      </c>
      <c r="T48" s="42" t="str">
        <f t="shared" si="10"/>
        <v>none</v>
      </c>
      <c r="U48" s="54" t="e">
        <f t="shared" si="11"/>
        <v>#VALUE!</v>
      </c>
      <c r="V48" s="54">
        <f t="shared" si="12"/>
        <v>4</v>
      </c>
      <c r="W48" s="54" t="e">
        <f t="shared" si="13"/>
        <v>#VALUE!</v>
      </c>
      <c r="X48" s="54" t="e">
        <f t="shared" si="14"/>
        <v>#VALUE!</v>
      </c>
      <c r="Y48" s="54" t="str">
        <f>IFERROR(VLOOKUP(MID(T48,W48,X48-W48),[5]skilldef!$C:$D,2,FALSE),"-") &amp; " / " &amp; IFERROR(VLOOKUP(MID(T48,U48,V48-U48),[5]skilldef!$A:$B,2,FALSE),"-")</f>
        <v>- / -</v>
      </c>
      <c r="Z48" s="44"/>
      <c r="AA48" s="46"/>
      <c r="AB48" s="44"/>
    </row>
    <row r="49" spans="1:28" ht="31" customHeight="1" x14ac:dyDescent="0.15">
      <c r="A49" s="181">
        <v>39014048</v>
      </c>
      <c r="B49" s="183" t="s">
        <v>539</v>
      </c>
      <c r="C49" s="44">
        <v>1</v>
      </c>
      <c r="D49" s="44" t="s">
        <v>430</v>
      </c>
      <c r="E49" s="45" t="s">
        <v>519</v>
      </c>
      <c r="F49" s="45" t="s">
        <v>489</v>
      </c>
      <c r="G49" s="54" t="str">
        <f t="shared" si="0"/>
        <v>[effect:enemy_message, val1:1.2, val2:1.2]</v>
      </c>
      <c r="H49" s="54">
        <f t="shared" si="1"/>
        <v>9</v>
      </c>
      <c r="I49" s="54">
        <f t="shared" si="2"/>
        <v>22</v>
      </c>
      <c r="J49" s="54" t="e">
        <f t="shared" si="3"/>
        <v>#VALUE!</v>
      </c>
      <c r="K49" s="54">
        <f t="shared" si="4"/>
        <v>32</v>
      </c>
      <c r="L49" s="54" t="str">
        <f>IFERROR(VLOOKUP(MID(G49,J49,K49-J49),[5]skilldef!$C:$D,2,FALSE),"-") &amp; " / " &amp; IFERROR(VLOOKUP(MID(G49,H49,I49-H49),[5]skilldef!$A:$B,2,FALSE),"-")</f>
        <v>- / -</v>
      </c>
      <c r="M49" s="54" t="str">
        <f t="shared" si="5"/>
        <v>[effect:tolerance, target:myself, turn:-1, count:-0, tolerance_effect:all, animation:enemy_tolerance]</v>
      </c>
      <c r="N49" s="42" t="str">
        <f t="shared" si="77"/>
        <v>[effect:tolerance, target:myself, turn:-1, count:-0, tolerance_effect:all, animation:enemy_tolerance]</v>
      </c>
      <c r="O49" s="54">
        <f t="shared" si="6"/>
        <v>9</v>
      </c>
      <c r="P49" s="54">
        <f t="shared" si="7"/>
        <v>18</v>
      </c>
      <c r="Q49" s="54">
        <f t="shared" si="8"/>
        <v>27</v>
      </c>
      <c r="R49" s="54">
        <f t="shared" si="9"/>
        <v>33</v>
      </c>
      <c r="S49" s="54" t="str">
        <f>IFERROR(VLOOKUP(MID(N49,Q49,R49-Q49),[5]skilldef!$C:$D,2,FALSE),"-") &amp; " / " &amp; IFERROR(VLOOKUP(MID(N49,O49,P49-O49),[5]skilldef!$A:$B,2,FALSE),"-")</f>
        <v>自分自身に / 状態異常耐性</v>
      </c>
      <c r="T49" s="42" t="str">
        <f t="shared" si="10"/>
        <v>none</v>
      </c>
      <c r="U49" s="54" t="e">
        <f t="shared" si="11"/>
        <v>#VALUE!</v>
      </c>
      <c r="V49" s="54">
        <f t="shared" si="12"/>
        <v>4</v>
      </c>
      <c r="W49" s="54" t="e">
        <f t="shared" si="13"/>
        <v>#VALUE!</v>
      </c>
      <c r="X49" s="54" t="e">
        <f t="shared" si="14"/>
        <v>#VALUE!</v>
      </c>
      <c r="Y49" s="54" t="str">
        <f>IFERROR(VLOOKUP(MID(T49,W49,X49-W49),[5]skilldef!$C:$D,2,FALSE),"-") &amp; " / " &amp; IFERROR(VLOOKUP(MID(T49,U49,V49-U49),[5]skilldef!$A:$B,2,FALSE),"-")</f>
        <v>- / -</v>
      </c>
      <c r="Z49" s="44"/>
      <c r="AA49" s="46"/>
      <c r="AB49" s="44"/>
    </row>
    <row r="50" spans="1:28" ht="32" customHeight="1" x14ac:dyDescent="0.15">
      <c r="A50" s="181">
        <v>39014049</v>
      </c>
      <c r="B50" s="183" t="s">
        <v>503</v>
      </c>
      <c r="C50" s="44">
        <v>1</v>
      </c>
      <c r="D50" s="44" t="s">
        <v>430</v>
      </c>
      <c r="E50" s="45" t="s">
        <v>519</v>
      </c>
      <c r="F50" s="45" t="s">
        <v>489</v>
      </c>
      <c r="G50" s="54" t="str">
        <f t="shared" si="0"/>
        <v>[effect:enemy_message, val1:1.2, val2:1.2]</v>
      </c>
      <c r="H50" s="54">
        <f t="shared" si="1"/>
        <v>9</v>
      </c>
      <c r="I50" s="54">
        <f t="shared" si="2"/>
        <v>22</v>
      </c>
      <c r="J50" s="54" t="e">
        <f t="shared" si="3"/>
        <v>#VALUE!</v>
      </c>
      <c r="K50" s="54">
        <f t="shared" si="4"/>
        <v>32</v>
      </c>
      <c r="L50" s="54" t="str">
        <f>IFERROR(VLOOKUP(MID(G50,J50,K50-J50),[5]skilldef!$C:$D,2,FALSE),"-") &amp; " / " &amp; IFERROR(VLOOKUP(MID(G50,H50,I50-H50),[5]skilldef!$A:$B,2,FALSE),"-")</f>
        <v>- / -</v>
      </c>
      <c r="M50" s="54" t="str">
        <f t="shared" si="5"/>
        <v xml:space="preserve">[effect:tolerance, target:myself, turn:-1, count:-1, tolerance_effect:all, animation:enemy_tolerance]    </v>
      </c>
      <c r="N50" s="42" t="str">
        <f t="shared" si="77"/>
        <v xml:space="preserve">[effect:tolerance, target:myself, turn:-1, count:-1, tolerance_effect:all, animation:enemy_tolerance]    </v>
      </c>
      <c r="O50" s="54">
        <f t="shared" si="6"/>
        <v>9</v>
      </c>
      <c r="P50" s="54">
        <f t="shared" si="7"/>
        <v>18</v>
      </c>
      <c r="Q50" s="54">
        <f t="shared" si="8"/>
        <v>27</v>
      </c>
      <c r="R50" s="54">
        <f t="shared" si="9"/>
        <v>33</v>
      </c>
      <c r="S50" s="54" t="str">
        <f>IFERROR(VLOOKUP(MID(N50,Q50,R50-Q50),[5]skilldef!$C:$D,2,FALSE),"-") &amp; " / " &amp; IFERROR(VLOOKUP(MID(N50,O50,P50-O50),[5]skilldef!$A:$B,2,FALSE),"-")</f>
        <v>自分自身に / 状態異常耐性</v>
      </c>
      <c r="T50" s="42" t="str">
        <f t="shared" si="10"/>
        <v>none</v>
      </c>
      <c r="U50" s="54" t="e">
        <f t="shared" si="11"/>
        <v>#VALUE!</v>
      </c>
      <c r="V50" s="54">
        <f t="shared" si="12"/>
        <v>4</v>
      </c>
      <c r="W50" s="54" t="e">
        <f t="shared" si="13"/>
        <v>#VALUE!</v>
      </c>
      <c r="X50" s="54" t="e">
        <f t="shared" si="14"/>
        <v>#VALUE!</v>
      </c>
      <c r="Y50" s="54" t="str">
        <f>IFERROR(VLOOKUP(MID(T50,W50,X50-W50),[5]skilldef!$C:$D,2,FALSE),"-") &amp; " / " &amp; IFERROR(VLOOKUP(MID(T50,U50,V50-U50),[5]skilldef!$A:$B,2,FALSE),"-")</f>
        <v>- / -</v>
      </c>
      <c r="Z50" s="44"/>
      <c r="AA50" s="46"/>
      <c r="AB50" s="44"/>
    </row>
    <row r="51" spans="1:28" ht="30" customHeight="1" x14ac:dyDescent="0.15">
      <c r="A51" s="181">
        <v>39014050</v>
      </c>
      <c r="B51" s="183" t="s">
        <v>503</v>
      </c>
      <c r="C51" s="44">
        <v>1</v>
      </c>
      <c r="D51" s="44" t="s">
        <v>430</v>
      </c>
      <c r="E51" s="45" t="s">
        <v>519</v>
      </c>
      <c r="F51" s="45" t="s">
        <v>489</v>
      </c>
      <c r="G51" s="54" t="str">
        <f t="shared" si="0"/>
        <v>[effect:enemy_message, val1:1.2, val2:1.2]</v>
      </c>
      <c r="H51" s="54">
        <f t="shared" si="1"/>
        <v>9</v>
      </c>
      <c r="I51" s="54">
        <f t="shared" si="2"/>
        <v>22</v>
      </c>
      <c r="J51" s="54" t="e">
        <f t="shared" si="3"/>
        <v>#VALUE!</v>
      </c>
      <c r="K51" s="54">
        <f t="shared" si="4"/>
        <v>32</v>
      </c>
      <c r="L51" s="54" t="str">
        <f>IFERROR(VLOOKUP(MID(G51,J51,K51-J51),[5]skilldef!$C:$D,2,FALSE),"-") &amp; " / " &amp; IFERROR(VLOOKUP(MID(G51,H51,I51-H51),[5]skilldef!$A:$B,2,FALSE),"-")</f>
        <v>- / -</v>
      </c>
      <c r="M51" s="54" t="str">
        <f t="shared" si="5"/>
        <v xml:space="preserve">[effect:tolerance, target:myself, turn:-1, count:-1, tolerance_effect:all, animation:enemy_tolerance]    </v>
      </c>
      <c r="N51" s="42" t="str">
        <f>IFERROR(LEFT(M51,FIND("],",M51)+S122),M51)</f>
        <v xml:space="preserve">[effect:tolerance, target:myself, turn:-1, count:-1, tolerance_effect:all, animation:enemy_tolerance]    </v>
      </c>
      <c r="O51" s="54">
        <f t="shared" si="6"/>
        <v>9</v>
      </c>
      <c r="P51" s="54">
        <f t="shared" si="7"/>
        <v>18</v>
      </c>
      <c r="Q51" s="54">
        <f t="shared" si="8"/>
        <v>27</v>
      </c>
      <c r="R51" s="54">
        <f t="shared" si="9"/>
        <v>33</v>
      </c>
      <c r="S51" s="54" t="str">
        <f>IFERROR(VLOOKUP(MID(N51,Q51,R51-Q51),[5]skilldef!$C:$D,2,FALSE),"-") &amp; " / " &amp; IFERROR(VLOOKUP(MID(N51,O51,P51-O51),[5]skilldef!$A:$B,2,FALSE),"-")</f>
        <v>自分自身に / 状態異常耐性</v>
      </c>
      <c r="T51" s="42" t="str">
        <f t="shared" si="10"/>
        <v>none</v>
      </c>
      <c r="U51" s="54" t="e">
        <f t="shared" si="11"/>
        <v>#VALUE!</v>
      </c>
      <c r="V51" s="54">
        <f t="shared" si="12"/>
        <v>4</v>
      </c>
      <c r="W51" s="54" t="e">
        <f t="shared" si="13"/>
        <v>#VALUE!</v>
      </c>
      <c r="X51" s="54" t="e">
        <f t="shared" si="14"/>
        <v>#VALUE!</v>
      </c>
      <c r="Y51" s="54" t="str">
        <f>IFERROR(VLOOKUP(MID(T51,W51,X51-W51),[5]skilldef!$C:$D,2,FALSE),"-") &amp; " / " &amp; IFERROR(VLOOKUP(MID(T51,U51,V51-U51),[5]skilldef!$A:$B,2,FALSE),"-")</f>
        <v>- / -</v>
      </c>
      <c r="Z51" s="44"/>
      <c r="AA51" s="46"/>
      <c r="AB51" s="44"/>
    </row>
    <row r="52" spans="1:28" ht="32" customHeight="1" x14ac:dyDescent="0.15">
      <c r="A52" s="181">
        <v>39014051</v>
      </c>
      <c r="B52" s="183" t="s">
        <v>503</v>
      </c>
      <c r="C52" s="44">
        <v>1</v>
      </c>
      <c r="D52" s="44" t="s">
        <v>430</v>
      </c>
      <c r="E52" s="45" t="s">
        <v>519</v>
      </c>
      <c r="F52" s="45" t="s">
        <v>489</v>
      </c>
      <c r="G52" s="54" t="str">
        <f t="shared" si="0"/>
        <v>[effect:enemy_message, val1:1.2, val2:1.2]</v>
      </c>
      <c r="H52" s="54">
        <f t="shared" si="1"/>
        <v>9</v>
      </c>
      <c r="I52" s="54">
        <f t="shared" si="2"/>
        <v>22</v>
      </c>
      <c r="J52" s="54" t="e">
        <f t="shared" si="3"/>
        <v>#VALUE!</v>
      </c>
      <c r="K52" s="54">
        <f t="shared" si="4"/>
        <v>32</v>
      </c>
      <c r="L52" s="54" t="str">
        <f>IFERROR(VLOOKUP(MID(G52,J52,K52-J52),[5]skilldef!$C:$D,2,FALSE),"-") &amp; " / " &amp; IFERROR(VLOOKUP(MID(G52,H52,I52-H52),[5]skilldef!$A:$B,2,FALSE),"-")</f>
        <v>- / -</v>
      </c>
      <c r="M52" s="54" t="str">
        <f t="shared" si="5"/>
        <v xml:space="preserve">[effect:tolerance, target:myself, turn:-1, count:-1, tolerance_effect:all, animation:enemy_tolerance]    </v>
      </c>
      <c r="N52" s="42" t="str">
        <f>IFERROR(LEFT(M52,FIND("],",M52)+S121),M52)</f>
        <v xml:space="preserve">[effect:tolerance, target:myself, turn:-1, count:-1, tolerance_effect:all, animation:enemy_tolerance]    </v>
      </c>
      <c r="O52" s="54">
        <f t="shared" si="6"/>
        <v>9</v>
      </c>
      <c r="P52" s="54">
        <f t="shared" si="7"/>
        <v>18</v>
      </c>
      <c r="Q52" s="54">
        <f t="shared" si="8"/>
        <v>27</v>
      </c>
      <c r="R52" s="54">
        <f t="shared" si="9"/>
        <v>33</v>
      </c>
      <c r="S52" s="54" t="str">
        <f>IFERROR(VLOOKUP(MID(N52,Q52,R52-Q52),[5]skilldef!$C:$D,2,FALSE),"-") &amp; " / " &amp; IFERROR(VLOOKUP(MID(N52,O52,P52-O52),[5]skilldef!$A:$B,2,FALSE),"-")</f>
        <v>自分自身に / 状態異常耐性</v>
      </c>
      <c r="T52" s="42" t="str">
        <f t="shared" si="10"/>
        <v>none</v>
      </c>
      <c r="U52" s="54" t="e">
        <f t="shared" si="11"/>
        <v>#VALUE!</v>
      </c>
      <c r="V52" s="54">
        <f t="shared" si="12"/>
        <v>4</v>
      </c>
      <c r="W52" s="54" t="e">
        <f t="shared" si="13"/>
        <v>#VALUE!</v>
      </c>
      <c r="X52" s="54" t="e">
        <f t="shared" si="14"/>
        <v>#VALUE!</v>
      </c>
      <c r="Y52" s="54" t="str">
        <f>IFERROR(VLOOKUP(MID(T52,W52,X52-W52),[5]skilldef!$C:$D,2,FALSE),"-") &amp; " / " &amp; IFERROR(VLOOKUP(MID(T52,U52,V52-U52),[5]skilldef!$A:$B,2,FALSE),"-")</f>
        <v>- / -</v>
      </c>
      <c r="Z52" s="44"/>
      <c r="AA52" s="46"/>
      <c r="AB52" s="44"/>
    </row>
    <row r="53" spans="1:28" ht="42" customHeight="1" x14ac:dyDescent="0.15">
      <c r="A53" s="181">
        <v>39014052</v>
      </c>
      <c r="B53" s="183" t="s">
        <v>571</v>
      </c>
      <c r="C53" s="44">
        <v>1</v>
      </c>
      <c r="D53" s="44" t="s">
        <v>430</v>
      </c>
      <c r="E53" s="45" t="s">
        <v>513</v>
      </c>
      <c r="F53" s="45" t="s">
        <v>567</v>
      </c>
      <c r="G53" s="54" t="str">
        <f t="shared" si="0"/>
        <v>[effect:enemy_message, val1:1.2, val2:1.2]</v>
      </c>
      <c r="H53" s="54">
        <f t="shared" si="1"/>
        <v>9</v>
      </c>
      <c r="I53" s="54">
        <f t="shared" si="2"/>
        <v>22</v>
      </c>
      <c r="J53" s="54" t="e">
        <f t="shared" si="3"/>
        <v>#VALUE!</v>
      </c>
      <c r="K53" s="54">
        <f t="shared" si="4"/>
        <v>32</v>
      </c>
      <c r="L53" s="54" t="str">
        <f>IFERROR(VLOOKUP(MID(G53,J53,K53-J53),[5]skilldef!$C:$D,2,FALSE),"-") &amp; " / " &amp; IFERROR(VLOOKUP(MID(G53,H53,I53-H53),[5]skilldef!$A:$B,2,FALSE),"-")</f>
        <v>- / -</v>
      </c>
      <c r="M53" s="54" t="str">
        <f t="shared" si="5"/>
        <v xml:space="preserve">[effect:rush, count:2, val:0.2]    </v>
      </c>
      <c r="N53" s="42" t="str">
        <f>IFERROR(LEFT(M53,FIND("],",M53)+S92),M53)</f>
        <v xml:space="preserve">[effect:rush, count:2, val:0.2]    </v>
      </c>
      <c r="O53" s="54">
        <f t="shared" si="6"/>
        <v>9</v>
      </c>
      <c r="P53" s="54">
        <f t="shared" si="7"/>
        <v>13</v>
      </c>
      <c r="Q53" s="54" t="e">
        <f t="shared" si="8"/>
        <v>#VALUE!</v>
      </c>
      <c r="R53" s="54">
        <f t="shared" si="9"/>
        <v>22</v>
      </c>
      <c r="S53" s="54" t="str">
        <f>IFERROR(VLOOKUP(MID(N53,Q53,R53-Q53),[5]skilldef!$C:$D,2,FALSE),"-") &amp; " / " &amp; IFERROR(VLOOKUP(MID(N53,O53,P53-O53),[5]skilldef!$A:$B,2,FALSE),"-")</f>
        <v>- / 連続攻撃</v>
      </c>
      <c r="T53" s="42" t="str">
        <f t="shared" si="10"/>
        <v>none</v>
      </c>
      <c r="U53" s="54" t="e">
        <f t="shared" si="11"/>
        <v>#VALUE!</v>
      </c>
      <c r="V53" s="54">
        <f t="shared" si="12"/>
        <v>4</v>
      </c>
      <c r="W53" s="54" t="e">
        <f t="shared" si="13"/>
        <v>#VALUE!</v>
      </c>
      <c r="X53" s="54" t="e">
        <f t="shared" si="14"/>
        <v>#VALUE!</v>
      </c>
      <c r="Y53" s="54" t="str">
        <f>IFERROR(VLOOKUP(MID(T53,W53,X53-W53),[5]skilldef!$C:$D,2,FALSE),"-") &amp; " / " &amp; IFERROR(VLOOKUP(MID(T53,U53,V53-U53),[5]skilldef!$A:$B,2,FALSE),"-")</f>
        <v>- / -</v>
      </c>
      <c r="Z53" s="44"/>
      <c r="AA53" s="46"/>
      <c r="AB53" s="44"/>
    </row>
    <row r="54" spans="1:28" ht="21" customHeight="1" x14ac:dyDescent="0.15">
      <c r="A54" s="181">
        <v>39014053</v>
      </c>
      <c r="B54" s="183" t="s">
        <v>572</v>
      </c>
      <c r="C54" s="44">
        <v>1</v>
      </c>
      <c r="D54" s="44" t="s">
        <v>430</v>
      </c>
      <c r="E54" s="45" t="s">
        <v>514</v>
      </c>
      <c r="F54" s="45" t="s">
        <v>515</v>
      </c>
      <c r="G54" s="54" t="str">
        <f t="shared" si="0"/>
        <v>[effect:enemy_message, val1:1.2, val2:1.2]</v>
      </c>
      <c r="H54" s="54">
        <f t="shared" si="1"/>
        <v>9</v>
      </c>
      <c r="I54" s="54">
        <f t="shared" si="2"/>
        <v>22</v>
      </c>
      <c r="J54" s="54" t="e">
        <f t="shared" si="3"/>
        <v>#VALUE!</v>
      </c>
      <c r="K54" s="54">
        <f t="shared" si="4"/>
        <v>32</v>
      </c>
      <c r="L54" s="54" t="str">
        <f>IFERROR(VLOOKUP(MID(G54,J54,K54-J54),[5]skilldef!$C:$D,2,FALSE),"-") &amp; " / " &amp; IFERROR(VLOOKUP(MID(G54,H54,I54-H54),[5]skilldef!$A:$B,2,FALSE),"-")</f>
        <v>- / -</v>
      </c>
      <c r="M54" s="54" t="str">
        <f t="shared" si="5"/>
        <v xml:space="preserve">[effect:rush, count:3, val:0.18]    </v>
      </c>
      <c r="N54" s="42" t="str">
        <f>IFERROR(LEFT(M54,FIND("],",M54)+S92),M54)</f>
        <v xml:space="preserve">[effect:rush, count:3, val:0.18]    </v>
      </c>
      <c r="O54" s="54">
        <f t="shared" si="6"/>
        <v>9</v>
      </c>
      <c r="P54" s="54">
        <f t="shared" si="7"/>
        <v>13</v>
      </c>
      <c r="Q54" s="54" t="e">
        <f t="shared" si="8"/>
        <v>#VALUE!</v>
      </c>
      <c r="R54" s="54">
        <f t="shared" si="9"/>
        <v>22</v>
      </c>
      <c r="S54" s="54" t="str">
        <f>IFERROR(VLOOKUP(MID(N54,Q54,R54-Q54),[5]skilldef!$C:$D,2,FALSE),"-") &amp; " / " &amp; IFERROR(VLOOKUP(MID(N54,O54,P54-O54),[5]skilldef!$A:$B,2,FALSE),"-")</f>
        <v>- / 連続攻撃</v>
      </c>
      <c r="T54" s="42" t="str">
        <f t="shared" si="10"/>
        <v>none</v>
      </c>
      <c r="U54" s="54" t="e">
        <f t="shared" si="11"/>
        <v>#VALUE!</v>
      </c>
      <c r="V54" s="54">
        <f t="shared" si="12"/>
        <v>4</v>
      </c>
      <c r="W54" s="54" t="e">
        <f t="shared" si="13"/>
        <v>#VALUE!</v>
      </c>
      <c r="X54" s="54" t="e">
        <f t="shared" si="14"/>
        <v>#VALUE!</v>
      </c>
      <c r="Y54" s="54" t="str">
        <f>IFERROR(VLOOKUP(MID(T54,W54,X54-W54),[5]skilldef!$C:$D,2,FALSE),"-") &amp; " / " &amp; IFERROR(VLOOKUP(MID(T54,U54,V54-U54),[5]skilldef!$A:$B,2,FALSE),"-")</f>
        <v>- / -</v>
      </c>
      <c r="Z54" s="44"/>
      <c r="AA54" s="46"/>
      <c r="AB54" s="44"/>
    </row>
    <row r="55" spans="1:28" ht="43" customHeight="1" x14ac:dyDescent="0.15">
      <c r="A55" s="181">
        <v>39014054</v>
      </c>
      <c r="B55" s="183" t="s">
        <v>573</v>
      </c>
      <c r="C55" s="44">
        <v>1</v>
      </c>
      <c r="D55" s="44" t="s">
        <v>430</v>
      </c>
      <c r="E55" s="45" t="s">
        <v>516</v>
      </c>
      <c r="F55" s="45" t="s">
        <v>517</v>
      </c>
      <c r="G55" s="54" t="str">
        <f t="shared" si="0"/>
        <v>[effect:enemy_message, val1:1.2, val2:1.2]</v>
      </c>
      <c r="H55" s="54">
        <f t="shared" si="1"/>
        <v>9</v>
      </c>
      <c r="I55" s="54">
        <f t="shared" si="2"/>
        <v>22</v>
      </c>
      <c r="J55" s="54" t="e">
        <f t="shared" si="3"/>
        <v>#VALUE!</v>
      </c>
      <c r="K55" s="54">
        <f t="shared" si="4"/>
        <v>32</v>
      </c>
      <c r="L55" s="54" t="str">
        <f>IFERROR(VLOOKUP(MID(G55,J55,K55-J55),[5]skilldef!$C:$D,2,FALSE),"-") &amp; " / " &amp; IFERROR(VLOOKUP(MID(G55,H55,I55-H55),[5]skilldef!$A:$B,2,FALSE),"-")</f>
        <v>- / -</v>
      </c>
      <c r="M55" s="54" t="str">
        <f t="shared" si="5"/>
        <v xml:space="preserve">[effect:rush, count:4, val:0.18]    </v>
      </c>
      <c r="N55" s="42" t="str">
        <f>IFERROR(LEFT(M55,FIND("],",M55)+S93),M55)</f>
        <v xml:space="preserve">[effect:rush, count:4, val:0.18]    </v>
      </c>
      <c r="O55" s="54">
        <f t="shared" si="6"/>
        <v>9</v>
      </c>
      <c r="P55" s="54">
        <f t="shared" si="7"/>
        <v>13</v>
      </c>
      <c r="Q55" s="54" t="e">
        <f t="shared" si="8"/>
        <v>#VALUE!</v>
      </c>
      <c r="R55" s="54">
        <f t="shared" si="9"/>
        <v>22</v>
      </c>
      <c r="S55" s="54" t="str">
        <f>IFERROR(VLOOKUP(MID(N55,Q55,R55-Q55),[5]skilldef!$C:$D,2,FALSE),"-") &amp; " / " &amp; IFERROR(VLOOKUP(MID(N55,O55,P55-O55),[5]skilldef!$A:$B,2,FALSE),"-")</f>
        <v>- / 連続攻撃</v>
      </c>
      <c r="T55" s="42" t="str">
        <f t="shared" si="10"/>
        <v>none</v>
      </c>
      <c r="U55" s="54" t="e">
        <f t="shared" si="11"/>
        <v>#VALUE!</v>
      </c>
      <c r="V55" s="54">
        <f t="shared" si="12"/>
        <v>4</v>
      </c>
      <c r="W55" s="54" t="e">
        <f t="shared" si="13"/>
        <v>#VALUE!</v>
      </c>
      <c r="X55" s="54" t="e">
        <f t="shared" si="14"/>
        <v>#VALUE!</v>
      </c>
      <c r="Y55" s="54" t="str">
        <f>IFERROR(VLOOKUP(MID(T55,W55,X55-W55),[5]skilldef!$C:$D,2,FALSE),"-") &amp; " / " &amp; IFERROR(VLOOKUP(MID(T55,U55,V55-U55),[5]skilldef!$A:$B,2,FALSE),"-")</f>
        <v>- / -</v>
      </c>
      <c r="Z55" s="44"/>
      <c r="AA55" s="46"/>
      <c r="AB55" s="44"/>
    </row>
    <row r="56" spans="1:28" ht="39" customHeight="1" x14ac:dyDescent="0.15">
      <c r="A56" s="181">
        <v>39014055</v>
      </c>
      <c r="B56" s="183" t="s">
        <v>595</v>
      </c>
      <c r="C56" s="44">
        <v>1</v>
      </c>
      <c r="D56" s="44" t="s">
        <v>430</v>
      </c>
      <c r="E56" s="45" t="s">
        <v>520</v>
      </c>
      <c r="F56" s="45" t="s">
        <v>574</v>
      </c>
      <c r="G56" s="54" t="str">
        <f t="shared" si="0"/>
        <v>[effect:enemy_message, val1:1.2, val2:1.4]</v>
      </c>
      <c r="H56" s="54">
        <f t="shared" si="1"/>
        <v>9</v>
      </c>
      <c r="I56" s="54">
        <f t="shared" si="2"/>
        <v>22</v>
      </c>
      <c r="J56" s="54" t="e">
        <f t="shared" si="3"/>
        <v>#VALUE!</v>
      </c>
      <c r="K56" s="54">
        <f t="shared" si="4"/>
        <v>32</v>
      </c>
      <c r="L56" s="54" t="str">
        <f>IFERROR(VLOOKUP(MID(G56,J56,K56-J56),[5]skilldef!$C:$D,2,FALSE),"-") &amp; " / " &amp; IFERROR(VLOOKUP(MID(G56,H56,I56-H56),[5]skilldef!$A:$B,2,FALSE),"-")</f>
        <v>- / -</v>
      </c>
      <c r="M56" s="54" t="str">
        <f t="shared" si="5"/>
        <v xml:space="preserve"> [effect:panel_freeze, target:normal,color:block_yellow, count:2]</v>
      </c>
      <c r="N56" s="42" t="str">
        <f>IFERROR(LEFT(M56,FIND("],",M56)+S90),M56)</f>
        <v xml:space="preserve"> [effect:panel_freeze, target:normal,color:block_yellow, count:2]</v>
      </c>
      <c r="O56" s="54">
        <f t="shared" si="6"/>
        <v>10</v>
      </c>
      <c r="P56" s="54">
        <f t="shared" si="7"/>
        <v>22</v>
      </c>
      <c r="Q56" s="54">
        <f t="shared" si="8"/>
        <v>31</v>
      </c>
      <c r="R56" s="54">
        <f t="shared" si="9"/>
        <v>37</v>
      </c>
      <c r="S56" s="54" t="str">
        <f>IFERROR(VLOOKUP(MID(N56,Q56,R56-Q56),[5]skilldef!$C:$D,2,FALSE),"-") &amp; " / " &amp; IFERROR(VLOOKUP(MID(N56,O56,P56-O56),[5]skilldef!$A:$B,2,FALSE),"-")</f>
        <v>- / -</v>
      </c>
      <c r="T56" s="42" t="str">
        <f t="shared" si="10"/>
        <v>none</v>
      </c>
      <c r="U56" s="54" t="e">
        <f t="shared" si="11"/>
        <v>#VALUE!</v>
      </c>
      <c r="V56" s="54">
        <f t="shared" si="12"/>
        <v>4</v>
      </c>
      <c r="W56" s="54" t="e">
        <f t="shared" si="13"/>
        <v>#VALUE!</v>
      </c>
      <c r="X56" s="54" t="e">
        <f t="shared" si="14"/>
        <v>#VALUE!</v>
      </c>
      <c r="Y56" s="54" t="str">
        <f>IFERROR(VLOOKUP(MID(T56,W56,X56-W56),[5]skilldef!$C:$D,2,FALSE),"-") &amp; " / " &amp; IFERROR(VLOOKUP(MID(T56,U56,V56-U56),[5]skilldef!$A:$B,2,FALSE),"-")</f>
        <v>- / -</v>
      </c>
      <c r="Z56" s="44"/>
      <c r="AA56" s="46"/>
      <c r="AB56" s="44"/>
    </row>
    <row r="57" spans="1:28" ht="55" customHeight="1" x14ac:dyDescent="0.15">
      <c r="A57" s="181">
        <v>39014056</v>
      </c>
      <c r="B57" s="183" t="s">
        <v>575</v>
      </c>
      <c r="C57" s="44">
        <v>1</v>
      </c>
      <c r="D57" s="44" t="s">
        <v>430</v>
      </c>
      <c r="E57" s="45" t="s">
        <v>565</v>
      </c>
      <c r="F57" s="45" t="s">
        <v>521</v>
      </c>
      <c r="G57" s="54" t="str">
        <f t="shared" si="0"/>
        <v>[effect:enemy_message, val1:1.5, val2:1.2]</v>
      </c>
      <c r="H57" s="54">
        <f t="shared" si="1"/>
        <v>9</v>
      </c>
      <c r="I57" s="54">
        <f t="shared" si="2"/>
        <v>22</v>
      </c>
      <c r="J57" s="54" t="e">
        <f t="shared" si="3"/>
        <v>#VALUE!</v>
      </c>
      <c r="K57" s="54">
        <f t="shared" si="4"/>
        <v>32</v>
      </c>
      <c r="L57" s="54" t="str">
        <f>IFERROR(VLOOKUP(MID(G57,J57,K57-J57),[5]skilldef!$C:$D,2,FALSE),"-") &amp; " / " &amp; IFERROR(VLOOKUP(MID(G57,H57,I57-H57),[5]skilldef!$A:$B,2,FALSE),"-")</f>
        <v>- / -</v>
      </c>
      <c r="M57" s="54" t="str">
        <f t="shared" si="5"/>
        <v xml:space="preserve">[effect:rush, count:12, val:0.057]    </v>
      </c>
      <c r="N57" s="42" t="str">
        <f t="shared" ref="N57:N71" si="78">IFERROR(LEFT(M57,FIND("],",M57)+S90),M57)</f>
        <v xml:space="preserve">[effect:rush, count:12, val:0.057]    </v>
      </c>
      <c r="O57" s="54">
        <f t="shared" si="6"/>
        <v>9</v>
      </c>
      <c r="P57" s="54">
        <f t="shared" si="7"/>
        <v>13</v>
      </c>
      <c r="Q57" s="54" t="e">
        <f t="shared" si="8"/>
        <v>#VALUE!</v>
      </c>
      <c r="R57" s="54">
        <f t="shared" si="9"/>
        <v>23</v>
      </c>
      <c r="S57" s="54" t="str">
        <f>IFERROR(VLOOKUP(MID(N57,Q57,R57-Q57),[5]skilldef!$C:$D,2,FALSE),"-") &amp; " / " &amp; IFERROR(VLOOKUP(MID(N57,O57,P57-O57),[5]skilldef!$A:$B,2,FALSE),"-")</f>
        <v>- / 連続攻撃</v>
      </c>
      <c r="T57" s="42" t="str">
        <f t="shared" si="10"/>
        <v>none</v>
      </c>
      <c r="U57" s="54" t="e">
        <f t="shared" si="11"/>
        <v>#VALUE!</v>
      </c>
      <c r="V57" s="54">
        <f t="shared" si="12"/>
        <v>4</v>
      </c>
      <c r="W57" s="54" t="e">
        <f t="shared" si="13"/>
        <v>#VALUE!</v>
      </c>
      <c r="X57" s="54" t="e">
        <f t="shared" si="14"/>
        <v>#VALUE!</v>
      </c>
      <c r="Y57" s="54" t="str">
        <f>IFERROR(VLOOKUP(MID(T57,W57,X57-W57),[5]skilldef!$C:$D,2,FALSE),"-") &amp; " / " &amp; IFERROR(VLOOKUP(MID(T57,U57,V57-U57),[5]skilldef!$A:$B,2,FALSE),"-")</f>
        <v>- / -</v>
      </c>
      <c r="Z57" s="44"/>
      <c r="AA57" s="46"/>
      <c r="AB57" s="44"/>
    </row>
    <row r="58" spans="1:28" ht="32" customHeight="1" x14ac:dyDescent="0.15">
      <c r="A58" s="182">
        <v>39014057</v>
      </c>
      <c r="B58" s="183" t="s">
        <v>561</v>
      </c>
      <c r="C58" s="44">
        <v>1</v>
      </c>
      <c r="D58" s="44" t="s">
        <v>430</v>
      </c>
      <c r="E58" s="45" t="s">
        <v>522</v>
      </c>
      <c r="F58" s="45" t="s">
        <v>489</v>
      </c>
      <c r="G58" s="54" t="str">
        <f t="shared" si="0"/>
        <v>[effect:enemy_message, val1:1.9, val2:1.2]</v>
      </c>
      <c r="H58" s="54">
        <f t="shared" si="1"/>
        <v>9</v>
      </c>
      <c r="I58" s="54">
        <f t="shared" si="2"/>
        <v>22</v>
      </c>
      <c r="J58" s="54" t="e">
        <f t="shared" si="3"/>
        <v>#VALUE!</v>
      </c>
      <c r="K58" s="54">
        <f t="shared" si="4"/>
        <v>32</v>
      </c>
      <c r="L58" s="54" t="str">
        <f>IFERROR(VLOOKUP(MID(G58,J58,K58-J58),[5]skilldef!$C:$D,2,FALSE),"-") &amp; " / " &amp; IFERROR(VLOOKUP(MID(G58,H58,I58-H58),[5]skilldef!$A:$B,2,FALSE),"-")</f>
        <v>- / -</v>
      </c>
      <c r="M58" s="54" t="str">
        <f t="shared" si="5"/>
        <v>[effect:tolerance, target:myself, turn:-1, count:-1, tolerance_effect:all, animation:enemy_tolerance]</v>
      </c>
      <c r="N58" s="42" t="str">
        <f t="shared" si="78"/>
        <v>[effect:tolerance, target:myself, turn:-1, count:-1, tolerance_effect:all, animation:enemy_tolerance]</v>
      </c>
      <c r="O58" s="54">
        <f t="shared" si="6"/>
        <v>9</v>
      </c>
      <c r="P58" s="54">
        <f t="shared" si="7"/>
        <v>18</v>
      </c>
      <c r="Q58" s="54">
        <f t="shared" si="8"/>
        <v>27</v>
      </c>
      <c r="R58" s="54">
        <f t="shared" si="9"/>
        <v>33</v>
      </c>
      <c r="S58" s="54" t="str">
        <f>IFERROR(VLOOKUP(MID(N58,Q58,R58-Q58),[5]skilldef!$C:$D,2,FALSE),"-") &amp; " / " &amp; IFERROR(VLOOKUP(MID(N58,O58,P58-O58),[5]skilldef!$A:$B,2,FALSE),"-")</f>
        <v>自分自身に / 状態異常耐性</v>
      </c>
      <c r="T58" s="42" t="str">
        <f t="shared" si="10"/>
        <v>none</v>
      </c>
      <c r="U58" s="54" t="e">
        <f t="shared" si="11"/>
        <v>#VALUE!</v>
      </c>
      <c r="V58" s="54">
        <f t="shared" si="12"/>
        <v>4</v>
      </c>
      <c r="W58" s="54" t="e">
        <f t="shared" si="13"/>
        <v>#VALUE!</v>
      </c>
      <c r="X58" s="54" t="e">
        <f t="shared" si="14"/>
        <v>#VALUE!</v>
      </c>
      <c r="Y58" s="54" t="str">
        <f>IFERROR(VLOOKUP(MID(T58,W58,X58-W58),[5]skilldef!$C:$D,2,FALSE),"-") &amp; " / " &amp; IFERROR(VLOOKUP(MID(T58,U58,V58-U58),[5]skilldef!$A:$B,2,FALSE),"-")</f>
        <v>- / -</v>
      </c>
      <c r="Z58" s="44"/>
      <c r="AA58" s="46"/>
      <c r="AB58" s="44"/>
    </row>
    <row r="59" spans="1:28" ht="32" customHeight="1" x14ac:dyDescent="0.15">
      <c r="A59" s="182">
        <v>39014058</v>
      </c>
      <c r="B59" s="183" t="s">
        <v>576</v>
      </c>
      <c r="C59" s="44">
        <v>1</v>
      </c>
      <c r="D59" s="44" t="s">
        <v>430</v>
      </c>
      <c r="E59" s="45" t="s">
        <v>579</v>
      </c>
      <c r="F59" s="45" t="s">
        <v>489</v>
      </c>
      <c r="G59" s="54" t="str">
        <f t="shared" si="0"/>
        <v>[effect:enemy_message, val1:1.2, val2:1.2]</v>
      </c>
      <c r="H59" s="54">
        <f t="shared" si="1"/>
        <v>9</v>
      </c>
      <c r="I59" s="54">
        <f t="shared" si="2"/>
        <v>22</v>
      </c>
      <c r="J59" s="54" t="e">
        <f t="shared" si="3"/>
        <v>#VALUE!</v>
      </c>
      <c r="K59" s="54">
        <f t="shared" si="4"/>
        <v>32</v>
      </c>
      <c r="L59" s="54" t="str">
        <f>IFERROR(VLOOKUP(MID(G59,J59,K59-J59),[5]skilldef!$C:$D,2,FALSE),"-") &amp; " / " &amp; IFERROR(VLOOKUP(MID(G59,H59,I59-H59),[5]skilldef!$A:$B,2,FALSE),"-")</f>
        <v>- / -</v>
      </c>
      <c r="M59" s="54" t="str">
        <f t="shared" si="5"/>
        <v>[effect:tolerance, target:myself, turn:-1, count:-1, tolerance_effect:all, animation:enemy_tolerance]</v>
      </c>
      <c r="N59" s="42" t="str">
        <f t="shared" si="78"/>
        <v>[effect:tolerance, target:myself, turn:-1, count:-1, tolerance_effect:all, animation:enemy_tolerance]</v>
      </c>
      <c r="O59" s="54">
        <f t="shared" si="6"/>
        <v>9</v>
      </c>
      <c r="P59" s="54">
        <f t="shared" si="7"/>
        <v>18</v>
      </c>
      <c r="Q59" s="54">
        <f t="shared" si="8"/>
        <v>27</v>
      </c>
      <c r="R59" s="54">
        <f t="shared" si="9"/>
        <v>33</v>
      </c>
      <c r="S59" s="54" t="str">
        <f>IFERROR(VLOOKUP(MID(N59,Q59,R59-Q59),[5]skilldef!$C:$D,2,FALSE),"-") &amp; " / " &amp; IFERROR(VLOOKUP(MID(N59,O59,P59-O59),[5]skilldef!$A:$B,2,FALSE),"-")</f>
        <v>自分自身に / 状態異常耐性</v>
      </c>
      <c r="T59" s="42" t="str">
        <f t="shared" si="10"/>
        <v>none</v>
      </c>
      <c r="U59" s="54" t="e">
        <f t="shared" si="11"/>
        <v>#VALUE!</v>
      </c>
      <c r="V59" s="54">
        <f t="shared" si="12"/>
        <v>4</v>
      </c>
      <c r="W59" s="54" t="e">
        <f t="shared" si="13"/>
        <v>#VALUE!</v>
      </c>
      <c r="X59" s="54" t="e">
        <f t="shared" si="14"/>
        <v>#VALUE!</v>
      </c>
      <c r="Y59" s="54" t="str">
        <f>IFERROR(VLOOKUP(MID(T59,W59,X59-W59),[5]skilldef!$C:$D,2,FALSE),"-") &amp; " / " &amp; IFERROR(VLOOKUP(MID(T59,U59,V59-U59),[5]skilldef!$A:$B,2,FALSE),"-")</f>
        <v>- / -</v>
      </c>
      <c r="Z59" s="44"/>
      <c r="AA59" s="46"/>
      <c r="AB59" s="44"/>
    </row>
    <row r="60" spans="1:28" ht="36" customHeight="1" x14ac:dyDescent="0.15">
      <c r="A60" s="182">
        <v>39014059</v>
      </c>
      <c r="B60" s="183" t="s">
        <v>576</v>
      </c>
      <c r="C60" s="44">
        <v>1</v>
      </c>
      <c r="D60" s="44" t="s">
        <v>430</v>
      </c>
      <c r="E60" s="45" t="s">
        <v>579</v>
      </c>
      <c r="F60" s="45" t="s">
        <v>489</v>
      </c>
      <c r="G60" s="54" t="str">
        <f t="shared" si="0"/>
        <v>[effect:enemy_message, val1:1.2, val2:1.2]</v>
      </c>
      <c r="H60" s="54">
        <f t="shared" si="1"/>
        <v>9</v>
      </c>
      <c r="I60" s="54">
        <f t="shared" si="2"/>
        <v>22</v>
      </c>
      <c r="J60" s="54" t="e">
        <f t="shared" si="3"/>
        <v>#VALUE!</v>
      </c>
      <c r="K60" s="54">
        <f t="shared" si="4"/>
        <v>32</v>
      </c>
      <c r="L60" s="54" t="str">
        <f>IFERROR(VLOOKUP(MID(G60,J60,K60-J60),[5]skilldef!$C:$D,2,FALSE),"-") &amp; " / " &amp; IFERROR(VLOOKUP(MID(G60,H60,I60-H60),[5]skilldef!$A:$B,2,FALSE),"-")</f>
        <v>- / -</v>
      </c>
      <c r="M60" s="54" t="str">
        <f t="shared" si="5"/>
        <v>[effect:tolerance, target:myself, turn:-1, count:-1, tolerance_effect:all, animation:enemy_tolerance]</v>
      </c>
      <c r="N60" s="42" t="str">
        <f t="shared" si="78"/>
        <v>[effect:tolerance, target:myself, turn:-1, count:-1, tolerance_effect:all, animation:enemy_tolerance]</v>
      </c>
      <c r="O60" s="54">
        <f t="shared" si="6"/>
        <v>9</v>
      </c>
      <c r="P60" s="54">
        <f t="shared" si="7"/>
        <v>18</v>
      </c>
      <c r="Q60" s="54">
        <f t="shared" si="8"/>
        <v>27</v>
      </c>
      <c r="R60" s="54">
        <f t="shared" si="9"/>
        <v>33</v>
      </c>
      <c r="S60" s="54" t="str">
        <f>IFERROR(VLOOKUP(MID(N60,Q60,R60-Q60),[5]skilldef!$C:$D,2,FALSE),"-") &amp; " / " &amp; IFERROR(VLOOKUP(MID(N60,O60,P60-O60),[5]skilldef!$A:$B,2,FALSE),"-")</f>
        <v>自分自身に / 状態異常耐性</v>
      </c>
      <c r="T60" s="42" t="str">
        <f t="shared" si="10"/>
        <v>none</v>
      </c>
      <c r="U60" s="54" t="e">
        <f t="shared" si="11"/>
        <v>#VALUE!</v>
      </c>
      <c r="V60" s="54">
        <f t="shared" si="12"/>
        <v>4</v>
      </c>
      <c r="W60" s="54" t="e">
        <f t="shared" si="13"/>
        <v>#VALUE!</v>
      </c>
      <c r="X60" s="54" t="e">
        <f t="shared" si="14"/>
        <v>#VALUE!</v>
      </c>
      <c r="Y60" s="54" t="str">
        <f>IFERROR(VLOOKUP(MID(T60,W60,X60-W60),[5]skilldef!$C:$D,2,FALSE),"-") &amp; " / " &amp; IFERROR(VLOOKUP(MID(T60,U60,V60-U60),[5]skilldef!$A:$B,2,FALSE),"-")</f>
        <v>- / -</v>
      </c>
      <c r="Z60" s="44"/>
      <c r="AA60" s="46"/>
      <c r="AB60" s="44"/>
    </row>
    <row r="61" spans="1:28" ht="34" customHeight="1" x14ac:dyDescent="0.15">
      <c r="A61" s="182">
        <v>39014060</v>
      </c>
      <c r="B61" s="183" t="s">
        <v>576</v>
      </c>
      <c r="C61" s="44">
        <v>1</v>
      </c>
      <c r="D61" s="44" t="s">
        <v>430</v>
      </c>
      <c r="E61" s="45" t="s">
        <v>579</v>
      </c>
      <c r="F61" s="45" t="s">
        <v>489</v>
      </c>
      <c r="G61" s="54" t="str">
        <f t="shared" si="0"/>
        <v>[effect:enemy_message, val1:1.2, val2:1.2]</v>
      </c>
      <c r="H61" s="54">
        <f t="shared" si="1"/>
        <v>9</v>
      </c>
      <c r="I61" s="54">
        <f t="shared" si="2"/>
        <v>22</v>
      </c>
      <c r="J61" s="54" t="e">
        <f t="shared" si="3"/>
        <v>#VALUE!</v>
      </c>
      <c r="K61" s="54">
        <f t="shared" si="4"/>
        <v>32</v>
      </c>
      <c r="L61" s="54" t="str">
        <f>IFERROR(VLOOKUP(MID(G61,J61,K61-J61),[5]skilldef!$C:$D,2,FALSE),"-") &amp; " / " &amp; IFERROR(VLOOKUP(MID(G61,H61,I61-H61),[5]skilldef!$A:$B,2,FALSE),"-")</f>
        <v>- / -</v>
      </c>
      <c r="M61" s="54" t="str">
        <f t="shared" si="5"/>
        <v>[effect:tolerance, target:myself, turn:-1, count:-1, tolerance_effect:all, animation:enemy_tolerance]</v>
      </c>
      <c r="N61" s="42" t="str">
        <f t="shared" si="78"/>
        <v>[effect:tolerance, target:myself, turn:-1, count:-1, tolerance_effect:all, animation:enemy_tolerance]</v>
      </c>
      <c r="O61" s="54">
        <f t="shared" si="6"/>
        <v>9</v>
      </c>
      <c r="P61" s="54">
        <f t="shared" si="7"/>
        <v>18</v>
      </c>
      <c r="Q61" s="54">
        <f t="shared" si="8"/>
        <v>27</v>
      </c>
      <c r="R61" s="54">
        <f t="shared" si="9"/>
        <v>33</v>
      </c>
      <c r="S61" s="54" t="str">
        <f>IFERROR(VLOOKUP(MID(N61,Q61,R61-Q61),[5]skilldef!$C:$D,2,FALSE),"-") &amp; " / " &amp; IFERROR(VLOOKUP(MID(N61,O61,P61-O61),[5]skilldef!$A:$B,2,FALSE),"-")</f>
        <v>自分自身に / 状態異常耐性</v>
      </c>
      <c r="T61" s="42" t="str">
        <f t="shared" si="10"/>
        <v>none</v>
      </c>
      <c r="U61" s="54" t="e">
        <f t="shared" si="11"/>
        <v>#VALUE!</v>
      </c>
      <c r="V61" s="54">
        <f t="shared" si="12"/>
        <v>4</v>
      </c>
      <c r="W61" s="54" t="e">
        <f t="shared" si="13"/>
        <v>#VALUE!</v>
      </c>
      <c r="X61" s="54" t="e">
        <f t="shared" si="14"/>
        <v>#VALUE!</v>
      </c>
      <c r="Y61" s="54" t="str">
        <f>IFERROR(VLOOKUP(MID(T61,W61,X61-W61),[5]skilldef!$C:$D,2,FALSE),"-") &amp; " / " &amp; IFERROR(VLOOKUP(MID(T61,U61,V61-U61),[5]skilldef!$A:$B,2,FALSE),"-")</f>
        <v>- / -</v>
      </c>
      <c r="Z61" s="44"/>
      <c r="AA61" s="46"/>
      <c r="AB61" s="44"/>
    </row>
    <row r="62" spans="1:28" ht="31" customHeight="1" x14ac:dyDescent="0.15">
      <c r="A62" s="182">
        <v>39014061</v>
      </c>
      <c r="B62" s="183" t="s">
        <v>576</v>
      </c>
      <c r="C62" s="44">
        <v>1</v>
      </c>
      <c r="D62" s="44" t="s">
        <v>430</v>
      </c>
      <c r="E62" s="45" t="s">
        <v>579</v>
      </c>
      <c r="F62" s="45" t="s">
        <v>489</v>
      </c>
      <c r="G62" s="54" t="str">
        <f t="shared" si="0"/>
        <v>[effect:enemy_message, val1:1.2, val2:1.2]</v>
      </c>
      <c r="H62" s="54">
        <f t="shared" si="1"/>
        <v>9</v>
      </c>
      <c r="I62" s="54">
        <f t="shared" si="2"/>
        <v>22</v>
      </c>
      <c r="J62" s="54" t="e">
        <f t="shared" si="3"/>
        <v>#VALUE!</v>
      </c>
      <c r="K62" s="54">
        <f t="shared" si="4"/>
        <v>32</v>
      </c>
      <c r="L62" s="54" t="str">
        <f>IFERROR(VLOOKUP(MID(G62,J62,K62-J62),[5]skilldef!$C:$D,2,FALSE),"-") &amp; " / " &amp; IFERROR(VLOOKUP(MID(G62,H62,I62-H62),[5]skilldef!$A:$B,2,FALSE),"-")</f>
        <v>- / -</v>
      </c>
      <c r="M62" s="54" t="str">
        <f t="shared" si="5"/>
        <v>[effect:tolerance, target:myself, turn:-1, count:-1, tolerance_effect:all, animation:enemy_tolerance]</v>
      </c>
      <c r="N62" s="42" t="str">
        <f t="shared" si="78"/>
        <v>[effect:tolerance, target:myself, turn:-1, count:-1, tolerance_effect:all, animation:enemy_tolerance]</v>
      </c>
      <c r="O62" s="54">
        <f t="shared" si="6"/>
        <v>9</v>
      </c>
      <c r="P62" s="54">
        <f t="shared" si="7"/>
        <v>18</v>
      </c>
      <c r="Q62" s="54">
        <f t="shared" si="8"/>
        <v>27</v>
      </c>
      <c r="R62" s="54">
        <f t="shared" si="9"/>
        <v>33</v>
      </c>
      <c r="S62" s="54" t="str">
        <f>IFERROR(VLOOKUP(MID(N62,Q62,R62-Q62),[5]skilldef!$C:$D,2,FALSE),"-") &amp; " / " &amp; IFERROR(VLOOKUP(MID(N62,O62,P62-O62),[5]skilldef!$A:$B,2,FALSE),"-")</f>
        <v>自分自身に / 状態異常耐性</v>
      </c>
      <c r="T62" s="42" t="str">
        <f t="shared" si="10"/>
        <v>none</v>
      </c>
      <c r="U62" s="54" t="e">
        <f t="shared" si="11"/>
        <v>#VALUE!</v>
      </c>
      <c r="V62" s="54">
        <f t="shared" si="12"/>
        <v>4</v>
      </c>
      <c r="W62" s="54" t="e">
        <f t="shared" si="13"/>
        <v>#VALUE!</v>
      </c>
      <c r="X62" s="54" t="e">
        <f t="shared" si="14"/>
        <v>#VALUE!</v>
      </c>
      <c r="Y62" s="54" t="str">
        <f>IFERROR(VLOOKUP(MID(T62,W62,X62-W62),[5]skilldef!$C:$D,2,FALSE),"-") &amp; " / " &amp; IFERROR(VLOOKUP(MID(T62,U62,V62-U62),[5]skilldef!$A:$B,2,FALSE),"-")</f>
        <v>- / -</v>
      </c>
      <c r="Z62" s="44"/>
      <c r="AA62" s="46"/>
      <c r="AB62" s="44"/>
    </row>
    <row r="63" spans="1:28" ht="32" customHeight="1" x14ac:dyDescent="0.15">
      <c r="A63" s="182">
        <v>39014062</v>
      </c>
      <c r="B63" s="183" t="s">
        <v>576</v>
      </c>
      <c r="C63" s="44">
        <v>1</v>
      </c>
      <c r="D63" s="44" t="s">
        <v>430</v>
      </c>
      <c r="E63" s="45" t="s">
        <v>579</v>
      </c>
      <c r="F63" s="45" t="s">
        <v>489</v>
      </c>
      <c r="G63" s="54" t="str">
        <f t="shared" si="0"/>
        <v>[effect:enemy_message, val1:1.2, val2:1.2]</v>
      </c>
      <c r="H63" s="54">
        <f t="shared" si="1"/>
        <v>9</v>
      </c>
      <c r="I63" s="54">
        <f t="shared" si="2"/>
        <v>22</v>
      </c>
      <c r="J63" s="54" t="e">
        <f t="shared" si="3"/>
        <v>#VALUE!</v>
      </c>
      <c r="K63" s="54">
        <f t="shared" si="4"/>
        <v>32</v>
      </c>
      <c r="L63" s="54" t="str">
        <f>IFERROR(VLOOKUP(MID(G63,J63,K63-J63),[5]skilldef!$C:$D,2,FALSE),"-") &amp; " / " &amp; IFERROR(VLOOKUP(MID(G63,H63,I63-H63),[5]skilldef!$A:$B,2,FALSE),"-")</f>
        <v>- / -</v>
      </c>
      <c r="M63" s="54" t="str">
        <f t="shared" si="5"/>
        <v>[effect:tolerance, target:myself, turn:-1, count:-1, tolerance_effect:all, animation:enemy_tolerance]</v>
      </c>
      <c r="N63" s="42" t="str">
        <f t="shared" si="78"/>
        <v>[effect:tolerance, target:myself, turn:-1, count:-1, tolerance_effect:all, animation:enemy_tolerance]</v>
      </c>
      <c r="O63" s="54">
        <f t="shared" si="6"/>
        <v>9</v>
      </c>
      <c r="P63" s="54">
        <f t="shared" si="7"/>
        <v>18</v>
      </c>
      <c r="Q63" s="54">
        <f t="shared" si="8"/>
        <v>27</v>
      </c>
      <c r="R63" s="54">
        <f t="shared" si="9"/>
        <v>33</v>
      </c>
      <c r="S63" s="54" t="str">
        <f>IFERROR(VLOOKUP(MID(N63,Q63,R63-Q63),[5]skilldef!$C:$D,2,FALSE),"-") &amp; " / " &amp; IFERROR(VLOOKUP(MID(N63,O63,P63-O63),[5]skilldef!$A:$B,2,FALSE),"-")</f>
        <v>自分自身に / 状態異常耐性</v>
      </c>
      <c r="T63" s="42" t="str">
        <f t="shared" si="10"/>
        <v>none</v>
      </c>
      <c r="U63" s="54" t="e">
        <f t="shared" si="11"/>
        <v>#VALUE!</v>
      </c>
      <c r="V63" s="54">
        <f t="shared" si="12"/>
        <v>4</v>
      </c>
      <c r="W63" s="54" t="e">
        <f t="shared" si="13"/>
        <v>#VALUE!</v>
      </c>
      <c r="X63" s="54" t="e">
        <f t="shared" si="14"/>
        <v>#VALUE!</v>
      </c>
      <c r="Y63" s="54" t="str">
        <f>IFERROR(VLOOKUP(MID(T63,W63,X63-W63),[5]skilldef!$C:$D,2,FALSE),"-") &amp; " / " &amp; IFERROR(VLOOKUP(MID(T63,U63,V63-U63),[5]skilldef!$A:$B,2,FALSE),"-")</f>
        <v>- / -</v>
      </c>
      <c r="Z63" s="44"/>
      <c r="AA63" s="46"/>
      <c r="AB63" s="44"/>
    </row>
    <row r="64" spans="1:28" ht="34" customHeight="1" x14ac:dyDescent="0.15">
      <c r="A64" s="182">
        <v>39014063</v>
      </c>
      <c r="B64" s="183" t="s">
        <v>576</v>
      </c>
      <c r="C64" s="44">
        <v>1</v>
      </c>
      <c r="D64" s="44" t="s">
        <v>430</v>
      </c>
      <c r="E64" s="45" t="s">
        <v>579</v>
      </c>
      <c r="F64" s="45" t="s">
        <v>489</v>
      </c>
      <c r="G64" s="54" t="str">
        <f t="shared" si="0"/>
        <v>[effect:enemy_message, val1:1.2, val2:1.2]</v>
      </c>
      <c r="H64" s="54">
        <f t="shared" si="1"/>
        <v>9</v>
      </c>
      <c r="I64" s="54">
        <f t="shared" si="2"/>
        <v>22</v>
      </c>
      <c r="J64" s="54" t="e">
        <f t="shared" si="3"/>
        <v>#VALUE!</v>
      </c>
      <c r="K64" s="54">
        <f t="shared" si="4"/>
        <v>32</v>
      </c>
      <c r="L64" s="54" t="str">
        <f>IFERROR(VLOOKUP(MID(G64,J64,K64-J64),[5]skilldef!$C:$D,2,FALSE),"-") &amp; " / " &amp; IFERROR(VLOOKUP(MID(G64,H64,I64-H64),[5]skilldef!$A:$B,2,FALSE),"-")</f>
        <v>- / -</v>
      </c>
      <c r="M64" s="54" t="str">
        <f t="shared" si="5"/>
        <v>[effect:tolerance, target:myself, turn:-1, count:-1, tolerance_effect:all, animation:enemy_tolerance]</v>
      </c>
      <c r="N64" s="42" t="str">
        <f t="shared" si="78"/>
        <v>[effect:tolerance, target:myself, turn:-1, count:-1, tolerance_effect:all, animation:enemy_tolerance]</v>
      </c>
      <c r="O64" s="54">
        <f t="shared" si="6"/>
        <v>9</v>
      </c>
      <c r="P64" s="54">
        <f t="shared" si="7"/>
        <v>18</v>
      </c>
      <c r="Q64" s="54">
        <f t="shared" si="8"/>
        <v>27</v>
      </c>
      <c r="R64" s="54">
        <f t="shared" si="9"/>
        <v>33</v>
      </c>
      <c r="S64" s="54" t="str">
        <f>IFERROR(VLOOKUP(MID(N64,Q64,R64-Q64),[5]skilldef!$C:$D,2,FALSE),"-") &amp; " / " &amp; IFERROR(VLOOKUP(MID(N64,O64,P64-O64),[5]skilldef!$A:$B,2,FALSE),"-")</f>
        <v>自分自身に / 状態異常耐性</v>
      </c>
      <c r="T64" s="42" t="str">
        <f t="shared" si="10"/>
        <v>none</v>
      </c>
      <c r="U64" s="54" t="e">
        <f t="shared" si="11"/>
        <v>#VALUE!</v>
      </c>
      <c r="V64" s="54">
        <f t="shared" si="12"/>
        <v>4</v>
      </c>
      <c r="W64" s="54" t="e">
        <f t="shared" si="13"/>
        <v>#VALUE!</v>
      </c>
      <c r="X64" s="54" t="e">
        <f t="shared" si="14"/>
        <v>#VALUE!</v>
      </c>
      <c r="Y64" s="54" t="str">
        <f>IFERROR(VLOOKUP(MID(T64,W64,X64-W64),[5]skilldef!$C:$D,2,FALSE),"-") &amp; " / " &amp; IFERROR(VLOOKUP(MID(T64,U64,V64-U64),[5]skilldef!$A:$B,2,FALSE),"-")</f>
        <v>- / -</v>
      </c>
      <c r="Z64" s="44"/>
      <c r="AA64" s="46"/>
      <c r="AB64" s="44"/>
    </row>
    <row r="65" spans="1:28" ht="31" customHeight="1" x14ac:dyDescent="0.15">
      <c r="A65" s="182">
        <v>39014064</v>
      </c>
      <c r="B65" s="183" t="s">
        <v>576</v>
      </c>
      <c r="C65" s="44">
        <v>1</v>
      </c>
      <c r="D65" s="44" t="s">
        <v>430</v>
      </c>
      <c r="E65" s="45" t="s">
        <v>579</v>
      </c>
      <c r="F65" s="45" t="s">
        <v>489</v>
      </c>
      <c r="G65" s="54" t="str">
        <f t="shared" si="0"/>
        <v>[effect:enemy_message, val1:1.2, val2:1.2]</v>
      </c>
      <c r="H65" s="54">
        <f t="shared" si="1"/>
        <v>9</v>
      </c>
      <c r="I65" s="54">
        <f t="shared" si="2"/>
        <v>22</v>
      </c>
      <c r="J65" s="54" t="e">
        <f t="shared" si="3"/>
        <v>#VALUE!</v>
      </c>
      <c r="K65" s="54">
        <f t="shared" si="4"/>
        <v>32</v>
      </c>
      <c r="L65" s="54" t="str">
        <f>IFERROR(VLOOKUP(MID(G65,J65,K65-J65),[5]skilldef!$C:$D,2,FALSE),"-") &amp; " / " &amp; IFERROR(VLOOKUP(MID(G65,H65,I65-H65),[5]skilldef!$A:$B,2,FALSE),"-")</f>
        <v>- / -</v>
      </c>
      <c r="M65" s="54" t="str">
        <f t="shared" si="5"/>
        <v>[effect:tolerance, target:myself, turn:-1, count:-1, tolerance_effect:all, animation:enemy_tolerance]</v>
      </c>
      <c r="N65" s="42" t="str">
        <f t="shared" si="78"/>
        <v>[effect:tolerance, target:myself, turn:-1, count:-1, tolerance_effect:all, animation:enemy_tolerance]</v>
      </c>
      <c r="O65" s="54">
        <f t="shared" si="6"/>
        <v>9</v>
      </c>
      <c r="P65" s="54">
        <f t="shared" si="7"/>
        <v>18</v>
      </c>
      <c r="Q65" s="54">
        <f t="shared" si="8"/>
        <v>27</v>
      </c>
      <c r="R65" s="54">
        <f t="shared" si="9"/>
        <v>33</v>
      </c>
      <c r="S65" s="54" t="str">
        <f>IFERROR(VLOOKUP(MID(N65,Q65,R65-Q65),[5]skilldef!$C:$D,2,FALSE),"-") &amp; " / " &amp; IFERROR(VLOOKUP(MID(N65,O65,P65-O65),[5]skilldef!$A:$B,2,FALSE),"-")</f>
        <v>自分自身に / 状態異常耐性</v>
      </c>
      <c r="T65" s="42" t="str">
        <f t="shared" si="10"/>
        <v>none</v>
      </c>
      <c r="U65" s="54" t="e">
        <f t="shared" si="11"/>
        <v>#VALUE!</v>
      </c>
      <c r="V65" s="54">
        <f t="shared" si="12"/>
        <v>4</v>
      </c>
      <c r="W65" s="54" t="e">
        <f t="shared" si="13"/>
        <v>#VALUE!</v>
      </c>
      <c r="X65" s="54" t="e">
        <f t="shared" si="14"/>
        <v>#VALUE!</v>
      </c>
      <c r="Y65" s="54" t="str">
        <f>IFERROR(VLOOKUP(MID(T65,W65,X65-W65),[5]skilldef!$C:$D,2,FALSE),"-") &amp; " / " &amp; IFERROR(VLOOKUP(MID(T65,U65,V65-U65),[5]skilldef!$A:$B,2,FALSE),"-")</f>
        <v>- / -</v>
      </c>
      <c r="Z65" s="44"/>
      <c r="AA65" s="46"/>
      <c r="AB65" s="44"/>
    </row>
    <row r="66" spans="1:28" ht="35" customHeight="1" x14ac:dyDescent="0.15">
      <c r="A66" s="182">
        <v>39014065</v>
      </c>
      <c r="B66" s="183" t="s">
        <v>576</v>
      </c>
      <c r="C66" s="44">
        <v>1</v>
      </c>
      <c r="D66" s="44" t="s">
        <v>430</v>
      </c>
      <c r="E66" s="45" t="s">
        <v>579</v>
      </c>
      <c r="F66" s="45" t="s">
        <v>489</v>
      </c>
      <c r="G66" s="54" t="str">
        <f t="shared" si="0"/>
        <v>[effect:enemy_message, val1:1.2, val2:1.2]</v>
      </c>
      <c r="H66" s="54">
        <f t="shared" si="1"/>
        <v>9</v>
      </c>
      <c r="I66" s="54">
        <f t="shared" si="2"/>
        <v>22</v>
      </c>
      <c r="J66" s="54" t="e">
        <f t="shared" si="3"/>
        <v>#VALUE!</v>
      </c>
      <c r="K66" s="54">
        <f t="shared" si="4"/>
        <v>32</v>
      </c>
      <c r="L66" s="54" t="str">
        <f>IFERROR(VLOOKUP(MID(G66,J66,K66-J66),[5]skilldef!$C:$D,2,FALSE),"-") &amp; " / " &amp; IFERROR(VLOOKUP(MID(G66,H66,I66-H66),[5]skilldef!$A:$B,2,FALSE),"-")</f>
        <v>- / -</v>
      </c>
      <c r="M66" s="54" t="str">
        <f t="shared" si="5"/>
        <v>[effect:tolerance, target:myself, turn:-1, count:-1, tolerance_effect:all, animation:enemy_tolerance]</v>
      </c>
      <c r="N66" s="42" t="str">
        <f t="shared" si="78"/>
        <v>[effect:tolerance, target:myself, turn:-1, count:-1, tolerance_effect:all, animation:enemy_tolerance]</v>
      </c>
      <c r="O66" s="54">
        <f t="shared" si="6"/>
        <v>9</v>
      </c>
      <c r="P66" s="54">
        <f t="shared" si="7"/>
        <v>18</v>
      </c>
      <c r="Q66" s="54">
        <f t="shared" si="8"/>
        <v>27</v>
      </c>
      <c r="R66" s="54">
        <f t="shared" si="9"/>
        <v>33</v>
      </c>
      <c r="S66" s="54" t="str">
        <f>IFERROR(VLOOKUP(MID(N66,Q66,R66-Q66),[5]skilldef!$C:$D,2,FALSE),"-") &amp; " / " &amp; IFERROR(VLOOKUP(MID(N66,O66,P66-O66),[5]skilldef!$A:$B,2,FALSE),"-")</f>
        <v>自分自身に / 状態異常耐性</v>
      </c>
      <c r="T66" s="42" t="str">
        <f t="shared" si="10"/>
        <v>none</v>
      </c>
      <c r="U66" s="54" t="e">
        <f t="shared" si="11"/>
        <v>#VALUE!</v>
      </c>
      <c r="V66" s="54">
        <f t="shared" si="12"/>
        <v>4</v>
      </c>
      <c r="W66" s="54" t="e">
        <f t="shared" si="13"/>
        <v>#VALUE!</v>
      </c>
      <c r="X66" s="54" t="e">
        <f t="shared" si="14"/>
        <v>#VALUE!</v>
      </c>
      <c r="Y66" s="54" t="str">
        <f>IFERROR(VLOOKUP(MID(T66,W66,X66-W66),[5]skilldef!$C:$D,2,FALSE),"-") &amp; " / " &amp; IFERROR(VLOOKUP(MID(T66,U66,V66-U66),[5]skilldef!$A:$B,2,FALSE),"-")</f>
        <v>- / -</v>
      </c>
      <c r="Z66" s="44"/>
      <c r="AA66" s="46"/>
      <c r="AB66" s="44"/>
    </row>
    <row r="67" spans="1:28" ht="32" customHeight="1" x14ac:dyDescent="0.15">
      <c r="A67" s="182">
        <v>39014066</v>
      </c>
      <c r="B67" s="183" t="s">
        <v>576</v>
      </c>
      <c r="C67" s="44">
        <v>1</v>
      </c>
      <c r="D67" s="44" t="s">
        <v>430</v>
      </c>
      <c r="E67" s="45" t="s">
        <v>579</v>
      </c>
      <c r="F67" s="45" t="s">
        <v>489</v>
      </c>
      <c r="G67" s="54" t="str">
        <f t="shared" si="0"/>
        <v>[effect:enemy_message, val1:1.2, val2:1.2]</v>
      </c>
      <c r="H67" s="54">
        <f t="shared" si="1"/>
        <v>9</v>
      </c>
      <c r="I67" s="54">
        <f t="shared" si="2"/>
        <v>22</v>
      </c>
      <c r="J67" s="54" t="e">
        <f t="shared" si="3"/>
        <v>#VALUE!</v>
      </c>
      <c r="K67" s="54">
        <f t="shared" si="4"/>
        <v>32</v>
      </c>
      <c r="L67" s="54" t="str">
        <f>IFERROR(VLOOKUP(MID(G67,J67,K67-J67),[5]skilldef!$C:$D,2,FALSE),"-") &amp; " / " &amp; IFERROR(VLOOKUP(MID(G67,H67,I67-H67),[5]skilldef!$A:$B,2,FALSE),"-")</f>
        <v>- / -</v>
      </c>
      <c r="M67" s="54" t="str">
        <f t="shared" si="5"/>
        <v>[effect:tolerance, target:myself, turn:-1, count:-1, tolerance_effect:all, animation:enemy_tolerance]</v>
      </c>
      <c r="N67" s="42" t="str">
        <f t="shared" si="78"/>
        <v>[effect:tolerance, target:myself, turn:-1, count:-1, tolerance_effect:all, animation:enemy_tolerance]</v>
      </c>
      <c r="O67" s="54">
        <f t="shared" si="6"/>
        <v>9</v>
      </c>
      <c r="P67" s="54">
        <f t="shared" si="7"/>
        <v>18</v>
      </c>
      <c r="Q67" s="54">
        <f t="shared" si="8"/>
        <v>27</v>
      </c>
      <c r="R67" s="54">
        <f t="shared" si="9"/>
        <v>33</v>
      </c>
      <c r="S67" s="54" t="str">
        <f>IFERROR(VLOOKUP(MID(N67,Q67,R67-Q67),[5]skilldef!$C:$D,2,FALSE),"-") &amp; " / " &amp; IFERROR(VLOOKUP(MID(N67,O67,P67-O67),[5]skilldef!$A:$B,2,FALSE),"-")</f>
        <v>自分自身に / 状態異常耐性</v>
      </c>
      <c r="T67" s="42" t="str">
        <f t="shared" si="10"/>
        <v>none</v>
      </c>
      <c r="U67" s="54" t="e">
        <f t="shared" si="11"/>
        <v>#VALUE!</v>
      </c>
      <c r="V67" s="54">
        <f t="shared" si="12"/>
        <v>4</v>
      </c>
      <c r="W67" s="54" t="e">
        <f t="shared" si="13"/>
        <v>#VALUE!</v>
      </c>
      <c r="X67" s="54" t="e">
        <f t="shared" si="14"/>
        <v>#VALUE!</v>
      </c>
      <c r="Y67" s="54" t="str">
        <f>IFERROR(VLOOKUP(MID(T67,W67,X67-W67),[5]skilldef!$C:$D,2,FALSE),"-") &amp; " / " &amp; IFERROR(VLOOKUP(MID(T67,U67,V67-U67),[5]skilldef!$A:$B,2,FALSE),"-")</f>
        <v>- / -</v>
      </c>
      <c r="Z67" s="44"/>
      <c r="AA67" s="46"/>
      <c r="AB67" s="44"/>
    </row>
    <row r="68" spans="1:28" ht="31" customHeight="1" x14ac:dyDescent="0.15">
      <c r="A68" s="182">
        <v>39014067</v>
      </c>
      <c r="B68" s="183" t="s">
        <v>576</v>
      </c>
      <c r="C68" s="44">
        <v>1</v>
      </c>
      <c r="D68" s="44" t="s">
        <v>430</v>
      </c>
      <c r="E68" s="45" t="s">
        <v>579</v>
      </c>
      <c r="F68" s="45" t="s">
        <v>489</v>
      </c>
      <c r="G68" s="54" t="str">
        <f t="shared" si="0"/>
        <v>[effect:enemy_message, val1:1.2, val2:1.2]</v>
      </c>
      <c r="H68" s="54">
        <f t="shared" si="1"/>
        <v>9</v>
      </c>
      <c r="I68" s="54">
        <f t="shared" si="2"/>
        <v>22</v>
      </c>
      <c r="J68" s="54" t="e">
        <f t="shared" si="3"/>
        <v>#VALUE!</v>
      </c>
      <c r="K68" s="54">
        <f t="shared" si="4"/>
        <v>32</v>
      </c>
      <c r="L68" s="54" t="str">
        <f>IFERROR(VLOOKUP(MID(G68,J68,K68-J68),[5]skilldef!$C:$D,2,FALSE),"-") &amp; " / " &amp; IFERROR(VLOOKUP(MID(G68,H68,I68-H68),[5]skilldef!$A:$B,2,FALSE),"-")</f>
        <v>- / -</v>
      </c>
      <c r="M68" s="54" t="str">
        <f t="shared" si="5"/>
        <v>[effect:tolerance, target:myself, turn:-1, count:-1, tolerance_effect:all, animation:enemy_tolerance]</v>
      </c>
      <c r="N68" s="42" t="str">
        <f t="shared" si="78"/>
        <v>[effect:tolerance, target:myself, turn:-1, count:-1, tolerance_effect:all, animation:enemy_tolerance]</v>
      </c>
      <c r="O68" s="54">
        <f t="shared" si="6"/>
        <v>9</v>
      </c>
      <c r="P68" s="54">
        <f t="shared" si="7"/>
        <v>18</v>
      </c>
      <c r="Q68" s="54">
        <f t="shared" si="8"/>
        <v>27</v>
      </c>
      <c r="R68" s="54">
        <f t="shared" si="9"/>
        <v>33</v>
      </c>
      <c r="S68" s="54" t="str">
        <f>IFERROR(VLOOKUP(MID(N68,Q68,R68-Q68),[5]skilldef!$C:$D,2,FALSE),"-") &amp; " / " &amp; IFERROR(VLOOKUP(MID(N68,O68,P68-O68),[5]skilldef!$A:$B,2,FALSE),"-")</f>
        <v>自分自身に / 状態異常耐性</v>
      </c>
      <c r="T68" s="42" t="str">
        <f t="shared" si="10"/>
        <v>none</v>
      </c>
      <c r="U68" s="54" t="e">
        <f t="shared" si="11"/>
        <v>#VALUE!</v>
      </c>
      <c r="V68" s="54">
        <f t="shared" si="12"/>
        <v>4</v>
      </c>
      <c r="W68" s="54" t="e">
        <f t="shared" si="13"/>
        <v>#VALUE!</v>
      </c>
      <c r="X68" s="54" t="e">
        <f t="shared" si="14"/>
        <v>#VALUE!</v>
      </c>
      <c r="Y68" s="54" t="str">
        <f>IFERROR(VLOOKUP(MID(T68,W68,X68-W68),[5]skilldef!$C:$D,2,FALSE),"-") &amp; " / " &amp; IFERROR(VLOOKUP(MID(T68,U68,V68-U68),[5]skilldef!$A:$B,2,FALSE),"-")</f>
        <v>- / -</v>
      </c>
      <c r="Z68" s="44"/>
      <c r="AA68" s="46"/>
      <c r="AB68" s="44"/>
    </row>
    <row r="69" spans="1:28" ht="31" customHeight="1" x14ac:dyDescent="0.15">
      <c r="A69" s="182">
        <v>39014068</v>
      </c>
      <c r="B69" s="183" t="s">
        <v>576</v>
      </c>
      <c r="C69" s="44">
        <v>1</v>
      </c>
      <c r="D69" s="44" t="s">
        <v>430</v>
      </c>
      <c r="E69" s="45" t="s">
        <v>579</v>
      </c>
      <c r="F69" s="45" t="s">
        <v>489</v>
      </c>
      <c r="G69" s="54" t="str">
        <f t="shared" si="0"/>
        <v>[effect:enemy_message, val1:1.2, val2:1.2]</v>
      </c>
      <c r="H69" s="54">
        <f t="shared" si="1"/>
        <v>9</v>
      </c>
      <c r="I69" s="54">
        <f t="shared" si="2"/>
        <v>22</v>
      </c>
      <c r="J69" s="54" t="e">
        <f t="shared" si="3"/>
        <v>#VALUE!</v>
      </c>
      <c r="K69" s="54">
        <f t="shared" si="4"/>
        <v>32</v>
      </c>
      <c r="L69" s="54" t="str">
        <f>IFERROR(VLOOKUP(MID(G69,J69,K69-J69),[5]skilldef!$C:$D,2,FALSE),"-") &amp; " / " &amp; IFERROR(VLOOKUP(MID(G69,H69,I69-H69),[5]skilldef!$A:$B,2,FALSE),"-")</f>
        <v>- / -</v>
      </c>
      <c r="M69" s="54" t="str">
        <f t="shared" si="5"/>
        <v>[effect:tolerance, target:myself, turn:-1, count:-1, tolerance_effect:all, animation:enemy_tolerance]</v>
      </c>
      <c r="N69" s="42" t="str">
        <f t="shared" si="78"/>
        <v>[effect:tolerance, target:myself, turn:-1, count:-1, tolerance_effect:all, animation:enemy_tolerance]</v>
      </c>
      <c r="O69" s="54">
        <f t="shared" si="6"/>
        <v>9</v>
      </c>
      <c r="P69" s="54">
        <f t="shared" si="7"/>
        <v>18</v>
      </c>
      <c r="Q69" s="54">
        <f t="shared" si="8"/>
        <v>27</v>
      </c>
      <c r="R69" s="54">
        <f t="shared" si="9"/>
        <v>33</v>
      </c>
      <c r="S69" s="54" t="str">
        <f>IFERROR(VLOOKUP(MID(N69,Q69,R69-Q69),[5]skilldef!$C:$D,2,FALSE),"-") &amp; " / " &amp; IFERROR(VLOOKUP(MID(N69,O69,P69-O69),[5]skilldef!$A:$B,2,FALSE),"-")</f>
        <v>自分自身に / 状態異常耐性</v>
      </c>
      <c r="T69" s="42" t="str">
        <f t="shared" si="10"/>
        <v>none</v>
      </c>
      <c r="U69" s="54" t="e">
        <f t="shared" si="11"/>
        <v>#VALUE!</v>
      </c>
      <c r="V69" s="54">
        <f t="shared" si="12"/>
        <v>4</v>
      </c>
      <c r="W69" s="54" t="e">
        <f t="shared" si="13"/>
        <v>#VALUE!</v>
      </c>
      <c r="X69" s="54" t="e">
        <f t="shared" si="14"/>
        <v>#VALUE!</v>
      </c>
      <c r="Y69" s="54" t="str">
        <f>IFERROR(VLOOKUP(MID(T69,W69,X69-W69),[5]skilldef!$C:$D,2,FALSE),"-") &amp; " / " &amp; IFERROR(VLOOKUP(MID(T69,U69,V69-U69),[5]skilldef!$A:$B,2,FALSE),"-")</f>
        <v>- / -</v>
      </c>
      <c r="Z69" s="44"/>
      <c r="AA69" s="46"/>
      <c r="AB69" s="44"/>
    </row>
    <row r="70" spans="1:28" ht="32" customHeight="1" x14ac:dyDescent="0.15">
      <c r="A70" s="182">
        <v>39014069</v>
      </c>
      <c r="B70" s="183" t="s">
        <v>576</v>
      </c>
      <c r="C70" s="44">
        <v>1</v>
      </c>
      <c r="D70" s="44" t="s">
        <v>430</v>
      </c>
      <c r="E70" s="45" t="s">
        <v>579</v>
      </c>
      <c r="F70" s="45" t="s">
        <v>489</v>
      </c>
      <c r="G70" s="54" t="str">
        <f t="shared" si="0"/>
        <v>[effect:enemy_message, val1:1.2, val2:1.2]</v>
      </c>
      <c r="H70" s="54">
        <f t="shared" si="1"/>
        <v>9</v>
      </c>
      <c r="I70" s="54">
        <f t="shared" si="2"/>
        <v>22</v>
      </c>
      <c r="J70" s="54" t="e">
        <f t="shared" si="3"/>
        <v>#VALUE!</v>
      </c>
      <c r="K70" s="54">
        <f t="shared" si="4"/>
        <v>32</v>
      </c>
      <c r="L70" s="54" t="str">
        <f>IFERROR(VLOOKUP(MID(G70,J70,K70-J70),[5]skilldef!$C:$D,2,FALSE),"-") &amp; " / " &amp; IFERROR(VLOOKUP(MID(G70,H70,I70-H70),[5]skilldef!$A:$B,2,FALSE),"-")</f>
        <v>- / -</v>
      </c>
      <c r="M70" s="54" t="str">
        <f t="shared" si="5"/>
        <v>[effect:tolerance, target:myself, turn:-1, count:-1, tolerance_effect:all, animation:enemy_tolerance]</v>
      </c>
      <c r="N70" s="42" t="str">
        <f t="shared" si="78"/>
        <v>[effect:tolerance, target:myself, turn:-1, count:-1, tolerance_effect:all, animation:enemy_tolerance]</v>
      </c>
      <c r="O70" s="54">
        <f t="shared" si="6"/>
        <v>9</v>
      </c>
      <c r="P70" s="54">
        <f t="shared" si="7"/>
        <v>18</v>
      </c>
      <c r="Q70" s="54">
        <f t="shared" si="8"/>
        <v>27</v>
      </c>
      <c r="R70" s="54">
        <f t="shared" si="9"/>
        <v>33</v>
      </c>
      <c r="S70" s="54" t="str">
        <f>IFERROR(VLOOKUP(MID(N70,Q70,R70-Q70),[5]skilldef!$C:$D,2,FALSE),"-") &amp; " / " &amp; IFERROR(VLOOKUP(MID(N70,O70,P70-O70),[5]skilldef!$A:$B,2,FALSE),"-")</f>
        <v>自分自身に / 状態異常耐性</v>
      </c>
      <c r="T70" s="42" t="str">
        <f t="shared" si="10"/>
        <v>none</v>
      </c>
      <c r="U70" s="54" t="e">
        <f t="shared" si="11"/>
        <v>#VALUE!</v>
      </c>
      <c r="V70" s="54">
        <f t="shared" si="12"/>
        <v>4</v>
      </c>
      <c r="W70" s="54" t="e">
        <f t="shared" si="13"/>
        <v>#VALUE!</v>
      </c>
      <c r="X70" s="54" t="e">
        <f t="shared" si="14"/>
        <v>#VALUE!</v>
      </c>
      <c r="Y70" s="54" t="str">
        <f>IFERROR(VLOOKUP(MID(T70,W70,X70-W70),[5]skilldef!$C:$D,2,FALSE),"-") &amp; " / " &amp; IFERROR(VLOOKUP(MID(T70,U70,V70-U70),[5]skilldef!$A:$B,2,FALSE),"-")</f>
        <v>- / -</v>
      </c>
      <c r="Z70" s="44"/>
      <c r="AA70" s="46"/>
      <c r="AB70" s="44"/>
    </row>
    <row r="71" spans="1:28" ht="32" customHeight="1" x14ac:dyDescent="0.15">
      <c r="A71" s="182">
        <v>39014070</v>
      </c>
      <c r="B71" s="183" t="s">
        <v>576</v>
      </c>
      <c r="C71" s="44">
        <v>1</v>
      </c>
      <c r="D71" s="44" t="s">
        <v>430</v>
      </c>
      <c r="E71" s="45" t="s">
        <v>579</v>
      </c>
      <c r="F71" s="45" t="s">
        <v>489</v>
      </c>
      <c r="G71" s="54" t="str">
        <f t="shared" si="0"/>
        <v>[effect:enemy_message, val1:1.2, val2:1.2]</v>
      </c>
      <c r="H71" s="54">
        <f t="shared" si="1"/>
        <v>9</v>
      </c>
      <c r="I71" s="54">
        <f t="shared" si="2"/>
        <v>22</v>
      </c>
      <c r="J71" s="54" t="e">
        <f t="shared" si="3"/>
        <v>#VALUE!</v>
      </c>
      <c r="K71" s="54">
        <f t="shared" si="4"/>
        <v>32</v>
      </c>
      <c r="L71" s="54" t="str">
        <f>IFERROR(VLOOKUP(MID(G71,J71,K71-J71),[5]skilldef!$C:$D,2,FALSE),"-") &amp; " / " &amp; IFERROR(VLOOKUP(MID(G71,H71,I71-H71),[5]skilldef!$A:$B,2,FALSE),"-")</f>
        <v>- / -</v>
      </c>
      <c r="M71" s="54" t="str">
        <f t="shared" si="5"/>
        <v>[effect:tolerance, target:myself, turn:-1, count:-1, tolerance_effect:all, animation:enemy_tolerance]</v>
      </c>
      <c r="N71" s="42" t="str">
        <f t="shared" si="78"/>
        <v>[effect:tolerance, target:myself, turn:-1, count:-1, tolerance_effect:all, animation:enemy_tolerance]</v>
      </c>
      <c r="O71" s="54">
        <f t="shared" si="6"/>
        <v>9</v>
      </c>
      <c r="P71" s="54">
        <f t="shared" si="7"/>
        <v>18</v>
      </c>
      <c r="Q71" s="54">
        <f t="shared" si="8"/>
        <v>27</v>
      </c>
      <c r="R71" s="54">
        <f t="shared" si="9"/>
        <v>33</v>
      </c>
      <c r="S71" s="54" t="str">
        <f>IFERROR(VLOOKUP(MID(N71,Q71,R71-Q71),[5]skilldef!$C:$D,2,FALSE),"-") &amp; " / " &amp; IFERROR(VLOOKUP(MID(N71,O71,P71-O71),[5]skilldef!$A:$B,2,FALSE),"-")</f>
        <v>自分自身に / 状態異常耐性</v>
      </c>
      <c r="T71" s="42" t="str">
        <f t="shared" si="10"/>
        <v>none</v>
      </c>
      <c r="U71" s="54" t="e">
        <f t="shared" si="11"/>
        <v>#VALUE!</v>
      </c>
      <c r="V71" s="54">
        <f t="shared" si="12"/>
        <v>4</v>
      </c>
      <c r="W71" s="54" t="e">
        <f t="shared" si="13"/>
        <v>#VALUE!</v>
      </c>
      <c r="X71" s="54" t="e">
        <f t="shared" si="14"/>
        <v>#VALUE!</v>
      </c>
      <c r="Y71" s="54" t="str">
        <f>IFERROR(VLOOKUP(MID(T71,W71,X71-W71),[5]skilldef!$C:$D,2,FALSE),"-") &amp; " / " &amp; IFERROR(VLOOKUP(MID(T71,U71,V71-U71),[5]skilldef!$A:$B,2,FALSE),"-")</f>
        <v>- / -</v>
      </c>
      <c r="Z71" s="44"/>
      <c r="AA71" s="46"/>
      <c r="AB71" s="44"/>
    </row>
    <row r="72" spans="1:28" ht="29" customHeight="1" x14ac:dyDescent="0.15">
      <c r="A72" s="182">
        <v>39014071</v>
      </c>
      <c r="B72" s="183" t="s">
        <v>583</v>
      </c>
      <c r="C72" s="44">
        <v>1</v>
      </c>
      <c r="D72" s="44" t="s">
        <v>430</v>
      </c>
      <c r="E72" s="45" t="s">
        <v>511</v>
      </c>
      <c r="F72" s="45" t="s">
        <v>582</v>
      </c>
      <c r="G72" s="54" t="str">
        <f t="shared" si="0"/>
        <v>[effect:enemy_message, val1:1.2, val2:2.2]</v>
      </c>
      <c r="H72" s="54">
        <f t="shared" si="1"/>
        <v>9</v>
      </c>
      <c r="I72" s="54">
        <f t="shared" si="2"/>
        <v>22</v>
      </c>
      <c r="J72" s="54" t="e">
        <f t="shared" si="3"/>
        <v>#VALUE!</v>
      </c>
      <c r="K72" s="54">
        <f t="shared" si="4"/>
        <v>32</v>
      </c>
      <c r="L72" s="54" t="str">
        <f>IFERROR(VLOOKUP(MID(G72,J72,K72-J72),[5]skilldef!$C:$D,2,FALSE),"-") &amp; " / " &amp; IFERROR(VLOOKUP(MID(G72,H72,I72-H72),[5]skilldef!$A:$B,2,FALSE),"-")</f>
        <v>- / -</v>
      </c>
      <c r="M72" s="54" t="str">
        <f t="shared" si="5"/>
        <v>[effect:force_change_block, new_block:jammer, target:normal, ignore01:jammer, count:5, val:0, animation:change_block] ,[effect:rush, count:1, val:0.2]</v>
      </c>
      <c r="N72" s="42" t="str">
        <f>IFERROR(LEFT(M72,FIND("],",M72)+S91),M72)</f>
        <v>[effect:force_change_block, new_block:jammer, target:normal, ignore01:jammer, count:5, val:0, animation:change_block] ,[effect:rush, count:1, val:0.2]</v>
      </c>
      <c r="O72" s="54">
        <f t="shared" si="6"/>
        <v>9</v>
      </c>
      <c r="P72" s="54">
        <f t="shared" si="7"/>
        <v>27</v>
      </c>
      <c r="Q72" s="54">
        <f t="shared" si="8"/>
        <v>54</v>
      </c>
      <c r="R72" s="54">
        <f t="shared" si="9"/>
        <v>45</v>
      </c>
      <c r="S72" s="54" t="str">
        <f>IFERROR(VLOOKUP(MID(N72,Q72,R72-Q72),[5]skilldef!$C:$D,2,FALSE),"-") &amp; " / " &amp; IFERROR(VLOOKUP(MID(N72,O72,P72-O72),[5]skilldef!$A:$B,2,FALSE),"-")</f>
        <v>- / -</v>
      </c>
      <c r="T72" s="42" t="str">
        <f t="shared" si="10"/>
        <v>none</v>
      </c>
      <c r="U72" s="54" t="e">
        <f t="shared" si="11"/>
        <v>#VALUE!</v>
      </c>
      <c r="V72" s="54">
        <f t="shared" si="12"/>
        <v>4</v>
      </c>
      <c r="W72" s="54" t="e">
        <f t="shared" si="13"/>
        <v>#VALUE!</v>
      </c>
      <c r="X72" s="54" t="e">
        <f t="shared" si="14"/>
        <v>#VALUE!</v>
      </c>
      <c r="Y72" s="54" t="str">
        <f>IFERROR(VLOOKUP(MID(T72,W72,X72-W72),[5]skilldef!$C:$D,2,FALSE),"-") &amp; " / " &amp; IFERROR(VLOOKUP(MID(T72,U72,V72-U72),[5]skilldef!$A:$B,2,FALSE),"-")</f>
        <v>- / -</v>
      </c>
      <c r="Z72" s="44"/>
      <c r="AA72" s="46"/>
      <c r="AB72" s="44"/>
    </row>
    <row r="73" spans="1:28" ht="40" customHeight="1" x14ac:dyDescent="0.15">
      <c r="A73" s="182">
        <v>39014072</v>
      </c>
      <c r="B73" s="183" t="s">
        <v>584</v>
      </c>
      <c r="C73" s="44">
        <v>1</v>
      </c>
      <c r="D73" s="44" t="s">
        <v>430</v>
      </c>
      <c r="E73" s="45" t="s">
        <v>512</v>
      </c>
      <c r="F73" s="45" t="s">
        <v>566</v>
      </c>
      <c r="G73" s="54" t="str">
        <f t="shared" si="0"/>
        <v>[effect:enemy_message, val1:1.2, val2:1.3]</v>
      </c>
      <c r="H73" s="54">
        <f t="shared" si="1"/>
        <v>9</v>
      </c>
      <c r="I73" s="54">
        <f t="shared" si="2"/>
        <v>22</v>
      </c>
      <c r="J73" s="54" t="e">
        <f t="shared" si="3"/>
        <v>#VALUE!</v>
      </c>
      <c r="K73" s="54">
        <f t="shared" si="4"/>
        <v>32</v>
      </c>
      <c r="L73" s="54" t="str">
        <f>IFERROR(VLOOKUP(MID(G73,J73,K73-J73),[5]skilldef!$C:$D,2,FALSE),"-") &amp; " / " &amp; IFERROR(VLOOKUP(MID(G73,H73,I73-H73),[5]skilldef!$A:$B,2,FALSE),"-")</f>
        <v>- / -</v>
      </c>
      <c r="M73" s="54" t="str">
        <f t="shared" si="5"/>
        <v xml:space="preserve">[effect:break_attack,_fix,target:unit_one, val:0.03, lowest_val:2000, count:-1, color:blue, block01:jammer]    </v>
      </c>
      <c r="N73" s="42" t="str">
        <f>IFERROR(LEFT(M73,FIND("],",M73)+S92),M73)</f>
        <v xml:space="preserve">[effect:break_attack,_fix,target:unit_one, val:0.03, lowest_val:2000, count:-1, color:blue, block01:jammer]    </v>
      </c>
      <c r="O73" s="54">
        <f t="shared" si="6"/>
        <v>9</v>
      </c>
      <c r="P73" s="54">
        <f t="shared" si="7"/>
        <v>21</v>
      </c>
      <c r="Q73" s="54">
        <f t="shared" si="8"/>
        <v>34</v>
      </c>
      <c r="R73" s="54">
        <f t="shared" si="9"/>
        <v>26</v>
      </c>
      <c r="S73" s="54" t="str">
        <f>IFERROR(VLOOKUP(MID(N73,Q73,R73-Q73),[5]skilldef!$C:$D,2,FALSE),"-") &amp; " / " &amp; IFERROR(VLOOKUP(MID(N73,O73,P73-O73),[5]skilldef!$A:$B,2,FALSE),"-")</f>
        <v>- / -</v>
      </c>
      <c r="T73" s="42" t="str">
        <f t="shared" si="10"/>
        <v>none</v>
      </c>
      <c r="U73" s="54" t="e">
        <f t="shared" si="11"/>
        <v>#VALUE!</v>
      </c>
      <c r="V73" s="54">
        <f t="shared" si="12"/>
        <v>4</v>
      </c>
      <c r="W73" s="54" t="e">
        <f t="shared" si="13"/>
        <v>#VALUE!</v>
      </c>
      <c r="X73" s="54" t="e">
        <f t="shared" si="14"/>
        <v>#VALUE!</v>
      </c>
      <c r="Y73" s="54" t="str">
        <f>IFERROR(VLOOKUP(MID(T73,W73,X73-W73),[5]skilldef!$C:$D,2,FALSE),"-") &amp; " / " &amp; IFERROR(VLOOKUP(MID(T73,U73,V73-U73),[5]skilldef!$A:$B,2,FALSE),"-")</f>
        <v>- / -</v>
      </c>
      <c r="Z73" s="44"/>
      <c r="AA73" s="46"/>
      <c r="AB73" s="44"/>
    </row>
    <row r="74" spans="1:28" ht="21" customHeight="1" x14ac:dyDescent="0.15">
      <c r="A74" s="182">
        <v>39014073</v>
      </c>
      <c r="B74" s="183" t="s">
        <v>590</v>
      </c>
      <c r="C74" s="44">
        <v>1</v>
      </c>
      <c r="D74" s="44" t="s">
        <v>430</v>
      </c>
      <c r="E74" s="45" t="s">
        <v>513</v>
      </c>
      <c r="F74" s="45" t="s">
        <v>523</v>
      </c>
      <c r="G74" s="54" t="str">
        <f t="shared" si="0"/>
        <v>[effect:enemy_message, val1:1.2, val2:1.2]</v>
      </c>
      <c r="H74" s="54">
        <f t="shared" si="1"/>
        <v>9</v>
      </c>
      <c r="I74" s="54">
        <f t="shared" si="2"/>
        <v>22</v>
      </c>
      <c r="J74" s="54" t="e">
        <f t="shared" si="3"/>
        <v>#VALUE!</v>
      </c>
      <c r="K74" s="54">
        <f t="shared" si="4"/>
        <v>32</v>
      </c>
      <c r="L74" s="54" t="str">
        <f>IFERROR(VLOOKUP(MID(G74,J74,K74-J74),[5]skilldef!$C:$D,2,FALSE),"-") &amp; " / " &amp; IFERROR(VLOOKUP(MID(G74,H74,I74-H74),[5]skilldef!$A:$B,2,FALSE),"-")</f>
        <v>- / -</v>
      </c>
      <c r="M74" s="54" t="str">
        <f t="shared" si="5"/>
        <v xml:space="preserve">[effect:rush, count:2, val:0.25]    </v>
      </c>
      <c r="N74" s="42" t="str">
        <f>IFERROR(LEFT(M74,FIND("],",M74)+S102),M74)</f>
        <v xml:space="preserve">[effect:rush, count:2, val:0.25]    </v>
      </c>
      <c r="O74" s="54">
        <f t="shared" si="6"/>
        <v>9</v>
      </c>
      <c r="P74" s="54">
        <f t="shared" si="7"/>
        <v>13</v>
      </c>
      <c r="Q74" s="54" t="e">
        <f t="shared" si="8"/>
        <v>#VALUE!</v>
      </c>
      <c r="R74" s="54">
        <f t="shared" si="9"/>
        <v>22</v>
      </c>
      <c r="S74" s="54" t="str">
        <f>IFERROR(VLOOKUP(MID(N74,Q74,R74-Q74),[5]skilldef!$C:$D,2,FALSE),"-") &amp; " / " &amp; IFERROR(VLOOKUP(MID(N74,O74,P74-O74),[5]skilldef!$A:$B,2,FALSE),"-")</f>
        <v>- / 連続攻撃</v>
      </c>
      <c r="T74" s="42" t="str">
        <f t="shared" si="10"/>
        <v>none</v>
      </c>
      <c r="U74" s="54" t="e">
        <f t="shared" si="11"/>
        <v>#VALUE!</v>
      </c>
      <c r="V74" s="54">
        <f t="shared" si="12"/>
        <v>4</v>
      </c>
      <c r="W74" s="54" t="e">
        <f t="shared" si="13"/>
        <v>#VALUE!</v>
      </c>
      <c r="X74" s="54" t="e">
        <f t="shared" si="14"/>
        <v>#VALUE!</v>
      </c>
      <c r="Y74" s="54" t="str">
        <f>IFERROR(VLOOKUP(MID(T74,W74,X74-W74),[5]skilldef!$C:$D,2,FALSE),"-") &amp; " / " &amp; IFERROR(VLOOKUP(MID(T74,U74,V74-U74),[5]skilldef!$A:$B,2,FALSE),"-")</f>
        <v>- / -</v>
      </c>
      <c r="Z74" s="44"/>
      <c r="AA74" s="46"/>
      <c r="AB74" s="44"/>
    </row>
    <row r="75" spans="1:28" ht="21" customHeight="1" x14ac:dyDescent="0.15">
      <c r="A75" s="182">
        <v>39014074</v>
      </c>
      <c r="B75" s="183" t="s">
        <v>591</v>
      </c>
      <c r="C75" s="44">
        <v>1</v>
      </c>
      <c r="D75" s="44" t="s">
        <v>430</v>
      </c>
      <c r="E75" s="45" t="s">
        <v>514</v>
      </c>
      <c r="F75" s="45" t="s">
        <v>515</v>
      </c>
      <c r="G75" s="54" t="str">
        <f t="shared" si="0"/>
        <v>[effect:enemy_message, val1:1.2, val2:1.2]</v>
      </c>
      <c r="H75" s="54">
        <f t="shared" si="1"/>
        <v>9</v>
      </c>
      <c r="I75" s="54">
        <f t="shared" si="2"/>
        <v>22</v>
      </c>
      <c r="J75" s="54" t="e">
        <f t="shared" si="3"/>
        <v>#VALUE!</v>
      </c>
      <c r="K75" s="54">
        <f t="shared" si="4"/>
        <v>32</v>
      </c>
      <c r="L75" s="54" t="str">
        <f>IFERROR(VLOOKUP(MID(G75,J75,K75-J75),[5]skilldef!$C:$D,2,FALSE),"-") &amp; " / " &amp; IFERROR(VLOOKUP(MID(G75,H75,I75-H75),[5]skilldef!$A:$B,2,FALSE),"-")</f>
        <v>- / -</v>
      </c>
      <c r="M75" s="54" t="str">
        <f t="shared" si="5"/>
        <v xml:space="preserve">[effect:rush, count:3, val:0.25]    </v>
      </c>
      <c r="N75" s="42" t="str">
        <f>IFERROR(LEFT(M75,FIND("],",M75)+S102),M75)</f>
        <v xml:space="preserve">[effect:rush, count:3, val:0.25]    </v>
      </c>
      <c r="O75" s="54">
        <f t="shared" si="6"/>
        <v>9</v>
      </c>
      <c r="P75" s="54">
        <f t="shared" si="7"/>
        <v>13</v>
      </c>
      <c r="Q75" s="54" t="e">
        <f t="shared" si="8"/>
        <v>#VALUE!</v>
      </c>
      <c r="R75" s="54">
        <f t="shared" si="9"/>
        <v>22</v>
      </c>
      <c r="S75" s="54" t="str">
        <f>IFERROR(VLOOKUP(MID(N75,Q75,R75-Q75),[5]skilldef!$C:$D,2,FALSE),"-") &amp; " / " &amp; IFERROR(VLOOKUP(MID(N75,O75,P75-O75),[5]skilldef!$A:$B,2,FALSE),"-")</f>
        <v>- / 連続攻撃</v>
      </c>
      <c r="T75" s="42" t="str">
        <f t="shared" si="10"/>
        <v>none</v>
      </c>
      <c r="U75" s="54" t="e">
        <f t="shared" si="11"/>
        <v>#VALUE!</v>
      </c>
      <c r="V75" s="54">
        <f t="shared" si="12"/>
        <v>4</v>
      </c>
      <c r="W75" s="54" t="e">
        <f t="shared" si="13"/>
        <v>#VALUE!</v>
      </c>
      <c r="X75" s="54" t="e">
        <f t="shared" si="14"/>
        <v>#VALUE!</v>
      </c>
      <c r="Y75" s="54" t="str">
        <f>IFERROR(VLOOKUP(MID(T75,W75,X75-W75),[5]skilldef!$C:$D,2,FALSE),"-") &amp; " / " &amp; IFERROR(VLOOKUP(MID(T75,U75,V75-U75),[5]skilldef!$A:$B,2,FALSE),"-")</f>
        <v>- / -</v>
      </c>
      <c r="Z75" s="44"/>
      <c r="AA75" s="46"/>
      <c r="AB75" s="44"/>
    </row>
    <row r="76" spans="1:28" ht="21" customHeight="1" x14ac:dyDescent="0.15">
      <c r="A76" s="182">
        <v>39014075</v>
      </c>
      <c r="B76" s="183" t="s">
        <v>592</v>
      </c>
      <c r="C76" s="44">
        <v>1</v>
      </c>
      <c r="D76" s="44" t="s">
        <v>430</v>
      </c>
      <c r="E76" s="45" t="s">
        <v>516</v>
      </c>
      <c r="F76" s="45" t="s">
        <v>517</v>
      </c>
      <c r="G76" s="54" t="str">
        <f t="shared" si="0"/>
        <v>[effect:enemy_message, val1:1.2, val2:1.2]</v>
      </c>
      <c r="H76" s="54">
        <f t="shared" si="1"/>
        <v>9</v>
      </c>
      <c r="I76" s="54">
        <f t="shared" si="2"/>
        <v>22</v>
      </c>
      <c r="J76" s="54" t="e">
        <f t="shared" si="3"/>
        <v>#VALUE!</v>
      </c>
      <c r="K76" s="54">
        <f t="shared" si="4"/>
        <v>32</v>
      </c>
      <c r="L76" s="54" t="str">
        <f>IFERROR(VLOOKUP(MID(G76,J76,K76-J76),[5]skilldef!$C:$D,2,FALSE),"-") &amp; " / " &amp; IFERROR(VLOOKUP(MID(G76,H76,I76-H76),[5]skilldef!$A:$B,2,FALSE),"-")</f>
        <v>- / -</v>
      </c>
      <c r="M76" s="54" t="str">
        <f t="shared" si="5"/>
        <v xml:space="preserve">[effect:rush, count:4, val:0.2]    </v>
      </c>
      <c r="N76" s="42" t="str">
        <f>IFERROR(LEFT(M76,FIND("],",M76)+S103),M76)</f>
        <v xml:space="preserve">[effect:rush, count:4, val:0.2]    </v>
      </c>
      <c r="O76" s="54">
        <f t="shared" si="6"/>
        <v>9</v>
      </c>
      <c r="P76" s="54">
        <f t="shared" si="7"/>
        <v>13</v>
      </c>
      <c r="Q76" s="54" t="e">
        <f t="shared" si="8"/>
        <v>#VALUE!</v>
      </c>
      <c r="R76" s="54">
        <f t="shared" si="9"/>
        <v>22</v>
      </c>
      <c r="S76" s="54" t="str">
        <f>IFERROR(VLOOKUP(MID(N76,Q76,R76-Q76),[5]skilldef!$C:$D,2,FALSE),"-") &amp; " / " &amp; IFERROR(VLOOKUP(MID(N76,O76,P76-O76),[5]skilldef!$A:$B,2,FALSE),"-")</f>
        <v>- / 連続攻撃</v>
      </c>
      <c r="T76" s="42" t="str">
        <f t="shared" si="10"/>
        <v>none</v>
      </c>
      <c r="U76" s="54" t="e">
        <f t="shared" si="11"/>
        <v>#VALUE!</v>
      </c>
      <c r="V76" s="54">
        <f t="shared" si="12"/>
        <v>4</v>
      </c>
      <c r="W76" s="54" t="e">
        <f t="shared" si="13"/>
        <v>#VALUE!</v>
      </c>
      <c r="X76" s="54" t="e">
        <f t="shared" si="14"/>
        <v>#VALUE!</v>
      </c>
      <c r="Y76" s="54" t="str">
        <f>IFERROR(VLOOKUP(MID(T76,W76,X76-W76),[5]skilldef!$C:$D,2,FALSE),"-") &amp; " / " &amp; IFERROR(VLOOKUP(MID(T76,U76,V76-U76),[5]skilldef!$A:$B,2,FALSE),"-")</f>
        <v>- / -</v>
      </c>
      <c r="Z76" s="44"/>
      <c r="AA76" s="46"/>
      <c r="AB76" s="44"/>
    </row>
    <row r="77" spans="1:28" ht="32" customHeight="1" x14ac:dyDescent="0.15">
      <c r="A77" s="182">
        <v>39014076</v>
      </c>
      <c r="B77" s="183" t="s">
        <v>564</v>
      </c>
      <c r="C77" s="44">
        <v>1</v>
      </c>
      <c r="D77" s="44" t="s">
        <v>430</v>
      </c>
      <c r="E77" s="45" t="s">
        <v>563</v>
      </c>
      <c r="F77" s="45" t="s">
        <v>562</v>
      </c>
      <c r="G77" s="54" t="str">
        <f t="shared" si="0"/>
        <v>[effect:enemy_message, val1:1.2, val2:1.2]</v>
      </c>
      <c r="H77" s="54">
        <f t="shared" si="1"/>
        <v>9</v>
      </c>
      <c r="I77" s="54">
        <f t="shared" si="2"/>
        <v>22</v>
      </c>
      <c r="J77" s="54" t="e">
        <f t="shared" si="3"/>
        <v>#VALUE!</v>
      </c>
      <c r="K77" s="54">
        <f t="shared" si="4"/>
        <v>32</v>
      </c>
      <c r="L77" s="54" t="str">
        <f>IFERROR(VLOOKUP(MID(G77,J77,K77-J77),[5]skilldef!$C:$D,2,FALSE),"-") &amp; " / " &amp; IFERROR(VLOOKUP(MID(G77,H77,I77-H77),[5]skilldef!$A:$B,2,FALSE),"-")</f>
        <v>- / -</v>
      </c>
      <c r="M77" s="54" t="str">
        <f t="shared" si="5"/>
        <v>none</v>
      </c>
      <c r="N77" s="42" t="str">
        <f>IFERROR(LEFT(M77,FIND("],",M77)+S93),M77)</f>
        <v>none</v>
      </c>
      <c r="O77" s="54" t="e">
        <f t="shared" si="6"/>
        <v>#VALUE!</v>
      </c>
      <c r="P77" s="54">
        <f t="shared" si="7"/>
        <v>4</v>
      </c>
      <c r="Q77" s="54" t="e">
        <f t="shared" si="8"/>
        <v>#VALUE!</v>
      </c>
      <c r="R77" s="54" t="e">
        <f t="shared" si="9"/>
        <v>#VALUE!</v>
      </c>
      <c r="S77" s="54" t="str">
        <f>IFERROR(VLOOKUP(MID(N77,Q77,R77-Q77),[5]skilldef!$C:$D,2,FALSE),"-") &amp; " / " &amp; IFERROR(VLOOKUP(MID(N77,O77,P77-O77),[5]skilldef!$A:$B,2,FALSE),"-")</f>
        <v>- / -</v>
      </c>
      <c r="T77" s="42" t="str">
        <f t="shared" si="10"/>
        <v>none</v>
      </c>
      <c r="U77" s="54" t="e">
        <f t="shared" si="11"/>
        <v>#VALUE!</v>
      </c>
      <c r="V77" s="54">
        <f t="shared" si="12"/>
        <v>4</v>
      </c>
      <c r="W77" s="54" t="e">
        <f t="shared" si="13"/>
        <v>#VALUE!</v>
      </c>
      <c r="X77" s="54" t="e">
        <f t="shared" si="14"/>
        <v>#VALUE!</v>
      </c>
      <c r="Y77" s="54" t="str">
        <f>IFERROR(VLOOKUP(MID(T77,W77,X77-W77),[5]skilldef!$C:$D,2,FALSE),"-") &amp; " / " &amp; IFERROR(VLOOKUP(MID(T77,U77,V77-U77),[5]skilldef!$A:$B,2,FALSE),"-")</f>
        <v>- / -</v>
      </c>
      <c r="Z77" s="44"/>
      <c r="AA77" s="46"/>
      <c r="AB77" s="44"/>
    </row>
    <row r="78" spans="1:28" ht="33" customHeight="1" x14ac:dyDescent="0.15">
      <c r="A78" s="182">
        <v>39014077</v>
      </c>
      <c r="B78" s="183" t="s">
        <v>577</v>
      </c>
      <c r="C78" s="44">
        <v>1</v>
      </c>
      <c r="D78" s="44" t="s">
        <v>430</v>
      </c>
      <c r="E78" s="45" t="s">
        <v>565</v>
      </c>
      <c r="F78" s="45" t="s">
        <v>524</v>
      </c>
      <c r="G78" s="54" t="str">
        <f t="shared" si="0"/>
        <v>[effect:enemy_message, val1:1.5, val2:1.2]</v>
      </c>
      <c r="H78" s="54">
        <f t="shared" si="1"/>
        <v>9</v>
      </c>
      <c r="I78" s="54">
        <f t="shared" si="2"/>
        <v>22</v>
      </c>
      <c r="J78" s="54" t="e">
        <f t="shared" si="3"/>
        <v>#VALUE!</v>
      </c>
      <c r="K78" s="54">
        <f t="shared" si="4"/>
        <v>32</v>
      </c>
      <c r="L78" s="54" t="str">
        <f>IFERROR(VLOOKUP(MID(G78,J78,K78-J78),[5]skilldef!$C:$D,2,FALSE),"-") &amp; " / " &amp; IFERROR(VLOOKUP(MID(G78,H78,I78-H78),[5]skilldef!$A:$B,2,FALSE),"-")</f>
        <v>- / -</v>
      </c>
      <c r="M78" s="54" t="str">
        <f t="shared" si="5"/>
        <v xml:space="preserve">[effect:rush, count:21, val:0.055]    </v>
      </c>
      <c r="N78" s="42" t="str">
        <f>IFERROR(LEFT(M78,FIND("],",M78)+S94),M78)</f>
        <v xml:space="preserve">[effect:rush, count:21, val:0.055]    </v>
      </c>
      <c r="O78" s="54">
        <f t="shared" si="6"/>
        <v>9</v>
      </c>
      <c r="P78" s="54">
        <f t="shared" si="7"/>
        <v>13</v>
      </c>
      <c r="Q78" s="54" t="e">
        <f t="shared" si="8"/>
        <v>#VALUE!</v>
      </c>
      <c r="R78" s="54">
        <f t="shared" si="9"/>
        <v>23</v>
      </c>
      <c r="S78" s="54" t="str">
        <f>IFERROR(VLOOKUP(MID(N78,Q78,R78-Q78),[5]skilldef!$C:$D,2,FALSE),"-") &amp; " / " &amp; IFERROR(VLOOKUP(MID(N78,O78,P78-O78),[5]skilldef!$A:$B,2,FALSE),"-")</f>
        <v>- / 連続攻撃</v>
      </c>
      <c r="T78" s="42" t="str">
        <f t="shared" si="10"/>
        <v>none</v>
      </c>
      <c r="U78" s="54" t="e">
        <f t="shared" si="11"/>
        <v>#VALUE!</v>
      </c>
      <c r="V78" s="54">
        <f t="shared" si="12"/>
        <v>4</v>
      </c>
      <c r="W78" s="54" t="e">
        <f t="shared" si="13"/>
        <v>#VALUE!</v>
      </c>
      <c r="X78" s="54" t="e">
        <f t="shared" si="14"/>
        <v>#VALUE!</v>
      </c>
      <c r="Y78" s="54" t="str">
        <f>IFERROR(VLOOKUP(MID(T78,W78,X78-W78),[5]skilldef!$C:$D,2,FALSE),"-") &amp; " / " &amp; IFERROR(VLOOKUP(MID(T78,U78,V78-U78),[5]skilldef!$A:$B,2,FALSE),"-")</f>
        <v>- / -</v>
      </c>
      <c r="Z78" s="44"/>
      <c r="AA78" s="46"/>
      <c r="AB78" s="44"/>
    </row>
    <row r="79" spans="1:28" ht="34" customHeight="1" x14ac:dyDescent="0.15">
      <c r="A79" s="182">
        <v>39014078</v>
      </c>
      <c r="B79" s="183" t="s">
        <v>564</v>
      </c>
      <c r="C79" s="44">
        <v>1</v>
      </c>
      <c r="D79" s="44" t="s">
        <v>430</v>
      </c>
      <c r="E79" s="45" t="s">
        <v>563</v>
      </c>
      <c r="F79" s="45" t="s">
        <v>562</v>
      </c>
      <c r="G79" s="54" t="str">
        <f t="shared" si="0"/>
        <v>[effect:enemy_message, val1:1.2, val2:1.2]</v>
      </c>
      <c r="H79" s="54">
        <f t="shared" si="1"/>
        <v>9</v>
      </c>
      <c r="I79" s="54">
        <f t="shared" si="2"/>
        <v>22</v>
      </c>
      <c r="J79" s="54" t="e">
        <f t="shared" si="3"/>
        <v>#VALUE!</v>
      </c>
      <c r="K79" s="54">
        <f t="shared" si="4"/>
        <v>32</v>
      </c>
      <c r="L79" s="54" t="str">
        <f>IFERROR(VLOOKUP(MID(G79,J79,K79-J79),[5]skilldef!$C:$D,2,FALSE),"-") &amp; " / " &amp; IFERROR(VLOOKUP(MID(G79,H79,I79-H79),[5]skilldef!$A:$B,2,FALSE),"-")</f>
        <v>- / -</v>
      </c>
      <c r="M79" s="54" t="str">
        <f t="shared" si="5"/>
        <v>none</v>
      </c>
      <c r="N79" s="42" t="str">
        <f t="shared" ref="N79:N81" si="79">IFERROR(LEFT(M79,FIND("],",M79)+S93),M79)</f>
        <v>none</v>
      </c>
      <c r="O79" s="54" t="e">
        <f t="shared" si="6"/>
        <v>#VALUE!</v>
      </c>
      <c r="P79" s="54">
        <f t="shared" si="7"/>
        <v>4</v>
      </c>
      <c r="Q79" s="54" t="e">
        <f t="shared" si="8"/>
        <v>#VALUE!</v>
      </c>
      <c r="R79" s="54" t="e">
        <f t="shared" si="9"/>
        <v>#VALUE!</v>
      </c>
      <c r="S79" s="54" t="str">
        <f>IFERROR(VLOOKUP(MID(N79,Q79,R79-Q79),[5]skilldef!$C:$D,2,FALSE),"-") &amp; " / " &amp; IFERROR(VLOOKUP(MID(N79,O79,P79-O79),[5]skilldef!$A:$B,2,FALSE),"-")</f>
        <v>- / -</v>
      </c>
      <c r="T79" s="42" t="str">
        <f t="shared" si="10"/>
        <v>none</v>
      </c>
      <c r="U79" s="54" t="e">
        <f t="shared" si="11"/>
        <v>#VALUE!</v>
      </c>
      <c r="V79" s="54">
        <f t="shared" si="12"/>
        <v>4</v>
      </c>
      <c r="W79" s="54" t="e">
        <f t="shared" si="13"/>
        <v>#VALUE!</v>
      </c>
      <c r="X79" s="54" t="e">
        <f t="shared" si="14"/>
        <v>#VALUE!</v>
      </c>
      <c r="Y79" s="54" t="str">
        <f>IFERROR(VLOOKUP(MID(T79,W79,X79-W79),[5]skilldef!$C:$D,2,FALSE),"-") &amp; " / " &amp; IFERROR(VLOOKUP(MID(T79,U79,V79-U79),[5]skilldef!$A:$B,2,FALSE),"-")</f>
        <v>- / -</v>
      </c>
      <c r="Z79" s="44"/>
      <c r="AA79" s="46"/>
      <c r="AB79" s="44"/>
    </row>
    <row r="80" spans="1:28" ht="38" customHeight="1" x14ac:dyDescent="0.15">
      <c r="A80" s="182">
        <v>39014079</v>
      </c>
      <c r="B80" s="183" t="s">
        <v>577</v>
      </c>
      <c r="C80" s="44">
        <v>1</v>
      </c>
      <c r="D80" s="44" t="s">
        <v>430</v>
      </c>
      <c r="E80" s="45" t="s">
        <v>565</v>
      </c>
      <c r="F80" s="45" t="s">
        <v>524</v>
      </c>
      <c r="G80" s="54" t="str">
        <f t="shared" si="0"/>
        <v>[effect:enemy_message, val1:1.5, val2:1.2]</v>
      </c>
      <c r="H80" s="54">
        <f t="shared" si="1"/>
        <v>9</v>
      </c>
      <c r="I80" s="54">
        <f t="shared" si="2"/>
        <v>22</v>
      </c>
      <c r="J80" s="54" t="e">
        <f t="shared" si="3"/>
        <v>#VALUE!</v>
      </c>
      <c r="K80" s="54">
        <f t="shared" si="4"/>
        <v>32</v>
      </c>
      <c r="L80" s="54" t="str">
        <f>IFERROR(VLOOKUP(MID(G80,J80,K80-J80),[5]skilldef!$C:$D,2,FALSE),"-") &amp; " / " &amp; IFERROR(VLOOKUP(MID(G80,H80,I80-H80),[5]skilldef!$A:$B,2,FALSE),"-")</f>
        <v>- / -</v>
      </c>
      <c r="M80" s="54" t="str">
        <f t="shared" si="5"/>
        <v xml:space="preserve">[effect:rush, count:21, val:0.055]    </v>
      </c>
      <c r="N80" s="42" t="str">
        <f t="shared" si="79"/>
        <v xml:space="preserve">[effect:rush, count:21, val:0.055]    </v>
      </c>
      <c r="O80" s="54">
        <f t="shared" si="6"/>
        <v>9</v>
      </c>
      <c r="P80" s="54">
        <f t="shared" si="7"/>
        <v>13</v>
      </c>
      <c r="Q80" s="54" t="e">
        <f t="shared" si="8"/>
        <v>#VALUE!</v>
      </c>
      <c r="R80" s="54">
        <f t="shared" si="9"/>
        <v>23</v>
      </c>
      <c r="S80" s="54" t="str">
        <f>IFERROR(VLOOKUP(MID(N80,Q80,R80-Q80),[5]skilldef!$C:$D,2,FALSE),"-") &amp; " / " &amp; IFERROR(VLOOKUP(MID(N80,O80,P80-O80),[5]skilldef!$A:$B,2,FALSE),"-")</f>
        <v>- / 連続攻撃</v>
      </c>
      <c r="T80" s="42" t="str">
        <f t="shared" si="10"/>
        <v>none</v>
      </c>
      <c r="U80" s="54" t="e">
        <f t="shared" si="11"/>
        <v>#VALUE!</v>
      </c>
      <c r="V80" s="54">
        <f t="shared" si="12"/>
        <v>4</v>
      </c>
      <c r="W80" s="54" t="e">
        <f t="shared" si="13"/>
        <v>#VALUE!</v>
      </c>
      <c r="X80" s="54" t="e">
        <f t="shared" si="14"/>
        <v>#VALUE!</v>
      </c>
      <c r="Y80" s="54" t="str">
        <f>IFERROR(VLOOKUP(MID(T80,W80,X80-W80),[5]skilldef!$C:$D,2,FALSE),"-") &amp; " / " &amp; IFERROR(VLOOKUP(MID(T80,U80,V80-U80),[5]skilldef!$A:$B,2,FALSE),"-")</f>
        <v>- / -</v>
      </c>
      <c r="Z80" s="44"/>
      <c r="AA80" s="46"/>
      <c r="AB80" s="44"/>
    </row>
    <row r="81" spans="1:28" ht="34" customHeight="1" x14ac:dyDescent="0.15">
      <c r="A81" s="182">
        <v>39014080</v>
      </c>
      <c r="B81" s="183" t="s">
        <v>564</v>
      </c>
      <c r="C81" s="44">
        <v>1</v>
      </c>
      <c r="D81" s="44" t="s">
        <v>430</v>
      </c>
      <c r="E81" s="45" t="s">
        <v>563</v>
      </c>
      <c r="F81" s="45" t="s">
        <v>562</v>
      </c>
      <c r="G81" s="54" t="str">
        <f t="shared" si="0"/>
        <v>[effect:enemy_message, val1:1.2, val2:1.2]</v>
      </c>
      <c r="H81" s="54">
        <f t="shared" si="1"/>
        <v>9</v>
      </c>
      <c r="I81" s="54">
        <f t="shared" si="2"/>
        <v>22</v>
      </c>
      <c r="J81" s="54" t="e">
        <f t="shared" si="3"/>
        <v>#VALUE!</v>
      </c>
      <c r="K81" s="54">
        <f t="shared" si="4"/>
        <v>32</v>
      </c>
      <c r="L81" s="54" t="str">
        <f>IFERROR(VLOOKUP(MID(G81,J81,K81-J81),[5]skilldef!$C:$D,2,FALSE),"-") &amp; " / " &amp; IFERROR(VLOOKUP(MID(G81,H81,I81-H81),[5]skilldef!$A:$B,2,FALSE),"-")</f>
        <v>- / -</v>
      </c>
      <c r="M81" s="54" t="str">
        <f t="shared" si="5"/>
        <v>none</v>
      </c>
      <c r="N81" s="42" t="str">
        <f t="shared" si="79"/>
        <v>none</v>
      </c>
      <c r="O81" s="54" t="e">
        <f t="shared" si="6"/>
        <v>#VALUE!</v>
      </c>
      <c r="P81" s="54">
        <f t="shared" si="7"/>
        <v>4</v>
      </c>
      <c r="Q81" s="54" t="e">
        <f t="shared" si="8"/>
        <v>#VALUE!</v>
      </c>
      <c r="R81" s="54" t="e">
        <f t="shared" si="9"/>
        <v>#VALUE!</v>
      </c>
      <c r="S81" s="54" t="str">
        <f>IFERROR(VLOOKUP(MID(N81,Q81,R81-Q81),[5]skilldef!$C:$D,2,FALSE),"-") &amp; " / " &amp; IFERROR(VLOOKUP(MID(N81,O81,P81-O81),[5]skilldef!$A:$B,2,FALSE),"-")</f>
        <v>- / -</v>
      </c>
      <c r="T81" s="42" t="str">
        <f t="shared" si="10"/>
        <v>none</v>
      </c>
      <c r="U81" s="54" t="e">
        <f t="shared" si="11"/>
        <v>#VALUE!</v>
      </c>
      <c r="V81" s="54">
        <f t="shared" si="12"/>
        <v>4</v>
      </c>
      <c r="W81" s="54" t="e">
        <f t="shared" si="13"/>
        <v>#VALUE!</v>
      </c>
      <c r="X81" s="54" t="e">
        <f t="shared" si="14"/>
        <v>#VALUE!</v>
      </c>
      <c r="Y81" s="54" t="str">
        <f>IFERROR(VLOOKUP(MID(T81,W81,X81-W81),[5]skilldef!$C:$D,2,FALSE),"-") &amp; " / " &amp; IFERROR(VLOOKUP(MID(T81,U81,V81-U81),[5]skilldef!$A:$B,2,FALSE),"-")</f>
        <v>- / -</v>
      </c>
      <c r="Z81" s="44"/>
      <c r="AA81" s="46"/>
      <c r="AB81" s="44"/>
    </row>
    <row r="82" spans="1:28" ht="33" customHeight="1" x14ac:dyDescent="0.15">
      <c r="A82" s="182">
        <v>39014081</v>
      </c>
      <c r="B82" s="183" t="s">
        <v>577</v>
      </c>
      <c r="C82" s="44">
        <v>1</v>
      </c>
      <c r="D82" s="44" t="s">
        <v>430</v>
      </c>
      <c r="E82" s="45" t="s">
        <v>565</v>
      </c>
      <c r="F82" s="45" t="s">
        <v>524</v>
      </c>
      <c r="G82" s="54" t="str">
        <f t="shared" si="0"/>
        <v>[effect:enemy_message, val1:1.5, val2:1.2]</v>
      </c>
      <c r="H82" s="54">
        <f t="shared" si="1"/>
        <v>9</v>
      </c>
      <c r="I82" s="54">
        <f t="shared" si="2"/>
        <v>22</v>
      </c>
      <c r="J82" s="54" t="e">
        <f t="shared" si="3"/>
        <v>#VALUE!</v>
      </c>
      <c r="K82" s="54">
        <f t="shared" si="4"/>
        <v>32</v>
      </c>
      <c r="L82" s="54" t="str">
        <f>IFERROR(VLOOKUP(MID(G82,J82,K82-J82),[5]skilldef!$C:$D,2,FALSE),"-") &amp; " / " &amp; IFERROR(VLOOKUP(MID(G82,H82,I82-H82),[5]skilldef!$A:$B,2,FALSE),"-")</f>
        <v>- / -</v>
      </c>
      <c r="M82" s="54" t="str">
        <f t="shared" si="5"/>
        <v xml:space="preserve">[effect:rush, count:21, val:0.055]    </v>
      </c>
      <c r="N82" s="42" t="str">
        <f>IFERROR(LEFT(M82,FIND("],",M82)+S97),M82)</f>
        <v xml:space="preserve">[effect:rush, count:21, val:0.055]    </v>
      </c>
      <c r="O82" s="54">
        <f t="shared" si="6"/>
        <v>9</v>
      </c>
      <c r="P82" s="54">
        <f t="shared" si="7"/>
        <v>13</v>
      </c>
      <c r="Q82" s="54" t="e">
        <f t="shared" si="8"/>
        <v>#VALUE!</v>
      </c>
      <c r="R82" s="54">
        <f t="shared" si="9"/>
        <v>23</v>
      </c>
      <c r="S82" s="54" t="str">
        <f>IFERROR(VLOOKUP(MID(N82,Q82,R82-Q82),[5]skilldef!$C:$D,2,FALSE),"-") &amp; " / " &amp; IFERROR(VLOOKUP(MID(N82,O82,P82-O82),[5]skilldef!$A:$B,2,FALSE),"-")</f>
        <v>- / 連続攻撃</v>
      </c>
      <c r="T82" s="42" t="str">
        <f t="shared" si="10"/>
        <v>none</v>
      </c>
      <c r="U82" s="54" t="e">
        <f t="shared" si="11"/>
        <v>#VALUE!</v>
      </c>
      <c r="V82" s="54">
        <f t="shared" si="12"/>
        <v>4</v>
      </c>
      <c r="W82" s="54" t="e">
        <f t="shared" si="13"/>
        <v>#VALUE!</v>
      </c>
      <c r="X82" s="54" t="e">
        <f t="shared" si="14"/>
        <v>#VALUE!</v>
      </c>
      <c r="Y82" s="54" t="str">
        <f>IFERROR(VLOOKUP(MID(T82,W82,X82-W82),[5]skilldef!$C:$D,2,FALSE),"-") &amp; " / " &amp; IFERROR(VLOOKUP(MID(T82,U82,V82-U82),[5]skilldef!$A:$B,2,FALSE),"-")</f>
        <v>- / -</v>
      </c>
      <c r="Z82" s="44"/>
      <c r="AA82" s="46"/>
      <c r="AB82" s="44"/>
    </row>
    <row r="83" spans="1:28" ht="36" customHeight="1" x14ac:dyDescent="0.15">
      <c r="A83" s="182">
        <v>39014082</v>
      </c>
      <c r="B83" s="183" t="s">
        <v>564</v>
      </c>
      <c r="C83" s="44">
        <v>1</v>
      </c>
      <c r="D83" s="44" t="s">
        <v>430</v>
      </c>
      <c r="E83" s="45" t="s">
        <v>563</v>
      </c>
      <c r="F83" s="45" t="s">
        <v>562</v>
      </c>
      <c r="G83" s="54" t="str">
        <f t="shared" si="0"/>
        <v>[effect:enemy_message, val1:1.2, val2:1.2]</v>
      </c>
      <c r="H83" s="54">
        <f t="shared" si="1"/>
        <v>9</v>
      </c>
      <c r="I83" s="54">
        <f t="shared" si="2"/>
        <v>22</v>
      </c>
      <c r="J83" s="54" t="e">
        <f t="shared" si="3"/>
        <v>#VALUE!</v>
      </c>
      <c r="K83" s="54">
        <f t="shared" si="4"/>
        <v>32</v>
      </c>
      <c r="L83" s="54" t="str">
        <f>IFERROR(VLOOKUP(MID(G83,J83,K83-J83),[5]skilldef!$C:$D,2,FALSE),"-") &amp; " / " &amp; IFERROR(VLOOKUP(MID(G83,H83,I83-H83),[5]skilldef!$A:$B,2,FALSE),"-")</f>
        <v>- / -</v>
      </c>
      <c r="M83" s="54" t="str">
        <f t="shared" si="5"/>
        <v>none</v>
      </c>
      <c r="N83" s="42" t="str">
        <f>IFERROR(LEFT(M83,FIND("],",M83)+S98),M83)</f>
        <v>none</v>
      </c>
      <c r="O83" s="54" t="e">
        <f t="shared" si="6"/>
        <v>#VALUE!</v>
      </c>
      <c r="P83" s="54">
        <f t="shared" si="7"/>
        <v>4</v>
      </c>
      <c r="Q83" s="54" t="e">
        <f t="shared" si="8"/>
        <v>#VALUE!</v>
      </c>
      <c r="R83" s="54" t="e">
        <f t="shared" si="9"/>
        <v>#VALUE!</v>
      </c>
      <c r="S83" s="54" t="str">
        <f>IFERROR(VLOOKUP(MID(N83,Q83,R83-Q83),[5]skilldef!$C:$D,2,FALSE),"-") &amp; " / " &amp; IFERROR(VLOOKUP(MID(N83,O83,P83-O83),[5]skilldef!$A:$B,2,FALSE),"-")</f>
        <v>- / -</v>
      </c>
      <c r="T83" s="42" t="str">
        <f t="shared" si="10"/>
        <v>none</v>
      </c>
      <c r="U83" s="54" t="e">
        <f t="shared" si="11"/>
        <v>#VALUE!</v>
      </c>
      <c r="V83" s="54">
        <f t="shared" si="12"/>
        <v>4</v>
      </c>
      <c r="W83" s="54" t="e">
        <f t="shared" si="13"/>
        <v>#VALUE!</v>
      </c>
      <c r="X83" s="54" t="e">
        <f t="shared" si="14"/>
        <v>#VALUE!</v>
      </c>
      <c r="Y83" s="54" t="str">
        <f>IFERROR(VLOOKUP(MID(T83,W83,X83-W83),[5]skilldef!$C:$D,2,FALSE),"-") &amp; " / " &amp; IFERROR(VLOOKUP(MID(T83,U83,V83-U83),[5]skilldef!$A:$B,2,FALSE),"-")</f>
        <v>- / -</v>
      </c>
      <c r="Z83" s="44"/>
      <c r="AA83" s="46"/>
      <c r="AB83" s="44"/>
    </row>
    <row r="84" spans="1:28" ht="36" customHeight="1" x14ac:dyDescent="0.15">
      <c r="A84" s="182">
        <v>39014083</v>
      </c>
      <c r="B84" s="183" t="s">
        <v>578</v>
      </c>
      <c r="C84" s="44">
        <v>1</v>
      </c>
      <c r="D84" s="44" t="s">
        <v>430</v>
      </c>
      <c r="E84" s="45" t="s">
        <v>565</v>
      </c>
      <c r="F84" s="45" t="s">
        <v>524</v>
      </c>
      <c r="G84" s="54" t="str">
        <f t="shared" si="0"/>
        <v>[effect:enemy_message, val1:1.5, val2:1.2]</v>
      </c>
      <c r="H84" s="54">
        <f t="shared" si="1"/>
        <v>9</v>
      </c>
      <c r="I84" s="54">
        <f t="shared" si="2"/>
        <v>22</v>
      </c>
      <c r="J84" s="54" t="e">
        <f t="shared" si="3"/>
        <v>#VALUE!</v>
      </c>
      <c r="K84" s="54">
        <f t="shared" si="4"/>
        <v>32</v>
      </c>
      <c r="L84" s="54" t="str">
        <f>IFERROR(VLOOKUP(MID(G84,J84,K84-J84),[5]skilldef!$C:$D,2,FALSE),"-") &amp; " / " &amp; IFERROR(VLOOKUP(MID(G84,H84,I84-H84),[5]skilldef!$A:$B,2,FALSE),"-")</f>
        <v>- / -</v>
      </c>
      <c r="M84" s="54" t="str">
        <f t="shared" si="5"/>
        <v xml:space="preserve">[effect:rush, count:21, val:20]    </v>
      </c>
      <c r="N84" s="42" t="str">
        <f>IFERROR(LEFT(M84,FIND("],",M84)+S99),M84)</f>
        <v xml:space="preserve">[effect:rush, count:21, val:20]    </v>
      </c>
      <c r="O84" s="54">
        <f t="shared" si="6"/>
        <v>9</v>
      </c>
      <c r="P84" s="54">
        <f t="shared" si="7"/>
        <v>13</v>
      </c>
      <c r="Q84" s="54" t="e">
        <f t="shared" si="8"/>
        <v>#VALUE!</v>
      </c>
      <c r="R84" s="54">
        <f t="shared" si="9"/>
        <v>23</v>
      </c>
      <c r="S84" s="54" t="str">
        <f>IFERROR(VLOOKUP(MID(N84,Q84,R84-Q84),[5]skilldef!$C:$D,2,FALSE),"-") &amp; " / " &amp; IFERROR(VLOOKUP(MID(N84,O84,P84-O84),[5]skilldef!$A:$B,2,FALSE),"-")</f>
        <v>- / 連続攻撃</v>
      </c>
      <c r="T84" s="42" t="str">
        <f t="shared" si="10"/>
        <v>none</v>
      </c>
      <c r="U84" s="54" t="e">
        <f t="shared" si="11"/>
        <v>#VALUE!</v>
      </c>
      <c r="V84" s="54">
        <f t="shared" si="12"/>
        <v>4</v>
      </c>
      <c r="W84" s="54" t="e">
        <f t="shared" si="13"/>
        <v>#VALUE!</v>
      </c>
      <c r="X84" s="54" t="e">
        <f t="shared" si="14"/>
        <v>#VALUE!</v>
      </c>
      <c r="Y84" s="54" t="str">
        <f>IFERROR(VLOOKUP(MID(T84,W84,X84-W84),[5]skilldef!$C:$D,2,FALSE),"-") &amp; " / " &amp; IFERROR(VLOOKUP(MID(T84,U84,V84-U84),[5]skilldef!$A:$B,2,FALSE),"-")</f>
        <v>- / -</v>
      </c>
      <c r="Z84" s="44"/>
      <c r="AA84" s="46"/>
      <c r="AB84" s="44"/>
    </row>
    <row r="85" spans="1:28" ht="21" customHeight="1" x14ac:dyDescent="0.15">
      <c r="A85" s="182">
        <v>39014084</v>
      </c>
      <c r="B85" s="41" t="s">
        <v>593</v>
      </c>
      <c r="C85" s="44">
        <v>1</v>
      </c>
      <c r="D85" s="44" t="s">
        <v>430</v>
      </c>
      <c r="E85" s="45" t="s">
        <v>525</v>
      </c>
      <c r="F85" s="184" t="s">
        <v>526</v>
      </c>
      <c r="G85" s="54" t="str">
        <f t="shared" si="0"/>
        <v>[effect:enemy_message, val1:1.7, val2:2.1, dead_type:suicide]</v>
      </c>
      <c r="H85" s="54">
        <f t="shared" si="1"/>
        <v>9</v>
      </c>
      <c r="I85" s="54">
        <f t="shared" si="2"/>
        <v>22</v>
      </c>
      <c r="J85" s="54" t="e">
        <f t="shared" si="3"/>
        <v>#VALUE!</v>
      </c>
      <c r="K85" s="54">
        <f t="shared" si="4"/>
        <v>32</v>
      </c>
      <c r="L85" s="54" t="s">
        <v>541</v>
      </c>
      <c r="M85" s="54" t="str">
        <f t="shared" si="5"/>
        <v>none</v>
      </c>
      <c r="N85" s="42" t="str">
        <f t="shared" ref="N85:N96" si="80">IFERROR(LEFT(M85,FIND("],",M85)+S103),M85)</f>
        <v>none</v>
      </c>
      <c r="O85" s="54" t="e">
        <f t="shared" si="6"/>
        <v>#VALUE!</v>
      </c>
      <c r="P85" s="54">
        <f t="shared" si="7"/>
        <v>4</v>
      </c>
      <c r="Q85" s="54" t="e">
        <f t="shared" si="8"/>
        <v>#VALUE!</v>
      </c>
      <c r="R85" s="54" t="e">
        <f t="shared" si="9"/>
        <v>#VALUE!</v>
      </c>
      <c r="S85" s="54" t="s">
        <v>541</v>
      </c>
      <c r="T85" s="42" t="str">
        <f t="shared" si="10"/>
        <v>none</v>
      </c>
      <c r="U85" s="54" t="e">
        <f t="shared" si="11"/>
        <v>#VALUE!</v>
      </c>
      <c r="V85" s="54">
        <f t="shared" si="12"/>
        <v>4</v>
      </c>
      <c r="W85" s="54" t="e">
        <f t="shared" si="13"/>
        <v>#VALUE!</v>
      </c>
      <c r="X85" s="54" t="e">
        <f t="shared" si="14"/>
        <v>#VALUE!</v>
      </c>
      <c r="Y85" s="54" t="s">
        <v>541</v>
      </c>
      <c r="Z85" s="44"/>
      <c r="AA85" s="46"/>
      <c r="AB85" s="44"/>
    </row>
    <row r="86" spans="1:28" ht="21" customHeight="1" x14ac:dyDescent="0.15">
      <c r="A86" s="182">
        <v>39014085</v>
      </c>
      <c r="B86" s="41" t="s">
        <v>594</v>
      </c>
      <c r="C86" s="44">
        <v>1</v>
      </c>
      <c r="D86" s="44" t="s">
        <v>430</v>
      </c>
      <c r="E86" s="45" t="s">
        <v>527</v>
      </c>
      <c r="F86" s="45" t="s">
        <v>528</v>
      </c>
      <c r="G86" s="54" t="str">
        <f t="shared" si="0"/>
        <v>[effect:enemy_message, val1:1.7, val2:1.7, dead_type:suicide]</v>
      </c>
      <c r="H86" s="54">
        <f t="shared" si="1"/>
        <v>9</v>
      </c>
      <c r="I86" s="54">
        <f t="shared" si="2"/>
        <v>22</v>
      </c>
      <c r="J86" s="54" t="e">
        <f t="shared" si="3"/>
        <v>#VALUE!</v>
      </c>
      <c r="K86" s="54">
        <f t="shared" si="4"/>
        <v>32</v>
      </c>
      <c r="L86" s="54" t="s">
        <v>541</v>
      </c>
      <c r="M86" s="54" t="str">
        <f t="shared" si="5"/>
        <v>none</v>
      </c>
      <c r="N86" s="42" t="str">
        <f t="shared" si="80"/>
        <v>none</v>
      </c>
      <c r="O86" s="54" t="e">
        <f t="shared" si="6"/>
        <v>#VALUE!</v>
      </c>
      <c r="P86" s="54">
        <f t="shared" si="7"/>
        <v>4</v>
      </c>
      <c r="Q86" s="54" t="e">
        <f t="shared" si="8"/>
        <v>#VALUE!</v>
      </c>
      <c r="R86" s="54" t="e">
        <f t="shared" si="9"/>
        <v>#VALUE!</v>
      </c>
      <c r="S86" s="54" t="s">
        <v>541</v>
      </c>
      <c r="T86" s="42" t="str">
        <f t="shared" si="10"/>
        <v>none</v>
      </c>
      <c r="U86" s="54" t="e">
        <f t="shared" si="11"/>
        <v>#VALUE!</v>
      </c>
      <c r="V86" s="54">
        <f t="shared" si="12"/>
        <v>4</v>
      </c>
      <c r="W86" s="54" t="e">
        <f t="shared" si="13"/>
        <v>#VALUE!</v>
      </c>
      <c r="X86" s="54" t="e">
        <f t="shared" si="14"/>
        <v>#VALUE!</v>
      </c>
      <c r="Y86" s="54" t="s">
        <v>541</v>
      </c>
      <c r="Z86" s="44"/>
      <c r="AA86" s="46"/>
      <c r="AB86" s="44"/>
    </row>
    <row r="87" spans="1:28" ht="21" customHeight="1" x14ac:dyDescent="0.15">
      <c r="A87" s="182">
        <v>39014086</v>
      </c>
      <c r="B87" s="41" t="s">
        <v>594</v>
      </c>
      <c r="C87" s="44">
        <v>1</v>
      </c>
      <c r="D87" s="44" t="s">
        <v>430</v>
      </c>
      <c r="E87" s="45" t="s">
        <v>527</v>
      </c>
      <c r="F87" s="45" t="s">
        <v>528</v>
      </c>
      <c r="G87" s="54" t="str">
        <f t="shared" ref="G87:G99" si="81">IFERROR(LEFT(B87,FIND("],",B87)),B87)</f>
        <v>[effect:enemy_message, val1:1.7, val2:1.7, dead_type:suicide]</v>
      </c>
      <c r="H87" s="54">
        <f t="shared" ref="H87:H99" si="82">FIND("effect:",G87)+7</f>
        <v>9</v>
      </c>
      <c r="I87" s="54">
        <f t="shared" ref="I87:I99" si="83">IFERROR(FIND(",",G87),LEN(G87))</f>
        <v>22</v>
      </c>
      <c r="J87" s="54" t="e">
        <f t="shared" ref="J87:J99" si="84">FIND("target:",G87)+7</f>
        <v>#VALUE!</v>
      </c>
      <c r="K87" s="54">
        <f t="shared" ref="K87:K99" si="85">FIND(",",G87,I87+1)</f>
        <v>32</v>
      </c>
      <c r="L87" s="54" t="s">
        <v>541</v>
      </c>
      <c r="M87" s="54" t="str">
        <f t="shared" ref="M87:M99" si="86">IFERROR(RIGHT(B87,LEN(B87)-FIND("],",B87)-1),"none")</f>
        <v>none</v>
      </c>
      <c r="N87" s="42" t="str">
        <f t="shared" si="80"/>
        <v>none</v>
      </c>
      <c r="O87" s="54" t="e">
        <f t="shared" ref="O87:O99" si="87">FIND("effect:",N87)+7</f>
        <v>#VALUE!</v>
      </c>
      <c r="P87" s="54">
        <f t="shared" ref="P87:P99" si="88">IFERROR(FIND(",",N87),LEN(N87))</f>
        <v>4</v>
      </c>
      <c r="Q87" s="54" t="e">
        <f t="shared" ref="Q87:Q99" si="89">FIND("target:",N87)+7</f>
        <v>#VALUE!</v>
      </c>
      <c r="R87" s="54" t="e">
        <f t="shared" ref="R87:R99" si="90">FIND(",",N87,P87+1)</f>
        <v>#VALUE!</v>
      </c>
      <c r="S87" s="54" t="s">
        <v>541</v>
      </c>
      <c r="T87" s="42" t="str">
        <f t="shared" ref="T87:T99" si="91">IFERROR(RIGHT(M87,LEN(M87)-FIND("],",M87)-1),"none")</f>
        <v>none</v>
      </c>
      <c r="U87" s="54" t="e">
        <f t="shared" ref="U87:U99" si="92">FIND("effect:",T87)+7</f>
        <v>#VALUE!</v>
      </c>
      <c r="V87" s="54">
        <f t="shared" ref="V87:V99" si="93">IFERROR(FIND(",",T87),LEN(T87))</f>
        <v>4</v>
      </c>
      <c r="W87" s="54" t="e">
        <f t="shared" ref="W87:W99" si="94">FIND("target:",T87)+7</f>
        <v>#VALUE!</v>
      </c>
      <c r="X87" s="54" t="e">
        <f t="shared" ref="X87:X99" si="95">FIND(",",T87,V87+1)</f>
        <v>#VALUE!</v>
      </c>
      <c r="Y87" s="54" t="s">
        <v>541</v>
      </c>
      <c r="Z87" s="44"/>
      <c r="AA87" s="46"/>
      <c r="AB87" s="44"/>
    </row>
    <row r="88" spans="1:28" ht="21" customHeight="1" x14ac:dyDescent="0.15">
      <c r="A88" s="182">
        <v>39014087</v>
      </c>
      <c r="B88" s="41" t="s">
        <v>594</v>
      </c>
      <c r="C88" s="44">
        <v>1</v>
      </c>
      <c r="D88" s="44" t="s">
        <v>430</v>
      </c>
      <c r="E88" s="45" t="s">
        <v>527</v>
      </c>
      <c r="F88" s="45" t="s">
        <v>528</v>
      </c>
      <c r="G88" s="54" t="str">
        <f t="shared" si="81"/>
        <v>[effect:enemy_message, val1:1.7, val2:1.7, dead_type:suicide]</v>
      </c>
      <c r="H88" s="54">
        <f t="shared" si="82"/>
        <v>9</v>
      </c>
      <c r="I88" s="54">
        <f t="shared" si="83"/>
        <v>22</v>
      </c>
      <c r="J88" s="54" t="e">
        <f t="shared" si="84"/>
        <v>#VALUE!</v>
      </c>
      <c r="K88" s="54">
        <f t="shared" si="85"/>
        <v>32</v>
      </c>
      <c r="L88" s="54" t="s">
        <v>541</v>
      </c>
      <c r="M88" s="54" t="str">
        <f t="shared" si="86"/>
        <v>none</v>
      </c>
      <c r="N88" s="42" t="str">
        <f t="shared" si="80"/>
        <v>none</v>
      </c>
      <c r="O88" s="54" t="e">
        <f t="shared" si="87"/>
        <v>#VALUE!</v>
      </c>
      <c r="P88" s="54">
        <f t="shared" si="88"/>
        <v>4</v>
      </c>
      <c r="Q88" s="54" t="e">
        <f t="shared" si="89"/>
        <v>#VALUE!</v>
      </c>
      <c r="R88" s="54" t="e">
        <f t="shared" si="90"/>
        <v>#VALUE!</v>
      </c>
      <c r="S88" s="54" t="s">
        <v>541</v>
      </c>
      <c r="T88" s="42" t="str">
        <f t="shared" si="91"/>
        <v>none</v>
      </c>
      <c r="U88" s="54" t="e">
        <f t="shared" si="92"/>
        <v>#VALUE!</v>
      </c>
      <c r="V88" s="54">
        <f t="shared" si="93"/>
        <v>4</v>
      </c>
      <c r="W88" s="54" t="e">
        <f t="shared" si="94"/>
        <v>#VALUE!</v>
      </c>
      <c r="X88" s="54" t="e">
        <f t="shared" si="95"/>
        <v>#VALUE!</v>
      </c>
      <c r="Y88" s="54" t="s">
        <v>541</v>
      </c>
      <c r="Z88" s="44"/>
      <c r="AA88" s="46"/>
      <c r="AB88" s="44"/>
    </row>
    <row r="89" spans="1:28" ht="21" customHeight="1" x14ac:dyDescent="0.15">
      <c r="A89" s="182">
        <v>39014088</v>
      </c>
      <c r="B89" s="41" t="s">
        <v>594</v>
      </c>
      <c r="C89" s="44">
        <v>1</v>
      </c>
      <c r="D89" s="44" t="s">
        <v>430</v>
      </c>
      <c r="E89" s="45" t="s">
        <v>527</v>
      </c>
      <c r="F89" s="45" t="s">
        <v>528</v>
      </c>
      <c r="G89" s="54" t="str">
        <f t="shared" si="81"/>
        <v>[effect:enemy_message, val1:1.7, val2:1.7, dead_type:suicide]</v>
      </c>
      <c r="H89" s="54">
        <f t="shared" si="82"/>
        <v>9</v>
      </c>
      <c r="I89" s="54">
        <f t="shared" si="83"/>
        <v>22</v>
      </c>
      <c r="J89" s="54" t="e">
        <f t="shared" si="84"/>
        <v>#VALUE!</v>
      </c>
      <c r="K89" s="54">
        <f t="shared" si="85"/>
        <v>32</v>
      </c>
      <c r="L89" s="54" t="s">
        <v>541</v>
      </c>
      <c r="M89" s="54" t="str">
        <f t="shared" si="86"/>
        <v>none</v>
      </c>
      <c r="N89" s="42" t="str">
        <f t="shared" si="80"/>
        <v>none</v>
      </c>
      <c r="O89" s="54" t="e">
        <f t="shared" si="87"/>
        <v>#VALUE!</v>
      </c>
      <c r="P89" s="54">
        <f t="shared" si="88"/>
        <v>4</v>
      </c>
      <c r="Q89" s="54" t="e">
        <f t="shared" si="89"/>
        <v>#VALUE!</v>
      </c>
      <c r="R89" s="54" t="e">
        <f t="shared" si="90"/>
        <v>#VALUE!</v>
      </c>
      <c r="S89" s="54" t="s">
        <v>541</v>
      </c>
      <c r="T89" s="42" t="str">
        <f t="shared" si="91"/>
        <v>none</v>
      </c>
      <c r="U89" s="54" t="e">
        <f t="shared" si="92"/>
        <v>#VALUE!</v>
      </c>
      <c r="V89" s="54">
        <f t="shared" si="93"/>
        <v>4</v>
      </c>
      <c r="W89" s="54" t="e">
        <f t="shared" si="94"/>
        <v>#VALUE!</v>
      </c>
      <c r="X89" s="54" t="e">
        <f t="shared" si="95"/>
        <v>#VALUE!</v>
      </c>
      <c r="Y89" s="54" t="s">
        <v>541</v>
      </c>
      <c r="Z89" s="44"/>
      <c r="AA89" s="46"/>
      <c r="AB89" s="44"/>
    </row>
    <row r="90" spans="1:28" ht="21" customHeight="1" x14ac:dyDescent="0.15">
      <c r="A90" s="182">
        <v>39014089</v>
      </c>
      <c r="B90" s="41" t="s">
        <v>594</v>
      </c>
      <c r="C90" s="44">
        <v>1</v>
      </c>
      <c r="D90" s="44" t="s">
        <v>430</v>
      </c>
      <c r="E90" s="45" t="s">
        <v>527</v>
      </c>
      <c r="F90" s="45" t="s">
        <v>528</v>
      </c>
      <c r="G90" s="54" t="str">
        <f t="shared" si="81"/>
        <v>[effect:enemy_message, val1:1.7, val2:1.7, dead_type:suicide]</v>
      </c>
      <c r="H90" s="54">
        <f t="shared" si="82"/>
        <v>9</v>
      </c>
      <c r="I90" s="54">
        <f t="shared" si="83"/>
        <v>22</v>
      </c>
      <c r="J90" s="54" t="e">
        <f t="shared" si="84"/>
        <v>#VALUE!</v>
      </c>
      <c r="K90" s="54">
        <f t="shared" si="85"/>
        <v>32</v>
      </c>
      <c r="L90" s="54" t="s">
        <v>541</v>
      </c>
      <c r="M90" s="54" t="str">
        <f t="shared" si="86"/>
        <v>none</v>
      </c>
      <c r="N90" s="42" t="str">
        <f t="shared" si="80"/>
        <v>none</v>
      </c>
      <c r="O90" s="54" t="e">
        <f t="shared" si="87"/>
        <v>#VALUE!</v>
      </c>
      <c r="P90" s="54">
        <f t="shared" si="88"/>
        <v>4</v>
      </c>
      <c r="Q90" s="54" t="e">
        <f t="shared" si="89"/>
        <v>#VALUE!</v>
      </c>
      <c r="R90" s="54" t="e">
        <f t="shared" si="90"/>
        <v>#VALUE!</v>
      </c>
      <c r="S90" s="54" t="s">
        <v>541</v>
      </c>
      <c r="T90" s="42" t="str">
        <f t="shared" si="91"/>
        <v>none</v>
      </c>
      <c r="U90" s="54" t="e">
        <f t="shared" si="92"/>
        <v>#VALUE!</v>
      </c>
      <c r="V90" s="54">
        <f t="shared" si="93"/>
        <v>4</v>
      </c>
      <c r="W90" s="54" t="e">
        <f t="shared" si="94"/>
        <v>#VALUE!</v>
      </c>
      <c r="X90" s="54" t="e">
        <f t="shared" si="95"/>
        <v>#VALUE!</v>
      </c>
      <c r="Y90" s="54" t="s">
        <v>541</v>
      </c>
      <c r="Z90" s="44"/>
      <c r="AA90" s="46"/>
      <c r="AB90" s="44"/>
    </row>
    <row r="91" spans="1:28" ht="21" customHeight="1" x14ac:dyDescent="0.15">
      <c r="A91" s="182">
        <v>39014090</v>
      </c>
      <c r="B91" s="41" t="s">
        <v>594</v>
      </c>
      <c r="C91" s="44">
        <v>1</v>
      </c>
      <c r="D91" s="44" t="s">
        <v>430</v>
      </c>
      <c r="E91" s="45" t="s">
        <v>527</v>
      </c>
      <c r="F91" s="45" t="s">
        <v>528</v>
      </c>
      <c r="G91" s="54" t="str">
        <f t="shared" si="81"/>
        <v>[effect:enemy_message, val1:1.7, val2:1.7, dead_type:suicide]</v>
      </c>
      <c r="H91" s="54">
        <f t="shared" si="82"/>
        <v>9</v>
      </c>
      <c r="I91" s="54">
        <f t="shared" si="83"/>
        <v>22</v>
      </c>
      <c r="J91" s="54" t="e">
        <f t="shared" si="84"/>
        <v>#VALUE!</v>
      </c>
      <c r="K91" s="54">
        <f t="shared" si="85"/>
        <v>32</v>
      </c>
      <c r="L91" s="54" t="s">
        <v>541</v>
      </c>
      <c r="M91" s="54" t="str">
        <f t="shared" si="86"/>
        <v>none</v>
      </c>
      <c r="N91" s="42" t="str">
        <f t="shared" si="80"/>
        <v>none</v>
      </c>
      <c r="O91" s="54" t="e">
        <f t="shared" si="87"/>
        <v>#VALUE!</v>
      </c>
      <c r="P91" s="54">
        <f t="shared" si="88"/>
        <v>4</v>
      </c>
      <c r="Q91" s="54" t="e">
        <f t="shared" si="89"/>
        <v>#VALUE!</v>
      </c>
      <c r="R91" s="54" t="e">
        <f t="shared" si="90"/>
        <v>#VALUE!</v>
      </c>
      <c r="S91" s="54" t="s">
        <v>541</v>
      </c>
      <c r="T91" s="42" t="str">
        <f t="shared" si="91"/>
        <v>none</v>
      </c>
      <c r="U91" s="54" t="e">
        <f t="shared" si="92"/>
        <v>#VALUE!</v>
      </c>
      <c r="V91" s="54">
        <f t="shared" si="93"/>
        <v>4</v>
      </c>
      <c r="W91" s="54" t="e">
        <f t="shared" si="94"/>
        <v>#VALUE!</v>
      </c>
      <c r="X91" s="54" t="e">
        <f t="shared" si="95"/>
        <v>#VALUE!</v>
      </c>
      <c r="Y91" s="54" t="s">
        <v>541</v>
      </c>
      <c r="Z91" s="44"/>
      <c r="AA91" s="46"/>
      <c r="AB91" s="44"/>
    </row>
    <row r="92" spans="1:28" ht="21" customHeight="1" x14ac:dyDescent="0.15">
      <c r="A92" s="182">
        <v>39014091</v>
      </c>
      <c r="B92" s="41" t="s">
        <v>594</v>
      </c>
      <c r="C92" s="44">
        <v>1</v>
      </c>
      <c r="D92" s="44" t="s">
        <v>430</v>
      </c>
      <c r="E92" s="45" t="s">
        <v>527</v>
      </c>
      <c r="F92" s="45" t="s">
        <v>528</v>
      </c>
      <c r="G92" s="54" t="str">
        <f t="shared" si="81"/>
        <v>[effect:enemy_message, val1:1.7, val2:1.7, dead_type:suicide]</v>
      </c>
      <c r="H92" s="54">
        <f t="shared" si="82"/>
        <v>9</v>
      </c>
      <c r="I92" s="54">
        <f t="shared" si="83"/>
        <v>22</v>
      </c>
      <c r="J92" s="54" t="e">
        <f t="shared" si="84"/>
        <v>#VALUE!</v>
      </c>
      <c r="K92" s="54">
        <f t="shared" si="85"/>
        <v>32</v>
      </c>
      <c r="L92" s="54" t="s">
        <v>541</v>
      </c>
      <c r="M92" s="54" t="str">
        <f t="shared" si="86"/>
        <v>none</v>
      </c>
      <c r="N92" s="42" t="str">
        <f t="shared" si="80"/>
        <v>none</v>
      </c>
      <c r="O92" s="54" t="e">
        <f t="shared" si="87"/>
        <v>#VALUE!</v>
      </c>
      <c r="P92" s="54">
        <f t="shared" si="88"/>
        <v>4</v>
      </c>
      <c r="Q92" s="54" t="e">
        <f t="shared" si="89"/>
        <v>#VALUE!</v>
      </c>
      <c r="R92" s="54" t="e">
        <f t="shared" si="90"/>
        <v>#VALUE!</v>
      </c>
      <c r="S92" s="54" t="s">
        <v>541</v>
      </c>
      <c r="T92" s="42" t="str">
        <f t="shared" si="91"/>
        <v>none</v>
      </c>
      <c r="U92" s="54" t="e">
        <f t="shared" si="92"/>
        <v>#VALUE!</v>
      </c>
      <c r="V92" s="54">
        <f t="shared" si="93"/>
        <v>4</v>
      </c>
      <c r="W92" s="54" t="e">
        <f t="shared" si="94"/>
        <v>#VALUE!</v>
      </c>
      <c r="X92" s="54" t="e">
        <f t="shared" si="95"/>
        <v>#VALUE!</v>
      </c>
      <c r="Y92" s="54" t="s">
        <v>541</v>
      </c>
      <c r="Z92" s="44"/>
      <c r="AA92" s="46"/>
      <c r="AB92" s="44"/>
    </row>
    <row r="93" spans="1:28" ht="21" customHeight="1" x14ac:dyDescent="0.15">
      <c r="A93" s="182">
        <v>39014092</v>
      </c>
      <c r="B93" s="41" t="s">
        <v>594</v>
      </c>
      <c r="C93" s="44">
        <v>1</v>
      </c>
      <c r="D93" s="44" t="s">
        <v>430</v>
      </c>
      <c r="E93" s="45" t="s">
        <v>527</v>
      </c>
      <c r="F93" s="45" t="s">
        <v>528</v>
      </c>
      <c r="G93" s="54" t="str">
        <f t="shared" si="81"/>
        <v>[effect:enemy_message, val1:1.7, val2:1.7, dead_type:suicide]</v>
      </c>
      <c r="H93" s="54">
        <f t="shared" si="82"/>
        <v>9</v>
      </c>
      <c r="I93" s="54">
        <f t="shared" si="83"/>
        <v>22</v>
      </c>
      <c r="J93" s="54" t="e">
        <f t="shared" si="84"/>
        <v>#VALUE!</v>
      </c>
      <c r="K93" s="54">
        <f t="shared" si="85"/>
        <v>32</v>
      </c>
      <c r="L93" s="54" t="s">
        <v>541</v>
      </c>
      <c r="M93" s="54" t="str">
        <f t="shared" si="86"/>
        <v>none</v>
      </c>
      <c r="N93" s="42" t="str">
        <f t="shared" si="80"/>
        <v>none</v>
      </c>
      <c r="O93" s="54" t="e">
        <f t="shared" si="87"/>
        <v>#VALUE!</v>
      </c>
      <c r="P93" s="54">
        <f t="shared" si="88"/>
        <v>4</v>
      </c>
      <c r="Q93" s="54" t="e">
        <f t="shared" si="89"/>
        <v>#VALUE!</v>
      </c>
      <c r="R93" s="54" t="e">
        <f t="shared" si="90"/>
        <v>#VALUE!</v>
      </c>
      <c r="S93" s="54" t="s">
        <v>541</v>
      </c>
      <c r="T93" s="42" t="str">
        <f t="shared" si="91"/>
        <v>none</v>
      </c>
      <c r="U93" s="54" t="e">
        <f t="shared" si="92"/>
        <v>#VALUE!</v>
      </c>
      <c r="V93" s="54">
        <f t="shared" si="93"/>
        <v>4</v>
      </c>
      <c r="W93" s="54" t="e">
        <f t="shared" si="94"/>
        <v>#VALUE!</v>
      </c>
      <c r="X93" s="54" t="e">
        <f t="shared" si="95"/>
        <v>#VALUE!</v>
      </c>
      <c r="Y93" s="54" t="s">
        <v>541</v>
      </c>
      <c r="Z93" s="44"/>
      <c r="AA93" s="46"/>
      <c r="AB93" s="44"/>
    </row>
    <row r="94" spans="1:28" ht="21" customHeight="1" x14ac:dyDescent="0.15">
      <c r="A94" s="182">
        <v>39014093</v>
      </c>
      <c r="B94" s="41" t="s">
        <v>594</v>
      </c>
      <c r="C94" s="44">
        <v>1</v>
      </c>
      <c r="D94" s="44" t="s">
        <v>430</v>
      </c>
      <c r="E94" s="45" t="s">
        <v>527</v>
      </c>
      <c r="F94" s="45" t="s">
        <v>528</v>
      </c>
      <c r="G94" s="54" t="str">
        <f t="shared" si="81"/>
        <v>[effect:enemy_message, val1:1.7, val2:1.7, dead_type:suicide]</v>
      </c>
      <c r="H94" s="54">
        <f t="shared" si="82"/>
        <v>9</v>
      </c>
      <c r="I94" s="54">
        <f t="shared" si="83"/>
        <v>22</v>
      </c>
      <c r="J94" s="54" t="e">
        <f t="shared" si="84"/>
        <v>#VALUE!</v>
      </c>
      <c r="K94" s="54">
        <f t="shared" si="85"/>
        <v>32</v>
      </c>
      <c r="L94" s="54" t="s">
        <v>541</v>
      </c>
      <c r="M94" s="54" t="str">
        <f t="shared" si="86"/>
        <v>none</v>
      </c>
      <c r="N94" s="42" t="str">
        <f t="shared" si="80"/>
        <v>none</v>
      </c>
      <c r="O94" s="54" t="e">
        <f t="shared" si="87"/>
        <v>#VALUE!</v>
      </c>
      <c r="P94" s="54">
        <f t="shared" si="88"/>
        <v>4</v>
      </c>
      <c r="Q94" s="54" t="e">
        <f t="shared" si="89"/>
        <v>#VALUE!</v>
      </c>
      <c r="R94" s="54" t="e">
        <f t="shared" si="90"/>
        <v>#VALUE!</v>
      </c>
      <c r="S94" s="54" t="s">
        <v>541</v>
      </c>
      <c r="T94" s="42" t="str">
        <f t="shared" si="91"/>
        <v>none</v>
      </c>
      <c r="U94" s="54" t="e">
        <f t="shared" si="92"/>
        <v>#VALUE!</v>
      </c>
      <c r="V94" s="54">
        <f t="shared" si="93"/>
        <v>4</v>
      </c>
      <c r="W94" s="54" t="e">
        <f t="shared" si="94"/>
        <v>#VALUE!</v>
      </c>
      <c r="X94" s="54" t="e">
        <f t="shared" si="95"/>
        <v>#VALUE!</v>
      </c>
      <c r="Y94" s="54" t="s">
        <v>541</v>
      </c>
      <c r="Z94" s="44"/>
      <c r="AA94" s="46"/>
      <c r="AB94" s="44"/>
    </row>
    <row r="95" spans="1:28" ht="21" customHeight="1" x14ac:dyDescent="0.15">
      <c r="A95" s="182">
        <v>39014094</v>
      </c>
      <c r="B95" s="41" t="s">
        <v>594</v>
      </c>
      <c r="C95" s="44">
        <v>1</v>
      </c>
      <c r="D95" s="44" t="s">
        <v>430</v>
      </c>
      <c r="E95" s="45" t="s">
        <v>527</v>
      </c>
      <c r="F95" s="45" t="s">
        <v>528</v>
      </c>
      <c r="G95" s="54" t="str">
        <f t="shared" si="81"/>
        <v>[effect:enemy_message, val1:1.7, val2:1.7, dead_type:suicide]</v>
      </c>
      <c r="H95" s="54">
        <f t="shared" si="82"/>
        <v>9</v>
      </c>
      <c r="I95" s="54">
        <f t="shared" si="83"/>
        <v>22</v>
      </c>
      <c r="J95" s="54" t="e">
        <f t="shared" si="84"/>
        <v>#VALUE!</v>
      </c>
      <c r="K95" s="54">
        <f t="shared" si="85"/>
        <v>32</v>
      </c>
      <c r="L95" s="54" t="s">
        <v>541</v>
      </c>
      <c r="M95" s="54" t="str">
        <f t="shared" si="86"/>
        <v>none</v>
      </c>
      <c r="N95" s="42" t="str">
        <f t="shared" si="80"/>
        <v>none</v>
      </c>
      <c r="O95" s="54" t="e">
        <f t="shared" si="87"/>
        <v>#VALUE!</v>
      </c>
      <c r="P95" s="54">
        <f t="shared" si="88"/>
        <v>4</v>
      </c>
      <c r="Q95" s="54" t="e">
        <f t="shared" si="89"/>
        <v>#VALUE!</v>
      </c>
      <c r="R95" s="54" t="e">
        <f t="shared" si="90"/>
        <v>#VALUE!</v>
      </c>
      <c r="S95" s="54" t="s">
        <v>541</v>
      </c>
      <c r="T95" s="42" t="str">
        <f t="shared" si="91"/>
        <v>none</v>
      </c>
      <c r="U95" s="54" t="e">
        <f t="shared" si="92"/>
        <v>#VALUE!</v>
      </c>
      <c r="V95" s="54">
        <f t="shared" si="93"/>
        <v>4</v>
      </c>
      <c r="W95" s="54" t="e">
        <f t="shared" si="94"/>
        <v>#VALUE!</v>
      </c>
      <c r="X95" s="54" t="e">
        <f t="shared" si="95"/>
        <v>#VALUE!</v>
      </c>
      <c r="Y95" s="54" t="s">
        <v>541</v>
      </c>
      <c r="Z95" s="44"/>
      <c r="AA95" s="46"/>
      <c r="AB95" s="44"/>
    </row>
    <row r="96" spans="1:28" ht="21" customHeight="1" x14ac:dyDescent="0.15">
      <c r="A96" s="182">
        <v>39014095</v>
      </c>
      <c r="B96" s="41" t="s">
        <v>594</v>
      </c>
      <c r="C96" s="44">
        <v>1</v>
      </c>
      <c r="D96" s="44" t="s">
        <v>430</v>
      </c>
      <c r="E96" s="45" t="s">
        <v>527</v>
      </c>
      <c r="F96" s="45" t="s">
        <v>528</v>
      </c>
      <c r="G96" s="54" t="str">
        <f t="shared" si="81"/>
        <v>[effect:enemy_message, val1:1.7, val2:1.7, dead_type:suicide]</v>
      </c>
      <c r="H96" s="54">
        <f t="shared" si="82"/>
        <v>9</v>
      </c>
      <c r="I96" s="54">
        <f t="shared" si="83"/>
        <v>22</v>
      </c>
      <c r="J96" s="54" t="e">
        <f t="shared" si="84"/>
        <v>#VALUE!</v>
      </c>
      <c r="K96" s="54">
        <f t="shared" si="85"/>
        <v>32</v>
      </c>
      <c r="L96" s="54" t="s">
        <v>541</v>
      </c>
      <c r="M96" s="54" t="str">
        <f t="shared" si="86"/>
        <v>none</v>
      </c>
      <c r="N96" s="42" t="str">
        <f t="shared" si="80"/>
        <v>none</v>
      </c>
      <c r="O96" s="54" t="e">
        <f t="shared" si="87"/>
        <v>#VALUE!</v>
      </c>
      <c r="P96" s="54">
        <f t="shared" si="88"/>
        <v>4</v>
      </c>
      <c r="Q96" s="54" t="e">
        <f t="shared" si="89"/>
        <v>#VALUE!</v>
      </c>
      <c r="R96" s="54" t="e">
        <f t="shared" si="90"/>
        <v>#VALUE!</v>
      </c>
      <c r="S96" s="54" t="s">
        <v>541</v>
      </c>
      <c r="T96" s="42" t="str">
        <f t="shared" si="91"/>
        <v>none</v>
      </c>
      <c r="U96" s="54" t="e">
        <f t="shared" si="92"/>
        <v>#VALUE!</v>
      </c>
      <c r="V96" s="54">
        <f t="shared" si="93"/>
        <v>4</v>
      </c>
      <c r="W96" s="54" t="e">
        <f t="shared" si="94"/>
        <v>#VALUE!</v>
      </c>
      <c r="X96" s="54" t="e">
        <f t="shared" si="95"/>
        <v>#VALUE!</v>
      </c>
      <c r="Y96" s="54" t="s">
        <v>541</v>
      </c>
      <c r="Z96" s="44"/>
      <c r="AA96" s="46"/>
      <c r="AB96" s="44"/>
    </row>
    <row r="97" spans="1:28" ht="21" customHeight="1" x14ac:dyDescent="0.15">
      <c r="A97" s="182">
        <v>39014096</v>
      </c>
      <c r="B97" s="41" t="s">
        <v>594</v>
      </c>
      <c r="C97" s="44">
        <v>1</v>
      </c>
      <c r="D97" s="44" t="s">
        <v>430</v>
      </c>
      <c r="E97" s="45" t="s">
        <v>527</v>
      </c>
      <c r="F97" s="45" t="s">
        <v>528</v>
      </c>
      <c r="G97" s="54" t="str">
        <f t="shared" si="81"/>
        <v>[effect:enemy_message, val1:1.7, val2:1.7, dead_type:suicide]</v>
      </c>
      <c r="H97" s="54">
        <f t="shared" si="82"/>
        <v>9</v>
      </c>
      <c r="I97" s="54">
        <f t="shared" si="83"/>
        <v>22</v>
      </c>
      <c r="J97" s="54" t="e">
        <f t="shared" si="84"/>
        <v>#VALUE!</v>
      </c>
      <c r="K97" s="54">
        <f t="shared" si="85"/>
        <v>32</v>
      </c>
      <c r="L97" s="54" t="s">
        <v>541</v>
      </c>
      <c r="M97" s="54" t="str">
        <f t="shared" si="86"/>
        <v>none</v>
      </c>
      <c r="N97" s="42" t="str">
        <f t="shared" ref="N97:N98" si="96">IFERROR(LEFT(M97,FIND("],",M97)+S114),M97)</f>
        <v>none</v>
      </c>
      <c r="O97" s="54" t="e">
        <f t="shared" si="87"/>
        <v>#VALUE!</v>
      </c>
      <c r="P97" s="54">
        <f t="shared" si="88"/>
        <v>4</v>
      </c>
      <c r="Q97" s="54" t="e">
        <f t="shared" si="89"/>
        <v>#VALUE!</v>
      </c>
      <c r="R97" s="54" t="e">
        <f t="shared" si="90"/>
        <v>#VALUE!</v>
      </c>
      <c r="S97" s="54" t="s">
        <v>541</v>
      </c>
      <c r="T97" s="42" t="str">
        <f t="shared" si="91"/>
        <v>none</v>
      </c>
      <c r="U97" s="54" t="e">
        <f t="shared" si="92"/>
        <v>#VALUE!</v>
      </c>
      <c r="V97" s="54">
        <f t="shared" si="93"/>
        <v>4</v>
      </c>
      <c r="W97" s="54" t="e">
        <f t="shared" si="94"/>
        <v>#VALUE!</v>
      </c>
      <c r="X97" s="54" t="e">
        <f t="shared" si="95"/>
        <v>#VALUE!</v>
      </c>
      <c r="Y97" s="54" t="s">
        <v>541</v>
      </c>
      <c r="Z97" s="44"/>
      <c r="AA97" s="46"/>
      <c r="AB97" s="44"/>
    </row>
    <row r="98" spans="1:28" ht="21" customHeight="1" x14ac:dyDescent="0.15">
      <c r="A98" s="182">
        <v>39014097</v>
      </c>
      <c r="B98" s="41" t="s">
        <v>594</v>
      </c>
      <c r="C98" s="44">
        <v>1</v>
      </c>
      <c r="D98" s="44" t="s">
        <v>430</v>
      </c>
      <c r="E98" s="45" t="s">
        <v>527</v>
      </c>
      <c r="F98" s="45" t="s">
        <v>528</v>
      </c>
      <c r="G98" s="54" t="str">
        <f t="shared" si="81"/>
        <v>[effect:enemy_message, val1:1.7, val2:1.7, dead_type:suicide]</v>
      </c>
      <c r="H98" s="54">
        <f t="shared" si="82"/>
        <v>9</v>
      </c>
      <c r="I98" s="54">
        <f t="shared" si="83"/>
        <v>22</v>
      </c>
      <c r="J98" s="54" t="e">
        <f t="shared" si="84"/>
        <v>#VALUE!</v>
      </c>
      <c r="K98" s="54">
        <f t="shared" si="85"/>
        <v>32</v>
      </c>
      <c r="L98" s="54" t="s">
        <v>541</v>
      </c>
      <c r="M98" s="54" t="str">
        <f t="shared" si="86"/>
        <v>none</v>
      </c>
      <c r="N98" s="42" t="str">
        <f t="shared" si="96"/>
        <v>none</v>
      </c>
      <c r="O98" s="54" t="e">
        <f t="shared" si="87"/>
        <v>#VALUE!</v>
      </c>
      <c r="P98" s="54">
        <f t="shared" si="88"/>
        <v>4</v>
      </c>
      <c r="Q98" s="54" t="e">
        <f t="shared" si="89"/>
        <v>#VALUE!</v>
      </c>
      <c r="R98" s="54" t="e">
        <f t="shared" si="90"/>
        <v>#VALUE!</v>
      </c>
      <c r="S98" s="54" t="s">
        <v>541</v>
      </c>
      <c r="T98" s="42" t="str">
        <f t="shared" si="91"/>
        <v>none</v>
      </c>
      <c r="U98" s="54" t="e">
        <f t="shared" si="92"/>
        <v>#VALUE!</v>
      </c>
      <c r="V98" s="54">
        <f t="shared" si="93"/>
        <v>4</v>
      </c>
      <c r="W98" s="54" t="e">
        <f t="shared" si="94"/>
        <v>#VALUE!</v>
      </c>
      <c r="X98" s="54" t="e">
        <f t="shared" si="95"/>
        <v>#VALUE!</v>
      </c>
      <c r="Y98" s="54" t="s">
        <v>541</v>
      </c>
      <c r="Z98" s="44"/>
      <c r="AA98" s="46"/>
      <c r="AB98" s="44"/>
    </row>
    <row r="99" spans="1:28" ht="21" customHeight="1" x14ac:dyDescent="0.15">
      <c r="A99" s="182">
        <v>39014098</v>
      </c>
      <c r="B99" s="41" t="s">
        <v>594</v>
      </c>
      <c r="C99" s="44">
        <v>1</v>
      </c>
      <c r="D99" s="44" t="s">
        <v>430</v>
      </c>
      <c r="E99" s="45" t="s">
        <v>527</v>
      </c>
      <c r="F99" s="45" t="s">
        <v>528</v>
      </c>
      <c r="G99" s="54" t="str">
        <f t="shared" si="81"/>
        <v>[effect:enemy_message, val1:1.7, val2:1.7, dead_type:suicide]</v>
      </c>
      <c r="H99" s="54">
        <f t="shared" si="82"/>
        <v>9</v>
      </c>
      <c r="I99" s="54">
        <f t="shared" si="83"/>
        <v>22</v>
      </c>
      <c r="J99" s="54" t="e">
        <f t="shared" si="84"/>
        <v>#VALUE!</v>
      </c>
      <c r="K99" s="54">
        <f t="shared" si="85"/>
        <v>32</v>
      </c>
      <c r="L99" s="54" t="s">
        <v>541</v>
      </c>
      <c r="M99" s="54" t="str">
        <f t="shared" si="86"/>
        <v>none</v>
      </c>
      <c r="N99" s="42" t="str">
        <f t="shared" ref="N99:N108" si="97">IFERROR(LEFT(M99,FIND("],",M99)+S117),M99)</f>
        <v>none</v>
      </c>
      <c r="O99" s="54" t="e">
        <f t="shared" si="87"/>
        <v>#VALUE!</v>
      </c>
      <c r="P99" s="54">
        <f t="shared" si="88"/>
        <v>4</v>
      </c>
      <c r="Q99" s="54" t="e">
        <f t="shared" si="89"/>
        <v>#VALUE!</v>
      </c>
      <c r="R99" s="54" t="e">
        <f t="shared" si="90"/>
        <v>#VALUE!</v>
      </c>
      <c r="S99" s="54" t="s">
        <v>541</v>
      </c>
      <c r="T99" s="42" t="str">
        <f t="shared" si="91"/>
        <v>none</v>
      </c>
      <c r="U99" s="54" t="e">
        <f t="shared" si="92"/>
        <v>#VALUE!</v>
      </c>
      <c r="V99" s="54">
        <f t="shared" si="93"/>
        <v>4</v>
      </c>
      <c r="W99" s="54" t="e">
        <f t="shared" si="94"/>
        <v>#VALUE!</v>
      </c>
      <c r="X99" s="54" t="e">
        <f t="shared" si="95"/>
        <v>#VALUE!</v>
      </c>
      <c r="Y99" s="54" t="s">
        <v>541</v>
      </c>
      <c r="Z99" s="44"/>
      <c r="AA99" s="46"/>
      <c r="AB99" s="44"/>
    </row>
    <row r="100" spans="1:28" ht="21" customHeight="1" x14ac:dyDescent="0.15">
      <c r="A100" s="182">
        <v>39014099</v>
      </c>
      <c r="B100" s="41" t="s">
        <v>594</v>
      </c>
      <c r="C100" s="44">
        <v>1</v>
      </c>
      <c r="D100" s="44" t="s">
        <v>430</v>
      </c>
      <c r="E100" s="45" t="s">
        <v>527</v>
      </c>
      <c r="F100" s="45" t="s">
        <v>528</v>
      </c>
      <c r="G100" s="54" t="str">
        <f t="shared" ref="G100:G124" si="98">IFERROR(LEFT(B100,FIND("],",B100)),B100)</f>
        <v>[effect:enemy_message, val1:1.7, val2:1.7, dead_type:suicide]</v>
      </c>
      <c r="H100" s="54">
        <f t="shared" ref="H100:H124" si="99">FIND("effect:",G100)+7</f>
        <v>9</v>
      </c>
      <c r="I100" s="54">
        <f t="shared" ref="I100:I124" si="100">IFERROR(FIND(",",G100),LEN(G100))</f>
        <v>22</v>
      </c>
      <c r="J100" s="54" t="e">
        <f t="shared" ref="J100:J124" si="101">FIND("target:",G100)+7</f>
        <v>#VALUE!</v>
      </c>
      <c r="K100" s="54">
        <f t="shared" ref="K100:K124" si="102">FIND(",",G100,I100+1)</f>
        <v>32</v>
      </c>
      <c r="L100" s="54" t="s">
        <v>541</v>
      </c>
      <c r="M100" s="54" t="str">
        <f t="shared" ref="M100:M124" si="103">IFERROR(RIGHT(B100,LEN(B100)-FIND("],",B100)-1),"none")</f>
        <v>none</v>
      </c>
      <c r="N100" s="42" t="str">
        <f t="shared" si="97"/>
        <v>none</v>
      </c>
      <c r="O100" s="54" t="e">
        <f t="shared" ref="O100:O124" si="104">FIND("effect:",N100)+7</f>
        <v>#VALUE!</v>
      </c>
      <c r="P100" s="54">
        <f t="shared" ref="P100:P124" si="105">IFERROR(FIND(",",N100),LEN(N100))</f>
        <v>4</v>
      </c>
      <c r="Q100" s="54" t="e">
        <f t="shared" ref="Q100:Q124" si="106">FIND("target:",N100)+7</f>
        <v>#VALUE!</v>
      </c>
      <c r="R100" s="54" t="e">
        <f t="shared" ref="R100:R124" si="107">FIND(",",N100,P100+1)</f>
        <v>#VALUE!</v>
      </c>
      <c r="S100" s="54" t="s">
        <v>541</v>
      </c>
      <c r="T100" s="42" t="str">
        <f t="shared" ref="T100:T124" si="108">IFERROR(RIGHT(M100,LEN(M100)-FIND("],",M100)-1),"none")</f>
        <v>none</v>
      </c>
      <c r="U100" s="54" t="e">
        <f t="shared" ref="U100:U124" si="109">FIND("effect:",T100)+7</f>
        <v>#VALUE!</v>
      </c>
      <c r="V100" s="54">
        <f t="shared" ref="V100:V124" si="110">IFERROR(FIND(",",T100),LEN(T100))</f>
        <v>4</v>
      </c>
      <c r="W100" s="54" t="e">
        <f t="shared" ref="W100:W124" si="111">FIND("target:",T100)+7</f>
        <v>#VALUE!</v>
      </c>
      <c r="X100" s="54" t="e">
        <f t="shared" ref="X100:X124" si="112">FIND(",",T100,V100+1)</f>
        <v>#VALUE!</v>
      </c>
      <c r="Y100" s="54" t="s">
        <v>541</v>
      </c>
      <c r="Z100" s="44"/>
      <c r="AA100" s="46"/>
      <c r="AB100" s="44"/>
    </row>
    <row r="101" spans="1:28" ht="21" customHeight="1" x14ac:dyDescent="0.15">
      <c r="A101" s="182">
        <v>39014100</v>
      </c>
      <c r="B101" s="41" t="s">
        <v>594</v>
      </c>
      <c r="C101" s="44">
        <v>1</v>
      </c>
      <c r="D101" s="44" t="s">
        <v>430</v>
      </c>
      <c r="E101" s="45" t="s">
        <v>527</v>
      </c>
      <c r="F101" s="45" t="s">
        <v>528</v>
      </c>
      <c r="G101" s="54" t="str">
        <f t="shared" si="98"/>
        <v>[effect:enemy_message, val1:1.7, val2:1.7, dead_type:suicide]</v>
      </c>
      <c r="H101" s="54">
        <f t="shared" si="99"/>
        <v>9</v>
      </c>
      <c r="I101" s="54">
        <f t="shared" si="100"/>
        <v>22</v>
      </c>
      <c r="J101" s="54" t="e">
        <f t="shared" si="101"/>
        <v>#VALUE!</v>
      </c>
      <c r="K101" s="54">
        <f t="shared" si="102"/>
        <v>32</v>
      </c>
      <c r="L101" s="54" t="s">
        <v>541</v>
      </c>
      <c r="M101" s="54" t="str">
        <f t="shared" si="103"/>
        <v>none</v>
      </c>
      <c r="N101" s="42" t="str">
        <f t="shared" si="97"/>
        <v>none</v>
      </c>
      <c r="O101" s="54" t="e">
        <f t="shared" si="104"/>
        <v>#VALUE!</v>
      </c>
      <c r="P101" s="54">
        <f t="shared" si="105"/>
        <v>4</v>
      </c>
      <c r="Q101" s="54" t="e">
        <f t="shared" si="106"/>
        <v>#VALUE!</v>
      </c>
      <c r="R101" s="54" t="e">
        <f t="shared" si="107"/>
        <v>#VALUE!</v>
      </c>
      <c r="S101" s="54" t="s">
        <v>541</v>
      </c>
      <c r="T101" s="42" t="str">
        <f t="shared" si="108"/>
        <v>none</v>
      </c>
      <c r="U101" s="54" t="e">
        <f t="shared" si="109"/>
        <v>#VALUE!</v>
      </c>
      <c r="V101" s="54">
        <f t="shared" si="110"/>
        <v>4</v>
      </c>
      <c r="W101" s="54" t="e">
        <f t="shared" si="111"/>
        <v>#VALUE!</v>
      </c>
      <c r="X101" s="54" t="e">
        <f t="shared" si="112"/>
        <v>#VALUE!</v>
      </c>
      <c r="Y101" s="54" t="s">
        <v>541</v>
      </c>
      <c r="Z101" s="44"/>
      <c r="AA101" s="46"/>
      <c r="AB101" s="44"/>
    </row>
    <row r="102" spans="1:28" ht="21" customHeight="1" x14ac:dyDescent="0.15">
      <c r="A102" s="182">
        <v>39014101</v>
      </c>
      <c r="B102" s="41" t="s">
        <v>594</v>
      </c>
      <c r="C102" s="44">
        <v>1</v>
      </c>
      <c r="D102" s="44" t="s">
        <v>430</v>
      </c>
      <c r="E102" s="45" t="s">
        <v>527</v>
      </c>
      <c r="F102" s="45" t="s">
        <v>528</v>
      </c>
      <c r="G102" s="54" t="str">
        <f t="shared" si="98"/>
        <v>[effect:enemy_message, val1:1.7, val2:1.7, dead_type:suicide]</v>
      </c>
      <c r="H102" s="54">
        <f t="shared" si="99"/>
        <v>9</v>
      </c>
      <c r="I102" s="54">
        <f t="shared" si="100"/>
        <v>22</v>
      </c>
      <c r="J102" s="54" t="e">
        <f t="shared" si="101"/>
        <v>#VALUE!</v>
      </c>
      <c r="K102" s="54">
        <f t="shared" si="102"/>
        <v>32</v>
      </c>
      <c r="L102" s="54" t="s">
        <v>541</v>
      </c>
      <c r="M102" s="54" t="str">
        <f t="shared" si="103"/>
        <v>none</v>
      </c>
      <c r="N102" s="42" t="str">
        <f t="shared" si="97"/>
        <v>none</v>
      </c>
      <c r="O102" s="54" t="e">
        <f t="shared" si="104"/>
        <v>#VALUE!</v>
      </c>
      <c r="P102" s="54">
        <f t="shared" si="105"/>
        <v>4</v>
      </c>
      <c r="Q102" s="54" t="e">
        <f t="shared" si="106"/>
        <v>#VALUE!</v>
      </c>
      <c r="R102" s="54" t="e">
        <f t="shared" si="107"/>
        <v>#VALUE!</v>
      </c>
      <c r="S102" s="54" t="s">
        <v>541</v>
      </c>
      <c r="T102" s="42" t="str">
        <f t="shared" si="108"/>
        <v>none</v>
      </c>
      <c r="U102" s="54" t="e">
        <f t="shared" si="109"/>
        <v>#VALUE!</v>
      </c>
      <c r="V102" s="54">
        <f t="shared" si="110"/>
        <v>4</v>
      </c>
      <c r="W102" s="54" t="e">
        <f t="shared" si="111"/>
        <v>#VALUE!</v>
      </c>
      <c r="X102" s="54" t="e">
        <f t="shared" si="112"/>
        <v>#VALUE!</v>
      </c>
      <c r="Y102" s="54" t="s">
        <v>541</v>
      </c>
      <c r="Z102" s="44"/>
      <c r="AA102" s="46"/>
      <c r="AB102" s="44"/>
    </row>
    <row r="103" spans="1:28" ht="21" customHeight="1" x14ac:dyDescent="0.15">
      <c r="A103" s="182">
        <v>39014102</v>
      </c>
      <c r="B103" s="41" t="s">
        <v>594</v>
      </c>
      <c r="C103" s="44">
        <v>1</v>
      </c>
      <c r="D103" s="44" t="s">
        <v>430</v>
      </c>
      <c r="E103" s="45" t="s">
        <v>527</v>
      </c>
      <c r="F103" s="45" t="s">
        <v>528</v>
      </c>
      <c r="G103" s="54" t="str">
        <f t="shared" si="98"/>
        <v>[effect:enemy_message, val1:1.7, val2:1.7, dead_type:suicide]</v>
      </c>
      <c r="H103" s="54">
        <f t="shared" si="99"/>
        <v>9</v>
      </c>
      <c r="I103" s="54">
        <f t="shared" si="100"/>
        <v>22</v>
      </c>
      <c r="J103" s="54" t="e">
        <f t="shared" si="101"/>
        <v>#VALUE!</v>
      </c>
      <c r="K103" s="54">
        <f t="shared" si="102"/>
        <v>32</v>
      </c>
      <c r="L103" s="54" t="s">
        <v>541</v>
      </c>
      <c r="M103" s="54" t="str">
        <f t="shared" si="103"/>
        <v>none</v>
      </c>
      <c r="N103" s="42" t="str">
        <f t="shared" si="97"/>
        <v>none</v>
      </c>
      <c r="O103" s="54" t="e">
        <f t="shared" si="104"/>
        <v>#VALUE!</v>
      </c>
      <c r="P103" s="54">
        <f t="shared" si="105"/>
        <v>4</v>
      </c>
      <c r="Q103" s="54" t="e">
        <f t="shared" si="106"/>
        <v>#VALUE!</v>
      </c>
      <c r="R103" s="54" t="e">
        <f t="shared" si="107"/>
        <v>#VALUE!</v>
      </c>
      <c r="S103" s="54" t="s">
        <v>541</v>
      </c>
      <c r="T103" s="42" t="str">
        <f t="shared" si="108"/>
        <v>none</v>
      </c>
      <c r="U103" s="54" t="e">
        <f t="shared" si="109"/>
        <v>#VALUE!</v>
      </c>
      <c r="V103" s="54">
        <f t="shared" si="110"/>
        <v>4</v>
      </c>
      <c r="W103" s="54" t="e">
        <f t="shared" si="111"/>
        <v>#VALUE!</v>
      </c>
      <c r="X103" s="54" t="e">
        <f t="shared" si="112"/>
        <v>#VALUE!</v>
      </c>
      <c r="Y103" s="54" t="s">
        <v>541</v>
      </c>
      <c r="Z103" s="44"/>
      <c r="AA103" s="46"/>
      <c r="AB103" s="44"/>
    </row>
    <row r="104" spans="1:28" ht="21" customHeight="1" x14ac:dyDescent="0.15">
      <c r="A104" s="182">
        <v>39014103</v>
      </c>
      <c r="B104" s="41" t="s">
        <v>594</v>
      </c>
      <c r="C104" s="44">
        <v>1</v>
      </c>
      <c r="D104" s="44" t="s">
        <v>430</v>
      </c>
      <c r="E104" s="45" t="s">
        <v>527</v>
      </c>
      <c r="F104" s="45" t="s">
        <v>528</v>
      </c>
      <c r="G104" s="54" t="str">
        <f t="shared" si="98"/>
        <v>[effect:enemy_message, val1:1.7, val2:1.7, dead_type:suicide]</v>
      </c>
      <c r="H104" s="54">
        <f t="shared" si="99"/>
        <v>9</v>
      </c>
      <c r="I104" s="54">
        <f t="shared" si="100"/>
        <v>22</v>
      </c>
      <c r="J104" s="54" t="e">
        <f t="shared" si="101"/>
        <v>#VALUE!</v>
      </c>
      <c r="K104" s="54">
        <f t="shared" si="102"/>
        <v>32</v>
      </c>
      <c r="L104" s="54" t="s">
        <v>541</v>
      </c>
      <c r="M104" s="54" t="str">
        <f t="shared" si="103"/>
        <v>none</v>
      </c>
      <c r="N104" s="42" t="str">
        <f t="shared" si="97"/>
        <v>none</v>
      </c>
      <c r="O104" s="54" t="e">
        <f t="shared" si="104"/>
        <v>#VALUE!</v>
      </c>
      <c r="P104" s="54">
        <f t="shared" si="105"/>
        <v>4</v>
      </c>
      <c r="Q104" s="54" t="e">
        <f t="shared" si="106"/>
        <v>#VALUE!</v>
      </c>
      <c r="R104" s="54" t="e">
        <f t="shared" si="107"/>
        <v>#VALUE!</v>
      </c>
      <c r="S104" s="54" t="s">
        <v>541</v>
      </c>
      <c r="T104" s="42" t="str">
        <f t="shared" si="108"/>
        <v>none</v>
      </c>
      <c r="U104" s="54" t="e">
        <f t="shared" si="109"/>
        <v>#VALUE!</v>
      </c>
      <c r="V104" s="54">
        <f t="shared" si="110"/>
        <v>4</v>
      </c>
      <c r="W104" s="54" t="e">
        <f t="shared" si="111"/>
        <v>#VALUE!</v>
      </c>
      <c r="X104" s="54" t="e">
        <f t="shared" si="112"/>
        <v>#VALUE!</v>
      </c>
      <c r="Y104" s="54" t="s">
        <v>541</v>
      </c>
      <c r="Z104" s="44"/>
      <c r="AA104" s="46"/>
      <c r="AB104" s="44"/>
    </row>
    <row r="105" spans="1:28" ht="21" customHeight="1" x14ac:dyDescent="0.15">
      <c r="A105" s="182">
        <v>39014104</v>
      </c>
      <c r="B105" s="41" t="s">
        <v>594</v>
      </c>
      <c r="C105" s="44">
        <v>1</v>
      </c>
      <c r="D105" s="44" t="s">
        <v>430</v>
      </c>
      <c r="E105" s="45" t="s">
        <v>527</v>
      </c>
      <c r="F105" s="45" t="s">
        <v>528</v>
      </c>
      <c r="G105" s="54" t="str">
        <f t="shared" si="98"/>
        <v>[effect:enemy_message, val1:1.7, val2:1.7, dead_type:suicide]</v>
      </c>
      <c r="H105" s="54">
        <f t="shared" si="99"/>
        <v>9</v>
      </c>
      <c r="I105" s="54">
        <f t="shared" si="100"/>
        <v>22</v>
      </c>
      <c r="J105" s="54" t="e">
        <f t="shared" si="101"/>
        <v>#VALUE!</v>
      </c>
      <c r="K105" s="54">
        <f t="shared" si="102"/>
        <v>32</v>
      </c>
      <c r="L105" s="54" t="s">
        <v>541</v>
      </c>
      <c r="M105" s="54" t="str">
        <f t="shared" si="103"/>
        <v>none</v>
      </c>
      <c r="N105" s="42" t="str">
        <f t="shared" si="97"/>
        <v>none</v>
      </c>
      <c r="O105" s="54" t="e">
        <f t="shared" si="104"/>
        <v>#VALUE!</v>
      </c>
      <c r="P105" s="54">
        <f t="shared" si="105"/>
        <v>4</v>
      </c>
      <c r="Q105" s="54" t="e">
        <f t="shared" si="106"/>
        <v>#VALUE!</v>
      </c>
      <c r="R105" s="54" t="e">
        <f t="shared" si="107"/>
        <v>#VALUE!</v>
      </c>
      <c r="S105" s="54" t="s">
        <v>541</v>
      </c>
      <c r="T105" s="42" t="str">
        <f t="shared" si="108"/>
        <v>none</v>
      </c>
      <c r="U105" s="54" t="e">
        <f t="shared" si="109"/>
        <v>#VALUE!</v>
      </c>
      <c r="V105" s="54">
        <f t="shared" si="110"/>
        <v>4</v>
      </c>
      <c r="W105" s="54" t="e">
        <f t="shared" si="111"/>
        <v>#VALUE!</v>
      </c>
      <c r="X105" s="54" t="e">
        <f t="shared" si="112"/>
        <v>#VALUE!</v>
      </c>
      <c r="Y105" s="54" t="s">
        <v>541</v>
      </c>
      <c r="Z105" s="44"/>
      <c r="AA105" s="46"/>
      <c r="AB105" s="44"/>
    </row>
    <row r="106" spans="1:28" ht="21" customHeight="1" x14ac:dyDescent="0.15">
      <c r="A106" s="182">
        <v>39014105</v>
      </c>
      <c r="B106" s="41" t="s">
        <v>594</v>
      </c>
      <c r="C106" s="44">
        <v>1</v>
      </c>
      <c r="D106" s="44" t="s">
        <v>430</v>
      </c>
      <c r="E106" s="45" t="s">
        <v>527</v>
      </c>
      <c r="F106" s="45" t="s">
        <v>528</v>
      </c>
      <c r="G106" s="54" t="str">
        <f t="shared" si="98"/>
        <v>[effect:enemy_message, val1:1.7, val2:1.7, dead_type:suicide]</v>
      </c>
      <c r="H106" s="54">
        <f t="shared" si="99"/>
        <v>9</v>
      </c>
      <c r="I106" s="54">
        <f t="shared" si="100"/>
        <v>22</v>
      </c>
      <c r="J106" s="54" t="e">
        <f t="shared" si="101"/>
        <v>#VALUE!</v>
      </c>
      <c r="K106" s="54">
        <f t="shared" si="102"/>
        <v>32</v>
      </c>
      <c r="L106" s="54" t="s">
        <v>541</v>
      </c>
      <c r="M106" s="54" t="str">
        <f t="shared" si="103"/>
        <v>none</v>
      </c>
      <c r="N106" s="42" t="str">
        <f t="shared" si="97"/>
        <v>none</v>
      </c>
      <c r="O106" s="54" t="e">
        <f t="shared" si="104"/>
        <v>#VALUE!</v>
      </c>
      <c r="P106" s="54">
        <f t="shared" si="105"/>
        <v>4</v>
      </c>
      <c r="Q106" s="54" t="e">
        <f t="shared" si="106"/>
        <v>#VALUE!</v>
      </c>
      <c r="R106" s="54" t="e">
        <f t="shared" si="107"/>
        <v>#VALUE!</v>
      </c>
      <c r="S106" s="54" t="s">
        <v>541</v>
      </c>
      <c r="T106" s="42" t="str">
        <f t="shared" si="108"/>
        <v>none</v>
      </c>
      <c r="U106" s="54" t="e">
        <f t="shared" si="109"/>
        <v>#VALUE!</v>
      </c>
      <c r="V106" s="54">
        <f t="shared" si="110"/>
        <v>4</v>
      </c>
      <c r="W106" s="54" t="e">
        <f t="shared" si="111"/>
        <v>#VALUE!</v>
      </c>
      <c r="X106" s="54" t="e">
        <f t="shared" si="112"/>
        <v>#VALUE!</v>
      </c>
      <c r="Y106" s="54" t="s">
        <v>541</v>
      </c>
      <c r="Z106" s="44"/>
      <c r="AA106" s="46"/>
      <c r="AB106" s="44"/>
    </row>
    <row r="107" spans="1:28" ht="21" customHeight="1" x14ac:dyDescent="0.15">
      <c r="A107" s="182">
        <v>39014106</v>
      </c>
      <c r="B107" s="41" t="s">
        <v>594</v>
      </c>
      <c r="C107" s="44">
        <v>1</v>
      </c>
      <c r="D107" s="44" t="s">
        <v>430</v>
      </c>
      <c r="E107" s="45" t="s">
        <v>527</v>
      </c>
      <c r="F107" s="45" t="s">
        <v>528</v>
      </c>
      <c r="G107" s="54" t="str">
        <f t="shared" si="98"/>
        <v>[effect:enemy_message, val1:1.7, val2:1.7, dead_type:suicide]</v>
      </c>
      <c r="H107" s="54">
        <f t="shared" si="99"/>
        <v>9</v>
      </c>
      <c r="I107" s="54">
        <f t="shared" si="100"/>
        <v>22</v>
      </c>
      <c r="J107" s="54" t="e">
        <f t="shared" si="101"/>
        <v>#VALUE!</v>
      </c>
      <c r="K107" s="54">
        <f t="shared" si="102"/>
        <v>32</v>
      </c>
      <c r="L107" s="54" t="s">
        <v>541</v>
      </c>
      <c r="M107" s="54" t="str">
        <f t="shared" si="103"/>
        <v>none</v>
      </c>
      <c r="N107" s="42" t="str">
        <f t="shared" si="97"/>
        <v>none</v>
      </c>
      <c r="O107" s="54" t="e">
        <f t="shared" si="104"/>
        <v>#VALUE!</v>
      </c>
      <c r="P107" s="54">
        <f t="shared" si="105"/>
        <v>4</v>
      </c>
      <c r="Q107" s="54" t="e">
        <f t="shared" si="106"/>
        <v>#VALUE!</v>
      </c>
      <c r="R107" s="54" t="e">
        <f t="shared" si="107"/>
        <v>#VALUE!</v>
      </c>
      <c r="S107" s="54" t="s">
        <v>541</v>
      </c>
      <c r="T107" s="42" t="str">
        <f t="shared" si="108"/>
        <v>none</v>
      </c>
      <c r="U107" s="54" t="e">
        <f t="shared" si="109"/>
        <v>#VALUE!</v>
      </c>
      <c r="V107" s="54">
        <f t="shared" si="110"/>
        <v>4</v>
      </c>
      <c r="W107" s="54" t="e">
        <f t="shared" si="111"/>
        <v>#VALUE!</v>
      </c>
      <c r="X107" s="54" t="e">
        <f t="shared" si="112"/>
        <v>#VALUE!</v>
      </c>
      <c r="Y107" s="54" t="s">
        <v>541</v>
      </c>
      <c r="Z107" s="44"/>
      <c r="AA107" s="46"/>
      <c r="AB107" s="44"/>
    </row>
    <row r="108" spans="1:28" ht="21" customHeight="1" x14ac:dyDescent="0.15">
      <c r="A108" s="182">
        <v>39014107</v>
      </c>
      <c r="B108" s="41" t="s">
        <v>594</v>
      </c>
      <c r="C108" s="44">
        <v>1</v>
      </c>
      <c r="D108" s="44" t="s">
        <v>430</v>
      </c>
      <c r="E108" s="45" t="s">
        <v>527</v>
      </c>
      <c r="F108" s="45" t="s">
        <v>528</v>
      </c>
      <c r="G108" s="54" t="str">
        <f t="shared" si="98"/>
        <v>[effect:enemy_message, val1:1.7, val2:1.7, dead_type:suicide]</v>
      </c>
      <c r="H108" s="54">
        <f t="shared" si="99"/>
        <v>9</v>
      </c>
      <c r="I108" s="54">
        <f t="shared" si="100"/>
        <v>22</v>
      </c>
      <c r="J108" s="54" t="e">
        <f t="shared" si="101"/>
        <v>#VALUE!</v>
      </c>
      <c r="K108" s="54">
        <f t="shared" si="102"/>
        <v>32</v>
      </c>
      <c r="L108" s="54" t="s">
        <v>541</v>
      </c>
      <c r="M108" s="54" t="str">
        <f t="shared" si="103"/>
        <v>none</v>
      </c>
      <c r="N108" s="42" t="str">
        <f t="shared" si="97"/>
        <v>none</v>
      </c>
      <c r="O108" s="54" t="e">
        <f t="shared" si="104"/>
        <v>#VALUE!</v>
      </c>
      <c r="P108" s="54">
        <f t="shared" si="105"/>
        <v>4</v>
      </c>
      <c r="Q108" s="54" t="e">
        <f t="shared" si="106"/>
        <v>#VALUE!</v>
      </c>
      <c r="R108" s="54" t="e">
        <f t="shared" si="107"/>
        <v>#VALUE!</v>
      </c>
      <c r="S108" s="54" t="s">
        <v>541</v>
      </c>
      <c r="T108" s="42" t="str">
        <f t="shared" si="108"/>
        <v>none</v>
      </c>
      <c r="U108" s="54" t="e">
        <f t="shared" si="109"/>
        <v>#VALUE!</v>
      </c>
      <c r="V108" s="54">
        <f t="shared" si="110"/>
        <v>4</v>
      </c>
      <c r="W108" s="54" t="e">
        <f t="shared" si="111"/>
        <v>#VALUE!</v>
      </c>
      <c r="X108" s="54" t="e">
        <f t="shared" si="112"/>
        <v>#VALUE!</v>
      </c>
      <c r="Y108" s="54" t="s">
        <v>541</v>
      </c>
      <c r="Z108" s="44"/>
      <c r="AA108" s="46"/>
      <c r="AB108" s="44"/>
    </row>
    <row r="109" spans="1:28" ht="21" customHeight="1" x14ac:dyDescent="0.15">
      <c r="A109" s="182">
        <v>39014108</v>
      </c>
      <c r="B109" s="41" t="s">
        <v>594</v>
      </c>
      <c r="C109" s="44">
        <v>1</v>
      </c>
      <c r="D109" s="44" t="s">
        <v>430</v>
      </c>
      <c r="E109" s="45" t="s">
        <v>527</v>
      </c>
      <c r="F109" s="45" t="s">
        <v>528</v>
      </c>
      <c r="G109" s="54" t="str">
        <f t="shared" si="98"/>
        <v>[effect:enemy_message, val1:1.7, val2:1.7, dead_type:suicide]</v>
      </c>
      <c r="H109" s="54">
        <f t="shared" si="99"/>
        <v>9</v>
      </c>
      <c r="I109" s="54">
        <f t="shared" si="100"/>
        <v>22</v>
      </c>
      <c r="J109" s="54" t="e">
        <f t="shared" si="101"/>
        <v>#VALUE!</v>
      </c>
      <c r="K109" s="54">
        <f t="shared" si="102"/>
        <v>32</v>
      </c>
      <c r="L109" s="54" t="s">
        <v>541</v>
      </c>
      <c r="M109" s="54" t="str">
        <f t="shared" si="103"/>
        <v>none</v>
      </c>
      <c r="N109" s="42" t="str">
        <f>IFERROR(LEFT(M109,FIND("],",M109)+#REF!),M109)</f>
        <v>none</v>
      </c>
      <c r="O109" s="54" t="e">
        <f t="shared" si="104"/>
        <v>#VALUE!</v>
      </c>
      <c r="P109" s="54">
        <f t="shared" si="105"/>
        <v>4</v>
      </c>
      <c r="Q109" s="54" t="e">
        <f t="shared" si="106"/>
        <v>#VALUE!</v>
      </c>
      <c r="R109" s="54" t="e">
        <f t="shared" si="107"/>
        <v>#VALUE!</v>
      </c>
      <c r="S109" s="54" t="s">
        <v>541</v>
      </c>
      <c r="T109" s="42" t="str">
        <f t="shared" si="108"/>
        <v>none</v>
      </c>
      <c r="U109" s="54" t="e">
        <f t="shared" si="109"/>
        <v>#VALUE!</v>
      </c>
      <c r="V109" s="54">
        <f t="shared" si="110"/>
        <v>4</v>
      </c>
      <c r="W109" s="54" t="e">
        <f t="shared" si="111"/>
        <v>#VALUE!</v>
      </c>
      <c r="X109" s="54" t="e">
        <f t="shared" si="112"/>
        <v>#VALUE!</v>
      </c>
      <c r="Y109" s="54" t="s">
        <v>541</v>
      </c>
      <c r="Z109" s="44"/>
      <c r="AA109" s="46"/>
      <c r="AB109" s="44"/>
    </row>
    <row r="110" spans="1:28" ht="21" customHeight="1" x14ac:dyDescent="0.15">
      <c r="A110" s="182">
        <v>39014109</v>
      </c>
      <c r="B110" s="41" t="s">
        <v>594</v>
      </c>
      <c r="C110" s="44">
        <v>1</v>
      </c>
      <c r="D110" s="44" t="s">
        <v>430</v>
      </c>
      <c r="E110" s="45" t="s">
        <v>527</v>
      </c>
      <c r="F110" s="45" t="s">
        <v>528</v>
      </c>
      <c r="G110" s="54" t="str">
        <f t="shared" si="98"/>
        <v>[effect:enemy_message, val1:1.7, val2:1.7, dead_type:suicide]</v>
      </c>
      <c r="H110" s="54">
        <f t="shared" si="99"/>
        <v>9</v>
      </c>
      <c r="I110" s="54">
        <f t="shared" si="100"/>
        <v>22</v>
      </c>
      <c r="J110" s="54" t="e">
        <f t="shared" si="101"/>
        <v>#VALUE!</v>
      </c>
      <c r="K110" s="54">
        <f t="shared" si="102"/>
        <v>32</v>
      </c>
      <c r="L110" s="54" t="s">
        <v>541</v>
      </c>
      <c r="M110" s="54" t="str">
        <f t="shared" si="103"/>
        <v>none</v>
      </c>
      <c r="N110" s="42" t="str">
        <f>IFERROR(LEFT(M110,FIND("],",M110)+#REF!),M110)</f>
        <v>none</v>
      </c>
      <c r="O110" s="54" t="e">
        <f t="shared" si="104"/>
        <v>#VALUE!</v>
      </c>
      <c r="P110" s="54">
        <f t="shared" si="105"/>
        <v>4</v>
      </c>
      <c r="Q110" s="54" t="e">
        <f t="shared" si="106"/>
        <v>#VALUE!</v>
      </c>
      <c r="R110" s="54" t="e">
        <f t="shared" si="107"/>
        <v>#VALUE!</v>
      </c>
      <c r="S110" s="54" t="s">
        <v>541</v>
      </c>
      <c r="T110" s="42" t="str">
        <f t="shared" si="108"/>
        <v>none</v>
      </c>
      <c r="U110" s="54" t="e">
        <f t="shared" si="109"/>
        <v>#VALUE!</v>
      </c>
      <c r="V110" s="54">
        <f t="shared" si="110"/>
        <v>4</v>
      </c>
      <c r="W110" s="54" t="e">
        <f t="shared" si="111"/>
        <v>#VALUE!</v>
      </c>
      <c r="X110" s="54" t="e">
        <f t="shared" si="112"/>
        <v>#VALUE!</v>
      </c>
      <c r="Y110" s="54" t="s">
        <v>541</v>
      </c>
      <c r="Z110" s="44"/>
      <c r="AA110" s="46"/>
      <c r="AB110" s="44"/>
    </row>
    <row r="111" spans="1:28" ht="21" customHeight="1" x14ac:dyDescent="0.15">
      <c r="A111" s="182">
        <v>39014110</v>
      </c>
      <c r="B111" s="41" t="s">
        <v>594</v>
      </c>
      <c r="C111" s="44">
        <v>1</v>
      </c>
      <c r="D111" s="44" t="s">
        <v>430</v>
      </c>
      <c r="E111" s="45" t="s">
        <v>527</v>
      </c>
      <c r="F111" s="45" t="s">
        <v>528</v>
      </c>
      <c r="G111" s="54" t="str">
        <f t="shared" si="98"/>
        <v>[effect:enemy_message, val1:1.7, val2:1.7, dead_type:suicide]</v>
      </c>
      <c r="H111" s="54">
        <f t="shared" si="99"/>
        <v>9</v>
      </c>
      <c r="I111" s="54">
        <f t="shared" si="100"/>
        <v>22</v>
      </c>
      <c r="J111" s="54" t="e">
        <f t="shared" si="101"/>
        <v>#VALUE!</v>
      </c>
      <c r="K111" s="54">
        <f t="shared" si="102"/>
        <v>32</v>
      </c>
      <c r="L111" s="54" t="s">
        <v>541</v>
      </c>
      <c r="M111" s="54" t="str">
        <f t="shared" si="103"/>
        <v>none</v>
      </c>
      <c r="N111" s="42" t="str">
        <f>IFERROR(LEFT(M111,FIND("],",M111)+#REF!),M111)</f>
        <v>none</v>
      </c>
      <c r="O111" s="54" t="e">
        <f t="shared" si="104"/>
        <v>#VALUE!</v>
      </c>
      <c r="P111" s="54">
        <f t="shared" si="105"/>
        <v>4</v>
      </c>
      <c r="Q111" s="54" t="e">
        <f t="shared" si="106"/>
        <v>#VALUE!</v>
      </c>
      <c r="R111" s="54" t="e">
        <f t="shared" si="107"/>
        <v>#VALUE!</v>
      </c>
      <c r="S111" s="54" t="s">
        <v>541</v>
      </c>
      <c r="T111" s="42" t="str">
        <f t="shared" si="108"/>
        <v>none</v>
      </c>
      <c r="U111" s="54" t="e">
        <f t="shared" si="109"/>
        <v>#VALUE!</v>
      </c>
      <c r="V111" s="54">
        <f t="shared" si="110"/>
        <v>4</v>
      </c>
      <c r="W111" s="54" t="e">
        <f t="shared" si="111"/>
        <v>#VALUE!</v>
      </c>
      <c r="X111" s="54" t="e">
        <f t="shared" si="112"/>
        <v>#VALUE!</v>
      </c>
      <c r="Y111" s="54" t="s">
        <v>541</v>
      </c>
      <c r="Z111" s="44"/>
      <c r="AA111" s="46"/>
      <c r="AB111" s="44"/>
    </row>
    <row r="112" spans="1:28" ht="21" customHeight="1" x14ac:dyDescent="0.15">
      <c r="A112" s="182">
        <v>39014111</v>
      </c>
      <c r="B112" s="41" t="s">
        <v>594</v>
      </c>
      <c r="C112" s="44">
        <v>1</v>
      </c>
      <c r="D112" s="44" t="s">
        <v>430</v>
      </c>
      <c r="E112" s="45" t="s">
        <v>527</v>
      </c>
      <c r="F112" s="45" t="s">
        <v>528</v>
      </c>
      <c r="G112" s="54" t="str">
        <f t="shared" si="98"/>
        <v>[effect:enemy_message, val1:1.7, val2:1.7, dead_type:suicide]</v>
      </c>
      <c r="H112" s="54">
        <f t="shared" si="99"/>
        <v>9</v>
      </c>
      <c r="I112" s="54">
        <f t="shared" si="100"/>
        <v>22</v>
      </c>
      <c r="J112" s="54" t="e">
        <f t="shared" si="101"/>
        <v>#VALUE!</v>
      </c>
      <c r="K112" s="54">
        <f t="shared" si="102"/>
        <v>32</v>
      </c>
      <c r="L112" s="54" t="s">
        <v>541</v>
      </c>
      <c r="M112" s="54" t="str">
        <f t="shared" si="103"/>
        <v>none</v>
      </c>
      <c r="N112" s="42" t="str">
        <f t="shared" ref="N112:N122" si="113">IFERROR(LEFT(M112,FIND("],",M112)+S128),M112)</f>
        <v>none</v>
      </c>
      <c r="O112" s="54" t="e">
        <f t="shared" si="104"/>
        <v>#VALUE!</v>
      </c>
      <c r="P112" s="54">
        <f t="shared" si="105"/>
        <v>4</v>
      </c>
      <c r="Q112" s="54" t="e">
        <f t="shared" si="106"/>
        <v>#VALUE!</v>
      </c>
      <c r="R112" s="54" t="e">
        <f t="shared" si="107"/>
        <v>#VALUE!</v>
      </c>
      <c r="S112" s="54" t="s">
        <v>541</v>
      </c>
      <c r="T112" s="42" t="str">
        <f t="shared" si="108"/>
        <v>none</v>
      </c>
      <c r="U112" s="54" t="e">
        <f t="shared" si="109"/>
        <v>#VALUE!</v>
      </c>
      <c r="V112" s="54">
        <f t="shared" si="110"/>
        <v>4</v>
      </c>
      <c r="W112" s="54" t="e">
        <f t="shared" si="111"/>
        <v>#VALUE!</v>
      </c>
      <c r="X112" s="54" t="e">
        <f t="shared" si="112"/>
        <v>#VALUE!</v>
      </c>
      <c r="Y112" s="54" t="s">
        <v>541</v>
      </c>
      <c r="Z112" s="44"/>
      <c r="AA112" s="46"/>
      <c r="AB112" s="44"/>
    </row>
    <row r="113" spans="1:28" ht="21" customHeight="1" x14ac:dyDescent="0.15">
      <c r="A113" s="182">
        <v>39014112</v>
      </c>
      <c r="B113" s="41" t="s">
        <v>594</v>
      </c>
      <c r="C113" s="44">
        <v>1</v>
      </c>
      <c r="D113" s="44" t="s">
        <v>430</v>
      </c>
      <c r="E113" s="45" t="s">
        <v>527</v>
      </c>
      <c r="F113" s="45" t="s">
        <v>528</v>
      </c>
      <c r="G113" s="54" t="str">
        <f t="shared" si="98"/>
        <v>[effect:enemy_message, val1:1.7, val2:1.7, dead_type:suicide]</v>
      </c>
      <c r="H113" s="54">
        <f t="shared" si="99"/>
        <v>9</v>
      </c>
      <c r="I113" s="54">
        <f t="shared" si="100"/>
        <v>22</v>
      </c>
      <c r="J113" s="54" t="e">
        <f t="shared" si="101"/>
        <v>#VALUE!</v>
      </c>
      <c r="K113" s="54">
        <f t="shared" si="102"/>
        <v>32</v>
      </c>
      <c r="L113" s="54" t="s">
        <v>541</v>
      </c>
      <c r="M113" s="54" t="str">
        <f t="shared" si="103"/>
        <v>none</v>
      </c>
      <c r="N113" s="42" t="str">
        <f t="shared" si="113"/>
        <v>none</v>
      </c>
      <c r="O113" s="54" t="e">
        <f t="shared" si="104"/>
        <v>#VALUE!</v>
      </c>
      <c r="P113" s="54">
        <f t="shared" si="105"/>
        <v>4</v>
      </c>
      <c r="Q113" s="54" t="e">
        <f t="shared" si="106"/>
        <v>#VALUE!</v>
      </c>
      <c r="R113" s="54" t="e">
        <f t="shared" si="107"/>
        <v>#VALUE!</v>
      </c>
      <c r="S113" s="54" t="s">
        <v>541</v>
      </c>
      <c r="T113" s="42" t="str">
        <f t="shared" si="108"/>
        <v>none</v>
      </c>
      <c r="U113" s="54" t="e">
        <f t="shared" si="109"/>
        <v>#VALUE!</v>
      </c>
      <c r="V113" s="54">
        <f t="shared" si="110"/>
        <v>4</v>
      </c>
      <c r="W113" s="54" t="e">
        <f t="shared" si="111"/>
        <v>#VALUE!</v>
      </c>
      <c r="X113" s="54" t="e">
        <f t="shared" si="112"/>
        <v>#VALUE!</v>
      </c>
      <c r="Y113" s="54" t="s">
        <v>541</v>
      </c>
      <c r="Z113" s="44"/>
      <c r="AA113" s="46"/>
      <c r="AB113" s="44"/>
    </row>
    <row r="114" spans="1:28" ht="21" customHeight="1" x14ac:dyDescent="0.15">
      <c r="A114" s="182">
        <v>39014113</v>
      </c>
      <c r="B114" s="41" t="s">
        <v>594</v>
      </c>
      <c r="C114" s="44">
        <v>1</v>
      </c>
      <c r="D114" s="44" t="s">
        <v>430</v>
      </c>
      <c r="E114" s="45" t="s">
        <v>527</v>
      </c>
      <c r="F114" s="45" t="s">
        <v>528</v>
      </c>
      <c r="G114" s="54" t="str">
        <f t="shared" si="98"/>
        <v>[effect:enemy_message, val1:1.7, val2:1.7, dead_type:suicide]</v>
      </c>
      <c r="H114" s="54">
        <f t="shared" si="99"/>
        <v>9</v>
      </c>
      <c r="I114" s="54">
        <f t="shared" si="100"/>
        <v>22</v>
      </c>
      <c r="J114" s="54" t="e">
        <f t="shared" si="101"/>
        <v>#VALUE!</v>
      </c>
      <c r="K114" s="54">
        <f t="shared" si="102"/>
        <v>32</v>
      </c>
      <c r="L114" s="54" t="s">
        <v>541</v>
      </c>
      <c r="M114" s="54" t="str">
        <f t="shared" si="103"/>
        <v>none</v>
      </c>
      <c r="N114" s="42" t="str">
        <f t="shared" si="113"/>
        <v>none</v>
      </c>
      <c r="O114" s="54" t="e">
        <f t="shared" si="104"/>
        <v>#VALUE!</v>
      </c>
      <c r="P114" s="54">
        <f t="shared" si="105"/>
        <v>4</v>
      </c>
      <c r="Q114" s="54" t="e">
        <f t="shared" si="106"/>
        <v>#VALUE!</v>
      </c>
      <c r="R114" s="54" t="e">
        <f t="shared" si="107"/>
        <v>#VALUE!</v>
      </c>
      <c r="S114" s="54" t="s">
        <v>541</v>
      </c>
      <c r="T114" s="42" t="str">
        <f t="shared" si="108"/>
        <v>none</v>
      </c>
      <c r="U114" s="54" t="e">
        <f t="shared" si="109"/>
        <v>#VALUE!</v>
      </c>
      <c r="V114" s="54">
        <f t="shared" si="110"/>
        <v>4</v>
      </c>
      <c r="W114" s="54" t="e">
        <f t="shared" si="111"/>
        <v>#VALUE!</v>
      </c>
      <c r="X114" s="54" t="e">
        <f t="shared" si="112"/>
        <v>#VALUE!</v>
      </c>
      <c r="Y114" s="54" t="s">
        <v>541</v>
      </c>
      <c r="Z114" s="44"/>
      <c r="AA114" s="46"/>
      <c r="AB114" s="44"/>
    </row>
    <row r="115" spans="1:28" ht="21" customHeight="1" x14ac:dyDescent="0.15">
      <c r="A115" s="182">
        <v>39014114</v>
      </c>
      <c r="B115" s="41" t="s">
        <v>594</v>
      </c>
      <c r="C115" s="44">
        <v>1</v>
      </c>
      <c r="D115" s="44" t="s">
        <v>430</v>
      </c>
      <c r="E115" s="45" t="s">
        <v>527</v>
      </c>
      <c r="F115" s="45" t="s">
        <v>528</v>
      </c>
      <c r="G115" s="54" t="str">
        <f t="shared" si="98"/>
        <v>[effect:enemy_message, val1:1.7, val2:1.7, dead_type:suicide]</v>
      </c>
      <c r="H115" s="54">
        <f t="shared" si="99"/>
        <v>9</v>
      </c>
      <c r="I115" s="54">
        <f t="shared" si="100"/>
        <v>22</v>
      </c>
      <c r="J115" s="54" t="e">
        <f t="shared" si="101"/>
        <v>#VALUE!</v>
      </c>
      <c r="K115" s="54">
        <f t="shared" si="102"/>
        <v>32</v>
      </c>
      <c r="L115" s="54" t="s">
        <v>541</v>
      </c>
      <c r="M115" s="54" t="str">
        <f t="shared" si="103"/>
        <v>none</v>
      </c>
      <c r="N115" s="42" t="str">
        <f t="shared" si="113"/>
        <v>none</v>
      </c>
      <c r="O115" s="54" t="e">
        <f t="shared" si="104"/>
        <v>#VALUE!</v>
      </c>
      <c r="P115" s="54">
        <f t="shared" si="105"/>
        <v>4</v>
      </c>
      <c r="Q115" s="54" t="e">
        <f t="shared" si="106"/>
        <v>#VALUE!</v>
      </c>
      <c r="R115" s="54" t="e">
        <f t="shared" si="107"/>
        <v>#VALUE!</v>
      </c>
      <c r="S115" s="54" t="s">
        <v>541</v>
      </c>
      <c r="T115" s="42" t="str">
        <f t="shared" si="108"/>
        <v>none</v>
      </c>
      <c r="U115" s="54" t="e">
        <f t="shared" si="109"/>
        <v>#VALUE!</v>
      </c>
      <c r="V115" s="54">
        <f t="shared" si="110"/>
        <v>4</v>
      </c>
      <c r="W115" s="54" t="e">
        <f t="shared" si="111"/>
        <v>#VALUE!</v>
      </c>
      <c r="X115" s="54" t="e">
        <f t="shared" si="112"/>
        <v>#VALUE!</v>
      </c>
      <c r="Y115" s="54" t="s">
        <v>541</v>
      </c>
      <c r="Z115" s="44"/>
      <c r="AA115" s="46"/>
      <c r="AB115" s="44"/>
    </row>
    <row r="116" spans="1:28" ht="21" customHeight="1" x14ac:dyDescent="0.15">
      <c r="A116" s="182">
        <v>39014115</v>
      </c>
      <c r="B116" s="41" t="s">
        <v>594</v>
      </c>
      <c r="C116" s="44">
        <v>1</v>
      </c>
      <c r="D116" s="44" t="s">
        <v>430</v>
      </c>
      <c r="E116" s="45" t="s">
        <v>527</v>
      </c>
      <c r="F116" s="45" t="s">
        <v>528</v>
      </c>
      <c r="G116" s="54" t="str">
        <f t="shared" si="98"/>
        <v>[effect:enemy_message, val1:1.7, val2:1.7, dead_type:suicide]</v>
      </c>
      <c r="H116" s="54">
        <f t="shared" si="99"/>
        <v>9</v>
      </c>
      <c r="I116" s="54">
        <f t="shared" si="100"/>
        <v>22</v>
      </c>
      <c r="J116" s="54" t="e">
        <f t="shared" si="101"/>
        <v>#VALUE!</v>
      </c>
      <c r="K116" s="54">
        <f t="shared" si="102"/>
        <v>32</v>
      </c>
      <c r="L116" s="54" t="s">
        <v>541</v>
      </c>
      <c r="M116" s="54" t="str">
        <f t="shared" si="103"/>
        <v>none</v>
      </c>
      <c r="N116" s="42" t="str">
        <f t="shared" si="113"/>
        <v>none</v>
      </c>
      <c r="O116" s="54" t="e">
        <f t="shared" si="104"/>
        <v>#VALUE!</v>
      </c>
      <c r="P116" s="54">
        <f t="shared" si="105"/>
        <v>4</v>
      </c>
      <c r="Q116" s="54" t="e">
        <f t="shared" si="106"/>
        <v>#VALUE!</v>
      </c>
      <c r="R116" s="54" t="e">
        <f t="shared" si="107"/>
        <v>#VALUE!</v>
      </c>
      <c r="S116" s="54" t="s">
        <v>541</v>
      </c>
      <c r="T116" s="42" t="str">
        <f t="shared" si="108"/>
        <v>none</v>
      </c>
      <c r="U116" s="54" t="e">
        <f t="shared" si="109"/>
        <v>#VALUE!</v>
      </c>
      <c r="V116" s="54">
        <f t="shared" si="110"/>
        <v>4</v>
      </c>
      <c r="W116" s="54" t="e">
        <f t="shared" si="111"/>
        <v>#VALUE!</v>
      </c>
      <c r="X116" s="54" t="e">
        <f t="shared" si="112"/>
        <v>#VALUE!</v>
      </c>
      <c r="Y116" s="54" t="s">
        <v>541</v>
      </c>
      <c r="Z116" s="44"/>
      <c r="AA116" s="46"/>
      <c r="AB116" s="44"/>
    </row>
    <row r="117" spans="1:28" ht="21" customHeight="1" x14ac:dyDescent="0.15">
      <c r="A117" s="182">
        <v>39014116</v>
      </c>
      <c r="B117" s="41" t="s">
        <v>594</v>
      </c>
      <c r="C117" s="44">
        <v>1</v>
      </c>
      <c r="D117" s="44" t="s">
        <v>430</v>
      </c>
      <c r="E117" s="45" t="s">
        <v>527</v>
      </c>
      <c r="F117" s="45" t="s">
        <v>528</v>
      </c>
      <c r="G117" s="54" t="str">
        <f t="shared" si="98"/>
        <v>[effect:enemy_message, val1:1.7, val2:1.7, dead_type:suicide]</v>
      </c>
      <c r="H117" s="54">
        <f t="shared" si="99"/>
        <v>9</v>
      </c>
      <c r="I117" s="54">
        <f t="shared" si="100"/>
        <v>22</v>
      </c>
      <c r="J117" s="54" t="e">
        <f t="shared" si="101"/>
        <v>#VALUE!</v>
      </c>
      <c r="K117" s="54">
        <f t="shared" si="102"/>
        <v>32</v>
      </c>
      <c r="L117" s="54" t="s">
        <v>541</v>
      </c>
      <c r="M117" s="54" t="str">
        <f t="shared" si="103"/>
        <v>none</v>
      </c>
      <c r="N117" s="42" t="str">
        <f t="shared" si="113"/>
        <v>none</v>
      </c>
      <c r="O117" s="54" t="e">
        <f t="shared" si="104"/>
        <v>#VALUE!</v>
      </c>
      <c r="P117" s="54">
        <f t="shared" si="105"/>
        <v>4</v>
      </c>
      <c r="Q117" s="54" t="e">
        <f t="shared" si="106"/>
        <v>#VALUE!</v>
      </c>
      <c r="R117" s="54" t="e">
        <f t="shared" si="107"/>
        <v>#VALUE!</v>
      </c>
      <c r="S117" s="54" t="s">
        <v>541</v>
      </c>
      <c r="T117" s="42" t="str">
        <f t="shared" si="108"/>
        <v>none</v>
      </c>
      <c r="U117" s="54" t="e">
        <f t="shared" si="109"/>
        <v>#VALUE!</v>
      </c>
      <c r="V117" s="54">
        <f t="shared" si="110"/>
        <v>4</v>
      </c>
      <c r="W117" s="54" t="e">
        <f t="shared" si="111"/>
        <v>#VALUE!</v>
      </c>
      <c r="X117" s="54" t="e">
        <f t="shared" si="112"/>
        <v>#VALUE!</v>
      </c>
      <c r="Y117" s="54" t="s">
        <v>541</v>
      </c>
      <c r="Z117" s="44"/>
      <c r="AA117" s="46"/>
      <c r="AB117" s="44"/>
    </row>
    <row r="118" spans="1:28" ht="21" customHeight="1" x14ac:dyDescent="0.15">
      <c r="A118" s="182">
        <v>39014117</v>
      </c>
      <c r="B118" s="41" t="s">
        <v>594</v>
      </c>
      <c r="C118" s="44">
        <v>1</v>
      </c>
      <c r="D118" s="44" t="s">
        <v>430</v>
      </c>
      <c r="E118" s="45" t="s">
        <v>527</v>
      </c>
      <c r="F118" s="45" t="s">
        <v>528</v>
      </c>
      <c r="G118" s="54" t="str">
        <f t="shared" si="98"/>
        <v>[effect:enemy_message, val1:1.7, val2:1.7, dead_type:suicide]</v>
      </c>
      <c r="H118" s="54">
        <f t="shared" si="99"/>
        <v>9</v>
      </c>
      <c r="I118" s="54">
        <f t="shared" si="100"/>
        <v>22</v>
      </c>
      <c r="J118" s="54" t="e">
        <f t="shared" si="101"/>
        <v>#VALUE!</v>
      </c>
      <c r="K118" s="54">
        <f t="shared" si="102"/>
        <v>32</v>
      </c>
      <c r="L118" s="54" t="s">
        <v>541</v>
      </c>
      <c r="M118" s="54" t="str">
        <f t="shared" si="103"/>
        <v>none</v>
      </c>
      <c r="N118" s="42" t="str">
        <f t="shared" si="113"/>
        <v>none</v>
      </c>
      <c r="O118" s="54" t="e">
        <f t="shared" si="104"/>
        <v>#VALUE!</v>
      </c>
      <c r="P118" s="54">
        <f t="shared" si="105"/>
        <v>4</v>
      </c>
      <c r="Q118" s="54" t="e">
        <f t="shared" si="106"/>
        <v>#VALUE!</v>
      </c>
      <c r="R118" s="54" t="e">
        <f t="shared" si="107"/>
        <v>#VALUE!</v>
      </c>
      <c r="S118" s="54" t="s">
        <v>541</v>
      </c>
      <c r="T118" s="42" t="str">
        <f t="shared" si="108"/>
        <v>none</v>
      </c>
      <c r="U118" s="54" t="e">
        <f t="shared" si="109"/>
        <v>#VALUE!</v>
      </c>
      <c r="V118" s="54">
        <f t="shared" si="110"/>
        <v>4</v>
      </c>
      <c r="W118" s="54" t="e">
        <f t="shared" si="111"/>
        <v>#VALUE!</v>
      </c>
      <c r="X118" s="54" t="e">
        <f t="shared" si="112"/>
        <v>#VALUE!</v>
      </c>
      <c r="Y118" s="54" t="s">
        <v>541</v>
      </c>
      <c r="Z118" s="44"/>
      <c r="AA118" s="46"/>
      <c r="AB118" s="44"/>
    </row>
    <row r="119" spans="1:28" ht="21" customHeight="1" x14ac:dyDescent="0.15">
      <c r="A119" s="182">
        <v>39014118</v>
      </c>
      <c r="B119" s="41" t="s">
        <v>594</v>
      </c>
      <c r="C119" s="44">
        <v>1</v>
      </c>
      <c r="D119" s="44" t="s">
        <v>430</v>
      </c>
      <c r="E119" s="45" t="s">
        <v>527</v>
      </c>
      <c r="F119" s="45" t="s">
        <v>528</v>
      </c>
      <c r="G119" s="54" t="str">
        <f t="shared" si="98"/>
        <v>[effect:enemy_message, val1:1.7, val2:1.7, dead_type:suicide]</v>
      </c>
      <c r="H119" s="54">
        <f t="shared" si="99"/>
        <v>9</v>
      </c>
      <c r="I119" s="54">
        <f t="shared" si="100"/>
        <v>22</v>
      </c>
      <c r="J119" s="54" t="e">
        <f t="shared" si="101"/>
        <v>#VALUE!</v>
      </c>
      <c r="K119" s="54">
        <f t="shared" si="102"/>
        <v>32</v>
      </c>
      <c r="L119" s="54" t="s">
        <v>541</v>
      </c>
      <c r="M119" s="54" t="str">
        <f t="shared" si="103"/>
        <v>none</v>
      </c>
      <c r="N119" s="42" t="str">
        <f t="shared" si="113"/>
        <v>none</v>
      </c>
      <c r="O119" s="54" t="e">
        <f t="shared" si="104"/>
        <v>#VALUE!</v>
      </c>
      <c r="P119" s="54">
        <f t="shared" si="105"/>
        <v>4</v>
      </c>
      <c r="Q119" s="54" t="e">
        <f t="shared" si="106"/>
        <v>#VALUE!</v>
      </c>
      <c r="R119" s="54" t="e">
        <f t="shared" si="107"/>
        <v>#VALUE!</v>
      </c>
      <c r="S119" s="54" t="s">
        <v>541</v>
      </c>
      <c r="T119" s="42" t="str">
        <f t="shared" si="108"/>
        <v>none</v>
      </c>
      <c r="U119" s="54" t="e">
        <f t="shared" si="109"/>
        <v>#VALUE!</v>
      </c>
      <c r="V119" s="54">
        <f t="shared" si="110"/>
        <v>4</v>
      </c>
      <c r="W119" s="54" t="e">
        <f t="shared" si="111"/>
        <v>#VALUE!</v>
      </c>
      <c r="X119" s="54" t="e">
        <f t="shared" si="112"/>
        <v>#VALUE!</v>
      </c>
      <c r="Y119" s="54" t="s">
        <v>541</v>
      </c>
      <c r="Z119" s="44"/>
      <c r="AA119" s="46"/>
      <c r="AB119" s="44"/>
    </row>
    <row r="120" spans="1:28" ht="21" customHeight="1" x14ac:dyDescent="0.15">
      <c r="A120" s="182">
        <v>39014119</v>
      </c>
      <c r="B120" s="41" t="s">
        <v>594</v>
      </c>
      <c r="C120" s="44">
        <v>1</v>
      </c>
      <c r="D120" s="44" t="s">
        <v>430</v>
      </c>
      <c r="E120" s="45" t="s">
        <v>527</v>
      </c>
      <c r="F120" s="45" t="s">
        <v>528</v>
      </c>
      <c r="G120" s="54" t="str">
        <f t="shared" si="98"/>
        <v>[effect:enemy_message, val1:1.7, val2:1.7, dead_type:suicide]</v>
      </c>
      <c r="H120" s="54">
        <f t="shared" si="99"/>
        <v>9</v>
      </c>
      <c r="I120" s="54">
        <f t="shared" si="100"/>
        <v>22</v>
      </c>
      <c r="J120" s="54" t="e">
        <f t="shared" si="101"/>
        <v>#VALUE!</v>
      </c>
      <c r="K120" s="54">
        <f t="shared" si="102"/>
        <v>32</v>
      </c>
      <c r="L120" s="54" t="s">
        <v>541</v>
      </c>
      <c r="M120" s="54" t="str">
        <f t="shared" si="103"/>
        <v>none</v>
      </c>
      <c r="N120" s="42" t="str">
        <f t="shared" si="113"/>
        <v>none</v>
      </c>
      <c r="O120" s="54" t="e">
        <f t="shared" si="104"/>
        <v>#VALUE!</v>
      </c>
      <c r="P120" s="54">
        <f t="shared" si="105"/>
        <v>4</v>
      </c>
      <c r="Q120" s="54" t="e">
        <f t="shared" si="106"/>
        <v>#VALUE!</v>
      </c>
      <c r="R120" s="54" t="e">
        <f t="shared" si="107"/>
        <v>#VALUE!</v>
      </c>
      <c r="S120" s="54" t="s">
        <v>541</v>
      </c>
      <c r="T120" s="42" t="str">
        <f t="shared" si="108"/>
        <v>none</v>
      </c>
      <c r="U120" s="54" t="e">
        <f t="shared" si="109"/>
        <v>#VALUE!</v>
      </c>
      <c r="V120" s="54">
        <f t="shared" si="110"/>
        <v>4</v>
      </c>
      <c r="W120" s="54" t="e">
        <f t="shared" si="111"/>
        <v>#VALUE!</v>
      </c>
      <c r="X120" s="54" t="e">
        <f t="shared" si="112"/>
        <v>#VALUE!</v>
      </c>
      <c r="Y120" s="54" t="s">
        <v>541</v>
      </c>
      <c r="Z120" s="44"/>
      <c r="AA120" s="46"/>
      <c r="AB120" s="44"/>
    </row>
    <row r="121" spans="1:28" ht="21" customHeight="1" x14ac:dyDescent="0.15">
      <c r="A121" s="182">
        <v>39014120</v>
      </c>
      <c r="B121" s="41" t="s">
        <v>594</v>
      </c>
      <c r="C121" s="44">
        <v>1</v>
      </c>
      <c r="D121" s="44" t="s">
        <v>430</v>
      </c>
      <c r="E121" s="45" t="s">
        <v>527</v>
      </c>
      <c r="F121" s="45" t="s">
        <v>528</v>
      </c>
      <c r="G121" s="54" t="str">
        <f t="shared" si="98"/>
        <v>[effect:enemy_message, val1:1.7, val2:1.7, dead_type:suicide]</v>
      </c>
      <c r="H121" s="54">
        <f t="shared" si="99"/>
        <v>9</v>
      </c>
      <c r="I121" s="54">
        <f t="shared" si="100"/>
        <v>22</v>
      </c>
      <c r="J121" s="54" t="e">
        <f t="shared" si="101"/>
        <v>#VALUE!</v>
      </c>
      <c r="K121" s="54">
        <f t="shared" si="102"/>
        <v>32</v>
      </c>
      <c r="L121" s="54" t="s">
        <v>541</v>
      </c>
      <c r="M121" s="54" t="str">
        <f t="shared" si="103"/>
        <v>none</v>
      </c>
      <c r="N121" s="42" t="str">
        <f t="shared" si="113"/>
        <v>none</v>
      </c>
      <c r="O121" s="54" t="e">
        <f t="shared" si="104"/>
        <v>#VALUE!</v>
      </c>
      <c r="P121" s="54">
        <f t="shared" si="105"/>
        <v>4</v>
      </c>
      <c r="Q121" s="54" t="e">
        <f t="shared" si="106"/>
        <v>#VALUE!</v>
      </c>
      <c r="R121" s="54" t="e">
        <f t="shared" si="107"/>
        <v>#VALUE!</v>
      </c>
      <c r="S121" s="54" t="s">
        <v>541</v>
      </c>
      <c r="T121" s="42" t="str">
        <f t="shared" si="108"/>
        <v>none</v>
      </c>
      <c r="U121" s="54" t="e">
        <f t="shared" si="109"/>
        <v>#VALUE!</v>
      </c>
      <c r="V121" s="54">
        <f t="shared" si="110"/>
        <v>4</v>
      </c>
      <c r="W121" s="54" t="e">
        <f t="shared" si="111"/>
        <v>#VALUE!</v>
      </c>
      <c r="X121" s="54" t="e">
        <f t="shared" si="112"/>
        <v>#VALUE!</v>
      </c>
      <c r="Y121" s="54" t="s">
        <v>541</v>
      </c>
      <c r="Z121" s="44"/>
      <c r="AA121" s="46"/>
      <c r="AB121" s="44"/>
    </row>
    <row r="122" spans="1:28" ht="21" customHeight="1" x14ac:dyDescent="0.15">
      <c r="A122" s="182">
        <v>39014121</v>
      </c>
      <c r="B122" s="41" t="s">
        <v>594</v>
      </c>
      <c r="C122" s="44">
        <v>1</v>
      </c>
      <c r="D122" s="44" t="s">
        <v>430</v>
      </c>
      <c r="E122" s="45" t="s">
        <v>527</v>
      </c>
      <c r="F122" s="45" t="s">
        <v>528</v>
      </c>
      <c r="G122" s="54" t="str">
        <f t="shared" si="98"/>
        <v>[effect:enemy_message, val1:1.7, val2:1.7, dead_type:suicide]</v>
      </c>
      <c r="H122" s="54">
        <f t="shared" si="99"/>
        <v>9</v>
      </c>
      <c r="I122" s="54">
        <f t="shared" si="100"/>
        <v>22</v>
      </c>
      <c r="J122" s="54" t="e">
        <f t="shared" si="101"/>
        <v>#VALUE!</v>
      </c>
      <c r="K122" s="54">
        <f t="shared" si="102"/>
        <v>32</v>
      </c>
      <c r="L122" s="54" t="s">
        <v>541</v>
      </c>
      <c r="M122" s="54" t="str">
        <f t="shared" si="103"/>
        <v>none</v>
      </c>
      <c r="N122" s="42" t="str">
        <f t="shared" si="113"/>
        <v>none</v>
      </c>
      <c r="O122" s="54" t="e">
        <f t="shared" si="104"/>
        <v>#VALUE!</v>
      </c>
      <c r="P122" s="54">
        <f t="shared" si="105"/>
        <v>4</v>
      </c>
      <c r="Q122" s="54" t="e">
        <f t="shared" si="106"/>
        <v>#VALUE!</v>
      </c>
      <c r="R122" s="54" t="e">
        <f t="shared" si="107"/>
        <v>#VALUE!</v>
      </c>
      <c r="S122" s="54" t="s">
        <v>541</v>
      </c>
      <c r="T122" s="42" t="str">
        <f t="shared" si="108"/>
        <v>none</v>
      </c>
      <c r="U122" s="54" t="e">
        <f t="shared" si="109"/>
        <v>#VALUE!</v>
      </c>
      <c r="V122" s="54">
        <f t="shared" si="110"/>
        <v>4</v>
      </c>
      <c r="W122" s="54" t="e">
        <f t="shared" si="111"/>
        <v>#VALUE!</v>
      </c>
      <c r="X122" s="54" t="e">
        <f t="shared" si="112"/>
        <v>#VALUE!</v>
      </c>
      <c r="Y122" s="54" t="s">
        <v>541</v>
      </c>
      <c r="Z122" s="44"/>
      <c r="AA122" s="46"/>
      <c r="AB122" s="44"/>
    </row>
    <row r="123" spans="1:28" ht="21" customHeight="1" x14ac:dyDescent="0.15">
      <c r="A123" s="182">
        <v>39014122</v>
      </c>
      <c r="B123" s="41" t="s">
        <v>594</v>
      </c>
      <c r="C123" s="44">
        <v>1</v>
      </c>
      <c r="D123" s="44" t="s">
        <v>430</v>
      </c>
      <c r="E123" s="45" t="s">
        <v>527</v>
      </c>
      <c r="F123" s="45" t="s">
        <v>528</v>
      </c>
      <c r="G123" s="54" t="str">
        <f t="shared" si="98"/>
        <v>[effect:enemy_message, val1:1.7, val2:1.7, dead_type:suicide]</v>
      </c>
      <c r="H123" s="54">
        <f t="shared" si="99"/>
        <v>9</v>
      </c>
      <c r="I123" s="54">
        <f t="shared" si="100"/>
        <v>22</v>
      </c>
      <c r="J123" s="54" t="e">
        <f t="shared" si="101"/>
        <v>#VALUE!</v>
      </c>
      <c r="K123" s="54">
        <f t="shared" si="102"/>
        <v>32</v>
      </c>
      <c r="L123" s="54" t="s">
        <v>541</v>
      </c>
      <c r="M123" s="54" t="str">
        <f t="shared" si="103"/>
        <v>none</v>
      </c>
      <c r="N123" s="42" t="str">
        <f>IFERROR(LEFT(M123,FIND("],",M123)+S138),M123)</f>
        <v>none</v>
      </c>
      <c r="O123" s="54" t="e">
        <f t="shared" si="104"/>
        <v>#VALUE!</v>
      </c>
      <c r="P123" s="54">
        <f t="shared" si="105"/>
        <v>4</v>
      </c>
      <c r="Q123" s="54" t="e">
        <f t="shared" si="106"/>
        <v>#VALUE!</v>
      </c>
      <c r="R123" s="54" t="e">
        <f t="shared" si="107"/>
        <v>#VALUE!</v>
      </c>
      <c r="S123" s="54" t="s">
        <v>541</v>
      </c>
      <c r="T123" s="42" t="str">
        <f t="shared" si="108"/>
        <v>none</v>
      </c>
      <c r="U123" s="54" t="e">
        <f t="shared" si="109"/>
        <v>#VALUE!</v>
      </c>
      <c r="V123" s="54">
        <f t="shared" si="110"/>
        <v>4</v>
      </c>
      <c r="W123" s="54" t="e">
        <f t="shared" si="111"/>
        <v>#VALUE!</v>
      </c>
      <c r="X123" s="54" t="e">
        <f t="shared" si="112"/>
        <v>#VALUE!</v>
      </c>
      <c r="Y123" s="54" t="s">
        <v>541</v>
      </c>
      <c r="Z123" s="44"/>
      <c r="AA123" s="46"/>
      <c r="AB123" s="44"/>
    </row>
    <row r="124" spans="1:28" ht="21" customHeight="1" x14ac:dyDescent="0.15">
      <c r="A124" s="182">
        <v>39014123</v>
      </c>
      <c r="B124" s="41" t="s">
        <v>594</v>
      </c>
      <c r="C124" s="44">
        <v>1</v>
      </c>
      <c r="D124" s="44" t="s">
        <v>430</v>
      </c>
      <c r="E124" s="45" t="s">
        <v>527</v>
      </c>
      <c r="F124" s="45" t="s">
        <v>528</v>
      </c>
      <c r="G124" s="54" t="str">
        <f t="shared" si="98"/>
        <v>[effect:enemy_message, val1:1.7, val2:1.7, dead_type:suicide]</v>
      </c>
      <c r="H124" s="54">
        <f t="shared" si="99"/>
        <v>9</v>
      </c>
      <c r="I124" s="54">
        <f t="shared" si="100"/>
        <v>22</v>
      </c>
      <c r="J124" s="54" t="e">
        <f t="shared" si="101"/>
        <v>#VALUE!</v>
      </c>
      <c r="K124" s="54">
        <f t="shared" si="102"/>
        <v>32</v>
      </c>
      <c r="L124" s="54" t="s">
        <v>541</v>
      </c>
      <c r="M124" s="54" t="str">
        <f t="shared" si="103"/>
        <v>none</v>
      </c>
      <c r="N124" s="42" t="str">
        <f>IFERROR(LEFT(M124,FIND("],",M124)+S139),M124)</f>
        <v>none</v>
      </c>
      <c r="O124" s="54" t="e">
        <f t="shared" si="104"/>
        <v>#VALUE!</v>
      </c>
      <c r="P124" s="54">
        <f t="shared" si="105"/>
        <v>4</v>
      </c>
      <c r="Q124" s="54" t="e">
        <f t="shared" si="106"/>
        <v>#VALUE!</v>
      </c>
      <c r="R124" s="54" t="e">
        <f t="shared" si="107"/>
        <v>#VALUE!</v>
      </c>
      <c r="S124" s="54" t="s">
        <v>541</v>
      </c>
      <c r="T124" s="42" t="str">
        <f t="shared" si="108"/>
        <v>none</v>
      </c>
      <c r="U124" s="54" t="e">
        <f t="shared" si="109"/>
        <v>#VALUE!</v>
      </c>
      <c r="V124" s="54">
        <f t="shared" si="110"/>
        <v>4</v>
      </c>
      <c r="W124" s="54" t="e">
        <f t="shared" si="111"/>
        <v>#VALUE!</v>
      </c>
      <c r="X124" s="54" t="e">
        <f t="shared" si="112"/>
        <v>#VALUE!</v>
      </c>
      <c r="Y124" s="54" t="s">
        <v>541</v>
      </c>
      <c r="Z124" s="44"/>
      <c r="AA124" s="46"/>
      <c r="AB124" s="44"/>
    </row>
    <row r="125" spans="1:28" ht="21" customHeight="1" x14ac:dyDescent="0.15">
      <c r="A125" s="182">
        <v>39014124</v>
      </c>
      <c r="B125" s="41" t="s">
        <v>594</v>
      </c>
      <c r="C125" s="44">
        <v>1</v>
      </c>
      <c r="D125" s="44" t="s">
        <v>430</v>
      </c>
      <c r="E125" s="45" t="s">
        <v>527</v>
      </c>
      <c r="F125" s="45" t="s">
        <v>528</v>
      </c>
      <c r="G125" s="54" t="str">
        <f t="shared" ref="G125:G126" si="114">IFERROR(LEFT(B125,FIND("],",B125)),B125)</f>
        <v>[effect:enemy_message, val1:1.7, val2:1.7, dead_type:suicide]</v>
      </c>
      <c r="H125" s="54">
        <f t="shared" ref="H125:H126" si="115">FIND("effect:",G125)+7</f>
        <v>9</v>
      </c>
      <c r="I125" s="54">
        <f t="shared" ref="I125:I126" si="116">IFERROR(FIND(",",G125),LEN(G125))</f>
        <v>22</v>
      </c>
      <c r="J125" s="54" t="e">
        <f t="shared" ref="J125:J126" si="117">FIND("target:",G125)+7</f>
        <v>#VALUE!</v>
      </c>
      <c r="K125" s="54">
        <f t="shared" ref="K125:K126" si="118">FIND(",",G125,I125+1)</f>
        <v>32</v>
      </c>
      <c r="L125" s="54" t="s">
        <v>541</v>
      </c>
      <c r="M125" s="54" t="str">
        <f t="shared" ref="M125:M126" si="119">IFERROR(RIGHT(B125,LEN(B125)-FIND("],",B125)-1),"none")</f>
        <v>none</v>
      </c>
      <c r="N125" s="42" t="str">
        <f>IFERROR(LEFT(M125,FIND("],",M125)+S140),M125)</f>
        <v>none</v>
      </c>
      <c r="O125" s="54" t="e">
        <f t="shared" ref="O125:O126" si="120">FIND("effect:",N125)+7</f>
        <v>#VALUE!</v>
      </c>
      <c r="P125" s="54">
        <f t="shared" ref="P125:P126" si="121">IFERROR(FIND(",",N125),LEN(N125))</f>
        <v>4</v>
      </c>
      <c r="Q125" s="54" t="e">
        <f t="shared" ref="Q125:Q126" si="122">FIND("target:",N125)+7</f>
        <v>#VALUE!</v>
      </c>
      <c r="R125" s="54" t="e">
        <f t="shared" ref="R125:R126" si="123">FIND(",",N125,P125+1)</f>
        <v>#VALUE!</v>
      </c>
      <c r="S125" s="54" t="s">
        <v>541</v>
      </c>
      <c r="T125" s="42" t="str">
        <f t="shared" ref="T125:T126" si="124">IFERROR(RIGHT(M125,LEN(M125)-FIND("],",M125)-1),"none")</f>
        <v>none</v>
      </c>
      <c r="U125" s="54" t="e">
        <f t="shared" ref="U125:U126" si="125">FIND("effect:",T125)+7</f>
        <v>#VALUE!</v>
      </c>
      <c r="V125" s="54">
        <f t="shared" ref="V125:V126" si="126">IFERROR(FIND(",",T125),LEN(T125))</f>
        <v>4</v>
      </c>
      <c r="W125" s="54" t="e">
        <f t="shared" ref="W125:W126" si="127">FIND("target:",T125)+7</f>
        <v>#VALUE!</v>
      </c>
      <c r="X125" s="54" t="e">
        <f t="shared" ref="X125:X126" si="128">FIND(",",T125,V125+1)</f>
        <v>#VALUE!</v>
      </c>
      <c r="Y125" s="54" t="s">
        <v>541</v>
      </c>
      <c r="Z125" s="44"/>
      <c r="AA125" s="46"/>
      <c r="AB125" s="44"/>
    </row>
    <row r="126" spans="1:28" ht="21" customHeight="1" x14ac:dyDescent="0.15">
      <c r="A126" s="182">
        <v>39014125</v>
      </c>
      <c r="B126" s="41" t="s">
        <v>594</v>
      </c>
      <c r="C126" s="44">
        <v>1</v>
      </c>
      <c r="D126" s="44" t="s">
        <v>430</v>
      </c>
      <c r="E126" s="45" t="s">
        <v>527</v>
      </c>
      <c r="F126" s="45" t="s">
        <v>528</v>
      </c>
      <c r="G126" s="54" t="str">
        <f t="shared" si="114"/>
        <v>[effect:enemy_message, val1:1.7, val2:1.7, dead_type:suicide]</v>
      </c>
      <c r="H126" s="54">
        <f t="shared" si="115"/>
        <v>9</v>
      </c>
      <c r="I126" s="54">
        <f t="shared" si="116"/>
        <v>22</v>
      </c>
      <c r="J126" s="54" t="e">
        <f t="shared" si="117"/>
        <v>#VALUE!</v>
      </c>
      <c r="K126" s="54">
        <f t="shared" si="118"/>
        <v>32</v>
      </c>
      <c r="L126" s="54" t="s">
        <v>541</v>
      </c>
      <c r="M126" s="54" t="str">
        <f t="shared" si="119"/>
        <v>none</v>
      </c>
      <c r="N126" s="42" t="str">
        <f>IFERROR(LEFT(M126,FIND("],",M126)+S141),M126)</f>
        <v>none</v>
      </c>
      <c r="O126" s="54" t="e">
        <f t="shared" si="120"/>
        <v>#VALUE!</v>
      </c>
      <c r="P126" s="54">
        <f t="shared" si="121"/>
        <v>4</v>
      </c>
      <c r="Q126" s="54" t="e">
        <f t="shared" si="122"/>
        <v>#VALUE!</v>
      </c>
      <c r="R126" s="54" t="e">
        <f t="shared" si="123"/>
        <v>#VALUE!</v>
      </c>
      <c r="S126" s="54" t="s">
        <v>541</v>
      </c>
      <c r="T126" s="42" t="str">
        <f t="shared" si="124"/>
        <v>none</v>
      </c>
      <c r="U126" s="54" t="e">
        <f t="shared" si="125"/>
        <v>#VALUE!</v>
      </c>
      <c r="V126" s="54">
        <f t="shared" si="126"/>
        <v>4</v>
      </c>
      <c r="W126" s="54" t="e">
        <f t="shared" si="127"/>
        <v>#VALUE!</v>
      </c>
      <c r="X126" s="54" t="e">
        <f t="shared" si="128"/>
        <v>#VALUE!</v>
      </c>
      <c r="Y126" s="54" t="s">
        <v>541</v>
      </c>
      <c r="Z126" s="44"/>
      <c r="AA126" s="46"/>
      <c r="AB126" s="44"/>
    </row>
    <row r="128" spans="1:28" ht="21" customHeight="1" x14ac:dyDescent="0.15">
      <c r="B128" s="196"/>
    </row>
  </sheetData>
  <autoFilter ref="A1:AB1"/>
  <phoneticPr fontId="12"/>
  <pageMargins left="0.75" right="0.75" top="1" bottom="1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26"/>
  <sheetViews>
    <sheetView showGridLines="0" workbookViewId="0">
      <pane ySplit="1" topLeftCell="A2" activePane="bottomLeft" state="frozenSplit"/>
      <selection activeCell="D2" sqref="D2"/>
      <selection pane="bottomLeft" activeCell="I40" sqref="I40"/>
    </sheetView>
  </sheetViews>
  <sheetFormatPr baseColWidth="12" defaultColWidth="12.83203125" defaultRowHeight="21" customHeight="1" x14ac:dyDescent="0.15"/>
  <cols>
    <col min="1" max="1" width="16.1640625" style="43" bestFit="1" customWidth="1"/>
    <col min="2" max="2" width="13.33203125" style="43" bestFit="1" customWidth="1"/>
    <col min="3" max="3" width="11.83203125" style="43" bestFit="1" customWidth="1"/>
    <col min="4" max="4" width="14.6640625" style="43" bestFit="1" customWidth="1"/>
    <col min="5" max="5" width="15.6640625" style="43" bestFit="1" customWidth="1"/>
    <col min="6" max="6" width="17" style="43" bestFit="1" customWidth="1"/>
    <col min="7" max="7" width="15.6640625" style="43" bestFit="1" customWidth="1"/>
    <col min="8" max="9" width="14.6640625" style="43" customWidth="1"/>
    <col min="10" max="10" width="14.6640625" style="43" bestFit="1" customWidth="1"/>
    <col min="11" max="11" width="22.83203125" style="33" bestFit="1" customWidth="1"/>
    <col min="12" max="16384" width="12.83203125" style="39"/>
  </cols>
  <sheetData>
    <row r="1" spans="1:11" ht="21" customHeight="1" x14ac:dyDescent="0.15">
      <c r="A1" s="36" t="s">
        <v>402</v>
      </c>
      <c r="B1" s="36" t="s">
        <v>403</v>
      </c>
      <c r="C1" s="36" t="s">
        <v>390</v>
      </c>
      <c r="D1" s="36" t="s">
        <v>391</v>
      </c>
      <c r="E1" s="36" t="s">
        <v>392</v>
      </c>
      <c r="F1" s="47" t="s">
        <v>404</v>
      </c>
      <c r="G1" s="47" t="s">
        <v>405</v>
      </c>
      <c r="H1" s="36" t="s">
        <v>406</v>
      </c>
      <c r="I1" s="36" t="s">
        <v>407</v>
      </c>
      <c r="J1" s="36" t="s">
        <v>408</v>
      </c>
      <c r="K1" s="48" t="s">
        <v>33</v>
      </c>
    </row>
    <row r="2" spans="1:11" ht="21" customHeight="1" x14ac:dyDescent="0.15">
      <c r="A2" s="179">
        <v>39014001</v>
      </c>
      <c r="B2" s="41">
        <v>1</v>
      </c>
      <c r="C2" s="41">
        <v>100</v>
      </c>
      <c r="D2" s="41">
        <v>100</v>
      </c>
      <c r="E2" s="41" t="s">
        <v>374</v>
      </c>
      <c r="F2" s="41" t="s">
        <v>374</v>
      </c>
      <c r="G2" s="41">
        <v>1</v>
      </c>
      <c r="H2" s="41" t="s">
        <v>374</v>
      </c>
      <c r="I2" s="41" t="s">
        <v>374</v>
      </c>
      <c r="J2" s="42">
        <f t="shared" ref="J2:J70" si="0">D2</f>
        <v>100</v>
      </c>
    </row>
    <row r="3" spans="1:11" ht="21" customHeight="1" x14ac:dyDescent="0.15">
      <c r="A3" s="179">
        <v>39014002</v>
      </c>
      <c r="B3" s="41">
        <v>1</v>
      </c>
      <c r="C3" s="41">
        <v>101</v>
      </c>
      <c r="D3" s="41">
        <v>100</v>
      </c>
      <c r="E3" s="41" t="s">
        <v>374</v>
      </c>
      <c r="F3" s="41" t="s">
        <v>374</v>
      </c>
      <c r="G3" s="41">
        <v>1</v>
      </c>
      <c r="H3" s="41" t="s">
        <v>374</v>
      </c>
      <c r="I3" s="41">
        <v>1561</v>
      </c>
      <c r="J3" s="42">
        <f t="shared" ref="J3" si="1">D3</f>
        <v>100</v>
      </c>
    </row>
    <row r="4" spans="1:11" ht="21" customHeight="1" x14ac:dyDescent="0.15">
      <c r="A4" s="179">
        <v>39014003</v>
      </c>
      <c r="B4" s="41">
        <v>1</v>
      </c>
      <c r="C4" s="41">
        <v>102</v>
      </c>
      <c r="D4" s="41">
        <v>100</v>
      </c>
      <c r="E4" s="41" t="s">
        <v>374</v>
      </c>
      <c r="F4" s="41" t="s">
        <v>374</v>
      </c>
      <c r="G4" s="41">
        <v>1</v>
      </c>
      <c r="H4" s="41" t="s">
        <v>374</v>
      </c>
      <c r="I4" s="41">
        <v>1562</v>
      </c>
      <c r="J4" s="42">
        <f t="shared" ref="J4" si="2">D4</f>
        <v>100</v>
      </c>
    </row>
    <row r="5" spans="1:11" ht="21" customHeight="1" x14ac:dyDescent="0.15">
      <c r="A5" s="179">
        <v>39014004</v>
      </c>
      <c r="B5" s="41">
        <v>0</v>
      </c>
      <c r="C5" s="41">
        <v>100</v>
      </c>
      <c r="D5" s="41">
        <v>100</v>
      </c>
      <c r="E5" s="41" t="s">
        <v>374</v>
      </c>
      <c r="F5" s="41" t="s">
        <v>374</v>
      </c>
      <c r="G5" s="41" t="s">
        <v>374</v>
      </c>
      <c r="H5" s="41">
        <v>1</v>
      </c>
      <c r="I5" s="41" t="s">
        <v>374</v>
      </c>
      <c r="J5" s="42">
        <f t="shared" si="0"/>
        <v>100</v>
      </c>
    </row>
    <row r="6" spans="1:11" ht="21" customHeight="1" x14ac:dyDescent="0.15">
      <c r="A6" s="179">
        <v>39014005</v>
      </c>
      <c r="B6" s="41">
        <v>0</v>
      </c>
      <c r="C6" s="41">
        <v>101</v>
      </c>
      <c r="D6" s="41">
        <v>100</v>
      </c>
      <c r="E6" s="41" t="s">
        <v>374</v>
      </c>
      <c r="F6" s="41" t="s">
        <v>374</v>
      </c>
      <c r="G6" s="41" t="s">
        <v>374</v>
      </c>
      <c r="H6" s="41">
        <v>2</v>
      </c>
      <c r="I6" s="41" t="s">
        <v>374</v>
      </c>
      <c r="J6" s="42">
        <f t="shared" ref="J6" si="3">D6</f>
        <v>100</v>
      </c>
    </row>
    <row r="7" spans="1:11" ht="21" customHeight="1" x14ac:dyDescent="0.15">
      <c r="A7" s="180">
        <v>39014006</v>
      </c>
      <c r="B7" s="41">
        <v>1</v>
      </c>
      <c r="C7" s="41">
        <v>100</v>
      </c>
      <c r="D7" s="41">
        <v>100</v>
      </c>
      <c r="E7" s="41" t="s">
        <v>374</v>
      </c>
      <c r="F7" s="41" t="s">
        <v>374</v>
      </c>
      <c r="G7" s="41">
        <v>1</v>
      </c>
      <c r="H7" s="41" t="s">
        <v>374</v>
      </c>
      <c r="I7" s="41" t="s">
        <v>374</v>
      </c>
      <c r="J7" s="42">
        <f t="shared" si="0"/>
        <v>100</v>
      </c>
    </row>
    <row r="8" spans="1:11" ht="21" customHeight="1" x14ac:dyDescent="0.15">
      <c r="A8" s="180">
        <v>39014007</v>
      </c>
      <c r="B8" s="41">
        <v>1</v>
      </c>
      <c r="C8" s="41">
        <v>101</v>
      </c>
      <c r="D8" s="41">
        <v>100</v>
      </c>
      <c r="E8" s="41" t="s">
        <v>374</v>
      </c>
      <c r="F8" s="41" t="s">
        <v>374</v>
      </c>
      <c r="G8" s="41">
        <v>1</v>
      </c>
      <c r="H8" s="41" t="s">
        <v>374</v>
      </c>
      <c r="I8" s="41">
        <v>1553</v>
      </c>
      <c r="J8" s="42">
        <f t="shared" ref="J8:J9" si="4">D8</f>
        <v>100</v>
      </c>
    </row>
    <row r="9" spans="1:11" ht="21" customHeight="1" x14ac:dyDescent="0.15">
      <c r="A9" s="180">
        <v>39014008</v>
      </c>
      <c r="B9" s="41">
        <v>1</v>
      </c>
      <c r="C9" s="41">
        <v>102</v>
      </c>
      <c r="D9" s="41">
        <v>100</v>
      </c>
      <c r="E9" s="41" t="s">
        <v>374</v>
      </c>
      <c r="F9" s="41" t="s">
        <v>374</v>
      </c>
      <c r="G9" s="41">
        <v>1</v>
      </c>
      <c r="H9" s="41" t="s">
        <v>374</v>
      </c>
      <c r="I9" s="41">
        <v>1554</v>
      </c>
      <c r="J9" s="42">
        <f t="shared" si="4"/>
        <v>100</v>
      </c>
    </row>
    <row r="10" spans="1:11" ht="21" customHeight="1" x14ac:dyDescent="0.15">
      <c r="A10" s="180">
        <v>39014009</v>
      </c>
      <c r="B10" s="41">
        <v>0</v>
      </c>
      <c r="C10" s="41">
        <v>100</v>
      </c>
      <c r="D10" s="41">
        <v>100</v>
      </c>
      <c r="E10" s="41" t="s">
        <v>374</v>
      </c>
      <c r="F10" s="41" t="s">
        <v>374</v>
      </c>
      <c r="G10" s="41" t="s">
        <v>374</v>
      </c>
      <c r="H10" s="41">
        <v>1</v>
      </c>
      <c r="I10" s="41" t="s">
        <v>374</v>
      </c>
      <c r="J10" s="42">
        <f t="shared" si="0"/>
        <v>100</v>
      </c>
    </row>
    <row r="11" spans="1:11" ht="21" customHeight="1" x14ac:dyDescent="0.15">
      <c r="A11" s="180">
        <v>39014010</v>
      </c>
      <c r="B11" s="41">
        <v>0</v>
      </c>
      <c r="C11" s="41">
        <v>101</v>
      </c>
      <c r="D11" s="41">
        <v>100</v>
      </c>
      <c r="E11" s="41" t="s">
        <v>374</v>
      </c>
      <c r="F11" s="41" t="s">
        <v>374</v>
      </c>
      <c r="G11" s="41" t="s">
        <v>374</v>
      </c>
      <c r="H11" s="41">
        <v>2</v>
      </c>
      <c r="I11" s="41" t="s">
        <v>374</v>
      </c>
      <c r="J11" s="42">
        <f t="shared" si="0"/>
        <v>100</v>
      </c>
    </row>
    <row r="12" spans="1:11" ht="21" customHeight="1" x14ac:dyDescent="0.15">
      <c r="A12" s="179">
        <v>39014011</v>
      </c>
      <c r="B12" s="41">
        <v>0</v>
      </c>
      <c r="C12" s="41" t="s">
        <v>540</v>
      </c>
      <c r="D12" s="41">
        <v>100</v>
      </c>
      <c r="E12" s="41" t="s">
        <v>374</v>
      </c>
      <c r="F12" s="41" t="s">
        <v>374</v>
      </c>
      <c r="G12" s="41">
        <v>1</v>
      </c>
      <c r="H12" s="41" t="s">
        <v>374</v>
      </c>
      <c r="I12" s="41">
        <v>0</v>
      </c>
      <c r="J12" s="42">
        <f t="shared" si="0"/>
        <v>100</v>
      </c>
    </row>
    <row r="13" spans="1:11" ht="21" customHeight="1" x14ac:dyDescent="0.15">
      <c r="A13" s="179">
        <v>39014012</v>
      </c>
      <c r="B13" s="41">
        <v>1</v>
      </c>
      <c r="C13" s="41">
        <v>503</v>
      </c>
      <c r="D13" s="41">
        <v>100</v>
      </c>
      <c r="E13" s="41" t="s">
        <v>374</v>
      </c>
      <c r="F13" s="41" t="s">
        <v>374</v>
      </c>
      <c r="G13" s="41">
        <v>1</v>
      </c>
      <c r="H13" s="41" t="s">
        <v>374</v>
      </c>
      <c r="I13" s="41">
        <v>1551</v>
      </c>
      <c r="J13" s="42">
        <f t="shared" si="0"/>
        <v>100</v>
      </c>
    </row>
    <row r="14" spans="1:11" ht="21" customHeight="1" x14ac:dyDescent="0.15">
      <c r="A14" s="179">
        <v>39014013</v>
      </c>
      <c r="B14" s="41">
        <v>1</v>
      </c>
      <c r="C14" s="41">
        <v>502</v>
      </c>
      <c r="D14" s="41">
        <v>100</v>
      </c>
      <c r="E14" s="41" t="s">
        <v>374</v>
      </c>
      <c r="F14" s="41" t="s">
        <v>374</v>
      </c>
      <c r="G14" s="41">
        <v>1</v>
      </c>
      <c r="H14" s="41" t="s">
        <v>374</v>
      </c>
      <c r="I14" s="41">
        <v>1552</v>
      </c>
      <c r="J14" s="42">
        <f t="shared" si="0"/>
        <v>100</v>
      </c>
    </row>
    <row r="15" spans="1:11" ht="21" customHeight="1" x14ac:dyDescent="0.15">
      <c r="A15" s="179">
        <v>39014014</v>
      </c>
      <c r="B15" s="41">
        <v>1</v>
      </c>
      <c r="C15" s="41">
        <v>501</v>
      </c>
      <c r="D15" s="41">
        <v>100</v>
      </c>
      <c r="E15" s="41" t="s">
        <v>374</v>
      </c>
      <c r="F15" s="41" t="s">
        <v>374</v>
      </c>
      <c r="G15" s="41">
        <v>1</v>
      </c>
      <c r="H15" s="41" t="s">
        <v>374</v>
      </c>
      <c r="I15" s="41">
        <v>1566</v>
      </c>
      <c r="J15" s="42">
        <f t="shared" si="0"/>
        <v>100</v>
      </c>
    </row>
    <row r="16" spans="1:11" ht="21" customHeight="1" x14ac:dyDescent="0.15">
      <c r="A16" s="179">
        <v>39014015</v>
      </c>
      <c r="B16" s="41">
        <v>1</v>
      </c>
      <c r="C16" s="41">
        <v>500</v>
      </c>
      <c r="D16" s="41">
        <v>100</v>
      </c>
      <c r="E16" s="41" t="s">
        <v>374</v>
      </c>
      <c r="F16" s="41" t="s">
        <v>374</v>
      </c>
      <c r="G16" s="41">
        <v>1</v>
      </c>
      <c r="H16" s="41" t="s">
        <v>374</v>
      </c>
      <c r="I16" s="41">
        <v>1567</v>
      </c>
      <c r="J16" s="42">
        <f t="shared" si="0"/>
        <v>100</v>
      </c>
    </row>
    <row r="17" spans="1:10" ht="21" customHeight="1" x14ac:dyDescent="0.15">
      <c r="A17" s="179">
        <v>39014016</v>
      </c>
      <c r="B17" s="41">
        <v>1</v>
      </c>
      <c r="C17" s="41">
        <v>403</v>
      </c>
      <c r="D17" s="41">
        <v>100</v>
      </c>
      <c r="E17" s="41" t="s">
        <v>374</v>
      </c>
      <c r="F17" s="41" t="s">
        <v>374</v>
      </c>
      <c r="G17" s="41">
        <v>1</v>
      </c>
      <c r="H17" s="41" t="s">
        <v>374</v>
      </c>
      <c r="I17" s="41">
        <v>1561</v>
      </c>
      <c r="J17" s="42">
        <f t="shared" si="0"/>
        <v>100</v>
      </c>
    </row>
    <row r="18" spans="1:10" ht="21" customHeight="1" x14ac:dyDescent="0.15">
      <c r="A18" s="179">
        <v>39014017</v>
      </c>
      <c r="B18" s="41">
        <v>1</v>
      </c>
      <c r="C18" s="41">
        <v>402</v>
      </c>
      <c r="D18" s="41">
        <v>100</v>
      </c>
      <c r="E18" s="41" t="s">
        <v>374</v>
      </c>
      <c r="F18" s="41" t="s">
        <v>374</v>
      </c>
      <c r="G18" s="41">
        <v>1</v>
      </c>
      <c r="H18" s="41" t="s">
        <v>374</v>
      </c>
      <c r="I18" s="41">
        <v>1562</v>
      </c>
      <c r="J18" s="42">
        <f t="shared" si="0"/>
        <v>100</v>
      </c>
    </row>
    <row r="19" spans="1:10" ht="21" customHeight="1" x14ac:dyDescent="0.15">
      <c r="A19" s="179">
        <v>39014018</v>
      </c>
      <c r="B19" s="41">
        <v>1</v>
      </c>
      <c r="C19" s="41">
        <v>401</v>
      </c>
      <c r="D19" s="41">
        <v>100</v>
      </c>
      <c r="E19" s="41" t="s">
        <v>374</v>
      </c>
      <c r="F19" s="41" t="s">
        <v>374</v>
      </c>
      <c r="G19" s="41">
        <v>1</v>
      </c>
      <c r="H19" s="41" t="s">
        <v>374</v>
      </c>
      <c r="I19" s="41">
        <v>1553</v>
      </c>
      <c r="J19" s="42">
        <f t="shared" si="0"/>
        <v>100</v>
      </c>
    </row>
    <row r="20" spans="1:10" ht="21" customHeight="1" x14ac:dyDescent="0.15">
      <c r="A20" s="179">
        <v>39014019</v>
      </c>
      <c r="B20" s="41">
        <v>1</v>
      </c>
      <c r="C20" s="41">
        <v>400</v>
      </c>
      <c r="D20" s="41">
        <v>100</v>
      </c>
      <c r="E20" s="41" t="s">
        <v>374</v>
      </c>
      <c r="F20" s="41" t="s">
        <v>374</v>
      </c>
      <c r="G20" s="41">
        <v>1</v>
      </c>
      <c r="H20" s="41" t="s">
        <v>374</v>
      </c>
      <c r="I20" s="41">
        <v>1554</v>
      </c>
      <c r="J20" s="42">
        <f t="shared" si="0"/>
        <v>100</v>
      </c>
    </row>
    <row r="21" spans="1:10" ht="21" customHeight="1" x14ac:dyDescent="0.15">
      <c r="A21" s="179">
        <v>39014020</v>
      </c>
      <c r="B21" s="41">
        <v>1</v>
      </c>
      <c r="C21" s="41">
        <v>302</v>
      </c>
      <c r="D21" s="41">
        <v>100</v>
      </c>
      <c r="E21" s="41" t="s">
        <v>374</v>
      </c>
      <c r="F21" s="41" t="s">
        <v>374</v>
      </c>
      <c r="G21" s="41">
        <v>1</v>
      </c>
      <c r="H21" s="41" t="s">
        <v>374</v>
      </c>
      <c r="I21" s="41">
        <v>1584</v>
      </c>
      <c r="J21" s="42">
        <f t="shared" si="0"/>
        <v>100</v>
      </c>
    </row>
    <row r="22" spans="1:10" ht="21" customHeight="1" x14ac:dyDescent="0.15">
      <c r="A22" s="179">
        <v>39014021</v>
      </c>
      <c r="B22" s="41">
        <v>1</v>
      </c>
      <c r="C22" s="41">
        <v>301</v>
      </c>
      <c r="D22" s="41">
        <v>100</v>
      </c>
      <c r="E22" s="41" t="s">
        <v>374</v>
      </c>
      <c r="F22" s="41" t="s">
        <v>374</v>
      </c>
      <c r="G22" s="41">
        <v>1</v>
      </c>
      <c r="H22" s="41" t="s">
        <v>374</v>
      </c>
      <c r="I22" s="41">
        <v>1585</v>
      </c>
      <c r="J22" s="42">
        <f t="shared" si="0"/>
        <v>100</v>
      </c>
    </row>
    <row r="23" spans="1:10" ht="21" customHeight="1" x14ac:dyDescent="0.15">
      <c r="A23" s="179">
        <v>39014022</v>
      </c>
      <c r="B23" s="41">
        <v>1</v>
      </c>
      <c r="C23" s="41">
        <v>300</v>
      </c>
      <c r="D23" s="41">
        <v>100</v>
      </c>
      <c r="E23" s="41" t="s">
        <v>374</v>
      </c>
      <c r="F23" s="41" t="s">
        <v>374</v>
      </c>
      <c r="G23" s="41">
        <v>1</v>
      </c>
      <c r="H23" s="41" t="s">
        <v>374</v>
      </c>
      <c r="I23" s="41">
        <v>1586</v>
      </c>
      <c r="J23" s="42">
        <f t="shared" si="0"/>
        <v>100</v>
      </c>
    </row>
    <row r="24" spans="1:10" ht="21" customHeight="1" x14ac:dyDescent="0.15">
      <c r="A24" s="179">
        <v>39014023</v>
      </c>
      <c r="B24" s="41">
        <v>1</v>
      </c>
      <c r="C24" s="41">
        <v>201</v>
      </c>
      <c r="D24" s="41">
        <v>100</v>
      </c>
      <c r="E24" s="41" t="s">
        <v>374</v>
      </c>
      <c r="F24" s="41" t="s">
        <v>374</v>
      </c>
      <c r="G24" s="41">
        <v>1</v>
      </c>
      <c r="H24" s="41" t="s">
        <v>374</v>
      </c>
      <c r="I24" s="41">
        <v>1579</v>
      </c>
      <c r="J24" s="42">
        <f t="shared" si="0"/>
        <v>100</v>
      </c>
    </row>
    <row r="25" spans="1:10" ht="21" customHeight="1" x14ac:dyDescent="0.15">
      <c r="A25" s="179">
        <v>39014024</v>
      </c>
      <c r="B25" s="41">
        <v>1</v>
      </c>
      <c r="C25" s="41">
        <v>200</v>
      </c>
      <c r="D25" s="41">
        <v>100</v>
      </c>
      <c r="E25" s="41" t="s">
        <v>374</v>
      </c>
      <c r="F25" s="41" t="s">
        <v>374</v>
      </c>
      <c r="G25" s="41">
        <v>1</v>
      </c>
      <c r="H25" s="41" t="s">
        <v>374</v>
      </c>
      <c r="I25" s="186">
        <v>1580</v>
      </c>
      <c r="J25" s="42">
        <f t="shared" si="0"/>
        <v>100</v>
      </c>
    </row>
    <row r="26" spans="1:10" ht="21" customHeight="1" x14ac:dyDescent="0.15">
      <c r="A26" s="179">
        <v>39014025</v>
      </c>
      <c r="B26" s="185">
        <v>0</v>
      </c>
      <c r="C26" s="41">
        <v>100</v>
      </c>
      <c r="D26" s="186">
        <v>100</v>
      </c>
      <c r="E26" s="186" t="s">
        <v>157</v>
      </c>
      <c r="F26" s="186" t="s">
        <v>157</v>
      </c>
      <c r="G26" s="41" t="s">
        <v>374</v>
      </c>
      <c r="H26" s="41">
        <v>1</v>
      </c>
      <c r="I26" s="41" t="s">
        <v>374</v>
      </c>
      <c r="J26" s="42">
        <f t="shared" si="0"/>
        <v>100</v>
      </c>
    </row>
    <row r="27" spans="1:10" ht="21" customHeight="1" x14ac:dyDescent="0.15">
      <c r="A27" s="179">
        <v>39014026</v>
      </c>
      <c r="B27" s="41">
        <v>0</v>
      </c>
      <c r="C27" s="41">
        <v>110</v>
      </c>
      <c r="D27" s="41">
        <v>100</v>
      </c>
      <c r="E27" s="41" t="s">
        <v>374</v>
      </c>
      <c r="F27" s="41" t="s">
        <v>374</v>
      </c>
      <c r="G27" s="41" t="s">
        <v>374</v>
      </c>
      <c r="H27" s="41">
        <v>2</v>
      </c>
      <c r="I27" s="41" t="s">
        <v>374</v>
      </c>
      <c r="J27" s="42">
        <f t="shared" si="0"/>
        <v>100</v>
      </c>
    </row>
    <row r="28" spans="1:10" ht="21" customHeight="1" x14ac:dyDescent="0.15">
      <c r="A28" s="179">
        <v>39014027</v>
      </c>
      <c r="B28" s="41">
        <v>0</v>
      </c>
      <c r="C28" s="41">
        <v>120</v>
      </c>
      <c r="D28" s="41">
        <v>100</v>
      </c>
      <c r="E28" s="41" t="s">
        <v>374</v>
      </c>
      <c r="F28" s="41" t="s">
        <v>374</v>
      </c>
      <c r="G28" s="41" t="s">
        <v>374</v>
      </c>
      <c r="H28" s="41">
        <v>3</v>
      </c>
      <c r="I28" s="41" t="s">
        <v>374</v>
      </c>
      <c r="J28" s="42">
        <f t="shared" si="0"/>
        <v>100</v>
      </c>
    </row>
    <row r="29" spans="1:10" ht="21" customHeight="1" x14ac:dyDescent="0.15">
      <c r="A29" s="179">
        <v>39014028</v>
      </c>
      <c r="B29" s="41">
        <v>0</v>
      </c>
      <c r="C29" s="41">
        <v>120</v>
      </c>
      <c r="D29" s="41">
        <v>100</v>
      </c>
      <c r="E29" s="41" t="s">
        <v>374</v>
      </c>
      <c r="F29" s="41" t="s">
        <v>374</v>
      </c>
      <c r="G29" s="41" t="s">
        <v>374</v>
      </c>
      <c r="H29" s="41">
        <v>3</v>
      </c>
      <c r="I29" s="41" t="s">
        <v>374</v>
      </c>
      <c r="J29" s="42">
        <f t="shared" si="0"/>
        <v>100</v>
      </c>
    </row>
    <row r="30" spans="1:10" ht="21" customHeight="1" x14ac:dyDescent="0.15">
      <c r="A30" s="179">
        <v>39014029</v>
      </c>
      <c r="B30" s="41">
        <v>0</v>
      </c>
      <c r="C30" s="41">
        <v>120</v>
      </c>
      <c r="D30" s="41">
        <v>100</v>
      </c>
      <c r="E30" s="41" t="s">
        <v>374</v>
      </c>
      <c r="F30" s="41" t="s">
        <v>374</v>
      </c>
      <c r="G30" s="41" t="s">
        <v>374</v>
      </c>
      <c r="H30" s="41">
        <v>3</v>
      </c>
      <c r="I30" s="41" t="s">
        <v>374</v>
      </c>
      <c r="J30" s="42">
        <f t="shared" si="0"/>
        <v>100</v>
      </c>
    </row>
    <row r="31" spans="1:10" ht="21" customHeight="1" x14ac:dyDescent="0.15">
      <c r="A31" s="179">
        <v>39014030</v>
      </c>
      <c r="B31" s="41">
        <v>0</v>
      </c>
      <c r="C31" s="41">
        <v>150</v>
      </c>
      <c r="D31" s="41">
        <v>100</v>
      </c>
      <c r="E31" s="41" t="s">
        <v>374</v>
      </c>
      <c r="F31" s="41" t="s">
        <v>374</v>
      </c>
      <c r="G31" s="41">
        <v>1</v>
      </c>
      <c r="H31" s="41">
        <v>4</v>
      </c>
      <c r="I31" s="41" t="s">
        <v>374</v>
      </c>
      <c r="J31" s="42">
        <f t="shared" si="0"/>
        <v>100</v>
      </c>
    </row>
    <row r="32" spans="1:10" ht="21" customHeight="1" x14ac:dyDescent="0.15">
      <c r="A32" s="179">
        <v>39014031</v>
      </c>
      <c r="B32" s="41">
        <v>0</v>
      </c>
      <c r="C32" s="41">
        <v>200</v>
      </c>
      <c r="D32" s="41">
        <v>100</v>
      </c>
      <c r="E32" s="41" t="s">
        <v>374</v>
      </c>
      <c r="F32" s="41" t="s">
        <v>374</v>
      </c>
      <c r="G32" s="41">
        <v>1</v>
      </c>
      <c r="H32" s="41">
        <v>5</v>
      </c>
      <c r="I32" s="41" t="s">
        <v>374</v>
      </c>
      <c r="J32" s="42">
        <f t="shared" si="0"/>
        <v>100</v>
      </c>
    </row>
    <row r="33" spans="1:10" ht="21" customHeight="1" x14ac:dyDescent="0.15">
      <c r="A33" s="179">
        <v>39014032</v>
      </c>
      <c r="B33" s="41">
        <v>0</v>
      </c>
      <c r="C33" s="41">
        <v>220</v>
      </c>
      <c r="D33" s="41">
        <v>100</v>
      </c>
      <c r="E33" s="41" t="s">
        <v>374</v>
      </c>
      <c r="F33" s="41" t="s">
        <v>374</v>
      </c>
      <c r="G33" s="41">
        <v>1</v>
      </c>
      <c r="H33" s="41">
        <v>9</v>
      </c>
      <c r="I33" s="41" t="s">
        <v>374</v>
      </c>
      <c r="J33" s="42">
        <f t="shared" si="0"/>
        <v>100</v>
      </c>
    </row>
    <row r="34" spans="1:10" ht="21" customHeight="1" x14ac:dyDescent="0.15">
      <c r="A34" s="179">
        <v>39014033</v>
      </c>
      <c r="B34" s="41">
        <v>0</v>
      </c>
      <c r="C34" s="41">
        <v>250</v>
      </c>
      <c r="D34" s="41">
        <v>100</v>
      </c>
      <c r="E34" s="41" t="s">
        <v>374</v>
      </c>
      <c r="F34" s="41" t="s">
        <v>374</v>
      </c>
      <c r="G34" s="41">
        <v>1</v>
      </c>
      <c r="H34" s="41">
        <v>10</v>
      </c>
      <c r="I34" s="41" t="s">
        <v>374</v>
      </c>
      <c r="J34" s="42">
        <f t="shared" si="0"/>
        <v>100</v>
      </c>
    </row>
    <row r="35" spans="1:10" ht="21" customHeight="1" x14ac:dyDescent="0.15">
      <c r="A35" s="179">
        <v>39014034</v>
      </c>
      <c r="B35" s="41">
        <v>0</v>
      </c>
      <c r="C35" s="41">
        <v>270</v>
      </c>
      <c r="D35" s="41">
        <v>100</v>
      </c>
      <c r="E35" s="41" t="s">
        <v>374</v>
      </c>
      <c r="F35" s="41" t="s">
        <v>374</v>
      </c>
      <c r="G35" s="41">
        <v>1</v>
      </c>
      <c r="H35" s="41">
        <v>14</v>
      </c>
      <c r="I35" s="41" t="s">
        <v>374</v>
      </c>
      <c r="J35" s="42">
        <f t="shared" si="0"/>
        <v>100</v>
      </c>
    </row>
    <row r="36" spans="1:10" ht="21" customHeight="1" x14ac:dyDescent="0.15">
      <c r="A36" s="179">
        <v>39014035</v>
      </c>
      <c r="B36" s="41">
        <v>0</v>
      </c>
      <c r="C36" s="41">
        <v>280</v>
      </c>
      <c r="D36" s="41">
        <v>100</v>
      </c>
      <c r="E36" s="41" t="s">
        <v>374</v>
      </c>
      <c r="F36" s="41" t="s">
        <v>374</v>
      </c>
      <c r="G36" s="41">
        <v>1</v>
      </c>
      <c r="H36" s="41">
        <v>15</v>
      </c>
      <c r="I36" s="41" t="s">
        <v>374</v>
      </c>
      <c r="J36" s="42">
        <f t="shared" si="0"/>
        <v>100</v>
      </c>
    </row>
    <row r="37" spans="1:10" ht="21" customHeight="1" x14ac:dyDescent="0.15">
      <c r="A37" s="179">
        <v>39014036</v>
      </c>
      <c r="B37" s="41">
        <v>0</v>
      </c>
      <c r="C37" s="41">
        <v>290</v>
      </c>
      <c r="D37" s="41">
        <v>100</v>
      </c>
      <c r="E37" s="41" t="s">
        <v>374</v>
      </c>
      <c r="F37" s="41" t="s">
        <v>374</v>
      </c>
      <c r="G37" s="41">
        <v>1</v>
      </c>
      <c r="H37" s="41">
        <v>19</v>
      </c>
      <c r="I37" s="41" t="s">
        <v>374</v>
      </c>
      <c r="J37" s="42">
        <f t="shared" si="0"/>
        <v>100</v>
      </c>
    </row>
    <row r="38" spans="1:10" ht="21" customHeight="1" x14ac:dyDescent="0.15">
      <c r="A38" s="179">
        <v>39014037</v>
      </c>
      <c r="B38" s="41">
        <v>0</v>
      </c>
      <c r="C38" s="41">
        <v>300</v>
      </c>
      <c r="D38" s="41">
        <v>100</v>
      </c>
      <c r="E38" s="41" t="s">
        <v>374</v>
      </c>
      <c r="F38" s="41" t="s">
        <v>374</v>
      </c>
      <c r="G38" s="41">
        <v>1</v>
      </c>
      <c r="H38" s="41">
        <v>20</v>
      </c>
      <c r="I38" s="41" t="s">
        <v>374</v>
      </c>
      <c r="J38" s="42">
        <f t="shared" si="0"/>
        <v>100</v>
      </c>
    </row>
    <row r="39" spans="1:10" ht="21" customHeight="1" x14ac:dyDescent="0.15">
      <c r="A39" s="181">
        <v>39014038</v>
      </c>
      <c r="B39" s="41">
        <v>1</v>
      </c>
      <c r="C39" s="41" t="s">
        <v>540</v>
      </c>
      <c r="D39" s="41">
        <v>100</v>
      </c>
      <c r="E39" s="41" t="s">
        <v>374</v>
      </c>
      <c r="F39" s="41" t="s">
        <v>374</v>
      </c>
      <c r="G39" s="41">
        <v>1</v>
      </c>
      <c r="H39" s="41" t="s">
        <v>374</v>
      </c>
      <c r="I39" s="41">
        <v>0</v>
      </c>
      <c r="J39" s="42">
        <f t="shared" si="0"/>
        <v>100</v>
      </c>
    </row>
    <row r="40" spans="1:10" ht="21" customHeight="1" x14ac:dyDescent="0.15">
      <c r="A40" s="181">
        <v>39014039</v>
      </c>
      <c r="B40" s="41">
        <v>1</v>
      </c>
      <c r="C40" s="41">
        <v>503</v>
      </c>
      <c r="D40" s="41">
        <v>100</v>
      </c>
      <c r="E40" s="41" t="s">
        <v>374</v>
      </c>
      <c r="F40" s="41" t="s">
        <v>374</v>
      </c>
      <c r="G40" s="41">
        <v>1</v>
      </c>
      <c r="H40" s="41" t="s">
        <v>374</v>
      </c>
      <c r="I40" s="41">
        <v>1551</v>
      </c>
      <c r="J40" s="42">
        <f t="shared" si="0"/>
        <v>100</v>
      </c>
    </row>
    <row r="41" spans="1:10" ht="21" customHeight="1" x14ac:dyDescent="0.15">
      <c r="A41" s="181">
        <v>39014040</v>
      </c>
      <c r="B41" s="41">
        <v>1</v>
      </c>
      <c r="C41" s="41">
        <v>502</v>
      </c>
      <c r="D41" s="41">
        <v>100</v>
      </c>
      <c r="E41" s="41" t="s">
        <v>374</v>
      </c>
      <c r="F41" s="41" t="s">
        <v>374</v>
      </c>
      <c r="G41" s="41">
        <v>1</v>
      </c>
      <c r="H41" s="41" t="s">
        <v>374</v>
      </c>
      <c r="I41" s="41">
        <v>1552</v>
      </c>
      <c r="J41" s="42">
        <f t="shared" si="0"/>
        <v>100</v>
      </c>
    </row>
    <row r="42" spans="1:10" ht="21" customHeight="1" x14ac:dyDescent="0.15">
      <c r="A42" s="181">
        <v>39014041</v>
      </c>
      <c r="B42" s="41">
        <v>1</v>
      </c>
      <c r="C42" s="41">
        <v>501</v>
      </c>
      <c r="D42" s="41">
        <v>100</v>
      </c>
      <c r="E42" s="41" t="s">
        <v>374</v>
      </c>
      <c r="F42" s="41" t="s">
        <v>374</v>
      </c>
      <c r="G42" s="41">
        <v>1</v>
      </c>
      <c r="H42" s="41" t="s">
        <v>374</v>
      </c>
      <c r="I42" s="41">
        <v>1566</v>
      </c>
      <c r="J42" s="42">
        <f t="shared" si="0"/>
        <v>100</v>
      </c>
    </row>
    <row r="43" spans="1:10" ht="21" customHeight="1" x14ac:dyDescent="0.15">
      <c r="A43" s="181">
        <v>39014042</v>
      </c>
      <c r="B43" s="41">
        <v>1</v>
      </c>
      <c r="C43" s="41">
        <v>500</v>
      </c>
      <c r="D43" s="41">
        <v>100</v>
      </c>
      <c r="E43" s="41" t="s">
        <v>374</v>
      </c>
      <c r="F43" s="41" t="s">
        <v>374</v>
      </c>
      <c r="G43" s="41">
        <v>1</v>
      </c>
      <c r="H43" s="41" t="s">
        <v>374</v>
      </c>
      <c r="I43" s="41">
        <v>1567</v>
      </c>
      <c r="J43" s="42">
        <f t="shared" si="0"/>
        <v>100</v>
      </c>
    </row>
    <row r="44" spans="1:10" ht="21" customHeight="1" x14ac:dyDescent="0.15">
      <c r="A44" s="181">
        <v>39014043</v>
      </c>
      <c r="B44" s="41">
        <v>1</v>
      </c>
      <c r="C44" s="41">
        <v>403</v>
      </c>
      <c r="D44" s="41">
        <v>100</v>
      </c>
      <c r="E44" s="41" t="s">
        <v>374</v>
      </c>
      <c r="F44" s="41" t="s">
        <v>374</v>
      </c>
      <c r="G44" s="41">
        <v>1</v>
      </c>
      <c r="H44" s="41" t="s">
        <v>374</v>
      </c>
      <c r="I44" s="41">
        <v>1561</v>
      </c>
      <c r="J44" s="42">
        <f t="shared" si="0"/>
        <v>100</v>
      </c>
    </row>
    <row r="45" spans="1:10" ht="21" customHeight="1" x14ac:dyDescent="0.15">
      <c r="A45" s="181">
        <v>39014044</v>
      </c>
      <c r="B45" s="41">
        <v>1</v>
      </c>
      <c r="C45" s="41">
        <v>402</v>
      </c>
      <c r="D45" s="41">
        <v>100</v>
      </c>
      <c r="E45" s="41" t="s">
        <v>374</v>
      </c>
      <c r="F45" s="41" t="s">
        <v>374</v>
      </c>
      <c r="G45" s="41">
        <v>1</v>
      </c>
      <c r="H45" s="41" t="s">
        <v>374</v>
      </c>
      <c r="I45" s="41">
        <v>1562</v>
      </c>
      <c r="J45" s="42">
        <f t="shared" si="0"/>
        <v>100</v>
      </c>
    </row>
    <row r="46" spans="1:10" ht="21" customHeight="1" x14ac:dyDescent="0.15">
      <c r="A46" s="181">
        <v>39014045</v>
      </c>
      <c r="B46" s="41">
        <v>1</v>
      </c>
      <c r="C46" s="41">
        <v>401</v>
      </c>
      <c r="D46" s="41">
        <v>100</v>
      </c>
      <c r="E46" s="41" t="s">
        <v>374</v>
      </c>
      <c r="F46" s="41" t="s">
        <v>374</v>
      </c>
      <c r="G46" s="41">
        <v>1</v>
      </c>
      <c r="H46" s="41" t="s">
        <v>374</v>
      </c>
      <c r="I46" s="41">
        <v>1553</v>
      </c>
      <c r="J46" s="42">
        <f t="shared" si="0"/>
        <v>100</v>
      </c>
    </row>
    <row r="47" spans="1:10" ht="21" customHeight="1" x14ac:dyDescent="0.15">
      <c r="A47" s="181">
        <v>39014046</v>
      </c>
      <c r="B47" s="41">
        <v>1</v>
      </c>
      <c r="C47" s="41">
        <v>400</v>
      </c>
      <c r="D47" s="41">
        <v>100</v>
      </c>
      <c r="E47" s="41" t="s">
        <v>374</v>
      </c>
      <c r="F47" s="41" t="s">
        <v>374</v>
      </c>
      <c r="G47" s="41">
        <v>1</v>
      </c>
      <c r="H47" s="41" t="s">
        <v>374</v>
      </c>
      <c r="I47" s="41">
        <v>1554</v>
      </c>
      <c r="J47" s="42">
        <f t="shared" si="0"/>
        <v>100</v>
      </c>
    </row>
    <row r="48" spans="1:10" ht="21" customHeight="1" x14ac:dyDescent="0.15">
      <c r="A48" s="181">
        <v>39014047</v>
      </c>
      <c r="B48" s="41">
        <v>1</v>
      </c>
      <c r="C48" s="41">
        <v>302</v>
      </c>
      <c r="D48" s="41">
        <v>100</v>
      </c>
      <c r="E48" s="41" t="s">
        <v>374</v>
      </c>
      <c r="F48" s="41" t="s">
        <v>374</v>
      </c>
      <c r="G48" s="41">
        <v>1</v>
      </c>
      <c r="H48" s="41" t="s">
        <v>374</v>
      </c>
      <c r="I48" s="41">
        <v>1584</v>
      </c>
      <c r="J48" s="42">
        <f t="shared" si="0"/>
        <v>100</v>
      </c>
    </row>
    <row r="49" spans="1:10" ht="21" customHeight="1" x14ac:dyDescent="0.15">
      <c r="A49" s="181">
        <v>39014048</v>
      </c>
      <c r="B49" s="41">
        <v>1</v>
      </c>
      <c r="C49" s="41">
        <v>301</v>
      </c>
      <c r="D49" s="41">
        <v>100</v>
      </c>
      <c r="E49" s="41" t="s">
        <v>374</v>
      </c>
      <c r="F49" s="41" t="s">
        <v>374</v>
      </c>
      <c r="G49" s="41">
        <v>1</v>
      </c>
      <c r="H49" s="41" t="s">
        <v>374</v>
      </c>
      <c r="I49" s="41">
        <v>1585</v>
      </c>
      <c r="J49" s="42">
        <f t="shared" si="0"/>
        <v>100</v>
      </c>
    </row>
    <row r="50" spans="1:10" ht="21" customHeight="1" x14ac:dyDescent="0.15">
      <c r="A50" s="181">
        <v>39014049</v>
      </c>
      <c r="B50" s="41">
        <v>1</v>
      </c>
      <c r="C50" s="41">
        <v>300</v>
      </c>
      <c r="D50" s="41">
        <v>100</v>
      </c>
      <c r="E50" s="41" t="s">
        <v>374</v>
      </c>
      <c r="F50" s="41" t="s">
        <v>374</v>
      </c>
      <c r="G50" s="41">
        <v>1</v>
      </c>
      <c r="H50" s="41" t="s">
        <v>374</v>
      </c>
      <c r="I50" s="41">
        <v>1586</v>
      </c>
      <c r="J50" s="42">
        <f t="shared" si="0"/>
        <v>100</v>
      </c>
    </row>
    <row r="51" spans="1:10" ht="21" customHeight="1" x14ac:dyDescent="0.15">
      <c r="A51" s="181">
        <v>39014050</v>
      </c>
      <c r="B51" s="41">
        <v>1</v>
      </c>
      <c r="C51" s="41">
        <v>201</v>
      </c>
      <c r="D51" s="41">
        <v>100</v>
      </c>
      <c r="E51" s="41" t="s">
        <v>374</v>
      </c>
      <c r="F51" s="41" t="s">
        <v>374</v>
      </c>
      <c r="G51" s="41">
        <v>1</v>
      </c>
      <c r="H51" s="41" t="s">
        <v>374</v>
      </c>
      <c r="I51" s="41">
        <v>1579</v>
      </c>
      <c r="J51" s="42">
        <f t="shared" si="0"/>
        <v>100</v>
      </c>
    </row>
    <row r="52" spans="1:10" ht="21" customHeight="1" x14ac:dyDescent="0.15">
      <c r="A52" s="181">
        <v>39014051</v>
      </c>
      <c r="B52" s="41">
        <v>1</v>
      </c>
      <c r="C52" s="41">
        <v>200</v>
      </c>
      <c r="D52" s="41">
        <v>100</v>
      </c>
      <c r="E52" s="41" t="s">
        <v>374</v>
      </c>
      <c r="F52" s="41" t="s">
        <v>374</v>
      </c>
      <c r="G52" s="41">
        <v>1</v>
      </c>
      <c r="H52" s="41" t="s">
        <v>374</v>
      </c>
      <c r="I52" s="186">
        <v>1580</v>
      </c>
      <c r="J52" s="42">
        <f t="shared" si="0"/>
        <v>100</v>
      </c>
    </row>
    <row r="53" spans="1:10" ht="21" customHeight="1" x14ac:dyDescent="0.15">
      <c r="A53" s="181">
        <v>39014052</v>
      </c>
      <c r="B53" s="41">
        <v>0</v>
      </c>
      <c r="C53" s="41">
        <v>120</v>
      </c>
      <c r="D53" s="41">
        <v>100</v>
      </c>
      <c r="E53" s="41" t="s">
        <v>374</v>
      </c>
      <c r="F53" s="41" t="s">
        <v>374</v>
      </c>
      <c r="G53" s="41" t="s">
        <v>374</v>
      </c>
      <c r="H53" s="41">
        <v>1</v>
      </c>
      <c r="I53" s="41" t="s">
        <v>374</v>
      </c>
      <c r="J53" s="42">
        <f t="shared" si="0"/>
        <v>100</v>
      </c>
    </row>
    <row r="54" spans="1:10" ht="21" customHeight="1" x14ac:dyDescent="0.15">
      <c r="A54" s="181">
        <v>39014053</v>
      </c>
      <c r="B54" s="41">
        <v>0</v>
      </c>
      <c r="C54" s="41">
        <v>120</v>
      </c>
      <c r="D54" s="41">
        <v>100</v>
      </c>
      <c r="E54" s="41" t="s">
        <v>374</v>
      </c>
      <c r="F54" s="41" t="s">
        <v>374</v>
      </c>
      <c r="G54" s="41" t="s">
        <v>374</v>
      </c>
      <c r="H54" s="41">
        <v>1</v>
      </c>
      <c r="I54" s="41" t="s">
        <v>374</v>
      </c>
      <c r="J54" s="42">
        <f t="shared" si="0"/>
        <v>100</v>
      </c>
    </row>
    <row r="55" spans="1:10" ht="21" customHeight="1" x14ac:dyDescent="0.15">
      <c r="A55" s="181">
        <v>39014054</v>
      </c>
      <c r="B55" s="41">
        <v>0</v>
      </c>
      <c r="C55" s="41">
        <v>120</v>
      </c>
      <c r="D55" s="41">
        <v>100</v>
      </c>
      <c r="E55" s="41" t="s">
        <v>374</v>
      </c>
      <c r="F55" s="41" t="s">
        <v>374</v>
      </c>
      <c r="G55" s="41" t="s">
        <v>374</v>
      </c>
      <c r="H55" s="41">
        <v>1</v>
      </c>
      <c r="I55" s="41" t="s">
        <v>374</v>
      </c>
      <c r="J55" s="42">
        <f t="shared" si="0"/>
        <v>100</v>
      </c>
    </row>
    <row r="56" spans="1:10" ht="21" customHeight="1" x14ac:dyDescent="0.15">
      <c r="A56" s="181">
        <v>39014055</v>
      </c>
      <c r="B56" s="41">
        <v>0</v>
      </c>
      <c r="C56" s="41">
        <v>150</v>
      </c>
      <c r="D56" s="41">
        <v>100</v>
      </c>
      <c r="E56" s="41" t="s">
        <v>374</v>
      </c>
      <c r="F56" s="41" t="s">
        <v>374</v>
      </c>
      <c r="G56" s="41" t="s">
        <v>374</v>
      </c>
      <c r="H56" s="41">
        <v>2</v>
      </c>
      <c r="I56" s="41" t="s">
        <v>374</v>
      </c>
      <c r="J56" s="42">
        <f t="shared" si="0"/>
        <v>100</v>
      </c>
    </row>
    <row r="57" spans="1:10" ht="21" customHeight="1" x14ac:dyDescent="0.15">
      <c r="A57" s="181">
        <v>39014056</v>
      </c>
      <c r="B57" s="41">
        <v>0</v>
      </c>
      <c r="C57" s="41">
        <v>200</v>
      </c>
      <c r="D57" s="41">
        <v>100</v>
      </c>
      <c r="E57" s="41" t="s">
        <v>374</v>
      </c>
      <c r="F57" s="41" t="s">
        <v>374</v>
      </c>
      <c r="G57" s="41" t="s">
        <v>374</v>
      </c>
      <c r="H57" s="41">
        <v>3</v>
      </c>
      <c r="I57" s="41" t="s">
        <v>374</v>
      </c>
      <c r="J57" s="42">
        <f t="shared" si="0"/>
        <v>100</v>
      </c>
    </row>
    <row r="58" spans="1:10" ht="21" customHeight="1" x14ac:dyDescent="0.15">
      <c r="A58" s="182">
        <v>39014057</v>
      </c>
      <c r="B58" s="41">
        <v>1</v>
      </c>
      <c r="C58" s="41">
        <v>100</v>
      </c>
      <c r="D58" s="41">
        <v>100</v>
      </c>
      <c r="E58" s="41" t="s">
        <v>374</v>
      </c>
      <c r="F58" s="41" t="s">
        <v>374</v>
      </c>
      <c r="G58" s="41">
        <v>1</v>
      </c>
      <c r="H58" s="41" t="s">
        <v>374</v>
      </c>
      <c r="I58" s="41">
        <v>0</v>
      </c>
      <c r="J58" s="42">
        <f t="shared" si="0"/>
        <v>100</v>
      </c>
    </row>
    <row r="59" spans="1:10" ht="21" customHeight="1" x14ac:dyDescent="0.15">
      <c r="A59" s="182">
        <v>39014058</v>
      </c>
      <c r="B59" s="41">
        <v>1</v>
      </c>
      <c r="C59" s="41">
        <v>503</v>
      </c>
      <c r="D59" s="41">
        <v>100</v>
      </c>
      <c r="E59" s="41" t="s">
        <v>374</v>
      </c>
      <c r="F59" s="41" t="s">
        <v>374</v>
      </c>
      <c r="G59" s="41">
        <v>1</v>
      </c>
      <c r="H59" s="41" t="s">
        <v>374</v>
      </c>
      <c r="I59" s="41">
        <v>1551</v>
      </c>
      <c r="J59" s="42">
        <f t="shared" si="0"/>
        <v>100</v>
      </c>
    </row>
    <row r="60" spans="1:10" ht="21" customHeight="1" x14ac:dyDescent="0.15">
      <c r="A60" s="182">
        <v>39014059</v>
      </c>
      <c r="B60" s="41">
        <v>1</v>
      </c>
      <c r="C60" s="41">
        <v>502</v>
      </c>
      <c r="D60" s="41">
        <v>100</v>
      </c>
      <c r="E60" s="41" t="s">
        <v>374</v>
      </c>
      <c r="F60" s="41" t="s">
        <v>374</v>
      </c>
      <c r="G60" s="41">
        <v>1</v>
      </c>
      <c r="H60" s="41" t="s">
        <v>374</v>
      </c>
      <c r="I60" s="41">
        <v>1552</v>
      </c>
      <c r="J60" s="42">
        <f t="shared" si="0"/>
        <v>100</v>
      </c>
    </row>
    <row r="61" spans="1:10" ht="21" customHeight="1" x14ac:dyDescent="0.15">
      <c r="A61" s="182">
        <v>39014060</v>
      </c>
      <c r="B61" s="41">
        <v>1</v>
      </c>
      <c r="C61" s="41">
        <v>501</v>
      </c>
      <c r="D61" s="41">
        <v>100</v>
      </c>
      <c r="E61" s="41" t="s">
        <v>374</v>
      </c>
      <c r="F61" s="41" t="s">
        <v>374</v>
      </c>
      <c r="G61" s="41">
        <v>1</v>
      </c>
      <c r="H61" s="41" t="s">
        <v>374</v>
      </c>
      <c r="I61" s="41">
        <v>1566</v>
      </c>
      <c r="J61" s="42">
        <f t="shared" si="0"/>
        <v>100</v>
      </c>
    </row>
    <row r="62" spans="1:10" ht="21" customHeight="1" x14ac:dyDescent="0.15">
      <c r="A62" s="182">
        <v>39014061</v>
      </c>
      <c r="B62" s="41">
        <v>1</v>
      </c>
      <c r="C62" s="41">
        <v>500</v>
      </c>
      <c r="D62" s="41">
        <v>100</v>
      </c>
      <c r="E62" s="41" t="s">
        <v>374</v>
      </c>
      <c r="F62" s="41" t="s">
        <v>374</v>
      </c>
      <c r="G62" s="41">
        <v>1</v>
      </c>
      <c r="H62" s="41" t="s">
        <v>374</v>
      </c>
      <c r="I62" s="41">
        <v>1567</v>
      </c>
      <c r="J62" s="42">
        <f t="shared" si="0"/>
        <v>100</v>
      </c>
    </row>
    <row r="63" spans="1:10" ht="21" customHeight="1" x14ac:dyDescent="0.15">
      <c r="A63" s="182">
        <v>39014062</v>
      </c>
      <c r="B63" s="41">
        <v>1</v>
      </c>
      <c r="C63" s="41">
        <v>403</v>
      </c>
      <c r="D63" s="41">
        <v>100</v>
      </c>
      <c r="E63" s="41" t="s">
        <v>374</v>
      </c>
      <c r="F63" s="41" t="s">
        <v>374</v>
      </c>
      <c r="G63" s="41">
        <v>1</v>
      </c>
      <c r="H63" s="41" t="s">
        <v>374</v>
      </c>
      <c r="I63" s="41">
        <v>1561</v>
      </c>
      <c r="J63" s="42">
        <f t="shared" si="0"/>
        <v>100</v>
      </c>
    </row>
    <row r="64" spans="1:10" ht="21" customHeight="1" x14ac:dyDescent="0.15">
      <c r="A64" s="182">
        <v>39014063</v>
      </c>
      <c r="B64" s="41">
        <v>1</v>
      </c>
      <c r="C64" s="41">
        <v>402</v>
      </c>
      <c r="D64" s="41">
        <v>100</v>
      </c>
      <c r="E64" s="41" t="s">
        <v>374</v>
      </c>
      <c r="F64" s="41" t="s">
        <v>374</v>
      </c>
      <c r="G64" s="41">
        <v>1</v>
      </c>
      <c r="H64" s="41" t="s">
        <v>374</v>
      </c>
      <c r="I64" s="41">
        <v>1562</v>
      </c>
      <c r="J64" s="42">
        <f t="shared" si="0"/>
        <v>100</v>
      </c>
    </row>
    <row r="65" spans="1:10" ht="21" customHeight="1" x14ac:dyDescent="0.15">
      <c r="A65" s="182">
        <v>39014064</v>
      </c>
      <c r="B65" s="41">
        <v>1</v>
      </c>
      <c r="C65" s="41">
        <v>401</v>
      </c>
      <c r="D65" s="41">
        <v>100</v>
      </c>
      <c r="E65" s="41" t="s">
        <v>374</v>
      </c>
      <c r="F65" s="41" t="s">
        <v>374</v>
      </c>
      <c r="G65" s="41">
        <v>1</v>
      </c>
      <c r="H65" s="41" t="s">
        <v>374</v>
      </c>
      <c r="I65" s="41">
        <v>1553</v>
      </c>
      <c r="J65" s="42">
        <f t="shared" si="0"/>
        <v>100</v>
      </c>
    </row>
    <row r="66" spans="1:10" ht="21" customHeight="1" x14ac:dyDescent="0.15">
      <c r="A66" s="182">
        <v>39014065</v>
      </c>
      <c r="B66" s="41">
        <v>1</v>
      </c>
      <c r="C66" s="41">
        <v>400</v>
      </c>
      <c r="D66" s="41">
        <v>100</v>
      </c>
      <c r="E66" s="41" t="s">
        <v>374</v>
      </c>
      <c r="F66" s="41" t="s">
        <v>374</v>
      </c>
      <c r="G66" s="41">
        <v>1</v>
      </c>
      <c r="H66" s="41" t="s">
        <v>374</v>
      </c>
      <c r="I66" s="41">
        <v>1554</v>
      </c>
      <c r="J66" s="42">
        <f t="shared" si="0"/>
        <v>100</v>
      </c>
    </row>
    <row r="67" spans="1:10" ht="21" customHeight="1" x14ac:dyDescent="0.15">
      <c r="A67" s="182">
        <v>39014066</v>
      </c>
      <c r="B67" s="41">
        <v>1</v>
      </c>
      <c r="C67" s="41">
        <v>302</v>
      </c>
      <c r="D67" s="41">
        <v>100</v>
      </c>
      <c r="E67" s="41" t="s">
        <v>374</v>
      </c>
      <c r="F67" s="41" t="s">
        <v>374</v>
      </c>
      <c r="G67" s="41">
        <v>1</v>
      </c>
      <c r="H67" s="41" t="s">
        <v>374</v>
      </c>
      <c r="I67" s="41">
        <v>1584</v>
      </c>
      <c r="J67" s="42">
        <f t="shared" si="0"/>
        <v>100</v>
      </c>
    </row>
    <row r="68" spans="1:10" ht="21" customHeight="1" x14ac:dyDescent="0.15">
      <c r="A68" s="182">
        <v>39014067</v>
      </c>
      <c r="B68" s="41">
        <v>1</v>
      </c>
      <c r="C68" s="41">
        <v>301</v>
      </c>
      <c r="D68" s="41">
        <v>100</v>
      </c>
      <c r="E68" s="41" t="s">
        <v>374</v>
      </c>
      <c r="F68" s="41" t="s">
        <v>374</v>
      </c>
      <c r="G68" s="41">
        <v>1</v>
      </c>
      <c r="H68" s="41" t="s">
        <v>374</v>
      </c>
      <c r="I68" s="41">
        <v>1585</v>
      </c>
      <c r="J68" s="42">
        <f t="shared" si="0"/>
        <v>100</v>
      </c>
    </row>
    <row r="69" spans="1:10" ht="21" customHeight="1" x14ac:dyDescent="0.15">
      <c r="A69" s="182">
        <v>39014068</v>
      </c>
      <c r="B69" s="41">
        <v>1</v>
      </c>
      <c r="C69" s="41">
        <v>300</v>
      </c>
      <c r="D69" s="41">
        <v>100</v>
      </c>
      <c r="E69" s="41" t="s">
        <v>374</v>
      </c>
      <c r="F69" s="41" t="s">
        <v>374</v>
      </c>
      <c r="G69" s="41">
        <v>1</v>
      </c>
      <c r="H69" s="41" t="s">
        <v>374</v>
      </c>
      <c r="I69" s="41">
        <v>1586</v>
      </c>
      <c r="J69" s="42">
        <f t="shared" si="0"/>
        <v>100</v>
      </c>
    </row>
    <row r="70" spans="1:10" ht="21" customHeight="1" x14ac:dyDescent="0.15">
      <c r="A70" s="182">
        <v>39014069</v>
      </c>
      <c r="B70" s="41">
        <v>1</v>
      </c>
      <c r="C70" s="41">
        <v>201</v>
      </c>
      <c r="D70" s="41">
        <v>100</v>
      </c>
      <c r="E70" s="41" t="s">
        <v>374</v>
      </c>
      <c r="F70" s="41" t="s">
        <v>374</v>
      </c>
      <c r="G70" s="41">
        <v>1</v>
      </c>
      <c r="H70" s="41" t="s">
        <v>374</v>
      </c>
      <c r="I70" s="41">
        <v>1579</v>
      </c>
      <c r="J70" s="42">
        <f t="shared" si="0"/>
        <v>100</v>
      </c>
    </row>
    <row r="71" spans="1:10" ht="21" customHeight="1" x14ac:dyDescent="0.15">
      <c r="A71" s="182">
        <v>39014070</v>
      </c>
      <c r="B71" s="41">
        <v>1</v>
      </c>
      <c r="C71" s="41">
        <v>200</v>
      </c>
      <c r="D71" s="41">
        <v>100</v>
      </c>
      <c r="E71" s="41" t="s">
        <v>374</v>
      </c>
      <c r="F71" s="41" t="s">
        <v>374</v>
      </c>
      <c r="G71" s="41">
        <v>1</v>
      </c>
      <c r="H71" s="41" t="s">
        <v>374</v>
      </c>
      <c r="I71" s="186">
        <v>1580</v>
      </c>
      <c r="J71" s="42">
        <f t="shared" ref="J71:J99" si="5">D71</f>
        <v>100</v>
      </c>
    </row>
    <row r="72" spans="1:10" ht="21" customHeight="1" x14ac:dyDescent="0.15">
      <c r="A72" s="182">
        <v>39014071</v>
      </c>
      <c r="B72" s="41">
        <v>0</v>
      </c>
      <c r="C72" s="41">
        <v>101</v>
      </c>
      <c r="D72" s="41">
        <v>100</v>
      </c>
      <c r="E72" s="41" t="s">
        <v>374</v>
      </c>
      <c r="F72" s="41" t="s">
        <v>374</v>
      </c>
      <c r="G72" s="41" t="s">
        <v>374</v>
      </c>
      <c r="H72" s="41">
        <v>1</v>
      </c>
      <c r="I72" s="41" t="s">
        <v>374</v>
      </c>
      <c r="J72" s="42">
        <f t="shared" si="5"/>
        <v>100</v>
      </c>
    </row>
    <row r="73" spans="1:10" ht="21" customHeight="1" x14ac:dyDescent="0.15">
      <c r="A73" s="182">
        <v>39014072</v>
      </c>
      <c r="B73" s="41">
        <v>0</v>
      </c>
      <c r="C73" s="41">
        <v>110</v>
      </c>
      <c r="D73" s="41">
        <v>100</v>
      </c>
      <c r="E73" s="41" t="s">
        <v>374</v>
      </c>
      <c r="F73" s="41" t="s">
        <v>374</v>
      </c>
      <c r="G73" s="41" t="s">
        <v>374</v>
      </c>
      <c r="H73" s="41">
        <v>2</v>
      </c>
      <c r="I73" s="41" t="s">
        <v>374</v>
      </c>
      <c r="J73" s="42">
        <f t="shared" si="5"/>
        <v>100</v>
      </c>
    </row>
    <row r="74" spans="1:10" ht="21" customHeight="1" x14ac:dyDescent="0.15">
      <c r="A74" s="182">
        <v>39014073</v>
      </c>
      <c r="B74" s="41">
        <v>0</v>
      </c>
      <c r="C74" s="41">
        <v>120</v>
      </c>
      <c r="D74" s="41">
        <v>100</v>
      </c>
      <c r="E74" s="41" t="s">
        <v>374</v>
      </c>
      <c r="F74" s="41" t="s">
        <v>374</v>
      </c>
      <c r="G74" s="41" t="s">
        <v>374</v>
      </c>
      <c r="H74" s="41">
        <v>3</v>
      </c>
      <c r="I74" s="41" t="s">
        <v>374</v>
      </c>
      <c r="J74" s="42">
        <f t="shared" si="5"/>
        <v>100</v>
      </c>
    </row>
    <row r="75" spans="1:10" ht="21" customHeight="1" x14ac:dyDescent="0.15">
      <c r="A75" s="182">
        <v>39014074</v>
      </c>
      <c r="B75" s="41">
        <v>0</v>
      </c>
      <c r="C75" s="41">
        <v>120</v>
      </c>
      <c r="D75" s="41">
        <v>100</v>
      </c>
      <c r="E75" s="41" t="s">
        <v>374</v>
      </c>
      <c r="F75" s="41" t="s">
        <v>374</v>
      </c>
      <c r="G75" s="41" t="s">
        <v>374</v>
      </c>
      <c r="H75" s="41">
        <v>3</v>
      </c>
      <c r="I75" s="41" t="s">
        <v>374</v>
      </c>
      <c r="J75" s="42">
        <f t="shared" si="5"/>
        <v>100</v>
      </c>
    </row>
    <row r="76" spans="1:10" ht="21" customHeight="1" x14ac:dyDescent="0.15">
      <c r="A76" s="182">
        <v>39014075</v>
      </c>
      <c r="B76" s="41">
        <v>0</v>
      </c>
      <c r="C76" s="41">
        <v>120</v>
      </c>
      <c r="D76" s="41">
        <v>100</v>
      </c>
      <c r="E76" s="41" t="s">
        <v>374</v>
      </c>
      <c r="F76" s="41" t="s">
        <v>374</v>
      </c>
      <c r="G76" s="41" t="s">
        <v>374</v>
      </c>
      <c r="H76" s="41">
        <v>3</v>
      </c>
      <c r="I76" s="41" t="s">
        <v>374</v>
      </c>
      <c r="J76" s="42">
        <f t="shared" si="5"/>
        <v>100</v>
      </c>
    </row>
    <row r="77" spans="1:10" ht="21" customHeight="1" x14ac:dyDescent="0.15">
      <c r="A77" s="182">
        <v>39014076</v>
      </c>
      <c r="B77" s="41">
        <v>0</v>
      </c>
      <c r="C77" s="41">
        <v>150</v>
      </c>
      <c r="D77" s="41">
        <v>100</v>
      </c>
      <c r="E77" s="41" t="s">
        <v>374</v>
      </c>
      <c r="F77" s="41" t="s">
        <v>374</v>
      </c>
      <c r="G77" s="41">
        <v>1</v>
      </c>
      <c r="H77" s="41">
        <v>4</v>
      </c>
      <c r="I77" s="41" t="s">
        <v>374</v>
      </c>
      <c r="J77" s="42">
        <f t="shared" si="5"/>
        <v>100</v>
      </c>
    </row>
    <row r="78" spans="1:10" ht="21" customHeight="1" x14ac:dyDescent="0.15">
      <c r="A78" s="182">
        <v>39014077</v>
      </c>
      <c r="B78" s="41">
        <v>0</v>
      </c>
      <c r="C78" s="41">
        <v>200</v>
      </c>
      <c r="D78" s="41">
        <v>100</v>
      </c>
      <c r="E78" s="41" t="s">
        <v>374</v>
      </c>
      <c r="F78" s="41" t="s">
        <v>374</v>
      </c>
      <c r="G78" s="41">
        <v>1</v>
      </c>
      <c r="H78" s="41">
        <v>5</v>
      </c>
      <c r="I78" s="41" t="s">
        <v>374</v>
      </c>
      <c r="J78" s="42">
        <f t="shared" si="5"/>
        <v>100</v>
      </c>
    </row>
    <row r="79" spans="1:10" ht="21" customHeight="1" x14ac:dyDescent="0.15">
      <c r="A79" s="182">
        <v>39014078</v>
      </c>
      <c r="B79" s="41">
        <v>0</v>
      </c>
      <c r="C79" s="41">
        <v>210</v>
      </c>
      <c r="D79" s="41">
        <v>100</v>
      </c>
      <c r="E79" s="41" t="s">
        <v>374</v>
      </c>
      <c r="F79" s="41" t="s">
        <v>374</v>
      </c>
      <c r="G79" s="41">
        <v>1</v>
      </c>
      <c r="H79" s="41">
        <v>9</v>
      </c>
      <c r="I79" s="41" t="s">
        <v>374</v>
      </c>
      <c r="J79" s="42">
        <f t="shared" si="5"/>
        <v>100</v>
      </c>
    </row>
    <row r="80" spans="1:10" ht="21" customHeight="1" x14ac:dyDescent="0.15">
      <c r="A80" s="182">
        <v>39014079</v>
      </c>
      <c r="B80" s="41">
        <v>0</v>
      </c>
      <c r="C80" s="41">
        <v>220</v>
      </c>
      <c r="D80" s="41">
        <v>100</v>
      </c>
      <c r="E80" s="41" t="s">
        <v>374</v>
      </c>
      <c r="F80" s="41" t="s">
        <v>374</v>
      </c>
      <c r="G80" s="41">
        <v>1</v>
      </c>
      <c r="H80" s="41">
        <v>10</v>
      </c>
      <c r="I80" s="41" t="s">
        <v>374</v>
      </c>
      <c r="J80" s="42">
        <f t="shared" si="5"/>
        <v>100</v>
      </c>
    </row>
    <row r="81" spans="1:10" ht="21" customHeight="1" x14ac:dyDescent="0.15">
      <c r="A81" s="182">
        <v>39014080</v>
      </c>
      <c r="B81" s="41">
        <v>0</v>
      </c>
      <c r="C81" s="41">
        <v>230</v>
      </c>
      <c r="D81" s="41">
        <v>100</v>
      </c>
      <c r="E81" s="41" t="s">
        <v>374</v>
      </c>
      <c r="F81" s="41" t="s">
        <v>374</v>
      </c>
      <c r="G81" s="41">
        <v>1</v>
      </c>
      <c r="H81" s="41">
        <v>14</v>
      </c>
      <c r="I81" s="41" t="s">
        <v>374</v>
      </c>
      <c r="J81" s="42">
        <f t="shared" si="5"/>
        <v>100</v>
      </c>
    </row>
    <row r="82" spans="1:10" ht="21" customHeight="1" x14ac:dyDescent="0.15">
      <c r="A82" s="182">
        <v>39014081</v>
      </c>
      <c r="B82" s="41">
        <v>0</v>
      </c>
      <c r="C82" s="41">
        <v>240</v>
      </c>
      <c r="D82" s="41">
        <v>100</v>
      </c>
      <c r="E82" s="41" t="s">
        <v>374</v>
      </c>
      <c r="F82" s="41" t="s">
        <v>374</v>
      </c>
      <c r="G82" s="41">
        <v>1</v>
      </c>
      <c r="H82" s="41">
        <v>15</v>
      </c>
      <c r="I82" s="41" t="s">
        <v>374</v>
      </c>
      <c r="J82" s="42">
        <f t="shared" si="5"/>
        <v>100</v>
      </c>
    </row>
    <row r="83" spans="1:10" ht="21" customHeight="1" x14ac:dyDescent="0.15">
      <c r="A83" s="182">
        <v>39014082</v>
      </c>
      <c r="B83" s="41">
        <v>0</v>
      </c>
      <c r="C83" s="41">
        <v>250</v>
      </c>
      <c r="D83" s="41">
        <v>100</v>
      </c>
      <c r="E83" s="41" t="s">
        <v>374</v>
      </c>
      <c r="F83" s="41" t="s">
        <v>374</v>
      </c>
      <c r="G83" s="41">
        <v>1</v>
      </c>
      <c r="H83" s="41">
        <v>19</v>
      </c>
      <c r="I83" s="41" t="s">
        <v>374</v>
      </c>
      <c r="J83" s="42">
        <f t="shared" si="5"/>
        <v>100</v>
      </c>
    </row>
    <row r="84" spans="1:10" ht="21" customHeight="1" x14ac:dyDescent="0.15">
      <c r="A84" s="182">
        <v>39014083</v>
      </c>
      <c r="B84" s="41">
        <v>0</v>
      </c>
      <c r="C84" s="41">
        <v>300</v>
      </c>
      <c r="D84" s="41">
        <v>100</v>
      </c>
      <c r="E84" s="41" t="s">
        <v>374</v>
      </c>
      <c r="F84" s="41" t="s">
        <v>374</v>
      </c>
      <c r="G84" s="41">
        <v>1</v>
      </c>
      <c r="H84" s="41">
        <v>20</v>
      </c>
      <c r="I84" s="41" t="s">
        <v>374</v>
      </c>
      <c r="J84" s="42">
        <f t="shared" si="5"/>
        <v>100</v>
      </c>
    </row>
    <row r="85" spans="1:10" ht="21" customHeight="1" x14ac:dyDescent="0.15">
      <c r="A85" s="182">
        <v>39014084</v>
      </c>
      <c r="B85" s="41">
        <v>0</v>
      </c>
      <c r="C85" s="41" t="s">
        <v>374</v>
      </c>
      <c r="D85" s="41">
        <v>100</v>
      </c>
      <c r="E85" s="41" t="s">
        <v>374</v>
      </c>
      <c r="F85" s="41" t="s">
        <v>374</v>
      </c>
      <c r="G85" s="41">
        <v>0</v>
      </c>
      <c r="H85" s="41" t="s">
        <v>374</v>
      </c>
      <c r="I85" s="185">
        <v>0</v>
      </c>
      <c r="J85" s="42">
        <f t="shared" si="5"/>
        <v>100</v>
      </c>
    </row>
    <row r="86" spans="1:10" ht="21" customHeight="1" x14ac:dyDescent="0.15">
      <c r="A86" s="182">
        <v>39014085</v>
      </c>
      <c r="B86" s="41">
        <v>0</v>
      </c>
      <c r="C86" s="41">
        <v>503</v>
      </c>
      <c r="D86" s="41">
        <v>100</v>
      </c>
      <c r="E86" s="41" t="s">
        <v>374</v>
      </c>
      <c r="F86" s="41" t="s">
        <v>374</v>
      </c>
      <c r="G86" s="41">
        <v>0</v>
      </c>
      <c r="H86" s="41" t="s">
        <v>374</v>
      </c>
      <c r="I86" s="187">
        <v>1551</v>
      </c>
      <c r="J86" s="42">
        <f t="shared" si="5"/>
        <v>100</v>
      </c>
    </row>
    <row r="87" spans="1:10" ht="21" customHeight="1" x14ac:dyDescent="0.15">
      <c r="A87" s="182">
        <v>39014086</v>
      </c>
      <c r="B87" s="41">
        <v>0</v>
      </c>
      <c r="C87" s="41">
        <v>502</v>
      </c>
      <c r="D87" s="41">
        <v>100</v>
      </c>
      <c r="E87" s="41" t="s">
        <v>374</v>
      </c>
      <c r="F87" s="41" t="s">
        <v>374</v>
      </c>
      <c r="G87" s="41">
        <v>0</v>
      </c>
      <c r="H87" s="41" t="s">
        <v>374</v>
      </c>
      <c r="I87" s="187">
        <v>1552</v>
      </c>
      <c r="J87" s="42">
        <f t="shared" si="5"/>
        <v>100</v>
      </c>
    </row>
    <row r="88" spans="1:10" ht="21" customHeight="1" x14ac:dyDescent="0.15">
      <c r="A88" s="182">
        <v>39014087</v>
      </c>
      <c r="B88" s="41">
        <v>0</v>
      </c>
      <c r="C88" s="41">
        <v>501</v>
      </c>
      <c r="D88" s="41">
        <v>100</v>
      </c>
      <c r="E88" s="41" t="s">
        <v>374</v>
      </c>
      <c r="F88" s="41" t="s">
        <v>374</v>
      </c>
      <c r="G88" s="41">
        <v>0</v>
      </c>
      <c r="H88" s="41" t="s">
        <v>374</v>
      </c>
      <c r="I88" s="187">
        <v>1566</v>
      </c>
      <c r="J88" s="42">
        <f t="shared" si="5"/>
        <v>100</v>
      </c>
    </row>
    <row r="89" spans="1:10" ht="21" customHeight="1" x14ac:dyDescent="0.15">
      <c r="A89" s="182">
        <v>39014088</v>
      </c>
      <c r="B89" s="41">
        <v>0</v>
      </c>
      <c r="C89" s="41">
        <v>500</v>
      </c>
      <c r="D89" s="41">
        <v>100</v>
      </c>
      <c r="E89" s="41" t="s">
        <v>374</v>
      </c>
      <c r="F89" s="41" t="s">
        <v>374</v>
      </c>
      <c r="G89" s="41">
        <v>0</v>
      </c>
      <c r="H89" s="41" t="s">
        <v>374</v>
      </c>
      <c r="I89" s="187">
        <v>1567</v>
      </c>
      <c r="J89" s="42">
        <f t="shared" si="5"/>
        <v>100</v>
      </c>
    </row>
    <row r="90" spans="1:10" ht="21" customHeight="1" x14ac:dyDescent="0.15">
      <c r="A90" s="182">
        <v>39014089</v>
      </c>
      <c r="B90" s="41">
        <v>0</v>
      </c>
      <c r="C90" s="41">
        <v>403</v>
      </c>
      <c r="D90" s="41">
        <v>100</v>
      </c>
      <c r="E90" s="41" t="s">
        <v>374</v>
      </c>
      <c r="F90" s="41" t="s">
        <v>374</v>
      </c>
      <c r="G90" s="41">
        <v>0</v>
      </c>
      <c r="H90" s="41" t="s">
        <v>374</v>
      </c>
      <c r="I90" s="187">
        <v>1561</v>
      </c>
      <c r="J90" s="42">
        <f t="shared" si="5"/>
        <v>100</v>
      </c>
    </row>
    <row r="91" spans="1:10" ht="21" customHeight="1" x14ac:dyDescent="0.15">
      <c r="A91" s="182">
        <v>39014090</v>
      </c>
      <c r="B91" s="41">
        <v>0</v>
      </c>
      <c r="C91" s="41">
        <v>402</v>
      </c>
      <c r="D91" s="41">
        <v>100</v>
      </c>
      <c r="E91" s="41" t="s">
        <v>374</v>
      </c>
      <c r="F91" s="41" t="s">
        <v>374</v>
      </c>
      <c r="G91" s="41">
        <v>0</v>
      </c>
      <c r="H91" s="41" t="s">
        <v>374</v>
      </c>
      <c r="I91" s="187">
        <v>1562</v>
      </c>
      <c r="J91" s="42">
        <f t="shared" si="5"/>
        <v>100</v>
      </c>
    </row>
    <row r="92" spans="1:10" ht="21" customHeight="1" x14ac:dyDescent="0.15">
      <c r="A92" s="182">
        <v>39014091</v>
      </c>
      <c r="B92" s="41">
        <v>0</v>
      </c>
      <c r="C92" s="41">
        <v>401</v>
      </c>
      <c r="D92" s="41">
        <v>100</v>
      </c>
      <c r="E92" s="41" t="s">
        <v>374</v>
      </c>
      <c r="F92" s="41" t="s">
        <v>374</v>
      </c>
      <c r="G92" s="41">
        <v>0</v>
      </c>
      <c r="H92" s="41" t="s">
        <v>374</v>
      </c>
      <c r="I92" s="187">
        <v>1553</v>
      </c>
      <c r="J92" s="42">
        <f t="shared" si="5"/>
        <v>100</v>
      </c>
    </row>
    <row r="93" spans="1:10" ht="21" customHeight="1" x14ac:dyDescent="0.15">
      <c r="A93" s="182">
        <v>39014092</v>
      </c>
      <c r="B93" s="41">
        <v>0</v>
      </c>
      <c r="C93" s="41">
        <v>400</v>
      </c>
      <c r="D93" s="41">
        <v>100</v>
      </c>
      <c r="E93" s="41" t="s">
        <v>374</v>
      </c>
      <c r="F93" s="41" t="s">
        <v>374</v>
      </c>
      <c r="G93" s="41">
        <v>0</v>
      </c>
      <c r="H93" s="41" t="s">
        <v>374</v>
      </c>
      <c r="I93" s="187">
        <v>1554</v>
      </c>
      <c r="J93" s="42">
        <f t="shared" si="5"/>
        <v>100</v>
      </c>
    </row>
    <row r="94" spans="1:10" ht="21" customHeight="1" x14ac:dyDescent="0.15">
      <c r="A94" s="182">
        <v>39014093</v>
      </c>
      <c r="B94" s="41">
        <v>0</v>
      </c>
      <c r="C94" s="41">
        <v>302</v>
      </c>
      <c r="D94" s="41">
        <v>100</v>
      </c>
      <c r="E94" s="41" t="s">
        <v>374</v>
      </c>
      <c r="F94" s="41" t="s">
        <v>374</v>
      </c>
      <c r="G94" s="41">
        <v>0</v>
      </c>
      <c r="H94" s="41" t="s">
        <v>374</v>
      </c>
      <c r="I94" s="187">
        <v>1584</v>
      </c>
      <c r="J94" s="42">
        <f t="shared" si="5"/>
        <v>100</v>
      </c>
    </row>
    <row r="95" spans="1:10" ht="21" customHeight="1" x14ac:dyDescent="0.15">
      <c r="A95" s="182">
        <v>39014094</v>
      </c>
      <c r="B95" s="41">
        <v>0</v>
      </c>
      <c r="C95" s="41">
        <v>301</v>
      </c>
      <c r="D95" s="41">
        <v>100</v>
      </c>
      <c r="E95" s="41" t="s">
        <v>374</v>
      </c>
      <c r="F95" s="41" t="s">
        <v>374</v>
      </c>
      <c r="G95" s="41">
        <v>0</v>
      </c>
      <c r="H95" s="41" t="s">
        <v>374</v>
      </c>
      <c r="I95" s="187">
        <v>1585</v>
      </c>
      <c r="J95" s="42">
        <f t="shared" si="5"/>
        <v>100</v>
      </c>
    </row>
    <row r="96" spans="1:10" ht="21" customHeight="1" x14ac:dyDescent="0.15">
      <c r="A96" s="182">
        <v>39014095</v>
      </c>
      <c r="B96" s="41">
        <v>0</v>
      </c>
      <c r="C96" s="41">
        <v>300</v>
      </c>
      <c r="D96" s="41">
        <v>100</v>
      </c>
      <c r="E96" s="41" t="s">
        <v>374</v>
      </c>
      <c r="F96" s="41" t="s">
        <v>374</v>
      </c>
      <c r="G96" s="41">
        <v>0</v>
      </c>
      <c r="H96" s="41" t="s">
        <v>374</v>
      </c>
      <c r="I96" s="187">
        <v>1586</v>
      </c>
      <c r="J96" s="42">
        <f t="shared" si="5"/>
        <v>100</v>
      </c>
    </row>
    <row r="97" spans="1:10" ht="23" customHeight="1" x14ac:dyDescent="0.15">
      <c r="A97" s="182">
        <v>39014096</v>
      </c>
      <c r="B97" s="41">
        <v>0</v>
      </c>
      <c r="C97" s="41">
        <v>201</v>
      </c>
      <c r="D97" s="41">
        <v>100</v>
      </c>
      <c r="E97" s="41" t="s">
        <v>374</v>
      </c>
      <c r="F97" s="41" t="s">
        <v>374</v>
      </c>
      <c r="G97" s="41">
        <v>0</v>
      </c>
      <c r="H97" s="41" t="s">
        <v>374</v>
      </c>
      <c r="I97" s="187">
        <v>1579</v>
      </c>
      <c r="J97" s="42">
        <f t="shared" si="5"/>
        <v>100</v>
      </c>
    </row>
    <row r="98" spans="1:10" ht="23" customHeight="1" x14ac:dyDescent="0.15">
      <c r="A98" s="182">
        <v>39014097</v>
      </c>
      <c r="B98" s="41">
        <v>0</v>
      </c>
      <c r="C98" s="41">
        <v>200</v>
      </c>
      <c r="D98" s="41">
        <v>100</v>
      </c>
      <c r="E98" s="41" t="s">
        <v>374</v>
      </c>
      <c r="F98" s="41" t="s">
        <v>374</v>
      </c>
      <c r="G98" s="41">
        <v>0</v>
      </c>
      <c r="H98" s="41" t="s">
        <v>374</v>
      </c>
      <c r="I98" s="188">
        <v>1580</v>
      </c>
      <c r="J98" s="42">
        <f t="shared" si="5"/>
        <v>100</v>
      </c>
    </row>
    <row r="99" spans="1:10" ht="23" customHeight="1" x14ac:dyDescent="0.15">
      <c r="A99" s="182">
        <v>39014098</v>
      </c>
      <c r="B99" s="41">
        <v>0</v>
      </c>
      <c r="C99" s="41">
        <v>100</v>
      </c>
      <c r="D99" s="41">
        <v>100</v>
      </c>
      <c r="E99" s="41" t="s">
        <v>374</v>
      </c>
      <c r="F99" s="41" t="s">
        <v>374</v>
      </c>
      <c r="G99" s="41">
        <v>0</v>
      </c>
      <c r="H99" s="41" t="s">
        <v>374</v>
      </c>
      <c r="I99" s="188">
        <v>1555</v>
      </c>
      <c r="J99" s="42">
        <f t="shared" si="5"/>
        <v>100</v>
      </c>
    </row>
    <row r="100" spans="1:10" ht="23" customHeight="1" x14ac:dyDescent="0.15">
      <c r="A100" s="182">
        <v>39014099</v>
      </c>
      <c r="B100" s="41">
        <v>0</v>
      </c>
      <c r="C100" s="41">
        <v>101</v>
      </c>
      <c r="D100" s="41">
        <v>100</v>
      </c>
      <c r="E100" s="41" t="s">
        <v>374</v>
      </c>
      <c r="F100" s="41" t="s">
        <v>374</v>
      </c>
      <c r="G100" s="41">
        <v>0</v>
      </c>
      <c r="H100" s="41" t="s">
        <v>374</v>
      </c>
      <c r="I100" s="188">
        <v>1556</v>
      </c>
      <c r="J100" s="42">
        <f t="shared" ref="J100:J101" si="6">D100</f>
        <v>100</v>
      </c>
    </row>
    <row r="101" spans="1:10" ht="23" customHeight="1" x14ac:dyDescent="0.15">
      <c r="A101" s="182">
        <v>39014100</v>
      </c>
      <c r="B101" s="41">
        <v>0</v>
      </c>
      <c r="C101" s="41">
        <v>102</v>
      </c>
      <c r="D101" s="41">
        <v>100</v>
      </c>
      <c r="E101" s="41" t="s">
        <v>374</v>
      </c>
      <c r="F101" s="41" t="s">
        <v>374</v>
      </c>
      <c r="G101" s="41">
        <v>0</v>
      </c>
      <c r="H101" s="41" t="s">
        <v>374</v>
      </c>
      <c r="I101" s="188">
        <v>1557</v>
      </c>
      <c r="J101" s="42">
        <f t="shared" si="6"/>
        <v>100</v>
      </c>
    </row>
    <row r="102" spans="1:10" ht="23" customHeight="1" x14ac:dyDescent="0.15">
      <c r="A102" s="182">
        <v>39014101</v>
      </c>
      <c r="B102" s="41">
        <v>0</v>
      </c>
      <c r="C102" s="41">
        <v>103</v>
      </c>
      <c r="D102" s="41">
        <v>100</v>
      </c>
      <c r="E102" s="41" t="s">
        <v>374</v>
      </c>
      <c r="F102" s="41" t="s">
        <v>374</v>
      </c>
      <c r="G102" s="41">
        <v>0</v>
      </c>
      <c r="H102" s="41" t="s">
        <v>374</v>
      </c>
      <c r="I102" s="188">
        <v>1558</v>
      </c>
      <c r="J102" s="42">
        <f t="shared" ref="J102:J105" si="7">D102</f>
        <v>100</v>
      </c>
    </row>
    <row r="103" spans="1:10" ht="23" customHeight="1" x14ac:dyDescent="0.15">
      <c r="A103" s="182">
        <v>39014102</v>
      </c>
      <c r="B103" s="41">
        <v>0</v>
      </c>
      <c r="C103" s="41">
        <v>104</v>
      </c>
      <c r="D103" s="41">
        <v>100</v>
      </c>
      <c r="E103" s="41" t="s">
        <v>374</v>
      </c>
      <c r="F103" s="41" t="s">
        <v>374</v>
      </c>
      <c r="G103" s="41">
        <v>0</v>
      </c>
      <c r="H103" s="41" t="s">
        <v>374</v>
      </c>
      <c r="I103" s="188">
        <v>1559</v>
      </c>
      <c r="J103" s="42">
        <f t="shared" si="7"/>
        <v>100</v>
      </c>
    </row>
    <row r="104" spans="1:10" ht="23" customHeight="1" x14ac:dyDescent="0.15">
      <c r="A104" s="182">
        <v>39014103</v>
      </c>
      <c r="B104" s="41">
        <v>0</v>
      </c>
      <c r="C104" s="41">
        <v>105</v>
      </c>
      <c r="D104" s="41">
        <v>100</v>
      </c>
      <c r="E104" s="41" t="s">
        <v>374</v>
      </c>
      <c r="F104" s="41" t="s">
        <v>374</v>
      </c>
      <c r="G104" s="41">
        <v>0</v>
      </c>
      <c r="H104" s="41" t="s">
        <v>374</v>
      </c>
      <c r="I104" s="188">
        <v>1560</v>
      </c>
      <c r="J104" s="42">
        <f t="shared" si="7"/>
        <v>100</v>
      </c>
    </row>
    <row r="105" spans="1:10" ht="23" customHeight="1" x14ac:dyDescent="0.15">
      <c r="A105" s="182">
        <v>39014104</v>
      </c>
      <c r="B105" s="41">
        <v>0</v>
      </c>
      <c r="C105" s="41">
        <v>106</v>
      </c>
      <c r="D105" s="41">
        <v>100</v>
      </c>
      <c r="E105" s="41" t="s">
        <v>374</v>
      </c>
      <c r="F105" s="41" t="s">
        <v>374</v>
      </c>
      <c r="G105" s="41">
        <v>0</v>
      </c>
      <c r="H105" s="41" t="s">
        <v>374</v>
      </c>
      <c r="I105" s="188">
        <v>1563</v>
      </c>
      <c r="J105" s="42">
        <f t="shared" si="7"/>
        <v>100</v>
      </c>
    </row>
    <row r="106" spans="1:10" ht="23" customHeight="1" x14ac:dyDescent="0.15">
      <c r="A106" s="182">
        <v>39014105</v>
      </c>
      <c r="B106" s="41">
        <v>0</v>
      </c>
      <c r="C106" s="41">
        <v>107</v>
      </c>
      <c r="D106" s="41">
        <v>100</v>
      </c>
      <c r="E106" s="41" t="s">
        <v>374</v>
      </c>
      <c r="F106" s="41" t="s">
        <v>374</v>
      </c>
      <c r="G106" s="41">
        <v>0</v>
      </c>
      <c r="H106" s="41" t="s">
        <v>374</v>
      </c>
      <c r="I106" s="188">
        <v>1564</v>
      </c>
      <c r="J106" s="42">
        <f t="shared" ref="J106:J113" si="8">D106</f>
        <v>100</v>
      </c>
    </row>
    <row r="107" spans="1:10" ht="23" customHeight="1" x14ac:dyDescent="0.15">
      <c r="A107" s="182">
        <v>39014106</v>
      </c>
      <c r="B107" s="41">
        <v>0</v>
      </c>
      <c r="C107" s="41">
        <v>108</v>
      </c>
      <c r="D107" s="41">
        <v>100</v>
      </c>
      <c r="E107" s="41" t="s">
        <v>374</v>
      </c>
      <c r="F107" s="41" t="s">
        <v>374</v>
      </c>
      <c r="G107" s="41">
        <v>0</v>
      </c>
      <c r="H107" s="41" t="s">
        <v>374</v>
      </c>
      <c r="I107" s="188">
        <v>1565</v>
      </c>
      <c r="J107" s="42">
        <f t="shared" si="8"/>
        <v>100</v>
      </c>
    </row>
    <row r="108" spans="1:10" ht="23" customHeight="1" x14ac:dyDescent="0.15">
      <c r="A108" s="182">
        <v>39014107</v>
      </c>
      <c r="B108" s="41">
        <v>0</v>
      </c>
      <c r="C108" s="41">
        <v>109</v>
      </c>
      <c r="D108" s="41">
        <v>100</v>
      </c>
      <c r="E108" s="41" t="s">
        <v>374</v>
      </c>
      <c r="F108" s="41" t="s">
        <v>374</v>
      </c>
      <c r="G108" s="41">
        <v>0</v>
      </c>
      <c r="H108" s="41" t="s">
        <v>374</v>
      </c>
      <c r="I108" s="188">
        <v>1568</v>
      </c>
      <c r="J108" s="42">
        <f t="shared" si="8"/>
        <v>100</v>
      </c>
    </row>
    <row r="109" spans="1:10" ht="23" customHeight="1" x14ac:dyDescent="0.15">
      <c r="A109" s="182">
        <v>39014108</v>
      </c>
      <c r="B109" s="41">
        <v>0</v>
      </c>
      <c r="C109" s="41">
        <v>110</v>
      </c>
      <c r="D109" s="41">
        <v>100</v>
      </c>
      <c r="E109" s="41" t="s">
        <v>374</v>
      </c>
      <c r="F109" s="41" t="s">
        <v>374</v>
      </c>
      <c r="G109" s="41">
        <v>0</v>
      </c>
      <c r="H109" s="41" t="s">
        <v>374</v>
      </c>
      <c r="I109" s="188">
        <v>1569</v>
      </c>
      <c r="J109" s="42">
        <f t="shared" si="8"/>
        <v>100</v>
      </c>
    </row>
    <row r="110" spans="1:10" ht="23" customHeight="1" x14ac:dyDescent="0.15">
      <c r="A110" s="182">
        <v>39014109</v>
      </c>
      <c r="B110" s="41">
        <v>0</v>
      </c>
      <c r="C110" s="41">
        <v>111</v>
      </c>
      <c r="D110" s="41">
        <v>100</v>
      </c>
      <c r="E110" s="41" t="s">
        <v>374</v>
      </c>
      <c r="F110" s="41" t="s">
        <v>374</v>
      </c>
      <c r="G110" s="41">
        <v>0</v>
      </c>
      <c r="H110" s="41" t="s">
        <v>374</v>
      </c>
      <c r="I110" s="188">
        <v>1570</v>
      </c>
      <c r="J110" s="42">
        <f t="shared" si="8"/>
        <v>100</v>
      </c>
    </row>
    <row r="111" spans="1:10" ht="23" customHeight="1" x14ac:dyDescent="0.15">
      <c r="A111" s="182">
        <v>39014110</v>
      </c>
      <c r="B111" s="41">
        <v>0</v>
      </c>
      <c r="C111" s="41">
        <v>112</v>
      </c>
      <c r="D111" s="41">
        <v>100</v>
      </c>
      <c r="E111" s="41" t="s">
        <v>374</v>
      </c>
      <c r="F111" s="41" t="s">
        <v>374</v>
      </c>
      <c r="G111" s="41">
        <v>0</v>
      </c>
      <c r="H111" s="41" t="s">
        <v>374</v>
      </c>
      <c r="I111" s="188">
        <v>1571</v>
      </c>
      <c r="J111" s="42">
        <f t="shared" si="8"/>
        <v>100</v>
      </c>
    </row>
    <row r="112" spans="1:10" ht="23" customHeight="1" x14ac:dyDescent="0.15">
      <c r="A112" s="182">
        <v>39014111</v>
      </c>
      <c r="B112" s="41">
        <v>0</v>
      </c>
      <c r="C112" s="41">
        <v>113</v>
      </c>
      <c r="D112" s="41">
        <v>100</v>
      </c>
      <c r="E112" s="41" t="s">
        <v>374</v>
      </c>
      <c r="F112" s="41" t="s">
        <v>374</v>
      </c>
      <c r="G112" s="41">
        <v>0</v>
      </c>
      <c r="H112" s="41" t="s">
        <v>374</v>
      </c>
      <c r="I112" s="188">
        <v>1572</v>
      </c>
      <c r="J112" s="42">
        <f t="shared" si="8"/>
        <v>100</v>
      </c>
    </row>
    <row r="113" spans="1:10" ht="23" customHeight="1" x14ac:dyDescent="0.15">
      <c r="A113" s="182">
        <v>39014112</v>
      </c>
      <c r="B113" s="41">
        <v>0</v>
      </c>
      <c r="C113" s="41">
        <v>114</v>
      </c>
      <c r="D113" s="41">
        <v>100</v>
      </c>
      <c r="E113" s="41" t="s">
        <v>374</v>
      </c>
      <c r="F113" s="41" t="s">
        <v>374</v>
      </c>
      <c r="G113" s="41">
        <v>0</v>
      </c>
      <c r="H113" s="41" t="s">
        <v>374</v>
      </c>
      <c r="I113" s="188">
        <v>1573</v>
      </c>
      <c r="J113" s="42">
        <f t="shared" si="8"/>
        <v>100</v>
      </c>
    </row>
    <row r="114" spans="1:10" ht="23" customHeight="1" x14ac:dyDescent="0.15">
      <c r="A114" s="182">
        <v>39014113</v>
      </c>
      <c r="B114" s="41">
        <v>0</v>
      </c>
      <c r="C114" s="41">
        <v>115</v>
      </c>
      <c r="D114" s="41">
        <v>100</v>
      </c>
      <c r="E114" s="41" t="s">
        <v>374</v>
      </c>
      <c r="F114" s="41" t="s">
        <v>374</v>
      </c>
      <c r="G114" s="41">
        <v>0</v>
      </c>
      <c r="H114" s="41" t="s">
        <v>374</v>
      </c>
      <c r="I114" s="188">
        <v>1574</v>
      </c>
      <c r="J114" s="42">
        <f t="shared" ref="J114:J119" si="9">D114</f>
        <v>100</v>
      </c>
    </row>
    <row r="115" spans="1:10" ht="23" customHeight="1" x14ac:dyDescent="0.15">
      <c r="A115" s="182">
        <v>39014114</v>
      </c>
      <c r="B115" s="41">
        <v>0</v>
      </c>
      <c r="C115" s="41">
        <v>116</v>
      </c>
      <c r="D115" s="41">
        <v>100</v>
      </c>
      <c r="E115" s="41" t="s">
        <v>374</v>
      </c>
      <c r="F115" s="41" t="s">
        <v>374</v>
      </c>
      <c r="G115" s="41">
        <v>0</v>
      </c>
      <c r="H115" s="41" t="s">
        <v>374</v>
      </c>
      <c r="I115" s="188">
        <v>1575</v>
      </c>
      <c r="J115" s="42">
        <f t="shared" si="9"/>
        <v>100</v>
      </c>
    </row>
    <row r="116" spans="1:10" ht="23" customHeight="1" x14ac:dyDescent="0.15">
      <c r="A116" s="182">
        <v>39014115</v>
      </c>
      <c r="B116" s="41">
        <v>0</v>
      </c>
      <c r="C116" s="41">
        <v>117</v>
      </c>
      <c r="D116" s="41">
        <v>100</v>
      </c>
      <c r="E116" s="41" t="s">
        <v>374</v>
      </c>
      <c r="F116" s="41" t="s">
        <v>374</v>
      </c>
      <c r="G116" s="41">
        <v>0</v>
      </c>
      <c r="H116" s="41" t="s">
        <v>374</v>
      </c>
      <c r="I116" s="188">
        <v>1576</v>
      </c>
      <c r="J116" s="42">
        <f t="shared" si="9"/>
        <v>100</v>
      </c>
    </row>
    <row r="117" spans="1:10" ht="23" customHeight="1" x14ac:dyDescent="0.15">
      <c r="A117" s="182">
        <v>39014116</v>
      </c>
      <c r="B117" s="41">
        <v>0</v>
      </c>
      <c r="C117" s="41">
        <v>118</v>
      </c>
      <c r="D117" s="41">
        <v>100</v>
      </c>
      <c r="E117" s="41" t="s">
        <v>374</v>
      </c>
      <c r="F117" s="41" t="s">
        <v>374</v>
      </c>
      <c r="G117" s="41">
        <v>0</v>
      </c>
      <c r="H117" s="41" t="s">
        <v>374</v>
      </c>
      <c r="I117" s="188">
        <v>1577</v>
      </c>
      <c r="J117" s="42">
        <f t="shared" si="9"/>
        <v>100</v>
      </c>
    </row>
    <row r="118" spans="1:10" ht="23" customHeight="1" x14ac:dyDescent="0.15">
      <c r="A118" s="182">
        <v>39014117</v>
      </c>
      <c r="B118" s="41">
        <v>0</v>
      </c>
      <c r="C118" s="41">
        <v>119</v>
      </c>
      <c r="D118" s="41">
        <v>100</v>
      </c>
      <c r="E118" s="41" t="s">
        <v>374</v>
      </c>
      <c r="F118" s="41" t="s">
        <v>374</v>
      </c>
      <c r="G118" s="41">
        <v>0</v>
      </c>
      <c r="H118" s="41" t="s">
        <v>374</v>
      </c>
      <c r="I118" s="188">
        <v>1578</v>
      </c>
      <c r="J118" s="42">
        <f t="shared" si="9"/>
        <v>100</v>
      </c>
    </row>
    <row r="119" spans="1:10" ht="23" customHeight="1" x14ac:dyDescent="0.15">
      <c r="A119" s="182">
        <v>39014118</v>
      </c>
      <c r="B119" s="41">
        <v>0</v>
      </c>
      <c r="C119" s="41">
        <v>120</v>
      </c>
      <c r="D119" s="41">
        <v>100</v>
      </c>
      <c r="E119" s="41" t="s">
        <v>374</v>
      </c>
      <c r="F119" s="41" t="s">
        <v>374</v>
      </c>
      <c r="G119" s="41">
        <v>0</v>
      </c>
      <c r="H119" s="41" t="s">
        <v>374</v>
      </c>
      <c r="I119" s="188">
        <v>1581</v>
      </c>
      <c r="J119" s="42">
        <f t="shared" si="9"/>
        <v>100</v>
      </c>
    </row>
    <row r="120" spans="1:10" ht="23" customHeight="1" x14ac:dyDescent="0.15">
      <c r="A120" s="182">
        <v>39014119</v>
      </c>
      <c r="B120" s="41">
        <v>0</v>
      </c>
      <c r="C120" s="41">
        <v>121</v>
      </c>
      <c r="D120" s="41">
        <v>100</v>
      </c>
      <c r="E120" s="41" t="s">
        <v>374</v>
      </c>
      <c r="F120" s="41" t="s">
        <v>374</v>
      </c>
      <c r="G120" s="41">
        <v>0</v>
      </c>
      <c r="H120" s="41" t="s">
        <v>374</v>
      </c>
      <c r="I120" s="188">
        <v>1582</v>
      </c>
      <c r="J120" s="42">
        <f t="shared" ref="J120:J126" si="10">D120</f>
        <v>100</v>
      </c>
    </row>
    <row r="121" spans="1:10" ht="23" customHeight="1" x14ac:dyDescent="0.15">
      <c r="A121" s="182">
        <v>39014120</v>
      </c>
      <c r="B121" s="41">
        <v>0</v>
      </c>
      <c r="C121" s="41">
        <v>122</v>
      </c>
      <c r="D121" s="41">
        <v>100</v>
      </c>
      <c r="E121" s="41" t="s">
        <v>374</v>
      </c>
      <c r="F121" s="41" t="s">
        <v>374</v>
      </c>
      <c r="G121" s="41">
        <v>0</v>
      </c>
      <c r="H121" s="41" t="s">
        <v>374</v>
      </c>
      <c r="I121" s="188">
        <v>1583</v>
      </c>
      <c r="J121" s="42">
        <f t="shared" si="10"/>
        <v>100</v>
      </c>
    </row>
    <row r="122" spans="1:10" ht="23" customHeight="1" x14ac:dyDescent="0.15">
      <c r="A122" s="182">
        <v>39014121</v>
      </c>
      <c r="B122" s="41">
        <v>0</v>
      </c>
      <c r="C122" s="41">
        <v>123</v>
      </c>
      <c r="D122" s="41">
        <v>100</v>
      </c>
      <c r="E122" s="41" t="s">
        <v>374</v>
      </c>
      <c r="F122" s="41" t="s">
        <v>374</v>
      </c>
      <c r="G122" s="41">
        <v>0</v>
      </c>
      <c r="H122" s="41" t="s">
        <v>374</v>
      </c>
      <c r="I122" s="188">
        <v>1584</v>
      </c>
      <c r="J122" s="42">
        <f t="shared" si="10"/>
        <v>100</v>
      </c>
    </row>
    <row r="123" spans="1:10" ht="23" customHeight="1" x14ac:dyDescent="0.15">
      <c r="A123" s="182">
        <v>39014122</v>
      </c>
      <c r="B123" s="41">
        <v>0</v>
      </c>
      <c r="C123" s="41">
        <v>124</v>
      </c>
      <c r="D123" s="41">
        <v>100</v>
      </c>
      <c r="E123" s="41" t="s">
        <v>374</v>
      </c>
      <c r="F123" s="41" t="s">
        <v>374</v>
      </c>
      <c r="G123" s="41">
        <v>0</v>
      </c>
      <c r="H123" s="41" t="s">
        <v>374</v>
      </c>
      <c r="I123" s="188">
        <v>1585</v>
      </c>
      <c r="J123" s="42">
        <f t="shared" si="10"/>
        <v>100</v>
      </c>
    </row>
    <row r="124" spans="1:10" ht="23" customHeight="1" x14ac:dyDescent="0.15">
      <c r="A124" s="182">
        <v>39014123</v>
      </c>
      <c r="B124" s="41">
        <v>0</v>
      </c>
      <c r="C124" s="41">
        <v>125</v>
      </c>
      <c r="D124" s="41">
        <v>100</v>
      </c>
      <c r="E124" s="41" t="s">
        <v>374</v>
      </c>
      <c r="F124" s="41" t="s">
        <v>374</v>
      </c>
      <c r="G124" s="41">
        <v>0</v>
      </c>
      <c r="H124" s="41" t="s">
        <v>374</v>
      </c>
      <c r="I124" s="188">
        <v>1586</v>
      </c>
      <c r="J124" s="42">
        <f t="shared" si="10"/>
        <v>100</v>
      </c>
    </row>
    <row r="125" spans="1:10" ht="23" customHeight="1" x14ac:dyDescent="0.15">
      <c r="A125" s="182">
        <v>39014124</v>
      </c>
      <c r="B125" s="41">
        <v>0</v>
      </c>
      <c r="C125" s="41">
        <v>126</v>
      </c>
      <c r="D125" s="41">
        <v>100</v>
      </c>
      <c r="E125" s="41" t="s">
        <v>374</v>
      </c>
      <c r="F125" s="41" t="s">
        <v>374</v>
      </c>
      <c r="G125" s="41">
        <v>0</v>
      </c>
      <c r="H125" s="41" t="s">
        <v>374</v>
      </c>
      <c r="I125" s="188">
        <v>1587</v>
      </c>
      <c r="J125" s="42">
        <f t="shared" si="10"/>
        <v>100</v>
      </c>
    </row>
    <row r="126" spans="1:10" ht="23" customHeight="1" x14ac:dyDescent="0.15">
      <c r="A126" s="182">
        <v>39014125</v>
      </c>
      <c r="B126" s="41">
        <v>0</v>
      </c>
      <c r="C126" s="41">
        <v>127</v>
      </c>
      <c r="D126" s="41">
        <v>100</v>
      </c>
      <c r="E126" s="41" t="s">
        <v>374</v>
      </c>
      <c r="F126" s="41" t="s">
        <v>374</v>
      </c>
      <c r="G126" s="41">
        <v>0</v>
      </c>
      <c r="H126" s="41" t="s">
        <v>374</v>
      </c>
      <c r="I126" s="188">
        <v>1588</v>
      </c>
      <c r="J126" s="42">
        <f t="shared" si="10"/>
        <v>100</v>
      </c>
    </row>
  </sheetData>
  <autoFilter ref="A1:G1"/>
  <phoneticPr fontId="12"/>
  <conditionalFormatting sqref="K127:K1048576 K1">
    <cfRule type="duplicateValues" dxfId="125" priority="129"/>
  </conditionalFormatting>
  <conditionalFormatting sqref="K2">
    <cfRule type="duplicateValues" dxfId="124" priority="128"/>
  </conditionalFormatting>
  <conditionalFormatting sqref="K5">
    <cfRule type="duplicateValues" dxfId="123" priority="127"/>
  </conditionalFormatting>
  <conditionalFormatting sqref="K7">
    <cfRule type="duplicateValues" dxfId="122" priority="126"/>
  </conditionalFormatting>
  <conditionalFormatting sqref="K10">
    <cfRule type="duplicateValues" dxfId="121" priority="125"/>
  </conditionalFormatting>
  <conditionalFormatting sqref="K11">
    <cfRule type="duplicateValues" dxfId="120" priority="124"/>
  </conditionalFormatting>
  <conditionalFormatting sqref="K12">
    <cfRule type="duplicateValues" dxfId="119" priority="123"/>
  </conditionalFormatting>
  <conditionalFormatting sqref="K13">
    <cfRule type="duplicateValues" dxfId="118" priority="122"/>
  </conditionalFormatting>
  <conditionalFormatting sqref="K14">
    <cfRule type="duplicateValues" dxfId="117" priority="121"/>
  </conditionalFormatting>
  <conditionalFormatting sqref="K16">
    <cfRule type="duplicateValues" dxfId="116" priority="120"/>
  </conditionalFormatting>
  <conditionalFormatting sqref="K17">
    <cfRule type="duplicateValues" dxfId="115" priority="119"/>
  </conditionalFormatting>
  <conditionalFormatting sqref="K18">
    <cfRule type="duplicateValues" dxfId="114" priority="118"/>
  </conditionalFormatting>
  <conditionalFormatting sqref="K19">
    <cfRule type="duplicateValues" dxfId="113" priority="117"/>
  </conditionalFormatting>
  <conditionalFormatting sqref="K20">
    <cfRule type="duplicateValues" dxfId="112" priority="116"/>
  </conditionalFormatting>
  <conditionalFormatting sqref="K21">
    <cfRule type="duplicateValues" dxfId="111" priority="115"/>
  </conditionalFormatting>
  <conditionalFormatting sqref="K22">
    <cfRule type="duplicateValues" dxfId="110" priority="114"/>
  </conditionalFormatting>
  <conditionalFormatting sqref="K25">
    <cfRule type="duplicateValues" dxfId="109" priority="113"/>
  </conditionalFormatting>
  <conditionalFormatting sqref="K26">
    <cfRule type="duplicateValues" dxfId="108" priority="112"/>
  </conditionalFormatting>
  <conditionalFormatting sqref="K27">
    <cfRule type="duplicateValues" dxfId="107" priority="111"/>
  </conditionalFormatting>
  <conditionalFormatting sqref="K28">
    <cfRule type="duplicateValues" dxfId="106" priority="110"/>
  </conditionalFormatting>
  <conditionalFormatting sqref="K29">
    <cfRule type="duplicateValues" dxfId="105" priority="109"/>
  </conditionalFormatting>
  <conditionalFormatting sqref="K30">
    <cfRule type="duplicateValues" dxfId="104" priority="108"/>
  </conditionalFormatting>
  <conditionalFormatting sqref="K32">
    <cfRule type="duplicateValues" dxfId="103" priority="107"/>
  </conditionalFormatting>
  <conditionalFormatting sqref="K33">
    <cfRule type="duplicateValues" dxfId="102" priority="106"/>
  </conditionalFormatting>
  <conditionalFormatting sqref="K34">
    <cfRule type="duplicateValues" dxfId="101" priority="105"/>
  </conditionalFormatting>
  <conditionalFormatting sqref="K35">
    <cfRule type="duplicateValues" dxfId="100" priority="104"/>
  </conditionalFormatting>
  <conditionalFormatting sqref="K36">
    <cfRule type="duplicateValues" dxfId="99" priority="103"/>
  </conditionalFormatting>
  <conditionalFormatting sqref="K37">
    <cfRule type="duplicateValues" dxfId="98" priority="102"/>
  </conditionalFormatting>
  <conditionalFormatting sqref="K38">
    <cfRule type="duplicateValues" dxfId="97" priority="101"/>
  </conditionalFormatting>
  <conditionalFormatting sqref="K40">
    <cfRule type="duplicateValues" dxfId="96" priority="100"/>
  </conditionalFormatting>
  <conditionalFormatting sqref="K41">
    <cfRule type="duplicateValues" dxfId="95" priority="99"/>
  </conditionalFormatting>
  <conditionalFormatting sqref="K42">
    <cfRule type="duplicateValues" dxfId="94" priority="98"/>
  </conditionalFormatting>
  <conditionalFormatting sqref="K43">
    <cfRule type="duplicateValues" dxfId="93" priority="97"/>
  </conditionalFormatting>
  <conditionalFormatting sqref="K44">
    <cfRule type="duplicateValues" dxfId="92" priority="96"/>
  </conditionalFormatting>
  <conditionalFormatting sqref="K45">
    <cfRule type="duplicateValues" dxfId="91" priority="95"/>
  </conditionalFormatting>
  <conditionalFormatting sqref="K48">
    <cfRule type="duplicateValues" dxfId="90" priority="94"/>
  </conditionalFormatting>
  <conditionalFormatting sqref="K49">
    <cfRule type="duplicateValues" dxfId="89" priority="93"/>
  </conditionalFormatting>
  <conditionalFormatting sqref="K50">
    <cfRule type="duplicateValues" dxfId="88" priority="92"/>
  </conditionalFormatting>
  <conditionalFormatting sqref="K51">
    <cfRule type="duplicateValues" dxfId="87" priority="91"/>
  </conditionalFormatting>
  <conditionalFormatting sqref="K52">
    <cfRule type="duplicateValues" dxfId="86" priority="90"/>
  </conditionalFormatting>
  <conditionalFormatting sqref="K53">
    <cfRule type="duplicateValues" dxfId="85" priority="89"/>
  </conditionalFormatting>
  <conditionalFormatting sqref="K46">
    <cfRule type="duplicateValues" dxfId="84" priority="88"/>
  </conditionalFormatting>
  <conditionalFormatting sqref="K47">
    <cfRule type="duplicateValues" dxfId="83" priority="87"/>
  </conditionalFormatting>
  <conditionalFormatting sqref="K23">
    <cfRule type="duplicateValues" dxfId="82" priority="86"/>
  </conditionalFormatting>
  <conditionalFormatting sqref="K24">
    <cfRule type="duplicateValues" dxfId="81" priority="85"/>
  </conditionalFormatting>
  <conditionalFormatting sqref="K15">
    <cfRule type="duplicateValues" dxfId="80" priority="84"/>
  </conditionalFormatting>
  <conditionalFormatting sqref="K31">
    <cfRule type="duplicateValues" dxfId="79" priority="83"/>
  </conditionalFormatting>
  <conditionalFormatting sqref="K39">
    <cfRule type="duplicateValues" dxfId="78" priority="82"/>
  </conditionalFormatting>
  <conditionalFormatting sqref="K54">
    <cfRule type="duplicateValues" dxfId="77" priority="81"/>
  </conditionalFormatting>
  <conditionalFormatting sqref="K55">
    <cfRule type="duplicateValues" dxfId="76" priority="80"/>
  </conditionalFormatting>
  <conditionalFormatting sqref="K56">
    <cfRule type="duplicateValues" dxfId="75" priority="79"/>
  </conditionalFormatting>
  <conditionalFormatting sqref="K57">
    <cfRule type="duplicateValues" dxfId="74" priority="78"/>
  </conditionalFormatting>
  <conditionalFormatting sqref="K58">
    <cfRule type="duplicateValues" dxfId="73" priority="77"/>
  </conditionalFormatting>
  <conditionalFormatting sqref="K59">
    <cfRule type="duplicateValues" dxfId="72" priority="76"/>
  </conditionalFormatting>
  <conditionalFormatting sqref="K60">
    <cfRule type="duplicateValues" dxfId="71" priority="75"/>
  </conditionalFormatting>
  <conditionalFormatting sqref="K61">
    <cfRule type="duplicateValues" dxfId="70" priority="74"/>
  </conditionalFormatting>
  <conditionalFormatting sqref="K62">
    <cfRule type="duplicateValues" dxfId="69" priority="73"/>
  </conditionalFormatting>
  <conditionalFormatting sqref="K63">
    <cfRule type="duplicateValues" dxfId="68" priority="72"/>
  </conditionalFormatting>
  <conditionalFormatting sqref="K64">
    <cfRule type="duplicateValues" dxfId="67" priority="71"/>
  </conditionalFormatting>
  <conditionalFormatting sqref="K65">
    <cfRule type="duplicateValues" dxfId="66" priority="70"/>
  </conditionalFormatting>
  <conditionalFormatting sqref="K66">
    <cfRule type="duplicateValues" dxfId="65" priority="69"/>
  </conditionalFormatting>
  <conditionalFormatting sqref="K67">
    <cfRule type="duplicateValues" dxfId="64" priority="68"/>
  </conditionalFormatting>
  <conditionalFormatting sqref="K68">
    <cfRule type="duplicateValues" dxfId="63" priority="67"/>
  </conditionalFormatting>
  <conditionalFormatting sqref="K69">
    <cfRule type="duplicateValues" dxfId="62" priority="66"/>
  </conditionalFormatting>
  <conditionalFormatting sqref="K70">
    <cfRule type="duplicateValues" dxfId="61" priority="65"/>
  </conditionalFormatting>
  <conditionalFormatting sqref="K71">
    <cfRule type="duplicateValues" dxfId="60" priority="64"/>
  </conditionalFormatting>
  <conditionalFormatting sqref="K72">
    <cfRule type="duplicateValues" dxfId="59" priority="63"/>
  </conditionalFormatting>
  <conditionalFormatting sqref="K73">
    <cfRule type="duplicateValues" dxfId="58" priority="62"/>
  </conditionalFormatting>
  <conditionalFormatting sqref="K74">
    <cfRule type="duplicateValues" dxfId="57" priority="61"/>
  </conditionalFormatting>
  <conditionalFormatting sqref="K75">
    <cfRule type="duplicateValues" dxfId="56" priority="60"/>
  </conditionalFormatting>
  <conditionalFormatting sqref="K76">
    <cfRule type="duplicateValues" dxfId="55" priority="59"/>
  </conditionalFormatting>
  <conditionalFormatting sqref="K77">
    <cfRule type="duplicateValues" dxfId="54" priority="58"/>
  </conditionalFormatting>
  <conditionalFormatting sqref="K78">
    <cfRule type="duplicateValues" dxfId="53" priority="57"/>
  </conditionalFormatting>
  <conditionalFormatting sqref="K79">
    <cfRule type="duplicateValues" dxfId="52" priority="56"/>
  </conditionalFormatting>
  <conditionalFormatting sqref="K80">
    <cfRule type="duplicateValues" dxfId="51" priority="55"/>
  </conditionalFormatting>
  <conditionalFormatting sqref="K81">
    <cfRule type="duplicateValues" dxfId="50" priority="54"/>
  </conditionalFormatting>
  <conditionalFormatting sqref="K82">
    <cfRule type="duplicateValues" dxfId="49" priority="53"/>
  </conditionalFormatting>
  <conditionalFormatting sqref="K83">
    <cfRule type="duplicateValues" dxfId="48" priority="52"/>
  </conditionalFormatting>
  <conditionalFormatting sqref="K84">
    <cfRule type="duplicateValues" dxfId="47" priority="51"/>
  </conditionalFormatting>
  <conditionalFormatting sqref="K85">
    <cfRule type="duplicateValues" dxfId="46" priority="50"/>
  </conditionalFormatting>
  <conditionalFormatting sqref="K86">
    <cfRule type="duplicateValues" dxfId="45" priority="49"/>
  </conditionalFormatting>
  <conditionalFormatting sqref="K87">
    <cfRule type="duplicateValues" dxfId="44" priority="48"/>
  </conditionalFormatting>
  <conditionalFormatting sqref="K88">
    <cfRule type="duplicateValues" dxfId="43" priority="47"/>
  </conditionalFormatting>
  <conditionalFormatting sqref="K89">
    <cfRule type="duplicateValues" dxfId="42" priority="46"/>
  </conditionalFormatting>
  <conditionalFormatting sqref="K90">
    <cfRule type="duplicateValues" dxfId="41" priority="45"/>
  </conditionalFormatting>
  <conditionalFormatting sqref="K91">
    <cfRule type="duplicateValues" dxfId="40" priority="44"/>
  </conditionalFormatting>
  <conditionalFormatting sqref="K92">
    <cfRule type="duplicateValues" dxfId="39" priority="43"/>
  </conditionalFormatting>
  <conditionalFormatting sqref="K93">
    <cfRule type="duplicateValues" dxfId="38" priority="42"/>
  </conditionalFormatting>
  <conditionalFormatting sqref="K94">
    <cfRule type="duplicateValues" dxfId="37" priority="41"/>
  </conditionalFormatting>
  <conditionalFormatting sqref="K95">
    <cfRule type="duplicateValues" dxfId="36" priority="40"/>
  </conditionalFormatting>
  <conditionalFormatting sqref="K96">
    <cfRule type="duplicateValues" dxfId="35" priority="39"/>
  </conditionalFormatting>
  <conditionalFormatting sqref="K97">
    <cfRule type="duplicateValues" dxfId="34" priority="38"/>
  </conditionalFormatting>
  <conditionalFormatting sqref="K98">
    <cfRule type="duplicateValues" dxfId="33" priority="37"/>
  </conditionalFormatting>
  <conditionalFormatting sqref="K99">
    <cfRule type="duplicateValues" dxfId="32" priority="36"/>
  </conditionalFormatting>
  <conditionalFormatting sqref="K100">
    <cfRule type="duplicateValues" dxfId="31" priority="35"/>
  </conditionalFormatting>
  <conditionalFormatting sqref="K101">
    <cfRule type="duplicateValues" dxfId="30" priority="34"/>
  </conditionalFormatting>
  <conditionalFormatting sqref="K102">
    <cfRule type="duplicateValues" dxfId="29" priority="33"/>
  </conditionalFormatting>
  <conditionalFormatting sqref="K103">
    <cfRule type="duplicateValues" dxfId="28" priority="32"/>
  </conditionalFormatting>
  <conditionalFormatting sqref="K104">
    <cfRule type="duplicateValues" dxfId="27" priority="31"/>
  </conditionalFormatting>
  <conditionalFormatting sqref="K105">
    <cfRule type="duplicateValues" dxfId="26" priority="30"/>
  </conditionalFormatting>
  <conditionalFormatting sqref="K106">
    <cfRule type="duplicateValues" dxfId="25" priority="29"/>
  </conditionalFormatting>
  <conditionalFormatting sqref="K107">
    <cfRule type="duplicateValues" dxfId="24" priority="28"/>
  </conditionalFormatting>
  <conditionalFormatting sqref="K108">
    <cfRule type="duplicateValues" dxfId="23" priority="27"/>
  </conditionalFormatting>
  <conditionalFormatting sqref="K109">
    <cfRule type="duplicateValues" dxfId="22" priority="26"/>
  </conditionalFormatting>
  <conditionalFormatting sqref="K110">
    <cfRule type="duplicateValues" dxfId="21" priority="25"/>
  </conditionalFormatting>
  <conditionalFormatting sqref="K111">
    <cfRule type="duplicateValues" dxfId="20" priority="24"/>
  </conditionalFormatting>
  <conditionalFormatting sqref="K112">
    <cfRule type="duplicateValues" dxfId="19" priority="23"/>
  </conditionalFormatting>
  <conditionalFormatting sqref="K113">
    <cfRule type="duplicateValues" dxfId="18" priority="22"/>
  </conditionalFormatting>
  <conditionalFormatting sqref="K114">
    <cfRule type="duplicateValues" dxfId="17" priority="21"/>
  </conditionalFormatting>
  <conditionalFormatting sqref="K115">
    <cfRule type="duplicateValues" dxfId="16" priority="20"/>
  </conditionalFormatting>
  <conditionalFormatting sqref="K116">
    <cfRule type="duplicateValues" dxfId="15" priority="19"/>
  </conditionalFormatting>
  <conditionalFormatting sqref="K117">
    <cfRule type="duplicateValues" dxfId="14" priority="18"/>
  </conditionalFormatting>
  <conditionalFormatting sqref="K118">
    <cfRule type="duplicateValues" dxfId="13" priority="17"/>
  </conditionalFormatting>
  <conditionalFormatting sqref="K119">
    <cfRule type="duplicateValues" dxfId="12" priority="16"/>
  </conditionalFormatting>
  <conditionalFormatting sqref="K120">
    <cfRule type="duplicateValues" dxfId="11" priority="15"/>
  </conditionalFormatting>
  <conditionalFormatting sqref="K121">
    <cfRule type="duplicateValues" dxfId="10" priority="14"/>
  </conditionalFormatting>
  <conditionalFormatting sqref="K122">
    <cfRule type="duplicateValues" dxfId="9" priority="13"/>
  </conditionalFormatting>
  <conditionalFormatting sqref="K123">
    <cfRule type="duplicateValues" dxfId="8" priority="12"/>
  </conditionalFormatting>
  <conditionalFormatting sqref="K124">
    <cfRule type="duplicateValues" dxfId="7" priority="11"/>
  </conditionalFormatting>
  <conditionalFormatting sqref="K125">
    <cfRule type="duplicateValues" dxfId="6" priority="10"/>
  </conditionalFormatting>
  <conditionalFormatting sqref="K126">
    <cfRule type="duplicateValues" dxfId="5" priority="9"/>
  </conditionalFormatting>
  <conditionalFormatting sqref="K3">
    <cfRule type="duplicateValues" dxfId="4" priority="6"/>
  </conditionalFormatting>
  <conditionalFormatting sqref="K4">
    <cfRule type="duplicateValues" dxfId="3" priority="5"/>
  </conditionalFormatting>
  <conditionalFormatting sqref="K8">
    <cfRule type="duplicateValues" dxfId="2" priority="4"/>
  </conditionalFormatting>
  <conditionalFormatting sqref="K9">
    <cfRule type="duplicateValues" dxfId="1" priority="3"/>
  </conditionalFormatting>
  <conditionalFormatting sqref="K6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</sheetPr>
  <dimension ref="A1:R12"/>
  <sheetViews>
    <sheetView workbookViewId="0">
      <selection activeCell="P12" sqref="P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161" t="s">
        <v>409</v>
      </c>
      <c r="B1" s="161" t="s">
        <v>410</v>
      </c>
      <c r="C1" s="162" t="s">
        <v>411</v>
      </c>
      <c r="D1" s="163" t="s">
        <v>412</v>
      </c>
      <c r="E1" s="164" t="s">
        <v>413</v>
      </c>
      <c r="F1" s="161" t="s">
        <v>414</v>
      </c>
      <c r="G1" s="161" t="s">
        <v>415</v>
      </c>
      <c r="H1" s="161" t="s">
        <v>416</v>
      </c>
      <c r="I1" s="161" t="s">
        <v>417</v>
      </c>
      <c r="J1" s="161" t="s">
        <v>418</v>
      </c>
      <c r="K1" s="161" t="s">
        <v>419</v>
      </c>
      <c r="L1" s="161" t="s">
        <v>420</v>
      </c>
      <c r="M1" s="161" t="s">
        <v>421</v>
      </c>
      <c r="N1" s="161" t="s">
        <v>422</v>
      </c>
      <c r="O1" s="161" t="s">
        <v>423</v>
      </c>
      <c r="P1" s="161" t="s">
        <v>424</v>
      </c>
      <c r="Q1" s="161" t="s">
        <v>425</v>
      </c>
      <c r="R1" s="161" t="s">
        <v>426</v>
      </c>
    </row>
    <row r="2" spans="1:18" x14ac:dyDescent="0.15">
      <c r="A2" s="51">
        <v>39014</v>
      </c>
      <c r="B2" s="51">
        <v>1</v>
      </c>
      <c r="C2" s="137" t="str">
        <f t="shared" ref="C2:C12" si="0">A2&amp; "_"&amp;B2</f>
        <v>39014_1</v>
      </c>
      <c r="D2" s="16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1">
        <v>1</v>
      </c>
      <c r="F2" s="51" t="s">
        <v>61</v>
      </c>
      <c r="G2" s="51">
        <v>6500</v>
      </c>
      <c r="H2" s="51" t="s">
        <v>374</v>
      </c>
      <c r="I2" s="51">
        <v>1</v>
      </c>
      <c r="J2" s="51">
        <v>1</v>
      </c>
      <c r="K2" s="51">
        <v>0</v>
      </c>
      <c r="L2" s="51">
        <v>0</v>
      </c>
      <c r="M2" s="51">
        <v>0</v>
      </c>
      <c r="N2" s="51">
        <v>0</v>
      </c>
      <c r="O2" s="51">
        <v>1</v>
      </c>
      <c r="P2" s="51">
        <v>35</v>
      </c>
      <c r="Q2" s="51" t="s">
        <v>235</v>
      </c>
      <c r="R2" s="51" t="s">
        <v>236</v>
      </c>
    </row>
    <row r="3" spans="1:18" x14ac:dyDescent="0.15">
      <c r="A3" s="51">
        <v>39014</v>
      </c>
      <c r="B3" s="51">
        <v>1</v>
      </c>
      <c r="C3" s="137" t="str">
        <f t="shared" si="0"/>
        <v>39014_1</v>
      </c>
      <c r="D3" s="16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1">
        <v>2</v>
      </c>
      <c r="F3" s="51" t="s">
        <v>173</v>
      </c>
      <c r="G3" s="51">
        <v>25</v>
      </c>
      <c r="H3" s="51" t="s">
        <v>374</v>
      </c>
      <c r="I3" s="51">
        <v>1</v>
      </c>
      <c r="J3" s="51">
        <v>1</v>
      </c>
      <c r="K3" s="51">
        <v>0</v>
      </c>
      <c r="L3" s="51">
        <v>0</v>
      </c>
      <c r="M3" s="51">
        <v>0</v>
      </c>
      <c r="N3" s="51">
        <v>0</v>
      </c>
      <c r="O3" s="51">
        <v>1</v>
      </c>
      <c r="P3" s="51">
        <v>35</v>
      </c>
      <c r="Q3" s="51" t="s">
        <v>235</v>
      </c>
      <c r="R3" s="51" t="s">
        <v>236</v>
      </c>
    </row>
    <row r="4" spans="1:18" x14ac:dyDescent="0.15">
      <c r="A4" s="51">
        <v>39014</v>
      </c>
      <c r="B4" s="51">
        <v>1</v>
      </c>
      <c r="C4" s="137" t="str">
        <f t="shared" si="0"/>
        <v>39014_1</v>
      </c>
      <c r="D4" s="16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1">
        <v>3</v>
      </c>
      <c r="F4" s="51" t="s">
        <v>159</v>
      </c>
      <c r="G4" s="51">
        <v>1575</v>
      </c>
      <c r="H4" s="51">
        <v>1</v>
      </c>
      <c r="I4" s="51">
        <v>1</v>
      </c>
      <c r="J4" s="51">
        <v>1</v>
      </c>
      <c r="K4" s="51">
        <v>0</v>
      </c>
      <c r="L4" s="51">
        <v>0</v>
      </c>
      <c r="M4" s="51">
        <v>0</v>
      </c>
      <c r="N4" s="51">
        <v>0</v>
      </c>
      <c r="O4" s="51">
        <v>1</v>
      </c>
      <c r="P4" s="51">
        <v>700</v>
      </c>
      <c r="Q4" s="51" t="s">
        <v>235</v>
      </c>
      <c r="R4" s="51" t="s">
        <v>236</v>
      </c>
    </row>
    <row r="5" spans="1:18" x14ac:dyDescent="0.15">
      <c r="A5" s="51">
        <v>39014</v>
      </c>
      <c r="B5" s="51">
        <v>1</v>
      </c>
      <c r="C5" s="137" t="str">
        <f t="shared" si="0"/>
        <v>39014_1</v>
      </c>
      <c r="D5" s="16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1">
        <v>4</v>
      </c>
      <c r="F5" s="51" t="s">
        <v>159</v>
      </c>
      <c r="G5" s="51">
        <v>340</v>
      </c>
      <c r="H5" s="51">
        <v>1</v>
      </c>
      <c r="I5" s="51">
        <v>1</v>
      </c>
      <c r="J5" s="51">
        <v>1</v>
      </c>
      <c r="K5" s="51">
        <v>0</v>
      </c>
      <c r="L5" s="51">
        <v>0</v>
      </c>
      <c r="M5" s="51">
        <v>0</v>
      </c>
      <c r="N5" s="51">
        <v>0</v>
      </c>
      <c r="O5" s="51">
        <v>1</v>
      </c>
      <c r="P5" s="51">
        <v>20</v>
      </c>
      <c r="Q5" s="51" t="s">
        <v>235</v>
      </c>
      <c r="R5" s="51" t="s">
        <v>236</v>
      </c>
    </row>
    <row r="6" spans="1:18" x14ac:dyDescent="0.15">
      <c r="A6" s="51">
        <v>39014</v>
      </c>
      <c r="B6" s="51">
        <v>1</v>
      </c>
      <c r="C6" s="137" t="str">
        <f t="shared" si="0"/>
        <v>39014_1</v>
      </c>
      <c r="D6" s="16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1">
        <v>5</v>
      </c>
      <c r="F6" s="51" t="s">
        <v>159</v>
      </c>
      <c r="G6" s="51">
        <v>341</v>
      </c>
      <c r="H6" s="51">
        <v>1</v>
      </c>
      <c r="I6" s="51">
        <v>1</v>
      </c>
      <c r="J6" s="51">
        <v>1</v>
      </c>
      <c r="K6" s="51">
        <v>0</v>
      </c>
      <c r="L6" s="51">
        <v>0</v>
      </c>
      <c r="M6" s="51">
        <v>0</v>
      </c>
      <c r="N6" s="51">
        <v>0</v>
      </c>
      <c r="O6" s="51">
        <v>1</v>
      </c>
      <c r="P6" s="51">
        <v>30</v>
      </c>
      <c r="Q6" s="51" t="s">
        <v>235</v>
      </c>
      <c r="R6" s="51" t="s">
        <v>236</v>
      </c>
    </row>
    <row r="7" spans="1:18" x14ac:dyDescent="0.15">
      <c r="A7" s="51">
        <v>39014</v>
      </c>
      <c r="B7" s="51">
        <v>1</v>
      </c>
      <c r="C7" s="137" t="str">
        <f t="shared" si="0"/>
        <v>39014_1</v>
      </c>
      <c r="D7" s="16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1">
        <v>6</v>
      </c>
      <c r="F7" s="51" t="s">
        <v>159</v>
      </c>
      <c r="G7" s="51">
        <v>342</v>
      </c>
      <c r="H7" s="51">
        <v>1</v>
      </c>
      <c r="I7" s="51">
        <v>1</v>
      </c>
      <c r="J7" s="51">
        <v>1</v>
      </c>
      <c r="K7" s="51">
        <v>0</v>
      </c>
      <c r="L7" s="51">
        <v>0</v>
      </c>
      <c r="M7" s="51">
        <v>0</v>
      </c>
      <c r="N7" s="51">
        <v>0</v>
      </c>
      <c r="O7" s="51">
        <v>1</v>
      </c>
      <c r="P7" s="51">
        <v>30</v>
      </c>
      <c r="Q7" s="51" t="s">
        <v>235</v>
      </c>
      <c r="R7" s="51" t="s">
        <v>236</v>
      </c>
    </row>
    <row r="8" spans="1:18" x14ac:dyDescent="0.15">
      <c r="A8" s="51">
        <v>39014</v>
      </c>
      <c r="B8" s="51">
        <v>1</v>
      </c>
      <c r="C8" s="137" t="str">
        <f t="shared" si="0"/>
        <v>39014_1</v>
      </c>
      <c r="D8" s="16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1">
        <v>7</v>
      </c>
      <c r="F8" s="51" t="s">
        <v>159</v>
      </c>
      <c r="G8" s="51">
        <v>352</v>
      </c>
      <c r="H8" s="51">
        <v>1</v>
      </c>
      <c r="I8" s="51">
        <v>1</v>
      </c>
      <c r="J8" s="51">
        <v>1</v>
      </c>
      <c r="K8" s="51">
        <v>0</v>
      </c>
      <c r="L8" s="51">
        <v>0</v>
      </c>
      <c r="M8" s="51">
        <v>0</v>
      </c>
      <c r="N8" s="51">
        <v>0</v>
      </c>
      <c r="O8" s="51">
        <v>1</v>
      </c>
      <c r="P8" s="51">
        <v>50</v>
      </c>
      <c r="Q8" s="51" t="s">
        <v>235</v>
      </c>
      <c r="R8" s="51" t="s">
        <v>236</v>
      </c>
    </row>
    <row r="9" spans="1:18" x14ac:dyDescent="0.15">
      <c r="A9" s="51">
        <v>39014</v>
      </c>
      <c r="B9" s="51">
        <v>1</v>
      </c>
      <c r="C9" s="137" t="str">
        <f t="shared" si="0"/>
        <v>39014_1</v>
      </c>
      <c r="D9" s="16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1">
        <v>8</v>
      </c>
      <c r="F9" s="51" t="s">
        <v>159</v>
      </c>
      <c r="G9" s="51">
        <v>121</v>
      </c>
      <c r="H9" s="51">
        <v>1</v>
      </c>
      <c r="I9" s="51">
        <v>1</v>
      </c>
      <c r="J9" s="51">
        <v>1</v>
      </c>
      <c r="K9" s="51">
        <v>0</v>
      </c>
      <c r="L9" s="51">
        <v>0</v>
      </c>
      <c r="M9" s="51">
        <v>0</v>
      </c>
      <c r="N9" s="51">
        <v>0</v>
      </c>
      <c r="O9" s="51">
        <v>1</v>
      </c>
      <c r="P9" s="51">
        <v>30</v>
      </c>
      <c r="Q9" s="51" t="s">
        <v>235</v>
      </c>
      <c r="R9" s="51" t="s">
        <v>236</v>
      </c>
    </row>
    <row r="10" spans="1:18" x14ac:dyDescent="0.15">
      <c r="A10" s="51">
        <v>39014</v>
      </c>
      <c r="B10" s="51">
        <v>1</v>
      </c>
      <c r="C10" s="137" t="str">
        <f t="shared" si="0"/>
        <v>39014_1</v>
      </c>
      <c r="D10" s="16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1">
        <v>9</v>
      </c>
      <c r="F10" s="51" t="s">
        <v>159</v>
      </c>
      <c r="G10" s="51">
        <v>122</v>
      </c>
      <c r="H10" s="51">
        <v>1</v>
      </c>
      <c r="I10" s="51">
        <v>1</v>
      </c>
      <c r="J10" s="51">
        <v>1</v>
      </c>
      <c r="K10" s="51">
        <v>0</v>
      </c>
      <c r="L10" s="51">
        <v>0</v>
      </c>
      <c r="M10" s="51">
        <v>0</v>
      </c>
      <c r="N10" s="51">
        <v>0</v>
      </c>
      <c r="O10" s="51">
        <v>1</v>
      </c>
      <c r="P10" s="51">
        <v>30</v>
      </c>
      <c r="Q10" s="51" t="s">
        <v>235</v>
      </c>
      <c r="R10" s="51" t="s">
        <v>236</v>
      </c>
    </row>
    <row r="11" spans="1:18" x14ac:dyDescent="0.15">
      <c r="A11" s="51">
        <v>39014</v>
      </c>
      <c r="B11" s="51">
        <v>1</v>
      </c>
      <c r="C11" s="137" t="str">
        <f t="shared" si="0"/>
        <v>39014_1</v>
      </c>
      <c r="D11" s="16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1">
        <v>10</v>
      </c>
      <c r="F11" s="51" t="s">
        <v>159</v>
      </c>
      <c r="G11" s="51">
        <v>123</v>
      </c>
      <c r="H11" s="51">
        <v>1</v>
      </c>
      <c r="I11" s="51">
        <v>1</v>
      </c>
      <c r="J11" s="51">
        <v>1</v>
      </c>
      <c r="K11" s="51">
        <v>0</v>
      </c>
      <c r="L11" s="51">
        <v>0</v>
      </c>
      <c r="M11" s="51">
        <v>0</v>
      </c>
      <c r="N11" s="51">
        <v>0</v>
      </c>
      <c r="O11" s="51">
        <v>1</v>
      </c>
      <c r="P11" s="51">
        <v>30</v>
      </c>
      <c r="Q11" s="51" t="s">
        <v>235</v>
      </c>
      <c r="R11" s="51" t="s">
        <v>236</v>
      </c>
    </row>
    <row r="12" spans="1:18" ht="16" thickBot="1" x14ac:dyDescent="0.2">
      <c r="A12" s="51">
        <v>39014</v>
      </c>
      <c r="B12" s="51">
        <v>1</v>
      </c>
      <c r="C12" s="137" t="str">
        <f t="shared" si="0"/>
        <v>39014_1</v>
      </c>
      <c r="D12" s="1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1">
        <v>11</v>
      </c>
      <c r="F12" s="51" t="s">
        <v>159</v>
      </c>
      <c r="G12" s="51">
        <v>125</v>
      </c>
      <c r="H12" s="51">
        <v>1</v>
      </c>
      <c r="I12" s="51">
        <v>1</v>
      </c>
      <c r="J12" s="51">
        <v>1</v>
      </c>
      <c r="K12" s="51">
        <v>0</v>
      </c>
      <c r="L12" s="51">
        <v>0</v>
      </c>
      <c r="M12" s="51">
        <v>0</v>
      </c>
      <c r="N12" s="51">
        <v>0</v>
      </c>
      <c r="O12" s="51">
        <v>1</v>
      </c>
      <c r="P12" s="189">
        <v>10</v>
      </c>
      <c r="Q12" s="51" t="s">
        <v>235</v>
      </c>
      <c r="R12" s="51" t="s">
        <v>236</v>
      </c>
    </row>
  </sheetData>
  <phoneticPr fontId="12"/>
  <dataValidations count="1">
    <dataValidation type="list" allowBlank="1" showInputMessage="1" showErrorMessage="1" sqref="F2:F12">
      <formula1>"bit,link,polygon,unit"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activeCell="D2" sqref="D2"/>
      <selection pane="bottomLeft" activeCell="E7" sqref="E7"/>
    </sheetView>
  </sheetViews>
  <sheetFormatPr baseColWidth="12" defaultColWidth="13" defaultRowHeight="15" outlineLevelCol="1" x14ac:dyDescent="0.15"/>
  <cols>
    <col min="1" max="1" width="13" style="6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58" t="s">
        <v>475</v>
      </c>
      <c r="B1" s="57" t="s">
        <v>471</v>
      </c>
      <c r="C1" s="59" t="s">
        <v>476</v>
      </c>
      <c r="D1" s="59" t="s">
        <v>20</v>
      </c>
      <c r="E1" s="57" t="s">
        <v>477</v>
      </c>
      <c r="F1" s="59" t="s">
        <v>476</v>
      </c>
      <c r="G1" s="59" t="s">
        <v>20</v>
      </c>
      <c r="H1" s="57" t="s">
        <v>478</v>
      </c>
      <c r="I1" s="67" t="s">
        <v>479</v>
      </c>
      <c r="J1" s="61" t="s">
        <v>480</v>
      </c>
      <c r="K1" s="60" t="s">
        <v>481</v>
      </c>
      <c r="L1" s="68" t="s">
        <v>482</v>
      </c>
      <c r="M1" s="62" t="s">
        <v>483</v>
      </c>
    </row>
  </sheetData>
  <phoneticPr fontId="12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0000FF"/>
    <outlinePr summaryBelow="0" summaryRight="0"/>
  </sheetPr>
  <dimension ref="A1:O59"/>
  <sheetViews>
    <sheetView showGridLines="0" workbookViewId="0">
      <pane ySplit="1" topLeftCell="A10" activePane="bottomLeft" state="frozen"/>
      <selection activeCell="D2" sqref="D2"/>
      <selection pane="bottomLeft" activeCell="E41" sqref="E41"/>
    </sheetView>
  </sheetViews>
  <sheetFormatPr baseColWidth="12" defaultColWidth="13" defaultRowHeight="15" outlineLevelCol="1" x14ac:dyDescent="0.15"/>
  <cols>
    <col min="1" max="1" width="13" style="6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58" t="s">
        <v>431</v>
      </c>
      <c r="B1" s="57" t="s">
        <v>432</v>
      </c>
      <c r="C1" s="59" t="s">
        <v>433</v>
      </c>
      <c r="D1" s="59" t="s">
        <v>20</v>
      </c>
      <c r="E1" s="57" t="s">
        <v>434</v>
      </c>
      <c r="F1" s="59" t="s">
        <v>433</v>
      </c>
      <c r="G1" s="59" t="s">
        <v>20</v>
      </c>
      <c r="H1" s="57" t="s">
        <v>435</v>
      </c>
      <c r="I1" s="66" t="s">
        <v>436</v>
      </c>
      <c r="J1" s="67" t="s">
        <v>437</v>
      </c>
      <c r="K1" s="61" t="s">
        <v>438</v>
      </c>
      <c r="L1" s="60" t="s">
        <v>439</v>
      </c>
      <c r="M1" s="68" t="s">
        <v>440</v>
      </c>
      <c r="N1" s="62" t="s">
        <v>441</v>
      </c>
      <c r="O1" t="s">
        <v>597</v>
      </c>
    </row>
    <row r="2" spans="1:15" ht="34" x14ac:dyDescent="0.15">
      <c r="A2" s="138" t="s">
        <v>239</v>
      </c>
      <c r="B2" s="63">
        <v>39014</v>
      </c>
      <c r="C2" s="64" t="str">
        <f ca="1">VLOOKUP($B2,OFFSET([2]quests!$A$1,0,0,COUNTA([2]quests!$A:$A),MATCH(C$1,[2]quests!$1:$1,0)-MATCH($B$1,[2]quests!$1:$1,0)+1),MATCH(C$1,[2]quests!$1:$1,0)-MATCH($B$1,[2]quests!$1:$1,0)+1,FALSE)</f>
        <v>金券</v>
      </c>
      <c r="D2" s="64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139">
        <v>1</v>
      </c>
      <c r="F2" s="64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【超級】金券</v>
      </c>
      <c r="G2" s="64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143">
        <v>0</v>
      </c>
      <c r="I2" s="140">
        <f t="shared" ref="I2:I59" si="0">ROW()-1</f>
        <v>1</v>
      </c>
      <c r="J2" s="141" t="str">
        <f t="shared" ref="J2:J59" si="1">B2&amp;TEXT(I2,"00")</f>
        <v>3901401</v>
      </c>
      <c r="K2" s="139" t="s">
        <v>428</v>
      </c>
      <c r="L2" s="197" t="s">
        <v>544</v>
      </c>
      <c r="M2" s="197" t="s">
        <v>545</v>
      </c>
      <c r="N2" s="51" t="s">
        <v>429</v>
      </c>
      <c r="O2" s="51" t="s">
        <v>429</v>
      </c>
    </row>
    <row r="3" spans="1:15" ht="51" x14ac:dyDescent="0.15">
      <c r="A3" s="138" t="s">
        <v>239</v>
      </c>
      <c r="B3" s="63">
        <v>39014</v>
      </c>
      <c r="C3" s="64" t="str">
        <f ca="1">VLOOKUP($B3,OFFSET([2]quests!$A$1,0,0,COUNTA([2]quests!$A:$A),MATCH(C$1,[2]quests!$1:$1,0)-MATCH($B$1,[2]quests!$1:$1,0)+1),MATCH(C$1,[2]quests!$1:$1,0)-MATCH($B$1,[2]quests!$1:$1,0)+1,FALSE)</f>
        <v>金券</v>
      </c>
      <c r="D3" s="64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139">
        <v>1</v>
      </c>
      <c r="F3" s="64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【超級】金券</v>
      </c>
      <c r="G3" s="64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143">
        <v>0</v>
      </c>
      <c r="I3" s="140">
        <f t="shared" si="0"/>
        <v>2</v>
      </c>
      <c r="J3" s="141" t="str">
        <f t="shared" si="1"/>
        <v>3901402</v>
      </c>
      <c r="K3" s="139" t="s">
        <v>428</v>
      </c>
      <c r="L3" s="197" t="s">
        <v>546</v>
      </c>
      <c r="M3" s="197" t="s">
        <v>547</v>
      </c>
      <c r="N3" s="51" t="s">
        <v>429</v>
      </c>
      <c r="O3" s="51" t="s">
        <v>429</v>
      </c>
    </row>
    <row r="4" spans="1:15" ht="34" x14ac:dyDescent="0.15">
      <c r="A4" s="138" t="s">
        <v>239</v>
      </c>
      <c r="B4" s="63">
        <v>39014</v>
      </c>
      <c r="C4" s="64" t="str">
        <f ca="1">VLOOKUP($B4,OFFSET([2]quests!$A$1,0,0,COUNTA([2]quests!$A:$A),MATCH(C$1,[2]quests!$1:$1,0)-MATCH($B$1,[2]quests!$1:$1,0)+1),MATCH(C$1,[2]quests!$1:$1,0)-MATCH($B$1,[2]quests!$1:$1,0)+1,FALSE)</f>
        <v>金券</v>
      </c>
      <c r="D4" s="64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139">
        <v>1</v>
      </c>
      <c r="F4" s="64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【超級】金券</v>
      </c>
      <c r="G4" s="64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143">
        <v>0</v>
      </c>
      <c r="I4" s="140">
        <f t="shared" si="0"/>
        <v>3</v>
      </c>
      <c r="J4" s="141" t="str">
        <f t="shared" si="1"/>
        <v>3901403</v>
      </c>
      <c r="K4" s="139" t="s">
        <v>428</v>
      </c>
      <c r="L4" s="197" t="s">
        <v>548</v>
      </c>
      <c r="M4" s="197" t="s">
        <v>549</v>
      </c>
      <c r="N4" s="51" t="s">
        <v>429</v>
      </c>
      <c r="O4" s="51" t="s">
        <v>429</v>
      </c>
    </row>
    <row r="5" spans="1:15" ht="42" x14ac:dyDescent="0.15">
      <c r="A5" s="138" t="s">
        <v>239</v>
      </c>
      <c r="B5" s="63">
        <v>39014</v>
      </c>
      <c r="C5" s="64" t="str">
        <f ca="1">VLOOKUP($B5,OFFSET([2]quests!$A$1,0,0,COUNTA([2]quests!$A:$A),MATCH(C$1,[2]quests!$1:$1,0)-MATCH($B$1,[2]quests!$1:$1,0)+1),MATCH(C$1,[2]quests!$1:$1,0)-MATCH($B$1,[2]quests!$1:$1,0)+1,FALSE)</f>
        <v>金券</v>
      </c>
      <c r="D5" s="64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139">
        <v>1</v>
      </c>
      <c r="F5" s="64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【超級】金券</v>
      </c>
      <c r="G5" s="64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143">
        <v>0</v>
      </c>
      <c r="I5" s="140">
        <f t="shared" si="0"/>
        <v>4</v>
      </c>
      <c r="J5" s="141" t="str">
        <f t="shared" ref="J5:J26" si="2">B5&amp;TEXT(I5,"00")</f>
        <v>3901404</v>
      </c>
      <c r="K5" s="139" t="s">
        <v>428</v>
      </c>
      <c r="L5" s="199" t="s">
        <v>598</v>
      </c>
      <c r="M5" s="200" t="s">
        <v>636</v>
      </c>
      <c r="N5" s="51" t="s">
        <v>429</v>
      </c>
      <c r="O5" s="41">
        <v>1579</v>
      </c>
    </row>
    <row r="6" spans="1:15" ht="28" x14ac:dyDescent="0.15">
      <c r="A6" s="138" t="s">
        <v>239</v>
      </c>
      <c r="B6" s="63">
        <v>39014</v>
      </c>
      <c r="C6" s="64" t="str">
        <f ca="1">VLOOKUP($B6,OFFSET([2]quests!$A$1,0,0,COUNTA([2]quests!$A:$A),MATCH(C$1,[2]quests!$1:$1,0)-MATCH($B$1,[2]quests!$1:$1,0)+1),MATCH(C$1,[2]quests!$1:$1,0)-MATCH($B$1,[2]quests!$1:$1,0)+1,FALSE)</f>
        <v>金券</v>
      </c>
      <c r="D6" s="64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139">
        <v>1</v>
      </c>
      <c r="F6" s="64" t="str">
        <f ca="1">VLOOKUP($B6&amp;"_"&amp;$E6,OFFSET([2]stages!$A$1,0,0,COUNTA([2]stages!$A:$A),MATCH(F$1,[2]stages!$2:$2,0)-MATCH("temp_stage",[2]stages!$2:$2,0)+1),MATCH(F$1,[2]stages!$2:$2,0)-MATCH("temp_stage",[2]stages!$2:$2,0)+1,FALSE)</f>
        <v>【超級】金券</v>
      </c>
      <c r="G6" s="64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143">
        <v>0</v>
      </c>
      <c r="I6" s="140">
        <f t="shared" si="0"/>
        <v>5</v>
      </c>
      <c r="J6" s="141" t="str">
        <f t="shared" si="2"/>
        <v>3901405</v>
      </c>
      <c r="K6" s="139" t="s">
        <v>428</v>
      </c>
      <c r="L6" s="199" t="s">
        <v>599</v>
      </c>
      <c r="M6" s="200" t="s">
        <v>648</v>
      </c>
      <c r="N6" s="51" t="s">
        <v>429</v>
      </c>
      <c r="O6" s="41">
        <v>1587</v>
      </c>
    </row>
    <row r="7" spans="1:15" x14ac:dyDescent="0.15">
      <c r="A7" s="138" t="s">
        <v>239</v>
      </c>
      <c r="B7" s="63">
        <v>39014</v>
      </c>
      <c r="C7" s="64" t="str">
        <f ca="1">VLOOKUP($B7,OFFSET([2]quests!$A$1,0,0,COUNTA([2]quests!$A:$A),MATCH(C$1,[2]quests!$1:$1,0)-MATCH($B$1,[2]quests!$1:$1,0)+1),MATCH(C$1,[2]quests!$1:$1,0)-MATCH($B$1,[2]quests!$1:$1,0)+1,FALSE)</f>
        <v>金券</v>
      </c>
      <c r="D7" s="64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139">
        <v>1</v>
      </c>
      <c r="F7" s="64" t="str">
        <f ca="1">VLOOKUP($B7&amp;"_"&amp;$E7,OFFSET([2]stages!$A$1,0,0,COUNTA([2]stages!$A:$A),MATCH(F$1,[2]stages!$2:$2,0)-MATCH("temp_stage",[2]stages!$2:$2,0)+1),MATCH(F$1,[2]stages!$2:$2,0)-MATCH("temp_stage",[2]stages!$2:$2,0)+1,FALSE)</f>
        <v>【超級】金券</v>
      </c>
      <c r="G7" s="64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143">
        <v>0</v>
      </c>
      <c r="I7" s="140">
        <f t="shared" si="0"/>
        <v>6</v>
      </c>
      <c r="J7" s="141" t="str">
        <f t="shared" si="2"/>
        <v>3901406</v>
      </c>
      <c r="K7" s="139" t="s">
        <v>428</v>
      </c>
      <c r="L7" s="199" t="s">
        <v>618</v>
      </c>
      <c r="M7" s="200" t="s">
        <v>646</v>
      </c>
      <c r="N7" s="51" t="s">
        <v>429</v>
      </c>
      <c r="O7" s="41">
        <v>1581</v>
      </c>
    </row>
    <row r="8" spans="1:15" ht="42" x14ac:dyDescent="0.15">
      <c r="A8" s="138" t="s">
        <v>239</v>
      </c>
      <c r="B8" s="63">
        <v>39014</v>
      </c>
      <c r="C8" s="64" t="str">
        <f ca="1">VLOOKUP($B8,OFFSET([2]quests!$A$1,0,0,COUNTA([2]quests!$A:$A),MATCH(C$1,[2]quests!$1:$1,0)-MATCH($B$1,[2]quests!$1:$1,0)+1),MATCH(C$1,[2]quests!$1:$1,0)-MATCH($B$1,[2]quests!$1:$1,0)+1,FALSE)</f>
        <v>金券</v>
      </c>
      <c r="D8" s="64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139">
        <v>1</v>
      </c>
      <c r="F8" s="64" t="str">
        <f ca="1">VLOOKUP($B8&amp;"_"&amp;$E8,OFFSET([2]stages!$A$1,0,0,COUNTA([2]stages!$A:$A),MATCH(F$1,[2]stages!$2:$2,0)-MATCH("temp_stage",[2]stages!$2:$2,0)+1),MATCH(F$1,[2]stages!$2:$2,0)-MATCH("temp_stage",[2]stages!$2:$2,0)+1,FALSE)</f>
        <v>【超級】金券</v>
      </c>
      <c r="G8" s="64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143">
        <v>0</v>
      </c>
      <c r="I8" s="140">
        <f t="shared" si="0"/>
        <v>7</v>
      </c>
      <c r="J8" s="141" t="str">
        <f t="shared" si="2"/>
        <v>3901407</v>
      </c>
      <c r="K8" s="139" t="s">
        <v>428</v>
      </c>
      <c r="L8" s="199" t="s">
        <v>600</v>
      </c>
      <c r="M8" s="200" t="s">
        <v>619</v>
      </c>
      <c r="N8" s="51" t="s">
        <v>429</v>
      </c>
      <c r="O8" s="41">
        <v>1570</v>
      </c>
    </row>
    <row r="9" spans="1:15" ht="28" x14ac:dyDescent="0.15">
      <c r="A9" s="138" t="s">
        <v>239</v>
      </c>
      <c r="B9" s="63">
        <v>39014</v>
      </c>
      <c r="C9" s="64" t="str">
        <f ca="1">VLOOKUP($B9,OFFSET([2]quests!$A$1,0,0,COUNTA([2]quests!$A:$A),MATCH(C$1,[2]quests!$1:$1,0)-MATCH($B$1,[2]quests!$1:$1,0)+1),MATCH(C$1,[2]quests!$1:$1,0)-MATCH($B$1,[2]quests!$1:$1,0)+1,FALSE)</f>
        <v>金券</v>
      </c>
      <c r="D9" s="64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139">
        <v>1</v>
      </c>
      <c r="F9" s="64" t="str">
        <f ca="1">VLOOKUP($B9&amp;"_"&amp;$E9,OFFSET([2]stages!$A$1,0,0,COUNTA([2]stages!$A:$A),MATCH(F$1,[2]stages!$2:$2,0)-MATCH("temp_stage",[2]stages!$2:$2,0)+1),MATCH(F$1,[2]stages!$2:$2,0)-MATCH("temp_stage",[2]stages!$2:$2,0)+1,FALSE)</f>
        <v>【超級】金券</v>
      </c>
      <c r="G9" s="64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143">
        <v>0</v>
      </c>
      <c r="I9" s="140">
        <f t="shared" si="0"/>
        <v>8</v>
      </c>
      <c r="J9" s="141" t="str">
        <f t="shared" si="2"/>
        <v>3901408</v>
      </c>
      <c r="K9" s="139" t="s">
        <v>428</v>
      </c>
      <c r="L9" s="199" t="s">
        <v>601</v>
      </c>
      <c r="M9" s="200" t="s">
        <v>620</v>
      </c>
      <c r="N9" s="51" t="s">
        <v>429</v>
      </c>
      <c r="O9" s="41">
        <v>1568</v>
      </c>
    </row>
    <row r="10" spans="1:15" ht="28" x14ac:dyDescent="0.15">
      <c r="A10" s="138" t="s">
        <v>239</v>
      </c>
      <c r="B10" s="63">
        <v>39014</v>
      </c>
      <c r="C10" s="64" t="str">
        <f ca="1">VLOOKUP($B10,OFFSET([2]quests!$A$1,0,0,COUNTA([2]quests!$A:$A),MATCH(C$1,[2]quests!$1:$1,0)-MATCH($B$1,[2]quests!$1:$1,0)+1),MATCH(C$1,[2]quests!$1:$1,0)-MATCH($B$1,[2]quests!$1:$1,0)+1,FALSE)</f>
        <v>金券</v>
      </c>
      <c r="D10" s="64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139">
        <v>1</v>
      </c>
      <c r="F10" s="64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【超級】金券</v>
      </c>
      <c r="G10" s="64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143">
        <v>0</v>
      </c>
      <c r="I10" s="140">
        <f t="shared" si="0"/>
        <v>9</v>
      </c>
      <c r="J10" s="141" t="str">
        <f t="shared" si="2"/>
        <v>3901409</v>
      </c>
      <c r="K10" s="139" t="s">
        <v>428</v>
      </c>
      <c r="L10" s="199" t="s">
        <v>602</v>
      </c>
      <c r="M10" s="200" t="s">
        <v>621</v>
      </c>
      <c r="N10" s="51" t="s">
        <v>429</v>
      </c>
      <c r="O10" s="41">
        <v>1553</v>
      </c>
    </row>
    <row r="11" spans="1:15" ht="28" x14ac:dyDescent="0.15">
      <c r="A11" s="138" t="s">
        <v>239</v>
      </c>
      <c r="B11" s="63">
        <v>39014</v>
      </c>
      <c r="C11" s="64" t="str">
        <f ca="1">VLOOKUP($B11,OFFSET([2]quests!$A$1,0,0,COUNTA([2]quests!$A:$A),MATCH(C$1,[2]quests!$1:$1,0)-MATCH($B$1,[2]quests!$1:$1,0)+1),MATCH(C$1,[2]quests!$1:$1,0)-MATCH($B$1,[2]quests!$1:$1,0)+1,FALSE)</f>
        <v>金券</v>
      </c>
      <c r="D11" s="64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139">
        <v>1</v>
      </c>
      <c r="F11" s="64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【超級】金券</v>
      </c>
      <c r="G11" s="64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143">
        <v>0</v>
      </c>
      <c r="I11" s="140">
        <f t="shared" si="0"/>
        <v>10</v>
      </c>
      <c r="J11" s="141" t="str">
        <f t="shared" si="2"/>
        <v>3901410</v>
      </c>
      <c r="K11" s="139" t="s">
        <v>428</v>
      </c>
      <c r="L11" s="199" t="s">
        <v>603</v>
      </c>
      <c r="M11" s="200" t="s">
        <v>640</v>
      </c>
      <c r="N11" s="51" t="s">
        <v>429</v>
      </c>
      <c r="O11" s="41">
        <v>1566</v>
      </c>
    </row>
    <row r="12" spans="1:15" x14ac:dyDescent="0.15">
      <c r="A12" s="138" t="s">
        <v>239</v>
      </c>
      <c r="B12" s="63">
        <v>39014</v>
      </c>
      <c r="C12" s="64" t="str">
        <f ca="1">VLOOKUP($B12,OFFSET([2]quests!$A$1,0,0,COUNTA([2]quests!$A:$A),MATCH(C$1,[2]quests!$1:$1,0)-MATCH($B$1,[2]quests!$1:$1,0)+1),MATCH(C$1,[2]quests!$1:$1,0)-MATCH($B$1,[2]quests!$1:$1,0)+1,FALSE)</f>
        <v>金券</v>
      </c>
      <c r="D12" s="64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139">
        <v>1</v>
      </c>
      <c r="F12" s="64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【超級】金券</v>
      </c>
      <c r="G12" s="64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143">
        <v>0</v>
      </c>
      <c r="I12" s="140">
        <f t="shared" si="0"/>
        <v>11</v>
      </c>
      <c r="J12" s="141" t="str">
        <f t="shared" si="2"/>
        <v>3901411</v>
      </c>
      <c r="K12" s="139" t="s">
        <v>428</v>
      </c>
      <c r="L12" s="199" t="s">
        <v>622</v>
      </c>
      <c r="M12" s="200" t="s">
        <v>623</v>
      </c>
      <c r="N12" s="51" t="s">
        <v>429</v>
      </c>
      <c r="O12" s="41">
        <v>1551</v>
      </c>
    </row>
    <row r="13" spans="1:15" x14ac:dyDescent="0.15">
      <c r="A13" s="138" t="s">
        <v>239</v>
      </c>
      <c r="B13" s="63">
        <v>39014</v>
      </c>
      <c r="C13" s="64" t="str">
        <f ca="1">VLOOKUP($B13,OFFSET([2]quests!$A$1,0,0,COUNTA([2]quests!$A:$A),MATCH(C$1,[2]quests!$1:$1,0)-MATCH($B$1,[2]quests!$1:$1,0)+1),MATCH(C$1,[2]quests!$1:$1,0)-MATCH($B$1,[2]quests!$1:$1,0)+1,FALSE)</f>
        <v>金券</v>
      </c>
      <c r="D13" s="64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139">
        <v>1</v>
      </c>
      <c r="F13" s="64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【超級】金券</v>
      </c>
      <c r="G13" s="64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143">
        <v>0</v>
      </c>
      <c r="I13" s="140">
        <f t="shared" si="0"/>
        <v>12</v>
      </c>
      <c r="J13" s="141" t="str">
        <f t="shared" si="2"/>
        <v>3901412</v>
      </c>
      <c r="K13" s="139" t="s">
        <v>428</v>
      </c>
      <c r="L13" s="199" t="s">
        <v>604</v>
      </c>
      <c r="M13" s="200" t="s">
        <v>605</v>
      </c>
      <c r="N13" s="51" t="s">
        <v>429</v>
      </c>
      <c r="O13" s="201">
        <v>1555</v>
      </c>
    </row>
    <row r="14" spans="1:15" ht="28" x14ac:dyDescent="0.15">
      <c r="A14" s="138" t="s">
        <v>239</v>
      </c>
      <c r="B14" s="63">
        <v>39014</v>
      </c>
      <c r="C14" s="64" t="str">
        <f ca="1">VLOOKUP($B14,OFFSET([2]quests!$A$1,0,0,COUNTA([2]quests!$A:$A),MATCH(C$1,[2]quests!$1:$1,0)-MATCH($B$1,[2]quests!$1:$1,0)+1),MATCH(C$1,[2]quests!$1:$1,0)-MATCH($B$1,[2]quests!$1:$1,0)+1,FALSE)</f>
        <v>金券</v>
      </c>
      <c r="D14" s="64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139">
        <v>1</v>
      </c>
      <c r="F14" s="64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【超級】金券</v>
      </c>
      <c r="G14" s="64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143">
        <v>0</v>
      </c>
      <c r="I14" s="140">
        <f t="shared" si="0"/>
        <v>13</v>
      </c>
      <c r="J14" s="141" t="str">
        <f t="shared" si="2"/>
        <v>3901413</v>
      </c>
      <c r="K14" s="139" t="s">
        <v>428</v>
      </c>
      <c r="L14" s="199" t="s">
        <v>606</v>
      </c>
      <c r="M14" s="200" t="s">
        <v>624</v>
      </c>
      <c r="N14" s="51" t="s">
        <v>429</v>
      </c>
      <c r="O14" s="201">
        <v>1556</v>
      </c>
    </row>
    <row r="15" spans="1:15" ht="28" x14ac:dyDescent="0.15">
      <c r="A15" s="138" t="s">
        <v>239</v>
      </c>
      <c r="B15" s="63">
        <v>39014</v>
      </c>
      <c r="C15" s="64" t="str">
        <f ca="1">VLOOKUP($B15,OFFSET([2]quests!$A$1,0,0,COUNTA([2]quests!$A:$A),MATCH(C$1,[2]quests!$1:$1,0)-MATCH($B$1,[2]quests!$1:$1,0)+1),MATCH(C$1,[2]quests!$1:$1,0)-MATCH($B$1,[2]quests!$1:$1,0)+1,FALSE)</f>
        <v>金券</v>
      </c>
      <c r="D15" s="64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139">
        <v>1</v>
      </c>
      <c r="F15" s="64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【超級】金券</v>
      </c>
      <c r="G15" s="64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143">
        <v>0</v>
      </c>
      <c r="I15" s="140">
        <f t="shared" si="0"/>
        <v>14</v>
      </c>
      <c r="J15" s="141" t="str">
        <f t="shared" si="2"/>
        <v>3901414</v>
      </c>
      <c r="K15" s="139" t="s">
        <v>428</v>
      </c>
      <c r="L15" s="199" t="s">
        <v>607</v>
      </c>
      <c r="M15" s="200" t="s">
        <v>625</v>
      </c>
      <c r="N15" s="51" t="s">
        <v>429</v>
      </c>
      <c r="O15" s="201">
        <v>1558</v>
      </c>
    </row>
    <row r="16" spans="1:15" ht="28" x14ac:dyDescent="0.15">
      <c r="A16" s="138" t="s">
        <v>239</v>
      </c>
      <c r="B16" s="63">
        <v>39014</v>
      </c>
      <c r="C16" s="64" t="str">
        <f ca="1">VLOOKUP($B16,OFFSET([2]quests!$A$1,0,0,COUNTA([2]quests!$A:$A),MATCH(C$1,[2]quests!$1:$1,0)-MATCH($B$1,[2]quests!$1:$1,0)+1),MATCH(C$1,[2]quests!$1:$1,0)-MATCH($B$1,[2]quests!$1:$1,0)+1,FALSE)</f>
        <v>金券</v>
      </c>
      <c r="D16" s="64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139">
        <v>1</v>
      </c>
      <c r="F16" s="64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【超級】金券</v>
      </c>
      <c r="G16" s="64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143">
        <v>0</v>
      </c>
      <c r="I16" s="140">
        <f t="shared" si="0"/>
        <v>15</v>
      </c>
      <c r="J16" s="141" t="str">
        <f t="shared" si="2"/>
        <v>3901415</v>
      </c>
      <c r="K16" s="139" t="s">
        <v>428</v>
      </c>
      <c r="L16" s="199" t="s">
        <v>608</v>
      </c>
      <c r="M16" s="200" t="s">
        <v>626</v>
      </c>
      <c r="N16" s="51" t="s">
        <v>429</v>
      </c>
      <c r="O16" s="201">
        <v>1560</v>
      </c>
    </row>
    <row r="17" spans="1:15" ht="42" x14ac:dyDescent="0.15">
      <c r="A17" s="138" t="s">
        <v>239</v>
      </c>
      <c r="B17" s="63">
        <v>39014</v>
      </c>
      <c r="C17" s="64" t="str">
        <f ca="1">VLOOKUP($B17,OFFSET([2]quests!$A$1,0,0,COUNTA([2]quests!$A:$A),MATCH(C$1,[2]quests!$1:$1,0)-MATCH($B$1,[2]quests!$1:$1,0)+1),MATCH(C$1,[2]quests!$1:$1,0)-MATCH($B$1,[2]quests!$1:$1,0)+1,FALSE)</f>
        <v>金券</v>
      </c>
      <c r="D17" s="64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139">
        <v>1</v>
      </c>
      <c r="F17" s="64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【超級】金券</v>
      </c>
      <c r="G17" s="64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143">
        <v>0</v>
      </c>
      <c r="I17" s="140">
        <f t="shared" si="0"/>
        <v>16</v>
      </c>
      <c r="J17" s="141" t="str">
        <f t="shared" si="2"/>
        <v>3901416</v>
      </c>
      <c r="K17" s="139" t="s">
        <v>428</v>
      </c>
      <c r="L17" s="199" t="s">
        <v>609</v>
      </c>
      <c r="M17" s="200" t="s">
        <v>627</v>
      </c>
      <c r="N17" s="51" t="s">
        <v>429</v>
      </c>
      <c r="O17" s="201">
        <v>1561</v>
      </c>
    </row>
    <row r="18" spans="1:15" ht="28" x14ac:dyDescent="0.15">
      <c r="A18" s="138" t="s">
        <v>239</v>
      </c>
      <c r="B18" s="63">
        <v>39014</v>
      </c>
      <c r="C18" s="64" t="str">
        <f ca="1">VLOOKUP($B18,OFFSET([2]quests!$A$1,0,0,COUNTA([2]quests!$A:$A),MATCH(C$1,[2]quests!$1:$1,0)-MATCH($B$1,[2]quests!$1:$1,0)+1),MATCH(C$1,[2]quests!$1:$1,0)-MATCH($B$1,[2]quests!$1:$1,0)+1,FALSE)</f>
        <v>金券</v>
      </c>
      <c r="D18" s="64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139">
        <v>1</v>
      </c>
      <c r="F18" s="64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【超級】金券</v>
      </c>
      <c r="G18" s="64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</v>
      </c>
      <c r="H18" s="143">
        <v>0</v>
      </c>
      <c r="I18" s="140">
        <f t="shared" si="0"/>
        <v>17</v>
      </c>
      <c r="J18" s="141" t="str">
        <f t="shared" si="2"/>
        <v>3901417</v>
      </c>
      <c r="K18" s="139" t="s">
        <v>428</v>
      </c>
      <c r="L18" s="199" t="s">
        <v>610</v>
      </c>
      <c r="M18" s="200" t="s">
        <v>628</v>
      </c>
      <c r="N18" s="51" t="s">
        <v>429</v>
      </c>
      <c r="O18" s="201">
        <v>1563</v>
      </c>
    </row>
    <row r="19" spans="1:15" ht="28" x14ac:dyDescent="0.15">
      <c r="A19" s="138" t="s">
        <v>239</v>
      </c>
      <c r="B19" s="63">
        <v>39014</v>
      </c>
      <c r="C19" s="64" t="str">
        <f ca="1">VLOOKUP($B19,OFFSET([2]quests!$A$1,0,0,COUNTA([2]quests!$A:$A),MATCH(C$1,[2]quests!$1:$1,0)-MATCH($B$1,[2]quests!$1:$1,0)+1),MATCH(C$1,[2]quests!$1:$1,0)-MATCH($B$1,[2]quests!$1:$1,0)+1,FALSE)</f>
        <v>金券</v>
      </c>
      <c r="D19" s="64" t="str">
        <f ca="1">VLOOKUP($B19,OFFSET([2]quests!$A$1,0,0,COUNTA([2]quests!$A:$A),MATCH(D$1,[2]quests!$1:$1,0)-MATCH($B$1,[2]quests!$1:$1,0)+1),MATCH(D$1,[2]quests!$1:$1,0)-MATCH($B$1,[2]quests!$1:$1,0)+1,FALSE)</f>
        <v>コラボクエスト</v>
      </c>
      <c r="E19" s="139">
        <v>1</v>
      </c>
      <c r="F19" s="64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【超級】金券</v>
      </c>
      <c r="G19" s="64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</v>
      </c>
      <c r="H19" s="143">
        <v>0</v>
      </c>
      <c r="I19" s="140">
        <f t="shared" si="0"/>
        <v>18</v>
      </c>
      <c r="J19" s="141" t="str">
        <f t="shared" si="2"/>
        <v>3901418</v>
      </c>
      <c r="K19" s="139" t="s">
        <v>428</v>
      </c>
      <c r="L19" s="199" t="s">
        <v>611</v>
      </c>
      <c r="M19" s="200" t="s">
        <v>629</v>
      </c>
      <c r="N19" s="51" t="s">
        <v>429</v>
      </c>
      <c r="O19" s="201">
        <v>1565</v>
      </c>
    </row>
    <row r="20" spans="1:15" ht="28" x14ac:dyDescent="0.15">
      <c r="A20" s="138" t="s">
        <v>239</v>
      </c>
      <c r="B20" s="63">
        <v>39014</v>
      </c>
      <c r="C20" s="64" t="str">
        <f ca="1">VLOOKUP($B20,OFFSET([2]quests!$A$1,0,0,COUNTA([2]quests!$A:$A),MATCH(C$1,[2]quests!$1:$1,0)-MATCH($B$1,[2]quests!$1:$1,0)+1),MATCH(C$1,[2]quests!$1:$1,0)-MATCH($B$1,[2]quests!$1:$1,0)+1,FALSE)</f>
        <v>金券</v>
      </c>
      <c r="D20" s="64" t="str">
        <f ca="1">VLOOKUP($B20,OFFSET([2]quests!$A$1,0,0,COUNTA([2]quests!$A:$A),MATCH(D$1,[2]quests!$1:$1,0)-MATCH($B$1,[2]quests!$1:$1,0)+1),MATCH(D$1,[2]quests!$1:$1,0)-MATCH($B$1,[2]quests!$1:$1,0)+1,FALSE)</f>
        <v>コラボクエスト</v>
      </c>
      <c r="E20" s="139">
        <v>1</v>
      </c>
      <c r="F20" s="64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【超級】金券</v>
      </c>
      <c r="G20" s="64" t="str">
        <f ca="1">VLOOKUP($B20&amp;"_"&amp;$E20,OFFSET([2]stages!$A$1,0,0,COUNTA([2]stages!$A:$A),MATCH(G$1,[2]stages!$2:$2,0)-MATCH("temp_stage",[2]stages!$2:$2,0)+1),MATCH(G$1,[2]stages!$2:$2,0)-MATCH("temp_stage",[2]stages!$2:$2,0)+1,FALSE)</f>
        <v>コラボクエスト</v>
      </c>
      <c r="H20" s="143">
        <v>0</v>
      </c>
      <c r="I20" s="140">
        <f t="shared" si="0"/>
        <v>19</v>
      </c>
      <c r="J20" s="141" t="str">
        <f t="shared" si="2"/>
        <v>3901419</v>
      </c>
      <c r="K20" s="139" t="s">
        <v>428</v>
      </c>
      <c r="L20" s="199" t="s">
        <v>612</v>
      </c>
      <c r="M20" s="200" t="s">
        <v>642</v>
      </c>
      <c r="N20" s="51" t="s">
        <v>429</v>
      </c>
      <c r="O20" s="201">
        <v>1571</v>
      </c>
    </row>
    <row r="21" spans="1:15" ht="28" x14ac:dyDescent="0.15">
      <c r="A21" s="138" t="s">
        <v>239</v>
      </c>
      <c r="B21" s="63">
        <v>39014</v>
      </c>
      <c r="C21" s="64" t="str">
        <f ca="1">VLOOKUP($B21,OFFSET([2]quests!$A$1,0,0,COUNTA([2]quests!$A:$A),MATCH(C$1,[2]quests!$1:$1,0)-MATCH($B$1,[2]quests!$1:$1,0)+1),MATCH(C$1,[2]quests!$1:$1,0)-MATCH($B$1,[2]quests!$1:$1,0)+1,FALSE)</f>
        <v>金券</v>
      </c>
      <c r="D21" s="64" t="str">
        <f ca="1">VLOOKUP($B21,OFFSET([2]quests!$A$1,0,0,COUNTA([2]quests!$A:$A),MATCH(D$1,[2]quests!$1:$1,0)-MATCH($B$1,[2]quests!$1:$1,0)+1),MATCH(D$1,[2]quests!$1:$1,0)-MATCH($B$1,[2]quests!$1:$1,0)+1,FALSE)</f>
        <v>コラボクエスト</v>
      </c>
      <c r="E21" s="139">
        <v>1</v>
      </c>
      <c r="F21" s="64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【超級】金券</v>
      </c>
      <c r="G21" s="64" t="str">
        <f ca="1">VLOOKUP($B21&amp;"_"&amp;$E21,OFFSET([2]stages!$A$1,0,0,COUNTA([2]stages!$A:$A),MATCH(G$1,[2]stages!$2:$2,0)-MATCH("temp_stage",[2]stages!$2:$2,0)+1),MATCH(G$1,[2]stages!$2:$2,0)-MATCH("temp_stage",[2]stages!$2:$2,0)+1,FALSE)</f>
        <v>コラボクエスト</v>
      </c>
      <c r="H21" s="143">
        <v>0</v>
      </c>
      <c r="I21" s="140">
        <f t="shared" si="0"/>
        <v>20</v>
      </c>
      <c r="J21" s="141" t="str">
        <f t="shared" si="2"/>
        <v>3901420</v>
      </c>
      <c r="K21" s="139" t="s">
        <v>428</v>
      </c>
      <c r="L21" s="199" t="s">
        <v>613</v>
      </c>
      <c r="M21" s="200" t="s">
        <v>644</v>
      </c>
      <c r="N21" s="51" t="s">
        <v>429</v>
      </c>
      <c r="O21" s="201">
        <v>1573</v>
      </c>
    </row>
    <row r="22" spans="1:15" x14ac:dyDescent="0.15">
      <c r="A22" s="138" t="s">
        <v>239</v>
      </c>
      <c r="B22" s="63">
        <v>39014</v>
      </c>
      <c r="C22" s="64" t="str">
        <f ca="1">VLOOKUP($B22,OFFSET([2]quests!$A$1,0,0,COUNTA([2]quests!$A:$A),MATCH(C$1,[2]quests!$1:$1,0)-MATCH($B$1,[2]quests!$1:$1,0)+1),MATCH(C$1,[2]quests!$1:$1,0)-MATCH($B$1,[2]quests!$1:$1,0)+1,FALSE)</f>
        <v>金券</v>
      </c>
      <c r="D22" s="64" t="str">
        <f ca="1">VLOOKUP($B22,OFFSET([2]quests!$A$1,0,0,COUNTA([2]quests!$A:$A),MATCH(D$1,[2]quests!$1:$1,0)-MATCH($B$1,[2]quests!$1:$1,0)+1),MATCH(D$1,[2]quests!$1:$1,0)-MATCH($B$1,[2]quests!$1:$1,0)+1,FALSE)</f>
        <v>コラボクエスト</v>
      </c>
      <c r="E22" s="139">
        <v>1</v>
      </c>
      <c r="F22" s="64" t="str">
        <f ca="1">VLOOKUP($B22&amp;"_"&amp;$E22,OFFSET([2]stages!$A$1,0,0,COUNTA([2]stages!$A:$A),MATCH(F$1,[2]stages!$2:$2,0)-MATCH("temp_stage",[2]stages!$2:$2,0)+1),MATCH(F$1,[2]stages!$2:$2,0)-MATCH("temp_stage",[2]stages!$2:$2,0)+1,FALSE)</f>
        <v>【超級】金券</v>
      </c>
      <c r="G22" s="64" t="str">
        <f ca="1">VLOOKUP($B22&amp;"_"&amp;$E22,OFFSET([2]stages!$A$1,0,0,COUNTA([2]stages!$A:$A),MATCH(G$1,[2]stages!$2:$2,0)-MATCH("temp_stage",[2]stages!$2:$2,0)+1),MATCH(G$1,[2]stages!$2:$2,0)-MATCH("temp_stage",[2]stages!$2:$2,0)+1,FALSE)</f>
        <v>コラボクエスト</v>
      </c>
      <c r="H22" s="143">
        <v>0</v>
      </c>
      <c r="I22" s="140">
        <f t="shared" si="0"/>
        <v>21</v>
      </c>
      <c r="J22" s="141" t="str">
        <f t="shared" si="2"/>
        <v>3901421</v>
      </c>
      <c r="K22" s="139" t="s">
        <v>428</v>
      </c>
      <c r="L22" s="199" t="s">
        <v>614</v>
      </c>
      <c r="M22" s="200" t="s">
        <v>630</v>
      </c>
      <c r="N22" s="51" t="s">
        <v>429</v>
      </c>
      <c r="O22" s="201">
        <v>1574</v>
      </c>
    </row>
    <row r="23" spans="1:15" ht="42" x14ac:dyDescent="0.15">
      <c r="A23" s="138" t="s">
        <v>239</v>
      </c>
      <c r="B23" s="63">
        <v>39014</v>
      </c>
      <c r="C23" s="64" t="str">
        <f ca="1">VLOOKUP($B23,OFFSET([2]quests!$A$1,0,0,COUNTA([2]quests!$A:$A),MATCH(C$1,[2]quests!$1:$1,0)-MATCH($B$1,[2]quests!$1:$1,0)+1),MATCH(C$1,[2]quests!$1:$1,0)-MATCH($B$1,[2]quests!$1:$1,0)+1,FALSE)</f>
        <v>金券</v>
      </c>
      <c r="D23" s="64" t="str">
        <f ca="1">VLOOKUP($B23,OFFSET([2]quests!$A$1,0,0,COUNTA([2]quests!$A:$A),MATCH(D$1,[2]quests!$1:$1,0)-MATCH($B$1,[2]quests!$1:$1,0)+1),MATCH(D$1,[2]quests!$1:$1,0)-MATCH($B$1,[2]quests!$1:$1,0)+1,FALSE)</f>
        <v>コラボクエスト</v>
      </c>
      <c r="E23" s="139">
        <v>1</v>
      </c>
      <c r="F23" s="64" t="str">
        <f ca="1">VLOOKUP($B23&amp;"_"&amp;$E23,OFFSET([2]stages!$A$1,0,0,COUNTA([2]stages!$A:$A),MATCH(F$1,[2]stages!$2:$2,0)-MATCH("temp_stage",[2]stages!$2:$2,0)+1),MATCH(F$1,[2]stages!$2:$2,0)-MATCH("temp_stage",[2]stages!$2:$2,0)+1,FALSE)</f>
        <v>【超級】金券</v>
      </c>
      <c r="G23" s="64" t="str">
        <f ca="1">VLOOKUP($B23&amp;"_"&amp;$E23,OFFSET([2]stages!$A$1,0,0,COUNTA([2]stages!$A:$A),MATCH(G$1,[2]stages!$2:$2,0)-MATCH("temp_stage",[2]stages!$2:$2,0)+1),MATCH(G$1,[2]stages!$2:$2,0)-MATCH("temp_stage",[2]stages!$2:$2,0)+1,FALSE)</f>
        <v>コラボクエスト</v>
      </c>
      <c r="H23" s="143">
        <v>0</v>
      </c>
      <c r="I23" s="140">
        <f t="shared" si="0"/>
        <v>22</v>
      </c>
      <c r="J23" s="141" t="str">
        <f t="shared" si="2"/>
        <v>3901422</v>
      </c>
      <c r="K23" s="139" t="s">
        <v>428</v>
      </c>
      <c r="L23" s="199" t="s">
        <v>615</v>
      </c>
      <c r="M23" s="200" t="s">
        <v>631</v>
      </c>
      <c r="N23" s="51" t="s">
        <v>429</v>
      </c>
      <c r="O23" s="201">
        <v>1575</v>
      </c>
    </row>
    <row r="24" spans="1:15" ht="28" x14ac:dyDescent="0.15">
      <c r="A24" s="138" t="s">
        <v>239</v>
      </c>
      <c r="B24" s="63">
        <v>39014</v>
      </c>
      <c r="C24" s="64" t="str">
        <f ca="1">VLOOKUP($B24,OFFSET([2]quests!$A$1,0,0,COUNTA([2]quests!$A:$A),MATCH(C$1,[2]quests!$1:$1,0)-MATCH($B$1,[2]quests!$1:$1,0)+1),MATCH(C$1,[2]quests!$1:$1,0)-MATCH($B$1,[2]quests!$1:$1,0)+1,FALSE)</f>
        <v>金券</v>
      </c>
      <c r="D24" s="64" t="str">
        <f ca="1">VLOOKUP($B24,OFFSET([2]quests!$A$1,0,0,COUNTA([2]quests!$A:$A),MATCH(D$1,[2]quests!$1:$1,0)-MATCH($B$1,[2]quests!$1:$1,0)+1),MATCH(D$1,[2]quests!$1:$1,0)-MATCH($B$1,[2]quests!$1:$1,0)+1,FALSE)</f>
        <v>コラボクエスト</v>
      </c>
      <c r="E24" s="139">
        <v>1</v>
      </c>
      <c r="F24" s="64" t="str">
        <f ca="1">VLOOKUP($B24&amp;"_"&amp;$E24,OFFSET([2]stages!$A$1,0,0,COUNTA([2]stages!$A:$A),MATCH(F$1,[2]stages!$2:$2,0)-MATCH("temp_stage",[2]stages!$2:$2,0)+1),MATCH(F$1,[2]stages!$2:$2,0)-MATCH("temp_stage",[2]stages!$2:$2,0)+1,FALSE)</f>
        <v>【超級】金券</v>
      </c>
      <c r="G24" s="64" t="str">
        <f ca="1">VLOOKUP($B24&amp;"_"&amp;$E24,OFFSET([2]stages!$A$1,0,0,COUNTA([2]stages!$A:$A),MATCH(G$1,[2]stages!$2:$2,0)-MATCH("temp_stage",[2]stages!$2:$2,0)+1),MATCH(G$1,[2]stages!$2:$2,0)-MATCH("temp_stage",[2]stages!$2:$2,0)+1,FALSE)</f>
        <v>コラボクエスト</v>
      </c>
      <c r="H24" s="143">
        <v>0</v>
      </c>
      <c r="I24" s="140">
        <f t="shared" si="0"/>
        <v>23</v>
      </c>
      <c r="J24" s="141" t="str">
        <f t="shared" si="2"/>
        <v>3901423</v>
      </c>
      <c r="K24" s="139" t="s">
        <v>428</v>
      </c>
      <c r="L24" s="199" t="s">
        <v>616</v>
      </c>
      <c r="M24" s="200" t="s">
        <v>632</v>
      </c>
      <c r="N24" s="51" t="s">
        <v>429</v>
      </c>
      <c r="O24" s="201">
        <v>1577</v>
      </c>
    </row>
    <row r="25" spans="1:15" ht="42" x14ac:dyDescent="0.15">
      <c r="A25" s="138" t="s">
        <v>239</v>
      </c>
      <c r="B25" s="63">
        <v>39014</v>
      </c>
      <c r="C25" s="64" t="str">
        <f ca="1">VLOOKUP($B25,OFFSET([2]quests!$A$1,0,0,COUNTA([2]quests!$A:$A),MATCH(C$1,[2]quests!$1:$1,0)-MATCH($B$1,[2]quests!$1:$1,0)+1),MATCH(C$1,[2]quests!$1:$1,0)-MATCH($B$1,[2]quests!$1:$1,0)+1,FALSE)</f>
        <v>金券</v>
      </c>
      <c r="D25" s="64" t="str">
        <f ca="1">VLOOKUP($B25,OFFSET([2]quests!$A$1,0,0,COUNTA([2]quests!$A:$A),MATCH(D$1,[2]quests!$1:$1,0)-MATCH($B$1,[2]quests!$1:$1,0)+1),MATCH(D$1,[2]quests!$1:$1,0)-MATCH($B$1,[2]quests!$1:$1,0)+1,FALSE)</f>
        <v>コラボクエスト</v>
      </c>
      <c r="E25" s="139">
        <v>1</v>
      </c>
      <c r="F25" s="64" t="str">
        <f ca="1">VLOOKUP($B25&amp;"_"&amp;$E25,OFFSET([2]stages!$A$1,0,0,COUNTA([2]stages!$A:$A),MATCH(F$1,[2]stages!$2:$2,0)-MATCH("temp_stage",[2]stages!$2:$2,0)+1),MATCH(F$1,[2]stages!$2:$2,0)-MATCH("temp_stage",[2]stages!$2:$2,0)+1,FALSE)</f>
        <v>【超級】金券</v>
      </c>
      <c r="G25" s="64" t="str">
        <f ca="1">VLOOKUP($B25&amp;"_"&amp;$E25,OFFSET([2]stages!$A$1,0,0,COUNTA([2]stages!$A:$A),MATCH(G$1,[2]stages!$2:$2,0)-MATCH("temp_stage",[2]stages!$2:$2,0)+1),MATCH(G$1,[2]stages!$2:$2,0)-MATCH("temp_stage",[2]stages!$2:$2,0)+1,FALSE)</f>
        <v>コラボクエスト</v>
      </c>
      <c r="H25" s="143">
        <v>0</v>
      </c>
      <c r="I25" s="140">
        <f t="shared" si="0"/>
        <v>24</v>
      </c>
      <c r="J25" s="141" t="str">
        <f t="shared" si="2"/>
        <v>3901424</v>
      </c>
      <c r="K25" s="139" t="s">
        <v>428</v>
      </c>
      <c r="L25" s="199" t="s">
        <v>617</v>
      </c>
      <c r="M25" s="200" t="s">
        <v>633</v>
      </c>
      <c r="N25" s="51" t="s">
        <v>429</v>
      </c>
      <c r="O25" s="201">
        <v>1578</v>
      </c>
    </row>
    <row r="26" spans="1:15" ht="28" x14ac:dyDescent="0.15">
      <c r="A26" s="138" t="s">
        <v>239</v>
      </c>
      <c r="B26" s="63">
        <v>39014</v>
      </c>
      <c r="C26" s="64" t="str">
        <f ca="1">VLOOKUP($B26,OFFSET([2]quests!$A$1,0,0,COUNTA([2]quests!$A:$A),MATCH(C$1,[2]quests!$1:$1,0)-MATCH($B$1,[2]quests!$1:$1,0)+1),MATCH(C$1,[2]quests!$1:$1,0)-MATCH($B$1,[2]quests!$1:$1,0)+1,FALSE)</f>
        <v>金券</v>
      </c>
      <c r="D26" s="64" t="str">
        <f ca="1">VLOOKUP($B26,OFFSET([2]quests!$A$1,0,0,COUNTA([2]quests!$A:$A),MATCH(D$1,[2]quests!$1:$1,0)-MATCH($B$1,[2]quests!$1:$1,0)+1),MATCH(D$1,[2]quests!$1:$1,0)-MATCH($B$1,[2]quests!$1:$1,0)+1,FALSE)</f>
        <v>コラボクエスト</v>
      </c>
      <c r="E26" s="139">
        <v>1</v>
      </c>
      <c r="F26" s="64" t="str">
        <f ca="1">VLOOKUP($B26&amp;"_"&amp;$E26,OFFSET([2]stages!$A$1,0,0,COUNTA([2]stages!$A:$A),MATCH(F$1,[2]stages!$2:$2,0)-MATCH("temp_stage",[2]stages!$2:$2,0)+1),MATCH(F$1,[2]stages!$2:$2,0)-MATCH("temp_stage",[2]stages!$2:$2,0)+1,FALSE)</f>
        <v>【超級】金券</v>
      </c>
      <c r="G26" s="64" t="str">
        <f ca="1">VLOOKUP($B26&amp;"_"&amp;$E26,OFFSET([2]stages!$A$1,0,0,COUNTA([2]stages!$A:$A),MATCH(G$1,[2]stages!$2:$2,0)-MATCH("temp_stage",[2]stages!$2:$2,0)+1),MATCH(G$1,[2]stages!$2:$2,0)-MATCH("temp_stage",[2]stages!$2:$2,0)+1,FALSE)</f>
        <v>コラボクエスト</v>
      </c>
      <c r="H26" s="143">
        <v>0</v>
      </c>
      <c r="I26" s="140">
        <f t="shared" si="0"/>
        <v>25</v>
      </c>
      <c r="J26" s="141" t="str">
        <f t="shared" si="2"/>
        <v>3901425</v>
      </c>
      <c r="K26" s="139" t="s">
        <v>428</v>
      </c>
      <c r="L26" s="199" t="s">
        <v>634</v>
      </c>
      <c r="M26" s="200" t="s">
        <v>638</v>
      </c>
      <c r="N26" s="51" t="s">
        <v>429</v>
      </c>
      <c r="O26" s="201">
        <v>1584</v>
      </c>
    </row>
    <row r="27" spans="1:15" ht="56" x14ac:dyDescent="0.15">
      <c r="A27" s="138" t="s">
        <v>237</v>
      </c>
      <c r="B27" s="63">
        <v>39014</v>
      </c>
      <c r="C27" s="64" t="str">
        <f ca="1">VLOOKUP($B27,OFFSET([2]quests!$A$1,0,0,COUNTA([2]quests!$A:$A),MATCH(C$1,[2]quests!$1:$1,0)-MATCH($B$1,[2]quests!$1:$1,0)+1),MATCH(C$1,[2]quests!$1:$1,0)-MATCH($B$1,[2]quests!$1:$1,0)+1,FALSE)</f>
        <v>金券</v>
      </c>
      <c r="D27" s="64" t="str">
        <f ca="1">VLOOKUP($B27,OFFSET([2]quests!$A$1,0,0,COUNTA([2]quests!$A:$A),MATCH(D$1,[2]quests!$1:$1,0)-MATCH($B$1,[2]quests!$1:$1,0)+1),MATCH(D$1,[2]quests!$1:$1,0)-MATCH($B$1,[2]quests!$1:$1,0)+1,FALSE)</f>
        <v>コラボクエスト</v>
      </c>
      <c r="E27" s="139">
        <v>1</v>
      </c>
      <c r="F27" s="64" t="str">
        <f ca="1">VLOOKUP($B27&amp;"_"&amp;$E27,OFFSET([2]stages!$A$1,0,0,COUNTA([2]stages!$A:$A),MATCH(F$1,[2]stages!$2:$2,0)-MATCH("temp_stage",[2]stages!$2:$2,0)+1),MATCH(F$1,[2]stages!$2:$2,0)-MATCH("temp_stage",[2]stages!$2:$2,0)+1,FALSE)</f>
        <v>【超級】金券</v>
      </c>
      <c r="G27" s="64" t="str">
        <f ca="1">VLOOKUP($B27&amp;"_"&amp;$E27,OFFSET([2]stages!$A$1,0,0,COUNTA([2]stages!$A:$A),MATCH(G$1,[2]stages!$2:$2,0)-MATCH("temp_stage",[2]stages!$2:$2,0)+1),MATCH(G$1,[2]stages!$2:$2,0)-MATCH("temp_stage",[2]stages!$2:$2,0)+1,FALSE)</f>
        <v>コラボクエスト</v>
      </c>
      <c r="H27" s="143">
        <v>1</v>
      </c>
      <c r="I27" s="140">
        <f t="shared" si="0"/>
        <v>26</v>
      </c>
      <c r="J27" s="141" t="str">
        <f t="shared" si="1"/>
        <v>3901426</v>
      </c>
      <c r="K27" s="139" t="s">
        <v>430</v>
      </c>
      <c r="L27" s="142" t="s">
        <v>238</v>
      </c>
      <c r="M27" s="190" t="s">
        <v>529</v>
      </c>
      <c r="N27" s="51" t="s">
        <v>442</v>
      </c>
      <c r="O27" s="51" t="s">
        <v>429</v>
      </c>
    </row>
    <row r="28" spans="1:15" ht="42" x14ac:dyDescent="0.15">
      <c r="A28" s="138" t="s">
        <v>237</v>
      </c>
      <c r="B28" s="63">
        <v>39014</v>
      </c>
      <c r="C28" s="64" t="str">
        <f ca="1">VLOOKUP($B28,OFFSET([2]quests!$A$1,0,0,COUNTA([2]quests!$A:$A),MATCH(C$1,[2]quests!$1:$1,0)-MATCH($B$1,[2]quests!$1:$1,0)+1),MATCH(C$1,[2]quests!$1:$1,0)-MATCH($B$1,[2]quests!$1:$1,0)+1,FALSE)</f>
        <v>金券</v>
      </c>
      <c r="D28" s="64" t="str">
        <f ca="1">VLOOKUP($B28,OFFSET([2]quests!$A$1,0,0,COUNTA([2]quests!$A:$A),MATCH(D$1,[2]quests!$1:$1,0)-MATCH($B$1,[2]quests!$1:$1,0)+1),MATCH(D$1,[2]quests!$1:$1,0)-MATCH($B$1,[2]quests!$1:$1,0)+1,FALSE)</f>
        <v>コラボクエスト</v>
      </c>
      <c r="E28" s="139">
        <v>1</v>
      </c>
      <c r="F28" s="64" t="str">
        <f ca="1">VLOOKUP($B28&amp;"_"&amp;$E28,OFFSET([2]stages!$A$1,0,0,COUNTA([2]stages!$A:$A),MATCH(F$1,[2]stages!$2:$2,0)-MATCH("temp_stage",[2]stages!$2:$2,0)+1),MATCH(F$1,[2]stages!$2:$2,0)-MATCH("temp_stage",[2]stages!$2:$2,0)+1,FALSE)</f>
        <v>【超級】金券</v>
      </c>
      <c r="G28" s="64" t="str">
        <f ca="1">VLOOKUP($B28&amp;"_"&amp;$E28,OFFSET([2]stages!$A$1,0,0,COUNTA([2]stages!$A:$A),MATCH(G$1,[2]stages!$2:$2,0)-MATCH("temp_stage",[2]stages!$2:$2,0)+1),MATCH(G$1,[2]stages!$2:$2,0)-MATCH("temp_stage",[2]stages!$2:$2,0)+1,FALSE)</f>
        <v>コラボクエスト</v>
      </c>
      <c r="H28" s="143">
        <v>2</v>
      </c>
      <c r="I28" s="140">
        <f t="shared" si="0"/>
        <v>27</v>
      </c>
      <c r="J28" s="141" t="str">
        <f t="shared" si="1"/>
        <v>3901427</v>
      </c>
      <c r="K28" s="139" t="s">
        <v>430</v>
      </c>
      <c r="L28" s="142" t="s">
        <v>238</v>
      </c>
      <c r="M28" s="190" t="s">
        <v>530</v>
      </c>
      <c r="N28" s="51" t="s">
        <v>442</v>
      </c>
      <c r="O28" s="51" t="s">
        <v>429</v>
      </c>
    </row>
    <row r="29" spans="1:15" ht="70" x14ac:dyDescent="0.15">
      <c r="A29" s="138" t="s">
        <v>237</v>
      </c>
      <c r="B29" s="63">
        <v>39014</v>
      </c>
      <c r="C29" s="64" t="str">
        <f ca="1">VLOOKUP($B29,OFFSET([2]quests!$A$1,0,0,COUNTA([2]quests!$A:$A),MATCH(C$1,[2]quests!$1:$1,0)-MATCH($B$1,[2]quests!$1:$1,0)+1),MATCH(C$1,[2]quests!$1:$1,0)-MATCH($B$1,[2]quests!$1:$1,0)+1,FALSE)</f>
        <v>金券</v>
      </c>
      <c r="D29" s="64" t="str">
        <f ca="1">VLOOKUP($B29,OFFSET([2]quests!$A$1,0,0,COUNTA([2]quests!$A:$A),MATCH(D$1,[2]quests!$1:$1,0)-MATCH($B$1,[2]quests!$1:$1,0)+1),MATCH(D$1,[2]quests!$1:$1,0)-MATCH($B$1,[2]quests!$1:$1,0)+1,FALSE)</f>
        <v>コラボクエスト</v>
      </c>
      <c r="E29" s="139">
        <v>1</v>
      </c>
      <c r="F29" s="64" t="str">
        <f ca="1">VLOOKUP($B29&amp;"_"&amp;$E29,OFFSET([2]stages!$A$1,0,0,COUNTA([2]stages!$A:$A),MATCH(F$1,[2]stages!$2:$2,0)-MATCH("temp_stage",[2]stages!$2:$2,0)+1),MATCH(F$1,[2]stages!$2:$2,0)-MATCH("temp_stage",[2]stages!$2:$2,0)+1,FALSE)</f>
        <v>【超級】金券</v>
      </c>
      <c r="G29" s="64" t="str">
        <f ca="1">VLOOKUP($B29&amp;"_"&amp;$E29,OFFSET([2]stages!$A$1,0,0,COUNTA([2]stages!$A:$A),MATCH(G$1,[2]stages!$2:$2,0)-MATCH("temp_stage",[2]stages!$2:$2,0)+1),MATCH(G$1,[2]stages!$2:$2,0)-MATCH("temp_stage",[2]stages!$2:$2,0)+1,FALSE)</f>
        <v>コラボクエスト</v>
      </c>
      <c r="H29" s="143">
        <v>3</v>
      </c>
      <c r="I29" s="140">
        <f t="shared" si="0"/>
        <v>28</v>
      </c>
      <c r="J29" s="141" t="str">
        <f t="shared" si="1"/>
        <v>3901428</v>
      </c>
      <c r="K29" s="139" t="s">
        <v>430</v>
      </c>
      <c r="L29" s="142" t="s">
        <v>238</v>
      </c>
      <c r="M29" s="190" t="s">
        <v>531</v>
      </c>
      <c r="N29" s="51" t="s">
        <v>442</v>
      </c>
      <c r="O29" s="51" t="s">
        <v>429</v>
      </c>
    </row>
    <row r="30" spans="1:15" ht="56" x14ac:dyDescent="0.15">
      <c r="A30" s="138" t="s">
        <v>237</v>
      </c>
      <c r="B30" s="63">
        <v>39014</v>
      </c>
      <c r="C30" s="64" t="str">
        <f ca="1">VLOOKUP($B30,OFFSET([2]quests!$A$1,0,0,COUNTA([2]quests!$A:$A),MATCH(C$1,[2]quests!$1:$1,0)-MATCH($B$1,[2]quests!$1:$1,0)+1),MATCH(C$1,[2]quests!$1:$1,0)-MATCH($B$1,[2]quests!$1:$1,0)+1,FALSE)</f>
        <v>金券</v>
      </c>
      <c r="D30" s="64" t="str">
        <f ca="1">VLOOKUP($B30,OFFSET([2]quests!$A$1,0,0,COUNTA([2]quests!$A:$A),MATCH(D$1,[2]quests!$1:$1,0)-MATCH($B$1,[2]quests!$1:$1,0)+1),MATCH(D$1,[2]quests!$1:$1,0)-MATCH($B$1,[2]quests!$1:$1,0)+1,FALSE)</f>
        <v>コラボクエスト</v>
      </c>
      <c r="E30" s="139">
        <v>1</v>
      </c>
      <c r="F30" s="64" t="str">
        <f ca="1">VLOOKUP($B30&amp;"_"&amp;$E30,OFFSET([2]stages!$A$1,0,0,COUNTA([2]stages!$A:$A),MATCH(F$1,[2]stages!$2:$2,0)-MATCH("temp_stage",[2]stages!$2:$2,0)+1),MATCH(F$1,[2]stages!$2:$2,0)-MATCH("temp_stage",[2]stages!$2:$2,0)+1,FALSE)</f>
        <v>【超級】金券</v>
      </c>
      <c r="G30" s="64" t="str">
        <f ca="1">VLOOKUP($B30&amp;"_"&amp;$E30,OFFSET([2]stages!$A$1,0,0,COUNTA([2]stages!$A:$A),MATCH(G$1,[2]stages!$2:$2,0)-MATCH("temp_stage",[2]stages!$2:$2,0)+1),MATCH(G$1,[2]stages!$2:$2,0)-MATCH("temp_stage",[2]stages!$2:$2,0)+1,FALSE)</f>
        <v>コラボクエスト</v>
      </c>
      <c r="H30" s="143">
        <v>3</v>
      </c>
      <c r="I30" s="140">
        <f t="shared" si="0"/>
        <v>29</v>
      </c>
      <c r="J30" s="141" t="str">
        <f t="shared" si="1"/>
        <v>3901429</v>
      </c>
      <c r="K30" s="139" t="s">
        <v>430</v>
      </c>
      <c r="L30" s="142" t="s">
        <v>238</v>
      </c>
      <c r="M30" s="190" t="s">
        <v>532</v>
      </c>
      <c r="N30" s="51" t="s">
        <v>442</v>
      </c>
      <c r="O30" s="51" t="s">
        <v>429</v>
      </c>
    </row>
    <row r="31" spans="1:15" ht="34" x14ac:dyDescent="0.15">
      <c r="A31" s="138" t="s">
        <v>239</v>
      </c>
      <c r="B31" s="63">
        <v>39014</v>
      </c>
      <c r="C31" s="64" t="str">
        <f ca="1">VLOOKUP($B31,OFFSET([2]quests!$A$1,0,0,COUNTA([2]quests!$A:$A),MATCH(C$1,[2]quests!$1:$1,0)-MATCH($B$1,[2]quests!$1:$1,0)+1),MATCH(C$1,[2]quests!$1:$1,0)-MATCH($B$1,[2]quests!$1:$1,0)+1,FALSE)</f>
        <v>金券</v>
      </c>
      <c r="D31" s="64" t="str">
        <f ca="1">VLOOKUP($B31,OFFSET([2]quests!$A$1,0,0,COUNTA([2]quests!$A:$A),MATCH(D$1,[2]quests!$1:$1,0)-MATCH($B$1,[2]quests!$1:$1,0)+1),MATCH(D$1,[2]quests!$1:$1,0)-MATCH($B$1,[2]quests!$1:$1,0)+1,FALSE)</f>
        <v>コラボクエスト</v>
      </c>
      <c r="E31" s="139">
        <v>2</v>
      </c>
      <c r="F31" s="64" t="str">
        <f ca="1">VLOOKUP($B31&amp;"_"&amp;$E31,OFFSET([2]stages!$A$1,0,0,COUNTA([2]stages!$A:$A),MATCH(F$1,[2]stages!$2:$2,0)-MATCH("temp_stage",[2]stages!$2:$2,0)+1),MATCH(F$1,[2]stages!$2:$2,0)-MATCH("temp_stage",[2]stages!$2:$2,0)+1,FALSE)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31" s="64" t="str">
        <f ca="1">VLOOKUP($B31&amp;"_"&amp;$E31,OFFSET([2]stages!$A$1,0,0,COUNTA([2]stages!$A:$A),MATCH(G$1,[2]stages!$2:$2,0)-MATCH("temp_stage",[2]stages!$2:$2,0)+1),MATCH(G$1,[2]stages!$2:$2,0)-MATCH("temp_stage",[2]stages!$2:$2,0)+1,FALSE)</f>
        <v>コラボクエスト</v>
      </c>
      <c r="H31" s="143">
        <v>0</v>
      </c>
      <c r="I31" s="140">
        <f t="shared" si="0"/>
        <v>30</v>
      </c>
      <c r="J31" s="141" t="str">
        <f t="shared" si="1"/>
        <v>3901430</v>
      </c>
      <c r="K31" s="139" t="s">
        <v>428</v>
      </c>
      <c r="L31" s="197" t="s">
        <v>544</v>
      </c>
      <c r="M31" s="197" t="s">
        <v>545</v>
      </c>
      <c r="N31" s="51" t="s">
        <v>429</v>
      </c>
      <c r="O31" s="51" t="s">
        <v>429</v>
      </c>
    </row>
    <row r="32" spans="1:15" ht="51" x14ac:dyDescent="0.15">
      <c r="A32" s="138" t="s">
        <v>239</v>
      </c>
      <c r="B32" s="63">
        <v>39014</v>
      </c>
      <c r="C32" s="64" t="str">
        <f ca="1">VLOOKUP($B32,OFFSET([2]quests!$A$1,0,0,COUNTA([2]quests!$A:$A),MATCH(C$1,[2]quests!$1:$1,0)-MATCH($B$1,[2]quests!$1:$1,0)+1),MATCH(C$1,[2]quests!$1:$1,0)-MATCH($B$1,[2]quests!$1:$1,0)+1,FALSE)</f>
        <v>金券</v>
      </c>
      <c r="D32" s="64" t="str">
        <f ca="1">VLOOKUP($B32,OFFSET([2]quests!$A$1,0,0,COUNTA([2]quests!$A:$A),MATCH(D$1,[2]quests!$1:$1,0)-MATCH($B$1,[2]quests!$1:$1,0)+1),MATCH(D$1,[2]quests!$1:$1,0)-MATCH($B$1,[2]quests!$1:$1,0)+1,FALSE)</f>
        <v>コラボクエスト</v>
      </c>
      <c r="E32" s="139">
        <v>2</v>
      </c>
      <c r="F32" s="64" t="str">
        <f ca="1">VLOOKUP($B32&amp;"_"&amp;$E32,OFFSET([2]stages!$A$1,0,0,COUNTA([2]stages!$A:$A),MATCH(F$1,[2]stages!$2:$2,0)-MATCH("temp_stage",[2]stages!$2:$2,0)+1),MATCH(F$1,[2]stages!$2:$2,0)-MATCH("temp_stage",[2]stages!$2:$2,0)+1,FALSE)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32" s="64" t="str">
        <f ca="1">VLOOKUP($B32&amp;"_"&amp;$E32,OFFSET([2]stages!$A$1,0,0,COUNTA([2]stages!$A:$A),MATCH(G$1,[2]stages!$2:$2,0)-MATCH("temp_stage",[2]stages!$2:$2,0)+1),MATCH(G$1,[2]stages!$2:$2,0)-MATCH("temp_stage",[2]stages!$2:$2,0)+1,FALSE)</f>
        <v>コラボクエスト</v>
      </c>
      <c r="H32" s="143">
        <v>0</v>
      </c>
      <c r="I32" s="140">
        <f t="shared" si="0"/>
        <v>31</v>
      </c>
      <c r="J32" s="141" t="str">
        <f t="shared" si="1"/>
        <v>3901431</v>
      </c>
      <c r="K32" s="139" t="s">
        <v>428</v>
      </c>
      <c r="L32" s="197" t="s">
        <v>546</v>
      </c>
      <c r="M32" s="197" t="s">
        <v>547</v>
      </c>
      <c r="N32" s="51" t="s">
        <v>429</v>
      </c>
      <c r="O32" s="51" t="s">
        <v>429</v>
      </c>
    </row>
    <row r="33" spans="1:15" ht="34" x14ac:dyDescent="0.15">
      <c r="A33" s="138" t="s">
        <v>239</v>
      </c>
      <c r="B33" s="63">
        <v>39014</v>
      </c>
      <c r="C33" s="64" t="str">
        <f ca="1">VLOOKUP($B33,OFFSET([2]quests!$A$1,0,0,COUNTA([2]quests!$A:$A),MATCH(C$1,[2]quests!$1:$1,0)-MATCH($B$1,[2]quests!$1:$1,0)+1),MATCH(C$1,[2]quests!$1:$1,0)-MATCH($B$1,[2]quests!$1:$1,0)+1,FALSE)</f>
        <v>金券</v>
      </c>
      <c r="D33" s="64" t="str">
        <f ca="1">VLOOKUP($B33,OFFSET([2]quests!$A$1,0,0,COUNTA([2]quests!$A:$A),MATCH(D$1,[2]quests!$1:$1,0)-MATCH($B$1,[2]quests!$1:$1,0)+1),MATCH(D$1,[2]quests!$1:$1,0)-MATCH($B$1,[2]quests!$1:$1,0)+1,FALSE)</f>
        <v>コラボクエスト</v>
      </c>
      <c r="E33" s="139">
        <v>2</v>
      </c>
      <c r="F33" s="64" t="str">
        <f ca="1">VLOOKUP($B33&amp;"_"&amp;$E33,OFFSET([2]stages!$A$1,0,0,COUNTA([2]stages!$A:$A),MATCH(F$1,[2]stages!$2:$2,0)-MATCH("temp_stage",[2]stages!$2:$2,0)+1),MATCH(F$1,[2]stages!$2:$2,0)-MATCH("temp_stage",[2]stages!$2:$2,0)+1,FALSE)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33" s="64" t="str">
        <f ca="1">VLOOKUP($B33&amp;"_"&amp;$E33,OFFSET([2]stages!$A$1,0,0,COUNTA([2]stages!$A:$A),MATCH(G$1,[2]stages!$2:$2,0)-MATCH("temp_stage",[2]stages!$2:$2,0)+1),MATCH(G$1,[2]stages!$2:$2,0)-MATCH("temp_stage",[2]stages!$2:$2,0)+1,FALSE)</f>
        <v>コラボクエスト</v>
      </c>
      <c r="H33" s="143">
        <v>0</v>
      </c>
      <c r="I33" s="140">
        <f t="shared" si="0"/>
        <v>32</v>
      </c>
      <c r="J33" s="141" t="str">
        <f t="shared" si="1"/>
        <v>3901432</v>
      </c>
      <c r="K33" s="139" t="s">
        <v>428</v>
      </c>
      <c r="L33" s="197" t="s">
        <v>548</v>
      </c>
      <c r="M33" s="197" t="s">
        <v>549</v>
      </c>
      <c r="N33" s="51" t="s">
        <v>429</v>
      </c>
      <c r="O33" s="51" t="s">
        <v>429</v>
      </c>
    </row>
    <row r="34" spans="1:15" ht="42" x14ac:dyDescent="0.15">
      <c r="A34" s="138" t="s">
        <v>239</v>
      </c>
      <c r="B34" s="63">
        <v>39014</v>
      </c>
      <c r="C34" s="64" t="str">
        <f ca="1">VLOOKUP($B34,OFFSET([2]quests!$A$1,0,0,COUNTA([2]quests!$A:$A),MATCH(C$1,[2]quests!$1:$1,0)-MATCH($B$1,[2]quests!$1:$1,0)+1),MATCH(C$1,[2]quests!$1:$1,0)-MATCH($B$1,[2]quests!$1:$1,0)+1,FALSE)</f>
        <v>金券</v>
      </c>
      <c r="D34" s="64" t="str">
        <f ca="1">VLOOKUP($B34,OFFSET([2]quests!$A$1,0,0,COUNTA([2]quests!$A:$A),MATCH(D$1,[2]quests!$1:$1,0)-MATCH($B$1,[2]quests!$1:$1,0)+1),MATCH(D$1,[2]quests!$1:$1,0)-MATCH($B$1,[2]quests!$1:$1,0)+1,FALSE)</f>
        <v>コラボクエスト</v>
      </c>
      <c r="E34" s="139">
        <v>2</v>
      </c>
      <c r="F34" s="64" t="str">
        <f ca="1">VLOOKUP($B34&amp;"_"&amp;$E34,OFFSET([2]stages!$A$1,0,0,COUNTA([2]stages!$A:$A),MATCH(F$1,[2]stages!$2:$2,0)-MATCH("temp_stage",[2]stages!$2:$2,0)+1),MATCH(F$1,[2]stages!$2:$2,0)-MATCH("temp_stage",[2]stages!$2:$2,0)+1,FALSE)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34" s="64" t="str">
        <f ca="1">VLOOKUP($B34&amp;"_"&amp;$E34,OFFSET([2]stages!$A$1,0,0,COUNTA([2]stages!$A:$A),MATCH(G$1,[2]stages!$2:$2,0)-MATCH("temp_stage",[2]stages!$2:$2,0)+1),MATCH(G$1,[2]stages!$2:$2,0)-MATCH("temp_stage",[2]stages!$2:$2,0)+1,FALSE)</f>
        <v>コラボクエスト</v>
      </c>
      <c r="H34" s="143">
        <v>0</v>
      </c>
      <c r="I34" s="140">
        <f t="shared" si="0"/>
        <v>33</v>
      </c>
      <c r="J34" s="141" t="str">
        <f t="shared" si="1"/>
        <v>3901433</v>
      </c>
      <c r="K34" s="139" t="s">
        <v>428</v>
      </c>
      <c r="L34" s="199" t="s">
        <v>598</v>
      </c>
      <c r="M34" s="200" t="s">
        <v>635</v>
      </c>
      <c r="N34" s="51" t="s">
        <v>429</v>
      </c>
      <c r="O34" s="41">
        <v>1579</v>
      </c>
    </row>
    <row r="35" spans="1:15" ht="28" x14ac:dyDescent="0.15">
      <c r="A35" s="138" t="s">
        <v>239</v>
      </c>
      <c r="B35" s="63">
        <v>39014</v>
      </c>
      <c r="C35" s="64" t="str">
        <f ca="1">VLOOKUP($B35,OFFSET([2]quests!$A$1,0,0,COUNTA([2]quests!$A:$A),MATCH(C$1,[2]quests!$1:$1,0)-MATCH($B$1,[2]quests!$1:$1,0)+1),MATCH(C$1,[2]quests!$1:$1,0)-MATCH($B$1,[2]quests!$1:$1,0)+1,FALSE)</f>
        <v>金券</v>
      </c>
      <c r="D35" s="64" t="str">
        <f ca="1">VLOOKUP($B35,OFFSET([2]quests!$A$1,0,0,COUNTA([2]quests!$A:$A),MATCH(D$1,[2]quests!$1:$1,0)-MATCH($B$1,[2]quests!$1:$1,0)+1),MATCH(D$1,[2]quests!$1:$1,0)-MATCH($B$1,[2]quests!$1:$1,0)+1,FALSE)</f>
        <v>コラボクエスト</v>
      </c>
      <c r="E35" s="139">
        <v>2</v>
      </c>
      <c r="F35" s="64" t="str">
        <f ca="1">VLOOKUP($B35&amp;"_"&amp;$E35,OFFSET([2]stages!$A$1,0,0,COUNTA([2]stages!$A:$A),MATCH(F$1,[2]stages!$2:$2,0)-MATCH("temp_stage",[2]stages!$2:$2,0)+1),MATCH(F$1,[2]stages!$2:$2,0)-MATCH("temp_stage",[2]stages!$2:$2,0)+1,FALSE)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35" s="64" t="str">
        <f ca="1">VLOOKUP($B35&amp;"_"&amp;$E35,OFFSET([2]stages!$A$1,0,0,COUNTA([2]stages!$A:$A),MATCH(G$1,[2]stages!$2:$2,0)-MATCH("temp_stage",[2]stages!$2:$2,0)+1),MATCH(G$1,[2]stages!$2:$2,0)-MATCH("temp_stage",[2]stages!$2:$2,0)+1,FALSE)</f>
        <v>コラボクエスト</v>
      </c>
      <c r="H35" s="143">
        <v>0</v>
      </c>
      <c r="I35" s="140">
        <f t="shared" si="0"/>
        <v>34</v>
      </c>
      <c r="J35" s="141" t="str">
        <f t="shared" si="1"/>
        <v>3901434</v>
      </c>
      <c r="K35" s="139" t="s">
        <v>428</v>
      </c>
      <c r="L35" s="199" t="s">
        <v>599</v>
      </c>
      <c r="M35" s="200" t="s">
        <v>647</v>
      </c>
      <c r="N35" s="51" t="s">
        <v>429</v>
      </c>
      <c r="O35" s="41">
        <v>1587</v>
      </c>
    </row>
    <row r="36" spans="1:15" x14ac:dyDescent="0.15">
      <c r="A36" s="138" t="s">
        <v>239</v>
      </c>
      <c r="B36" s="63">
        <v>39014</v>
      </c>
      <c r="C36" s="64" t="str">
        <f ca="1">VLOOKUP($B36,OFFSET([2]quests!$A$1,0,0,COUNTA([2]quests!$A:$A),MATCH(C$1,[2]quests!$1:$1,0)-MATCH($B$1,[2]quests!$1:$1,0)+1),MATCH(C$1,[2]quests!$1:$1,0)-MATCH($B$1,[2]quests!$1:$1,0)+1,FALSE)</f>
        <v>金券</v>
      </c>
      <c r="D36" s="64" t="str">
        <f ca="1">VLOOKUP($B36,OFFSET([2]quests!$A$1,0,0,COUNTA([2]quests!$A:$A),MATCH(D$1,[2]quests!$1:$1,0)-MATCH($B$1,[2]quests!$1:$1,0)+1),MATCH(D$1,[2]quests!$1:$1,0)-MATCH($B$1,[2]quests!$1:$1,0)+1,FALSE)</f>
        <v>コラボクエスト</v>
      </c>
      <c r="E36" s="139">
        <v>2</v>
      </c>
      <c r="F36" s="64" t="str">
        <f ca="1">VLOOKUP($B36&amp;"_"&amp;$E36,OFFSET([2]stages!$A$1,0,0,COUNTA([2]stages!$A:$A),MATCH(F$1,[2]stages!$2:$2,0)-MATCH("temp_stage",[2]stages!$2:$2,0)+1),MATCH(F$1,[2]stages!$2:$2,0)-MATCH("temp_stage",[2]stages!$2:$2,0)+1,FALSE)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36" s="64" t="str">
        <f ca="1">VLOOKUP($B36&amp;"_"&amp;$E36,OFFSET([2]stages!$A$1,0,0,COUNTA([2]stages!$A:$A),MATCH(G$1,[2]stages!$2:$2,0)-MATCH("temp_stage",[2]stages!$2:$2,0)+1),MATCH(G$1,[2]stages!$2:$2,0)-MATCH("temp_stage",[2]stages!$2:$2,0)+1,FALSE)</f>
        <v>コラボクエスト</v>
      </c>
      <c r="H36" s="143">
        <v>0</v>
      </c>
      <c r="I36" s="140">
        <f t="shared" si="0"/>
        <v>35</v>
      </c>
      <c r="J36" s="141" t="str">
        <f t="shared" si="1"/>
        <v>3901435</v>
      </c>
      <c r="K36" s="139" t="s">
        <v>428</v>
      </c>
      <c r="L36" s="199" t="s">
        <v>618</v>
      </c>
      <c r="M36" s="200" t="s">
        <v>645</v>
      </c>
      <c r="N36" s="51" t="s">
        <v>429</v>
      </c>
      <c r="O36" s="41">
        <v>1581</v>
      </c>
    </row>
    <row r="37" spans="1:15" ht="42" x14ac:dyDescent="0.15">
      <c r="A37" s="138" t="s">
        <v>239</v>
      </c>
      <c r="B37" s="63">
        <v>39014</v>
      </c>
      <c r="C37" s="64" t="str">
        <f ca="1">VLOOKUP($B37,OFFSET([2]quests!$A$1,0,0,COUNTA([2]quests!$A:$A),MATCH(C$1,[2]quests!$1:$1,0)-MATCH($B$1,[2]quests!$1:$1,0)+1),MATCH(C$1,[2]quests!$1:$1,0)-MATCH($B$1,[2]quests!$1:$1,0)+1,FALSE)</f>
        <v>金券</v>
      </c>
      <c r="D37" s="64" t="str">
        <f ca="1">VLOOKUP($B37,OFFSET([2]quests!$A$1,0,0,COUNTA([2]quests!$A:$A),MATCH(D$1,[2]quests!$1:$1,0)-MATCH($B$1,[2]quests!$1:$1,0)+1),MATCH(D$1,[2]quests!$1:$1,0)-MATCH($B$1,[2]quests!$1:$1,0)+1,FALSE)</f>
        <v>コラボクエスト</v>
      </c>
      <c r="E37" s="139">
        <v>2</v>
      </c>
      <c r="F37" s="64" t="str">
        <f ca="1">VLOOKUP($B37&amp;"_"&amp;$E37,OFFSET([2]stages!$A$1,0,0,COUNTA([2]stages!$A:$A),MATCH(F$1,[2]stages!$2:$2,0)-MATCH("temp_stage",[2]stages!$2:$2,0)+1),MATCH(F$1,[2]stages!$2:$2,0)-MATCH("temp_stage",[2]stages!$2:$2,0)+1,FALSE)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37" s="64" t="str">
        <f ca="1">VLOOKUP($B37&amp;"_"&amp;$E37,OFFSET([2]stages!$A$1,0,0,COUNTA([2]stages!$A:$A),MATCH(G$1,[2]stages!$2:$2,0)-MATCH("temp_stage",[2]stages!$2:$2,0)+1),MATCH(G$1,[2]stages!$2:$2,0)-MATCH("temp_stage",[2]stages!$2:$2,0)+1,FALSE)</f>
        <v>コラボクエスト</v>
      </c>
      <c r="H37" s="143">
        <v>0</v>
      </c>
      <c r="I37" s="140">
        <f t="shared" si="0"/>
        <v>36</v>
      </c>
      <c r="J37" s="141" t="str">
        <f t="shared" si="1"/>
        <v>3901436</v>
      </c>
      <c r="K37" s="139" t="s">
        <v>428</v>
      </c>
      <c r="L37" s="199" t="s">
        <v>600</v>
      </c>
      <c r="M37" s="200" t="s">
        <v>649</v>
      </c>
      <c r="N37" s="51" t="s">
        <v>429</v>
      </c>
      <c r="O37" s="41">
        <v>1570</v>
      </c>
    </row>
    <row r="38" spans="1:15" ht="28" x14ac:dyDescent="0.15">
      <c r="A38" s="138" t="s">
        <v>239</v>
      </c>
      <c r="B38" s="63">
        <v>39014</v>
      </c>
      <c r="C38" s="64" t="str">
        <f ca="1">VLOOKUP($B38,OFFSET([2]quests!$A$1,0,0,COUNTA([2]quests!$A:$A),MATCH(C$1,[2]quests!$1:$1,0)-MATCH($B$1,[2]quests!$1:$1,0)+1),MATCH(C$1,[2]quests!$1:$1,0)-MATCH($B$1,[2]quests!$1:$1,0)+1,FALSE)</f>
        <v>金券</v>
      </c>
      <c r="D38" s="64" t="str">
        <f ca="1">VLOOKUP($B38,OFFSET([2]quests!$A$1,0,0,COUNTA([2]quests!$A:$A),MATCH(D$1,[2]quests!$1:$1,0)-MATCH($B$1,[2]quests!$1:$1,0)+1),MATCH(D$1,[2]quests!$1:$1,0)-MATCH($B$1,[2]quests!$1:$1,0)+1,FALSE)</f>
        <v>コラボクエスト</v>
      </c>
      <c r="E38" s="139">
        <v>2</v>
      </c>
      <c r="F38" s="64" t="str">
        <f ca="1">VLOOKUP($B38&amp;"_"&amp;$E38,OFFSET([2]stages!$A$1,0,0,COUNTA([2]stages!$A:$A),MATCH(F$1,[2]stages!$2:$2,0)-MATCH("temp_stage",[2]stages!$2:$2,0)+1),MATCH(F$1,[2]stages!$2:$2,0)-MATCH("temp_stage",[2]stages!$2:$2,0)+1,FALSE)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38" s="64" t="str">
        <f ca="1">VLOOKUP($B38&amp;"_"&amp;$E38,OFFSET([2]stages!$A$1,0,0,COUNTA([2]stages!$A:$A),MATCH(G$1,[2]stages!$2:$2,0)-MATCH("temp_stage",[2]stages!$2:$2,0)+1),MATCH(G$1,[2]stages!$2:$2,0)-MATCH("temp_stage",[2]stages!$2:$2,0)+1,FALSE)</f>
        <v>コラボクエスト</v>
      </c>
      <c r="H38" s="143">
        <v>0</v>
      </c>
      <c r="I38" s="140">
        <f t="shared" si="0"/>
        <v>37</v>
      </c>
      <c r="J38" s="141" t="str">
        <f t="shared" si="1"/>
        <v>3901437</v>
      </c>
      <c r="K38" s="139" t="s">
        <v>428</v>
      </c>
      <c r="L38" s="199" t="s">
        <v>601</v>
      </c>
      <c r="M38" s="200" t="s">
        <v>650</v>
      </c>
      <c r="N38" s="51" t="s">
        <v>429</v>
      </c>
      <c r="O38" s="41">
        <v>1568</v>
      </c>
    </row>
    <row r="39" spans="1:15" ht="28" x14ac:dyDescent="0.15">
      <c r="A39" s="138" t="s">
        <v>239</v>
      </c>
      <c r="B39" s="63">
        <v>39014</v>
      </c>
      <c r="C39" s="64" t="str">
        <f ca="1">VLOOKUP($B39,OFFSET([2]quests!$A$1,0,0,COUNTA([2]quests!$A:$A),MATCH(C$1,[2]quests!$1:$1,0)-MATCH($B$1,[2]quests!$1:$1,0)+1),MATCH(C$1,[2]quests!$1:$1,0)-MATCH($B$1,[2]quests!$1:$1,0)+1,FALSE)</f>
        <v>金券</v>
      </c>
      <c r="D39" s="64" t="str">
        <f ca="1">VLOOKUP($B39,OFFSET([2]quests!$A$1,0,0,COUNTA([2]quests!$A:$A),MATCH(D$1,[2]quests!$1:$1,0)-MATCH($B$1,[2]quests!$1:$1,0)+1),MATCH(D$1,[2]quests!$1:$1,0)-MATCH($B$1,[2]quests!$1:$1,0)+1,FALSE)</f>
        <v>コラボクエスト</v>
      </c>
      <c r="E39" s="139">
        <v>2</v>
      </c>
      <c r="F39" s="64" t="str">
        <f ca="1">VLOOKUP($B39&amp;"_"&amp;$E39,OFFSET([2]stages!$A$1,0,0,COUNTA([2]stages!$A:$A),MATCH(F$1,[2]stages!$2:$2,0)-MATCH("temp_stage",[2]stages!$2:$2,0)+1),MATCH(F$1,[2]stages!$2:$2,0)-MATCH("temp_stage",[2]stages!$2:$2,0)+1,FALSE)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39" s="64" t="str">
        <f ca="1">VLOOKUP($B39&amp;"_"&amp;$E39,OFFSET([2]stages!$A$1,0,0,COUNTA([2]stages!$A:$A),MATCH(G$1,[2]stages!$2:$2,0)-MATCH("temp_stage",[2]stages!$2:$2,0)+1),MATCH(G$1,[2]stages!$2:$2,0)-MATCH("temp_stage",[2]stages!$2:$2,0)+1,FALSE)</f>
        <v>コラボクエスト</v>
      </c>
      <c r="H39" s="143">
        <v>0</v>
      </c>
      <c r="I39" s="140">
        <f t="shared" si="0"/>
        <v>38</v>
      </c>
      <c r="J39" s="141" t="str">
        <f t="shared" si="1"/>
        <v>3901438</v>
      </c>
      <c r="K39" s="139" t="s">
        <v>428</v>
      </c>
      <c r="L39" s="199" t="s">
        <v>602</v>
      </c>
      <c r="M39" s="200" t="s">
        <v>651</v>
      </c>
      <c r="N39" s="51" t="s">
        <v>429</v>
      </c>
      <c r="O39" s="41">
        <v>1553</v>
      </c>
    </row>
    <row r="40" spans="1:15" ht="28" x14ac:dyDescent="0.15">
      <c r="A40" s="138" t="s">
        <v>239</v>
      </c>
      <c r="B40" s="63">
        <v>39014</v>
      </c>
      <c r="C40" s="64" t="str">
        <f ca="1">VLOOKUP($B40,OFFSET([2]quests!$A$1,0,0,COUNTA([2]quests!$A:$A),MATCH(C$1,[2]quests!$1:$1,0)-MATCH($B$1,[2]quests!$1:$1,0)+1),MATCH(C$1,[2]quests!$1:$1,0)-MATCH($B$1,[2]quests!$1:$1,0)+1,FALSE)</f>
        <v>金券</v>
      </c>
      <c r="D40" s="64" t="str">
        <f ca="1">VLOOKUP($B40,OFFSET([2]quests!$A$1,0,0,COUNTA([2]quests!$A:$A),MATCH(D$1,[2]quests!$1:$1,0)-MATCH($B$1,[2]quests!$1:$1,0)+1),MATCH(D$1,[2]quests!$1:$1,0)-MATCH($B$1,[2]quests!$1:$1,0)+1,FALSE)</f>
        <v>コラボクエスト</v>
      </c>
      <c r="E40" s="139">
        <v>2</v>
      </c>
      <c r="F40" s="64" t="str">
        <f ca="1">VLOOKUP($B40&amp;"_"&amp;$E40,OFFSET([2]stages!$A$1,0,0,COUNTA([2]stages!$A:$A),MATCH(F$1,[2]stages!$2:$2,0)-MATCH("temp_stage",[2]stages!$2:$2,0)+1),MATCH(F$1,[2]stages!$2:$2,0)-MATCH("temp_stage",[2]stages!$2:$2,0)+1,FALSE)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40" s="64" t="str">
        <f ca="1">VLOOKUP($B40&amp;"_"&amp;$E40,OFFSET([2]stages!$A$1,0,0,COUNTA([2]stages!$A:$A),MATCH(G$1,[2]stages!$2:$2,0)-MATCH("temp_stage",[2]stages!$2:$2,0)+1),MATCH(G$1,[2]stages!$2:$2,0)-MATCH("temp_stage",[2]stages!$2:$2,0)+1,FALSE)</f>
        <v>コラボクエスト</v>
      </c>
      <c r="H40" s="143">
        <v>0</v>
      </c>
      <c r="I40" s="140">
        <f t="shared" si="0"/>
        <v>39</v>
      </c>
      <c r="J40" s="141" t="str">
        <f t="shared" si="1"/>
        <v>3901439</v>
      </c>
      <c r="K40" s="139" t="s">
        <v>428</v>
      </c>
      <c r="L40" s="199" t="s">
        <v>603</v>
      </c>
      <c r="M40" s="200" t="s">
        <v>639</v>
      </c>
      <c r="N40" s="51" t="s">
        <v>429</v>
      </c>
      <c r="O40" s="41">
        <v>1566</v>
      </c>
    </row>
    <row r="41" spans="1:15" x14ac:dyDescent="0.15">
      <c r="A41" s="138" t="s">
        <v>239</v>
      </c>
      <c r="B41" s="63">
        <v>39014</v>
      </c>
      <c r="C41" s="64" t="str">
        <f ca="1">VLOOKUP($B41,OFFSET([2]quests!$A$1,0,0,COUNTA([2]quests!$A:$A),MATCH(C$1,[2]quests!$1:$1,0)-MATCH($B$1,[2]quests!$1:$1,0)+1),MATCH(C$1,[2]quests!$1:$1,0)-MATCH($B$1,[2]quests!$1:$1,0)+1,FALSE)</f>
        <v>金券</v>
      </c>
      <c r="D41" s="64" t="str">
        <f ca="1">VLOOKUP($B41,OFFSET([2]quests!$A$1,0,0,COUNTA([2]quests!$A:$A),MATCH(D$1,[2]quests!$1:$1,0)-MATCH($B$1,[2]quests!$1:$1,0)+1),MATCH(D$1,[2]quests!$1:$1,0)-MATCH($B$1,[2]quests!$1:$1,0)+1,FALSE)</f>
        <v>コラボクエスト</v>
      </c>
      <c r="E41" s="139">
        <v>2</v>
      </c>
      <c r="F41" s="64" t="str">
        <f ca="1">VLOOKUP($B41&amp;"_"&amp;$E41,OFFSET([2]stages!$A$1,0,0,COUNTA([2]stages!$A:$A),MATCH(F$1,[2]stages!$2:$2,0)-MATCH("temp_stage",[2]stages!$2:$2,0)+1),MATCH(F$1,[2]stages!$2:$2,0)-MATCH("temp_stage",[2]stages!$2:$2,0)+1,FALSE)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41" s="64" t="str">
        <f ca="1">VLOOKUP($B41&amp;"_"&amp;$E41,OFFSET([2]stages!$A$1,0,0,COUNTA([2]stages!$A:$A),MATCH(G$1,[2]stages!$2:$2,0)-MATCH("temp_stage",[2]stages!$2:$2,0)+1),MATCH(G$1,[2]stages!$2:$2,0)-MATCH("temp_stage",[2]stages!$2:$2,0)+1,FALSE)</f>
        <v>コラボクエスト</v>
      </c>
      <c r="H41" s="143">
        <v>0</v>
      </c>
      <c r="I41" s="140">
        <f t="shared" si="0"/>
        <v>40</v>
      </c>
      <c r="J41" s="141" t="str">
        <f t="shared" si="1"/>
        <v>3901440</v>
      </c>
      <c r="K41" s="139" t="s">
        <v>428</v>
      </c>
      <c r="L41" s="199" t="s">
        <v>622</v>
      </c>
      <c r="M41" s="200" t="s">
        <v>652</v>
      </c>
      <c r="N41" s="51" t="s">
        <v>429</v>
      </c>
      <c r="O41" s="41">
        <v>1551</v>
      </c>
    </row>
    <row r="42" spans="1:15" x14ac:dyDescent="0.15">
      <c r="A42" s="138" t="s">
        <v>239</v>
      </c>
      <c r="B42" s="63">
        <v>39014</v>
      </c>
      <c r="C42" s="64" t="str">
        <f ca="1">VLOOKUP($B42,OFFSET([2]quests!$A$1,0,0,COUNTA([2]quests!$A:$A),MATCH(C$1,[2]quests!$1:$1,0)-MATCH($B$1,[2]quests!$1:$1,0)+1),MATCH(C$1,[2]quests!$1:$1,0)-MATCH($B$1,[2]quests!$1:$1,0)+1,FALSE)</f>
        <v>金券</v>
      </c>
      <c r="D42" s="64" t="str">
        <f ca="1">VLOOKUP($B42,OFFSET([2]quests!$A$1,0,0,COUNTA([2]quests!$A:$A),MATCH(D$1,[2]quests!$1:$1,0)-MATCH($B$1,[2]quests!$1:$1,0)+1),MATCH(D$1,[2]quests!$1:$1,0)-MATCH($B$1,[2]quests!$1:$1,0)+1,FALSE)</f>
        <v>コラボクエスト</v>
      </c>
      <c r="E42" s="139">
        <v>2</v>
      </c>
      <c r="F42" s="64" t="str">
        <f ca="1">VLOOKUP($B42&amp;"_"&amp;$E42,OFFSET([2]stages!$A$1,0,0,COUNTA([2]stages!$A:$A),MATCH(F$1,[2]stages!$2:$2,0)-MATCH("temp_stage",[2]stages!$2:$2,0)+1),MATCH(F$1,[2]stages!$2:$2,0)-MATCH("temp_stage",[2]stages!$2:$2,0)+1,FALSE)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42" s="64" t="str">
        <f ca="1">VLOOKUP($B42&amp;"_"&amp;$E42,OFFSET([2]stages!$A$1,0,0,COUNTA([2]stages!$A:$A),MATCH(G$1,[2]stages!$2:$2,0)-MATCH("temp_stage",[2]stages!$2:$2,0)+1),MATCH(G$1,[2]stages!$2:$2,0)-MATCH("temp_stage",[2]stages!$2:$2,0)+1,FALSE)</f>
        <v>コラボクエスト</v>
      </c>
      <c r="H42" s="143">
        <v>0</v>
      </c>
      <c r="I42" s="140">
        <f t="shared" si="0"/>
        <v>41</v>
      </c>
      <c r="J42" s="141" t="str">
        <f t="shared" si="1"/>
        <v>3901441</v>
      </c>
      <c r="K42" s="139" t="s">
        <v>428</v>
      </c>
      <c r="L42" s="199" t="s">
        <v>604</v>
      </c>
      <c r="M42" s="200" t="s">
        <v>605</v>
      </c>
      <c r="N42" s="51" t="s">
        <v>429</v>
      </c>
      <c r="O42" s="201">
        <v>1555</v>
      </c>
    </row>
    <row r="43" spans="1:15" ht="28" x14ac:dyDescent="0.15">
      <c r="A43" s="138" t="s">
        <v>239</v>
      </c>
      <c r="B43" s="63">
        <v>39014</v>
      </c>
      <c r="C43" s="64" t="str">
        <f ca="1">VLOOKUP($B43,OFFSET([2]quests!$A$1,0,0,COUNTA([2]quests!$A:$A),MATCH(C$1,[2]quests!$1:$1,0)-MATCH($B$1,[2]quests!$1:$1,0)+1),MATCH(C$1,[2]quests!$1:$1,0)-MATCH($B$1,[2]quests!$1:$1,0)+1,FALSE)</f>
        <v>金券</v>
      </c>
      <c r="D43" s="64" t="str">
        <f ca="1">VLOOKUP($B43,OFFSET([2]quests!$A$1,0,0,COUNTA([2]quests!$A:$A),MATCH(D$1,[2]quests!$1:$1,0)-MATCH($B$1,[2]quests!$1:$1,0)+1),MATCH(D$1,[2]quests!$1:$1,0)-MATCH($B$1,[2]quests!$1:$1,0)+1,FALSE)</f>
        <v>コラボクエスト</v>
      </c>
      <c r="E43" s="139">
        <v>2</v>
      </c>
      <c r="F43" s="64" t="str">
        <f ca="1">VLOOKUP($B43&amp;"_"&amp;$E43,OFFSET([2]stages!$A$1,0,0,COUNTA([2]stages!$A:$A),MATCH(F$1,[2]stages!$2:$2,0)-MATCH("temp_stage",[2]stages!$2:$2,0)+1),MATCH(F$1,[2]stages!$2:$2,0)-MATCH("temp_stage",[2]stages!$2:$2,0)+1,FALSE)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43" s="64" t="str">
        <f ca="1">VLOOKUP($B43&amp;"_"&amp;$E43,OFFSET([2]stages!$A$1,0,0,COUNTA([2]stages!$A:$A),MATCH(G$1,[2]stages!$2:$2,0)-MATCH("temp_stage",[2]stages!$2:$2,0)+1),MATCH(G$1,[2]stages!$2:$2,0)-MATCH("temp_stage",[2]stages!$2:$2,0)+1,FALSE)</f>
        <v>コラボクエスト</v>
      </c>
      <c r="H43" s="143">
        <v>0</v>
      </c>
      <c r="I43" s="140">
        <f t="shared" si="0"/>
        <v>42</v>
      </c>
      <c r="J43" s="141" t="str">
        <f t="shared" si="1"/>
        <v>3901442</v>
      </c>
      <c r="K43" s="139" t="s">
        <v>428</v>
      </c>
      <c r="L43" s="199" t="s">
        <v>606</v>
      </c>
      <c r="M43" s="200" t="s">
        <v>653</v>
      </c>
      <c r="N43" s="51" t="s">
        <v>429</v>
      </c>
      <c r="O43" s="201">
        <v>1556</v>
      </c>
    </row>
    <row r="44" spans="1:15" ht="28" x14ac:dyDescent="0.15">
      <c r="A44" s="138" t="s">
        <v>239</v>
      </c>
      <c r="B44" s="63">
        <v>39014</v>
      </c>
      <c r="C44" s="64" t="str">
        <f ca="1">VLOOKUP($B44,OFFSET([2]quests!$A$1,0,0,COUNTA([2]quests!$A:$A),MATCH(C$1,[2]quests!$1:$1,0)-MATCH($B$1,[2]quests!$1:$1,0)+1),MATCH(C$1,[2]quests!$1:$1,0)-MATCH($B$1,[2]quests!$1:$1,0)+1,FALSE)</f>
        <v>金券</v>
      </c>
      <c r="D44" s="64" t="str">
        <f ca="1">VLOOKUP($B44,OFFSET([2]quests!$A$1,0,0,COUNTA([2]quests!$A:$A),MATCH(D$1,[2]quests!$1:$1,0)-MATCH($B$1,[2]quests!$1:$1,0)+1),MATCH(D$1,[2]quests!$1:$1,0)-MATCH($B$1,[2]quests!$1:$1,0)+1,FALSE)</f>
        <v>コラボクエスト</v>
      </c>
      <c r="E44" s="139">
        <v>2</v>
      </c>
      <c r="F44" s="64" t="str">
        <f ca="1">VLOOKUP($B44&amp;"_"&amp;$E44,OFFSET([2]stages!$A$1,0,0,COUNTA([2]stages!$A:$A),MATCH(F$1,[2]stages!$2:$2,0)-MATCH("temp_stage",[2]stages!$2:$2,0)+1),MATCH(F$1,[2]stages!$2:$2,0)-MATCH("temp_stage",[2]stages!$2:$2,0)+1,FALSE)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44" s="64" t="str">
        <f ca="1">VLOOKUP($B44&amp;"_"&amp;$E44,OFFSET([2]stages!$A$1,0,0,COUNTA([2]stages!$A:$A),MATCH(G$1,[2]stages!$2:$2,0)-MATCH("temp_stage",[2]stages!$2:$2,0)+1),MATCH(G$1,[2]stages!$2:$2,0)-MATCH("temp_stage",[2]stages!$2:$2,0)+1,FALSE)</f>
        <v>コラボクエスト</v>
      </c>
      <c r="H44" s="143">
        <v>0</v>
      </c>
      <c r="I44" s="140">
        <f t="shared" si="0"/>
        <v>43</v>
      </c>
      <c r="J44" s="141" t="str">
        <f t="shared" si="1"/>
        <v>3901443</v>
      </c>
      <c r="K44" s="139" t="s">
        <v>428</v>
      </c>
      <c r="L44" s="199" t="s">
        <v>607</v>
      </c>
      <c r="M44" s="200" t="s">
        <v>654</v>
      </c>
      <c r="N44" s="51" t="s">
        <v>429</v>
      </c>
      <c r="O44" s="201">
        <v>1558</v>
      </c>
    </row>
    <row r="45" spans="1:15" ht="28" x14ac:dyDescent="0.15">
      <c r="A45" s="138" t="s">
        <v>239</v>
      </c>
      <c r="B45" s="63">
        <v>39014</v>
      </c>
      <c r="C45" s="64" t="str">
        <f ca="1">VLOOKUP($B45,OFFSET([2]quests!$A$1,0,0,COUNTA([2]quests!$A:$A),MATCH(C$1,[2]quests!$1:$1,0)-MATCH($B$1,[2]quests!$1:$1,0)+1),MATCH(C$1,[2]quests!$1:$1,0)-MATCH($B$1,[2]quests!$1:$1,0)+1,FALSE)</f>
        <v>金券</v>
      </c>
      <c r="D45" s="64" t="str">
        <f ca="1">VLOOKUP($B45,OFFSET([2]quests!$A$1,0,0,COUNTA([2]quests!$A:$A),MATCH(D$1,[2]quests!$1:$1,0)-MATCH($B$1,[2]quests!$1:$1,0)+1),MATCH(D$1,[2]quests!$1:$1,0)-MATCH($B$1,[2]quests!$1:$1,0)+1,FALSE)</f>
        <v>コラボクエスト</v>
      </c>
      <c r="E45" s="139">
        <v>2</v>
      </c>
      <c r="F45" s="64" t="str">
        <f ca="1">VLOOKUP($B45&amp;"_"&amp;$E45,OFFSET([2]stages!$A$1,0,0,COUNTA([2]stages!$A:$A),MATCH(F$1,[2]stages!$2:$2,0)-MATCH("temp_stage",[2]stages!$2:$2,0)+1),MATCH(F$1,[2]stages!$2:$2,0)-MATCH("temp_stage",[2]stages!$2:$2,0)+1,FALSE)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45" s="64" t="str">
        <f ca="1">VLOOKUP($B45&amp;"_"&amp;$E45,OFFSET([2]stages!$A$1,0,0,COUNTA([2]stages!$A:$A),MATCH(G$1,[2]stages!$2:$2,0)-MATCH("temp_stage",[2]stages!$2:$2,0)+1),MATCH(G$1,[2]stages!$2:$2,0)-MATCH("temp_stage",[2]stages!$2:$2,0)+1,FALSE)</f>
        <v>コラボクエスト</v>
      </c>
      <c r="H45" s="143">
        <v>0</v>
      </c>
      <c r="I45" s="140">
        <f t="shared" si="0"/>
        <v>44</v>
      </c>
      <c r="J45" s="141" t="str">
        <f t="shared" si="1"/>
        <v>3901444</v>
      </c>
      <c r="K45" s="139" t="s">
        <v>428</v>
      </c>
      <c r="L45" s="199" t="s">
        <v>608</v>
      </c>
      <c r="M45" s="200" t="s">
        <v>655</v>
      </c>
      <c r="N45" s="51" t="s">
        <v>429</v>
      </c>
      <c r="O45" s="201">
        <v>1560</v>
      </c>
    </row>
    <row r="46" spans="1:15" ht="42" x14ac:dyDescent="0.15">
      <c r="A46" s="138" t="s">
        <v>239</v>
      </c>
      <c r="B46" s="63">
        <v>39014</v>
      </c>
      <c r="C46" s="64" t="str">
        <f ca="1">VLOOKUP($B46,OFFSET([2]quests!$A$1,0,0,COUNTA([2]quests!$A:$A),MATCH(C$1,[2]quests!$1:$1,0)-MATCH($B$1,[2]quests!$1:$1,0)+1),MATCH(C$1,[2]quests!$1:$1,0)-MATCH($B$1,[2]quests!$1:$1,0)+1,FALSE)</f>
        <v>金券</v>
      </c>
      <c r="D46" s="64" t="str">
        <f ca="1">VLOOKUP($B46,OFFSET([2]quests!$A$1,0,0,COUNTA([2]quests!$A:$A),MATCH(D$1,[2]quests!$1:$1,0)-MATCH($B$1,[2]quests!$1:$1,0)+1),MATCH(D$1,[2]quests!$1:$1,0)-MATCH($B$1,[2]quests!$1:$1,0)+1,FALSE)</f>
        <v>コラボクエスト</v>
      </c>
      <c r="E46" s="139">
        <v>2</v>
      </c>
      <c r="F46" s="64" t="str">
        <f ca="1">VLOOKUP($B46&amp;"_"&amp;$E46,OFFSET([2]stages!$A$1,0,0,COUNTA([2]stages!$A:$A),MATCH(F$1,[2]stages!$2:$2,0)-MATCH("temp_stage",[2]stages!$2:$2,0)+1),MATCH(F$1,[2]stages!$2:$2,0)-MATCH("temp_stage",[2]stages!$2:$2,0)+1,FALSE)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46" s="64" t="str">
        <f ca="1">VLOOKUP($B46&amp;"_"&amp;$E46,OFFSET([2]stages!$A$1,0,0,COUNTA([2]stages!$A:$A),MATCH(G$1,[2]stages!$2:$2,0)-MATCH("temp_stage",[2]stages!$2:$2,0)+1),MATCH(G$1,[2]stages!$2:$2,0)-MATCH("temp_stage",[2]stages!$2:$2,0)+1,FALSE)</f>
        <v>コラボクエスト</v>
      </c>
      <c r="H46" s="143">
        <v>0</v>
      </c>
      <c r="I46" s="140">
        <f t="shared" si="0"/>
        <v>45</v>
      </c>
      <c r="J46" s="141" t="str">
        <f t="shared" si="1"/>
        <v>3901445</v>
      </c>
      <c r="K46" s="139" t="s">
        <v>428</v>
      </c>
      <c r="L46" s="199" t="s">
        <v>609</v>
      </c>
      <c r="M46" s="200" t="s">
        <v>656</v>
      </c>
      <c r="N46" s="51" t="s">
        <v>429</v>
      </c>
      <c r="O46" s="201">
        <v>1561</v>
      </c>
    </row>
    <row r="47" spans="1:15" ht="28" x14ac:dyDescent="0.15">
      <c r="A47" s="138" t="s">
        <v>239</v>
      </c>
      <c r="B47" s="63">
        <v>39014</v>
      </c>
      <c r="C47" s="64" t="str">
        <f ca="1">VLOOKUP($B47,OFFSET([2]quests!$A$1,0,0,COUNTA([2]quests!$A:$A),MATCH(C$1,[2]quests!$1:$1,0)-MATCH($B$1,[2]quests!$1:$1,0)+1),MATCH(C$1,[2]quests!$1:$1,0)-MATCH($B$1,[2]quests!$1:$1,0)+1,FALSE)</f>
        <v>金券</v>
      </c>
      <c r="D47" s="64" t="str">
        <f ca="1">VLOOKUP($B47,OFFSET([2]quests!$A$1,0,0,COUNTA([2]quests!$A:$A),MATCH(D$1,[2]quests!$1:$1,0)-MATCH($B$1,[2]quests!$1:$1,0)+1),MATCH(D$1,[2]quests!$1:$1,0)-MATCH($B$1,[2]quests!$1:$1,0)+1,FALSE)</f>
        <v>コラボクエスト</v>
      </c>
      <c r="E47" s="139">
        <v>2</v>
      </c>
      <c r="F47" s="64" t="str">
        <f ca="1">VLOOKUP($B47&amp;"_"&amp;$E47,OFFSET([2]stages!$A$1,0,0,COUNTA([2]stages!$A:$A),MATCH(F$1,[2]stages!$2:$2,0)-MATCH("temp_stage",[2]stages!$2:$2,0)+1),MATCH(F$1,[2]stages!$2:$2,0)-MATCH("temp_stage",[2]stages!$2:$2,0)+1,FALSE)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47" s="64" t="str">
        <f ca="1">VLOOKUP($B47&amp;"_"&amp;$E47,OFFSET([2]stages!$A$1,0,0,COUNTA([2]stages!$A:$A),MATCH(G$1,[2]stages!$2:$2,0)-MATCH("temp_stage",[2]stages!$2:$2,0)+1),MATCH(G$1,[2]stages!$2:$2,0)-MATCH("temp_stage",[2]stages!$2:$2,0)+1,FALSE)</f>
        <v>コラボクエスト</v>
      </c>
      <c r="H47" s="143">
        <v>0</v>
      </c>
      <c r="I47" s="140">
        <f t="shared" si="0"/>
        <v>46</v>
      </c>
      <c r="J47" s="141" t="str">
        <f t="shared" si="1"/>
        <v>3901446</v>
      </c>
      <c r="K47" s="139" t="s">
        <v>428</v>
      </c>
      <c r="L47" s="199" t="s">
        <v>610</v>
      </c>
      <c r="M47" s="200" t="s">
        <v>657</v>
      </c>
      <c r="N47" s="51" t="s">
        <v>429</v>
      </c>
      <c r="O47" s="201">
        <v>1563</v>
      </c>
    </row>
    <row r="48" spans="1:15" ht="28" x14ac:dyDescent="0.15">
      <c r="A48" s="138" t="s">
        <v>239</v>
      </c>
      <c r="B48" s="63">
        <v>39014</v>
      </c>
      <c r="C48" s="64" t="str">
        <f ca="1">VLOOKUP($B48,OFFSET([2]quests!$A$1,0,0,COUNTA([2]quests!$A:$A),MATCH(C$1,[2]quests!$1:$1,0)-MATCH($B$1,[2]quests!$1:$1,0)+1),MATCH(C$1,[2]quests!$1:$1,0)-MATCH($B$1,[2]quests!$1:$1,0)+1,FALSE)</f>
        <v>金券</v>
      </c>
      <c r="D48" s="64" t="str">
        <f ca="1">VLOOKUP($B48,OFFSET([2]quests!$A$1,0,0,COUNTA([2]quests!$A:$A),MATCH(D$1,[2]quests!$1:$1,0)-MATCH($B$1,[2]quests!$1:$1,0)+1),MATCH(D$1,[2]quests!$1:$1,0)-MATCH($B$1,[2]quests!$1:$1,0)+1,FALSE)</f>
        <v>コラボクエスト</v>
      </c>
      <c r="E48" s="139">
        <v>2</v>
      </c>
      <c r="F48" s="64" t="str">
        <f ca="1">VLOOKUP($B48&amp;"_"&amp;$E48,OFFSET([2]stages!$A$1,0,0,COUNTA([2]stages!$A:$A),MATCH(F$1,[2]stages!$2:$2,0)-MATCH("temp_stage",[2]stages!$2:$2,0)+1),MATCH(F$1,[2]stages!$2:$2,0)-MATCH("temp_stage",[2]stages!$2:$2,0)+1,FALSE)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48" s="64" t="str">
        <f ca="1">VLOOKUP($B48&amp;"_"&amp;$E48,OFFSET([2]stages!$A$1,0,0,COUNTA([2]stages!$A:$A),MATCH(G$1,[2]stages!$2:$2,0)-MATCH("temp_stage",[2]stages!$2:$2,0)+1),MATCH(G$1,[2]stages!$2:$2,0)-MATCH("temp_stage",[2]stages!$2:$2,0)+1,FALSE)</f>
        <v>コラボクエスト</v>
      </c>
      <c r="H48" s="143">
        <v>0</v>
      </c>
      <c r="I48" s="140">
        <f t="shared" si="0"/>
        <v>47</v>
      </c>
      <c r="J48" s="141" t="str">
        <f t="shared" si="1"/>
        <v>3901447</v>
      </c>
      <c r="K48" s="139" t="s">
        <v>428</v>
      </c>
      <c r="L48" s="199" t="s">
        <v>611</v>
      </c>
      <c r="M48" s="200" t="s">
        <v>658</v>
      </c>
      <c r="N48" s="51" t="s">
        <v>429</v>
      </c>
      <c r="O48" s="201">
        <v>1565</v>
      </c>
    </row>
    <row r="49" spans="1:15" ht="28" x14ac:dyDescent="0.15">
      <c r="A49" s="138" t="s">
        <v>239</v>
      </c>
      <c r="B49" s="63">
        <v>39014</v>
      </c>
      <c r="C49" s="64" t="str">
        <f ca="1">VLOOKUP($B49,OFFSET([2]quests!$A$1,0,0,COUNTA([2]quests!$A:$A),MATCH(C$1,[2]quests!$1:$1,0)-MATCH($B$1,[2]quests!$1:$1,0)+1),MATCH(C$1,[2]quests!$1:$1,0)-MATCH($B$1,[2]quests!$1:$1,0)+1,FALSE)</f>
        <v>金券</v>
      </c>
      <c r="D49" s="64" t="str">
        <f ca="1">VLOOKUP($B49,OFFSET([2]quests!$A$1,0,0,COUNTA([2]quests!$A:$A),MATCH(D$1,[2]quests!$1:$1,0)-MATCH($B$1,[2]quests!$1:$1,0)+1),MATCH(D$1,[2]quests!$1:$1,0)-MATCH($B$1,[2]quests!$1:$1,0)+1,FALSE)</f>
        <v>コラボクエスト</v>
      </c>
      <c r="E49" s="139">
        <v>2</v>
      </c>
      <c r="F49" s="64" t="str">
        <f ca="1">VLOOKUP($B49&amp;"_"&amp;$E49,OFFSET([2]stages!$A$1,0,0,COUNTA([2]stages!$A:$A),MATCH(F$1,[2]stages!$2:$2,0)-MATCH("temp_stage",[2]stages!$2:$2,0)+1),MATCH(F$1,[2]stages!$2:$2,0)-MATCH("temp_stage",[2]stages!$2:$2,0)+1,FALSE)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49" s="64" t="str">
        <f ca="1">VLOOKUP($B49&amp;"_"&amp;$E49,OFFSET([2]stages!$A$1,0,0,COUNTA([2]stages!$A:$A),MATCH(G$1,[2]stages!$2:$2,0)-MATCH("temp_stage",[2]stages!$2:$2,0)+1),MATCH(G$1,[2]stages!$2:$2,0)-MATCH("temp_stage",[2]stages!$2:$2,0)+1,FALSE)</f>
        <v>コラボクエスト</v>
      </c>
      <c r="H49" s="143">
        <v>0</v>
      </c>
      <c r="I49" s="140">
        <f t="shared" si="0"/>
        <v>48</v>
      </c>
      <c r="J49" s="141" t="str">
        <f t="shared" si="1"/>
        <v>3901448</v>
      </c>
      <c r="K49" s="139" t="s">
        <v>428</v>
      </c>
      <c r="L49" s="199" t="s">
        <v>612</v>
      </c>
      <c r="M49" s="200" t="s">
        <v>641</v>
      </c>
      <c r="N49" s="51" t="s">
        <v>429</v>
      </c>
      <c r="O49" s="201">
        <v>1571</v>
      </c>
    </row>
    <row r="50" spans="1:15" ht="28" x14ac:dyDescent="0.15">
      <c r="A50" s="138" t="s">
        <v>239</v>
      </c>
      <c r="B50" s="63">
        <v>39014</v>
      </c>
      <c r="C50" s="64" t="str">
        <f ca="1">VLOOKUP($B50,OFFSET([2]quests!$A$1,0,0,COUNTA([2]quests!$A:$A),MATCH(C$1,[2]quests!$1:$1,0)-MATCH($B$1,[2]quests!$1:$1,0)+1),MATCH(C$1,[2]quests!$1:$1,0)-MATCH($B$1,[2]quests!$1:$1,0)+1,FALSE)</f>
        <v>金券</v>
      </c>
      <c r="D50" s="64" t="str">
        <f ca="1">VLOOKUP($B50,OFFSET([2]quests!$A$1,0,0,COUNTA([2]quests!$A:$A),MATCH(D$1,[2]quests!$1:$1,0)-MATCH($B$1,[2]quests!$1:$1,0)+1),MATCH(D$1,[2]quests!$1:$1,0)-MATCH($B$1,[2]quests!$1:$1,0)+1,FALSE)</f>
        <v>コラボクエスト</v>
      </c>
      <c r="E50" s="139">
        <v>2</v>
      </c>
      <c r="F50" s="64" t="str">
        <f ca="1">VLOOKUP($B50&amp;"_"&amp;$E50,OFFSET([2]stages!$A$1,0,0,COUNTA([2]stages!$A:$A),MATCH(F$1,[2]stages!$2:$2,0)-MATCH("temp_stage",[2]stages!$2:$2,0)+1),MATCH(F$1,[2]stages!$2:$2,0)-MATCH("temp_stage",[2]stages!$2:$2,0)+1,FALSE)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50" s="64" t="str">
        <f ca="1">VLOOKUP($B50&amp;"_"&amp;$E50,OFFSET([2]stages!$A$1,0,0,COUNTA([2]stages!$A:$A),MATCH(G$1,[2]stages!$2:$2,0)-MATCH("temp_stage",[2]stages!$2:$2,0)+1),MATCH(G$1,[2]stages!$2:$2,0)-MATCH("temp_stage",[2]stages!$2:$2,0)+1,FALSE)</f>
        <v>コラボクエスト</v>
      </c>
      <c r="H50" s="143">
        <v>0</v>
      </c>
      <c r="I50" s="140">
        <f t="shared" si="0"/>
        <v>49</v>
      </c>
      <c r="J50" s="141" t="str">
        <f t="shared" si="1"/>
        <v>3901449</v>
      </c>
      <c r="K50" s="139" t="s">
        <v>428</v>
      </c>
      <c r="L50" s="199" t="s">
        <v>613</v>
      </c>
      <c r="M50" s="200" t="s">
        <v>643</v>
      </c>
      <c r="N50" s="51" t="s">
        <v>429</v>
      </c>
      <c r="O50" s="201">
        <v>1573</v>
      </c>
    </row>
    <row r="51" spans="1:15" x14ac:dyDescent="0.15">
      <c r="A51" s="138" t="s">
        <v>239</v>
      </c>
      <c r="B51" s="63">
        <v>39014</v>
      </c>
      <c r="C51" s="64" t="str">
        <f ca="1">VLOOKUP($B51,OFFSET([2]quests!$A$1,0,0,COUNTA([2]quests!$A:$A),MATCH(C$1,[2]quests!$1:$1,0)-MATCH($B$1,[2]quests!$1:$1,0)+1),MATCH(C$1,[2]quests!$1:$1,0)-MATCH($B$1,[2]quests!$1:$1,0)+1,FALSE)</f>
        <v>金券</v>
      </c>
      <c r="D51" s="64" t="str">
        <f ca="1">VLOOKUP($B51,OFFSET([2]quests!$A$1,0,0,COUNTA([2]quests!$A:$A),MATCH(D$1,[2]quests!$1:$1,0)-MATCH($B$1,[2]quests!$1:$1,0)+1),MATCH(D$1,[2]quests!$1:$1,0)-MATCH($B$1,[2]quests!$1:$1,0)+1,FALSE)</f>
        <v>コラボクエスト</v>
      </c>
      <c r="E51" s="139">
        <v>2</v>
      </c>
      <c r="F51" s="64" t="str">
        <f ca="1">VLOOKUP($B51&amp;"_"&amp;$E51,OFFSET([2]stages!$A$1,0,0,COUNTA([2]stages!$A:$A),MATCH(F$1,[2]stages!$2:$2,0)-MATCH("temp_stage",[2]stages!$2:$2,0)+1),MATCH(F$1,[2]stages!$2:$2,0)-MATCH("temp_stage",[2]stages!$2:$2,0)+1,FALSE)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51" s="64" t="str">
        <f ca="1">VLOOKUP($B51&amp;"_"&amp;$E51,OFFSET([2]stages!$A$1,0,0,COUNTA([2]stages!$A:$A),MATCH(G$1,[2]stages!$2:$2,0)-MATCH("temp_stage",[2]stages!$2:$2,0)+1),MATCH(G$1,[2]stages!$2:$2,0)-MATCH("temp_stage",[2]stages!$2:$2,0)+1,FALSE)</f>
        <v>コラボクエスト</v>
      </c>
      <c r="H51" s="143">
        <v>0</v>
      </c>
      <c r="I51" s="140">
        <f t="shared" si="0"/>
        <v>50</v>
      </c>
      <c r="J51" s="141" t="str">
        <f t="shared" si="1"/>
        <v>3901450</v>
      </c>
      <c r="K51" s="139" t="s">
        <v>428</v>
      </c>
      <c r="L51" s="199" t="s">
        <v>614</v>
      </c>
      <c r="M51" s="200" t="s">
        <v>659</v>
      </c>
      <c r="N51" s="51" t="s">
        <v>429</v>
      </c>
      <c r="O51" s="201">
        <v>1574</v>
      </c>
    </row>
    <row r="52" spans="1:15" ht="42" x14ac:dyDescent="0.15">
      <c r="A52" s="138" t="s">
        <v>239</v>
      </c>
      <c r="B52" s="63">
        <v>39014</v>
      </c>
      <c r="C52" s="64" t="str">
        <f ca="1">VLOOKUP($B52,OFFSET([2]quests!$A$1,0,0,COUNTA([2]quests!$A:$A),MATCH(C$1,[2]quests!$1:$1,0)-MATCH($B$1,[2]quests!$1:$1,0)+1),MATCH(C$1,[2]quests!$1:$1,0)-MATCH($B$1,[2]quests!$1:$1,0)+1,FALSE)</f>
        <v>金券</v>
      </c>
      <c r="D52" s="64" t="str">
        <f ca="1">VLOOKUP($B52,OFFSET([2]quests!$A$1,0,0,COUNTA([2]quests!$A:$A),MATCH(D$1,[2]quests!$1:$1,0)-MATCH($B$1,[2]quests!$1:$1,0)+1),MATCH(D$1,[2]quests!$1:$1,0)-MATCH($B$1,[2]quests!$1:$1,0)+1,FALSE)</f>
        <v>コラボクエスト</v>
      </c>
      <c r="E52" s="139">
        <v>2</v>
      </c>
      <c r="F52" s="64" t="str">
        <f ca="1">VLOOKUP($B52&amp;"_"&amp;$E52,OFFSET([2]stages!$A$1,0,0,COUNTA([2]stages!$A:$A),MATCH(F$1,[2]stages!$2:$2,0)-MATCH("temp_stage",[2]stages!$2:$2,0)+1),MATCH(F$1,[2]stages!$2:$2,0)-MATCH("temp_stage",[2]stages!$2:$2,0)+1,FALSE)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52" s="64" t="str">
        <f ca="1">VLOOKUP($B52&amp;"_"&amp;$E52,OFFSET([2]stages!$A$1,0,0,COUNTA([2]stages!$A:$A),MATCH(G$1,[2]stages!$2:$2,0)-MATCH("temp_stage",[2]stages!$2:$2,0)+1),MATCH(G$1,[2]stages!$2:$2,0)-MATCH("temp_stage",[2]stages!$2:$2,0)+1,FALSE)</f>
        <v>コラボクエスト</v>
      </c>
      <c r="H52" s="143">
        <v>0</v>
      </c>
      <c r="I52" s="140">
        <f t="shared" si="0"/>
        <v>51</v>
      </c>
      <c r="J52" s="141" t="str">
        <f t="shared" si="1"/>
        <v>3901451</v>
      </c>
      <c r="K52" s="139" t="s">
        <v>428</v>
      </c>
      <c r="L52" s="199" t="s">
        <v>615</v>
      </c>
      <c r="M52" s="200" t="s">
        <v>660</v>
      </c>
      <c r="N52" s="51" t="s">
        <v>429</v>
      </c>
      <c r="O52" s="201">
        <v>1575</v>
      </c>
    </row>
    <row r="53" spans="1:15" ht="28" x14ac:dyDescent="0.15">
      <c r="A53" s="138" t="s">
        <v>239</v>
      </c>
      <c r="B53" s="63">
        <v>39014</v>
      </c>
      <c r="C53" s="64" t="str">
        <f ca="1">VLOOKUP($B53,OFFSET([2]quests!$A$1,0,0,COUNTA([2]quests!$A:$A),MATCH(C$1,[2]quests!$1:$1,0)-MATCH($B$1,[2]quests!$1:$1,0)+1),MATCH(C$1,[2]quests!$1:$1,0)-MATCH($B$1,[2]quests!$1:$1,0)+1,FALSE)</f>
        <v>金券</v>
      </c>
      <c r="D53" s="64" t="str">
        <f ca="1">VLOOKUP($B53,OFFSET([2]quests!$A$1,0,0,COUNTA([2]quests!$A:$A),MATCH(D$1,[2]quests!$1:$1,0)-MATCH($B$1,[2]quests!$1:$1,0)+1),MATCH(D$1,[2]quests!$1:$1,0)-MATCH($B$1,[2]quests!$1:$1,0)+1,FALSE)</f>
        <v>コラボクエスト</v>
      </c>
      <c r="E53" s="139">
        <v>2</v>
      </c>
      <c r="F53" s="64" t="str">
        <f ca="1">VLOOKUP($B53&amp;"_"&amp;$E53,OFFSET([2]stages!$A$1,0,0,COUNTA([2]stages!$A:$A),MATCH(F$1,[2]stages!$2:$2,0)-MATCH("temp_stage",[2]stages!$2:$2,0)+1),MATCH(F$1,[2]stages!$2:$2,0)-MATCH("temp_stage",[2]stages!$2:$2,0)+1,FALSE)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53" s="64" t="str">
        <f ca="1">VLOOKUP($B53&amp;"_"&amp;$E53,OFFSET([2]stages!$A$1,0,0,COUNTA([2]stages!$A:$A),MATCH(G$1,[2]stages!$2:$2,0)-MATCH("temp_stage",[2]stages!$2:$2,0)+1),MATCH(G$1,[2]stages!$2:$2,0)-MATCH("temp_stage",[2]stages!$2:$2,0)+1,FALSE)</f>
        <v>コラボクエスト</v>
      </c>
      <c r="H53" s="143">
        <v>0</v>
      </c>
      <c r="I53" s="140">
        <f t="shared" si="0"/>
        <v>52</v>
      </c>
      <c r="J53" s="141" t="str">
        <f t="shared" si="1"/>
        <v>3901452</v>
      </c>
      <c r="K53" s="139" t="s">
        <v>428</v>
      </c>
      <c r="L53" s="199" t="s">
        <v>616</v>
      </c>
      <c r="M53" s="200" t="s">
        <v>661</v>
      </c>
      <c r="N53" s="51" t="s">
        <v>429</v>
      </c>
      <c r="O53" s="201">
        <v>1577</v>
      </c>
    </row>
    <row r="54" spans="1:15" ht="42" x14ac:dyDescent="0.15">
      <c r="A54" s="138" t="s">
        <v>239</v>
      </c>
      <c r="B54" s="63">
        <v>39014</v>
      </c>
      <c r="C54" s="64" t="str">
        <f ca="1">VLOOKUP($B54,OFFSET([2]quests!$A$1,0,0,COUNTA([2]quests!$A:$A),MATCH(C$1,[2]quests!$1:$1,0)-MATCH($B$1,[2]quests!$1:$1,0)+1),MATCH(C$1,[2]quests!$1:$1,0)-MATCH($B$1,[2]quests!$1:$1,0)+1,FALSE)</f>
        <v>金券</v>
      </c>
      <c r="D54" s="64" t="str">
        <f ca="1">VLOOKUP($B54,OFFSET([2]quests!$A$1,0,0,COUNTA([2]quests!$A:$A),MATCH(D$1,[2]quests!$1:$1,0)-MATCH($B$1,[2]quests!$1:$1,0)+1),MATCH(D$1,[2]quests!$1:$1,0)-MATCH($B$1,[2]quests!$1:$1,0)+1,FALSE)</f>
        <v>コラボクエスト</v>
      </c>
      <c r="E54" s="139">
        <v>2</v>
      </c>
      <c r="F54" s="64" t="str">
        <f ca="1">VLOOKUP($B54&amp;"_"&amp;$E54,OFFSET([2]stages!$A$1,0,0,COUNTA([2]stages!$A:$A),MATCH(F$1,[2]stages!$2:$2,0)-MATCH("temp_stage",[2]stages!$2:$2,0)+1),MATCH(F$1,[2]stages!$2:$2,0)-MATCH("temp_stage",[2]stages!$2:$2,0)+1,FALSE)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54" s="64" t="str">
        <f ca="1">VLOOKUP($B54&amp;"_"&amp;$E54,OFFSET([2]stages!$A$1,0,0,COUNTA([2]stages!$A:$A),MATCH(G$1,[2]stages!$2:$2,0)-MATCH("temp_stage",[2]stages!$2:$2,0)+1),MATCH(G$1,[2]stages!$2:$2,0)-MATCH("temp_stage",[2]stages!$2:$2,0)+1,FALSE)</f>
        <v>コラボクエスト</v>
      </c>
      <c r="H54" s="143">
        <v>0</v>
      </c>
      <c r="I54" s="140">
        <f t="shared" si="0"/>
        <v>53</v>
      </c>
      <c r="J54" s="141" t="str">
        <f t="shared" si="1"/>
        <v>3901453</v>
      </c>
      <c r="K54" s="139" t="s">
        <v>428</v>
      </c>
      <c r="L54" s="199" t="s">
        <v>617</v>
      </c>
      <c r="M54" s="200" t="s">
        <v>662</v>
      </c>
      <c r="N54" s="51" t="s">
        <v>429</v>
      </c>
      <c r="O54" s="201">
        <v>1578</v>
      </c>
    </row>
    <row r="55" spans="1:15" ht="28" x14ac:dyDescent="0.15">
      <c r="A55" s="138" t="s">
        <v>239</v>
      </c>
      <c r="B55" s="63">
        <v>39014</v>
      </c>
      <c r="C55" s="64" t="str">
        <f ca="1">VLOOKUP($B55,OFFSET([2]quests!$A$1,0,0,COUNTA([2]quests!$A:$A),MATCH(C$1,[2]quests!$1:$1,0)-MATCH($B$1,[2]quests!$1:$1,0)+1),MATCH(C$1,[2]quests!$1:$1,0)-MATCH($B$1,[2]quests!$1:$1,0)+1,FALSE)</f>
        <v>金券</v>
      </c>
      <c r="D55" s="64" t="str">
        <f ca="1">VLOOKUP($B55,OFFSET([2]quests!$A$1,0,0,COUNTA([2]quests!$A:$A),MATCH(D$1,[2]quests!$1:$1,0)-MATCH($B$1,[2]quests!$1:$1,0)+1),MATCH(D$1,[2]quests!$1:$1,0)-MATCH($B$1,[2]quests!$1:$1,0)+1,FALSE)</f>
        <v>コラボクエスト</v>
      </c>
      <c r="E55" s="139">
        <v>2</v>
      </c>
      <c r="F55" s="64" t="str">
        <f ca="1">VLOOKUP($B55&amp;"_"&amp;$E55,OFFSET([2]stages!$A$1,0,0,COUNTA([2]stages!$A:$A),MATCH(F$1,[2]stages!$2:$2,0)-MATCH("temp_stage",[2]stages!$2:$2,0)+1),MATCH(F$1,[2]stages!$2:$2,0)-MATCH("temp_stage",[2]stages!$2:$2,0)+1,FALSE)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55" s="64" t="str">
        <f ca="1">VLOOKUP($B55&amp;"_"&amp;$E55,OFFSET([2]stages!$A$1,0,0,COUNTA([2]stages!$A:$A),MATCH(G$1,[2]stages!$2:$2,0)-MATCH("temp_stage",[2]stages!$2:$2,0)+1),MATCH(G$1,[2]stages!$2:$2,0)-MATCH("temp_stage",[2]stages!$2:$2,0)+1,FALSE)</f>
        <v>コラボクエスト</v>
      </c>
      <c r="H55" s="143">
        <v>0</v>
      </c>
      <c r="I55" s="140">
        <f t="shared" si="0"/>
        <v>54</v>
      </c>
      <c r="J55" s="141" t="str">
        <f t="shared" si="1"/>
        <v>3901454</v>
      </c>
      <c r="K55" s="139" t="s">
        <v>428</v>
      </c>
      <c r="L55" s="199" t="s">
        <v>634</v>
      </c>
      <c r="M55" s="200" t="s">
        <v>637</v>
      </c>
      <c r="N55" s="51" t="s">
        <v>429</v>
      </c>
      <c r="O55" s="201">
        <v>1584</v>
      </c>
    </row>
    <row r="56" spans="1:15" ht="56" x14ac:dyDescent="0.15">
      <c r="A56" s="138" t="s">
        <v>237</v>
      </c>
      <c r="B56" s="63">
        <v>39014</v>
      </c>
      <c r="C56" s="64" t="str">
        <f ca="1">VLOOKUP($B56,OFFSET([2]quests!$A$1,0,0,COUNTA([2]quests!$A:$A),MATCH(C$1,[2]quests!$1:$1,0)-MATCH($B$1,[2]quests!$1:$1,0)+1),MATCH(C$1,[2]quests!$1:$1,0)-MATCH($B$1,[2]quests!$1:$1,0)+1,FALSE)</f>
        <v>金券</v>
      </c>
      <c r="D56" s="64" t="str">
        <f ca="1">VLOOKUP($B56,OFFSET([2]quests!$A$1,0,0,COUNTA([2]quests!$A:$A),MATCH(D$1,[2]quests!$1:$1,0)-MATCH($B$1,[2]quests!$1:$1,0)+1),MATCH(D$1,[2]quests!$1:$1,0)-MATCH($B$1,[2]quests!$1:$1,0)+1,FALSE)</f>
        <v>コラボクエスト</v>
      </c>
      <c r="E56" s="139">
        <v>2</v>
      </c>
      <c r="F56" s="64" t="str">
        <f ca="1">VLOOKUP($B56&amp;"_"&amp;$E56,OFFSET([2]stages!$A$1,0,0,COUNTA([2]stages!$A:$A),MATCH(F$1,[2]stages!$2:$2,0)-MATCH("temp_stage",[2]stages!$2:$2,0)+1),MATCH(F$1,[2]stages!$2:$2,0)-MATCH("temp_stage",[2]stages!$2:$2,0)+1,FALSE)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56" s="64" t="str">
        <f ca="1">VLOOKUP($B56&amp;"_"&amp;$E56,OFFSET([2]stages!$A$1,0,0,COUNTA([2]stages!$A:$A),MATCH(G$1,[2]stages!$2:$2,0)-MATCH("temp_stage",[2]stages!$2:$2,0)+1),MATCH(G$1,[2]stages!$2:$2,0)-MATCH("temp_stage",[2]stages!$2:$2,0)+1,FALSE)</f>
        <v>コラボクエスト</v>
      </c>
      <c r="H56" s="143">
        <v>1</v>
      </c>
      <c r="I56" s="140">
        <f t="shared" si="0"/>
        <v>55</v>
      </c>
      <c r="J56" s="141" t="str">
        <f t="shared" si="1"/>
        <v>3901455</v>
      </c>
      <c r="K56" s="139" t="s">
        <v>428</v>
      </c>
      <c r="L56" s="142" t="s">
        <v>238</v>
      </c>
      <c r="M56" s="190" t="s">
        <v>529</v>
      </c>
      <c r="N56" s="51" t="s">
        <v>429</v>
      </c>
      <c r="O56" s="51" t="s">
        <v>429</v>
      </c>
    </row>
    <row r="57" spans="1:15" ht="42" x14ac:dyDescent="0.15">
      <c r="A57" s="138" t="s">
        <v>237</v>
      </c>
      <c r="B57" s="63">
        <v>39014</v>
      </c>
      <c r="C57" s="64" t="str">
        <f ca="1">VLOOKUP($B57,OFFSET([2]quests!$A$1,0,0,COUNTA([2]quests!$A:$A),MATCH(C$1,[2]quests!$1:$1,0)-MATCH($B$1,[2]quests!$1:$1,0)+1),MATCH(C$1,[2]quests!$1:$1,0)-MATCH($B$1,[2]quests!$1:$1,0)+1,FALSE)</f>
        <v>金券</v>
      </c>
      <c r="D57" s="64" t="str">
        <f ca="1">VLOOKUP($B57,OFFSET([2]quests!$A$1,0,0,COUNTA([2]quests!$A:$A),MATCH(D$1,[2]quests!$1:$1,0)-MATCH($B$1,[2]quests!$1:$1,0)+1),MATCH(D$1,[2]quests!$1:$1,0)-MATCH($B$1,[2]quests!$1:$1,0)+1,FALSE)</f>
        <v>コラボクエスト</v>
      </c>
      <c r="E57" s="139">
        <v>2</v>
      </c>
      <c r="F57" s="64" t="str">
        <f ca="1">VLOOKUP($B57&amp;"_"&amp;$E57,OFFSET([2]stages!$A$1,0,0,COUNTA([2]stages!$A:$A),MATCH(F$1,[2]stages!$2:$2,0)-MATCH("temp_stage",[2]stages!$2:$2,0)+1),MATCH(F$1,[2]stages!$2:$2,0)-MATCH("temp_stage",[2]stages!$2:$2,0)+1,FALSE)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57" s="64" t="str">
        <f ca="1">VLOOKUP($B57&amp;"_"&amp;$E57,OFFSET([2]stages!$A$1,0,0,COUNTA([2]stages!$A:$A),MATCH(G$1,[2]stages!$2:$2,0)-MATCH("temp_stage",[2]stages!$2:$2,0)+1),MATCH(G$1,[2]stages!$2:$2,0)-MATCH("temp_stage",[2]stages!$2:$2,0)+1,FALSE)</f>
        <v>コラボクエスト</v>
      </c>
      <c r="H57" s="143">
        <v>2</v>
      </c>
      <c r="I57" s="140">
        <f t="shared" si="0"/>
        <v>56</v>
      </c>
      <c r="J57" s="141" t="str">
        <f t="shared" si="1"/>
        <v>3901456</v>
      </c>
      <c r="K57" s="139" t="s">
        <v>428</v>
      </c>
      <c r="L57" s="142" t="s">
        <v>238</v>
      </c>
      <c r="M57" s="190" t="s">
        <v>530</v>
      </c>
      <c r="N57" s="51" t="s">
        <v>429</v>
      </c>
      <c r="O57" s="51" t="s">
        <v>429</v>
      </c>
    </row>
    <row r="58" spans="1:15" ht="70" x14ac:dyDescent="0.15">
      <c r="A58" s="138" t="s">
        <v>237</v>
      </c>
      <c r="B58" s="63">
        <v>39014</v>
      </c>
      <c r="C58" s="64" t="str">
        <f ca="1">VLOOKUP($B58,OFFSET([2]quests!$A$1,0,0,COUNTA([2]quests!$A:$A),MATCH(C$1,[2]quests!$1:$1,0)-MATCH($B$1,[2]quests!$1:$1,0)+1),MATCH(C$1,[2]quests!$1:$1,0)-MATCH($B$1,[2]quests!$1:$1,0)+1,FALSE)</f>
        <v>金券</v>
      </c>
      <c r="D58" s="64" t="str">
        <f ca="1">VLOOKUP($B58,OFFSET([2]quests!$A$1,0,0,COUNTA([2]quests!$A:$A),MATCH(D$1,[2]quests!$1:$1,0)-MATCH($B$1,[2]quests!$1:$1,0)+1),MATCH(D$1,[2]quests!$1:$1,0)-MATCH($B$1,[2]quests!$1:$1,0)+1,FALSE)</f>
        <v>コラボクエスト</v>
      </c>
      <c r="E58" s="139">
        <v>2</v>
      </c>
      <c r="F58" s="64" t="str">
        <f ca="1">VLOOKUP($B58&amp;"_"&amp;$E58,OFFSET([2]stages!$A$1,0,0,COUNTA([2]stages!$A:$A),MATCH(F$1,[2]stages!$2:$2,0)-MATCH("temp_stage",[2]stages!$2:$2,0)+1),MATCH(F$1,[2]stages!$2:$2,0)-MATCH("temp_stage",[2]stages!$2:$2,0)+1,FALSE)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58" s="64" t="str">
        <f ca="1">VLOOKUP($B58&amp;"_"&amp;$E58,OFFSET([2]stages!$A$1,0,0,COUNTA([2]stages!$A:$A),MATCH(G$1,[2]stages!$2:$2,0)-MATCH("temp_stage",[2]stages!$2:$2,0)+1),MATCH(G$1,[2]stages!$2:$2,0)-MATCH("temp_stage",[2]stages!$2:$2,0)+1,FALSE)</f>
        <v>コラボクエスト</v>
      </c>
      <c r="H58" s="143">
        <v>3</v>
      </c>
      <c r="I58" s="140">
        <f t="shared" si="0"/>
        <v>57</v>
      </c>
      <c r="J58" s="141" t="str">
        <f t="shared" si="1"/>
        <v>3901457</v>
      </c>
      <c r="K58" s="139" t="s">
        <v>428</v>
      </c>
      <c r="L58" s="142" t="s">
        <v>238</v>
      </c>
      <c r="M58" s="190" t="s">
        <v>531</v>
      </c>
      <c r="N58" s="51" t="s">
        <v>429</v>
      </c>
      <c r="O58" s="51" t="s">
        <v>429</v>
      </c>
    </row>
    <row r="59" spans="1:15" ht="56" x14ac:dyDescent="0.15">
      <c r="A59" s="138" t="s">
        <v>237</v>
      </c>
      <c r="B59" s="63">
        <v>39014</v>
      </c>
      <c r="C59" s="64" t="str">
        <f ca="1">VLOOKUP($B59,OFFSET([2]quests!$A$1,0,0,COUNTA([2]quests!$A:$A),MATCH(C$1,[2]quests!$1:$1,0)-MATCH($B$1,[2]quests!$1:$1,0)+1),MATCH(C$1,[2]quests!$1:$1,0)-MATCH($B$1,[2]quests!$1:$1,0)+1,FALSE)</f>
        <v>金券</v>
      </c>
      <c r="D59" s="64" t="str">
        <f ca="1">VLOOKUP($B59,OFFSET([2]quests!$A$1,0,0,COUNTA([2]quests!$A:$A),MATCH(D$1,[2]quests!$1:$1,0)-MATCH($B$1,[2]quests!$1:$1,0)+1),MATCH(D$1,[2]quests!$1:$1,0)-MATCH($B$1,[2]quests!$1:$1,0)+1,FALSE)</f>
        <v>コラボクエスト</v>
      </c>
      <c r="E59" s="139">
        <v>2</v>
      </c>
      <c r="F59" s="64" t="str">
        <f ca="1">VLOOKUP($B59&amp;"_"&amp;$E59,OFFSET([2]stages!$A$1,0,0,COUNTA([2]stages!$A:$A),MATCH(F$1,[2]stages!$2:$2,0)-MATCH("temp_stage",[2]stages!$2:$2,0)+1),MATCH(F$1,[2]stages!$2:$2,0)-MATCH("temp_stage",[2]stages!$2:$2,0)+1,FALSE)</f>
        <v>【超級】金券(スコアアタック)</v>
      </c>
      <c r="G59" s="64" t="str">
        <f ca="1">VLOOKUP($B59&amp;"_"&amp;$E59,OFFSET([2]stages!$A$1,0,0,COUNTA([2]stages!$A:$A),MATCH(G$1,[2]stages!$2:$2,0)-MATCH("temp_stage",[2]stages!$2:$2,0)+1),MATCH(G$1,[2]stages!$2:$2,0)-MATCH("temp_stage",[2]stages!$2:$2,0)+1,FALSE)</f>
        <v>コラボクエスト</v>
      </c>
      <c r="H59" s="143">
        <v>3</v>
      </c>
      <c r="I59" s="140">
        <f t="shared" si="0"/>
        <v>58</v>
      </c>
      <c r="J59" s="141" t="str">
        <f t="shared" si="1"/>
        <v>3901458</v>
      </c>
      <c r="K59" s="139" t="s">
        <v>428</v>
      </c>
      <c r="L59" s="142" t="s">
        <v>238</v>
      </c>
      <c r="M59" s="190" t="s">
        <v>532</v>
      </c>
      <c r="N59" s="51" t="s">
        <v>429</v>
      </c>
      <c r="O59" s="51" t="s">
        <v>429</v>
      </c>
    </row>
  </sheetData>
  <phoneticPr fontId="12"/>
  <dataValidations count="1">
    <dataValidation type="list" allowBlank="1" showInputMessage="1" showErrorMessage="1" sqref="A2:A5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0000FF"/>
    <outlinePr summaryBelow="0" summaryRight="0"/>
  </sheetPr>
  <dimension ref="A1:X3"/>
  <sheetViews>
    <sheetView showGridLines="0" topLeftCell="B1" workbookViewId="0">
      <pane ySplit="1" topLeftCell="A2" activePane="bottomLeft" state="frozen"/>
      <selection activeCell="D2" sqref="D2"/>
      <selection pane="bottomLeft" activeCell="F3" sqref="F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165" t="s">
        <v>443</v>
      </c>
      <c r="B1" s="166" t="s">
        <v>444</v>
      </c>
      <c r="C1" s="59" t="s">
        <v>445</v>
      </c>
      <c r="D1" s="59" t="s">
        <v>20</v>
      </c>
      <c r="E1" s="166" t="s">
        <v>446</v>
      </c>
      <c r="F1" s="59" t="s">
        <v>445</v>
      </c>
      <c r="G1" s="59" t="s">
        <v>20</v>
      </c>
      <c r="H1" s="166" t="s">
        <v>447</v>
      </c>
      <c r="I1" s="166" t="s">
        <v>448</v>
      </c>
      <c r="J1" s="166" t="s">
        <v>449</v>
      </c>
      <c r="K1" s="57" t="s">
        <v>450</v>
      </c>
      <c r="L1" s="57" t="s">
        <v>451</v>
      </c>
      <c r="M1" s="57" t="s">
        <v>452</v>
      </c>
      <c r="N1" s="59" t="s">
        <v>445</v>
      </c>
      <c r="O1" s="57" t="s">
        <v>453</v>
      </c>
      <c r="P1" s="57" t="s">
        <v>454</v>
      </c>
      <c r="Q1" s="57" t="s">
        <v>455</v>
      </c>
      <c r="R1" s="57" t="s">
        <v>456</v>
      </c>
      <c r="S1" s="57" t="s">
        <v>457</v>
      </c>
      <c r="T1" s="57" t="s">
        <v>458</v>
      </c>
      <c r="U1" s="57" t="s">
        <v>459</v>
      </c>
      <c r="V1" s="57" t="s">
        <v>460</v>
      </c>
      <c r="W1" s="57" t="s">
        <v>461</v>
      </c>
      <c r="X1" s="57" t="s">
        <v>462</v>
      </c>
    </row>
    <row r="2" spans="1:24" x14ac:dyDescent="0.15">
      <c r="A2" s="167" t="str">
        <f>B2&amp;"_"&amp;E2&amp;"_"&amp;H2&amp;"_"&amp;I2&amp;"_"&amp;J2</f>
        <v>39014_10_everyone_clear_1</v>
      </c>
      <c r="B2" s="63">
        <f>floors!$C$2</f>
        <v>39014</v>
      </c>
      <c r="C2" s="64" t="str">
        <f ca="1">VLOOKUP($B2,OFFSET([2]quests!$A$1,0,0,COUNTA([2]quests!$A:$A),MATCH(C$1,[2]quests!$1:$1,0)-MATCH($B$1,[2]quests!$1:$1,0)+1),MATCH(C$1,[2]quests!$1:$1,0)-MATCH($B$1,[2]quests!$1:$1,0)+1,FALSE)</f>
        <v>金券</v>
      </c>
      <c r="D2" s="64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139">
        <v>10</v>
      </c>
      <c r="F2" s="6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6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143" t="s">
        <v>463</v>
      </c>
      <c r="I2" s="139" t="s">
        <v>464</v>
      </c>
      <c r="J2" s="139">
        <v>1</v>
      </c>
      <c r="K2" s="139">
        <v>610</v>
      </c>
      <c r="L2" s="139" t="s">
        <v>465</v>
      </c>
      <c r="M2" s="139">
        <v>334</v>
      </c>
      <c r="N2" s="16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139">
        <v>1</v>
      </c>
      <c r="P2" s="139">
        <v>1</v>
      </c>
      <c r="Q2" s="139">
        <v>1</v>
      </c>
      <c r="R2" s="139">
        <v>0</v>
      </c>
      <c r="S2" s="139">
        <v>0</v>
      </c>
      <c r="T2" s="139">
        <v>0</v>
      </c>
      <c r="U2" s="139">
        <v>0</v>
      </c>
      <c r="V2" s="139">
        <v>1</v>
      </c>
      <c r="W2" s="169" t="s">
        <v>466</v>
      </c>
      <c r="X2" s="170" t="s">
        <v>467</v>
      </c>
    </row>
    <row r="3" spans="1:24" x14ac:dyDescent="0.15">
      <c r="A3" s="167" t="str">
        <f>B3&amp;"_"&amp;E3&amp;"_"&amp;H3&amp;"_"&amp;I3&amp;"_"&amp;J3</f>
        <v>39014_10_everyone_no_continue_1</v>
      </c>
      <c r="B3" s="63">
        <f>floors!$C$2</f>
        <v>39014</v>
      </c>
      <c r="C3" s="64" t="str">
        <f ca="1">VLOOKUP($B3,OFFSET([2]quests!$A$1,0,0,COUNTA([2]quests!$A:$A),MATCH(C$1,[2]quests!$1:$1,0)-MATCH($B$1,[2]quests!$1:$1,0)+1),MATCH(C$1,[2]quests!$1:$1,0)-MATCH($B$1,[2]quests!$1:$1,0)+1,FALSE)</f>
        <v>金券</v>
      </c>
      <c r="D3" s="64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139">
        <v>10</v>
      </c>
      <c r="F3" s="6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6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143" t="s">
        <v>463</v>
      </c>
      <c r="I3" s="139" t="s">
        <v>468</v>
      </c>
      <c r="J3" s="139">
        <v>1</v>
      </c>
      <c r="K3" s="139">
        <v>610</v>
      </c>
      <c r="L3" s="139" t="s">
        <v>465</v>
      </c>
      <c r="M3" s="139">
        <v>334</v>
      </c>
      <c r="N3" s="16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139">
        <v>1</v>
      </c>
      <c r="P3" s="139">
        <v>1</v>
      </c>
      <c r="Q3" s="139">
        <v>1</v>
      </c>
      <c r="R3" s="139">
        <v>0</v>
      </c>
      <c r="S3" s="139">
        <v>0</v>
      </c>
      <c r="T3" s="139">
        <v>0</v>
      </c>
      <c r="U3" s="139">
        <v>0</v>
      </c>
      <c r="V3" s="139">
        <v>1</v>
      </c>
      <c r="W3" s="169" t="s">
        <v>469</v>
      </c>
      <c r="X3" s="170" t="s">
        <v>470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output</vt:lpstr>
      <vt:lpstr>score_attack_expanded_floors</vt:lpstr>
      <vt:lpstr>score_attack_expanded_stages</vt:lpstr>
      <vt:lpstr>score_attack_params_damage_give</vt:lpstr>
      <vt:lpstr>score_attack_params_heal</vt:lpstr>
      <vt:lpstr>stage_evaluations</vt:lpstr>
      <vt:lpstr>stage_evaluation_gifts</vt:lpstr>
      <vt:lpstr>ranking_ACH</vt:lpstr>
      <vt:lpstr>unit_bonus_conditions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2017-06-02T07:45:54Z</dcterms:modified>
</cp:coreProperties>
</file>