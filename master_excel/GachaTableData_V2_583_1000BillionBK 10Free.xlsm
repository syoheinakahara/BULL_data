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583100" sheetId="153" r:id="rId4"/>
    <sheet name="tables_583100" sheetId="154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tables_583100!$A$1:$V$294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1" i="153" l="1"/>
  <c r="B31" i="153"/>
  <c r="B30" i="153"/>
  <c r="B29" i="153"/>
  <c r="B28" i="153"/>
  <c r="B27" i="153"/>
  <c r="B10" i="153"/>
  <c r="E6" i="153"/>
  <c r="B26" i="153"/>
  <c r="B25" i="153"/>
  <c r="B24" i="153"/>
  <c r="B23" i="153"/>
  <c r="B22" i="153"/>
  <c r="B20" i="153"/>
  <c r="B19" i="153"/>
  <c r="B18" i="153"/>
  <c r="B17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1" i="153"/>
  <c r="E23" i="153"/>
  <c r="E26" i="153"/>
  <c r="C31" i="153"/>
  <c r="E29" i="153"/>
  <c r="E28" i="153"/>
  <c r="F5" i="153"/>
  <c r="E5" i="153"/>
  <c r="A2" i="153"/>
  <c r="F6" i="153"/>
  <c r="A36" i="153"/>
  <c r="G29" i="153"/>
  <c r="H29" i="153"/>
  <c r="O314" i="154"/>
  <c r="E19" i="153"/>
  <c r="E24" i="153"/>
  <c r="G17" i="153"/>
  <c r="E17" i="153"/>
  <c r="H17" i="153"/>
  <c r="O2" i="154"/>
  <c r="E20" i="153"/>
  <c r="E22" i="153"/>
  <c r="E25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E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R3" i="153"/>
  <c r="O356" i="154"/>
  <c r="P314" i="154"/>
  <c r="P317" i="154"/>
  <c r="P321" i="154"/>
  <c r="P328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5" i="154"/>
  <c r="P316" i="154"/>
  <c r="P318" i="154"/>
  <c r="P319" i="154"/>
  <c r="P320" i="154"/>
  <c r="P322" i="154"/>
  <c r="P323" i="154"/>
  <c r="P324" i="154"/>
  <c r="P325" i="154"/>
  <c r="P326" i="154"/>
  <c r="P327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P351" i="154"/>
  <c r="P352" i="154"/>
  <c r="P353" i="154"/>
  <c r="P354" i="154"/>
  <c r="P355" i="154"/>
  <c r="P356" i="154"/>
  <c r="F49" i="153"/>
  <c r="F48" i="153"/>
  <c r="F356" i="154"/>
  <c r="N356" i="154"/>
  <c r="M356" i="154"/>
  <c r="L356" i="154"/>
  <c r="K356" i="154"/>
  <c r="H356" i="154"/>
  <c r="A356" i="154"/>
  <c r="A355" i="154"/>
  <c r="A354" i="154"/>
  <c r="A353" i="154"/>
  <c r="A352" i="154"/>
  <c r="A351" i="154"/>
  <c r="F355" i="154"/>
  <c r="H355" i="154"/>
  <c r="K355" i="154"/>
  <c r="L355" i="154"/>
  <c r="M355" i="154"/>
  <c r="N355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F351" i="154"/>
  <c r="F352" i="154"/>
  <c r="F353" i="154"/>
  <c r="F354" i="154"/>
  <c r="H351" i="154"/>
  <c r="K351" i="154"/>
  <c r="L351" i="154"/>
  <c r="M351" i="154"/>
  <c r="N351" i="154"/>
  <c r="H352" i="154"/>
  <c r="K352" i="154"/>
  <c r="L352" i="154"/>
  <c r="M352" i="154"/>
  <c r="N352" i="154"/>
  <c r="H353" i="154"/>
  <c r="K353" i="154"/>
  <c r="L353" i="154"/>
  <c r="M353" i="154"/>
  <c r="N353" i="154"/>
  <c r="H354" i="154"/>
  <c r="K354" i="154"/>
  <c r="L354" i="154"/>
  <c r="M354" i="154"/>
  <c r="N354" i="154"/>
  <c r="A350" i="154"/>
  <c r="A346" i="154"/>
  <c r="A347" i="154"/>
  <c r="A348" i="154"/>
  <c r="A349" i="154"/>
  <c r="H346" i="154"/>
  <c r="K346" i="154"/>
  <c r="L346" i="154"/>
  <c r="M346" i="154"/>
  <c r="N346" i="154"/>
  <c r="H347" i="154"/>
  <c r="K347" i="154"/>
  <c r="L347" i="154"/>
  <c r="M347" i="154"/>
  <c r="N347" i="154"/>
  <c r="H348" i="154"/>
  <c r="K348" i="154"/>
  <c r="L348" i="154"/>
  <c r="M348" i="154"/>
  <c r="N348" i="154"/>
  <c r="H349" i="154"/>
  <c r="K349" i="154"/>
  <c r="L349" i="154"/>
  <c r="M349" i="154"/>
  <c r="N349" i="154"/>
  <c r="H350" i="154"/>
  <c r="K350" i="154"/>
  <c r="L350" i="154"/>
  <c r="M350" i="154"/>
  <c r="N350" i="154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A341" i="154"/>
  <c r="A342" i="154"/>
  <c r="A343" i="154"/>
  <c r="A344" i="154"/>
  <c r="A345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R6" i="153"/>
  <c r="F41" i="153"/>
  <c r="G41" i="153"/>
  <c r="R4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<sst xmlns="http://schemas.openxmlformats.org/spreadsheetml/2006/main" count="399" uniqueCount="254">
  <si>
    <t>character_id</t>
  </si>
  <si>
    <t>character_id</t>
    <phoneticPr fontId="23"/>
  </si>
  <si>
    <t>weight</t>
    <phoneticPr fontId="23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</si>
  <si>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</si>
  <si>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</si>
  <si>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</si>
  <si>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</si>
  <si>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</si>
  <si>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</si>
  <si>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</si>
  <si>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3"/>
  </si>
  <si>
    <t>bonus_table_no</t>
    <phoneticPr fontId="23"/>
  </si>
  <si>
    <t>weight</t>
    <phoneticPr fontId="23"/>
  </si>
  <si>
    <t>gift_id</t>
    <phoneticPr fontId="23"/>
  </si>
  <si>
    <t>gift_id</t>
    <phoneticPr fontId="23"/>
  </si>
  <si>
    <t>gift_type</t>
    <phoneticPr fontId="23"/>
  </si>
  <si>
    <t>gift_value</t>
    <phoneticPr fontId="23"/>
  </si>
  <si>
    <t>gift_count</t>
    <phoneticPr fontId="23"/>
  </si>
  <si>
    <t>language</t>
    <phoneticPr fontId="23"/>
  </si>
  <si>
    <t>title</t>
    <phoneticPr fontId="23"/>
  </si>
  <si>
    <t>detail</t>
    <phoneticPr fontId="23"/>
  </si>
  <si>
    <t>message</t>
    <phoneticPr fontId="23"/>
  </si>
  <si>
    <t>gift_id</t>
    <phoneticPr fontId="23"/>
  </si>
  <si>
    <t>gift_value</t>
    <phoneticPr fontId="23"/>
  </si>
  <si>
    <t>gift_value</t>
    <phoneticPr fontId="23"/>
  </si>
  <si>
    <t>gift_count</t>
    <phoneticPr fontId="23"/>
  </si>
  <si>
    <t>language</t>
    <phoneticPr fontId="23"/>
  </si>
  <si>
    <t>title</t>
    <phoneticPr fontId="23"/>
  </si>
  <si>
    <t>detail</t>
    <phoneticPr fontId="23"/>
  </si>
  <si>
    <t>message</t>
    <phoneticPr fontId="23"/>
  </si>
  <si>
    <t>gift_type</t>
    <phoneticPr fontId="23"/>
  </si>
  <si>
    <t>備考</t>
    <rPh sb="0" eb="2">
      <t>ビコウ</t>
    </rPh>
    <phoneticPr fontId="23"/>
  </si>
  <si>
    <t>character_id</t>
    <phoneticPr fontId="23"/>
  </si>
  <si>
    <t>name</t>
    <phoneticPr fontId="23"/>
  </si>
  <si>
    <t>drop_label</t>
    <phoneticPr fontId="23"/>
  </si>
  <si>
    <t>rare</t>
    <phoneticPr fontId="23"/>
  </si>
  <si>
    <t>character_type_id</t>
    <phoneticPr fontId="23"/>
  </si>
  <si>
    <t>character_tribe_id</t>
    <phoneticPr fontId="23"/>
  </si>
  <si>
    <t>unit_level</t>
    <phoneticPr fontId="23"/>
  </si>
  <si>
    <t>接頭語</t>
    <rPh sb="0" eb="3">
      <t>セットウゴ</t>
    </rPh>
    <phoneticPr fontId="56"/>
  </si>
  <si>
    <t>識別子</t>
    <rPh sb="0" eb="3">
      <t>シキベツシ</t>
    </rPh>
    <phoneticPr fontId="56"/>
  </si>
  <si>
    <t>形式</t>
    <rPh sb="0" eb="2">
      <t>ケイシキ</t>
    </rPh>
    <phoneticPr fontId="56"/>
  </si>
  <si>
    <t>出力ファイル名</t>
    <rPh sb="0" eb="2">
      <t>シュツリョク</t>
    </rPh>
    <rPh sb="6" eb="7">
      <t>メイ</t>
    </rPh>
    <phoneticPr fontId="56"/>
  </si>
  <si>
    <t>入力シート名</t>
    <rPh sb="0" eb="2">
      <t>ニュウリョク</t>
    </rPh>
    <rPh sb="5" eb="6">
      <t>メイ</t>
    </rPh>
    <phoneticPr fontId="56"/>
  </si>
  <si>
    <t>出力データ</t>
    <rPh sb="0" eb="2">
      <t>シュツリョク</t>
    </rPh>
    <phoneticPr fontId="56"/>
  </si>
  <si>
    <t>.tmp</t>
    <phoneticPr fontId="56"/>
  </si>
  <si>
    <t>.tmp</t>
    <phoneticPr fontId="56"/>
  </si>
  <si>
    <t>gacha_bonus_tables</t>
    <phoneticPr fontId="56"/>
  </si>
  <si>
    <t>gifts_tmp_</t>
    <phoneticPr fontId="23"/>
  </si>
  <si>
    <t>gifts_i18n_</t>
    <phoneticPr fontId="2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</si>
  <si>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3"/>
  </si>
  <si>
    <t>出力flg</t>
    <rPh sb="0" eb="2">
      <t>シュツリョク</t>
    </rPh>
    <phoneticPr fontId="56"/>
  </si>
  <si>
    <t>color</t>
    <phoneticPr fontId="23"/>
  </si>
  <si>
    <t>レアリティ別確率</t>
    <rPh sb="5" eb="6">
      <t>ベツ</t>
    </rPh>
    <rPh sb="6" eb="8">
      <t>カクリツ</t>
    </rPh>
    <phoneticPr fontId="23"/>
  </si>
  <si>
    <t>ラベル別確率</t>
    <rPh sb="3" eb="4">
      <t>ベツ</t>
    </rPh>
    <rPh sb="4" eb="6">
      <t>カクリツ</t>
    </rPh>
    <phoneticPr fontId="23"/>
  </si>
  <si>
    <t>SSS</t>
    <phoneticPr fontId="23"/>
  </si>
  <si>
    <t>SS</t>
    <phoneticPr fontId="23"/>
  </si>
  <si>
    <t>ラベル*レアリティ標準確率</t>
    <rPh sb="9" eb="11">
      <t>ヒョウジュン</t>
    </rPh>
    <rPh sb="11" eb="13">
      <t>カクリツ</t>
    </rPh>
    <phoneticPr fontId="23"/>
  </si>
  <si>
    <t>性別</t>
    <rPh sb="0" eb="2">
      <t>セイベツ</t>
    </rPh>
    <phoneticPr fontId="23"/>
  </si>
  <si>
    <t>合計</t>
    <rPh sb="0" eb="2">
      <t>ゴウケイ</t>
    </rPh>
    <phoneticPr fontId="23"/>
  </si>
  <si>
    <t>グループ</t>
    <phoneticPr fontId="23"/>
  </si>
  <si>
    <t>ピックアップ確率</t>
    <rPh sb="6" eb="8">
      <t>カクリツ</t>
    </rPh>
    <phoneticPr fontId="23"/>
  </si>
  <si>
    <t>残り確率</t>
    <rPh sb="0" eb="1">
      <t>ノコ</t>
    </rPh>
    <rPh sb="2" eb="4">
      <t>カクリツ</t>
    </rPh>
    <phoneticPr fontId="23"/>
  </si>
  <si>
    <t>確率</t>
    <rPh sb="0" eb="2">
      <t>カクリツ</t>
    </rPh>
    <phoneticPr fontId="23"/>
  </si>
  <si>
    <t>所属グループ</t>
    <rPh sb="0" eb="2">
      <t>ショゾク</t>
    </rPh>
    <phoneticPr fontId="23"/>
  </si>
  <si>
    <t>名前</t>
    <rPh sb="0" eb="2">
      <t>ナマエ</t>
    </rPh>
    <phoneticPr fontId="23"/>
  </si>
  <si>
    <t>レアリティ</t>
    <phoneticPr fontId="23"/>
  </si>
  <si>
    <t>ラベル</t>
    <phoneticPr fontId="23"/>
  </si>
  <si>
    <t>R3</t>
    <phoneticPr fontId="23"/>
  </si>
  <si>
    <t>R4</t>
    <phoneticPr fontId="23"/>
  </si>
  <si>
    <t>R5</t>
    <phoneticPr fontId="23"/>
  </si>
  <si>
    <t>個別確率</t>
    <rPh sb="0" eb="4">
      <t>コベツカクリツ</t>
    </rPh>
    <phoneticPr fontId="23"/>
  </si>
  <si>
    <t>該当数(ピックアップ除く)</t>
    <rPh sb="0" eb="2">
      <t>ガイトウ</t>
    </rPh>
    <rPh sb="2" eb="3">
      <t>スウ</t>
    </rPh>
    <rPh sb="10" eb="11">
      <t>ノゾ</t>
    </rPh>
    <phoneticPr fontId="23"/>
  </si>
  <si>
    <t>個別weight</t>
    <rPh sb="0" eb="2">
      <t>コベツ</t>
    </rPh>
    <phoneticPr fontId="23"/>
  </si>
  <si>
    <t>グループweight</t>
    <phoneticPr fontId="23"/>
  </si>
  <si>
    <t>端数</t>
    <rPh sb="0" eb="2">
      <t>ハスウ</t>
    </rPh>
    <phoneticPr fontId="23"/>
  </si>
  <si>
    <t>--検算用--</t>
    <rPh sb="3" eb="6">
      <t>ケンザンヨウ</t>
    </rPh>
    <phoneticPr fontId="23"/>
  </si>
  <si>
    <t>端数逆数</t>
    <rPh sb="0" eb="2">
      <t>ハスウ</t>
    </rPh>
    <rPh sb="2" eb="4">
      <t>ギャクスウ</t>
    </rPh>
    <phoneticPr fontId="23"/>
  </si>
  <si>
    <t>テーブルを増やしたい場合</t>
    <rPh sb="5" eb="6">
      <t>フ</t>
    </rPh>
    <rPh sb="10" eb="12">
      <t>バアイ</t>
    </rPh>
    <phoneticPr fontId="23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</si>
  <si>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3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</si>
  <si>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3"/>
  </si>
  <si>
    <t>３．outputシートで２で作ったtablesを指定する</t>
    <rPh sb="14" eb="15">
      <t>ツク</t>
    </rPh>
    <rPh sb="24" eb="26">
      <t>シテイ</t>
    </rPh>
    <phoneticPr fontId="23"/>
  </si>
  <si>
    <t>テーブルid</t>
    <phoneticPr fontId="23"/>
  </si>
  <si>
    <t>→ピックアップの確率は右のほうにいます</t>
    <rPh sb="8" eb="10">
      <t>カクリツ</t>
    </rPh>
    <rPh sb="11" eb="12">
      <t>ミギ</t>
    </rPh>
    <phoneticPr fontId="23"/>
  </si>
  <si>
    <t>table_no</t>
    <phoneticPr fontId="23"/>
  </si>
  <si>
    <t>table_no</t>
    <phoneticPr fontId="23"/>
  </si>
  <si>
    <t>skill_level</t>
  </si>
  <si>
    <t>level</t>
  </si>
  <si>
    <t>hp_plus</t>
    <phoneticPr fontId="56"/>
  </si>
  <si>
    <t>attack_plus</t>
    <phoneticPr fontId="56"/>
  </si>
  <si>
    <t>heal_plus</t>
    <phoneticPr fontId="56"/>
  </si>
  <si>
    <t>defense_plus</t>
    <phoneticPr fontId="56"/>
  </si>
  <si>
    <t>level</t>
    <phoneticPr fontId="56"/>
  </si>
  <si>
    <t>skill_level</t>
    <phoneticPr fontId="56"/>
  </si>
  <si>
    <t>bug</t>
    <phoneticPr fontId="56"/>
  </si>
  <si>
    <t>drop_label2</t>
    <phoneticPr fontId="23"/>
  </si>
  <si>
    <t>Premium</t>
    <phoneticPr fontId="23"/>
  </si>
  <si>
    <t>Premium3</t>
    <phoneticPr fontId="23"/>
  </si>
  <si>
    <t>Premium4</t>
    <phoneticPr fontId="23"/>
  </si>
  <si>
    <t>Premium5</t>
    <phoneticPr fontId="23"/>
  </si>
  <si>
    <t>グループ確率</t>
    <rPh sb="4" eb="6">
      <t>カクリツ</t>
    </rPh>
    <phoneticPr fontId="23"/>
  </si>
  <si>
    <t>レア度別確率</t>
    <rPh sb="2" eb="4">
      <t>ドベツ</t>
    </rPh>
    <rPh sb="4" eb="6">
      <t>カクリツ</t>
    </rPh>
    <phoneticPr fontId="23"/>
  </si>
  <si>
    <t>color2</t>
    <phoneticPr fontId="23"/>
  </si>
  <si>
    <t>Premium3</t>
  </si>
  <si>
    <t>Premium4</t>
  </si>
  <si>
    <t>Premium5</t>
  </si>
  <si>
    <t>PremiumSS4</t>
    <phoneticPr fontId="23"/>
  </si>
  <si>
    <t>PremiumSS5</t>
    <phoneticPr fontId="23"/>
  </si>
  <si>
    <t>PremiumSSS5</t>
    <phoneticPr fontId="23"/>
  </si>
  <si>
    <t>PremiumSSS4</t>
    <phoneticPr fontId="23"/>
  </si>
  <si>
    <t>gacha_select_tables_</t>
    <phoneticPr fontId="23"/>
  </si>
  <si>
    <t>ラベル確率で考えましょう</t>
    <rPh sb="6" eb="7">
      <t>カンガエマショウ</t>
    </rPh>
    <phoneticPr fontId="56"/>
  </si>
  <si>
    <t>ラベル</t>
    <phoneticPr fontId="56"/>
  </si>
  <si>
    <t>レアリティ</t>
    <phoneticPr fontId="56"/>
  </si>
  <si>
    <t>{W}</t>
    <phoneticPr fontId="56"/>
  </si>
  <si>
    <t>{N,S}</t>
    <phoneticPr fontId="56"/>
  </si>
  <si>
    <t>{N,S}R3less</t>
    <phoneticPr fontId="56"/>
  </si>
  <si>
    <t>{N,S}R6release</t>
    <phoneticPr fontId="56"/>
  </si>
  <si>
    <t>{SS}</t>
    <phoneticPr fontId="56"/>
  </si>
  <si>
    <t>{SS}R6only</t>
    <phoneticPr fontId="56"/>
  </si>
  <si>
    <t>小計</t>
    <rPh sb="0" eb="2">
      <t>ショウケイ</t>
    </rPh>
    <phoneticPr fontId="56"/>
  </si>
  <si>
    <t>A</t>
    <phoneticPr fontId="56"/>
  </si>
  <si>
    <t>C</t>
    <phoneticPr fontId="56"/>
  </si>
  <si>
    <t>H</t>
    <phoneticPr fontId="56"/>
  </si>
  <si>
    <t>B</t>
    <phoneticPr fontId="56"/>
  </si>
  <si>
    <t>D</t>
    <phoneticPr fontId="56"/>
  </si>
  <si>
    <t>F</t>
    <phoneticPr fontId="56"/>
  </si>
  <si>
    <t>I</t>
    <phoneticPr fontId="56"/>
  </si>
  <si>
    <t>K</t>
    <phoneticPr fontId="56"/>
  </si>
  <si>
    <t>E</t>
    <phoneticPr fontId="56"/>
  </si>
  <si>
    <t>G</t>
    <phoneticPr fontId="56"/>
  </si>
  <si>
    <t>J</t>
    <phoneticPr fontId="56"/>
  </si>
  <si>
    <t>L</t>
    <phoneticPr fontId="56"/>
  </si>
  <si>
    <t>M</t>
    <phoneticPr fontId="56"/>
  </si>
  <si>
    <t>→</t>
    <phoneticPr fontId="56"/>
  </si>
  <si>
    <t>1-SS率</t>
    <rPh sb="4" eb="5">
      <t>リツ</t>
    </rPh>
    <phoneticPr fontId="56"/>
  </si>
  <si>
    <t>SS率</t>
    <rPh sb="2" eb="3">
      <t>リツ</t>
    </rPh>
    <phoneticPr fontId="56"/>
  </si>
  <si>
    <t>考え方を変える</t>
    <rPh sb="0" eb="1">
      <t>カンガエカタ</t>
    </rPh>
    <rPh sb="4" eb="5">
      <t>カエル</t>
    </rPh>
    <phoneticPr fontId="56"/>
  </si>
  <si>
    <t>SS4%は確定事項</t>
    <rPh sb="5" eb="7">
      <t>カクテイ</t>
    </rPh>
    <rPh sb="7" eb="9">
      <t>ジコウ</t>
    </rPh>
    <phoneticPr fontId="56"/>
  </si>
  <si>
    <t>当たりは分配</t>
    <rPh sb="0" eb="1">
      <t>アタリ</t>
    </rPh>
    <rPh sb="4" eb="6">
      <t>ブンパイ</t>
    </rPh>
    <phoneticPr fontId="56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</si>
  <si>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6"/>
  </si>
  <si>
    <t>=</t>
    <phoneticPr fontId="56"/>
  </si>
  <si>
    <t>X*{SS R5only}</t>
    <phoneticPr fontId="56"/>
  </si>
  <si>
    <t>K</t>
    <phoneticPr fontId="56"/>
  </si>
  <si>
    <t>=</t>
    <phoneticPr fontId="56"/>
  </si>
  <si>
    <t>X*{SS}*(R3率+R4率)</t>
    <rPh sb="10" eb="11">
      <t>リツ</t>
    </rPh>
    <rPh sb="14" eb="15">
      <t>リツ</t>
    </rPh>
    <phoneticPr fontId="56"/>
  </si>
  <si>
    <t>L</t>
    <phoneticPr fontId="56"/>
  </si>
  <si>
    <t>X*{SS}*R5率</t>
    <rPh sb="9" eb="10">
      <t>リツ</t>
    </rPh>
    <phoneticPr fontId="56"/>
  </si>
  <si>
    <t>X*{R6release}*R3率</t>
    <rPh sb="16" eb="17">
      <t>リツ</t>
    </rPh>
    <phoneticPr fontId="56"/>
  </si>
  <si>
    <t>X*{R6release}*R4率</t>
    <rPh sb="16" eb="17">
      <t>リツ</t>
    </rPh>
    <phoneticPr fontId="56"/>
  </si>
  <si>
    <t>J</t>
    <phoneticPr fontId="56"/>
  </si>
  <si>
    <t>X*{R6release}*R5率</t>
    <rPh sb="16" eb="17">
      <t>リツ</t>
    </rPh>
    <phoneticPr fontId="56"/>
  </si>
  <si>
    <t>ハズレで確率を整える</t>
    <rPh sb="4" eb="6">
      <t>カクリツ</t>
    </rPh>
    <rPh sb="7" eb="8">
      <t>トトノエル</t>
    </rPh>
    <phoneticPr fontId="56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</si>
  <si>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6"/>
  </si>
  <si>
    <t>A + C</t>
    <phoneticPr fontId="56"/>
  </si>
  <si>
    <t>=</t>
    <phoneticPr fontId="56"/>
  </si>
  <si>
    <t>50%-H</t>
    <phoneticPr fontId="56"/>
  </si>
  <si>
    <t>①</t>
    <phoneticPr fontId="56"/>
  </si>
  <si>
    <t>B + D + F</t>
    <phoneticPr fontId="56"/>
  </si>
  <si>
    <t>45%-I-K</t>
    <phoneticPr fontId="56"/>
  </si>
  <si>
    <t>②</t>
    <phoneticPr fontId="56"/>
  </si>
  <si>
    <t>E+G</t>
    <phoneticPr fontId="56"/>
  </si>
  <si>
    <t>5%-J-L-M</t>
    <phoneticPr fontId="56"/>
  </si>
  <si>
    <t>③</t>
    <phoneticPr fontId="56"/>
  </si>
  <si>
    <t>A+B</t>
    <phoneticPr fontId="56"/>
  </si>
  <si>
    <t>Y*{W}</t>
    <phoneticPr fontId="56"/>
  </si>
  <si>
    <t>④</t>
    <phoneticPr fontId="56"/>
  </si>
  <si>
    <t>C+D+E</t>
    <phoneticPr fontId="56"/>
  </si>
  <si>
    <t>Y*{N,S}</t>
    <phoneticPr fontId="56"/>
  </si>
  <si>
    <t>⑤</t>
    <phoneticPr fontId="56"/>
  </si>
  <si>
    <t>F+G</t>
    <phoneticPr fontId="56"/>
  </si>
  <si>
    <t>Y*{N,S R3less}</t>
    <phoneticPr fontId="56"/>
  </si>
  <si>
    <t>⑥</t>
    <phoneticPr fontId="56"/>
  </si>
  <si>
    <t>A+B+C+D+E+F+G</t>
    <phoneticPr fontId="56"/>
  </si>
  <si>
    <t>⑦</t>
    <phoneticPr fontId="56"/>
  </si>
  <si>
    <t>←これは4,5,6で作れるのでダメだわ</t>
    <rPh sb="10" eb="11">
      <t>ツクレル</t>
    </rPh>
    <phoneticPr fontId="56"/>
  </si>
  <si>
    <t>E*R3率/R5率</t>
    <rPh sb="4" eb="5">
      <t>リツ</t>
    </rPh>
    <rPh sb="8" eb="9">
      <t>リツ</t>
    </rPh>
    <phoneticPr fontId="56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</si>
  <si>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6"/>
  </si>
  <si>
    <t>E*R4率/R5率</t>
    <rPh sb="4" eb="5">
      <t>リツ</t>
    </rPh>
    <rPh sb="8" eb="9">
      <t>リツ</t>
    </rPh>
    <phoneticPr fontId="56"/>
  </si>
  <si>
    <t>∴</t>
    <phoneticPr fontId="56"/>
  </si>
  <si>
    <t>E</t>
    <phoneticPr fontId="56"/>
  </si>
  <si>
    <t>Y*{N,S}*R5率</t>
    <rPh sb="10" eb="11">
      <t>リツ</t>
    </rPh>
    <phoneticPr fontId="56"/>
  </si>
  <si>
    <t>Y*{N,S}*R4率</t>
    <rPh sb="10" eb="11">
      <t>リツ</t>
    </rPh>
    <phoneticPr fontId="56"/>
  </si>
  <si>
    <t>Y*{N,S}*R3率</t>
    <rPh sb="10" eb="11">
      <t>リツ</t>
    </rPh>
    <phoneticPr fontId="56"/>
  </si>
  <si>
    <t>50%-H-C</t>
    <phoneticPr fontId="56"/>
  </si>
  <si>
    <t>Y*{W}-A</t>
    <phoneticPr fontId="56"/>
  </si>
  <si>
    <t>5%-J-L-M-E</t>
    <phoneticPr fontId="56"/>
  </si>
  <si>
    <t>Y*{N,S R3less} - G</t>
    <phoneticPr fontId="56"/>
  </si>
  <si>
    <t>R6境界前後</t>
    <rPh sb="2" eb="4">
      <t>キョウカイ</t>
    </rPh>
    <rPh sb="4" eb="6">
      <t>ゼンゴ</t>
    </rPh>
    <phoneticPr fontId="23"/>
  </si>
  <si>
    <t>R6事後開放N,S</t>
    <rPh sb="2" eb="6">
      <t>ジゴカイホウ</t>
    </rPh>
    <phoneticPr fontId="23"/>
  </si>
  <si>
    <t>PremiumW3</t>
    <phoneticPr fontId="23"/>
  </si>
  <si>
    <t>PremiumW4</t>
    <phoneticPr fontId="23"/>
  </si>
  <si>
    <t>ラベル確率</t>
    <rPh sb="3" eb="5">
      <t>カクリツ</t>
    </rPh>
    <phoneticPr fontId="23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</si>
  <si>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</si>
  <si>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</si>
  <si>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</si>
  <si>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</si>
  <si>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</si>
  <si>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3"/>
  </si>
  <si>
    <t>PremiumSS5R5only</t>
  </si>
  <si>
    <t>計算用中間データ</t>
    <rPh sb="0" eb="3">
      <t>ケイサンヨウ</t>
    </rPh>
    <rPh sb="3" eb="5">
      <t>チュウカン</t>
    </rPh>
    <phoneticPr fontId="23"/>
  </si>
  <si>
    <t>X</t>
    <phoneticPr fontId="23"/>
  </si>
  <si>
    <t>Y</t>
    <phoneticPr fontId="23"/>
  </si>
  <si>
    <t>対象数</t>
    <rPh sb="0" eb="3">
      <t>タイショウスウ</t>
    </rPh>
    <phoneticPr fontId="23"/>
  </si>
  <si>
    <t>PremiumW</t>
    <phoneticPr fontId="23"/>
  </si>
  <si>
    <t>PremiumN</t>
    <phoneticPr fontId="23"/>
  </si>
  <si>
    <t>PremiumS</t>
    <phoneticPr fontId="23"/>
  </si>
  <si>
    <t>PremiumSS</t>
    <phoneticPr fontId="23"/>
  </si>
  <si>
    <t>←R6分はここから差し引く</t>
    <rPh sb="3" eb="4">
      <t>ブン</t>
    </rPh>
    <rPh sb="9" eb="10">
      <t>サシヒク</t>
    </rPh>
    <phoneticPr fontId="23"/>
  </si>
  <si>
    <t>除外確率</t>
    <rPh sb="0" eb="2">
      <t>ジョガイ</t>
    </rPh>
    <rPh sb="2" eb="4">
      <t>カクリツ</t>
    </rPh>
    <phoneticPr fontId="23"/>
  </si>
  <si>
    <t>除外数</t>
    <rPh sb="0" eb="3">
      <t>ジョガイスウ</t>
    </rPh>
    <phoneticPr fontId="23"/>
  </si>
  <si>
    <t>もうここは手で入れよう…</t>
    <rPh sb="5" eb="6">
      <t>テ</t>
    </rPh>
    <rPh sb="7" eb="8">
      <t>イレヨウ</t>
    </rPh>
    <phoneticPr fontId="23"/>
  </si>
  <si>
    <t>通常weight</t>
    <rPh sb="0" eb="2">
      <t>ツウジョウ</t>
    </rPh>
    <phoneticPr fontId="23"/>
  </si>
  <si>
    <t>A</t>
    <phoneticPr fontId="23"/>
  </si>
  <si>
    <t>B</t>
    <phoneticPr fontId="23"/>
  </si>
  <si>
    <t>PremiumW4</t>
    <phoneticPr fontId="23"/>
  </si>
  <si>
    <t>C</t>
    <phoneticPr fontId="23"/>
  </si>
  <si>
    <t>Premium3</t>
    <phoneticPr fontId="23"/>
  </si>
  <si>
    <t>D</t>
    <phoneticPr fontId="23"/>
  </si>
  <si>
    <t>Premium4</t>
    <phoneticPr fontId="23"/>
  </si>
  <si>
    <t>E</t>
    <phoneticPr fontId="23"/>
  </si>
  <si>
    <t>Premium5</t>
    <phoneticPr fontId="23"/>
  </si>
  <si>
    <t>F</t>
    <phoneticPr fontId="23"/>
  </si>
  <si>
    <t>Premium4R3less</t>
    <phoneticPr fontId="23"/>
  </si>
  <si>
    <t>G</t>
    <phoneticPr fontId="23"/>
  </si>
  <si>
    <t>Premium5R3less</t>
    <phoneticPr fontId="23"/>
  </si>
  <si>
    <t>H</t>
    <phoneticPr fontId="23"/>
  </si>
  <si>
    <t>I</t>
    <phoneticPr fontId="23"/>
  </si>
  <si>
    <t>J</t>
    <phoneticPr fontId="23"/>
  </si>
  <si>
    <t>K</t>
    <phoneticPr fontId="23"/>
  </si>
  <si>
    <t>Premium3R6release</t>
    <phoneticPr fontId="23"/>
  </si>
  <si>
    <t>Premium4R6release</t>
    <phoneticPr fontId="23"/>
  </si>
  <si>
    <t>Premium5R6release</t>
    <phoneticPr fontId="23"/>
  </si>
  <si>
    <t>PremiumSS4</t>
    <phoneticPr fontId="23"/>
  </si>
  <si>
    <t>PremiumSS5</t>
    <phoneticPr fontId="23"/>
  </si>
  <si>
    <t>L</t>
    <phoneticPr fontId="23"/>
  </si>
  <si>
    <t>M</t>
    <phoneticPr fontId="23"/>
  </si>
  <si>
    <t>PremiumSS5R5only</t>
    <phoneticPr fontId="23"/>
  </si>
  <si>
    <t>50% - H - C</t>
    <phoneticPr fontId="23"/>
  </si>
  <si>
    <t>PremiumSSS4R3less</t>
    <phoneticPr fontId="23"/>
  </si>
  <si>
    <t>PremiumSSS5R3less</t>
    <phoneticPr fontId="23"/>
  </si>
  <si>
    <t>skip</t>
    <phoneticPr fontId="23"/>
  </si>
  <si>
    <t>通常確率</t>
    <phoneticPr fontId="23"/>
  </si>
  <si>
    <t>tables_363104</t>
    <phoneticPr fontId="23"/>
  </si>
  <si>
    <t>tables_363105</t>
    <phoneticPr fontId="23"/>
  </si>
  <si>
    <t>tables_363100</t>
    <phoneticPr fontId="23"/>
  </si>
  <si>
    <t>old</t>
    <phoneticPr fontId="23"/>
  </si>
  <si>
    <t>gacha_settle_tables_</t>
    <phoneticPr fontId="23"/>
  </si>
  <si>
    <t>.tmp</t>
    <phoneticPr fontId="56"/>
  </si>
  <si>
    <t>tables_settle_443100</t>
    <phoneticPr fontId="23"/>
  </si>
  <si>
    <t>PremiumSSw</t>
    <phoneticPr fontId="23"/>
  </si>
  <si>
    <t>skip</t>
    <phoneticPr fontId="23"/>
  </si>
  <si>
    <t>tables_532010</t>
    <phoneticPr fontId="23"/>
  </si>
  <si>
    <t>tables_583100</t>
    <phoneticPr fontId="2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</si>
</sst>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7" formatCode="0.00000"/>
  </numFmts>
  <fonts count="6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2" fillId="0" borderId="0"/>
    <xf numFmtId="0" fontId="26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21" fillId="0" borderId="0"/>
    <xf numFmtId="0" fontId="33" fillId="5" borderId="2" applyNumberFormat="0" applyAlignment="0" applyProtection="0"/>
    <xf numFmtId="0" fontId="34" fillId="6" borderId="0" applyNumberFormat="0" applyBorder="0" applyAlignment="0" applyProtection="0"/>
    <xf numFmtId="0" fontId="35" fillId="7" borderId="3" applyNumberFormat="0" applyAlignment="0" applyProtection="0"/>
    <xf numFmtId="0" fontId="36" fillId="0" borderId="0" applyNumberFormat="0" applyFill="0" applyBorder="0" applyAlignment="0" applyProtection="0"/>
    <xf numFmtId="0" fontId="37" fillId="8" borderId="0" applyNumberFormat="0" applyBorder="0" applyAlignment="0" applyProtection="0"/>
    <xf numFmtId="0" fontId="38" fillId="9" borderId="4" applyNumberFormat="0" applyAlignment="0" applyProtection="0"/>
    <xf numFmtId="0" fontId="39" fillId="0" borderId="0" applyNumberFormat="0" applyFill="0" applyBorder="0" applyAlignment="0" applyProtection="0"/>
    <xf numFmtId="0" fontId="40" fillId="0" borderId="5" applyNumberFormat="0" applyFill="0" applyAlignment="0" applyProtection="0"/>
    <xf numFmtId="0" fontId="41" fillId="0" borderId="6" applyNumberFormat="0" applyFill="0" applyAlignment="0" applyProtection="0"/>
    <xf numFmtId="0" fontId="42" fillId="0" borderId="7" applyNumberFormat="0" applyFill="0" applyAlignment="0" applyProtection="0"/>
    <xf numFmtId="0" fontId="42" fillId="0" borderId="0" applyNumberFormat="0" applyFill="0" applyBorder="0" applyAlignment="0" applyProtection="0"/>
    <xf numFmtId="0" fontId="43" fillId="7" borderId="0" applyNumberFormat="0" applyBorder="0" applyAlignment="0" applyProtection="0"/>
    <xf numFmtId="0" fontId="43" fillId="6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1" borderId="0" applyNumberFormat="0" applyBorder="0" applyAlignment="0" applyProtection="0"/>
    <xf numFmtId="0" fontId="43" fillId="5" borderId="0" applyNumberFormat="0" applyBorder="0" applyAlignment="0" applyProtection="0"/>
    <xf numFmtId="0" fontId="43" fillId="7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3" borderId="0" applyNumberFormat="0" applyBorder="0" applyAlignment="0" applyProtection="0"/>
    <xf numFmtId="0" fontId="43" fillId="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4" fillId="10" borderId="0" applyNumberFormat="0" applyBorder="0" applyAlignment="0" applyProtection="0"/>
    <xf numFmtId="0" fontId="44" fillId="7" borderId="0" applyNumberFormat="0" applyBorder="0" applyAlignment="0" applyProtection="0"/>
    <xf numFmtId="0" fontId="44" fillId="14" borderId="0" applyNumberFormat="0" applyBorder="0" applyAlignment="0" applyProtection="0"/>
    <xf numFmtId="0" fontId="44" fillId="6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0" borderId="0" applyNumberFormat="0" applyBorder="0" applyAlignment="0" applyProtection="0"/>
    <xf numFmtId="0" fontId="44" fillId="1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5" fillId="17" borderId="0" applyNumberFormat="0" applyBorder="0" applyAlignment="0" applyProtection="0"/>
    <xf numFmtId="0" fontId="34" fillId="6" borderId="0" applyNumberFormat="0" applyBorder="0" applyAlignment="0" applyProtection="0"/>
    <xf numFmtId="0" fontId="46" fillId="0" borderId="8" applyNumberFormat="0" applyFill="0" applyAlignment="0" applyProtection="0"/>
    <xf numFmtId="0" fontId="47" fillId="7" borderId="9" applyNumberFormat="0" applyAlignment="0" applyProtection="0"/>
    <xf numFmtId="0" fontId="47" fillId="18" borderId="9" applyNumberFormat="0" applyAlignment="0" applyProtection="0"/>
    <xf numFmtId="0" fontId="35" fillId="6" borderId="3" applyNumberFormat="0" applyAlignment="0" applyProtection="0"/>
    <xf numFmtId="0" fontId="48" fillId="0" borderId="10" applyNumberFormat="0" applyFill="0" applyAlignment="0" applyProtection="0"/>
    <xf numFmtId="0" fontId="49" fillId="18" borderId="3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11" applyNumberFormat="0" applyFill="0" applyAlignment="0" applyProtection="0"/>
    <xf numFmtId="38" fontId="21" fillId="0" borderId="0" applyFont="0" applyFill="0" applyBorder="0" applyAlignment="0" applyProtection="0">
      <alignment vertical="center"/>
    </xf>
    <xf numFmtId="0" fontId="52" fillId="19" borderId="0" applyNumberFormat="0" applyBorder="0" applyAlignment="0" applyProtection="0"/>
    <xf numFmtId="0" fontId="53" fillId="20" borderId="0" applyNumberFormat="0" applyBorder="0" applyAlignment="0" applyProtection="0"/>
    <xf numFmtId="0" fontId="21" fillId="0" borderId="0"/>
    <xf numFmtId="0" fontId="54" fillId="20" borderId="0" applyNumberFormat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0" borderId="0"/>
    <xf numFmtId="0" fontId="57" fillId="0" borderId="0">
      <alignment vertical="center"/>
    </xf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9" fontId="58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38" fontId="58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</cellStyleXfs>
  <cellXfs count="105">
    <xf numFmtId="0" fontId="0" fillId="0" borderId="0" xfId="0"/>
    <xf numFmtId="0" fontId="28" fillId="0" borderId="0" xfId="2" applyFont="1" applyAlignment="1">
      <alignment vertical="center"/>
    </xf>
    <xf numFmtId="0" fontId="28" fillId="0" borderId="1" xfId="2" applyFont="1" applyBorder="1" applyAlignment="1">
      <alignment vertical="center"/>
    </xf>
    <xf numFmtId="0" fontId="28" fillId="3" borderId="1" xfId="2" applyFont="1" applyFill="1" applyBorder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4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horizontal="right" vertical="center"/>
    </xf>
    <xf numFmtId="0" fontId="28" fillId="3" borderId="1" xfId="2" applyFont="1" applyFill="1" applyBorder="1" applyAlignment="1">
      <alignment vertical="center"/>
    </xf>
    <xf numFmtId="0" fontId="29" fillId="4" borderId="1" xfId="0" applyFont="1" applyFill="1" applyBorder="1" applyAlignment="1">
      <alignment vertical="center"/>
    </xf>
    <xf numFmtId="0" fontId="28" fillId="0" borderId="13" xfId="2" applyFont="1" applyBorder="1" applyAlignment="1">
      <alignment vertical="center"/>
    </xf>
    <xf numFmtId="0" fontId="27" fillId="4" borderId="12" xfId="0" applyFont="1" applyFill="1" applyBorder="1" applyAlignment="1">
      <alignment horizontal="right" vertical="center"/>
    </xf>
    <xf numFmtId="0" fontId="27" fillId="4" borderId="14" xfId="0" applyFont="1" applyFill="1" applyBorder="1" applyAlignment="1">
      <alignment horizontal="right" vertical="center"/>
    </xf>
    <xf numFmtId="0" fontId="28" fillId="0" borderId="15" xfId="2" applyFont="1" applyBorder="1" applyAlignment="1">
      <alignment vertical="center"/>
    </xf>
    <xf numFmtId="0" fontId="28" fillId="2" borderId="1" xfId="2" applyFont="1" applyFill="1" applyBorder="1" applyAlignment="1">
      <alignment horizontal="left" vertical="center"/>
    </xf>
    <xf numFmtId="0" fontId="55" fillId="21" borderId="1" xfId="0" applyFont="1" applyFill="1" applyBorder="1" applyAlignment="1">
      <alignment horizontal="left" vertical="center"/>
    </xf>
    <xf numFmtId="0" fontId="28" fillId="2" borderId="1" xfId="2" applyFont="1" applyFill="1" applyBorder="1" applyAlignment="1">
      <alignment horizontal="center" vertical="center"/>
    </xf>
    <xf numFmtId="0" fontId="30" fillId="22" borderId="1" xfId="2978" applyFont="1" applyFill="1" applyBorder="1"/>
    <xf numFmtId="0" fontId="16" fillId="22" borderId="1" xfId="2978" applyFill="1" applyBorder="1"/>
    <xf numFmtId="0" fontId="16" fillId="0" borderId="0" xfId="2978"/>
    <xf numFmtId="0" fontId="16" fillId="0" borderId="1" xfId="2978" applyBorder="1"/>
    <xf numFmtId="0" fontId="16" fillId="2" borderId="1" xfId="2978" applyFill="1" applyBorder="1"/>
    <xf numFmtId="0" fontId="20" fillId="2" borderId="1" xfId="19" applyFont="1" applyFill="1" applyBorder="1"/>
    <xf numFmtId="0" fontId="21" fillId="2" borderId="1" xfId="19" applyFill="1" applyBorder="1"/>
    <xf numFmtId="0" fontId="19" fillId="2" borderId="1" xfId="19" applyFont="1" applyFill="1" applyBorder="1"/>
    <xf numFmtId="0" fontId="17" fillId="2" borderId="1" xfId="19" applyFont="1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5" fillId="0" borderId="1" xfId="2978" applyFont="1" applyBorder="1"/>
    <xf numFmtId="0" fontId="30" fillId="22" borderId="1" xfId="0" applyFont="1" applyFill="1" applyBorder="1"/>
    <xf numFmtId="0" fontId="55" fillId="23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vertical="center"/>
    </xf>
    <xf numFmtId="0" fontId="0" fillId="4" borderId="0" xfId="0" applyFill="1"/>
    <xf numFmtId="0" fontId="13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2" fillId="2" borderId="1" xfId="19" applyFont="1" applyFill="1" applyBorder="1"/>
    <xf numFmtId="0" fontId="12" fillId="4" borderId="1" xfId="2978" applyFont="1" applyFill="1" applyBorder="1"/>
    <xf numFmtId="0" fontId="0" fillId="2" borderId="0" xfId="0" applyFill="1"/>
    <xf numFmtId="0" fontId="55" fillId="30" borderId="1" xfId="0" applyFont="1" applyFill="1" applyBorder="1" applyAlignment="1">
      <alignment horizontal="left" vertical="center"/>
    </xf>
    <xf numFmtId="0" fontId="28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7" fillId="25" borderId="1" xfId="0" applyFont="1" applyFill="1" applyBorder="1" applyAlignment="1">
      <alignment horizontal="right" vertical="center"/>
    </xf>
    <xf numFmtId="0" fontId="11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10" fillId="0" borderId="0" xfId="3662"/>
    <xf numFmtId="0" fontId="10" fillId="4" borderId="0" xfId="3662" applyFill="1"/>
    <xf numFmtId="9" fontId="10" fillId="0" borderId="0" xfId="3662" applyNumberFormat="1"/>
    <xf numFmtId="0" fontId="10" fillId="0" borderId="0" xfId="3662" applyFill="1"/>
    <xf numFmtId="9" fontId="10" fillId="0" borderId="0" xfId="3662" applyNumberFormat="1" applyAlignment="1"/>
    <xf numFmtId="0" fontId="10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9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60" fillId="32" borderId="1" xfId="0" applyNumberFormat="1" applyFont="1" applyFill="1" applyBorder="1"/>
    <xf numFmtId="38" fontId="28" fillId="4" borderId="1" xfId="3663" quotePrefix="1" applyFont="1" applyFill="1" applyBorder="1" applyAlignment="1">
      <alignment vertical="center"/>
    </xf>
    <xf numFmtId="0" fontId="55" fillId="0" borderId="1" xfId="0" applyFont="1" applyBorder="1" applyAlignment="1">
      <alignment vertical="center"/>
    </xf>
    <xf numFmtId="0" fontId="55" fillId="0" borderId="1" xfId="0" applyFont="1" applyBorder="1" applyAlignment="1">
      <alignment vertical="center" wrapText="1"/>
    </xf>
    <xf numFmtId="0" fontId="28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9" fillId="0" borderId="0" xfId="3662" applyFont="1"/>
    <xf numFmtId="10" fontId="0" fillId="0" borderId="1" xfId="3575" applyNumberFormat="1" applyFont="1" applyFill="1" applyBorder="1"/>
    <xf numFmtId="0" fontId="28" fillId="0" borderId="0" xfId="2" applyFont="1" applyFill="1" applyBorder="1" applyAlignment="1">
      <alignment vertical="center"/>
    </xf>
    <xf numFmtId="0" fontId="8" fillId="0" borderId="1" xfId="3036" applyFont="1" applyBorder="1"/>
    <xf numFmtId="0" fontId="27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7" fillId="4" borderId="1" xfId="2978" applyFont="1" applyFill="1" applyBorder="1"/>
    <xf numFmtId="0" fontId="7" fillId="0" borderId="1" xfId="3036" applyFont="1" applyBorder="1"/>
    <xf numFmtId="0" fontId="29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6" fillId="0" borderId="1" xfId="2978" applyFont="1" applyBorder="1"/>
    <xf numFmtId="0" fontId="6" fillId="4" borderId="1" xfId="2978" applyFont="1" applyFill="1" applyBorder="1"/>
    <xf numFmtId="0" fontId="28" fillId="3" borderId="14" xfId="2" applyFont="1" applyFill="1" applyBorder="1" applyAlignment="1">
      <alignment vertical="center"/>
    </xf>
    <xf numFmtId="0" fontId="5" fillId="4" borderId="1" xfId="2978" applyFont="1" applyFill="1" applyBorder="1"/>
    <xf numFmtId="0" fontId="4" fillId="0" borderId="1" xfId="3036" applyFont="1" applyBorder="1"/>
    <xf numFmtId="0" fontId="3" fillId="4" borderId="1" xfId="2978" applyFont="1" applyFill="1" applyBorder="1"/>
    <xf numFmtId="0" fontId="28" fillId="4" borderId="0" xfId="2" applyFont="1" applyFill="1" applyAlignment="1">
      <alignment vertical="center"/>
    </xf>
    <xf numFmtId="180" fontId="0" fillId="4" borderId="1" xfId="0" applyNumberFormat="1" applyFill="1" applyBorder="1"/>
    <xf numFmtId="176" fontId="0" fillId="0" borderId="0" xfId="0" applyNumberFormat="1"/>
    <xf numFmtId="176" fontId="0" fillId="4" borderId="0" xfId="0" applyNumberFormat="1" applyFill="1"/>
    <xf numFmtId="176" fontId="0" fillId="28" borderId="1" xfId="0" applyNumberFormat="1" applyFill="1" applyBorder="1"/>
    <xf numFmtId="176" fontId="0" fillId="28" borderId="1" xfId="3575" applyNumberFormat="1" applyFont="1" applyFill="1" applyBorder="1"/>
    <xf numFmtId="0" fontId="2" fillId="4" borderId="1" xfId="2978" applyFont="1" applyFill="1" applyBorder="1"/>
    <xf numFmtId="187" fontId="0" fillId="0" borderId="0" xfId="0" applyNumberFormat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超覚醒パレート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ライプニッツR6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ライプニッツ(超覚醒)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DropWizSS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DropWizSS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DropWizSS</v>
          </cell>
          <cell r="K1431" t="str">
            <v>balance</v>
          </cell>
          <cell r="L1431" t="str">
            <v>バランスタイプ</v>
          </cell>
          <cell r="M1431" t="str">
            <v>human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DropWizSS</v>
          </cell>
          <cell r="K1438" t="str">
            <v>attack</v>
          </cell>
          <cell r="L1438" t="str">
            <v>攻撃タイプ</v>
          </cell>
          <cell r="M1438" t="str">
            <v>unknown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DropWizSS</v>
          </cell>
          <cell r="K1439" t="str">
            <v>technical</v>
          </cell>
          <cell r="L1439" t="str">
            <v>テクニカルタイプ</v>
          </cell>
          <cell r="M1439" t="str">
            <v>unknown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PremiumSSw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PremiumSSw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ブーディカR4</v>
          </cell>
          <cell r="H1442" t="str">
            <v>yellow</v>
          </cell>
          <cell r="I1442">
            <v>4</v>
          </cell>
          <cell r="J1442" t="str">
            <v>DropWizSS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1451</v>
          </cell>
          <cell r="B1443" t="str">
            <v>ja</v>
          </cell>
          <cell r="C1443" t="str">
            <v>ブーディカR5</v>
          </cell>
          <cell r="H1443" t="str">
            <v>yellow</v>
          </cell>
          <cell r="I1443">
            <v>5</v>
          </cell>
          <cell r="J1443" t="str">
            <v>DropWizSS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パラケルススR5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パラケルススR6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9001</v>
          </cell>
          <cell r="B1694" t="str">
            <v>ja</v>
          </cell>
          <cell r="C1694" t="str">
            <v>春香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5</v>
          </cell>
          <cell r="J1694" t="str">
            <v>PremiumSSw</v>
          </cell>
          <cell r="K1694" t="str">
            <v>attack</v>
          </cell>
          <cell r="L1694" t="str">
            <v>攻撃タイプ</v>
          </cell>
          <cell r="M1694" t="str">
            <v>human</v>
          </cell>
        </row>
        <row r="1695">
          <cell r="A1695">
            <v>9002</v>
          </cell>
          <cell r="B1695" t="str">
            <v>ja</v>
          </cell>
          <cell r="C1695" t="str">
            <v>春香★６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6</v>
          </cell>
          <cell r="J1695" t="str">
            <v>PremiumSSw</v>
          </cell>
          <cell r="K1695" t="str">
            <v>attack</v>
          </cell>
          <cell r="L1695" t="str">
            <v>攻撃タイプ</v>
          </cell>
          <cell r="M1695" t="str">
            <v>human</v>
          </cell>
        </row>
        <row r="1696">
          <cell r="A1696">
            <v>9003</v>
          </cell>
          <cell r="B1696" t="str">
            <v>ja</v>
          </cell>
          <cell r="C1696" t="str">
            <v>夢龍</v>
          </cell>
          <cell r="D1696" t="str">
            <v>ポムポムプリン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green</v>
          </cell>
          <cell r="I1696">
            <v>5</v>
          </cell>
          <cell r="J1696" t="str">
            <v>DropWizS</v>
          </cell>
          <cell r="K1696" t="str">
            <v>heal</v>
          </cell>
          <cell r="L1696" t="str">
            <v>回復タイプ</v>
          </cell>
          <cell r="M1696" t="str">
            <v>dragon</v>
          </cell>
        </row>
        <row r="1697">
          <cell r="A1697">
            <v>9004</v>
          </cell>
          <cell r="B1697" t="str">
            <v>ja</v>
          </cell>
          <cell r="C1697" t="str">
            <v>夢龍★６</v>
          </cell>
          <cell r="D1697" t="str">
            <v>各属性相性良3・黄・R455</v>
          </cell>
          <cell r="E1697" t="str">
            <v>執行者</v>
          </cell>
          <cell r="F1697" t="str">
            <v>格好いい</v>
          </cell>
          <cell r="G1697" t="str">
            <v>男性</v>
          </cell>
          <cell r="H1697" t="str">
            <v>green</v>
          </cell>
          <cell r="I1697">
            <v>6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dragon</v>
          </cell>
        </row>
        <row r="1698">
          <cell r="A1698">
            <v>9005</v>
          </cell>
          <cell r="B1698" t="str">
            <v>ja</v>
          </cell>
          <cell r="C1698" t="str">
            <v>降臨</v>
          </cell>
          <cell r="D1698" t="str">
            <v>ポムポムプリン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blue</v>
          </cell>
          <cell r="I1698">
            <v>5</v>
          </cell>
          <cell r="J1698" t="str">
            <v>PremiumSSw</v>
          </cell>
          <cell r="K1698" t="str">
            <v>hp</v>
          </cell>
          <cell r="L1698" t="str">
            <v>体力タイプ</v>
          </cell>
          <cell r="M1698" t="str">
            <v>demon</v>
          </cell>
        </row>
        <row r="1699">
          <cell r="A1699">
            <v>9006</v>
          </cell>
          <cell r="B1699" t="str">
            <v>ja</v>
          </cell>
          <cell r="C1699" t="str">
            <v>降臨★６</v>
          </cell>
          <cell r="D1699" t="str">
            <v>ポムポムプリン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blue</v>
          </cell>
          <cell r="I1699">
            <v>6</v>
          </cell>
          <cell r="J1699" t="str">
            <v>PremiumSSw</v>
          </cell>
          <cell r="K1699" t="str">
            <v>hp</v>
          </cell>
          <cell r="L1699" t="str">
            <v>体力タイプ</v>
          </cell>
          <cell r="M1699" t="str">
            <v>demon</v>
          </cell>
        </row>
        <row r="1700">
          <cell r="A1700">
            <v>9007</v>
          </cell>
          <cell r="B1700" t="str">
            <v>ja</v>
          </cell>
          <cell r="C1700" t="str">
            <v>田禹治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red</v>
          </cell>
          <cell r="I1700">
            <v>5</v>
          </cell>
          <cell r="J1700" t="str">
            <v>DropWizS</v>
          </cell>
          <cell r="K1700" t="str">
            <v>technical</v>
          </cell>
          <cell r="L1700" t="str">
            <v>テクニカルタイプ</v>
          </cell>
          <cell r="M1700" t="str">
            <v>hero</v>
          </cell>
        </row>
        <row r="1701">
          <cell r="A1701">
            <v>9008</v>
          </cell>
          <cell r="B1701" t="str">
            <v>ja</v>
          </cell>
          <cell r="C1701" t="str">
            <v>田禹治★６</v>
          </cell>
          <cell r="D1701" t="str">
            <v>各属性相性良3・黄・R455</v>
          </cell>
          <cell r="E1701" t="str">
            <v>執行者</v>
          </cell>
          <cell r="F1701" t="str">
            <v>格好いい</v>
          </cell>
          <cell r="G1701" t="str">
            <v>男性</v>
          </cell>
          <cell r="H1701" t="str">
            <v>red</v>
          </cell>
          <cell r="I1701">
            <v>6</v>
          </cell>
          <cell r="J1701" t="str">
            <v>DropWizS</v>
          </cell>
          <cell r="K1701" t="str">
            <v>technical</v>
          </cell>
          <cell r="L1701" t="str">
            <v>テクニカルタイプ</v>
          </cell>
          <cell r="M1701" t="str">
            <v>hero</v>
          </cell>
        </row>
        <row r="1702">
          <cell r="A1702">
            <v>10001</v>
          </cell>
          <cell r="B1702" t="str">
            <v>ja</v>
          </cell>
          <cell r="C1702" t="str">
            <v>テストユニット01</v>
          </cell>
          <cell r="H1702" t="str">
            <v>yellow</v>
          </cell>
          <cell r="I1702">
            <v>6</v>
          </cell>
          <cell r="J1702" t="str">
            <v>DropWizS</v>
          </cell>
          <cell r="K1702" t="str">
            <v>heal</v>
          </cell>
          <cell r="L1702" t="str">
            <v>回復タイプ</v>
          </cell>
          <cell r="M1702" t="str">
            <v>human</v>
          </cell>
        </row>
        <row r="1703">
          <cell r="A1703">
            <v>10002</v>
          </cell>
          <cell r="B1703" t="str">
            <v>ja</v>
          </cell>
          <cell r="C1703" t="str">
            <v>テストユニット02</v>
          </cell>
          <cell r="H1703" t="str">
            <v>yellow</v>
          </cell>
          <cell r="I1703">
            <v>6</v>
          </cell>
          <cell r="J1703" t="str">
            <v>PremiumSS</v>
          </cell>
          <cell r="K1703" t="str">
            <v>technical</v>
          </cell>
          <cell r="L1703" t="str">
            <v>テクニカルタイプ</v>
          </cell>
          <cell r="M1703" t="str">
            <v>animal</v>
          </cell>
        </row>
        <row r="1704">
          <cell r="A1704">
            <v>10003</v>
          </cell>
          <cell r="B1704" t="str">
            <v>ja</v>
          </cell>
          <cell r="C1704" t="str">
            <v>テストユニット03</v>
          </cell>
          <cell r="H1704" t="str">
            <v>red</v>
          </cell>
          <cell r="I1704">
            <v>5</v>
          </cell>
          <cell r="J1704" t="str">
            <v>PremiumSSS</v>
          </cell>
          <cell r="K1704" t="str">
            <v>technical</v>
          </cell>
          <cell r="L1704" t="str">
            <v>テクニカルタイプ</v>
          </cell>
          <cell r="M1704" t="str">
            <v>academia</v>
          </cell>
        </row>
        <row r="1705">
          <cell r="A1705">
            <v>10004</v>
          </cell>
          <cell r="B1705" t="str">
            <v>ja</v>
          </cell>
          <cell r="C1705" t="str">
            <v>テストユニット04</v>
          </cell>
          <cell r="H1705" t="str">
            <v>red</v>
          </cell>
          <cell r="I1705">
            <v>6</v>
          </cell>
          <cell r="J1705" t="str">
            <v>PremiumSSS</v>
          </cell>
          <cell r="K1705" t="str">
            <v>technical</v>
          </cell>
          <cell r="L1705" t="str">
            <v>テクニカルタイプ</v>
          </cell>
          <cell r="M1705" t="str">
            <v>academia</v>
          </cell>
        </row>
        <row r="1706">
          <cell r="A1706">
            <v>10005</v>
          </cell>
          <cell r="B1706" t="str">
            <v>ja</v>
          </cell>
          <cell r="C1706" t="str">
            <v>テストユニット05</v>
          </cell>
          <cell r="H1706" t="str">
            <v>yellow</v>
          </cell>
          <cell r="I1706">
            <v>6</v>
          </cell>
          <cell r="J1706" t="str">
            <v>PremiumSS</v>
          </cell>
          <cell r="K1706" t="str">
            <v>technical</v>
          </cell>
          <cell r="L1706" t="str">
            <v>テクニカルタイプ</v>
          </cell>
          <cell r="M1706" t="str">
            <v>human</v>
          </cell>
        </row>
        <row r="1707">
          <cell r="A1707">
            <v>10006</v>
          </cell>
          <cell r="B1707" t="str">
            <v>ja</v>
          </cell>
          <cell r="C1707" t="str">
            <v>テストユニット06</v>
          </cell>
          <cell r="H1707" t="str">
            <v>yellow</v>
          </cell>
          <cell r="I1707">
            <v>6</v>
          </cell>
          <cell r="J1707" t="str">
            <v>PremiumSS</v>
          </cell>
          <cell r="K1707" t="str">
            <v>attack</v>
          </cell>
          <cell r="L1707" t="str">
            <v>攻撃タイプ</v>
          </cell>
          <cell r="M1707" t="str">
            <v>animal</v>
          </cell>
        </row>
        <row r="1708">
          <cell r="A1708">
            <v>10007</v>
          </cell>
          <cell r="B1708" t="str">
            <v>ja</v>
          </cell>
          <cell r="C1708" t="str">
            <v>テストユニット07</v>
          </cell>
          <cell r="H1708" t="str">
            <v>yellow</v>
          </cell>
          <cell r="I1708">
            <v>5</v>
          </cell>
          <cell r="J1708" t="str">
            <v>PremiumSSS</v>
          </cell>
          <cell r="K1708" t="str">
            <v>technical</v>
          </cell>
          <cell r="L1708" t="str">
            <v>テクニカルタイプ</v>
          </cell>
          <cell r="M1708" t="str">
            <v>machine</v>
          </cell>
        </row>
        <row r="1709">
          <cell r="A1709">
            <v>10008</v>
          </cell>
          <cell r="B1709" t="str">
            <v>ja</v>
          </cell>
          <cell r="C1709" t="str">
            <v>テストユニット08</v>
          </cell>
          <cell r="H1709" t="str">
            <v>yellow</v>
          </cell>
          <cell r="I1709">
            <v>6</v>
          </cell>
          <cell r="J1709" t="str">
            <v>PremiumSSS</v>
          </cell>
          <cell r="K1709" t="str">
            <v>technical</v>
          </cell>
          <cell r="L1709" t="str">
            <v>テクニカルタイプ</v>
          </cell>
          <cell r="M1709" t="str">
            <v>machine</v>
          </cell>
        </row>
        <row r="1710">
          <cell r="A1710">
            <v>10009</v>
          </cell>
          <cell r="B1710" t="str">
            <v>ja</v>
          </cell>
          <cell r="C1710" t="str">
            <v>青テスト01</v>
          </cell>
          <cell r="H1710" t="str">
            <v>blue</v>
          </cell>
          <cell r="I1710">
            <v>6</v>
          </cell>
          <cell r="J1710" t="str">
            <v>DropWizS</v>
          </cell>
          <cell r="K1710" t="str">
            <v>heal</v>
          </cell>
          <cell r="L1710" t="str">
            <v>回復タイプ</v>
          </cell>
          <cell r="M1710" t="str">
            <v>human</v>
          </cell>
        </row>
        <row r="1711">
          <cell r="A1711">
            <v>10010</v>
          </cell>
          <cell r="B1711" t="str">
            <v>ja</v>
          </cell>
          <cell r="C1711" t="str">
            <v>赤テスト01</v>
          </cell>
          <cell r="H1711" t="str">
            <v>red</v>
          </cell>
          <cell r="I1711">
            <v>6</v>
          </cell>
          <cell r="J1711" t="str">
            <v>PremiumSSS</v>
          </cell>
          <cell r="K1711" t="str">
            <v>technical</v>
          </cell>
          <cell r="L1711" t="str">
            <v>テクニカルタイプ</v>
          </cell>
          <cell r="M1711" t="str">
            <v>human</v>
          </cell>
        </row>
        <row r="1712">
          <cell r="A1712">
            <v>10011</v>
          </cell>
          <cell r="B1712" t="str">
            <v>ja</v>
          </cell>
          <cell r="C1712" t="str">
            <v>テストユニット11</v>
          </cell>
          <cell r="H1712" t="str">
            <v>yellow</v>
          </cell>
          <cell r="I1712">
            <v>5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human</v>
          </cell>
        </row>
        <row r="1713">
          <cell r="A1713">
            <v>10012</v>
          </cell>
          <cell r="B1713" t="str">
            <v>ja</v>
          </cell>
          <cell r="C1713" t="str">
            <v>テストユニット12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human</v>
          </cell>
        </row>
        <row r="1714">
          <cell r="A1714">
            <v>10013</v>
          </cell>
          <cell r="B1714" t="str">
            <v>ja</v>
          </cell>
          <cell r="C1714" t="str">
            <v>テストユニット13</v>
          </cell>
          <cell r="H1714" t="str">
            <v>yellow</v>
          </cell>
          <cell r="I1714">
            <v>5</v>
          </cell>
          <cell r="J1714" t="str">
            <v>PremiumSSw</v>
          </cell>
          <cell r="K1714" t="str">
            <v>hp</v>
          </cell>
          <cell r="L1714" t="str">
            <v>体力タイプ</v>
          </cell>
          <cell r="M1714" t="str">
            <v>dragon</v>
          </cell>
        </row>
        <row r="1715">
          <cell r="A1715">
            <v>10014</v>
          </cell>
          <cell r="B1715" t="str">
            <v>ja</v>
          </cell>
          <cell r="C1715" t="str">
            <v>テストユニット14</v>
          </cell>
          <cell r="H1715" t="str">
            <v>yellow</v>
          </cell>
          <cell r="I1715">
            <v>6</v>
          </cell>
          <cell r="J1715" t="str">
            <v>PremiumSSw</v>
          </cell>
          <cell r="K1715" t="str">
            <v>hp</v>
          </cell>
          <cell r="L1715" t="str">
            <v>体力タイプ</v>
          </cell>
          <cell r="M1715" t="str">
            <v>dragon</v>
          </cell>
        </row>
        <row r="1716">
          <cell r="A1716">
            <v>10015</v>
          </cell>
          <cell r="B1716" t="str">
            <v>ja</v>
          </cell>
          <cell r="C1716" t="str">
            <v>テストユニット15</v>
          </cell>
          <cell r="H1716" t="str">
            <v>green</v>
          </cell>
          <cell r="I1716">
            <v>5</v>
          </cell>
          <cell r="J1716" t="str">
            <v>DropWizS</v>
          </cell>
          <cell r="K1716" t="str">
            <v>heal</v>
          </cell>
          <cell r="L1716" t="str">
            <v>回復タイプ</v>
          </cell>
          <cell r="M1716" t="str">
            <v>human</v>
          </cell>
        </row>
        <row r="1717">
          <cell r="A1717">
            <v>10016</v>
          </cell>
          <cell r="B1717" t="str">
            <v>ja</v>
          </cell>
          <cell r="C1717" t="str">
            <v>テストユニット16</v>
          </cell>
          <cell r="H1717" t="str">
            <v>green</v>
          </cell>
          <cell r="I1717">
            <v>6</v>
          </cell>
          <cell r="J1717" t="str">
            <v>DropWizS</v>
          </cell>
          <cell r="K1717" t="str">
            <v>heal</v>
          </cell>
          <cell r="L1717" t="str">
            <v>回復タイプ</v>
          </cell>
          <cell r="M1717" t="str">
            <v>human</v>
          </cell>
        </row>
        <row r="1718">
          <cell r="A1718">
            <v>10017</v>
          </cell>
          <cell r="B1718" t="str">
            <v>ja</v>
          </cell>
          <cell r="C1718" t="str">
            <v>テストユニット17</v>
          </cell>
          <cell r="H1718" t="str">
            <v>red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10018</v>
          </cell>
          <cell r="B1719" t="str">
            <v>ja</v>
          </cell>
          <cell r="C1719" t="str">
            <v>テストユニット18</v>
          </cell>
          <cell r="H1719" t="str">
            <v>blue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10019</v>
          </cell>
          <cell r="B1720" t="str">
            <v>ja</v>
          </cell>
          <cell r="C1720" t="str">
            <v>テストユニット19</v>
          </cell>
          <cell r="H1720" t="str">
            <v>green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10020</v>
          </cell>
          <cell r="B1721" t="str">
            <v>ja</v>
          </cell>
          <cell r="C1721" t="str">
            <v>テストユニット20</v>
          </cell>
          <cell r="H1721" t="str">
            <v>yellow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10021</v>
          </cell>
          <cell r="B1722" t="str">
            <v>ja</v>
          </cell>
          <cell r="C1722" t="str">
            <v>テストユニット21</v>
          </cell>
          <cell r="H1722" t="str">
            <v>blue</v>
          </cell>
          <cell r="I1722">
            <v>5</v>
          </cell>
          <cell r="J1722" t="str">
            <v>PremiumSSw</v>
          </cell>
          <cell r="K1722" t="str">
            <v>hp</v>
          </cell>
          <cell r="L1722" t="str">
            <v>体力タイプ</v>
          </cell>
          <cell r="M1722" t="str">
            <v>demon</v>
          </cell>
        </row>
        <row r="1723">
          <cell r="A1723">
            <v>10022</v>
          </cell>
          <cell r="B1723" t="str">
            <v>ja</v>
          </cell>
          <cell r="C1723" t="str">
            <v>テストユニット22</v>
          </cell>
          <cell r="H1723" t="str">
            <v>blue</v>
          </cell>
          <cell r="I1723">
            <v>6</v>
          </cell>
          <cell r="J1723" t="str">
            <v>PremiumSSw</v>
          </cell>
          <cell r="K1723" t="str">
            <v>hp</v>
          </cell>
          <cell r="L1723" t="str">
            <v>体力タイプ</v>
          </cell>
          <cell r="M1723" t="str">
            <v>demon</v>
          </cell>
        </row>
        <row r="1724">
          <cell r="A1724">
            <v>10023</v>
          </cell>
          <cell r="B1724" t="str">
            <v>ja</v>
          </cell>
          <cell r="C1724" t="str">
            <v>テストユニット23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heal</v>
          </cell>
          <cell r="L1724" t="str">
            <v>回復タイプ</v>
          </cell>
          <cell r="M1724" t="str">
            <v>dragon</v>
          </cell>
        </row>
        <row r="1725">
          <cell r="A1725">
            <v>10024</v>
          </cell>
          <cell r="B1725" t="str">
            <v>ja</v>
          </cell>
          <cell r="C1725" t="str">
            <v>テストユニット24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hp</v>
          </cell>
          <cell r="L1725" t="str">
            <v>体力タイプ</v>
          </cell>
          <cell r="M1725" t="str">
            <v>dragon</v>
          </cell>
        </row>
        <row r="1726">
          <cell r="A1726">
            <v>10025</v>
          </cell>
          <cell r="B1726" t="str">
            <v>ja</v>
          </cell>
          <cell r="C1726" t="str">
            <v>テストユニット25</v>
          </cell>
          <cell r="H1726" t="str">
            <v>red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10026</v>
          </cell>
          <cell r="B1727" t="str">
            <v>ja</v>
          </cell>
          <cell r="C1727" t="str">
            <v>テストユニット26</v>
          </cell>
          <cell r="H1727" t="str">
            <v>red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10027</v>
          </cell>
          <cell r="B1728" t="str">
            <v>ja</v>
          </cell>
          <cell r="C1728" t="str">
            <v>テストユニット27</v>
          </cell>
          <cell r="H1728" t="str">
            <v>green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10028</v>
          </cell>
          <cell r="B1729" t="str">
            <v>ja</v>
          </cell>
          <cell r="C1729" t="str">
            <v>テストユニット28</v>
          </cell>
          <cell r="H1729" t="str">
            <v>yellow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10029</v>
          </cell>
          <cell r="B1730" t="str">
            <v>ja</v>
          </cell>
          <cell r="C1730" t="str">
            <v>テストユニット29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10030</v>
          </cell>
          <cell r="B1731" t="str">
            <v>ja</v>
          </cell>
          <cell r="C1731" t="str">
            <v>テストユニット30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10031</v>
          </cell>
          <cell r="B1732" t="str">
            <v>ja</v>
          </cell>
          <cell r="C1732" t="str">
            <v>テストユニット31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10032</v>
          </cell>
          <cell r="B1733" t="str">
            <v>ja</v>
          </cell>
          <cell r="C1733" t="str">
            <v>テストユニット32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10033</v>
          </cell>
          <cell r="B1734" t="str">
            <v>ja</v>
          </cell>
          <cell r="C1734" t="str">
            <v>テストユニット33</v>
          </cell>
          <cell r="H1734" t="str">
            <v>red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10034</v>
          </cell>
          <cell r="B1735" t="str">
            <v>ja</v>
          </cell>
          <cell r="C1735" t="str">
            <v>テストユニット34</v>
          </cell>
          <cell r="H1735" t="str">
            <v>blue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10035</v>
          </cell>
          <cell r="B1736" t="str">
            <v>ja</v>
          </cell>
          <cell r="C1736" t="str">
            <v>テストユニット35</v>
          </cell>
          <cell r="H1736" t="str">
            <v>green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10036</v>
          </cell>
          <cell r="B1737" t="str">
            <v>ja</v>
          </cell>
          <cell r="C1737" t="str">
            <v>テストユニット36</v>
          </cell>
          <cell r="H1737" t="str">
            <v>yellow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10037</v>
          </cell>
          <cell r="B1738" t="str">
            <v>ja</v>
          </cell>
          <cell r="C1738" t="str">
            <v>テストユニット37</v>
          </cell>
          <cell r="H1738" t="str">
            <v>red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10038</v>
          </cell>
          <cell r="B1739" t="str">
            <v>ja</v>
          </cell>
          <cell r="C1739" t="str">
            <v>テストユニット38</v>
          </cell>
          <cell r="H1739" t="str">
            <v>blue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10039</v>
          </cell>
          <cell r="B1740" t="str">
            <v>ja</v>
          </cell>
          <cell r="C1740" t="str">
            <v>テストユニット39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10040</v>
          </cell>
          <cell r="B1741" t="str">
            <v>ja</v>
          </cell>
          <cell r="C1741" t="str">
            <v>テストユニット40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10041</v>
          </cell>
          <cell r="B1742" t="str">
            <v>ja</v>
          </cell>
          <cell r="C1742" t="str">
            <v>テストユニット41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10042</v>
          </cell>
          <cell r="B1743" t="str">
            <v>ja</v>
          </cell>
          <cell r="C1743" t="str">
            <v>テストユニット42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10043</v>
          </cell>
          <cell r="B1744" t="str">
            <v>ja</v>
          </cell>
          <cell r="C1744" t="str">
            <v>テストユニット43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10044</v>
          </cell>
          <cell r="B1745" t="str">
            <v>ja</v>
          </cell>
          <cell r="C1745" t="str">
            <v>テストユニット44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10045</v>
          </cell>
          <cell r="B1746" t="str">
            <v>ja</v>
          </cell>
          <cell r="C1746" t="str">
            <v>テストユニット45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10046</v>
          </cell>
          <cell r="B1747" t="str">
            <v>ja</v>
          </cell>
          <cell r="C1747" t="str">
            <v>テストユニット46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10047</v>
          </cell>
          <cell r="B1748" t="str">
            <v>ja</v>
          </cell>
          <cell r="C1748" t="str">
            <v>テストユニット47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10048</v>
          </cell>
          <cell r="B1749" t="str">
            <v>ja</v>
          </cell>
          <cell r="C1749" t="str">
            <v>テストユニット48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10049</v>
          </cell>
          <cell r="B1750" t="str">
            <v>ja</v>
          </cell>
          <cell r="C1750" t="str">
            <v>テストユニット49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10050</v>
          </cell>
          <cell r="B1751" t="str">
            <v>ja</v>
          </cell>
          <cell r="C1751" t="str">
            <v>テストユニット50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10051</v>
          </cell>
          <cell r="B1752" t="str">
            <v>ja</v>
          </cell>
          <cell r="C1752" t="str">
            <v>テストユニット51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10052</v>
          </cell>
          <cell r="B1753" t="str">
            <v>ja</v>
          </cell>
          <cell r="C1753" t="str">
            <v>テストユニット52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10053</v>
          </cell>
          <cell r="B1754" t="str">
            <v>ja</v>
          </cell>
          <cell r="C1754" t="str">
            <v>テストユニット53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10054</v>
          </cell>
          <cell r="B1755" t="str">
            <v>ja</v>
          </cell>
          <cell r="C1755" t="str">
            <v>テストユニット54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10055</v>
          </cell>
          <cell r="B1756" t="str">
            <v>ja</v>
          </cell>
          <cell r="C1756" t="str">
            <v>テストユニット55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10056</v>
          </cell>
          <cell r="B1757" t="str">
            <v>ja</v>
          </cell>
          <cell r="C1757" t="str">
            <v>テストユニット56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10057</v>
          </cell>
          <cell r="B1758" t="str">
            <v>ja</v>
          </cell>
          <cell r="C1758" t="str">
            <v>テストユニット57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10058</v>
          </cell>
          <cell r="B1759" t="str">
            <v>ja</v>
          </cell>
          <cell r="C1759" t="str">
            <v>テストユニット58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10059</v>
          </cell>
          <cell r="B1760" t="str">
            <v>ja</v>
          </cell>
          <cell r="C1760" t="str">
            <v>テストユニット59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10060</v>
          </cell>
          <cell r="B1761" t="str">
            <v>ja</v>
          </cell>
          <cell r="C1761" t="str">
            <v>テストユニット60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10061</v>
          </cell>
          <cell r="B1762" t="str">
            <v>ja</v>
          </cell>
          <cell r="C1762" t="str">
            <v>テストユニット61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10062</v>
          </cell>
          <cell r="B1763" t="str">
            <v>ja</v>
          </cell>
          <cell r="C1763" t="str">
            <v>テストユニット62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10063</v>
          </cell>
          <cell r="B1764" t="str">
            <v>ja</v>
          </cell>
          <cell r="C1764" t="str">
            <v>テストユニット63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10064</v>
          </cell>
          <cell r="B1765" t="str">
            <v>ja</v>
          </cell>
          <cell r="C1765" t="str">
            <v>テストユニット64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10065</v>
          </cell>
          <cell r="B1766" t="str">
            <v>ja</v>
          </cell>
          <cell r="C1766" t="str">
            <v>テストユニット65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10066</v>
          </cell>
          <cell r="B1767" t="str">
            <v>ja</v>
          </cell>
          <cell r="C1767" t="str">
            <v>テストユニット66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10067</v>
          </cell>
          <cell r="B1768" t="str">
            <v>ja</v>
          </cell>
          <cell r="C1768" t="str">
            <v>テストユニット67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10068</v>
          </cell>
          <cell r="B1769" t="str">
            <v>ja</v>
          </cell>
          <cell r="C1769" t="str">
            <v>テストユニット68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10069</v>
          </cell>
          <cell r="B1770" t="str">
            <v>ja</v>
          </cell>
          <cell r="C1770" t="str">
            <v>テストユニット69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10070</v>
          </cell>
          <cell r="B1771" t="str">
            <v>ja</v>
          </cell>
          <cell r="C1771" t="str">
            <v>覚醒元(R5)</v>
          </cell>
          <cell r="H1771" t="str">
            <v>red</v>
          </cell>
          <cell r="I1771">
            <v>5</v>
          </cell>
          <cell r="J1771" t="str">
            <v>PremiumSSS</v>
          </cell>
          <cell r="K1771" t="str">
            <v>balance</v>
          </cell>
          <cell r="L1771" t="str">
            <v>バランスタイプ</v>
          </cell>
          <cell r="M1771" t="str">
            <v>dragon</v>
          </cell>
        </row>
        <row r="1772">
          <cell r="A1772">
            <v>10071</v>
          </cell>
          <cell r="B1772" t="str">
            <v>ja</v>
          </cell>
          <cell r="C1772" t="str">
            <v>通常覚醒(R6)</v>
          </cell>
          <cell r="H1772" t="str">
            <v>red</v>
          </cell>
          <cell r="I1772">
            <v>6</v>
          </cell>
          <cell r="J1772" t="str">
            <v>PremiumSSS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10072</v>
          </cell>
          <cell r="B1773" t="str">
            <v>ja</v>
          </cell>
          <cell r="C1773" t="str">
            <v>超覚醒A(R6)</v>
          </cell>
          <cell r="H1773" t="str">
            <v>green</v>
          </cell>
          <cell r="I1773">
            <v>6</v>
          </cell>
          <cell r="J1773" t="str">
            <v>PremiumSSS</v>
          </cell>
          <cell r="K1773" t="str">
            <v>heal</v>
          </cell>
          <cell r="L1773" t="str">
            <v>回復タイプ</v>
          </cell>
          <cell r="M1773" t="str">
            <v>unknown</v>
          </cell>
        </row>
        <row r="1774">
          <cell r="A1774">
            <v>10073</v>
          </cell>
          <cell r="B1774" t="str">
            <v>ja</v>
          </cell>
          <cell r="C1774" t="str">
            <v>超覚醒B(R6)</v>
          </cell>
          <cell r="H1774" t="str">
            <v>green</v>
          </cell>
          <cell r="I1774">
            <v>6</v>
          </cell>
          <cell r="J1774" t="str">
            <v>PremiumSSS</v>
          </cell>
          <cell r="K1774" t="str">
            <v>attack</v>
          </cell>
          <cell r="L1774" t="str">
            <v>攻撃タイプ</v>
          </cell>
          <cell r="M1774" t="str">
            <v>samurai</v>
          </cell>
        </row>
        <row r="1775">
          <cell r="A1775">
            <v>10074</v>
          </cell>
          <cell r="B1775" t="str">
            <v>ja</v>
          </cell>
          <cell r="C1775" t="str">
            <v>超覚醒C(R6)</v>
          </cell>
          <cell r="H1775" t="str">
            <v>blue</v>
          </cell>
          <cell r="I1775">
            <v>6</v>
          </cell>
          <cell r="J1775" t="str">
            <v>PremiumSSS</v>
          </cell>
          <cell r="K1775" t="str">
            <v>balance</v>
          </cell>
          <cell r="L1775" t="str">
            <v>バランスタイプ</v>
          </cell>
          <cell r="M1775" t="str">
            <v>fantasy</v>
          </cell>
        </row>
        <row r="1776">
          <cell r="A1776">
            <v>10075</v>
          </cell>
          <cell r="B1776" t="str">
            <v>ja</v>
          </cell>
          <cell r="C1776" t="str">
            <v>テストユニット75</v>
          </cell>
          <cell r="H1776" t="str">
            <v>blue</v>
          </cell>
          <cell r="I1776">
            <v>6</v>
          </cell>
          <cell r="J1776" t="str">
            <v>PremiumSSS</v>
          </cell>
          <cell r="K1776" t="str">
            <v>balance</v>
          </cell>
          <cell r="L1776" t="str">
            <v>バランスタイプ</v>
          </cell>
          <cell r="M1776" t="str">
            <v>human</v>
          </cell>
        </row>
        <row r="1777">
          <cell r="A1777">
            <v>10076</v>
          </cell>
          <cell r="B1777" t="str">
            <v>ja</v>
          </cell>
          <cell r="C1777" t="str">
            <v>テストユニット76</v>
          </cell>
          <cell r="H1777" t="str">
            <v>blue</v>
          </cell>
          <cell r="I1777">
            <v>6</v>
          </cell>
          <cell r="J1777" t="str">
            <v>PremiumSSS</v>
          </cell>
          <cell r="K1777" t="str">
            <v>hp</v>
          </cell>
          <cell r="L1777" t="str">
            <v>体力タイプ</v>
          </cell>
          <cell r="M1777" t="str">
            <v>weapon</v>
          </cell>
        </row>
        <row r="1778">
          <cell r="A1778">
            <v>10077</v>
          </cell>
          <cell r="B1778" t="str">
            <v>ja</v>
          </cell>
          <cell r="C1778" t="str">
            <v>テストユニット77</v>
          </cell>
          <cell r="H1778" t="str">
            <v>yellow</v>
          </cell>
          <cell r="I1778">
            <v>6</v>
          </cell>
          <cell r="J1778" t="str">
            <v>PremiumSSS</v>
          </cell>
          <cell r="K1778" t="str">
            <v>heal</v>
          </cell>
          <cell r="L1778" t="str">
            <v>回復タイプ</v>
          </cell>
          <cell r="M1778" t="str">
            <v>queen</v>
          </cell>
        </row>
        <row r="1779">
          <cell r="A1779">
            <v>10078</v>
          </cell>
          <cell r="B1779" t="str">
            <v>ja</v>
          </cell>
          <cell r="C1779" t="str">
            <v>テストユニット78</v>
          </cell>
          <cell r="H1779" t="str">
            <v>yellow</v>
          </cell>
          <cell r="I1779">
            <v>6</v>
          </cell>
          <cell r="J1779" t="str">
            <v>PremiumSSS</v>
          </cell>
          <cell r="K1779" t="str">
            <v>attack</v>
          </cell>
          <cell r="L1779" t="str">
            <v>攻撃タイプ</v>
          </cell>
          <cell r="M1779" t="str">
            <v>academia</v>
          </cell>
        </row>
        <row r="1780">
          <cell r="A1780">
            <v>10079</v>
          </cell>
          <cell r="B1780" t="str">
            <v>ja</v>
          </cell>
          <cell r="C1780" t="str">
            <v>テストユニット79</v>
          </cell>
          <cell r="H1780" t="str">
            <v>yellow</v>
          </cell>
          <cell r="I1780">
            <v>6</v>
          </cell>
          <cell r="J1780" t="str">
            <v>PremiumSSS</v>
          </cell>
          <cell r="K1780" t="str">
            <v>technical</v>
          </cell>
          <cell r="L1780" t="str">
            <v>テクニカルタイプ</v>
          </cell>
          <cell r="M1780" t="str">
            <v>animal</v>
          </cell>
        </row>
        <row r="1781">
          <cell r="A1781">
            <v>10080</v>
          </cell>
          <cell r="B1781" t="str">
            <v>ja</v>
          </cell>
          <cell r="C1781" t="str">
            <v>テストユニット80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10081</v>
          </cell>
          <cell r="B1782" t="str">
            <v>ja</v>
          </cell>
          <cell r="C1782" t="str">
            <v>テストユニット81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10082</v>
          </cell>
          <cell r="B1783" t="str">
            <v>ja</v>
          </cell>
          <cell r="C1783" t="str">
            <v>テストユニット82</v>
          </cell>
          <cell r="H1783" t="str">
            <v>blue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10083</v>
          </cell>
          <cell r="B1784" t="str">
            <v>ja</v>
          </cell>
          <cell r="C1784" t="str">
            <v>テストユニット83</v>
          </cell>
          <cell r="H1784" t="str">
            <v>green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10084</v>
          </cell>
          <cell r="B1785" t="str">
            <v>ja</v>
          </cell>
          <cell r="C1785" t="str">
            <v>テストユニット84</v>
          </cell>
          <cell r="H1785" t="str">
            <v>yellow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10085</v>
          </cell>
          <cell r="B1786" t="str">
            <v>ja</v>
          </cell>
          <cell r="C1786" t="str">
            <v>テストユニット85</v>
          </cell>
          <cell r="H1786" t="str">
            <v>red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10086</v>
          </cell>
          <cell r="B1787" t="str">
            <v>ja</v>
          </cell>
          <cell r="C1787" t="str">
            <v>テストユニット86</v>
          </cell>
          <cell r="H1787" t="str">
            <v>blue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10087</v>
          </cell>
          <cell r="B1788" t="str">
            <v>ja</v>
          </cell>
          <cell r="C1788" t="str">
            <v>テストユニット87</v>
          </cell>
          <cell r="H1788" t="str">
            <v>green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10088</v>
          </cell>
          <cell r="B1789" t="str">
            <v>ja</v>
          </cell>
          <cell r="C1789" t="str">
            <v>テストユニット88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10089</v>
          </cell>
          <cell r="B1790" t="str">
            <v>ja</v>
          </cell>
          <cell r="C1790" t="str">
            <v>テストユニット89</v>
          </cell>
          <cell r="H1790" t="str">
            <v>red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10090</v>
          </cell>
          <cell r="B1791" t="str">
            <v>ja</v>
          </cell>
          <cell r="C1791" t="str">
            <v>テストユニット90</v>
          </cell>
          <cell r="H1791" t="str">
            <v>blue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10101</v>
          </cell>
          <cell r="B1792" t="str">
            <v>ja</v>
          </cell>
          <cell r="C1792" t="str">
            <v>Usagi-kun</v>
          </cell>
          <cell r="H1792" t="str">
            <v>blue</v>
          </cell>
          <cell r="I1792">
            <v>6</v>
          </cell>
          <cell r="J1792" t="str">
            <v>DropWizS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10102</v>
          </cell>
          <cell r="B1793" t="str">
            <v>ja</v>
          </cell>
          <cell r="C1793" t="str">
            <v>ローズ</v>
          </cell>
          <cell r="D1793" t="str">
            <v>未定</v>
          </cell>
          <cell r="E1793" t="str">
            <v>執行者</v>
          </cell>
          <cell r="F1793" t="str">
            <v>格好いい</v>
          </cell>
          <cell r="G1793" t="str">
            <v>不明</v>
          </cell>
          <cell r="H1793" t="str">
            <v>red</v>
          </cell>
          <cell r="I1793">
            <v>3</v>
          </cell>
          <cell r="J1793" t="str">
            <v>DropWizSSS</v>
          </cell>
          <cell r="K1793" t="str">
            <v>attack</v>
          </cell>
          <cell r="L1793" t="str">
            <v>攻撃タイプ</v>
          </cell>
          <cell r="M1793" t="str">
            <v>queen</v>
          </cell>
        </row>
        <row r="1794">
          <cell r="A1794">
            <v>10103</v>
          </cell>
          <cell r="B1794" t="str">
            <v>ja</v>
          </cell>
          <cell r="C1794" t="str">
            <v>ローズ</v>
          </cell>
          <cell r="D1794" t="str">
            <v>未定</v>
          </cell>
          <cell r="E1794" t="str">
            <v>執行者</v>
          </cell>
          <cell r="F1794" t="str">
            <v>格好いい</v>
          </cell>
          <cell r="G1794" t="str">
            <v>不明</v>
          </cell>
          <cell r="H1794" t="str">
            <v>red</v>
          </cell>
          <cell r="I1794">
            <v>4</v>
          </cell>
          <cell r="J1794" t="str">
            <v>DropWizSSS</v>
          </cell>
          <cell r="K1794" t="str">
            <v>attack</v>
          </cell>
          <cell r="L1794" t="str">
            <v>攻撃タイプ</v>
          </cell>
          <cell r="M179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2" customWidth="1"/>
    <col min="2" max="16384" width="13" style="62"/>
  </cols>
  <sheetData>
    <row r="1" spans="1:13" x14ac:dyDescent="0.15">
      <c r="A1" s="62" t="s">
        <v>111</v>
      </c>
      <c r="B1" s="62" t="s">
        <v>112</v>
      </c>
    </row>
    <row r="2" spans="1:13" x14ac:dyDescent="0.15">
      <c r="A2" s="62" t="s">
        <v>113</v>
      </c>
      <c r="B2" s="62" t="s">
        <v>114</v>
      </c>
      <c r="C2" s="62" t="s">
        <v>115</v>
      </c>
      <c r="D2" s="62" t="s">
        <v>116</v>
      </c>
      <c r="E2" s="62" t="s">
        <v>117</v>
      </c>
      <c r="F2" s="62" t="s">
        <v>118</v>
      </c>
      <c r="G2" s="62" t="s">
        <v>119</v>
      </c>
      <c r="H2" s="62" t="s">
        <v>120</v>
      </c>
    </row>
    <row r="3" spans="1:13" x14ac:dyDescent="0.15">
      <c r="A3" s="62">
        <v>3</v>
      </c>
      <c r="B3" s="63" t="s">
        <v>121</v>
      </c>
      <c r="C3" s="63" t="s">
        <v>122</v>
      </c>
      <c r="D3" s="62">
        <v>0</v>
      </c>
      <c r="E3" s="63" t="s">
        <v>123</v>
      </c>
      <c r="F3" s="62">
        <v>0</v>
      </c>
      <c r="G3" s="62">
        <v>0</v>
      </c>
      <c r="H3" s="64">
        <v>0.5</v>
      </c>
    </row>
    <row r="4" spans="1:13" x14ac:dyDescent="0.15">
      <c r="A4" s="62">
        <v>4</v>
      </c>
      <c r="B4" s="63" t="s">
        <v>124</v>
      </c>
      <c r="C4" s="63" t="s">
        <v>125</v>
      </c>
      <c r="D4" s="63" t="s">
        <v>126</v>
      </c>
      <c r="E4" s="63" t="s">
        <v>127</v>
      </c>
      <c r="F4" s="63" t="s">
        <v>128</v>
      </c>
      <c r="G4" s="62">
        <v>0</v>
      </c>
      <c r="H4" s="64">
        <v>0.45</v>
      </c>
    </row>
    <row r="5" spans="1:13" x14ac:dyDescent="0.15">
      <c r="A5" s="62">
        <v>5</v>
      </c>
      <c r="B5" s="65">
        <v>0</v>
      </c>
      <c r="C5" s="63" t="s">
        <v>129</v>
      </c>
      <c r="D5" s="63" t="s">
        <v>130</v>
      </c>
      <c r="E5" s="63" t="s">
        <v>131</v>
      </c>
      <c r="F5" s="63" t="s">
        <v>132</v>
      </c>
      <c r="G5" s="63" t="s">
        <v>133</v>
      </c>
      <c r="H5" s="64">
        <v>0.05</v>
      </c>
    </row>
    <row r="6" spans="1:13" x14ac:dyDescent="0.15">
      <c r="B6" s="64" t="s">
        <v>134</v>
      </c>
      <c r="C6" s="64" t="s">
        <v>134</v>
      </c>
      <c r="D6" s="64" t="s">
        <v>135</v>
      </c>
      <c r="E6" s="64" t="s">
        <v>134</v>
      </c>
      <c r="F6" s="64" t="s">
        <v>134</v>
      </c>
      <c r="G6" s="66" t="s">
        <v>136</v>
      </c>
      <c r="H6" s="64">
        <v>1</v>
      </c>
    </row>
    <row r="7" spans="1:13" x14ac:dyDescent="0.15">
      <c r="B7" s="64"/>
      <c r="C7" s="64"/>
      <c r="D7" s="64"/>
      <c r="E7" s="64"/>
      <c r="F7" s="64"/>
      <c r="G7" s="66"/>
      <c r="H7" s="64"/>
    </row>
    <row r="8" spans="1:13" x14ac:dyDescent="0.15">
      <c r="A8" s="62" t="s">
        <v>137</v>
      </c>
      <c r="B8" s="64"/>
      <c r="C8" s="64"/>
      <c r="D8" s="64"/>
      <c r="E8" s="64"/>
      <c r="F8" s="64"/>
      <c r="G8" s="66"/>
      <c r="H8" s="64"/>
    </row>
    <row r="9" spans="1:13" x14ac:dyDescent="0.15">
      <c r="A9" s="62" t="s">
        <v>138</v>
      </c>
      <c r="B9" s="64"/>
      <c r="C9" s="64"/>
      <c r="D9" s="64"/>
      <c r="E9" s="64"/>
      <c r="F9" s="64"/>
      <c r="G9" s="66"/>
      <c r="H9" s="64"/>
    </row>
    <row r="10" spans="1:13" x14ac:dyDescent="0.15">
      <c r="A10" s="62" t="s">
        <v>139</v>
      </c>
      <c r="B10" s="64"/>
      <c r="C10" s="64"/>
      <c r="D10" s="64"/>
      <c r="E10" s="64"/>
      <c r="F10" s="64"/>
      <c r="G10" s="66"/>
      <c r="H10" s="64"/>
    </row>
    <row r="11" spans="1:13" x14ac:dyDescent="0.15">
      <c r="A11" s="62" t="s">
        <v>140</v>
      </c>
      <c r="B11" s="64"/>
      <c r="C11" s="64"/>
      <c r="D11" s="64"/>
      <c r="E11" s="64"/>
      <c r="F11" s="64"/>
      <c r="G11" s="66"/>
      <c r="H11" s="64"/>
    </row>
    <row r="12" spans="1:13" x14ac:dyDescent="0.15">
      <c r="A12" s="62" t="s">
        <v>133</v>
      </c>
      <c r="B12" s="64" t="s">
        <v>141</v>
      </c>
      <c r="C12" s="64" t="s">
        <v>142</v>
      </c>
      <c r="D12" s="64"/>
      <c r="E12" s="64"/>
      <c r="F12" s="64"/>
      <c r="G12" s="66"/>
      <c r="H12" s="64"/>
    </row>
    <row r="13" spans="1:13" x14ac:dyDescent="0.15">
      <c r="A13" s="62" t="s">
        <v>143</v>
      </c>
      <c r="B13" s="62" t="s">
        <v>144</v>
      </c>
      <c r="C13" s="62" t="s">
        <v>145</v>
      </c>
    </row>
    <row r="14" spans="1:13" x14ac:dyDescent="0.15">
      <c r="A14" s="62" t="s">
        <v>146</v>
      </c>
      <c r="B14" s="62" t="s">
        <v>141</v>
      </c>
      <c r="C14" s="65" t="s">
        <v>147</v>
      </c>
      <c r="E14" s="65"/>
      <c r="F14" s="65"/>
      <c r="M14" s="64"/>
    </row>
    <row r="15" spans="1:13" x14ac:dyDescent="0.15">
      <c r="A15" s="62" t="s">
        <v>123</v>
      </c>
      <c r="B15" s="64" t="s">
        <v>141</v>
      </c>
      <c r="C15" s="64" t="s">
        <v>148</v>
      </c>
      <c r="H15" s="67"/>
      <c r="M15" s="64"/>
    </row>
    <row r="16" spans="1:13" x14ac:dyDescent="0.15">
      <c r="A16" s="62" t="s">
        <v>127</v>
      </c>
      <c r="B16" s="64" t="s">
        <v>141</v>
      </c>
      <c r="C16" s="64" t="s">
        <v>149</v>
      </c>
      <c r="M16" s="64"/>
    </row>
    <row r="17" spans="1:13" x14ac:dyDescent="0.15">
      <c r="A17" s="62" t="s">
        <v>150</v>
      </c>
      <c r="B17" s="64" t="s">
        <v>141</v>
      </c>
      <c r="C17" s="64" t="s">
        <v>151</v>
      </c>
      <c r="M17" s="64"/>
    </row>
    <row r="18" spans="1:13" x14ac:dyDescent="0.15">
      <c r="B18" s="64"/>
      <c r="C18" s="64"/>
    </row>
    <row r="19" spans="1:13" x14ac:dyDescent="0.15">
      <c r="A19" s="62" t="s">
        <v>152</v>
      </c>
    </row>
    <row r="20" spans="1:13" x14ac:dyDescent="0.15">
      <c r="A20" s="62" t="s">
        <v>153</v>
      </c>
      <c r="B20" s="64"/>
      <c r="C20" s="64"/>
    </row>
    <row r="21" spans="1:13" x14ac:dyDescent="0.15">
      <c r="A21" s="62" t="s">
        <v>154</v>
      </c>
      <c r="B21" s="64" t="s">
        <v>155</v>
      </c>
      <c r="C21" s="64" t="s">
        <v>156</v>
      </c>
      <c r="D21" s="62" t="s">
        <v>157</v>
      </c>
    </row>
    <row r="22" spans="1:13" x14ac:dyDescent="0.15">
      <c r="A22" s="62" t="s">
        <v>158</v>
      </c>
      <c r="B22" s="64" t="s">
        <v>141</v>
      </c>
      <c r="C22" s="64" t="s">
        <v>159</v>
      </c>
      <c r="D22" s="62" t="s">
        <v>160</v>
      </c>
    </row>
    <row r="23" spans="1:13" x14ac:dyDescent="0.15">
      <c r="A23" s="62" t="s">
        <v>161</v>
      </c>
      <c r="B23" s="64" t="s">
        <v>141</v>
      </c>
      <c r="C23" s="62" t="s">
        <v>162</v>
      </c>
      <c r="D23" s="62" t="s">
        <v>163</v>
      </c>
    </row>
    <row r="24" spans="1:13" x14ac:dyDescent="0.15">
      <c r="A24" s="62" t="s">
        <v>164</v>
      </c>
      <c r="B24" s="64" t="s">
        <v>141</v>
      </c>
      <c r="C24" s="64" t="s">
        <v>165</v>
      </c>
      <c r="D24" s="62" t="s">
        <v>166</v>
      </c>
    </row>
    <row r="25" spans="1:13" x14ac:dyDescent="0.15">
      <c r="A25" s="62" t="s">
        <v>167</v>
      </c>
      <c r="B25" s="64" t="s">
        <v>141</v>
      </c>
      <c r="C25" s="64" t="s">
        <v>168</v>
      </c>
      <c r="D25" s="62" t="s">
        <v>169</v>
      </c>
    </row>
    <row r="26" spans="1:13" x14ac:dyDescent="0.15">
      <c r="A26" s="62" t="s">
        <v>170</v>
      </c>
      <c r="B26" s="64" t="s">
        <v>141</v>
      </c>
      <c r="C26" s="64" t="s">
        <v>171</v>
      </c>
      <c r="D26" s="62" t="s">
        <v>172</v>
      </c>
    </row>
    <row r="27" spans="1:13" x14ac:dyDescent="0.15">
      <c r="A27" s="62" t="s">
        <v>173</v>
      </c>
      <c r="B27" s="64" t="s">
        <v>141</v>
      </c>
      <c r="C27" s="64" t="s">
        <v>135</v>
      </c>
      <c r="D27" s="62" t="s">
        <v>174</v>
      </c>
      <c r="E27" s="62" t="s">
        <v>175</v>
      </c>
    </row>
    <row r="28" spans="1:13" x14ac:dyDescent="0.15">
      <c r="A28" s="62" t="s">
        <v>122</v>
      </c>
      <c r="B28" s="64" t="s">
        <v>141</v>
      </c>
      <c r="C28" s="64" t="s">
        <v>176</v>
      </c>
      <c r="E28" s="62" t="s">
        <v>177</v>
      </c>
    </row>
    <row r="29" spans="1:13" x14ac:dyDescent="0.15">
      <c r="A29" s="62" t="s">
        <v>125</v>
      </c>
      <c r="B29" s="64" t="s">
        <v>141</v>
      </c>
      <c r="C29" s="64" t="s">
        <v>178</v>
      </c>
    </row>
    <row r="30" spans="1:13" x14ac:dyDescent="0.15">
      <c r="B30" s="64"/>
    </row>
    <row r="31" spans="1:13" x14ac:dyDescent="0.15">
      <c r="A31" s="62" t="s">
        <v>179</v>
      </c>
    </row>
    <row r="32" spans="1:13" x14ac:dyDescent="0.15">
      <c r="A32" s="62" t="s">
        <v>180</v>
      </c>
      <c r="B32" s="64" t="s">
        <v>141</v>
      </c>
      <c r="C32" s="64" t="s">
        <v>181</v>
      </c>
    </row>
    <row r="33" spans="1:13" x14ac:dyDescent="0.15">
      <c r="A33" s="62" t="s">
        <v>125</v>
      </c>
      <c r="B33" s="64" t="s">
        <v>141</v>
      </c>
      <c r="C33" s="64" t="s">
        <v>182</v>
      </c>
    </row>
    <row r="34" spans="1:13" x14ac:dyDescent="0.15">
      <c r="A34" s="62" t="s">
        <v>122</v>
      </c>
      <c r="B34" s="64" t="s">
        <v>141</v>
      </c>
      <c r="C34" s="64" t="s">
        <v>183</v>
      </c>
    </row>
    <row r="35" spans="1:13" x14ac:dyDescent="0.15">
      <c r="A35" s="62" t="s">
        <v>121</v>
      </c>
      <c r="B35" s="64" t="s">
        <v>141</v>
      </c>
      <c r="C35" s="64" t="s">
        <v>184</v>
      </c>
    </row>
    <row r="36" spans="1:13" x14ac:dyDescent="0.15">
      <c r="A36" s="62" t="s">
        <v>124</v>
      </c>
      <c r="B36" s="64" t="s">
        <v>141</v>
      </c>
      <c r="C36" s="64" t="s">
        <v>185</v>
      </c>
    </row>
    <row r="37" spans="1:13" x14ac:dyDescent="0.15">
      <c r="A37" s="62" t="s">
        <v>130</v>
      </c>
      <c r="B37" s="64" t="s">
        <v>141</v>
      </c>
      <c r="C37" s="64" t="s">
        <v>186</v>
      </c>
    </row>
    <row r="38" spans="1:13" x14ac:dyDescent="0.15">
      <c r="A38" s="62" t="s">
        <v>126</v>
      </c>
      <c r="B38" s="64" t="s">
        <v>141</v>
      </c>
      <c r="C38" s="64" t="s">
        <v>187</v>
      </c>
    </row>
    <row r="40" spans="1:13" x14ac:dyDescent="0.15">
      <c r="J40" s="81" t="s">
        <v>213</v>
      </c>
      <c r="K40" s="81" t="s">
        <v>190</v>
      </c>
      <c r="M40" s="81" t="s">
        <v>238</v>
      </c>
    </row>
    <row r="41" spans="1:13" x14ac:dyDescent="0.15">
      <c r="J41" s="81" t="s">
        <v>214</v>
      </c>
      <c r="K41" s="81" t="s">
        <v>215</v>
      </c>
      <c r="M41" s="64" t="s">
        <v>185</v>
      </c>
    </row>
    <row r="42" spans="1:13" x14ac:dyDescent="0.15">
      <c r="J42" s="81" t="s">
        <v>216</v>
      </c>
      <c r="K42" s="81" t="s">
        <v>217</v>
      </c>
    </row>
    <row r="43" spans="1:13" x14ac:dyDescent="0.15">
      <c r="J43" s="81" t="s">
        <v>218</v>
      </c>
      <c r="K43" s="81" t="s">
        <v>219</v>
      </c>
    </row>
    <row r="44" spans="1:13" x14ac:dyDescent="0.15">
      <c r="J44" s="81" t="s">
        <v>220</v>
      </c>
      <c r="K44" s="81" t="s">
        <v>221</v>
      </c>
    </row>
    <row r="45" spans="1:13" x14ac:dyDescent="0.15">
      <c r="J45" s="81" t="s">
        <v>222</v>
      </c>
      <c r="K45" s="81" t="s">
        <v>223</v>
      </c>
    </row>
    <row r="46" spans="1:13" x14ac:dyDescent="0.15">
      <c r="J46" s="81" t="s">
        <v>224</v>
      </c>
      <c r="K46" s="81" t="s">
        <v>225</v>
      </c>
    </row>
    <row r="47" spans="1:13" x14ac:dyDescent="0.15">
      <c r="J47" s="81" t="s">
        <v>226</v>
      </c>
      <c r="K47" s="81" t="s">
        <v>230</v>
      </c>
    </row>
    <row r="48" spans="1:13" x14ac:dyDescent="0.15">
      <c r="J48" s="81" t="s">
        <v>227</v>
      </c>
      <c r="K48" s="81" t="s">
        <v>231</v>
      </c>
    </row>
    <row r="49" spans="10:11" x14ac:dyDescent="0.15">
      <c r="J49" s="81" t="s">
        <v>228</v>
      </c>
      <c r="K49" s="81" t="s">
        <v>232</v>
      </c>
    </row>
    <row r="50" spans="10:11" x14ac:dyDescent="0.15">
      <c r="J50" s="81" t="s">
        <v>229</v>
      </c>
      <c r="K50" s="81" t="s">
        <v>233</v>
      </c>
    </row>
    <row r="51" spans="10:11" x14ac:dyDescent="0.15">
      <c r="J51" s="81" t="s">
        <v>235</v>
      </c>
      <c r="K51" s="81" t="s">
        <v>234</v>
      </c>
    </row>
    <row r="52" spans="10:11" x14ac:dyDescent="0.15">
      <c r="J52" s="81" t="s">
        <v>236</v>
      </c>
      <c r="K52" s="81" t="s">
        <v>237</v>
      </c>
    </row>
    <row r="53" spans="10:11" x14ac:dyDescent="0.15">
      <c r="J53" s="81"/>
    </row>
  </sheetData>
  <phoneticPr fontId="23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8" t="s">
        <v>246</v>
      </c>
      <c r="B2" s="59" t="s">
        <v>110</v>
      </c>
      <c r="C2" s="48" t="str">
        <f t="shared" ref="C2" si="0">RIGHT(F2,6)</f>
        <v>583100</v>
      </c>
      <c r="D2" s="19" t="s">
        <v>45</v>
      </c>
      <c r="E2" s="17" t="str">
        <f t="shared" ref="E2" si="1">B2&amp;C2&amp;D2</f>
        <v>gacha_select_tables_583100.tmp</v>
      </c>
      <c r="F2" s="103" t="s">
        <v>253</v>
      </c>
      <c r="G2" s="47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5" t="s">
        <v>241</v>
      </c>
      <c r="B3" s="59" t="s">
        <v>110</v>
      </c>
      <c r="C3" s="48" t="str">
        <f t="shared" ref="C3:C7" si="2">RIGHT(F3,6)</f>
        <v>532010</v>
      </c>
      <c r="D3" s="19" t="s">
        <v>45</v>
      </c>
      <c r="E3" s="17" t="str">
        <f t="shared" ref="E3:E10" si="3">B3&amp;C3&amp;D3</f>
        <v>gacha_select_tables_532010.tmp</v>
      </c>
      <c r="F3" s="96" t="s">
        <v>252</v>
      </c>
      <c r="G3" s="47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251</v>
      </c>
      <c r="B4" s="91" t="s">
        <v>247</v>
      </c>
      <c r="C4" s="92" t="str">
        <f t="shared" si="2"/>
        <v>443100</v>
      </c>
      <c r="D4" s="19" t="s">
        <v>248</v>
      </c>
      <c r="E4" s="17" t="str">
        <f t="shared" si="3"/>
        <v>gacha_settle_tables_443100.tmp</v>
      </c>
      <c r="F4" s="94" t="s">
        <v>249</v>
      </c>
      <c r="G4" s="47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4" t="s">
        <v>241</v>
      </c>
      <c r="B5" s="59" t="s">
        <v>110</v>
      </c>
      <c r="C5" s="48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7" t="s">
        <v>243</v>
      </c>
      <c r="G5" s="47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4" t="s">
        <v>241</v>
      </c>
      <c r="B6" s="59" t="s">
        <v>110</v>
      </c>
      <c r="C6" s="48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7" t="s">
        <v>244</v>
      </c>
      <c r="G6" s="47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4" t="s">
        <v>241</v>
      </c>
      <c r="B7" s="59" t="s">
        <v>110</v>
      </c>
      <c r="C7" s="48" t="str">
        <f t="shared" si="2"/>
        <v>363100</v>
      </c>
      <c r="D7" s="19" t="s">
        <v>45</v>
      </c>
      <c r="E7" s="17" t="str">
        <f t="shared" si="4"/>
        <v>gacha_select_tables_363100.tmp</v>
      </c>
      <c r="F7" s="87" t="s">
        <v>245</v>
      </c>
      <c r="G7" s="47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4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4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49" t="s">
        <v>7</v>
      </c>
      <c r="P9" s="49" t="s">
        <v>9</v>
      </c>
      <c r="Q9" s="49" t="s">
        <v>6</v>
      </c>
      <c r="R9" s="49" t="s">
        <v>86</v>
      </c>
      <c r="S9" s="49" t="s">
        <v>8</v>
      </c>
      <c r="T9" s="49" t="s">
        <v>87</v>
      </c>
      <c r="U9" s="49" t="s">
        <v>5</v>
      </c>
    </row>
    <row r="10" spans="1:21" x14ac:dyDescent="0.15">
      <c r="A10" s="84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abSelected="1" topLeftCell="A2" workbookViewId="0">
      <selection activeCell="F48" sqref="F4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6" t="s">
        <v>82</v>
      </c>
      <c r="B1" s="46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583100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2" t="s">
        <v>73</v>
      </c>
      <c r="U2" s="33" t="s">
        <v>190</v>
      </c>
      <c r="V2" s="52">
        <f t="shared" ref="V2:V16" si="0">SUMIF(Q:Q,U2,N:N)</f>
        <v>0</v>
      </c>
    </row>
    <row r="3" spans="1:22" x14ac:dyDescent="0.15">
      <c r="H3" s="71" t="s">
        <v>211</v>
      </c>
      <c r="L3" s="58">
        <v>1490</v>
      </c>
      <c r="M3" s="37" t="str">
        <f>VLOOKUP(L3,[1]characters!$A:$C,3,FALSE)</f>
        <v>パラケルススR5</v>
      </c>
      <c r="N3" s="61">
        <v>1.0000000000000001E-5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VLOOKUP(L3,tables_583100!B:C,2,FALSE)</f>
        <v>PremiumSSS5R3less</v>
      </c>
      <c r="R3" s="60">
        <f t="shared" ref="R3:R20" si="1">N3*A$36</f>
        <v>1363.2</v>
      </c>
      <c r="S3">
        <v>190</v>
      </c>
      <c r="U3" s="33" t="s">
        <v>191</v>
      </c>
      <c r="V3" s="52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58"/>
      <c r="M4" s="37" t="e">
        <f>VLOOKUP(L4,[1]characters!$A:$C,3,FALSE)</f>
        <v>#N/A</v>
      </c>
      <c r="N4" s="61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VLOOKUP(L4,tables_583100!B:C,2,FALSE)</f>
        <v>#N/A</v>
      </c>
      <c r="R4" s="60">
        <f t="shared" si="1"/>
        <v>0</v>
      </c>
      <c r="S4">
        <v>191</v>
      </c>
      <c r="U4" s="33" t="s">
        <v>97</v>
      </c>
      <c r="V4" s="52">
        <f t="shared" si="0"/>
        <v>0</v>
      </c>
    </row>
    <row r="5" spans="1:22" x14ac:dyDescent="0.15">
      <c r="A5" s="33" t="s">
        <v>68</v>
      </c>
      <c r="B5" s="70">
        <v>0</v>
      </c>
      <c r="D5" t="s">
        <v>201</v>
      </c>
      <c r="E5" s="41">
        <f>(B11-H5)/(F5-I5)</f>
        <v>7.0408450704225356E-4</v>
      </c>
      <c r="F5">
        <f>(COUNTIF(tables_583100!C:C,input_583100!A28)+COUNTIF(tables_583100!C:C,input_583100!A29))</f>
        <v>72</v>
      </c>
      <c r="H5" s="100">
        <v>1.0000000000000001E-5</v>
      </c>
      <c r="I5" s="31">
        <v>1</v>
      </c>
      <c r="L5" s="58"/>
      <c r="M5" s="37" t="e">
        <f>VLOOKUP(L5,[1]characters!$A:$C,3,FALSE)</f>
        <v>#N/A</v>
      </c>
      <c r="N5" s="61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VLOOKUP(L5,tables_583100!B:C,2,FALSE)</f>
        <v>#N/A</v>
      </c>
      <c r="R5" s="60">
        <f t="shared" si="1"/>
        <v>0</v>
      </c>
      <c r="S5">
        <v>192</v>
      </c>
      <c r="U5" s="33" t="s">
        <v>98</v>
      </c>
      <c r="V5" s="52">
        <f t="shared" si="0"/>
        <v>0</v>
      </c>
    </row>
    <row r="6" spans="1:22" x14ac:dyDescent="0.15">
      <c r="A6" s="33" t="s">
        <v>69</v>
      </c>
      <c r="B6" s="70">
        <v>0.95</v>
      </c>
      <c r="D6" t="s">
        <v>202</v>
      </c>
      <c r="E6" s="74">
        <f>(B10-H6)/(F6-I6)</f>
        <v>9.8957291666666673E-3</v>
      </c>
      <c r="F6">
        <f>(COUNTIF(tables_583100!C:C,input_583100!A25)+COUNTIF(tables_583100!C:C,input_583100!A18)+COUNTIF(tables_583100!C:C,input_583100!A20)+COUNTIF(tables_583100!C:C,input_583100!A22))</f>
        <v>96</v>
      </c>
      <c r="H6" s="86">
        <v>0</v>
      </c>
      <c r="I6" s="31">
        <v>0</v>
      </c>
      <c r="L6" s="89"/>
      <c r="M6" s="37" t="e">
        <f>VLOOKUP(L6,[1]characters!$A:$C,3,FALSE)</f>
        <v>#N/A</v>
      </c>
      <c r="N6" s="61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VLOOKUP(L6,tables_583100!B:C,2,FALSE)</f>
        <v>#N/A</v>
      </c>
      <c r="R6" s="60">
        <f t="shared" si="1"/>
        <v>0</v>
      </c>
      <c r="S6">
        <v>596</v>
      </c>
      <c r="U6" s="33" t="s">
        <v>99</v>
      </c>
      <c r="V6" s="52">
        <f t="shared" si="0"/>
        <v>0</v>
      </c>
    </row>
    <row r="7" spans="1:22" x14ac:dyDescent="0.15">
      <c r="A7" s="33" t="s">
        <v>70</v>
      </c>
      <c r="B7" s="70">
        <v>0.05</v>
      </c>
      <c r="L7" s="58"/>
      <c r="M7" s="37" t="e">
        <f>VLOOKUP(L7,[1]characters!$A:$C,3,FALSE)</f>
        <v>#N/A</v>
      </c>
      <c r="N7" s="61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VLOOKUP(L7,tables_583100!B:C,2,FALSE)</f>
        <v>#N/A</v>
      </c>
      <c r="R7" s="60">
        <f t="shared" si="1"/>
        <v>0</v>
      </c>
      <c r="S7">
        <v>597</v>
      </c>
      <c r="U7" s="33" t="s">
        <v>196</v>
      </c>
      <c r="V7" s="52">
        <f t="shared" si="0"/>
        <v>0</v>
      </c>
    </row>
    <row r="8" spans="1:22" x14ac:dyDescent="0.15">
      <c r="A8" s="55"/>
      <c r="B8" s="69"/>
      <c r="E8" s="74"/>
      <c r="L8" s="58"/>
      <c r="M8" s="37" t="e">
        <f>VLOOKUP(L8,[1]characters!$A:$C,3,FALSE)</f>
        <v>#N/A</v>
      </c>
      <c r="N8" s="61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VLOOKUP(L8,tables_583100!B:C,2,FALSE)</f>
        <v>#N/A</v>
      </c>
      <c r="R8" s="60">
        <f t="shared" si="1"/>
        <v>0</v>
      </c>
      <c r="S8">
        <v>598</v>
      </c>
      <c r="U8" s="33" t="s">
        <v>197</v>
      </c>
      <c r="V8" s="52">
        <f t="shared" si="0"/>
        <v>0</v>
      </c>
    </row>
    <row r="9" spans="1:22" x14ac:dyDescent="0.15">
      <c r="A9" s="35" t="s">
        <v>54</v>
      </c>
      <c r="B9" s="35"/>
      <c r="L9" s="85"/>
      <c r="M9" s="37" t="e">
        <f>VLOOKUP(L9,[1]characters!$A:$C,3,FALSE)</f>
        <v>#N/A</v>
      </c>
      <c r="N9" s="61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VLOOKUP(L9,tables_583100!B:C,2,FALSE)</f>
        <v>#N/A</v>
      </c>
      <c r="R9" s="60">
        <f t="shared" si="1"/>
        <v>0</v>
      </c>
      <c r="S9">
        <v>390</v>
      </c>
      <c r="U9" s="33" t="s">
        <v>193</v>
      </c>
      <c r="V9" s="52">
        <f t="shared" si="0"/>
        <v>0</v>
      </c>
    </row>
    <row r="10" spans="1:22" x14ac:dyDescent="0.15">
      <c r="A10" s="33" t="s">
        <v>96</v>
      </c>
      <c r="B10" s="70">
        <f>1-B11-B12</f>
        <v>0.94999</v>
      </c>
      <c r="C10" t="s">
        <v>208</v>
      </c>
      <c r="L10" s="85"/>
      <c r="M10" s="37" t="e">
        <f>VLOOKUP(L10,[1]characters!$A:$C,3,FALSE)</f>
        <v>#N/A</v>
      </c>
      <c r="N10" s="61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VLOOKUP(L10,tables_583100!B:C,2,FALSE)</f>
        <v>#N/A</v>
      </c>
      <c r="R10" s="60">
        <f t="shared" si="1"/>
        <v>0</v>
      </c>
      <c r="S10">
        <v>391</v>
      </c>
      <c r="U10" s="33" t="s">
        <v>194</v>
      </c>
      <c r="V10" s="52">
        <f t="shared" si="0"/>
        <v>0</v>
      </c>
    </row>
    <row r="11" spans="1:22" x14ac:dyDescent="0.15">
      <c r="A11" s="33" t="s">
        <v>56</v>
      </c>
      <c r="B11" s="75">
        <v>0.05</v>
      </c>
      <c r="C11" t="s">
        <v>242</v>
      </c>
      <c r="M11" s="37" t="e">
        <f>VLOOKUP(L11,[1]characters!$A:$C,3,FALSE)</f>
        <v>#N/A</v>
      </c>
      <c r="N11" s="61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VLOOKUP(L11,tables_583100!B:C,2,FALSE)</f>
        <v>#N/A</v>
      </c>
      <c r="R11" s="60">
        <f t="shared" si="1"/>
        <v>0</v>
      </c>
      <c r="S11">
        <v>811</v>
      </c>
      <c r="U11" s="33" t="s">
        <v>195</v>
      </c>
      <c r="V11" s="52">
        <f t="shared" si="0"/>
        <v>0</v>
      </c>
    </row>
    <row r="12" spans="1:22" x14ac:dyDescent="0.15">
      <c r="A12" s="33" t="s">
        <v>55</v>
      </c>
      <c r="B12" s="70">
        <v>1.0000000000000001E-5</v>
      </c>
      <c r="M12" s="37" t="e">
        <f>VLOOKUP(L12,[1]characters!$A:$C,3,FALSE)</f>
        <v>#N/A</v>
      </c>
      <c r="N12" s="61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VLOOKUP(L12,tables_583100!B:C,2,FALSE)</f>
        <v>#N/A</v>
      </c>
      <c r="R12" s="60">
        <f t="shared" si="1"/>
        <v>0</v>
      </c>
      <c r="S12">
        <v>496</v>
      </c>
      <c r="U12" s="33" t="s">
        <v>106</v>
      </c>
      <c r="V12" s="52">
        <f t="shared" si="0"/>
        <v>0</v>
      </c>
    </row>
    <row r="13" spans="1:22" x14ac:dyDescent="0.15">
      <c r="M13" s="37" t="e">
        <f>VLOOKUP(L13,[1]characters!$A:$C,3,FALSE)</f>
        <v>#N/A</v>
      </c>
      <c r="N13" s="61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VLOOKUP(L13,tables_583100!B:C,2,FALSE)</f>
        <v>#N/A</v>
      </c>
      <c r="R13" s="60">
        <f t="shared" si="1"/>
        <v>0</v>
      </c>
      <c r="S13">
        <v>497</v>
      </c>
      <c r="U13" s="33" t="s">
        <v>107</v>
      </c>
      <c r="V13" s="52">
        <f t="shared" si="0"/>
        <v>0</v>
      </c>
    </row>
    <row r="14" spans="1:22" x14ac:dyDescent="0.15">
      <c r="M14" s="37" t="e">
        <f>VLOOKUP(L14,[1]characters!$A:$C,3,FALSE)</f>
        <v>#N/A</v>
      </c>
      <c r="N14" s="61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VLOOKUP(L14,tables_583100!B:C,2,FALSE)</f>
        <v>#N/A</v>
      </c>
      <c r="R14" s="60">
        <f t="shared" si="1"/>
        <v>0</v>
      </c>
      <c r="S14">
        <v>498</v>
      </c>
      <c r="U14" s="33" t="s">
        <v>199</v>
      </c>
      <c r="V14" s="52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1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VLOOKUP(L15,tables_583100!B:C,2,FALSE)</f>
        <v>#N/A</v>
      </c>
      <c r="R15" s="60">
        <f t="shared" si="1"/>
        <v>0</v>
      </c>
      <c r="S15">
        <v>395</v>
      </c>
      <c r="U15" s="33" t="s">
        <v>198</v>
      </c>
      <c r="V15" s="52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1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VLOOKUP(L16,tables_583100!B:C,2,FALSE)</f>
        <v>#N/A</v>
      </c>
      <c r="R16" s="60">
        <f t="shared" si="1"/>
        <v>0</v>
      </c>
      <c r="S16">
        <v>396</v>
      </c>
      <c r="U16" s="33" t="s">
        <v>108</v>
      </c>
      <c r="V16" s="52">
        <f t="shared" si="0"/>
        <v>0</v>
      </c>
    </row>
    <row r="17" spans="1:19" x14ac:dyDescent="0.15">
      <c r="A17" s="33" t="s">
        <v>190</v>
      </c>
      <c r="B17" s="80">
        <f>B$5-B19-B24</f>
        <v>0</v>
      </c>
      <c r="C17" s="82">
        <f t="shared" ref="C17:C31" si="2">SUMIF(Q:Q,A17,N:N)</f>
        <v>0</v>
      </c>
      <c r="D17" s="72">
        <f t="shared" ref="D17:D32" si="3">B17-C17</f>
        <v>0</v>
      </c>
      <c r="E17">
        <f>COUNTIF(tables_583100!C:C,input_583100!A17)-COUNTIF(Q:Q,A17)</f>
        <v>20</v>
      </c>
      <c r="F17" s="41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1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VLOOKUP(L17,tables_583100!B:C,2,FALSE)</f>
        <v>#N/A</v>
      </c>
      <c r="R17" s="60">
        <f t="shared" si="1"/>
        <v>0</v>
      </c>
      <c r="S17">
        <v>397</v>
      </c>
    </row>
    <row r="18" spans="1:19" x14ac:dyDescent="0.15">
      <c r="A18" s="33" t="s">
        <v>191</v>
      </c>
      <c r="B18" s="54">
        <f>B$6-B20-B22-B25-B27-B30</f>
        <v>0.21349707291666656</v>
      </c>
      <c r="C18" s="82">
        <f t="shared" si="2"/>
        <v>0</v>
      </c>
      <c r="D18" s="72">
        <f t="shared" si="3"/>
        <v>0.21349707291666656</v>
      </c>
      <c r="E18">
        <f>COUNTIF(tables_583100!C:C,input_583100!A18)-COUNTIF(Q:Q,A18)</f>
        <v>20</v>
      </c>
      <c r="F18" s="41">
        <f>IFERROR(B18/E18,0)</f>
        <v>1.0674853645833328E-2</v>
      </c>
      <c r="G18">
        <f t="shared" si="4"/>
        <v>29103920.979999986</v>
      </c>
      <c r="H18">
        <f t="shared" si="5"/>
        <v>1455196.0490000001</v>
      </c>
      <c r="I18">
        <f t="shared" si="6"/>
        <v>4.9000000115483999E-2</v>
      </c>
      <c r="J18">
        <f t="shared" si="7"/>
        <v>20.408163217207832</v>
      </c>
      <c r="M18" s="37" t="e">
        <f>VLOOKUP(L18,[1]characters!$A:$C,3,FALSE)</f>
        <v>#N/A</v>
      </c>
      <c r="N18" s="61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VLOOKUP(L18,tables_583100!B:C,2,FALSE)</f>
        <v>#N/A</v>
      </c>
      <c r="R18" s="60">
        <f t="shared" si="1"/>
        <v>0</v>
      </c>
      <c r="S18">
        <v>324</v>
      </c>
    </row>
    <row r="19" spans="1:19" x14ac:dyDescent="0.15">
      <c r="A19" s="33" t="s">
        <v>97</v>
      </c>
      <c r="B19" s="54">
        <f>E$6*E19*B$5</f>
        <v>0</v>
      </c>
      <c r="C19" s="82">
        <f t="shared" si="2"/>
        <v>0</v>
      </c>
      <c r="D19" s="72">
        <f t="shared" si="3"/>
        <v>0</v>
      </c>
      <c r="E19">
        <f>COUNTIF(tables_583100!C:C,input_583100!A19)-COUNTIF(Q:Q,A19)</f>
        <v>52</v>
      </c>
      <c r="F19" s="41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1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VLOOKUP(L19,tables_583100!B:C,2,FALSE)</f>
        <v>#N/A</v>
      </c>
      <c r="R19" s="60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</f>
        <v>0.48884902083333337</v>
      </c>
      <c r="C20" s="82">
        <f t="shared" si="2"/>
        <v>0</v>
      </c>
      <c r="D20" s="72">
        <f t="shared" si="3"/>
        <v>0.48884902083333337</v>
      </c>
      <c r="E20">
        <f>COUNTIF(tables_583100!C:C,input_583100!A20)-COUNTIF(Q:Q,A20)</f>
        <v>52</v>
      </c>
      <c r="F20" s="41">
        <f t="shared" si="8"/>
        <v>9.4009427083333336E-3</v>
      </c>
      <c r="G20">
        <f t="shared" si="4"/>
        <v>66639898.520000003</v>
      </c>
      <c r="H20">
        <f t="shared" si="5"/>
        <v>1281536.51</v>
      </c>
      <c r="I20">
        <f t="shared" si="6"/>
        <v>0.51000000000931323</v>
      </c>
      <c r="J20">
        <f t="shared" si="7"/>
        <v>1.9607843136896839</v>
      </c>
      <c r="M20" s="37" t="e">
        <f>VLOOKUP(L20,[1]characters!$A:$C,3,FALSE)</f>
        <v>#N/A</v>
      </c>
      <c r="N20" s="61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VLOOKUP(L20,tables_583100!B:C,2,FALSE)</f>
        <v>#N/A</v>
      </c>
      <c r="R20" s="60">
        <f t="shared" si="1"/>
        <v>0</v>
      </c>
      <c r="S20">
        <v>809</v>
      </c>
    </row>
    <row r="21" spans="1:19" x14ac:dyDescent="0.15">
      <c r="A21" s="33" t="s">
        <v>99</v>
      </c>
      <c r="B21" s="54">
        <f>B7-B23-B26-B28-B29-B31</f>
        <v>1.014640625E-2</v>
      </c>
      <c r="C21" s="82">
        <f t="shared" si="2"/>
        <v>0</v>
      </c>
      <c r="D21" s="72">
        <f t="shared" si="3"/>
        <v>1.014640625E-2</v>
      </c>
      <c r="E21">
        <f>COUNTIF(tables_583100!C:C,input_583100!A21)-COUNTIF(Q:Q,A21)</f>
        <v>52</v>
      </c>
      <c r="F21" s="41">
        <f t="shared" si="8"/>
        <v>1.9512319711538462E-4</v>
      </c>
      <c r="G21">
        <f t="shared" si="4"/>
        <v>1383158.1</v>
      </c>
      <c r="H21">
        <f t="shared" si="5"/>
        <v>26599.194230000001</v>
      </c>
      <c r="I21">
        <f t="shared" si="6"/>
        <v>0.1942300000009709</v>
      </c>
      <c r="J21">
        <f t="shared" si="7"/>
        <v>5.148535241697993</v>
      </c>
      <c r="L21" s="55"/>
      <c r="M21" s="55"/>
      <c r="N21" s="56"/>
      <c r="O21" s="55"/>
      <c r="P21" s="55"/>
      <c r="Q21" s="55"/>
      <c r="R21" s="57"/>
    </row>
    <row r="22" spans="1:19" x14ac:dyDescent="0.15">
      <c r="A22" s="33" t="s">
        <v>196</v>
      </c>
      <c r="B22" s="73">
        <f>E$6*E22-B23</f>
        <v>0.18505013541666668</v>
      </c>
      <c r="C22" s="82">
        <f t="shared" si="2"/>
        <v>0</v>
      </c>
      <c r="D22" s="72">
        <f t="shared" si="3"/>
        <v>0.18505013541666668</v>
      </c>
      <c r="E22">
        <f>COUNTIF(tables_583100!C:C,input_583100!A22)-COUNTIF(Q:Q,A22)</f>
        <v>20</v>
      </c>
      <c r="F22" s="41">
        <f t="shared" si="8"/>
        <v>9.2525067708333335E-3</v>
      </c>
      <c r="G22">
        <f t="shared" si="4"/>
        <v>25226034.460000001</v>
      </c>
      <c r="H22">
        <f t="shared" si="5"/>
        <v>1261301.723</v>
      </c>
      <c r="I22">
        <f t="shared" si="6"/>
        <v>0.72299999999813735</v>
      </c>
      <c r="J22">
        <f t="shared" si="7"/>
        <v>1.3831258644572286</v>
      </c>
      <c r="L22" s="55"/>
      <c r="M22" s="55"/>
      <c r="N22" s="56"/>
      <c r="O22" s="55"/>
      <c r="P22" s="55"/>
      <c r="Q22" s="55"/>
      <c r="R22" s="57"/>
    </row>
    <row r="23" spans="1:19" x14ac:dyDescent="0.15">
      <c r="A23" s="33" t="s">
        <v>197</v>
      </c>
      <c r="B23" s="68">
        <f>E23*E6*B7</f>
        <v>1.2864447916666669E-2</v>
      </c>
      <c r="C23" s="82">
        <f t="shared" si="2"/>
        <v>0</v>
      </c>
      <c r="D23" s="72">
        <f t="shared" si="3"/>
        <v>1.2864447916666669E-2</v>
      </c>
      <c r="E23">
        <f>COUNTIF(tables_583100!C:C,input_583100!A23)-COUNTIF(Q:Q,A23)</f>
        <v>26</v>
      </c>
      <c r="F23" s="41">
        <f t="shared" si="8"/>
        <v>4.9478645833333341E-4</v>
      </c>
      <c r="G23">
        <f t="shared" si="4"/>
        <v>1753681.5400000003</v>
      </c>
      <c r="H23">
        <f t="shared" si="5"/>
        <v>67449.289999999994</v>
      </c>
      <c r="I23">
        <f t="shared" si="6"/>
        <v>0.28999999999359716</v>
      </c>
      <c r="J23">
        <f t="shared" si="7"/>
        <v>3.4482758621450991</v>
      </c>
      <c r="L23" s="55"/>
      <c r="M23" s="55"/>
      <c r="N23" s="56"/>
      <c r="O23" s="55"/>
      <c r="P23" s="55"/>
      <c r="Q23" s="55"/>
      <c r="R23" s="57"/>
    </row>
    <row r="24" spans="1:19" x14ac:dyDescent="0.15">
      <c r="A24" s="33" t="s">
        <v>193</v>
      </c>
      <c r="B24" s="54">
        <f>E$6*E24*B$5</f>
        <v>0</v>
      </c>
      <c r="C24" s="82">
        <f t="shared" si="2"/>
        <v>0</v>
      </c>
      <c r="D24" s="72">
        <f t="shared" si="3"/>
        <v>0</v>
      </c>
      <c r="E24">
        <f>COUNTIF(tables_583100!C:C,input_583100!A24)-COUNTIF(Q:Q,A24)</f>
        <v>4</v>
      </c>
      <c r="F24" s="41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5"/>
      <c r="M24" s="55"/>
      <c r="N24" s="56"/>
      <c r="O24" s="55"/>
      <c r="P24" s="55"/>
      <c r="Q24" s="55"/>
      <c r="R24" s="57"/>
    </row>
    <row r="25" spans="1:19" x14ac:dyDescent="0.15">
      <c r="A25" s="33" t="s">
        <v>194</v>
      </c>
      <c r="B25" s="54">
        <f>E$6*B$6*E25</f>
        <v>3.7603770833333335E-2</v>
      </c>
      <c r="C25" s="82">
        <f t="shared" si="2"/>
        <v>0</v>
      </c>
      <c r="D25" s="72">
        <f t="shared" si="3"/>
        <v>3.7603770833333335E-2</v>
      </c>
      <c r="E25">
        <f>COUNTIF(tables_583100!C:C,input_583100!A25)-COUNTIF(Q:Q,A25)</f>
        <v>4</v>
      </c>
      <c r="F25" s="41">
        <f t="shared" si="8"/>
        <v>9.4009427083333336E-3</v>
      </c>
      <c r="G25">
        <f t="shared" si="4"/>
        <v>5126146.04</v>
      </c>
      <c r="H25">
        <f t="shared" si="5"/>
        <v>1281536.51</v>
      </c>
      <c r="I25">
        <f t="shared" si="6"/>
        <v>0.51000000000931323</v>
      </c>
      <c r="J25">
        <f t="shared" si="7"/>
        <v>1.9607843136896839</v>
      </c>
      <c r="L25" s="55"/>
      <c r="M25" s="55"/>
      <c r="N25" s="56"/>
      <c r="O25" s="55"/>
      <c r="P25" s="55"/>
      <c r="Q25" s="55"/>
      <c r="R25" s="57"/>
    </row>
    <row r="26" spans="1:19" x14ac:dyDescent="0.15">
      <c r="A26" s="33" t="s">
        <v>195</v>
      </c>
      <c r="B26" s="54">
        <f>E$6*B$7*E26</f>
        <v>1.9791458333333336E-3</v>
      </c>
      <c r="C26" s="82">
        <f t="shared" si="2"/>
        <v>0</v>
      </c>
      <c r="D26" s="72">
        <f t="shared" si="3"/>
        <v>1.9791458333333336E-3</v>
      </c>
      <c r="E26">
        <f>COUNTIF(tables_583100!C:C,input_583100!A26)-COUNTIF(Q:Q,A26)</f>
        <v>4</v>
      </c>
      <c r="F26" s="41">
        <f t="shared" si="8"/>
        <v>4.9478645833333341E-4</v>
      </c>
      <c r="G26">
        <f t="shared" si="4"/>
        <v>269797.16000000003</v>
      </c>
      <c r="H26">
        <f t="shared" si="5"/>
        <v>67449.289999999994</v>
      </c>
      <c r="I26">
        <f t="shared" si="6"/>
        <v>0.28999999999359716</v>
      </c>
      <c r="J26">
        <f t="shared" si="7"/>
        <v>3.4482758621450991</v>
      </c>
      <c r="L26" s="55"/>
      <c r="M26" s="55"/>
      <c r="N26" s="56"/>
      <c r="O26" s="55"/>
      <c r="P26" s="55"/>
      <c r="Q26" s="55"/>
      <c r="R26" s="57"/>
    </row>
    <row r="27" spans="1:19" x14ac:dyDescent="0.15">
      <c r="A27" s="33" t="s">
        <v>106</v>
      </c>
      <c r="B27" s="98">
        <f>B11-B28-B29-C28-C27</f>
        <v>2.5000000000000001E-2</v>
      </c>
      <c r="C27" s="82">
        <f t="shared" si="2"/>
        <v>0</v>
      </c>
      <c r="D27" s="72">
        <f t="shared" si="3"/>
        <v>2.5000000000000001E-2</v>
      </c>
      <c r="E27">
        <f>COUNTIF(tables_583100!C:C,input_583100!A27)-COUNTIF(Q:Q,A27)</f>
        <v>28</v>
      </c>
      <c r="F27" s="41">
        <f>IFERROR(B27/E27,0)</f>
        <v>8.9285714285714294E-4</v>
      </c>
      <c r="G27">
        <f t="shared" si="4"/>
        <v>3408000</v>
      </c>
      <c r="H27">
        <f t="shared" si="5"/>
        <v>121714.28571</v>
      </c>
      <c r="I27">
        <f t="shared" si="6"/>
        <v>0.28570999999647029</v>
      </c>
      <c r="J27">
        <f t="shared" si="7"/>
        <v>3.5000525008307521</v>
      </c>
      <c r="L27" s="55"/>
      <c r="M27" s="55"/>
      <c r="N27" s="56"/>
      <c r="O27" s="55"/>
      <c r="P27" s="55"/>
      <c r="Q27" s="55"/>
      <c r="R27" s="57"/>
    </row>
    <row r="28" spans="1:19" x14ac:dyDescent="0.15">
      <c r="A28" s="33" t="s">
        <v>107</v>
      </c>
      <c r="B28" s="54">
        <f>B11/2*E28/(SUM(E28:E29))</f>
        <v>9.7222222222222224E-3</v>
      </c>
      <c r="C28" s="82">
        <f t="shared" si="2"/>
        <v>0</v>
      </c>
      <c r="D28" s="72">
        <f t="shared" si="3"/>
        <v>9.7222222222222224E-3</v>
      </c>
      <c r="E28">
        <f>COUNTIF(tables_583100!C:C,input_583100!A28)-COUNTIF(Q:Q,A28)</f>
        <v>28</v>
      </c>
      <c r="F28" s="41">
        <f t="shared" si="8"/>
        <v>3.4722222222222224E-4</v>
      </c>
      <c r="G28">
        <f t="shared" si="4"/>
        <v>1325333.3333333333</v>
      </c>
      <c r="H28">
        <f t="shared" si="5"/>
        <v>47333.333330000001</v>
      </c>
      <c r="I28">
        <f t="shared" si="6"/>
        <v>0.33333000000129687</v>
      </c>
      <c r="J28">
        <f t="shared" si="7"/>
        <v>3.0000300002883309</v>
      </c>
      <c r="L28" s="55"/>
      <c r="M28" s="55"/>
      <c r="N28" s="56"/>
      <c r="O28" s="55"/>
      <c r="P28" s="55"/>
      <c r="Q28" s="55"/>
      <c r="R28" s="57"/>
    </row>
    <row r="29" spans="1:19" x14ac:dyDescent="0.15">
      <c r="A29" s="33" t="s">
        <v>199</v>
      </c>
      <c r="B29" s="54">
        <f>B11/2*E29/(SUM(E28:E29))</f>
        <v>1.5277777777777779E-2</v>
      </c>
      <c r="C29" s="82">
        <f t="shared" si="2"/>
        <v>0</v>
      </c>
      <c r="D29" s="72">
        <f t="shared" si="3"/>
        <v>1.5277777777777779E-2</v>
      </c>
      <c r="E29">
        <f>COUNTIF(tables_583100!C:C,input_583100!A29)-COUNTIF(Q:Q,A29)</f>
        <v>44</v>
      </c>
      <c r="F29" s="41">
        <f t="shared" si="8"/>
        <v>3.4722222222222224E-4</v>
      </c>
      <c r="G29">
        <f t="shared" si="4"/>
        <v>2082666.6666666667</v>
      </c>
      <c r="H29">
        <f t="shared" si="5"/>
        <v>47333.333330000001</v>
      </c>
      <c r="I29">
        <f t="shared" si="6"/>
        <v>0.33333000000129687</v>
      </c>
      <c r="J29">
        <f t="shared" si="7"/>
        <v>3.0000300002883309</v>
      </c>
      <c r="L29" s="55"/>
      <c r="M29" s="55"/>
      <c r="N29" s="56"/>
      <c r="O29" s="55"/>
      <c r="P29" s="55"/>
      <c r="Q29" s="55"/>
      <c r="R29" s="57"/>
    </row>
    <row r="30" spans="1:19" x14ac:dyDescent="0.15">
      <c r="A30" s="33" t="s">
        <v>239</v>
      </c>
      <c r="B30" s="54">
        <f>0</f>
        <v>0</v>
      </c>
      <c r="C30" s="82">
        <f t="shared" si="2"/>
        <v>0</v>
      </c>
      <c r="D30" s="72">
        <f t="shared" si="3"/>
        <v>0</v>
      </c>
      <c r="E30">
        <f>COUNTIF(tables_583100!C:C,input_583100!A30)-COUNTIF(Q:Q,A30)</f>
        <v>0</v>
      </c>
      <c r="F30" s="41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5"/>
      <c r="M30" s="55"/>
      <c r="N30" s="56"/>
      <c r="O30" s="55"/>
      <c r="P30" s="55"/>
      <c r="Q30" s="55"/>
      <c r="R30" s="57"/>
    </row>
    <row r="31" spans="1:19" x14ac:dyDescent="0.15">
      <c r="A31" s="33" t="s">
        <v>240</v>
      </c>
      <c r="B31" s="54">
        <f>B12</f>
        <v>1.0000000000000001E-5</v>
      </c>
      <c r="C31" s="82">
        <f t="shared" si="2"/>
        <v>1.0000000000000001E-5</v>
      </c>
      <c r="D31" s="72">
        <f t="shared" si="3"/>
        <v>0</v>
      </c>
      <c r="E31">
        <f>COUNTIF(tables_583100!C:C,input_583100!A31)-COUNTIF(Q:Q,A31)</f>
        <v>0</v>
      </c>
      <c r="F31" s="41">
        <f t="shared" si="8"/>
        <v>0</v>
      </c>
      <c r="G31">
        <f t="shared" si="4"/>
        <v>1363.2</v>
      </c>
      <c r="H31">
        <f t="shared" si="5"/>
        <v>0</v>
      </c>
      <c r="I31">
        <f t="shared" si="6"/>
        <v>0</v>
      </c>
      <c r="J31">
        <f t="shared" si="7"/>
        <v>1</v>
      </c>
      <c r="L31" s="55"/>
      <c r="M31" s="55"/>
      <c r="N31" s="56"/>
      <c r="O31" s="55"/>
      <c r="P31" s="55"/>
      <c r="Q31" s="55"/>
      <c r="R31" s="57"/>
    </row>
    <row r="32" spans="1:19" x14ac:dyDescent="0.15">
      <c r="A32" s="39" t="s">
        <v>59</v>
      </c>
      <c r="B32" s="101">
        <f>SUM(B17:B31)</f>
        <v>0.99999999999999989</v>
      </c>
      <c r="C32" s="102">
        <f>SUM(C19:C31)</f>
        <v>1.0000000000000001E-5</v>
      </c>
      <c r="D32" s="40">
        <f t="shared" si="3"/>
        <v>0.99998999999999993</v>
      </c>
      <c r="L32" s="55"/>
      <c r="M32" s="55"/>
      <c r="N32" s="55"/>
      <c r="O32" s="55"/>
      <c r="P32" s="55"/>
      <c r="Q32" s="55"/>
      <c r="R32" s="57"/>
    </row>
    <row r="34" spans="1:7" x14ac:dyDescent="0.15">
      <c r="E34" s="53"/>
      <c r="F34" s="53"/>
    </row>
    <row r="35" spans="1:7" x14ac:dyDescent="0.15">
      <c r="A35" t="s">
        <v>73</v>
      </c>
    </row>
    <row r="36" spans="1:7" x14ac:dyDescent="0.15">
      <c r="A36" s="31">
        <f>LCM(F5-I5,F6-I6)*1000*2*2*5</f>
        <v>136320000</v>
      </c>
    </row>
    <row r="38" spans="1:7" x14ac:dyDescent="0.15">
      <c r="A38" s="45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SUMIF(tables_583100!C:C,input_583100!A40,tables_583100!O:O)</f>
        <v>0</v>
      </c>
      <c r="C40" s="52">
        <f t="shared" ref="C40:C46" ca="1" si="9">B40/B$47</f>
        <v>0</v>
      </c>
      <c r="E40">
        <v>3</v>
      </c>
      <c r="F40">
        <f ca="1">SUMIF(tables_583100!J:J,input_583100!E40,tables_583100!O:O)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SUMIF(tables_583100!C:C,input_583100!A41,tables_583100!O:O)</f>
        <v>66639898.519999966</v>
      </c>
      <c r="C41" s="52">
        <f t="shared" ca="1" si="9"/>
        <v>0.91593190045541728</v>
      </c>
      <c r="E41">
        <v>4</v>
      </c>
      <c r="F41">
        <f ca="1">SUMIF(tables_583100!J:J,input_583100!E41,tables_583100!O:O)</f>
        <v>129503999.99988037</v>
      </c>
      <c r="G41" s="104">
        <f ca="1">F41/A36</f>
        <v>0.94999999999912244</v>
      </c>
    </row>
    <row r="42" spans="1:7" x14ac:dyDescent="0.15">
      <c r="A42" s="33" t="s">
        <v>106</v>
      </c>
      <c r="B42">
        <f ca="1">SUMIF(tables_583100!C:C,input_583100!A42,tables_583100!O:O)</f>
        <v>3407999.9998799996</v>
      </c>
      <c r="C42" s="52">
        <f t="shared" ca="1" si="9"/>
        <v>4.6841246549997773E-2</v>
      </c>
      <c r="E42">
        <v>5</v>
      </c>
      <c r="F42">
        <f ca="1">SUMIF(tables_583100!J:J,input_583100!E42,tables_583100!O:O)</f>
        <v>6815999.9997199932</v>
      </c>
      <c r="G42" s="104">
        <f ca="1">F42/A36</f>
        <v>4.9999999997945958E-2</v>
      </c>
    </row>
    <row r="43" spans="1:7" x14ac:dyDescent="0.15">
      <c r="A43" s="33" t="s">
        <v>109</v>
      </c>
      <c r="B43">
        <f>SUMIF(tables_583100!C:C,input_583100!A43,tables_583100!O:O)</f>
        <v>0</v>
      </c>
      <c r="C43" s="52">
        <f t="shared" ca="1" si="9"/>
        <v>0</v>
      </c>
      <c r="F43" s="53"/>
    </row>
    <row r="44" spans="1:7" x14ac:dyDescent="0.15">
      <c r="A44" s="33" t="s">
        <v>105</v>
      </c>
      <c r="B44">
        <f ca="1">SUMIF(tables_583100!C:C,input_583100!A44,tables_583100!O:O)</f>
        <v>1383158.099960001</v>
      </c>
      <c r="C44" s="52">
        <f t="shared" ca="1" si="9"/>
        <v>1.9010812670227164E-2</v>
      </c>
      <c r="E44" t="s">
        <v>54</v>
      </c>
      <c r="F44" s="53"/>
    </row>
    <row r="45" spans="1:7" x14ac:dyDescent="0.15">
      <c r="A45" s="33" t="s">
        <v>107</v>
      </c>
      <c r="B45">
        <f ca="1">SUMIF(tables_583100!C:C,input_583100!A45,tables_583100!O:O)</f>
        <v>1325333.3332400008</v>
      </c>
      <c r="C45" s="52">
        <f t="shared" ca="1" si="9"/>
        <v>1.8216040324357734E-2</v>
      </c>
      <c r="E45" t="s">
        <v>204</v>
      </c>
      <c r="F45" s="53">
        <f ca="1">SUMIF(tables_583100!I:I,input_583100!E45,tables_583100!P:P)</f>
        <v>0.21646579166730021</v>
      </c>
    </row>
    <row r="46" spans="1:7" x14ac:dyDescent="0.15">
      <c r="A46" s="33" t="s">
        <v>108</v>
      </c>
      <c r="B46">
        <f>SUMIF(tables_583100!C:C,input_583100!A46,tables_583100!O:O)</f>
        <v>0</v>
      </c>
      <c r="C46" s="52">
        <f t="shared" ca="1" si="9"/>
        <v>0</v>
      </c>
      <c r="E46" t="s">
        <v>205</v>
      </c>
      <c r="F46" s="53">
        <f ca="1">SUMIF(tables_583100!I:I,input_583100!E46,tables_583100!P:P)</f>
        <v>0.19282030789309687</v>
      </c>
    </row>
    <row r="47" spans="1:7" x14ac:dyDescent="0.15">
      <c r="A47" s="39" t="s">
        <v>59</v>
      </c>
      <c r="B47">
        <f ca="1">SUM(B40:B46)</f>
        <v>72756389.953079969</v>
      </c>
      <c r="C47" s="53">
        <f ca="1">SUM(C40:C46)</f>
        <v>1</v>
      </c>
      <c r="E47" t="s">
        <v>206</v>
      </c>
      <c r="F47" s="53">
        <f ca="1">SUMIF(tables_583100!I:I,input_583100!E47,tables_583100!P:P)</f>
        <v>0.54070390044209049</v>
      </c>
    </row>
    <row r="48" spans="1:7" x14ac:dyDescent="0.15">
      <c r="E48" t="s">
        <v>207</v>
      </c>
      <c r="F48" s="99">
        <f ca="1">SUMIF(tables_583100!I:I,input_583100!E48,tables_583100!P:P)</f>
        <v>4.68749999977165E-2</v>
      </c>
    </row>
    <row r="49" spans="5:6" x14ac:dyDescent="0.15">
      <c r="E49" t="s">
        <v>250</v>
      </c>
      <c r="F49" s="99">
        <f ca="1">SUMIF(tables_583100!I:I,input_583100!E49,tables_583100!P:P)</f>
        <v>3.1249999997890764E-3</v>
      </c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35" activePane="bottomLeft" state="frozen"/>
      <selection activeCell="D34" sqref="D34"/>
      <selection pane="bottomLeft" activeCell="P356" sqref="P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input_583100!A$2</f>
        <v>583100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IFERROR(VLOOKUP(B2,input_583100!L:R,7,FALSE),VLOOKUP(tables_583100!C2,input_583100!A:H,8,FALSE))</f>
        <v>0</v>
      </c>
      <c r="P2" s="44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input_583100!A$2</f>
        <v>583100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IFERROR(VLOOKUP(B3,input_583100!L:R,7,FALSE),VLOOKUP(tables_583100!C3,input_583100!A:H,8,FALSE))</f>
        <v>1455196.0490000001</v>
      </c>
      <c r="P3" s="44">
        <f t="shared" ca="1" si="1"/>
        <v>1.067485364586458E-2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input_583100!A$2</f>
        <v>583100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IFERROR(VLOOKUP(B4,input_583100!L:R,7,FALSE),VLOOKUP(tables_583100!C4,input_583100!A:H,8,FALSE))</f>
        <v>0</v>
      </c>
      <c r="P4" s="44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input_583100!A$2</f>
        <v>583100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IFERROR(VLOOKUP(B5,input_583100!L:R,7,FALSE),VLOOKUP(tables_583100!C5,input_583100!A:H,8,FALSE))</f>
        <v>1455196.0490000001</v>
      </c>
      <c r="P5" s="44">
        <f t="shared" ca="1" si="1"/>
        <v>1.067485364586458E-2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input_583100!A$2</f>
        <v>583100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IFERROR(VLOOKUP(B6,input_583100!L:R,7,FALSE),VLOOKUP(tables_583100!C6,input_583100!A:H,8,FALSE))</f>
        <v>0</v>
      </c>
      <c r="P6" s="44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input_583100!A$2</f>
        <v>583100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IFERROR(VLOOKUP(B7,input_583100!L:R,7,FALSE),VLOOKUP(tables_583100!C7,input_583100!A:H,8,FALSE))</f>
        <v>1455196.0490000001</v>
      </c>
      <c r="P7" s="44">
        <f t="shared" ca="1" si="1"/>
        <v>1.067485364586458E-2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input_583100!A$2</f>
        <v>583100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IFERROR(VLOOKUP(B8,input_583100!L:R,7,FALSE),VLOOKUP(tables_583100!C8,input_583100!A:H,8,FALSE))</f>
        <v>0</v>
      </c>
      <c r="P8" s="44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input_583100!A$2</f>
        <v>583100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IFERROR(VLOOKUP(B9,input_583100!L:R,7,FALSE),VLOOKUP(tables_583100!C9,input_583100!A:H,8,FALSE))</f>
        <v>1455196.0490000001</v>
      </c>
      <c r="P9" s="44">
        <f t="shared" ca="1" si="1"/>
        <v>1.067485364586458E-2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input_583100!A$2</f>
        <v>583100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IFERROR(VLOOKUP(B10,input_583100!L:R,7,FALSE),VLOOKUP(tables_583100!C10,input_583100!A:H,8,FALSE))</f>
        <v>0</v>
      </c>
      <c r="P10" s="44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input_583100!A$2</f>
        <v>583100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IFERROR(VLOOKUP(B11,input_583100!L:R,7,FALSE),VLOOKUP(tables_583100!C11,input_583100!A:H,8,FALSE))</f>
        <v>1455196.0490000001</v>
      </c>
      <c r="P11" s="44">
        <f t="shared" ca="1" si="1"/>
        <v>1.067485364586458E-2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input_583100!A$2</f>
        <v>583100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IFERROR(VLOOKUP(B12,input_583100!L:R,7,FALSE),VLOOKUP(tables_583100!C12,input_583100!A:H,8,FALSE))</f>
        <v>0</v>
      </c>
      <c r="P12" s="44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input_583100!A$2</f>
        <v>583100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IFERROR(VLOOKUP(B13,input_583100!L:R,7,FALSE),VLOOKUP(tables_583100!C13,input_583100!A:H,8,FALSE))</f>
        <v>1455196.0490000001</v>
      </c>
      <c r="P13" s="44">
        <f t="shared" ca="1" si="1"/>
        <v>1.067485364586458E-2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input_583100!A$2</f>
        <v>583100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IFERROR(VLOOKUP(B14,input_583100!L:R,7,FALSE),VLOOKUP(tables_583100!C14,input_583100!A:H,8,FALSE))</f>
        <v>0</v>
      </c>
      <c r="P14" s="44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input_583100!A$2</f>
        <v>583100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IFERROR(VLOOKUP(B15,input_583100!L:R,7,FALSE),VLOOKUP(tables_583100!C15,input_583100!A:H,8,FALSE))</f>
        <v>1455196.0490000001</v>
      </c>
      <c r="P15" s="44">
        <f t="shared" ca="1" si="1"/>
        <v>1.067485364586458E-2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input_583100!A$2</f>
        <v>583100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IFERROR(VLOOKUP(B16,input_583100!L:R,7,FALSE),VLOOKUP(tables_583100!C16,input_583100!A:H,8,FALSE))</f>
        <v>0</v>
      </c>
      <c r="P16" s="44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input_583100!A$2</f>
        <v>583100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IFERROR(VLOOKUP(B17,input_583100!L:R,7,FALSE),VLOOKUP(tables_583100!C17,input_583100!A:H,8,FALSE))</f>
        <v>1455196.0490000001</v>
      </c>
      <c r="P17" s="44">
        <f t="shared" ca="1" si="1"/>
        <v>1.067485364586458E-2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input_583100!A$2</f>
        <v>583100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IFERROR(VLOOKUP(B18,input_583100!L:R,7,FALSE),VLOOKUP(tables_583100!C18,input_583100!A:H,8,FALSE))</f>
        <v>0</v>
      </c>
      <c r="P18" s="44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input_583100!A$2</f>
        <v>583100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IFERROR(VLOOKUP(B19,input_583100!L:R,7,FALSE),VLOOKUP(tables_583100!C19,input_583100!A:H,8,FALSE))</f>
        <v>1455196.0490000001</v>
      </c>
      <c r="P19" s="44">
        <f t="shared" ca="1" si="1"/>
        <v>1.067485364586458E-2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input_583100!A$2</f>
        <v>583100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IFERROR(VLOOKUP(B20,input_583100!L:R,7,FALSE),VLOOKUP(tables_583100!C20,input_583100!A:H,8,FALSE))</f>
        <v>0</v>
      </c>
      <c r="P20" s="44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input_583100!A$2</f>
        <v>583100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IFERROR(VLOOKUP(B21,input_583100!L:R,7,FALSE),VLOOKUP(tables_583100!C21,input_583100!A:H,8,FALSE))</f>
        <v>1455196.0490000001</v>
      </c>
      <c r="P21" s="44">
        <f t="shared" ca="1" si="1"/>
        <v>1.067485364586458E-2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input_583100!A$2</f>
        <v>583100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IFERROR(VLOOKUP(B22,input_583100!L:R,7,FALSE),VLOOKUP(tables_583100!C22,input_583100!A:H,8,FALSE))</f>
        <v>0</v>
      </c>
      <c r="P22" s="44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input_583100!A$2</f>
        <v>583100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IFERROR(VLOOKUP(B23,input_583100!L:R,7,FALSE),VLOOKUP(tables_583100!C23,input_583100!A:H,8,FALSE))</f>
        <v>1455196.0490000001</v>
      </c>
      <c r="P23" s="44">
        <f t="shared" ca="1" si="1"/>
        <v>1.067485364586458E-2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input_583100!A$2</f>
        <v>583100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IFERROR(VLOOKUP(B24,input_583100!L:R,7,FALSE),VLOOKUP(tables_583100!C24,input_583100!A:H,8,FALSE))</f>
        <v>0</v>
      </c>
      <c r="P24" s="44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input_583100!A$2</f>
        <v>583100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IFERROR(VLOOKUP(B25,input_583100!L:R,7,FALSE),VLOOKUP(tables_583100!C25,input_583100!A:H,8,FALSE))</f>
        <v>1455196.0490000001</v>
      </c>
      <c r="P25" s="44">
        <f t="shared" ca="1" si="1"/>
        <v>1.067485364586458E-2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input_583100!A$2</f>
        <v>583100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IFERROR(VLOOKUP(B26,input_583100!L:R,7,FALSE),VLOOKUP(tables_583100!C26,input_583100!A:H,8,FALSE))</f>
        <v>0</v>
      </c>
      <c r="P26" s="44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input_583100!A$2</f>
        <v>583100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IFERROR(VLOOKUP(B27,input_583100!L:R,7,FALSE),VLOOKUP(tables_583100!C27,input_583100!A:H,8,FALSE))</f>
        <v>1455196.0490000001</v>
      </c>
      <c r="P27" s="44">
        <f t="shared" ca="1" si="1"/>
        <v>1.067485364586458E-2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input_583100!A$2</f>
        <v>583100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IFERROR(VLOOKUP(B28,input_583100!L:R,7,FALSE),VLOOKUP(tables_583100!C28,input_583100!A:H,8,FALSE))</f>
        <v>0</v>
      </c>
      <c r="P28" s="44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input_583100!A$2</f>
        <v>583100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IFERROR(VLOOKUP(B29,input_583100!L:R,7,FALSE),VLOOKUP(tables_583100!C29,input_583100!A:H,8,FALSE))</f>
        <v>1455196.0490000001</v>
      </c>
      <c r="P29" s="44">
        <f t="shared" ca="1" si="1"/>
        <v>1.067485364586458E-2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input_583100!A$2</f>
        <v>583100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IFERROR(VLOOKUP(B30,input_583100!L:R,7,FALSE),VLOOKUP(tables_583100!C30,input_583100!A:H,8,FALSE))</f>
        <v>0</v>
      </c>
      <c r="P30" s="44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input_583100!A$2</f>
        <v>583100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IFERROR(VLOOKUP(B31,input_583100!L:R,7,FALSE),VLOOKUP(tables_583100!C31,input_583100!A:H,8,FALSE))</f>
        <v>1455196.0490000001</v>
      </c>
      <c r="P31" s="44">
        <f t="shared" ca="1" si="1"/>
        <v>1.067485364586458E-2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input_583100!A$2</f>
        <v>583100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IFERROR(VLOOKUP(B32,input_583100!L:R,7,FALSE),VLOOKUP(tables_583100!C32,input_583100!A:H,8,FALSE))</f>
        <v>0</v>
      </c>
      <c r="P32" s="44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input_583100!A$2</f>
        <v>583100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IFERROR(VLOOKUP(B33,input_583100!L:R,7,FALSE),VLOOKUP(tables_583100!C33,input_583100!A:H,8,FALSE))</f>
        <v>1455196.0490000001</v>
      </c>
      <c r="P33" s="44">
        <f t="shared" ca="1" si="1"/>
        <v>1.067485364586458E-2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input_583100!A$2</f>
        <v>583100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IFERROR(VLOOKUP(B34,input_583100!L:R,7,FALSE),VLOOKUP(tables_583100!C34,input_583100!A:H,8,FALSE))</f>
        <v>0</v>
      </c>
      <c r="P34" s="44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input_583100!A$2</f>
        <v>583100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IFERROR(VLOOKUP(B35,input_583100!L:R,7,FALSE),VLOOKUP(tables_583100!C35,input_583100!A:H,8,FALSE))</f>
        <v>1455196.0490000001</v>
      </c>
      <c r="P35" s="44">
        <f t="shared" ca="1" si="1"/>
        <v>1.067485364586458E-2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input_583100!A$2</f>
        <v>583100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IFERROR(VLOOKUP(B36,input_583100!L:R,7,FALSE),VLOOKUP(tables_583100!C36,input_583100!A:H,8,FALSE))</f>
        <v>0</v>
      </c>
      <c r="P36" s="44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input_583100!A$2</f>
        <v>583100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IFERROR(VLOOKUP(B37,input_583100!L:R,7,FALSE),VLOOKUP(tables_583100!C37,input_583100!A:H,8,FALSE))</f>
        <v>1455196.0490000001</v>
      </c>
      <c r="P37" s="44">
        <f t="shared" ca="1" si="1"/>
        <v>1.067485364586458E-2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input_583100!A$2</f>
        <v>583100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IFERROR(VLOOKUP(B38,input_583100!L:R,7,FALSE),VLOOKUP(tables_583100!C38,input_583100!A:H,8,FALSE))</f>
        <v>0</v>
      </c>
      <c r="P38" s="44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input_583100!A$2</f>
        <v>583100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IFERROR(VLOOKUP(B39,input_583100!L:R,7,FALSE),VLOOKUP(tables_583100!C39,input_583100!A:H,8,FALSE))</f>
        <v>1455196.0490000001</v>
      </c>
      <c r="P39" s="44">
        <f t="shared" ca="1" si="1"/>
        <v>1.067485364586458E-2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input_583100!A$2</f>
        <v>583100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IFERROR(VLOOKUP(B40,input_583100!L:R,7,FALSE),VLOOKUP(tables_583100!C40,input_583100!A:H,8,FALSE))</f>
        <v>0</v>
      </c>
      <c r="P40" s="44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input_583100!A$2</f>
        <v>583100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IFERROR(VLOOKUP(B41,input_583100!L:R,7,FALSE),VLOOKUP(tables_583100!C41,input_583100!A:H,8,FALSE))</f>
        <v>1455196.0490000001</v>
      </c>
      <c r="P41" s="44">
        <f t="shared" ca="1" si="1"/>
        <v>1.067485364586458E-2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input_583100!A$2</f>
        <v>583100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IFERROR(VLOOKUP(B42,input_583100!L:R,7,FALSE),VLOOKUP(tables_583100!C42,input_583100!A:H,8,FALSE))</f>
        <v>0</v>
      </c>
      <c r="P42" s="44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input_583100!A$2</f>
        <v>583100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IFERROR(VLOOKUP(B43,input_583100!L:R,7,FALSE),VLOOKUP(tables_583100!C43,input_583100!A:H,8,FALSE))</f>
        <v>1281536.51</v>
      </c>
      <c r="P43" s="44">
        <f t="shared" ca="1" si="1"/>
        <v>9.4009427083608516E-3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input_583100!A$2</f>
        <v>583100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IFERROR(VLOOKUP(B44,input_583100!L:R,7,FALSE),VLOOKUP(tables_583100!C44,input_583100!A:H,8,FALSE))</f>
        <v>67449.289999999994</v>
      </c>
      <c r="P44" s="44">
        <f t="shared" ca="1" si="1"/>
        <v>4.9478645833478158E-4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input_583100!A$2</f>
        <v>583100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IFERROR(VLOOKUP(B45,input_583100!L:R,7,FALSE),VLOOKUP(tables_583100!C45,input_583100!A:H,8,FALSE))</f>
        <v>0</v>
      </c>
      <c r="P45" s="44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input_583100!A$2</f>
        <v>583100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IFERROR(VLOOKUP(B46,input_583100!L:R,7,FALSE),VLOOKUP(tables_583100!C46,input_583100!A:H,8,FALSE))</f>
        <v>1281536.51</v>
      </c>
      <c r="P46" s="44">
        <f t="shared" ca="1" si="1"/>
        <v>9.4009427083608516E-3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input_583100!A$2</f>
        <v>583100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IFERROR(VLOOKUP(B47,input_583100!L:R,7,FALSE),VLOOKUP(tables_583100!C47,input_583100!A:H,8,FALSE))</f>
        <v>67449.289999999994</v>
      </c>
      <c r="P47" s="44">
        <f t="shared" ca="1" si="1"/>
        <v>4.9478645833478158E-4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input_583100!A$2</f>
        <v>583100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IFERROR(VLOOKUP(B48,input_583100!L:R,7,FALSE),VLOOKUP(tables_583100!C48,input_583100!A:H,8,FALSE))</f>
        <v>0</v>
      </c>
      <c r="P48" s="44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input_583100!A$2</f>
        <v>583100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IFERROR(VLOOKUP(B49,input_583100!L:R,7,FALSE),VLOOKUP(tables_583100!C49,input_583100!A:H,8,FALSE))</f>
        <v>1281536.51</v>
      </c>
      <c r="P49" s="44">
        <f t="shared" ca="1" si="1"/>
        <v>9.4009427083608516E-3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input_583100!A$2</f>
        <v>583100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IFERROR(VLOOKUP(B50,input_583100!L:R,7,FALSE),VLOOKUP(tables_583100!C50,input_583100!A:H,8,FALSE))</f>
        <v>67449.289999999994</v>
      </c>
      <c r="P50" s="44">
        <f t="shared" ca="1" si="1"/>
        <v>4.9478645833478158E-4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input_583100!A$2</f>
        <v>583100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IFERROR(VLOOKUP(B51,input_583100!L:R,7,FALSE),VLOOKUP(tables_583100!C51,input_583100!A:H,8,FALSE))</f>
        <v>0</v>
      </c>
      <c r="P51" s="44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input_583100!A$2</f>
        <v>583100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IFERROR(VLOOKUP(B52,input_583100!L:R,7,FALSE),VLOOKUP(tables_583100!C52,input_583100!A:H,8,FALSE))</f>
        <v>1281536.51</v>
      </c>
      <c r="P52" s="44">
        <f t="shared" ca="1" si="1"/>
        <v>9.4009427083608516E-3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input_583100!A$2</f>
        <v>583100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IFERROR(VLOOKUP(B53,input_583100!L:R,7,FALSE),VLOOKUP(tables_583100!C53,input_583100!A:H,8,FALSE))</f>
        <v>26599.194230000001</v>
      </c>
      <c r="P53" s="44">
        <f t="shared" ca="1" si="1"/>
        <v>1.9512319711031294E-4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input_583100!A$2</f>
        <v>583100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IFERROR(VLOOKUP(B54,input_583100!L:R,7,FALSE),VLOOKUP(tables_583100!C54,input_583100!A:H,8,FALSE))</f>
        <v>0</v>
      </c>
      <c r="P54" s="44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input_583100!A$2</f>
        <v>583100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IFERROR(VLOOKUP(B55,input_583100!L:R,7,FALSE),VLOOKUP(tables_583100!C55,input_583100!A:H,8,FALSE))</f>
        <v>1281536.51</v>
      </c>
      <c r="P55" s="44">
        <f t="shared" ca="1" si="1"/>
        <v>9.4009427083608516E-3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input_583100!A$2</f>
        <v>583100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IFERROR(VLOOKUP(B56,input_583100!L:R,7,FALSE),VLOOKUP(tables_583100!C56,input_583100!A:H,8,FALSE))</f>
        <v>26599.194230000001</v>
      </c>
      <c r="P56" s="44">
        <f t="shared" ca="1" si="1"/>
        <v>1.9512319711031294E-4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input_583100!A$2</f>
        <v>583100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IFERROR(VLOOKUP(B57,input_583100!L:R,7,FALSE),VLOOKUP(tables_583100!C57,input_583100!A:H,8,FALSE))</f>
        <v>0</v>
      </c>
      <c r="P57" s="44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input_583100!A$2</f>
        <v>583100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IFERROR(VLOOKUP(B58,input_583100!L:R,7,FALSE),VLOOKUP(tables_583100!C58,input_583100!A:H,8,FALSE))</f>
        <v>1281536.51</v>
      </c>
      <c r="P58" s="44">
        <f t="shared" ca="1" si="1"/>
        <v>9.4009427083608516E-3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input_583100!A$2</f>
        <v>583100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IFERROR(VLOOKUP(B59,input_583100!L:R,7,FALSE),VLOOKUP(tables_583100!C59,input_583100!A:H,8,FALSE))</f>
        <v>26599.194230000001</v>
      </c>
      <c r="P59" s="44">
        <f t="shared" ca="1" si="1"/>
        <v>1.9512319711031294E-4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input_583100!A$2</f>
        <v>583100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IFERROR(VLOOKUP(B60,input_583100!L:R,7,FALSE),VLOOKUP(tables_583100!C60,input_583100!A:H,8,FALSE))</f>
        <v>0</v>
      </c>
      <c r="P60" s="44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input_583100!A$2</f>
        <v>583100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IFERROR(VLOOKUP(B61,input_583100!L:R,7,FALSE),VLOOKUP(tables_583100!C61,input_583100!A:H,8,FALSE))</f>
        <v>1281536.51</v>
      </c>
      <c r="P61" s="44">
        <f t="shared" ca="1" si="1"/>
        <v>9.4009427083608516E-3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input_583100!A$2</f>
        <v>583100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IFERROR(VLOOKUP(B62,input_583100!L:R,7,FALSE),VLOOKUP(tables_583100!C62,input_583100!A:H,8,FALSE))</f>
        <v>26599.194230000001</v>
      </c>
      <c r="P62" s="44">
        <f t="shared" ca="1" si="1"/>
        <v>1.9512319711031294E-4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input_583100!A$2</f>
        <v>583100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IFERROR(VLOOKUP(B63,input_583100!L:R,7,FALSE),VLOOKUP(tables_583100!C63,input_583100!A:H,8,FALSE))</f>
        <v>0</v>
      </c>
      <c r="P63" s="44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input_583100!A$2</f>
        <v>583100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IFERROR(VLOOKUP(B64,input_583100!L:R,7,FALSE),VLOOKUP(tables_583100!C64,input_583100!A:H,8,FALSE))</f>
        <v>1281536.51</v>
      </c>
      <c r="P64" s="44">
        <f t="shared" ca="1" si="1"/>
        <v>9.4009427083608516E-3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input_583100!A$2</f>
        <v>583100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IFERROR(VLOOKUP(B65,input_583100!L:R,7,FALSE),VLOOKUP(tables_583100!C65,input_583100!A:H,8,FALSE))</f>
        <v>26599.194230000001</v>
      </c>
      <c r="P65" s="44">
        <f t="shared" ca="1" si="1"/>
        <v>1.9512319711031294E-4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input_583100!A$2</f>
        <v>583100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IFERROR(VLOOKUP(B66,input_583100!L:R,7,FALSE),VLOOKUP(tables_583100!C66,input_583100!A:H,8,FALSE))</f>
        <v>0</v>
      </c>
      <c r="P66" s="44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input_583100!A$2</f>
        <v>583100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IFERROR(VLOOKUP(B67,input_583100!L:R,7,FALSE),VLOOKUP(tables_583100!C67,input_583100!A:H,8,FALSE))</f>
        <v>1281536.51</v>
      </c>
      <c r="P67" s="44">
        <f t="shared" ca="1" si="4"/>
        <v>9.4009427083608516E-3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input_583100!A$2</f>
        <v>583100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IFERROR(VLOOKUP(B68,input_583100!L:R,7,FALSE),VLOOKUP(tables_583100!C68,input_583100!A:H,8,FALSE))</f>
        <v>26599.194230000001</v>
      </c>
      <c r="P68" s="44">
        <f t="shared" ca="1" si="4"/>
        <v>1.9512319711031294E-4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input_583100!A$2</f>
        <v>583100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IFERROR(VLOOKUP(B69,input_583100!L:R,7,FALSE),VLOOKUP(tables_583100!C69,input_583100!A:H,8,FALSE))</f>
        <v>0</v>
      </c>
      <c r="P69" s="44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input_583100!A$2</f>
        <v>583100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IFERROR(VLOOKUP(B70,input_583100!L:R,7,FALSE),VLOOKUP(tables_583100!C70,input_583100!A:H,8,FALSE))</f>
        <v>1281536.51</v>
      </c>
      <c r="P70" s="44">
        <f t="shared" ca="1" si="4"/>
        <v>9.4009427083608516E-3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input_583100!A$2</f>
        <v>583100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IFERROR(VLOOKUP(B71,input_583100!L:R,7,FALSE),VLOOKUP(tables_583100!C71,input_583100!A:H,8,FALSE))</f>
        <v>26599.194230000001</v>
      </c>
      <c r="P71" s="44">
        <f t="shared" ca="1" si="4"/>
        <v>1.9512319711031294E-4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input_583100!A$2</f>
        <v>583100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IFERROR(VLOOKUP(B72,input_583100!L:R,7,FALSE),VLOOKUP(tables_583100!C72,input_583100!A:H,8,FALSE))</f>
        <v>0</v>
      </c>
      <c r="P72" s="44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input_583100!A$2</f>
        <v>583100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IFERROR(VLOOKUP(B73,input_583100!L:R,7,FALSE),VLOOKUP(tables_583100!C73,input_583100!A:H,8,FALSE))</f>
        <v>1281536.51</v>
      </c>
      <c r="P73" s="44">
        <f t="shared" ca="1" si="4"/>
        <v>9.4009427083608516E-3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input_583100!A$2</f>
        <v>583100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IFERROR(VLOOKUP(B74,input_583100!L:R,7,FALSE),VLOOKUP(tables_583100!C74,input_583100!A:H,8,FALSE))</f>
        <v>26599.194230000001</v>
      </c>
      <c r="P74" s="44">
        <f t="shared" ca="1" si="4"/>
        <v>1.9512319711031294E-4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input_583100!A$2</f>
        <v>583100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IFERROR(VLOOKUP(B75,input_583100!L:R,7,FALSE),VLOOKUP(tables_583100!C75,input_583100!A:H,8,FALSE))</f>
        <v>0</v>
      </c>
      <c r="P75" s="44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input_583100!A$2</f>
        <v>583100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IFERROR(VLOOKUP(B76,input_583100!L:R,7,FALSE),VLOOKUP(tables_583100!C76,input_583100!A:H,8,FALSE))</f>
        <v>1281536.51</v>
      </c>
      <c r="P76" s="44">
        <f t="shared" ca="1" si="4"/>
        <v>9.4009427083608516E-3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input_583100!A$2</f>
        <v>583100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IFERROR(VLOOKUP(B77,input_583100!L:R,7,FALSE),VLOOKUP(tables_583100!C77,input_583100!A:H,8,FALSE))</f>
        <v>26599.194230000001</v>
      </c>
      <c r="P77" s="44">
        <f t="shared" ca="1" si="4"/>
        <v>1.9512319711031294E-4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input_583100!A$2</f>
        <v>583100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IFERROR(VLOOKUP(B78,input_583100!L:R,7,FALSE),VLOOKUP(tables_583100!C78,input_583100!A:H,8,FALSE))</f>
        <v>0</v>
      </c>
      <c r="P78" s="44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input_583100!A$2</f>
        <v>583100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IFERROR(VLOOKUP(B79,input_583100!L:R,7,FALSE),VLOOKUP(tables_583100!C79,input_583100!A:H,8,FALSE))</f>
        <v>1281536.51</v>
      </c>
      <c r="P79" s="44">
        <f t="shared" ca="1" si="4"/>
        <v>9.4009427083608516E-3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input_583100!A$2</f>
        <v>583100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IFERROR(VLOOKUP(B80,input_583100!L:R,7,FALSE),VLOOKUP(tables_583100!C80,input_583100!A:H,8,FALSE))</f>
        <v>26599.194230000001</v>
      </c>
      <c r="P80" s="44">
        <f t="shared" ca="1" si="4"/>
        <v>1.9512319711031294E-4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input_583100!A$2</f>
        <v>583100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IFERROR(VLOOKUP(B81,input_583100!L:R,7,FALSE),VLOOKUP(tables_583100!C81,input_583100!A:H,8,FALSE))</f>
        <v>0</v>
      </c>
      <c r="P81" s="44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input_583100!A$2</f>
        <v>583100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IFERROR(VLOOKUP(B82,input_583100!L:R,7,FALSE),VLOOKUP(tables_583100!C82,input_583100!A:H,8,FALSE))</f>
        <v>1281536.51</v>
      </c>
      <c r="P82" s="44">
        <f t="shared" ca="1" si="4"/>
        <v>9.4009427083608516E-3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input_583100!A$2</f>
        <v>583100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IFERROR(VLOOKUP(B83,input_583100!L:R,7,FALSE),VLOOKUP(tables_583100!C83,input_583100!A:H,8,FALSE))</f>
        <v>26599.194230000001</v>
      </c>
      <c r="P83" s="44">
        <f t="shared" ca="1" si="4"/>
        <v>1.9512319711031294E-4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input_583100!A$2</f>
        <v>583100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IFERROR(VLOOKUP(B84,input_583100!L:R,7,FALSE),VLOOKUP(tables_583100!C84,input_583100!A:H,8,FALSE))</f>
        <v>0</v>
      </c>
      <c r="P84" s="44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input_583100!A$2</f>
        <v>583100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IFERROR(VLOOKUP(B85,input_583100!L:R,7,FALSE),VLOOKUP(tables_583100!C85,input_583100!A:H,8,FALSE))</f>
        <v>1281536.51</v>
      </c>
      <c r="P85" s="44">
        <f t="shared" ca="1" si="4"/>
        <v>9.4009427083608516E-3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input_583100!A$2</f>
        <v>583100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IFERROR(VLOOKUP(B86,input_583100!L:R,7,FALSE),VLOOKUP(tables_583100!C86,input_583100!A:H,8,FALSE))</f>
        <v>26599.194230000001</v>
      </c>
      <c r="P86" s="44">
        <f t="shared" ca="1" si="4"/>
        <v>1.9512319711031294E-4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input_583100!A$2</f>
        <v>583100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IFERROR(VLOOKUP(B87,input_583100!L:R,7,FALSE),VLOOKUP(tables_583100!C87,input_583100!A:H,8,FALSE))</f>
        <v>0</v>
      </c>
      <c r="P87" s="44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input_583100!A$2</f>
        <v>583100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IFERROR(VLOOKUP(B88,input_583100!L:R,7,FALSE),VLOOKUP(tables_583100!C88,input_583100!A:H,8,FALSE))</f>
        <v>1281536.51</v>
      </c>
      <c r="P88" s="44">
        <f t="shared" ca="1" si="4"/>
        <v>9.4009427083608516E-3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input_583100!A$2</f>
        <v>583100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IFERROR(VLOOKUP(B89,input_583100!L:R,7,FALSE),VLOOKUP(tables_583100!C89,input_583100!A:H,8,FALSE))</f>
        <v>26599.194230000001</v>
      </c>
      <c r="P89" s="44">
        <f t="shared" ca="1" si="4"/>
        <v>1.9512319711031294E-4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input_583100!A$2</f>
        <v>583100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IFERROR(VLOOKUP(B90,input_583100!L:R,7,FALSE),VLOOKUP(tables_583100!C90,input_583100!A:H,8,FALSE))</f>
        <v>0</v>
      </c>
      <c r="P90" s="44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input_583100!A$2</f>
        <v>583100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IFERROR(VLOOKUP(B91,input_583100!L:R,7,FALSE),VLOOKUP(tables_583100!C91,input_583100!A:H,8,FALSE))</f>
        <v>1281536.51</v>
      </c>
      <c r="P91" s="44">
        <f t="shared" ca="1" si="4"/>
        <v>9.4009427083608516E-3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input_583100!A$2</f>
        <v>583100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IFERROR(VLOOKUP(B92,input_583100!L:R,7,FALSE),VLOOKUP(tables_583100!C92,input_583100!A:H,8,FALSE))</f>
        <v>26599.194230000001</v>
      </c>
      <c r="P92" s="44">
        <f t="shared" ca="1" si="4"/>
        <v>1.9512319711031294E-4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input_583100!A$2</f>
        <v>583100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IFERROR(VLOOKUP(B93,input_583100!L:R,7,FALSE),VLOOKUP(tables_583100!C93,input_583100!A:H,8,FALSE))</f>
        <v>0</v>
      </c>
      <c r="P93" s="44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input_583100!A$2</f>
        <v>583100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IFERROR(VLOOKUP(B94,input_583100!L:R,7,FALSE),VLOOKUP(tables_583100!C94,input_583100!A:H,8,FALSE))</f>
        <v>1281536.51</v>
      </c>
      <c r="P94" s="44">
        <f t="shared" ca="1" si="4"/>
        <v>9.4009427083608516E-3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input_583100!A$2</f>
        <v>583100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IFERROR(VLOOKUP(B95,input_583100!L:R,7,FALSE),VLOOKUP(tables_583100!C95,input_583100!A:H,8,FALSE))</f>
        <v>26599.194230000001</v>
      </c>
      <c r="P95" s="44">
        <f t="shared" ca="1" si="4"/>
        <v>1.9512319711031294E-4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input_583100!A$2</f>
        <v>583100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IFERROR(VLOOKUP(B96,input_583100!L:R,7,FALSE),VLOOKUP(tables_583100!C96,input_583100!A:H,8,FALSE))</f>
        <v>0</v>
      </c>
      <c r="P96" s="44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input_583100!A$2</f>
        <v>583100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IFERROR(VLOOKUP(B97,input_583100!L:R,7,FALSE),VLOOKUP(tables_583100!C97,input_583100!A:H,8,FALSE))</f>
        <v>1281536.51</v>
      </c>
      <c r="P97" s="44">
        <f t="shared" ca="1" si="4"/>
        <v>9.4009427083608516E-3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input_583100!A$2</f>
        <v>583100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IFERROR(VLOOKUP(B98,input_583100!L:R,7,FALSE),VLOOKUP(tables_583100!C98,input_583100!A:H,8,FALSE))</f>
        <v>26599.194230000001</v>
      </c>
      <c r="P98" s="44">
        <f t="shared" ca="1" si="4"/>
        <v>1.9512319711031294E-4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input_583100!A$2</f>
        <v>583100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IFERROR(VLOOKUP(B99,input_583100!L:R,7,FALSE),VLOOKUP(tables_583100!C99,input_583100!A:H,8,FALSE))</f>
        <v>0</v>
      </c>
      <c r="P99" s="44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input_583100!A$2</f>
        <v>583100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IFERROR(VLOOKUP(B100,input_583100!L:R,7,FALSE),VLOOKUP(tables_583100!C100,input_583100!A:H,8,FALSE))</f>
        <v>1281536.51</v>
      </c>
      <c r="P100" s="44">
        <f t="shared" ca="1" si="4"/>
        <v>9.4009427083608516E-3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input_583100!A$2</f>
        <v>583100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IFERROR(VLOOKUP(B101,input_583100!L:R,7,FALSE),VLOOKUP(tables_583100!C101,input_583100!A:H,8,FALSE))</f>
        <v>26599.194230000001</v>
      </c>
      <c r="P101" s="44">
        <f t="shared" ca="1" si="4"/>
        <v>1.9512319711031294E-4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input_583100!A$2</f>
        <v>583100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IFERROR(VLOOKUP(B102,input_583100!L:R,7,FALSE),VLOOKUP(tables_583100!C102,input_583100!A:H,8,FALSE))</f>
        <v>0</v>
      </c>
      <c r="P102" s="44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input_583100!A$2</f>
        <v>583100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IFERROR(VLOOKUP(B103,input_583100!L:R,7,FALSE),VLOOKUP(tables_583100!C103,input_583100!A:H,8,FALSE))</f>
        <v>1281536.51</v>
      </c>
      <c r="P103" s="44">
        <f t="shared" ca="1" si="4"/>
        <v>9.4009427083608516E-3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input_583100!A$2</f>
        <v>583100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IFERROR(VLOOKUP(B104,input_583100!L:R,7,FALSE),VLOOKUP(tables_583100!C104,input_583100!A:H,8,FALSE))</f>
        <v>26599.194230000001</v>
      </c>
      <c r="P104" s="44">
        <f t="shared" ca="1" si="4"/>
        <v>1.9512319711031294E-4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input_583100!A$2</f>
        <v>583100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IFERROR(VLOOKUP(B105,input_583100!L:R,7,FALSE),VLOOKUP(tables_583100!C105,input_583100!A:H,8,FALSE))</f>
        <v>0</v>
      </c>
      <c r="P105" s="44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input_583100!A$2</f>
        <v>583100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IFERROR(VLOOKUP(B106,input_583100!L:R,7,FALSE),VLOOKUP(tables_583100!C106,input_583100!A:H,8,FALSE))</f>
        <v>1281536.51</v>
      </c>
      <c r="P106" s="44">
        <f t="shared" ca="1" si="4"/>
        <v>9.4009427083608516E-3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input_583100!A$2</f>
        <v>583100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IFERROR(VLOOKUP(B107,input_583100!L:R,7,FALSE),VLOOKUP(tables_583100!C107,input_583100!A:H,8,FALSE))</f>
        <v>26599.194230000001</v>
      </c>
      <c r="P107" s="44">
        <f t="shared" ca="1" si="4"/>
        <v>1.9512319711031294E-4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input_583100!A$2</f>
        <v>583100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IFERROR(VLOOKUP(B108,input_583100!L:R,7,FALSE),VLOOKUP(tables_583100!C108,input_583100!A:H,8,FALSE))</f>
        <v>0</v>
      </c>
      <c r="P108" s="44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input_583100!A$2</f>
        <v>583100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IFERROR(VLOOKUP(B109,input_583100!L:R,7,FALSE),VLOOKUP(tables_583100!C109,input_583100!A:H,8,FALSE))</f>
        <v>1281536.51</v>
      </c>
      <c r="P109" s="44">
        <f t="shared" ca="1" si="4"/>
        <v>9.4009427083608516E-3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input_583100!A$2</f>
        <v>583100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IFERROR(VLOOKUP(B110,input_583100!L:R,7,FALSE),VLOOKUP(tables_583100!C110,input_583100!A:H,8,FALSE))</f>
        <v>26599.194230000001</v>
      </c>
      <c r="P110" s="44">
        <f t="shared" ca="1" si="4"/>
        <v>1.9512319711031294E-4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input_583100!A$2</f>
        <v>583100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IFERROR(VLOOKUP(B111,input_583100!L:R,7,FALSE),VLOOKUP(tables_583100!C111,input_583100!A:H,8,FALSE))</f>
        <v>0</v>
      </c>
      <c r="P111" s="44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input_583100!A$2</f>
        <v>583100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IFERROR(VLOOKUP(B112,input_583100!L:R,7,FALSE),VLOOKUP(tables_583100!C112,input_583100!A:H,8,FALSE))</f>
        <v>1281536.51</v>
      </c>
      <c r="P112" s="44">
        <f t="shared" ca="1" si="4"/>
        <v>9.4009427083608516E-3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input_583100!A$2</f>
        <v>583100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IFERROR(VLOOKUP(B113,input_583100!L:R,7,FALSE),VLOOKUP(tables_583100!C113,input_583100!A:H,8,FALSE))</f>
        <v>67449.289999999994</v>
      </c>
      <c r="P113" s="44">
        <f t="shared" ca="1" si="4"/>
        <v>4.9478645833478158E-4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input_583100!A$2</f>
        <v>583100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IFERROR(VLOOKUP(B114,input_583100!L:R,7,FALSE),VLOOKUP(tables_583100!C114,input_583100!A:H,8,FALSE))</f>
        <v>0</v>
      </c>
      <c r="P114" s="44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input_583100!A$2</f>
        <v>583100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IFERROR(VLOOKUP(B115,input_583100!L:R,7,FALSE),VLOOKUP(tables_583100!C115,input_583100!A:H,8,FALSE))</f>
        <v>1281536.51</v>
      </c>
      <c r="P115" s="44">
        <f t="shared" ca="1" si="4"/>
        <v>9.4009427083608516E-3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input_583100!A$2</f>
        <v>583100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IFERROR(VLOOKUP(B116,input_583100!L:R,7,FALSE),VLOOKUP(tables_583100!C116,input_583100!A:H,8,FALSE))</f>
        <v>26599.194230000001</v>
      </c>
      <c r="P116" s="44">
        <f t="shared" ca="1" si="4"/>
        <v>1.9512319711031294E-4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input_583100!A$2</f>
        <v>583100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IFERROR(VLOOKUP(B117,input_583100!L:R,7,FALSE),VLOOKUP(tables_583100!C117,input_583100!A:H,8,FALSE))</f>
        <v>0</v>
      </c>
      <c r="P117" s="44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input_583100!A$2</f>
        <v>583100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IFERROR(VLOOKUP(B118,input_583100!L:R,7,FALSE),VLOOKUP(tables_583100!C118,input_583100!A:H,8,FALSE))</f>
        <v>1281536.51</v>
      </c>
      <c r="P118" s="44">
        <f t="shared" ca="1" si="4"/>
        <v>9.4009427083608516E-3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input_583100!A$2</f>
        <v>583100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IFERROR(VLOOKUP(B119,input_583100!L:R,7,FALSE),VLOOKUP(tables_583100!C119,input_583100!A:H,8,FALSE))</f>
        <v>26599.194230000001</v>
      </c>
      <c r="P119" s="44">
        <f t="shared" ca="1" si="4"/>
        <v>1.9512319711031294E-4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input_583100!A$2</f>
        <v>583100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IFERROR(VLOOKUP(B120,input_583100!L:R,7,FALSE),VLOOKUP(tables_583100!C120,input_583100!A:H,8,FALSE))</f>
        <v>0</v>
      </c>
      <c r="P120" s="44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input_583100!A$2</f>
        <v>583100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IFERROR(VLOOKUP(B121,input_583100!L:R,7,FALSE),VLOOKUP(tables_583100!C121,input_583100!A:H,8,FALSE))</f>
        <v>1281536.51</v>
      </c>
      <c r="P121" s="44">
        <f t="shared" ca="1" si="4"/>
        <v>9.4009427083608516E-3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input_583100!A$2</f>
        <v>583100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IFERROR(VLOOKUP(B122,input_583100!L:R,7,FALSE),VLOOKUP(tables_583100!C122,input_583100!A:H,8,FALSE))</f>
        <v>26599.194230000001</v>
      </c>
      <c r="P122" s="44">
        <f t="shared" ca="1" si="4"/>
        <v>1.9512319711031294E-4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input_583100!A$2</f>
        <v>583100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IFERROR(VLOOKUP(B123,input_583100!L:R,7,FALSE),VLOOKUP(tables_583100!C123,input_583100!A:H,8,FALSE))</f>
        <v>0</v>
      </c>
      <c r="P123" s="44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input_583100!A$2</f>
        <v>583100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IFERROR(VLOOKUP(B124,input_583100!L:R,7,FALSE),VLOOKUP(tables_583100!C124,input_583100!A:H,8,FALSE))</f>
        <v>1281536.51</v>
      </c>
      <c r="P124" s="44">
        <f t="shared" ca="1" si="4"/>
        <v>9.4009427083608516E-3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input_583100!A$2</f>
        <v>583100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IFERROR(VLOOKUP(B125,input_583100!L:R,7,FALSE),VLOOKUP(tables_583100!C125,input_583100!A:H,8,FALSE))</f>
        <v>26599.194230000001</v>
      </c>
      <c r="P125" s="44">
        <f t="shared" ca="1" si="4"/>
        <v>1.9512319711031294E-4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input_583100!A$2</f>
        <v>583100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IFERROR(VLOOKUP(B126,input_583100!L:R,7,FALSE),VLOOKUP(tables_583100!C126,input_583100!A:H,8,FALSE))</f>
        <v>0</v>
      </c>
      <c r="P126" s="44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input_583100!A$2</f>
        <v>583100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IFERROR(VLOOKUP(B127,input_583100!L:R,7,FALSE),VLOOKUP(tables_583100!C127,input_583100!A:H,8,FALSE))</f>
        <v>1281536.51</v>
      </c>
      <c r="P127" s="44">
        <f t="shared" ca="1" si="4"/>
        <v>9.4009427083608516E-3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input_583100!A$2</f>
        <v>583100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IFERROR(VLOOKUP(B128,input_583100!L:R,7,FALSE),VLOOKUP(tables_583100!C128,input_583100!A:H,8,FALSE))</f>
        <v>26599.194230000001</v>
      </c>
      <c r="P128" s="44">
        <f t="shared" ca="1" si="4"/>
        <v>1.9512319711031294E-4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input_583100!A$2</f>
        <v>583100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IFERROR(VLOOKUP(B129,input_583100!L:R,7,FALSE),VLOOKUP(tables_583100!C129,input_583100!A:H,8,FALSE))</f>
        <v>0</v>
      </c>
      <c r="P129" s="44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input_583100!A$2</f>
        <v>583100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IFERROR(VLOOKUP(B130,input_583100!L:R,7,FALSE),VLOOKUP(tables_583100!C130,input_583100!A:H,8,FALSE))</f>
        <v>1281536.51</v>
      </c>
      <c r="P130" s="44">
        <f t="shared" ref="P130:P193" ca="1" si="7">O130/SUM(O:O)</f>
        <v>9.4009427083608516E-3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input_583100!A$2</f>
        <v>583100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IFERROR(VLOOKUP(B131,input_583100!L:R,7,FALSE),VLOOKUP(tables_583100!C131,input_583100!A:H,8,FALSE))</f>
        <v>26599.194230000001</v>
      </c>
      <c r="P131" s="44">
        <f t="shared" ca="1" si="7"/>
        <v>1.9512319711031294E-4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input_583100!A$2</f>
        <v>583100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IFERROR(VLOOKUP(B132,input_583100!L:R,7,FALSE),VLOOKUP(tables_583100!C132,input_583100!A:H,8,FALSE))</f>
        <v>0</v>
      </c>
      <c r="P132" s="44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input_583100!A$2</f>
        <v>583100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IFERROR(VLOOKUP(B133,input_583100!L:R,7,FALSE),VLOOKUP(tables_583100!C133,input_583100!A:H,8,FALSE))</f>
        <v>1281536.51</v>
      </c>
      <c r="P133" s="44">
        <f t="shared" ca="1" si="7"/>
        <v>9.4009427083608516E-3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input_583100!A$2</f>
        <v>583100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IFERROR(VLOOKUP(B134,input_583100!L:R,7,FALSE),VLOOKUP(tables_583100!C134,input_583100!A:H,8,FALSE))</f>
        <v>26599.194230000001</v>
      </c>
      <c r="P134" s="44">
        <f t="shared" ca="1" si="7"/>
        <v>1.9512319711031294E-4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input_583100!A$2</f>
        <v>583100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IFERROR(VLOOKUP(B135,input_583100!L:R,7,FALSE),VLOOKUP(tables_583100!C135,input_583100!A:H,8,FALSE))</f>
        <v>0</v>
      </c>
      <c r="P135" s="44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input_583100!A$2</f>
        <v>583100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IFERROR(VLOOKUP(B136,input_583100!L:R,7,FALSE),VLOOKUP(tables_583100!C136,input_583100!A:H,8,FALSE))</f>
        <v>1281536.51</v>
      </c>
      <c r="P136" s="44">
        <f t="shared" ca="1" si="7"/>
        <v>9.4009427083608516E-3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input_583100!A$2</f>
        <v>583100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IFERROR(VLOOKUP(B137,input_583100!L:R,7,FALSE),VLOOKUP(tables_583100!C137,input_583100!A:H,8,FALSE))</f>
        <v>26599.194230000001</v>
      </c>
      <c r="P137" s="44">
        <f t="shared" ca="1" si="7"/>
        <v>1.9512319711031294E-4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input_583100!A$2</f>
        <v>583100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IFERROR(VLOOKUP(B138,input_583100!L:R,7,FALSE),VLOOKUP(tables_583100!C138,input_583100!A:H,8,FALSE))</f>
        <v>121714.28571</v>
      </c>
      <c r="P138" s="44">
        <f t="shared" ca="1" si="7"/>
        <v>8.9285714282831769E-4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input_583100!A$2</f>
        <v>583100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IFERROR(VLOOKUP(B139,input_583100!L:R,7,FALSE),VLOOKUP(tables_583100!C139,input_583100!A:H,8,FALSE))</f>
        <v>47333.333330000001</v>
      </c>
      <c r="P139" s="44">
        <f t="shared" ca="1" si="7"/>
        <v>3.4722222219878634E-4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input_583100!A$2</f>
        <v>583100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IFERROR(VLOOKUP(B140,input_583100!L:R,7,FALSE),VLOOKUP(tables_583100!C140,input_583100!A:H,8,FALSE))</f>
        <v>121714.28571</v>
      </c>
      <c r="P140" s="44">
        <f t="shared" ca="1" si="7"/>
        <v>8.9285714282831769E-4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input_583100!A$2</f>
        <v>583100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IFERROR(VLOOKUP(B141,input_583100!L:R,7,FALSE),VLOOKUP(tables_583100!C141,input_583100!A:H,8,FALSE))</f>
        <v>47333.333330000001</v>
      </c>
      <c r="P141" s="44">
        <f t="shared" ca="1" si="7"/>
        <v>3.4722222219878634E-4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input_583100!A$2</f>
        <v>583100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IFERROR(VLOOKUP(B142,input_583100!L:R,7,FALSE),VLOOKUP(tables_583100!C142,input_583100!A:H,8,FALSE))</f>
        <v>121714.28571</v>
      </c>
      <c r="P142" s="44">
        <f t="shared" ca="1" si="7"/>
        <v>8.9285714282831769E-4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input_583100!A$2</f>
        <v>583100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IFERROR(VLOOKUP(B143,input_583100!L:R,7,FALSE),VLOOKUP(tables_583100!C143,input_583100!A:H,8,FALSE))</f>
        <v>47333.333330000001</v>
      </c>
      <c r="P143" s="44">
        <f t="shared" ca="1" si="7"/>
        <v>3.4722222219878634E-4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input_583100!A$2</f>
        <v>583100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IFERROR(VLOOKUP(B144,input_583100!L:R,7,FALSE),VLOOKUP(tables_583100!C144,input_583100!A:H,8,FALSE))</f>
        <v>121714.28571</v>
      </c>
      <c r="P144" s="44">
        <f t="shared" ca="1" si="7"/>
        <v>8.9285714282831769E-4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input_583100!A$2</f>
        <v>583100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IFERROR(VLOOKUP(B145,input_583100!L:R,7,FALSE),VLOOKUP(tables_583100!C145,input_583100!A:H,8,FALSE))</f>
        <v>47333.333330000001</v>
      </c>
      <c r="P145" s="44">
        <f t="shared" ca="1" si="7"/>
        <v>3.4722222219878634E-4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input_583100!A$2</f>
        <v>583100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IFERROR(VLOOKUP(B146,input_583100!L:R,7,FALSE),VLOOKUP(tables_583100!C146,input_583100!A:H,8,FALSE))</f>
        <v>0</v>
      </c>
      <c r="P146" s="44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input_583100!A$2</f>
        <v>583100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IFERROR(VLOOKUP(B147,input_583100!L:R,7,FALSE),VLOOKUP(tables_583100!C147,input_583100!A:H,8,FALSE))</f>
        <v>1281536.51</v>
      </c>
      <c r="P147" s="44">
        <f t="shared" ca="1" si="7"/>
        <v>9.4009427083608516E-3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input_583100!A$2</f>
        <v>583100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IFERROR(VLOOKUP(B148,input_583100!L:R,7,FALSE),VLOOKUP(tables_583100!C148,input_583100!A:H,8,FALSE))</f>
        <v>26599.194230000001</v>
      </c>
      <c r="P148" s="44">
        <f t="shared" ca="1" si="7"/>
        <v>1.9512319711031294E-4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input_583100!A$2</f>
        <v>583100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IFERROR(VLOOKUP(B149,input_583100!L:R,7,FALSE),VLOOKUP(tables_583100!C149,input_583100!A:H,8,FALSE))</f>
        <v>121714.28571</v>
      </c>
      <c r="P149" s="44">
        <f t="shared" ca="1" si="7"/>
        <v>8.9285714282831769E-4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input_583100!A$2</f>
        <v>583100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IFERROR(VLOOKUP(B150,input_583100!L:R,7,FALSE),VLOOKUP(tables_583100!C150,input_583100!A:H,8,FALSE))</f>
        <v>47333.333330000001</v>
      </c>
      <c r="P150" s="44">
        <f t="shared" ca="1" si="7"/>
        <v>3.4722222219878634E-4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input_583100!A$2</f>
        <v>583100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IFERROR(VLOOKUP(B151,input_583100!L:R,7,FALSE),VLOOKUP(tables_583100!C151,input_583100!A:H,8,FALSE))</f>
        <v>121714.28571</v>
      </c>
      <c r="P151" s="44">
        <f t="shared" ca="1" si="7"/>
        <v>8.9285714282831769E-4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input_583100!A$2</f>
        <v>583100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IFERROR(VLOOKUP(B152,input_583100!L:R,7,FALSE),VLOOKUP(tables_583100!C152,input_583100!A:H,8,FALSE))</f>
        <v>47333.333330000001</v>
      </c>
      <c r="P152" s="44">
        <f t="shared" ca="1" si="7"/>
        <v>3.4722222219878634E-4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input_583100!A$2</f>
        <v>583100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IFERROR(VLOOKUP(B153,input_583100!L:R,7,FALSE),VLOOKUP(tables_583100!C153,input_583100!A:H,8,FALSE))</f>
        <v>0</v>
      </c>
      <c r="P153" s="44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input_583100!A$2</f>
        <v>583100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IFERROR(VLOOKUP(B154,input_583100!L:R,7,FALSE),VLOOKUP(tables_583100!C154,input_583100!A:H,8,FALSE))</f>
        <v>1281536.51</v>
      </c>
      <c r="P154" s="44">
        <f t="shared" ca="1" si="7"/>
        <v>9.4009427083608516E-3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input_583100!A$2</f>
        <v>583100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IFERROR(VLOOKUP(B155,input_583100!L:R,7,FALSE),VLOOKUP(tables_583100!C155,input_583100!A:H,8,FALSE))</f>
        <v>26599.194230000001</v>
      </c>
      <c r="P155" s="44">
        <f t="shared" ca="1" si="7"/>
        <v>1.9512319711031294E-4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input_583100!A$2</f>
        <v>583100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IFERROR(VLOOKUP(B156,input_583100!L:R,7,FALSE),VLOOKUP(tables_583100!C156,input_583100!A:H,8,FALSE))</f>
        <v>121714.28571</v>
      </c>
      <c r="P156" s="44">
        <f t="shared" ca="1" si="7"/>
        <v>8.9285714282831769E-4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input_583100!A$2</f>
        <v>583100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IFERROR(VLOOKUP(B157,input_583100!L:R,7,FALSE),VLOOKUP(tables_583100!C157,input_583100!A:H,8,FALSE))</f>
        <v>47333.333330000001</v>
      </c>
      <c r="P157" s="44">
        <f t="shared" ca="1" si="7"/>
        <v>3.4722222219878634E-4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input_583100!A$2</f>
        <v>583100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IFERROR(VLOOKUP(B158,input_583100!L:R,7,FALSE),VLOOKUP(tables_583100!C158,input_583100!A:H,8,FALSE))</f>
        <v>0</v>
      </c>
      <c r="P158" s="44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input_583100!A$2</f>
        <v>583100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IFERROR(VLOOKUP(B159,input_583100!L:R,7,FALSE),VLOOKUP(tables_583100!C159,input_583100!A:H,8,FALSE))</f>
        <v>1281536.51</v>
      </c>
      <c r="P159" s="44">
        <f t="shared" ca="1" si="7"/>
        <v>9.4009427083608516E-3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input_583100!A$2</f>
        <v>583100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IFERROR(VLOOKUP(B160,input_583100!L:R,7,FALSE),VLOOKUP(tables_583100!C160,input_583100!A:H,8,FALSE))</f>
        <v>26599.194230000001</v>
      </c>
      <c r="P160" s="44">
        <f t="shared" ca="1" si="7"/>
        <v>1.9512319711031294E-4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input_583100!A$2</f>
        <v>583100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IFERROR(VLOOKUP(B161,input_583100!L:R,7,FALSE),VLOOKUP(tables_583100!C161,input_583100!A:H,8,FALSE))</f>
        <v>0</v>
      </c>
      <c r="P161" s="44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input_583100!A$2</f>
        <v>583100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IFERROR(VLOOKUP(B162,input_583100!L:R,7,FALSE),VLOOKUP(tables_583100!C162,input_583100!A:H,8,FALSE))</f>
        <v>1281536.51</v>
      </c>
      <c r="P162" s="44">
        <f t="shared" ca="1" si="7"/>
        <v>9.4009427083608516E-3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input_583100!A$2</f>
        <v>583100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IFERROR(VLOOKUP(B163,input_583100!L:R,7,FALSE),VLOOKUP(tables_583100!C163,input_583100!A:H,8,FALSE))</f>
        <v>26599.194230000001</v>
      </c>
      <c r="P163" s="44">
        <f t="shared" ca="1" si="7"/>
        <v>1.9512319711031294E-4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input_583100!A$2</f>
        <v>583100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IFERROR(VLOOKUP(B164,input_583100!L:R,7,FALSE),VLOOKUP(tables_583100!C164,input_583100!A:H,8,FALSE))</f>
        <v>121714.28571</v>
      </c>
      <c r="P164" s="44">
        <f t="shared" ca="1" si="7"/>
        <v>8.9285714282831769E-4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input_583100!A$2</f>
        <v>583100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IFERROR(VLOOKUP(B165,input_583100!L:R,7,FALSE),VLOOKUP(tables_583100!C165,input_583100!A:H,8,FALSE))</f>
        <v>47333.333330000001</v>
      </c>
      <c r="P165" s="44">
        <f t="shared" ca="1" si="7"/>
        <v>3.4722222219878634E-4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input_583100!A$2</f>
        <v>583100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IFERROR(VLOOKUP(B166,input_583100!L:R,7,FALSE),VLOOKUP(tables_583100!C166,input_583100!A:H,8,FALSE))</f>
        <v>0</v>
      </c>
      <c r="P166" s="44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input_583100!A$2</f>
        <v>583100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IFERROR(VLOOKUP(B167,input_583100!L:R,7,FALSE),VLOOKUP(tables_583100!C167,input_583100!A:H,8,FALSE))</f>
        <v>1281536.51</v>
      </c>
      <c r="P167" s="44">
        <f t="shared" ca="1" si="7"/>
        <v>9.4009427083608516E-3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input_583100!A$2</f>
        <v>583100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IFERROR(VLOOKUP(B168,input_583100!L:R,7,FALSE),VLOOKUP(tables_583100!C168,input_583100!A:H,8,FALSE))</f>
        <v>26599.194230000001</v>
      </c>
      <c r="P168" s="44">
        <f t="shared" ca="1" si="7"/>
        <v>1.9512319711031294E-4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input_583100!A$2</f>
        <v>583100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IFERROR(VLOOKUP(B169,input_583100!L:R,7,FALSE),VLOOKUP(tables_583100!C169,input_583100!A:H,8,FALSE))</f>
        <v>121714.28571</v>
      </c>
      <c r="P169" s="44">
        <f t="shared" ca="1" si="7"/>
        <v>8.9285714282831769E-4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input_583100!A$2</f>
        <v>583100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IFERROR(VLOOKUP(B170,input_583100!L:R,7,FALSE),VLOOKUP(tables_583100!C170,input_583100!A:H,8,FALSE))</f>
        <v>47333.333330000001</v>
      </c>
      <c r="P170" s="44">
        <f t="shared" ca="1" si="7"/>
        <v>3.4722222219878634E-4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input_583100!A$2</f>
        <v>583100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IFERROR(VLOOKUP(B171,input_583100!L:R,7,FALSE),VLOOKUP(tables_583100!C171,input_583100!A:H,8,FALSE))</f>
        <v>0</v>
      </c>
      <c r="P171" s="44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input_583100!A$2</f>
        <v>583100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IFERROR(VLOOKUP(B172,input_583100!L:R,7,FALSE),VLOOKUP(tables_583100!C172,input_583100!A:H,8,FALSE))</f>
        <v>1281536.51</v>
      </c>
      <c r="P172" s="44">
        <f t="shared" ca="1" si="7"/>
        <v>9.4009427083608516E-3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input_583100!A$2</f>
        <v>583100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IFERROR(VLOOKUP(B173,input_583100!L:R,7,FALSE),VLOOKUP(tables_583100!C173,input_583100!A:H,8,FALSE))</f>
        <v>26599.194230000001</v>
      </c>
      <c r="P173" s="44">
        <f t="shared" ca="1" si="7"/>
        <v>1.9512319711031294E-4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input_583100!A$2</f>
        <v>583100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IFERROR(VLOOKUP(B174,input_583100!L:R,7,FALSE),VLOOKUP(tables_583100!C174,input_583100!A:H,8,FALSE))</f>
        <v>121714.28571</v>
      </c>
      <c r="P174" s="44">
        <f t="shared" ca="1" si="7"/>
        <v>8.9285714282831769E-4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input_583100!A$2</f>
        <v>583100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IFERROR(VLOOKUP(B175,input_583100!L:R,7,FALSE),VLOOKUP(tables_583100!C175,input_583100!A:H,8,FALSE))</f>
        <v>47333.333330000001</v>
      </c>
      <c r="P175" s="44">
        <f t="shared" ca="1" si="7"/>
        <v>3.4722222219878634E-4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input_583100!A$2</f>
        <v>583100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IFERROR(VLOOKUP(B176,input_583100!L:R,7,FALSE),VLOOKUP(tables_583100!C176,input_583100!A:H,8,FALSE))</f>
        <v>121714.28571</v>
      </c>
      <c r="P176" s="44">
        <f t="shared" ca="1" si="7"/>
        <v>8.9285714282831769E-4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input_583100!A$2</f>
        <v>583100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IFERROR(VLOOKUP(B177,input_583100!L:R,7,FALSE),VLOOKUP(tables_583100!C177,input_583100!A:H,8,FALSE))</f>
        <v>47333.333330000001</v>
      </c>
      <c r="P177" s="44">
        <f t="shared" ca="1" si="7"/>
        <v>3.4722222219878634E-4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input_583100!A$2</f>
        <v>583100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IFERROR(VLOOKUP(B178,input_583100!L:R,7,FALSE),VLOOKUP(tables_583100!C178,input_583100!A:H,8,FALSE))</f>
        <v>0</v>
      </c>
      <c r="P178" s="44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input_583100!A$2</f>
        <v>583100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IFERROR(VLOOKUP(B179,input_583100!L:R,7,FALSE),VLOOKUP(tables_583100!C179,input_583100!A:H,8,FALSE))</f>
        <v>1281536.51</v>
      </c>
      <c r="P179" s="44">
        <f t="shared" ca="1" si="7"/>
        <v>9.4009427083608516E-3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input_583100!A$2</f>
        <v>583100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IFERROR(VLOOKUP(B180,input_583100!L:R,7,FALSE),VLOOKUP(tables_583100!C180,input_583100!A:H,8,FALSE))</f>
        <v>26599.194230000001</v>
      </c>
      <c r="P180" s="44">
        <f t="shared" ca="1" si="7"/>
        <v>1.9512319711031294E-4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input_583100!A$2</f>
        <v>583100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IFERROR(VLOOKUP(B181,input_583100!L:R,7,FALSE),VLOOKUP(tables_583100!C181,input_583100!A:H,8,FALSE))</f>
        <v>0</v>
      </c>
      <c r="P181" s="44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input_583100!A$2</f>
        <v>583100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IFERROR(VLOOKUP(B182,input_583100!L:R,7,FALSE),VLOOKUP(tables_583100!C182,input_583100!A:H,8,FALSE))</f>
        <v>1281536.51</v>
      </c>
      <c r="P182" s="44">
        <f t="shared" ca="1" si="7"/>
        <v>9.4009427083608516E-3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input_583100!A$2</f>
        <v>583100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IFERROR(VLOOKUP(B183,input_583100!L:R,7,FALSE),VLOOKUP(tables_583100!C183,input_583100!A:H,8,FALSE))</f>
        <v>26599.194230000001</v>
      </c>
      <c r="P183" s="44">
        <f t="shared" ca="1" si="7"/>
        <v>1.9512319711031294E-4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input_583100!A$2</f>
        <v>583100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IFERROR(VLOOKUP(B184,input_583100!L:R,7,FALSE),VLOOKUP(tables_583100!C184,input_583100!A:H,8,FALSE))</f>
        <v>121714.28571</v>
      </c>
      <c r="P184" s="44">
        <f t="shared" ca="1" si="7"/>
        <v>8.9285714282831769E-4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input_583100!A$2</f>
        <v>583100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IFERROR(VLOOKUP(B185,input_583100!L:R,7,FALSE),VLOOKUP(tables_583100!C185,input_583100!A:H,8,FALSE))</f>
        <v>47333.333330000001</v>
      </c>
      <c r="P185" s="44">
        <f t="shared" ca="1" si="7"/>
        <v>3.4722222219878634E-4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input_583100!A$2</f>
        <v>583100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IFERROR(VLOOKUP(B186,input_583100!L:R,7,FALSE),VLOOKUP(tables_583100!C186,input_583100!A:H,8,FALSE))</f>
        <v>0</v>
      </c>
      <c r="P186" s="44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input_583100!A$2</f>
        <v>583100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IFERROR(VLOOKUP(B187,input_583100!L:R,7,FALSE),VLOOKUP(tables_583100!C187,input_583100!A:H,8,FALSE))</f>
        <v>1281536.51</v>
      </c>
      <c r="P187" s="44">
        <f t="shared" ca="1" si="7"/>
        <v>9.4009427083608516E-3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input_583100!A$2</f>
        <v>583100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IFERROR(VLOOKUP(B188,input_583100!L:R,7,FALSE),VLOOKUP(tables_583100!C188,input_583100!A:H,8,FALSE))</f>
        <v>26599.194230000001</v>
      </c>
      <c r="P188" s="44">
        <f t="shared" ca="1" si="7"/>
        <v>1.9512319711031294E-4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input_583100!A$2</f>
        <v>583100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IFERROR(VLOOKUP(B189,input_583100!L:R,7,FALSE),VLOOKUP(tables_583100!C189,input_583100!A:H,8,FALSE))</f>
        <v>121714.28571</v>
      </c>
      <c r="P189" s="44">
        <f t="shared" ca="1" si="7"/>
        <v>8.9285714282831769E-4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input_583100!A$2</f>
        <v>583100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IFERROR(VLOOKUP(B190,input_583100!L:R,7,FALSE),VLOOKUP(tables_583100!C190,input_583100!A:H,8,FALSE))</f>
        <v>47333.333330000001</v>
      </c>
      <c r="P190" s="44">
        <f t="shared" ca="1" si="7"/>
        <v>3.4722222219878634E-4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input_583100!A$2</f>
        <v>583100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IFERROR(VLOOKUP(B191,input_583100!L:R,7,FALSE),VLOOKUP(tables_583100!C191,input_583100!A:H,8,FALSE))</f>
        <v>121714.28571</v>
      </c>
      <c r="P191" s="44">
        <f t="shared" ca="1" si="7"/>
        <v>8.9285714282831769E-4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input_583100!A$2</f>
        <v>583100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IFERROR(VLOOKUP(B192,input_583100!L:R,7,FALSE),VLOOKUP(tables_583100!C192,input_583100!A:H,8,FALSE))</f>
        <v>47333.333330000001</v>
      </c>
      <c r="P192" s="44">
        <f t="shared" ca="1" si="7"/>
        <v>3.4722222219878634E-4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input_583100!A$2</f>
        <v>583100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IFERROR(VLOOKUP(B193,input_583100!L:R,7,FALSE),VLOOKUP(tables_583100!C193,input_583100!A:H,8,FALSE))</f>
        <v>0</v>
      </c>
      <c r="P193" s="44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input_583100!A$2</f>
        <v>583100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IFERROR(VLOOKUP(B194,input_583100!L:R,7,FALSE),VLOOKUP(tables_583100!C194,input_583100!A:H,8,FALSE))</f>
        <v>1281536.51</v>
      </c>
      <c r="P194" s="44">
        <f t="shared" ref="P194:P257" ca="1" si="10">O194/SUM(O:O)</f>
        <v>9.4009427083608516E-3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input_583100!A$2</f>
        <v>583100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IFERROR(VLOOKUP(B195,input_583100!L:R,7,FALSE),VLOOKUP(tables_583100!C195,input_583100!A:H,8,FALSE))</f>
        <v>26599.194230000001</v>
      </c>
      <c r="P195" s="44">
        <f t="shared" ca="1" si="10"/>
        <v>1.9512319711031294E-4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input_583100!A$2</f>
        <v>583100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IFERROR(VLOOKUP(B196,input_583100!L:R,7,FALSE),VLOOKUP(tables_583100!C196,input_583100!A:H,8,FALSE))</f>
        <v>121714.28571</v>
      </c>
      <c r="P196" s="44">
        <f t="shared" ca="1" si="10"/>
        <v>8.9285714282831769E-4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input_583100!A$2</f>
        <v>583100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IFERROR(VLOOKUP(B197,input_583100!L:R,7,FALSE),VLOOKUP(tables_583100!C197,input_583100!A:H,8,FALSE))</f>
        <v>47333.333330000001</v>
      </c>
      <c r="P197" s="44">
        <f t="shared" ca="1" si="10"/>
        <v>3.4722222219878634E-4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input_583100!A$2</f>
        <v>583100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IFERROR(VLOOKUP(B198,input_583100!L:R,7,FALSE),VLOOKUP(tables_583100!C198,input_583100!A:H,8,FALSE))</f>
        <v>0</v>
      </c>
      <c r="P198" s="44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input_583100!A$2</f>
        <v>583100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IFERROR(VLOOKUP(B199,input_583100!L:R,7,FALSE),VLOOKUP(tables_583100!C199,input_583100!A:H,8,FALSE))</f>
        <v>1281536.51</v>
      </c>
      <c r="P199" s="44">
        <f t="shared" ca="1" si="10"/>
        <v>9.4009427083608516E-3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input_583100!A$2</f>
        <v>583100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IFERROR(VLOOKUP(B200,input_583100!L:R,7,FALSE),VLOOKUP(tables_583100!C200,input_583100!A:H,8,FALSE))</f>
        <v>26599.194230000001</v>
      </c>
      <c r="P200" s="44">
        <f t="shared" ca="1" si="10"/>
        <v>1.9512319711031294E-4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input_583100!A$2</f>
        <v>583100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IFERROR(VLOOKUP(B201,input_583100!L:R,7,FALSE),VLOOKUP(tables_583100!C201,input_583100!A:H,8,FALSE))</f>
        <v>121714.28571</v>
      </c>
      <c r="P201" s="44">
        <f t="shared" ca="1" si="10"/>
        <v>8.9285714282831769E-4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input_583100!A$2</f>
        <v>583100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IFERROR(VLOOKUP(B202,input_583100!L:R,7,FALSE),VLOOKUP(tables_583100!C202,input_583100!A:H,8,FALSE))</f>
        <v>47333.333330000001</v>
      </c>
      <c r="P202" s="44">
        <f t="shared" ca="1" si="10"/>
        <v>3.4722222219878634E-4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input_583100!A$2</f>
        <v>583100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IFERROR(VLOOKUP(B203,input_583100!L:R,7,FALSE),VLOOKUP(tables_583100!C203,input_583100!A:H,8,FALSE))</f>
        <v>0</v>
      </c>
      <c r="P203" s="44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input_583100!A$2</f>
        <v>583100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IFERROR(VLOOKUP(B204,input_583100!L:R,7,FALSE),VLOOKUP(tables_583100!C204,input_583100!A:H,8,FALSE))</f>
        <v>1281536.51</v>
      </c>
      <c r="P204" s="44">
        <f t="shared" ca="1" si="10"/>
        <v>9.4009427083608516E-3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input_583100!A$2</f>
        <v>583100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IFERROR(VLOOKUP(B205,input_583100!L:R,7,FALSE),VLOOKUP(tables_583100!C205,input_583100!A:H,8,FALSE))</f>
        <v>26599.194230000001</v>
      </c>
      <c r="P205" s="44">
        <f t="shared" ca="1" si="10"/>
        <v>1.9512319711031294E-4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input_583100!A$2</f>
        <v>583100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IFERROR(VLOOKUP(B206,input_583100!L:R,7,FALSE),VLOOKUP(tables_583100!C206,input_583100!A:H,8,FALSE))</f>
        <v>121714.28571</v>
      </c>
      <c r="P206" s="44">
        <f t="shared" ca="1" si="10"/>
        <v>8.9285714282831769E-4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input_583100!A$2</f>
        <v>583100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IFERROR(VLOOKUP(B207,input_583100!L:R,7,FALSE),VLOOKUP(tables_583100!C207,input_583100!A:H,8,FALSE))</f>
        <v>47333.333330000001</v>
      </c>
      <c r="P207" s="44">
        <f t="shared" ca="1" si="10"/>
        <v>3.4722222219878634E-4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input_583100!A$2</f>
        <v>583100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IFERROR(VLOOKUP(B208,input_583100!L:R,7,FALSE),VLOOKUP(tables_583100!C208,input_583100!A:H,8,FALSE))</f>
        <v>121714.28571</v>
      </c>
      <c r="P208" s="44">
        <f t="shared" ca="1" si="10"/>
        <v>8.9285714282831769E-4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input_583100!A$2</f>
        <v>583100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IFERROR(VLOOKUP(B209,input_583100!L:R,7,FALSE),VLOOKUP(tables_583100!C209,input_583100!A:H,8,FALSE))</f>
        <v>47333.333330000001</v>
      </c>
      <c r="P209" s="44">
        <f t="shared" ca="1" si="10"/>
        <v>3.4722222219878634E-4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input_583100!A$2</f>
        <v>583100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IFERROR(VLOOKUP(B210,input_583100!L:R,7,FALSE),VLOOKUP(tables_583100!C210,input_583100!A:H,8,FALSE))</f>
        <v>0</v>
      </c>
      <c r="P210" s="44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input_583100!A$2</f>
        <v>583100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IFERROR(VLOOKUP(B211,input_583100!L:R,7,FALSE),VLOOKUP(tables_583100!C211,input_583100!A:H,8,FALSE))</f>
        <v>1281536.51</v>
      </c>
      <c r="P211" s="44">
        <f t="shared" ca="1" si="10"/>
        <v>9.4009427083608516E-3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input_583100!A$2</f>
        <v>583100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IFERROR(VLOOKUP(B212,input_583100!L:R,7,FALSE),VLOOKUP(tables_583100!C212,input_583100!A:H,8,FALSE))</f>
        <v>26599.194230000001</v>
      </c>
      <c r="P212" s="44">
        <f t="shared" ca="1" si="10"/>
        <v>1.9512319711031294E-4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input_583100!A$2</f>
        <v>583100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IFERROR(VLOOKUP(B213,input_583100!L:R,7,FALSE),VLOOKUP(tables_583100!C213,input_583100!A:H,8,FALSE))</f>
        <v>121714.28571</v>
      </c>
      <c r="P213" s="44">
        <f t="shared" ca="1" si="10"/>
        <v>8.9285714282831769E-4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input_583100!A$2</f>
        <v>583100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IFERROR(VLOOKUP(B214,input_583100!L:R,7,FALSE),VLOOKUP(tables_583100!C214,input_583100!A:H,8,FALSE))</f>
        <v>47333.333330000001</v>
      </c>
      <c r="P214" s="44">
        <f t="shared" ca="1" si="10"/>
        <v>3.4722222219878634E-4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input_583100!A$2</f>
        <v>583100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3">
        <f ca="1">IFERROR(VLOOKUP(B215,input_583100!L:R,7,FALSE),VLOOKUP(tables_583100!C215,input_583100!A:H,8,FALSE))</f>
        <v>67449.289999999994</v>
      </c>
      <c r="P215" s="44">
        <f t="shared" ca="1" si="10"/>
        <v>4.9478645833478158E-4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input_583100!A$2</f>
        <v>583100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3">
        <f ca="1">IFERROR(VLOOKUP(B216,input_583100!L:R,7,FALSE),VLOOKUP(tables_583100!C216,input_583100!A:H,8,FALSE))</f>
        <v>67449.289999999994</v>
      </c>
      <c r="P216" s="44">
        <f t="shared" ca="1" si="10"/>
        <v>4.9478645833478158E-4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input_583100!A$2</f>
        <v>583100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3">
        <f ca="1">IFERROR(VLOOKUP(B217,input_583100!L:R,7,FALSE),VLOOKUP(tables_583100!C217,input_583100!A:H,8,FALSE))</f>
        <v>67449.289999999994</v>
      </c>
      <c r="P217" s="44">
        <f t="shared" ca="1" si="10"/>
        <v>4.9478645833478158E-4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input_583100!A$2</f>
        <v>583100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3">
        <f ca="1">IFERROR(VLOOKUP(B218,input_583100!L:R,7,FALSE),VLOOKUP(tables_583100!C218,input_583100!A:H,8,FALSE))</f>
        <v>67449.289999999994</v>
      </c>
      <c r="P218" s="44">
        <f t="shared" ca="1" si="10"/>
        <v>4.9478645833478158E-4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input_583100!A$2</f>
        <v>583100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3">
        <f ca="1">IFERROR(VLOOKUP(B219,input_583100!L:R,7,FALSE),VLOOKUP(tables_583100!C219,input_583100!A:H,8,FALSE))</f>
        <v>67449.289999999994</v>
      </c>
      <c r="P219" s="44">
        <f t="shared" ca="1" si="10"/>
        <v>4.9478645833478158E-4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input_583100!A$2</f>
        <v>583100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3">
        <f ca="1">IFERROR(VLOOKUP(B220,input_583100!L:R,7,FALSE),VLOOKUP(tables_583100!C220,input_583100!A:H,8,FALSE))</f>
        <v>67449.289999999994</v>
      </c>
      <c r="P220" s="44">
        <f t="shared" ca="1" si="10"/>
        <v>4.9478645833478158E-4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input_583100!A$2</f>
        <v>583100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3">
        <f ca="1">IFERROR(VLOOKUP(B221,input_583100!L:R,7,FALSE),VLOOKUP(tables_583100!C221,input_583100!A:H,8,FALSE))</f>
        <v>121714.28571</v>
      </c>
      <c r="P221" s="44">
        <f t="shared" ca="1" si="10"/>
        <v>8.9285714282831769E-4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input_583100!A$2</f>
        <v>583100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3">
        <f ca="1">IFERROR(VLOOKUP(B222,input_583100!L:R,7,FALSE),VLOOKUP(tables_583100!C222,input_583100!A:H,8,FALSE))</f>
        <v>47333.333330000001</v>
      </c>
      <c r="P222" s="44">
        <f t="shared" ca="1" si="10"/>
        <v>3.4722222219878634E-4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input_583100!A$2</f>
        <v>583100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3">
        <f ca="1">IFERROR(VLOOKUP(B223,input_583100!L:R,7,FALSE),VLOOKUP(tables_583100!C223,input_583100!A:H,8,FALSE))</f>
        <v>0</v>
      </c>
      <c r="P223" s="44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input_583100!A$2</f>
        <v>583100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3">
        <f ca="1">IFERROR(VLOOKUP(B224,input_583100!L:R,7,FALSE),VLOOKUP(tables_583100!C224,input_583100!A:H,8,FALSE))</f>
        <v>1281536.51</v>
      </c>
      <c r="P224" s="44">
        <f t="shared" ca="1" si="10"/>
        <v>9.4009427083608516E-3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input_583100!A$2</f>
        <v>583100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3">
        <f ca="1">IFERROR(VLOOKUP(B225,input_583100!L:R,7,FALSE),VLOOKUP(tables_583100!C225,input_583100!A:H,8,FALSE))</f>
        <v>26599.194230000001</v>
      </c>
      <c r="P225" s="44">
        <f t="shared" ca="1" si="10"/>
        <v>1.9512319711031294E-4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input_583100!A$2</f>
        <v>583100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3">
        <f ca="1">IFERROR(VLOOKUP(B226,input_583100!L:R,7,FALSE),VLOOKUP(tables_583100!C226,input_583100!A:H,8,FALSE))</f>
        <v>0</v>
      </c>
      <c r="P226" s="44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input_583100!A$2</f>
        <v>583100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3">
        <f ca="1">IFERROR(VLOOKUP(B227,input_583100!L:R,7,FALSE),VLOOKUP(tables_583100!C227,input_583100!A:H,8,FALSE))</f>
        <v>1281536.51</v>
      </c>
      <c r="P227" s="44">
        <f t="shared" ca="1" si="10"/>
        <v>9.4009427083608516E-3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input_583100!A$2</f>
        <v>583100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IFERROR(VLOOKUP(B228,input_583100!L:R,7,FALSE),VLOOKUP(tables_583100!C228,input_583100!A:H,8,FALSE))</f>
        <v>26599.194230000001</v>
      </c>
      <c r="P228" s="44">
        <f t="shared" ca="1" si="10"/>
        <v>1.9512319711031294E-4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input_583100!A$2</f>
        <v>583100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IFERROR(VLOOKUP(B229,input_583100!L:R,7,FALSE),VLOOKUP(tables_583100!C229,input_583100!A:H,8,FALSE))</f>
        <v>121714.28571</v>
      </c>
      <c r="P229" s="44">
        <f t="shared" ca="1" si="10"/>
        <v>8.9285714282831769E-4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input_583100!A$2</f>
        <v>583100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IFERROR(VLOOKUP(B230,input_583100!L:R,7,FALSE),VLOOKUP(tables_583100!C230,input_583100!A:H,8,FALSE))</f>
        <v>47333.333330000001</v>
      </c>
      <c r="P230" s="44">
        <f t="shared" ca="1" si="10"/>
        <v>3.4722222219878634E-4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input_583100!A$2</f>
        <v>583100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3">
        <f ca="1">IFERROR(VLOOKUP(B231,input_583100!L:R,7,FALSE),VLOOKUP(tables_583100!C231,input_583100!A:H,8,FALSE))</f>
        <v>0</v>
      </c>
      <c r="P231" s="44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input_583100!A$2</f>
        <v>583100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3">
        <f ca="1">IFERROR(VLOOKUP(B232,input_583100!L:R,7,FALSE),VLOOKUP(tables_583100!C232,input_583100!A:H,8,FALSE))</f>
        <v>1281536.51</v>
      </c>
      <c r="P232" s="44">
        <f t="shared" ca="1" si="10"/>
        <v>9.4009427083608516E-3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input_583100!A$2</f>
        <v>583100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3">
        <f ca="1">IFERROR(VLOOKUP(B233,input_583100!L:R,7,FALSE),VLOOKUP(tables_583100!C233,input_583100!A:H,8,FALSE))</f>
        <v>26599.194230000001</v>
      </c>
      <c r="P233" s="44">
        <f t="shared" ca="1" si="10"/>
        <v>1.9512319711031294E-4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input_583100!A$2</f>
        <v>583100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3">
        <f ca="1">IFERROR(VLOOKUP(B234,input_583100!L:R,7,FALSE),VLOOKUP(tables_583100!C234,input_583100!A:H,8,FALSE))</f>
        <v>0</v>
      </c>
      <c r="P234" s="44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input_583100!A$2</f>
        <v>583100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3">
        <f ca="1">IFERROR(VLOOKUP(B235,input_583100!L:R,7,FALSE),VLOOKUP(tables_583100!C235,input_583100!A:H,8,FALSE))</f>
        <v>1281536.51</v>
      </c>
      <c r="P235" s="44">
        <f t="shared" ca="1" si="10"/>
        <v>9.4009427083608516E-3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input_583100!A$2</f>
        <v>583100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3">
        <f ca="1">IFERROR(VLOOKUP(B236,input_583100!L:R,7,FALSE),VLOOKUP(tables_583100!C236,input_583100!A:H,8,FALSE))</f>
        <v>26599.194230000001</v>
      </c>
      <c r="P236" s="44">
        <f t="shared" ca="1" si="10"/>
        <v>1.9512319711031294E-4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input_583100!A$2</f>
        <v>583100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IFERROR(VLOOKUP(B237,input_583100!L:R,7,FALSE),VLOOKUP(tables_583100!C237,input_583100!A:H,8,FALSE))</f>
        <v>121714.28571</v>
      </c>
      <c r="P237" s="44">
        <f t="shared" ca="1" si="10"/>
        <v>8.9285714282831769E-4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input_583100!A$2</f>
        <v>583100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3">
        <f ca="1">IFERROR(VLOOKUP(B238,input_583100!L:R,7,FALSE),VLOOKUP(tables_583100!C238,input_583100!A:H,8,FALSE))</f>
        <v>47333.333330000001</v>
      </c>
      <c r="P238" s="44">
        <f t="shared" ca="1" si="10"/>
        <v>3.4722222219878634E-4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input_583100!A$2</f>
        <v>583100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3">
        <f ca="1">IFERROR(VLOOKUP(B239,input_583100!L:R,7,FALSE),VLOOKUP(tables_583100!C239,input_583100!A:H,8,FALSE))</f>
        <v>0</v>
      </c>
      <c r="P239" s="44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input_583100!A$2</f>
        <v>583100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3">
        <f ca="1">IFERROR(VLOOKUP(B240,input_583100!L:R,7,FALSE),VLOOKUP(tables_583100!C240,input_583100!A:H,8,FALSE))</f>
        <v>1281536.51</v>
      </c>
      <c r="P240" s="44">
        <f t="shared" ca="1" si="10"/>
        <v>9.4009427083608516E-3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input_583100!A$2</f>
        <v>583100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3">
        <f ca="1">IFERROR(VLOOKUP(B241,input_583100!L:R,7,FALSE),VLOOKUP(tables_583100!C241,input_583100!A:H,8,FALSE))</f>
        <v>26599.194230000001</v>
      </c>
      <c r="P241" s="44">
        <f t="shared" ca="1" si="10"/>
        <v>1.9512319711031294E-4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input_583100!A$2</f>
        <v>583100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3">
        <f ca="1">IFERROR(VLOOKUP(B242,input_583100!L:R,7,FALSE),VLOOKUP(tables_583100!C242,input_583100!A:H,8,FALSE))</f>
        <v>121714.28571</v>
      </c>
      <c r="P242" s="44">
        <f t="shared" ca="1" si="10"/>
        <v>8.9285714282831769E-4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input_583100!A$2</f>
        <v>583100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3">
        <f ca="1">IFERROR(VLOOKUP(B243,input_583100!L:R,7,FALSE),VLOOKUP(tables_583100!C243,input_583100!A:H,8,FALSE))</f>
        <v>47333.333330000001</v>
      </c>
      <c r="P243" s="44">
        <f t="shared" ca="1" si="10"/>
        <v>3.4722222219878634E-4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input_583100!A$2</f>
        <v>583100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3">
        <f ca="1">IFERROR(VLOOKUP(B244,input_583100!L:R,7,FALSE),VLOOKUP(tables_583100!C244,input_583100!A:H,8,FALSE))</f>
        <v>121714.28571</v>
      </c>
      <c r="P244" s="44">
        <f t="shared" ca="1" si="10"/>
        <v>8.9285714282831769E-4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input_583100!A$2</f>
        <v>583100</v>
      </c>
      <c r="B245" s="5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3">
        <f ca="1">IFERROR(VLOOKUP(B245,input_583100!L:R,7,FALSE),VLOOKUP(tables_583100!C245,input_583100!A:H,8,FALSE))</f>
        <v>47333.333330000001</v>
      </c>
      <c r="P245" s="44">
        <f t="shared" ca="1" si="10"/>
        <v>3.4722222219878634E-4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input_583100!A$2</f>
        <v>583100</v>
      </c>
      <c r="B246" s="5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3">
        <f ca="1">IFERROR(VLOOKUP(B246,input_583100!L:R,7,FALSE),VLOOKUP(tables_583100!C246,input_583100!A:H,8,FALSE))</f>
        <v>0</v>
      </c>
      <c r="P246" s="44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input_583100!A$2</f>
        <v>583100</v>
      </c>
      <c r="B247" s="5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3">
        <f ca="1">IFERROR(VLOOKUP(B247,input_583100!L:R,7,FALSE),VLOOKUP(tables_583100!C247,input_583100!A:H,8,FALSE))</f>
        <v>1281536.51</v>
      </c>
      <c r="P247" s="44">
        <f t="shared" ca="1" si="10"/>
        <v>9.4009427083608516E-3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input_583100!A$2</f>
        <v>583100</v>
      </c>
      <c r="B248" s="5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3">
        <f ca="1">IFERROR(VLOOKUP(B248,input_583100!L:R,7,FALSE),VLOOKUP(tables_583100!C248,input_583100!A:H,8,FALSE))</f>
        <v>26599.194230000001</v>
      </c>
      <c r="P248" s="44">
        <f t="shared" ca="1" si="10"/>
        <v>1.9512319711031294E-4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input_583100!A$2</f>
        <v>583100</v>
      </c>
      <c r="B249" s="5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3">
        <f ca="1">IFERROR(VLOOKUP(B249,input_583100!L:R,7,FALSE),VLOOKUP(tables_583100!C249,input_583100!A:H,8,FALSE))</f>
        <v>0</v>
      </c>
      <c r="P249" s="44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input_583100!A$2</f>
        <v>583100</v>
      </c>
      <c r="B250" s="5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3">
        <f ca="1">IFERROR(VLOOKUP(B250,input_583100!L:R,7,FALSE),VLOOKUP(tables_583100!C250,input_583100!A:H,8,FALSE))</f>
        <v>1281536.51</v>
      </c>
      <c r="P250" s="44">
        <f t="shared" ca="1" si="10"/>
        <v>9.4009427083608516E-3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input_583100!A$2</f>
        <v>583100</v>
      </c>
      <c r="B251" s="5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3">
        <f ca="1">IFERROR(VLOOKUP(B251,input_583100!L:R,7,FALSE),VLOOKUP(tables_583100!C251,input_583100!A:H,8,FALSE))</f>
        <v>26599.194230000001</v>
      </c>
      <c r="P251" s="44">
        <f t="shared" ca="1" si="10"/>
        <v>1.9512319711031294E-4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input_583100!A$2</f>
        <v>583100</v>
      </c>
      <c r="B252" s="5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3">
        <f ca="1">IFERROR(VLOOKUP(B252,input_583100!L:R,7,FALSE),VLOOKUP(tables_583100!C252,input_583100!A:H,8,FALSE))</f>
        <v>0</v>
      </c>
      <c r="P252" s="44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input_583100!A$2</f>
        <v>583100</v>
      </c>
      <c r="B253" s="5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3">
        <f ca="1">IFERROR(VLOOKUP(B253,input_583100!L:R,7,FALSE),VLOOKUP(tables_583100!C253,input_583100!A:H,8,FALSE))</f>
        <v>1281536.51</v>
      </c>
      <c r="P253" s="44">
        <f t="shared" ca="1" si="10"/>
        <v>9.4009427083608516E-3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input_583100!A$2</f>
        <v>583100</v>
      </c>
      <c r="B254" s="5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3">
        <f ca="1">IFERROR(VLOOKUP(B254,input_583100!L:R,7,FALSE),VLOOKUP(tables_583100!C254,input_583100!A:H,8,FALSE))</f>
        <v>26599.194230000001</v>
      </c>
      <c r="P254" s="44">
        <f t="shared" ca="1" si="10"/>
        <v>1.9512319711031294E-4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input_583100!A$2</f>
        <v>583100</v>
      </c>
      <c r="B255" s="5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3">
        <f ca="1">IFERROR(VLOOKUP(B255,input_583100!L:R,7,FALSE),VLOOKUP(tables_583100!C255,input_583100!A:H,8,FALSE))</f>
        <v>0</v>
      </c>
      <c r="P255" s="44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input_583100!A$2</f>
        <v>583100</v>
      </c>
      <c r="B256" s="5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3">
        <f ca="1">IFERROR(VLOOKUP(B256,input_583100!L:R,7,FALSE),VLOOKUP(tables_583100!C256,input_583100!A:H,8,FALSE))</f>
        <v>1281536.51</v>
      </c>
      <c r="P256" s="44">
        <f t="shared" ca="1" si="10"/>
        <v>9.4009427083608516E-3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input_583100!A$2</f>
        <v>583100</v>
      </c>
      <c r="B257" s="5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3">
        <f ca="1">IFERROR(VLOOKUP(B257,input_583100!L:R,7,FALSE),VLOOKUP(tables_583100!C257,input_583100!A:H,8,FALSE))</f>
        <v>26599.194230000001</v>
      </c>
      <c r="P257" s="44">
        <f t="shared" ca="1" si="10"/>
        <v>1.9512319711031294E-4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input_583100!A$2</f>
        <v>583100</v>
      </c>
      <c r="B258" s="58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3">
        <f ca="1">IFERROR(VLOOKUP(B258,input_583100!L:R,7,FALSE),VLOOKUP(tables_583100!C258,input_583100!A:H,8,FALSE))</f>
        <v>121714.28571</v>
      </c>
      <c r="P258" s="44">
        <f t="shared" ref="P258:P294" ca="1" si="13">O258/SUM(O:O)</f>
        <v>8.9285714282831769E-4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input_583100!A$2</f>
        <v>583100</v>
      </c>
      <c r="B259" s="5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3">
        <f ca="1">IFERROR(VLOOKUP(B259,input_583100!L:R,7,FALSE),VLOOKUP(tables_583100!C259,input_583100!A:H,8,FALSE))</f>
        <v>47333.333330000001</v>
      </c>
      <c r="P259" s="44">
        <f t="shared" ca="1" si="13"/>
        <v>3.4722222219878634E-4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input_583100!A$2</f>
        <v>583100</v>
      </c>
      <c r="B260" s="5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3">
        <f ca="1">IFERROR(VLOOKUP(B260,input_583100!L:R,7,FALSE),VLOOKUP(tables_583100!C260,input_583100!A:H,8,FALSE))</f>
        <v>121714.28571</v>
      </c>
      <c r="P260" s="44">
        <f t="shared" ca="1" si="13"/>
        <v>8.9285714282831769E-4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input_583100!A$2</f>
        <v>583100</v>
      </c>
      <c r="B261" s="5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3">
        <f ca="1">IFERROR(VLOOKUP(B261,input_583100!L:R,7,FALSE),VLOOKUP(tables_583100!C261,input_583100!A:H,8,FALSE))</f>
        <v>47333.333330000001</v>
      </c>
      <c r="P261" s="44">
        <f t="shared" ca="1" si="13"/>
        <v>3.4722222219878634E-4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input_583100!A$2</f>
        <v>583100</v>
      </c>
      <c r="B262" s="5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3">
        <f ca="1">IFERROR(VLOOKUP(B262,input_583100!L:R,7,FALSE),VLOOKUP(tables_583100!C262,input_583100!A:H,8,FALSE))</f>
        <v>1261301.723</v>
      </c>
      <c r="P262" s="44">
        <f t="shared" ca="1" si="13"/>
        <v>9.252506770860416E-3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input_583100!A$2</f>
        <v>583100</v>
      </c>
      <c r="B263" s="5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3">
        <f ca="1">IFERROR(VLOOKUP(B263,input_583100!L:R,7,FALSE),VLOOKUP(tables_583100!C263,input_583100!A:H,8,FALSE))</f>
        <v>67449.289999999994</v>
      </c>
      <c r="P263" s="44">
        <f t="shared" ca="1" si="13"/>
        <v>4.9478645833478158E-4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input_583100!A$2</f>
        <v>583100</v>
      </c>
      <c r="B264" s="5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3">
        <f ca="1">IFERROR(VLOOKUP(B264,input_583100!L:R,7,FALSE),VLOOKUP(tables_583100!C264,input_583100!A:H,8,FALSE))</f>
        <v>1261301.723</v>
      </c>
      <c r="P264" s="44">
        <f t="shared" ca="1" si="13"/>
        <v>9.252506770860416E-3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input_583100!A$2</f>
        <v>583100</v>
      </c>
      <c r="B265" s="5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3">
        <f ca="1">IFERROR(VLOOKUP(B265,input_583100!L:R,7,FALSE),VLOOKUP(tables_583100!C265,input_583100!A:H,8,FALSE))</f>
        <v>67449.289999999994</v>
      </c>
      <c r="P265" s="44">
        <f t="shared" ca="1" si="13"/>
        <v>4.9478645833478158E-4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input_583100!A$2</f>
        <v>583100</v>
      </c>
      <c r="B266" s="5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3">
        <f ca="1">IFERROR(VLOOKUP(B266,input_583100!L:R,7,FALSE),VLOOKUP(tables_583100!C266,input_583100!A:H,8,FALSE))</f>
        <v>47333.333330000001</v>
      </c>
      <c r="P266" s="44">
        <f t="shared" ca="1" si="13"/>
        <v>3.4722222219878634E-4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input_583100!A$2</f>
        <v>583100</v>
      </c>
      <c r="B267" s="5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3">
        <f ca="1">IFERROR(VLOOKUP(B267,input_583100!L:R,7,FALSE),VLOOKUP(tables_583100!C267,input_583100!A:H,8,FALSE))</f>
        <v>47333.333330000001</v>
      </c>
      <c r="P267" s="44">
        <f t="shared" ca="1" si="13"/>
        <v>3.4722222219878634E-4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input_583100!A$2</f>
        <v>583100</v>
      </c>
      <c r="B268" s="5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3">
        <f ca="1">IFERROR(VLOOKUP(B268,input_583100!L:R,7,FALSE),VLOOKUP(tables_583100!C268,input_583100!A:H,8,FALSE))</f>
        <v>47333.333330000001</v>
      </c>
      <c r="P268" s="44">
        <f t="shared" ca="1" si="13"/>
        <v>3.4722222219878634E-4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input_583100!A$2</f>
        <v>583100</v>
      </c>
      <c r="B269" s="5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3">
        <f ca="1">IFERROR(VLOOKUP(B269,input_583100!L:R,7,FALSE),VLOOKUP(tables_583100!C269,input_583100!A:H,8,FALSE))</f>
        <v>47333.333330000001</v>
      </c>
      <c r="P269" s="44">
        <f t="shared" ca="1" si="13"/>
        <v>3.4722222219878634E-4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input_583100!A$2</f>
        <v>583100</v>
      </c>
      <c r="B270" s="5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3">
        <f ca="1">IFERROR(VLOOKUP(B270,input_583100!L:R,7,FALSE),VLOOKUP(tables_583100!C270,input_583100!A:H,8,FALSE))</f>
        <v>1261301.723</v>
      </c>
      <c r="P270" s="44">
        <f t="shared" ca="1" si="13"/>
        <v>9.252506770860416E-3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input_583100!A$2</f>
        <v>583100</v>
      </c>
      <c r="B271" s="79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3">
        <f ca="1">IFERROR(VLOOKUP(B271,input_583100!L:R,7,FALSE),VLOOKUP(tables_583100!C271,input_583100!A:H,8,FALSE))</f>
        <v>67449.289999999994</v>
      </c>
      <c r="P271" s="44">
        <f t="shared" ca="1" si="13"/>
        <v>4.9478645833478158E-4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input_583100!A$2</f>
        <v>583100</v>
      </c>
      <c r="B272" s="79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3">
        <f ca="1">IFERROR(VLOOKUP(B272,input_583100!L:R,7,FALSE),VLOOKUP(tables_583100!C272,input_583100!A:H,8,FALSE))</f>
        <v>1261301.723</v>
      </c>
      <c r="P272" s="44">
        <f t="shared" ca="1" si="13"/>
        <v>9.252506770860416E-3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input_583100!A$2</f>
        <v>583100</v>
      </c>
      <c r="B273" s="79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3">
        <f ca="1">IFERROR(VLOOKUP(B273,input_583100!L:R,7,FALSE),VLOOKUP(tables_583100!C273,input_583100!A:H,8,FALSE))</f>
        <v>67449.289999999994</v>
      </c>
      <c r="P273" s="44">
        <f t="shared" ca="1" si="13"/>
        <v>4.9478645833478158E-4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input_583100!A$2</f>
        <v>583100</v>
      </c>
      <c r="B274" s="79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3">
        <f ca="1">IFERROR(VLOOKUP(B274,input_583100!L:R,7,FALSE),VLOOKUP(tables_583100!C274,input_583100!A:H,8,FALSE))</f>
        <v>121714.28571</v>
      </c>
      <c r="P274" s="44">
        <f t="shared" ca="1" si="13"/>
        <v>8.9285714282831769E-4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input_583100!A$2</f>
        <v>583100</v>
      </c>
      <c r="B275" s="79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3">
        <f ca="1">IFERROR(VLOOKUP(B275,input_583100!L:R,7,FALSE),VLOOKUP(tables_583100!C275,input_583100!A:H,8,FALSE))</f>
        <v>47333.333330000001</v>
      </c>
      <c r="P275" s="44">
        <f t="shared" ca="1" si="13"/>
        <v>3.4722222219878634E-4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input_583100!A$2</f>
        <v>583100</v>
      </c>
      <c r="B276" s="79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3">
        <f ca="1">IFERROR(VLOOKUP(B276,input_583100!L:R,7,FALSE),VLOOKUP(tables_583100!C276,input_583100!A:H,8,FALSE))</f>
        <v>121714.28571</v>
      </c>
      <c r="P276" s="44">
        <f t="shared" ca="1" si="13"/>
        <v>8.9285714282831769E-4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input_583100!A$2</f>
        <v>583100</v>
      </c>
      <c r="B277" s="79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3">
        <f ca="1">IFERROR(VLOOKUP(B277,input_583100!L:R,7,FALSE),VLOOKUP(tables_583100!C277,input_583100!A:H,8,FALSE))</f>
        <v>47333.333330000001</v>
      </c>
      <c r="P277" s="44">
        <f t="shared" ca="1" si="13"/>
        <v>3.4722222219878634E-4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input_583100!A$2</f>
        <v>583100</v>
      </c>
      <c r="B278" s="79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3">
        <f ca="1">IFERROR(VLOOKUP(B278,input_583100!L:R,7,FALSE),VLOOKUP(tables_583100!C278,input_583100!A:H,8,FALSE))</f>
        <v>0</v>
      </c>
      <c r="P278" s="44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input_583100!A$2</f>
        <v>583100</v>
      </c>
      <c r="B279" s="79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3">
        <f ca="1">IFERROR(VLOOKUP(B279,input_583100!L:R,7,FALSE),VLOOKUP(tables_583100!C279,input_583100!A:H,8,FALSE))</f>
        <v>1281536.51</v>
      </c>
      <c r="P279" s="44">
        <f t="shared" ca="1" si="13"/>
        <v>9.4009427083608516E-3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input_583100!A$2</f>
        <v>583100</v>
      </c>
      <c r="B280" s="79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3">
        <f ca="1">IFERROR(VLOOKUP(B280,input_583100!L:R,7,FALSE),VLOOKUP(tables_583100!C280,input_583100!A:H,8,FALSE))</f>
        <v>26599.194230000001</v>
      </c>
      <c r="P280" s="44">
        <f t="shared" ca="1" si="13"/>
        <v>1.9512319711031294E-4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input_583100!A$2</f>
        <v>583100</v>
      </c>
      <c r="B281" s="79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3">
        <f ca="1">IFERROR(VLOOKUP(B281,input_583100!L:R,7,FALSE),VLOOKUP(tables_583100!C281,input_583100!A:H,8,FALSE))</f>
        <v>0</v>
      </c>
      <c r="P281" s="44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input_583100!A$2</f>
        <v>583100</v>
      </c>
      <c r="B282" s="79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3">
        <f ca="1">IFERROR(VLOOKUP(B282,input_583100!L:R,7,FALSE),VLOOKUP(tables_583100!C282,input_583100!A:H,8,FALSE))</f>
        <v>1281536.51</v>
      </c>
      <c r="P282" s="44">
        <f t="shared" ca="1" si="13"/>
        <v>9.4009427083608516E-3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input_583100!A$2</f>
        <v>583100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3">
        <f ca="1">IFERROR(VLOOKUP(B283,input_583100!L:R,7,FALSE),VLOOKUP(tables_583100!C283,input_583100!A:H,8,FALSE))</f>
        <v>26599.194230000001</v>
      </c>
      <c r="P283" s="44">
        <f t="shared" ca="1" si="13"/>
        <v>1.9512319711031294E-4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input_583100!A$2</f>
        <v>583100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IFERROR(VLOOKUP(B284,input_583100!L:R,7,FALSE),VLOOKUP(tables_583100!C284,input_583100!A:H,8,FALSE))</f>
        <v>47333.333330000001</v>
      </c>
      <c r="P284" s="44">
        <f t="shared" ca="1" si="13"/>
        <v>3.4722222219878634E-4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input_583100!A$2</f>
        <v>583100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IFERROR(VLOOKUP(B285,input_583100!L:R,7,FALSE),VLOOKUP(tables_583100!C285,input_583100!A:H,8,FALSE))</f>
        <v>47333.333330000001</v>
      </c>
      <c r="P285" s="44">
        <f t="shared" ca="1" si="13"/>
        <v>3.4722222219878634E-4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input_583100!A$2</f>
        <v>583100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IFERROR(VLOOKUP(B286,input_583100!L:R,7,FALSE),VLOOKUP(tables_583100!C286,input_583100!A:H,8,FALSE))</f>
        <v>1261301.723</v>
      </c>
      <c r="P286" s="44">
        <f t="shared" ca="1" si="13"/>
        <v>9.252506770860416E-3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input_583100!A$2</f>
        <v>583100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IFERROR(VLOOKUP(B287,input_583100!L:R,7,FALSE),VLOOKUP(tables_583100!C287,input_583100!A:H,8,FALSE))</f>
        <v>67449.289999999994</v>
      </c>
      <c r="P287" s="44">
        <f t="shared" ca="1" si="13"/>
        <v>4.9478645833478158E-4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input_583100!A$2</f>
        <v>583100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IFERROR(VLOOKUP(B288,input_583100!L:R,7,FALSE),VLOOKUP(tables_583100!C288,input_583100!A:H,8,FALSE))</f>
        <v>1261301.723</v>
      </c>
      <c r="P288" s="44">
        <f t="shared" ca="1" si="13"/>
        <v>9.252506770860416E-3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input_583100!A$2</f>
        <v>583100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IFERROR(VLOOKUP(B289,input_583100!L:R,7,FALSE),VLOOKUP(tables_583100!C289,input_583100!A:H,8,FALSE))</f>
        <v>67449.289999999994</v>
      </c>
      <c r="P289" s="44">
        <f t="shared" ca="1" si="13"/>
        <v>4.9478645833478158E-4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input_583100!A$2</f>
        <v>583100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3">
        <f ca="1">IFERROR(VLOOKUP(B290,input_583100!L:R,7,FALSE),VLOOKUP(tables_583100!C290,input_583100!A:H,8,FALSE))</f>
        <v>1261301.723</v>
      </c>
      <c r="P290" s="44">
        <f t="shared" ca="1" si="13"/>
        <v>9.252506770860416E-3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input_583100!A$2</f>
        <v>583100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3">
        <f ca="1">IFERROR(VLOOKUP(B291,input_583100!L:R,7,FALSE),VLOOKUP(tables_583100!C291,input_583100!A:H,8,FALSE))</f>
        <v>67449.289999999994</v>
      </c>
      <c r="P291" s="44">
        <f t="shared" ca="1" si="13"/>
        <v>4.9478645833478158E-4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input_583100!A$2</f>
        <v>583100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3">
        <f ca="1">IFERROR(VLOOKUP(B292,input_583100!L:R,7,FALSE),VLOOKUP(tables_583100!C292,input_583100!A:H,8,FALSE))</f>
        <v>1261301.723</v>
      </c>
      <c r="P292" s="44">
        <f t="shared" ca="1" si="13"/>
        <v>9.252506770860416E-3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input_583100!A$2</f>
        <v>583100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3">
        <f ca="1">IFERROR(VLOOKUP(B293,input_583100!L:R,7,FALSE),VLOOKUP(tables_583100!C293,input_583100!A:H,8,FALSE))</f>
        <v>67449.289999999994</v>
      </c>
      <c r="P293" s="44">
        <f t="shared" ca="1" si="13"/>
        <v>4.9478645833478158E-4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input_583100!A$2</f>
        <v>583100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IFERROR(VLOOKUP(B294,input_583100!L:R,7,FALSE),VLOOKUP(tables_583100!C294,input_583100!A:H,8,FALSE))</f>
        <v>47333.333330000001</v>
      </c>
      <c r="P294" s="44">
        <f t="shared" ca="1" si="13"/>
        <v>3.4722222219878634E-4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input_583100!A$2</f>
        <v>583100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3">
        <f ca="1">IFERROR(VLOOKUP(B295,input_583100!L:R,7,FALSE),VLOOKUP(tables_583100!C295,input_583100!A:H,8,FALSE))</f>
        <v>47333.333330000001</v>
      </c>
      <c r="P295" s="44">
        <f t="shared" ref="P295:P299" ca="1" si="20">O295/SUM(O:O)</f>
        <v>3.4722222219878634E-4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input_583100!A$2</f>
        <v>583100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3">
        <f ca="1">IFERROR(VLOOKUP(B296,input_583100!L:R,7,FALSE),VLOOKUP(tables_583100!C296,input_583100!A:H,8,FALSE))</f>
        <v>47333.333330000001</v>
      </c>
      <c r="P296" s="44">
        <f t="shared" ca="1" si="20"/>
        <v>3.4722222219878634E-4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input_583100!A$2</f>
        <v>583100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3">
        <f ca="1">IFERROR(VLOOKUP(B297,input_583100!L:R,7,FALSE),VLOOKUP(tables_583100!C297,input_583100!A:H,8,FALSE))</f>
        <v>1261301.723</v>
      </c>
      <c r="P297" s="44">
        <f t="shared" ca="1" si="20"/>
        <v>9.252506770860416E-3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input_583100!A$2</f>
        <v>583100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3">
        <f ca="1">IFERROR(VLOOKUP(B298,input_583100!L:R,7,FALSE),VLOOKUP(tables_583100!C298,input_583100!A:H,8,FALSE))</f>
        <v>67449.289999999994</v>
      </c>
      <c r="P298" s="44">
        <f t="shared" ca="1" si="20"/>
        <v>4.9478645833478158E-4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input_583100!A$2</f>
        <v>583100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3">
        <f ca="1">IFERROR(VLOOKUP(B299,input_583100!L:R,7,FALSE),VLOOKUP(tables_583100!C299,input_583100!A:H,8,FALSE))</f>
        <v>47333.333330000001</v>
      </c>
      <c r="P299" s="44">
        <f t="shared" ca="1" si="20"/>
        <v>3.4722222219878634E-4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input_583100!A$2</f>
        <v>583100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3">
        <f ca="1">IFERROR(VLOOKUP(B300,input_583100!L:R,7,FALSE),VLOOKUP(tables_583100!C300,input_583100!A:H,8,FALSE))</f>
        <v>47333.333330000001</v>
      </c>
      <c r="P300" s="44">
        <f t="shared" ref="P300:P304" ca="1" si="22">O300/SUM(O:O)</f>
        <v>3.4722222219878634E-4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input_583100!A$2</f>
        <v>583100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3">
        <f ca="1">IFERROR(VLOOKUP(B301,input_583100!L:R,7,FALSE),VLOOKUP(tables_583100!C301,input_583100!A:H,8,FALSE))</f>
        <v>47333.333330000001</v>
      </c>
      <c r="P301" s="44">
        <f t="shared" ca="1" si="22"/>
        <v>3.4722222219878634E-4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input_583100!A$2</f>
        <v>583100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3">
        <f ca="1">IFERROR(VLOOKUP(B302,input_583100!L:R,7,FALSE),VLOOKUP(tables_583100!C302,input_583100!A:H,8,FALSE))</f>
        <v>47333.333330000001</v>
      </c>
      <c r="P302" s="44">
        <f t="shared" ca="1" si="22"/>
        <v>3.4722222219878634E-4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input_583100!A$2</f>
        <v>583100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3">
        <f ca="1">IFERROR(VLOOKUP(B303,input_583100!L:R,7,FALSE),VLOOKUP(tables_583100!C303,input_583100!A:H,8,FALSE))</f>
        <v>1261301.723</v>
      </c>
      <c r="P303" s="44">
        <f t="shared" ca="1" si="22"/>
        <v>9.252506770860416E-3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input_583100!A$2</f>
        <v>583100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3">
        <f ca="1">IFERROR(VLOOKUP(B304,input_583100!L:R,7,FALSE),VLOOKUP(tables_583100!C304,input_583100!A:H,8,FALSE))</f>
        <v>67449.289999999994</v>
      </c>
      <c r="P304" s="44">
        <f t="shared" ca="1" si="22"/>
        <v>4.9478645833478158E-4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input_583100!A$2</f>
        <v>583100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3">
        <f ca="1">IFERROR(VLOOKUP(B305,input_583100!L:R,7,FALSE),VLOOKUP(tables_583100!C305,input_583100!A:H,8,FALSE))</f>
        <v>47333.333330000001</v>
      </c>
      <c r="P305" s="44">
        <f t="shared" ref="P305:P308" ca="1" si="24">O305/SUM(O:O)</f>
        <v>3.4722222219878634E-4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input_583100!A$2</f>
        <v>583100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3">
        <f ca="1">IFERROR(VLOOKUP(B306,input_583100!L:R,7,FALSE),VLOOKUP(tables_583100!C306,input_583100!A:H,8,FALSE))</f>
        <v>1261301.723</v>
      </c>
      <c r="P306" s="44">
        <f t="shared" ca="1" si="24"/>
        <v>9.252506770860416E-3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input_583100!A$2</f>
        <v>583100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3">
        <f ca="1">IFERROR(VLOOKUP(B307,input_583100!L:R,7,FALSE),VLOOKUP(tables_583100!C307,input_583100!A:H,8,FALSE))</f>
        <v>67449.289999999994</v>
      </c>
      <c r="P307" s="44">
        <f t="shared" ca="1" si="24"/>
        <v>4.9478645833478158E-4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input_583100!A$2</f>
        <v>583100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 ca="1">IFERROR(VLOOKUP(B308,input_583100!L:R,7,FALSE),VLOOKUP(tables_583100!C308,input_583100!A:H,8,FALSE))</f>
        <v>47333.333330000001</v>
      </c>
      <c r="P308" s="44">
        <f t="shared" ca="1" si="24"/>
        <v>3.4722222219878634E-4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input_583100!A$2</f>
        <v>583100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3">
        <f ca="1">IFERROR(VLOOKUP(B309,input_583100!L:R,7,FALSE),VLOOKUP(tables_583100!C309,input_583100!A:H,8,FALSE))</f>
        <v>47333.333330000001</v>
      </c>
      <c r="P309" s="44">
        <f t="shared" ref="P309" ca="1" si="26">O309/SUM(O:O)</f>
        <v>3.4722222219878634E-4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input_583100!A$2</f>
        <v>583100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3">
        <f ca="1">IFERROR(VLOOKUP(B310,input_583100!L:R,7,FALSE),VLOOKUP(tables_583100!C310,input_583100!A:H,8,FALSE))</f>
        <v>47333.333330000001</v>
      </c>
      <c r="P310" s="44">
        <f t="shared" ref="P310:P314" ca="1" si="28">O310/SUM(O:O)</f>
        <v>3.4722222219878634E-4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input_583100!A$2</f>
        <v>583100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3">
        <f ca="1">IFERROR(VLOOKUP(B311,input_583100!L:R,7,FALSE),VLOOKUP(tables_583100!C311,input_583100!A:H,8,FALSE))</f>
        <v>1261301.723</v>
      </c>
      <c r="P311" s="44">
        <f t="shared" ca="1" si="28"/>
        <v>9.252506770860416E-3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input_583100!A$2</f>
        <v>583100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3">
        <f ca="1">IFERROR(VLOOKUP(B312,input_583100!L:R,7,FALSE),VLOOKUP(tables_583100!C312,input_583100!A:H,8,FALSE))</f>
        <v>67449.289999999994</v>
      </c>
      <c r="P312" s="44">
        <f t="shared" ca="1" si="28"/>
        <v>4.9478645833478158E-4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input_583100!A$2</f>
        <v>583100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3">
        <f ca="1">IFERROR(VLOOKUP(B313,input_583100!L:R,7,FALSE),VLOOKUP(tables_583100!C313,input_583100!A:H,8,FALSE))</f>
        <v>47333.333330000001</v>
      </c>
      <c r="P313" s="44">
        <f t="shared" ca="1" si="28"/>
        <v>3.4722222219878634E-4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input_583100!A$2</f>
        <v>583100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3">
        <f ca="1">IFERROR(VLOOKUP(B314,input_583100!L:R,7,FALSE),VLOOKUP(tables_583100!C314,input_583100!A:H,8,FALSE))</f>
        <v>47333.333330000001</v>
      </c>
      <c r="P314" s="44">
        <f t="shared" ca="1" si="28"/>
        <v>3.4722222219878634E-4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input_583100!A$2</f>
        <v>583100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3">
        <f ca="1">IFERROR(VLOOKUP(B315,input_583100!L:R,7,FALSE),VLOOKUP(tables_583100!C315,input_583100!A:H,8,FALSE))</f>
        <v>47333.333330000001</v>
      </c>
      <c r="P315" s="44">
        <f t="shared" ref="P315:P319" ca="1" si="30">O315/SUM(O:O)</f>
        <v>3.4722222219878634E-4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input_583100!A$2</f>
        <v>583100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3">
        <f ca="1">IFERROR(VLOOKUP(B316,input_583100!L:R,7,FALSE),VLOOKUP(tables_583100!C316,input_583100!A:H,8,FALSE))</f>
        <v>47333.333330000001</v>
      </c>
      <c r="P316" s="44">
        <f t="shared" ca="1" si="30"/>
        <v>3.4722222219878634E-4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input_583100!A$2</f>
        <v>583100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3">
        <f ca="1">IFERROR(VLOOKUP(B317,input_583100!L:R,7,FALSE),VLOOKUP(tables_583100!C317,input_583100!A:H,8,FALSE))</f>
        <v>47333.333330000001</v>
      </c>
      <c r="P317" s="44">
        <f t="shared" ca="1" si="30"/>
        <v>3.4722222219878634E-4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input_583100!A$2</f>
        <v>583100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3">
        <f ca="1">IFERROR(VLOOKUP(B318,input_583100!L:R,7,FALSE),VLOOKUP(tables_583100!C318,input_583100!A:H,8,FALSE))</f>
        <v>1261301.723</v>
      </c>
      <c r="P318" s="44">
        <f t="shared" ca="1" si="30"/>
        <v>9.252506770860416E-3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input_583100!A$2</f>
        <v>583100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3">
        <f ca="1">IFERROR(VLOOKUP(B319,input_583100!L:R,7,FALSE),VLOOKUP(tables_583100!C319,input_583100!A:H,8,FALSE))</f>
        <v>67449.289999999994</v>
      </c>
      <c r="P319" s="44">
        <f t="shared" ca="1" si="30"/>
        <v>4.9478645833478158E-4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input_583100!A$2</f>
        <v>583100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3">
        <f ca="1">IFERROR(VLOOKUP(B320,input_583100!L:R,7,FALSE),VLOOKUP(tables_583100!C320,input_583100!A:H,8,FALSE))</f>
        <v>47333.333330000001</v>
      </c>
      <c r="P320" s="44">
        <f t="shared" ref="P320:P324" ca="1" si="32">O320/SUM(O:O)</f>
        <v>3.4722222219878634E-4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input_583100!A$2</f>
        <v>583100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3">
        <f ca="1">IFERROR(VLOOKUP(B321,input_583100!L:R,7,FALSE),VLOOKUP(tables_583100!C321,input_583100!A:H,8,FALSE))</f>
        <v>47333.333330000001</v>
      </c>
      <c r="P321" s="44">
        <f t="shared" ca="1" si="32"/>
        <v>3.4722222219878634E-4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input_583100!A$2</f>
        <v>583100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3">
        <f ca="1">IFERROR(VLOOKUP(B322,input_583100!L:R,7,FALSE),VLOOKUP(tables_583100!C322,input_583100!A:H,8,FALSE))</f>
        <v>47333.333330000001</v>
      </c>
      <c r="P322" s="44">
        <f t="shared" ca="1" si="32"/>
        <v>3.4722222219878634E-4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input_583100!A$2</f>
        <v>583100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3">
        <f ca="1">IFERROR(VLOOKUP(B323,input_583100!L:R,7,FALSE),VLOOKUP(tables_583100!C323,input_583100!A:H,8,FALSE))</f>
        <v>47333.333330000001</v>
      </c>
      <c r="P323" s="44">
        <f t="shared" ca="1" si="32"/>
        <v>3.4722222219878634E-4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input_583100!A$2</f>
        <v>583100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3">
        <f ca="1">IFERROR(VLOOKUP(B324,input_583100!L:R,7,FALSE),VLOOKUP(tables_583100!C324,input_583100!A:H,8,FALSE))</f>
        <v>1261301.723</v>
      </c>
      <c r="P324" s="44">
        <f t="shared" ca="1" si="32"/>
        <v>9.252506770860416E-3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input_583100!A$2</f>
        <v>583100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3">
        <f ca="1">IFERROR(VLOOKUP(B325,input_583100!L:R,7,FALSE),VLOOKUP(tables_583100!C325,input_583100!A:H,8,FALSE))</f>
        <v>67449.289999999994</v>
      </c>
      <c r="P325" s="44">
        <f t="shared" ref="P325:P330" ca="1" si="35">O325/SUM(O:O)</f>
        <v>4.9478645833478158E-4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input_583100!A$2</f>
        <v>583100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3">
        <f ca="1">IFERROR(VLOOKUP(B326,input_583100!L:R,7,FALSE),VLOOKUP(tables_583100!C326,input_583100!A:H,8,FALSE))</f>
        <v>1261301.723</v>
      </c>
      <c r="P326" s="44">
        <f t="shared" ca="1" si="35"/>
        <v>9.252506770860416E-3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input_583100!A$2</f>
        <v>583100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3">
        <f ca="1">IFERROR(VLOOKUP(B327,input_583100!L:R,7,FALSE),VLOOKUP(tables_583100!C327,input_583100!A:H,8,FALSE))</f>
        <v>67449.289999999994</v>
      </c>
      <c r="P327" s="44">
        <f t="shared" ca="1" si="35"/>
        <v>4.9478645833478158E-4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input_583100!A$2</f>
        <v>583100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3">
        <f ca="1">IFERROR(VLOOKUP(B328,input_583100!L:R,7,FALSE),VLOOKUP(tables_583100!C328,input_583100!A:H,8,FALSE))</f>
        <v>47333.333330000001</v>
      </c>
      <c r="P328" s="44">
        <f t="shared" ca="1" si="35"/>
        <v>3.4722222219878634E-4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input_583100!A$2</f>
        <v>583100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3">
        <f ca="1">IFERROR(VLOOKUP(B329,input_583100!L:R,7,FALSE),VLOOKUP(tables_583100!C329,input_583100!A:H,8,FALSE))</f>
        <v>47333.333330000001</v>
      </c>
      <c r="P329" s="44">
        <f t="shared" ca="1" si="35"/>
        <v>3.4722222219878634E-4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input_583100!A$2</f>
        <v>583100</v>
      </c>
      <c r="B330" s="2">
        <v>1157</v>
      </c>
      <c r="C330" s="7" t="str">
        <f t="shared" si="34"/>
        <v>PremiumSS5R5only</v>
      </c>
      <c r="D330" s="93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3">
        <f ca="1">IFERROR(VLOOKUP(B330,input_583100!L:R,7,FALSE),VLOOKUP(tables_583100!C330,input_583100!A:H,8,FALSE))</f>
        <v>47333.333330000001</v>
      </c>
      <c r="P330" s="44">
        <f t="shared" ca="1" si="35"/>
        <v>3.4722222219878634E-4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input_583100!A$2</f>
        <v>583100</v>
      </c>
      <c r="B331" s="58">
        <v>1214</v>
      </c>
      <c r="C331" s="7" t="str">
        <f t="shared" ref="C331:C335" si="36">D331&amp;J331&amp;E331&amp;F331&amp;G331</f>
        <v>PremiumSS5R5only</v>
      </c>
      <c r="D331" s="93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3">
        <f ca="1">IFERROR(VLOOKUP(B331,input_583100!L:R,7,FALSE),VLOOKUP(tables_583100!C331,input_583100!A:H,8,FALSE))</f>
        <v>47333.333330000001</v>
      </c>
      <c r="P331" s="44">
        <f t="shared" ref="P331:P335" ca="1" si="38">O331/SUM(O:O)</f>
        <v>3.4722222219878634E-4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input_583100!A$2</f>
        <v>583100</v>
      </c>
      <c r="B332" s="58">
        <v>1212</v>
      </c>
      <c r="C332" s="7" t="str">
        <f t="shared" si="36"/>
        <v>PremiumSS5R5only</v>
      </c>
      <c r="D332" s="93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3">
        <f ca="1">IFERROR(VLOOKUP(B332,input_583100!L:R,7,FALSE),VLOOKUP(tables_583100!C332,input_583100!A:H,8,FALSE))</f>
        <v>47333.333330000001</v>
      </c>
      <c r="P332" s="44">
        <f t="shared" ca="1" si="38"/>
        <v>3.4722222219878634E-4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input_583100!A$2</f>
        <v>583100</v>
      </c>
      <c r="B333" s="58">
        <v>1208</v>
      </c>
      <c r="C333" s="7" t="str">
        <f t="shared" si="36"/>
        <v>PremiumSS5R5only</v>
      </c>
      <c r="D333" s="93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3">
        <f ca="1">IFERROR(VLOOKUP(B333,input_583100!L:R,7,FALSE),VLOOKUP(tables_583100!C333,input_583100!A:H,8,FALSE))</f>
        <v>47333.333330000001</v>
      </c>
      <c r="P333" s="44">
        <f t="shared" ca="1" si="38"/>
        <v>3.4722222219878634E-4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input_583100!A$2</f>
        <v>583100</v>
      </c>
      <c r="B334" s="89">
        <v>1210</v>
      </c>
      <c r="C334" s="7" t="str">
        <f t="shared" si="36"/>
        <v>Premium4R3less</v>
      </c>
      <c r="D334" s="93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3">
        <f ca="1">IFERROR(VLOOKUP(B334,input_583100!L:R,7,FALSE),VLOOKUP(tables_583100!C334,input_583100!A:H,8,FALSE))</f>
        <v>1261301.723</v>
      </c>
      <c r="P334" s="44">
        <f t="shared" ca="1" si="38"/>
        <v>9.252506770860416E-3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input_583100!A$2</f>
        <v>583100</v>
      </c>
      <c r="B335" s="58">
        <v>1211</v>
      </c>
      <c r="C335" s="7" t="str">
        <f t="shared" si="36"/>
        <v>Premium5R3less</v>
      </c>
      <c r="D335" s="93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3">
        <f ca="1">IFERROR(VLOOKUP(B335,input_583100!L:R,7,FALSE),VLOOKUP(tables_583100!C335,input_583100!A:H,8,FALSE))</f>
        <v>67449.289999999994</v>
      </c>
      <c r="P335" s="44">
        <f t="shared" ca="1" si="38"/>
        <v>4.9478645833478158E-4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input_583100!A$2</f>
        <v>583100</v>
      </c>
      <c r="B336" s="2">
        <v>1224</v>
      </c>
      <c r="C336" s="7" t="str">
        <f t="shared" ref="C336:C340" si="39">D336&amp;J336&amp;E336&amp;F336&amp;G336</f>
        <v>Premium4R3less</v>
      </c>
      <c r="D336" s="93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3">
        <f ca="1">IFERROR(VLOOKUP(B336,input_583100!L:R,7,FALSE),VLOOKUP(tables_583100!C336,input_583100!A:H,8,FALSE))</f>
        <v>1261301.723</v>
      </c>
      <c r="P336" s="44">
        <f t="shared" ref="P336:P340" ca="1" si="41">O336/SUM(O:O)</f>
        <v>9.252506770860416E-3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input_583100!A$2</f>
        <v>583100</v>
      </c>
      <c r="B337" s="2">
        <v>1225</v>
      </c>
      <c r="C337" s="7" t="str">
        <f t="shared" si="39"/>
        <v>Premium5R3less</v>
      </c>
      <c r="D337" s="93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3">
        <f ca="1">IFERROR(VLOOKUP(B337,input_583100!L:R,7,FALSE),VLOOKUP(tables_583100!C337,input_583100!A:H,8,FALSE))</f>
        <v>67449.289999999994</v>
      </c>
      <c r="P337" s="44">
        <f t="shared" ca="1" si="41"/>
        <v>4.9478645833478158E-4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input_583100!A$2</f>
        <v>583100</v>
      </c>
      <c r="B338" s="2">
        <v>1226</v>
      </c>
      <c r="C338" s="7" t="str">
        <f t="shared" si="39"/>
        <v>PremiumSS5R5only</v>
      </c>
      <c r="D338" s="93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3">
        <f ca="1">IFERROR(VLOOKUP(B338,input_583100!L:R,7,FALSE),VLOOKUP(tables_583100!C338,input_583100!A:H,8,FALSE))</f>
        <v>47333.333330000001</v>
      </c>
      <c r="P338" s="44">
        <f t="shared" ca="1" si="41"/>
        <v>3.4722222219878634E-4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input_583100!A$2</f>
        <v>583100</v>
      </c>
      <c r="B339" s="2">
        <v>1228</v>
      </c>
      <c r="C339" s="7" t="str">
        <f t="shared" si="39"/>
        <v>PremiumSS5R5only</v>
      </c>
      <c r="D339" s="93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3">
        <f ca="1">IFERROR(VLOOKUP(B339,input_583100!L:R,7,FALSE),VLOOKUP(tables_583100!C339,input_583100!A:H,8,FALSE))</f>
        <v>47333.333330000001</v>
      </c>
      <c r="P339" s="44">
        <f t="shared" ca="1" si="41"/>
        <v>3.4722222219878634E-4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input_583100!A$2</f>
        <v>583100</v>
      </c>
      <c r="B340" s="2">
        <v>1230</v>
      </c>
      <c r="C340" s="7" t="str">
        <f t="shared" si="39"/>
        <v>PremiumSS5R5only</v>
      </c>
      <c r="D340" s="93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3">
        <f ca="1">IFERROR(VLOOKUP(B340,input_583100!L:R,7,FALSE),VLOOKUP(tables_583100!C340,input_583100!A:H,8,FALSE))</f>
        <v>47333.333330000001</v>
      </c>
      <c r="P340" s="44">
        <f t="shared" ca="1" si="41"/>
        <v>3.4722222219878634E-4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input_583100!A$2</f>
        <v>583100</v>
      </c>
      <c r="B341" s="1">
        <v>1250</v>
      </c>
      <c r="C341" s="7" t="str">
        <f t="shared" ref="C341:C345" si="42">D341&amp;J341&amp;E341&amp;F341&amp;G341</f>
        <v>PremiumSS5R5only</v>
      </c>
      <c r="D341" s="93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3">
        <f ca="1">IFERROR(VLOOKUP(B341,input_583100!L:R,7,FALSE),VLOOKUP(tables_583100!C341,input_583100!A:H,8,FALSE))</f>
        <v>47333.333330000001</v>
      </c>
      <c r="P341" s="44">
        <f t="shared" ref="P341:P345" ca="1" si="44">O341/SUM(O:O)</f>
        <v>3.4722222219878634E-4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input_583100!A$2</f>
        <v>583100</v>
      </c>
      <c r="B342" s="1">
        <v>1248</v>
      </c>
      <c r="C342" s="7" t="str">
        <f t="shared" si="42"/>
        <v>Premium4R3less</v>
      </c>
      <c r="D342" s="93" t="str">
        <f t="shared" si="43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3">
        <f ca="1">IFERROR(VLOOKUP(B342,input_583100!L:R,7,FALSE),VLOOKUP(tables_583100!C342,input_583100!A:H,8,FALSE))</f>
        <v>1261301.723</v>
      </c>
      <c r="P342" s="44">
        <f t="shared" ca="1" si="44"/>
        <v>9.252506770860416E-3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input_583100!A$2</f>
        <v>583100</v>
      </c>
      <c r="B343" s="1">
        <v>1249</v>
      </c>
      <c r="C343" s="7" t="str">
        <f t="shared" si="42"/>
        <v>Premium5R3less</v>
      </c>
      <c r="D343" s="93" t="str">
        <f t="shared" si="4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3">
        <f ca="1">IFERROR(VLOOKUP(B343,input_583100!L:R,7,FALSE),VLOOKUP(tables_583100!C343,input_583100!A:H,8,FALSE))</f>
        <v>67449.289999999994</v>
      </c>
      <c r="P343" s="44">
        <f t="shared" ca="1" si="44"/>
        <v>4.9478645833478158E-4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input_583100!A$2</f>
        <v>583100</v>
      </c>
      <c r="B344" s="1">
        <v>1246</v>
      </c>
      <c r="C344" s="7" t="str">
        <f t="shared" si="42"/>
        <v>PremiumSS5R5only</v>
      </c>
      <c r="D344" s="93" t="str">
        <f t="shared" si="43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3">
        <f ca="1">IFERROR(VLOOKUP(B344,input_583100!L:R,7,FALSE),VLOOKUP(tables_583100!C344,input_583100!A:H,8,FALSE))</f>
        <v>47333.333330000001</v>
      </c>
      <c r="P344" s="44">
        <f t="shared" ca="1" si="44"/>
        <v>3.4722222219878634E-4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input_583100!A$2</f>
        <v>583100</v>
      </c>
      <c r="B345" s="1">
        <v>1244</v>
      </c>
      <c r="C345" s="7" t="str">
        <f t="shared" si="42"/>
        <v>PremiumSS5R5only</v>
      </c>
      <c r="D345" s="93" t="str">
        <f t="shared" si="4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3">
        <f ca="1">IFERROR(VLOOKUP(B345,input_583100!L:R,7,FALSE),VLOOKUP(tables_583100!C345,input_583100!A:H,8,FALSE))</f>
        <v>47333.333330000001</v>
      </c>
      <c r="P345" s="44">
        <f t="shared" ca="1" si="44"/>
        <v>3.4722222219878634E-4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input_583100!A$2</f>
        <v>583100</v>
      </c>
      <c r="B346" s="1">
        <v>1260</v>
      </c>
      <c r="C346" s="7" t="str">
        <f t="shared" ref="C346:C350" si="45">D346&amp;J346&amp;E346&amp;F346&amp;G346</f>
        <v>PremiumSS5R5only</v>
      </c>
      <c r="D346" s="93" t="str">
        <f t="shared" ref="D346:D350" si="4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3">
        <f ca="1">IFERROR(VLOOKUP(B346,input_583100!L:R,7,FALSE),VLOOKUP(tables_583100!C346,input_583100!A:H,8,FALSE))</f>
        <v>47333.333330000001</v>
      </c>
      <c r="P346" s="44">
        <f t="shared" ref="P346:P350" ca="1" si="47">O346/SUM(O:O)</f>
        <v>3.4722222219878634E-4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input_583100!A$2</f>
        <v>583100</v>
      </c>
      <c r="B347" s="1">
        <v>1262</v>
      </c>
      <c r="C347" s="7" t="str">
        <f t="shared" si="45"/>
        <v>PremiumSS5R5only</v>
      </c>
      <c r="D347" s="93" t="str">
        <f t="shared" si="4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3">
        <f ca="1">IFERROR(VLOOKUP(B347,input_583100!L:R,7,FALSE),VLOOKUP(tables_583100!C347,input_583100!A:H,8,FALSE))</f>
        <v>47333.333330000001</v>
      </c>
      <c r="P347" s="44">
        <f t="shared" ca="1" si="47"/>
        <v>3.4722222219878634E-4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input_583100!A$2</f>
        <v>583100</v>
      </c>
      <c r="B348" s="1">
        <v>1264</v>
      </c>
      <c r="C348" s="7" t="str">
        <f t="shared" si="45"/>
        <v>PremiumSS5R5only</v>
      </c>
      <c r="D348" s="93" t="str">
        <f t="shared" si="4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3">
        <f ca="1">IFERROR(VLOOKUP(B348,input_583100!L:R,7,FALSE),VLOOKUP(tables_583100!C348,input_583100!A:H,8,FALSE))</f>
        <v>47333.333330000001</v>
      </c>
      <c r="P348" s="44">
        <f t="shared" ca="1" si="47"/>
        <v>3.4722222219878634E-4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input_583100!A$2</f>
        <v>583100</v>
      </c>
      <c r="B349" s="1">
        <v>1266</v>
      </c>
      <c r="C349" s="7" t="str">
        <f t="shared" si="45"/>
        <v>Premium4R3less</v>
      </c>
      <c r="D349" s="93" t="str">
        <f t="shared" si="4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3">
        <f ca="1">IFERROR(VLOOKUP(B349,input_583100!L:R,7,FALSE),VLOOKUP(tables_583100!C349,input_583100!A:H,8,FALSE))</f>
        <v>1261301.723</v>
      </c>
      <c r="P349" s="44">
        <f t="shared" ca="1" si="47"/>
        <v>9.252506770860416E-3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input_583100!A$2</f>
        <v>583100</v>
      </c>
      <c r="B350" s="1">
        <v>1267</v>
      </c>
      <c r="C350" s="7" t="str">
        <f t="shared" si="45"/>
        <v>Premium5R3less</v>
      </c>
      <c r="D350" s="93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3">
        <f ca="1">IFERROR(VLOOKUP(B350,input_583100!L:R,7,FALSE),VLOOKUP(tables_583100!C350,input_583100!A:H,8,FALSE))</f>
        <v>67449.289999999994</v>
      </c>
      <c r="P350" s="44">
        <f t="shared" ca="1" si="47"/>
        <v>4.9478645833478158E-4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input_583100!A$2</f>
        <v>583100</v>
      </c>
      <c r="B351" s="97">
        <v>1332</v>
      </c>
      <c r="C351" s="7" t="str">
        <f t="shared" ref="C351:C355" si="48">D351&amp;J351&amp;E351&amp;F351&amp;G351</f>
        <v>PremiumSS5R5only</v>
      </c>
      <c r="D351" s="93" t="str">
        <f t="shared" ref="D351:D355" si="4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3">
        <f ca="1">IFERROR(VLOOKUP(B351,input_583100!L:R,7,FALSE),VLOOKUP(tables_583100!C351,input_583100!A:H,8,FALSE))</f>
        <v>47333.333330000001</v>
      </c>
      <c r="P351" s="44">
        <f t="shared" ref="P351:P355" ca="1" si="50">O351/SUM(O:O)</f>
        <v>3.4722222219878634E-4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input_583100!A$2</f>
        <v>583100</v>
      </c>
      <c r="B352" s="97">
        <v>1336</v>
      </c>
      <c r="C352" s="7" t="str">
        <f t="shared" si="48"/>
        <v>PremiumSS5R5only</v>
      </c>
      <c r="D352" s="93" t="str">
        <f t="shared" si="4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3">
        <f ca="1">IFERROR(VLOOKUP(B352,input_583100!L:R,7,FALSE),VLOOKUP(tables_583100!C352,input_583100!A:H,8,FALSE))</f>
        <v>47333.333330000001</v>
      </c>
      <c r="P352" s="44">
        <f t="shared" ca="1" si="50"/>
        <v>3.4722222219878634E-4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input_583100!A$2</f>
        <v>583100</v>
      </c>
      <c r="B353" s="97">
        <v>1338</v>
      </c>
      <c r="C353" s="7" t="str">
        <f t="shared" si="48"/>
        <v>PremiumSS5R5only</v>
      </c>
      <c r="D353" s="93" t="str">
        <f t="shared" si="4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3">
        <f ca="1">IFERROR(VLOOKUP(B353,input_583100!L:R,7,FALSE),VLOOKUP(tables_583100!C353,input_583100!A:H,8,FALSE))</f>
        <v>47333.333330000001</v>
      </c>
      <c r="P353" s="44">
        <f t="shared" ca="1" si="50"/>
        <v>3.4722222219878634E-4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input_583100!A$2</f>
        <v>583100</v>
      </c>
      <c r="B354" s="97">
        <v>1334</v>
      </c>
      <c r="C354" s="7" t="str">
        <f t="shared" si="48"/>
        <v>Premium4R3less</v>
      </c>
      <c r="D354" s="93" t="str">
        <f t="shared" si="4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3">
        <f ca="1">IFERROR(VLOOKUP(B354,input_583100!L:R,7,FALSE),VLOOKUP(tables_583100!C354,input_583100!A:H,8,FALSE))</f>
        <v>1261301.723</v>
      </c>
      <c r="P354" s="44">
        <f t="shared" ca="1" si="50"/>
        <v>9.252506770860416E-3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input_583100!A$2</f>
        <v>583100</v>
      </c>
      <c r="B355" s="97">
        <v>1335</v>
      </c>
      <c r="C355" s="7" t="str">
        <f t="shared" si="48"/>
        <v>Premium5R3less</v>
      </c>
      <c r="D355" s="93" t="str">
        <f t="shared" si="4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3">
        <f ca="1">IFERROR(VLOOKUP(B355,input_583100!L:R,7,FALSE),VLOOKUP(tables_583100!C355,input_583100!A:H,8,FALSE))</f>
        <v>67449.289999999994</v>
      </c>
      <c r="P355" s="44">
        <f t="shared" ca="1" si="50"/>
        <v>4.9478645833478158E-4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input_583100!A$2</f>
        <v>583100</v>
      </c>
      <c r="B356" s="97">
        <v>1490</v>
      </c>
      <c r="C356" s="7" t="str">
        <f t="shared" ref="C356" si="51">D356&amp;J356&amp;E356&amp;F356&amp;G356</f>
        <v>PremiumSSS5R3less</v>
      </c>
      <c r="D356" s="93" t="str">
        <f t="shared" ref="D356" si="52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パラケルススR5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heal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3">
        <f>IFERROR(VLOOKUP(B356,input_583100!L:R,7,FALSE),VLOOKUP(tables_583100!C356,input_583100!A:H,8,FALSE))</f>
        <v>1363.2</v>
      </c>
      <c r="P356" s="44">
        <f t="shared" ref="P356" ca="1" si="53">O356/SUM(O:O)</f>
        <v>1.0000000000029271E-5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</sheetData>
  <autoFilter ref="A1:V294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0" t="s">
        <v>88</v>
      </c>
      <c r="H1" s="50" t="s">
        <v>89</v>
      </c>
      <c r="I1" s="51" t="s">
        <v>90</v>
      </c>
      <c r="J1" s="51" t="s">
        <v>91</v>
      </c>
      <c r="K1" s="51" t="s">
        <v>92</v>
      </c>
      <c r="L1" s="51" t="s">
        <v>93</v>
      </c>
      <c r="M1" s="51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6"/>
      <c r="B2" s="76"/>
      <c r="C2" s="77"/>
      <c r="D2" s="77"/>
      <c r="E2" s="77"/>
      <c r="F2" s="77"/>
      <c r="G2" s="1"/>
      <c r="H2" s="1"/>
      <c r="I2" s="1"/>
      <c r="J2" s="1"/>
      <c r="K2" s="1"/>
      <c r="L2" s="1"/>
      <c r="M2" s="1"/>
      <c r="N2" s="77"/>
      <c r="O2" s="77"/>
      <c r="P2" s="77"/>
      <c r="Q2" s="78"/>
    </row>
    <row r="3" spans="1:17" ht="21" customHeight="1" x14ac:dyDescent="0.15">
      <c r="A3" s="76"/>
      <c r="B3" s="76"/>
      <c r="G3" s="83"/>
      <c r="H3" s="83"/>
      <c r="I3" s="83"/>
      <c r="J3" s="83"/>
      <c r="K3" s="83"/>
      <c r="L3" s="83"/>
      <c r="M3" s="83"/>
      <c r="N3" s="77"/>
      <c r="O3" s="77"/>
      <c r="P3" s="77"/>
      <c r="Q3" s="78"/>
    </row>
    <row r="4" spans="1:17" ht="21" customHeight="1" x14ac:dyDescent="0.15">
      <c r="A4" s="76"/>
      <c r="B4" s="76"/>
      <c r="G4" s="83"/>
      <c r="H4" s="83"/>
      <c r="I4" s="83"/>
      <c r="J4" s="83"/>
      <c r="K4" s="83"/>
      <c r="L4" s="83"/>
      <c r="M4" s="83"/>
      <c r="N4" s="77"/>
      <c r="O4" s="77"/>
      <c r="P4" s="77"/>
      <c r="Q4" s="78"/>
    </row>
    <row r="5" spans="1:17" ht="21" customHeight="1" x14ac:dyDescent="0.15">
      <c r="A5" s="76"/>
      <c r="B5" s="76"/>
      <c r="G5" s="83"/>
      <c r="H5" s="83"/>
      <c r="I5" s="83"/>
      <c r="J5" s="83"/>
      <c r="K5" s="83"/>
      <c r="L5" s="83"/>
      <c r="M5" s="83"/>
      <c r="N5" s="77"/>
      <c r="O5" s="77"/>
      <c r="P5" s="77"/>
      <c r="Q5" s="78"/>
    </row>
  </sheetData>
  <autoFilter ref="A1:F1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8">
        <v>668</v>
      </c>
      <c r="B246" s="7" t="str">
        <f>VLOOKUP(A246,[1]characters!$A:$C,3,FALSE)</f>
        <v>アグニ</v>
      </c>
    </row>
    <row r="247" spans="1:2" x14ac:dyDescent="0.15">
      <c r="A247" s="58">
        <v>669</v>
      </c>
      <c r="B247" s="7" t="str">
        <f>VLOOKUP(A247,[1]characters!$A:$C,3,FALSE)</f>
        <v>天地の仲界 アグニ</v>
      </c>
    </row>
    <row r="248" spans="1:2" x14ac:dyDescent="0.15">
      <c r="A248" s="58">
        <v>670</v>
      </c>
      <c r="B248" s="7" t="str">
        <f>VLOOKUP(A248,[1]characters!$A:$C,3,FALSE)</f>
        <v>陽天の噴煙 アグニ</v>
      </c>
    </row>
    <row r="249" spans="1:2" x14ac:dyDescent="0.15">
      <c r="A249" s="58">
        <v>671</v>
      </c>
      <c r="B249" s="7" t="str">
        <f>VLOOKUP(A249,[1]characters!$A:$C,3,FALSE)</f>
        <v>ハヌマーン</v>
      </c>
    </row>
    <row r="250" spans="1:2" x14ac:dyDescent="0.15">
      <c r="A250" s="58">
        <v>672</v>
      </c>
      <c r="B250" s="7" t="str">
        <f>VLOOKUP(A250,[1]characters!$A:$C,3,FALSE)</f>
        <v>西遊韋駄天 ハヌマーン</v>
      </c>
    </row>
    <row r="251" spans="1:2" x14ac:dyDescent="0.15">
      <c r="A251" s="58">
        <v>673</v>
      </c>
      <c r="B251" s="7" t="str">
        <f>VLOOKUP(A251,[1]characters!$A:$C,3,FALSE)</f>
        <v>変幻自在の猿王 ハヌマーン</v>
      </c>
    </row>
    <row r="252" spans="1:2" x14ac:dyDescent="0.15">
      <c r="A252" s="58">
        <v>674</v>
      </c>
      <c r="B252" s="7" t="str">
        <f>VLOOKUP(A252,[1]characters!$A:$C,3,FALSE)</f>
        <v>サラスヴァティ</v>
      </c>
    </row>
    <row r="253" spans="1:2" x14ac:dyDescent="0.15">
      <c r="A253" s="58">
        <v>675</v>
      </c>
      <c r="B253" s="7" t="str">
        <f>VLOOKUP(A253,[1]characters!$A:$C,3,FALSE)</f>
        <v>芸楽の奔流 サラスヴァティ</v>
      </c>
    </row>
    <row r="254" spans="1:2" x14ac:dyDescent="0.15">
      <c r="A254" s="58">
        <v>676</v>
      </c>
      <c r="B254" s="7" t="str">
        <f>VLOOKUP(A254,[1]characters!$A:$C,3,FALSE)</f>
        <v>ヴィシュヌ</v>
      </c>
    </row>
    <row r="255" spans="1:2" x14ac:dyDescent="0.15">
      <c r="A255" s="58">
        <v>677</v>
      </c>
      <c r="B255" s="7" t="str">
        <f>VLOOKUP(A255,[1]characters!$A:$C,3,FALSE)</f>
        <v>武遊闊歩 ヴィシュヌ</v>
      </c>
    </row>
    <row r="256" spans="1:2" x14ac:dyDescent="0.15">
      <c r="A256" s="58">
        <v>770</v>
      </c>
      <c r="B256" s="7" t="str">
        <f>VLOOKUP(A256,[1]characters!$A:$C,3,FALSE)</f>
        <v>ハヅル</v>
      </c>
    </row>
    <row r="257" spans="1:2" x14ac:dyDescent="0.15">
      <c r="A257" s="58">
        <v>771</v>
      </c>
      <c r="B257" s="7" t="str">
        <f>VLOOKUP(A257,[1]characters!$A:$C,3,FALSE)</f>
        <v>天織羽鶴 ハヅル</v>
      </c>
    </row>
    <row r="258" spans="1:2" x14ac:dyDescent="0.15">
      <c r="A258" s="58">
        <v>772</v>
      </c>
      <c r="B258" s="7" t="str">
        <f>VLOOKUP(A258,[1]characters!$A:$C,3,FALSE)</f>
        <v>イナバ</v>
      </c>
    </row>
    <row r="259" spans="1:2" x14ac:dyDescent="0.15">
      <c r="A259" s="58">
        <v>773</v>
      </c>
      <c r="B259" s="7" t="str">
        <f>VLOOKUP(A259,[1]characters!$A:$C,3,FALSE)</f>
        <v>浮跳天兎 イナバ</v>
      </c>
    </row>
    <row r="260" spans="1:2" x14ac:dyDescent="0.15">
      <c r="A260" s="58">
        <v>774</v>
      </c>
      <c r="B260" s="7" t="str">
        <f>VLOOKUP(A260,[1]characters!$A:$C,3,FALSE)</f>
        <v>ミズチ</v>
      </c>
    </row>
    <row r="261" spans="1:2" x14ac:dyDescent="0.15">
      <c r="A261" s="58">
        <v>775</v>
      </c>
      <c r="B261" s="7" t="str">
        <f>VLOOKUP(A261,[1]characters!$A:$C,3,FALSE)</f>
        <v>水底霊竜 ミズチ</v>
      </c>
    </row>
    <row r="262" spans="1:2" x14ac:dyDescent="0.15">
      <c r="A262" s="58">
        <v>776</v>
      </c>
      <c r="B262" s="7" t="str">
        <f>VLOOKUP(A262,[1]characters!$A:$C,3,FALSE)</f>
        <v>水竜底主 ミズチ</v>
      </c>
    </row>
    <row r="263" spans="1:2" x14ac:dyDescent="0.15">
      <c r="A263" s="58">
        <v>777</v>
      </c>
      <c r="B263" s="7" t="str">
        <f>VLOOKUP(A263,[1]characters!$A:$C,3,FALSE)</f>
        <v>ガメック</v>
      </c>
    </row>
    <row r="264" spans="1:2" x14ac:dyDescent="0.15">
      <c r="A264" s="58">
        <v>778</v>
      </c>
      <c r="B264" s="7" t="str">
        <f>VLOOKUP(A264,[1]characters!$A:$C,3,FALSE)</f>
        <v>一亀懸明 ガメック</v>
      </c>
    </row>
    <row r="265" spans="1:2" x14ac:dyDescent="0.15">
      <c r="A265" s="58">
        <v>779</v>
      </c>
      <c r="B265" s="7" t="str">
        <f>VLOOKUP(A265,[1]characters!$A:$C,3,FALSE)</f>
        <v>頑堅咬亀 ガメック</v>
      </c>
    </row>
    <row r="266" spans="1:2" x14ac:dyDescent="0.15">
      <c r="A266" s="58">
        <v>779</v>
      </c>
      <c r="B266" s="7" t="str">
        <f>VLOOKUP(A266,[1]characters!$A:$C,3,FALSE)</f>
        <v>頑堅咬亀 ガメック</v>
      </c>
    </row>
  </sheetData>
  <phoneticPr fontId="2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input_583100</vt:lpstr>
      <vt:lpstr>tables_583100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2017-04-20T05:57:56Z</dcterms:modified>
</cp:coreProperties>
</file>