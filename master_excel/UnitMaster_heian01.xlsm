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7610" codeName="{00000000-0000-0000-0000-000000000000}"/>
  <workbookPr showInkAnnotation="0" codeName="ThisWorkbook" autoCompressPictures="0"/>
  <mc:AlternateContent xmlns:mc="http://schemas.openxmlformats.org/markup-compatibility/2006">
    <mc:Choice Requires="x15">
      <x15ac:absPath xmlns:x15ac="http://schemas.microsoft.com/office/spreadsheetml/2010/11/ac" url="/Users/nagaminesusumutakashi/BULL_data/master_excel/"/>
    </mc:Choice>
  </mc:AlternateContent>
  <bookViews>
    <workbookView xWindow="1080" yWindow="480" windowWidth="24840" windowHeight="16240" tabRatio="963" activeTab="11"/>
  </bookViews>
  <sheets>
    <sheet name="output" sheetId="62" r:id="rId1"/>
    <sheet name="units" sheetId="23" r:id="rId2"/>
    <sheet name="unit_skills" sheetId="52" r:id="rId3"/>
    <sheet name="crash_skills" sheetId="53" r:id="rId4"/>
    <sheet name="unit_serifs" sheetId="54" r:id="rId5"/>
    <sheet name="fork_awake_units" sheetId="56" r:id="rId6"/>
    <sheet name="awake_materials" sheetId="57" r:id="rId7"/>
    <sheet name="abilities" sheetId="60" r:id="rId8"/>
    <sheet name="unit_abilities" sheetId="61" r:id="rId9"/>
    <sheet name="→base値" sheetId="51" r:id="rId10"/>
    <sheet name="ghosts_label" sheetId="63" r:id="rId11"/>
    <sheet name="コスト" sheetId="13" r:id="rId12"/>
    <sheet name="レベル" sheetId="12" r:id="rId13"/>
    <sheet name="経験値" sheetId="10" r:id="rId14"/>
    <sheet name="RC6SV" sheetId="11" r:id="rId15"/>
    <sheet name="ビット" sheetId="15" r:id="rId16"/>
    <sheet name="チェックシート" sheetId="55" r:id="rId17"/>
  </sheets>
  <externalReferences>
    <externalReference r:id="rId18"/>
    <externalReference r:id="rId19"/>
    <externalReference r:id="rId20"/>
    <externalReference r:id="rId21"/>
  </externalReferences>
  <definedNames>
    <definedName name="_xlnm._FilterDatabase" localSheetId="6" hidden="1">awake_materials!$B$1:$K$1</definedName>
    <definedName name="_xlnm._FilterDatabase" localSheetId="3" hidden="1">crash_skills!$A$1:$J$1</definedName>
    <definedName name="_xlnm._FilterDatabase" localSheetId="5" hidden="1">fork_awake_units!$A$1:$U$4</definedName>
    <definedName name="_xlnm._FilterDatabase" localSheetId="2" hidden="1">unit_skills!$A$1:$S$1</definedName>
    <definedName name="_xlnm._FilterDatabase" localSheetId="1" hidden="1">units!$A$1:$BQ$1</definedName>
    <definedName name="base_character_id" localSheetId="4">#REF!</definedName>
    <definedName name="base_character_id">#REF!</definedName>
    <definedName name="character_id" localSheetId="5">fork_awake_units!$A$1</definedName>
    <definedName name="character_id" localSheetId="4">#REF!</definedName>
    <definedName name="character_id">units!$A$1</definedName>
    <definedName name="LIMIT">INDIRECT("Definitions.xlsm!LIMIT")</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H3" i="23" l="1"/>
  <c r="BR3" i="23"/>
  <c r="H4" i="23"/>
  <c r="BR4" i="23"/>
  <c r="H5" i="23"/>
  <c r="BR5" i="23"/>
  <c r="H6" i="23"/>
  <c r="BR6" i="23"/>
  <c r="H7" i="23"/>
  <c r="BR7" i="23"/>
  <c r="H8" i="23"/>
  <c r="BR8" i="23"/>
  <c r="H9" i="23"/>
  <c r="BR9" i="23"/>
  <c r="H10" i="23"/>
  <c r="BR10" i="23"/>
  <c r="H11" i="23"/>
  <c r="BR11" i="23"/>
  <c r="H12" i="23"/>
  <c r="BR12" i="23"/>
  <c r="H13" i="23"/>
  <c r="BR13" i="23"/>
  <c r="H14" i="23"/>
  <c r="BR14" i="23"/>
  <c r="H15" i="23"/>
  <c r="BR15" i="23"/>
  <c r="H2" i="23"/>
  <c r="BR2" i="23"/>
  <c r="G3" i="56"/>
  <c r="U3" i="56"/>
  <c r="G4" i="56"/>
  <c r="U4" i="56"/>
  <c r="G5" i="56"/>
  <c r="U5" i="56"/>
  <c r="G6" i="56"/>
  <c r="U6" i="56"/>
  <c r="G7" i="56"/>
  <c r="U7" i="56"/>
  <c r="G8" i="56"/>
  <c r="U8" i="56"/>
  <c r="G2" i="56"/>
  <c r="U2" i="56"/>
  <c r="J28" i="57"/>
  <c r="H28" i="57"/>
  <c r="C28" i="57"/>
  <c r="F28" i="57"/>
  <c r="E28" i="57"/>
  <c r="B14" i="23"/>
  <c r="D28" i="57"/>
  <c r="A28" i="57"/>
  <c r="J27" i="57"/>
  <c r="H27" i="57"/>
  <c r="C27" i="57"/>
  <c r="F27" i="57"/>
  <c r="E27" i="57"/>
  <c r="D27" i="57"/>
  <c r="A27" i="57"/>
  <c r="J23" i="57"/>
  <c r="H23" i="57"/>
  <c r="C23" i="57"/>
  <c r="F23" i="57"/>
  <c r="E23" i="57"/>
  <c r="B12" i="23"/>
  <c r="D23" i="57"/>
  <c r="A23" i="57"/>
  <c r="J22" i="57"/>
  <c r="H22" i="57"/>
  <c r="C22" i="57"/>
  <c r="F22" i="57"/>
  <c r="E22" i="57"/>
  <c r="D22" i="57"/>
  <c r="A22" i="57"/>
  <c r="J18" i="57"/>
  <c r="H18" i="57"/>
  <c r="C18" i="57"/>
  <c r="F18" i="57"/>
  <c r="E18" i="57"/>
  <c r="B10" i="23"/>
  <c r="D18" i="57"/>
  <c r="A18" i="57"/>
  <c r="J17" i="57"/>
  <c r="H17" i="57"/>
  <c r="C17" i="57"/>
  <c r="F17" i="57"/>
  <c r="E17" i="57"/>
  <c r="D17" i="57"/>
  <c r="A17" i="57"/>
  <c r="H3" i="57"/>
  <c r="H4" i="57"/>
  <c r="H5" i="57"/>
  <c r="H6" i="57"/>
  <c r="H7" i="57"/>
  <c r="H8" i="57"/>
  <c r="H9" i="57"/>
  <c r="H10" i="57"/>
  <c r="H11" i="57"/>
  <c r="H12" i="57"/>
  <c r="H13" i="57"/>
  <c r="H14" i="57"/>
  <c r="H15" i="57"/>
  <c r="H16" i="57"/>
  <c r="H20" i="57"/>
  <c r="H21" i="57"/>
  <c r="H19" i="57"/>
  <c r="H24" i="57"/>
  <c r="H25" i="57"/>
  <c r="H26" i="57"/>
  <c r="H2" i="57"/>
  <c r="C3" i="57"/>
  <c r="F3" i="57"/>
  <c r="C4" i="57"/>
  <c r="F4" i="57"/>
  <c r="C5" i="57"/>
  <c r="F5" i="57"/>
  <c r="C6" i="57"/>
  <c r="F6" i="57"/>
  <c r="C7" i="57"/>
  <c r="F7" i="57"/>
  <c r="C8" i="57"/>
  <c r="F8" i="57"/>
  <c r="C9" i="57"/>
  <c r="F9" i="57"/>
  <c r="C10" i="57"/>
  <c r="F10" i="57"/>
  <c r="C11" i="57"/>
  <c r="F11" i="57"/>
  <c r="C12" i="57"/>
  <c r="F12" i="57"/>
  <c r="C13" i="57"/>
  <c r="F13" i="57"/>
  <c r="C14" i="57"/>
  <c r="F14" i="57"/>
  <c r="C15" i="57"/>
  <c r="F15" i="57"/>
  <c r="C16" i="57"/>
  <c r="F16" i="57"/>
  <c r="C20" i="57"/>
  <c r="F20" i="57"/>
  <c r="C21" i="57"/>
  <c r="F21" i="57"/>
  <c r="C19" i="57"/>
  <c r="F19" i="57"/>
  <c r="C24" i="57"/>
  <c r="F24" i="57"/>
  <c r="C25" i="57"/>
  <c r="F25" i="57"/>
  <c r="C26" i="57"/>
  <c r="F26" i="57"/>
  <c r="C2" i="57"/>
  <c r="F2" i="57"/>
  <c r="E9" i="57"/>
  <c r="E11" i="57"/>
  <c r="E3" i="57"/>
  <c r="E4" i="57"/>
  <c r="E5" i="57"/>
  <c r="E6" i="57"/>
  <c r="E7" i="57"/>
  <c r="E8" i="57"/>
  <c r="E10" i="57"/>
  <c r="E12" i="57"/>
  <c r="E13" i="57"/>
  <c r="E14" i="57"/>
  <c r="E15" i="57"/>
  <c r="E16" i="57"/>
  <c r="E20" i="57"/>
  <c r="E21" i="57"/>
  <c r="E19" i="57"/>
  <c r="E24" i="57"/>
  <c r="E25" i="57"/>
  <c r="E26" i="57"/>
  <c r="E2" i="57"/>
  <c r="B2" i="23"/>
  <c r="D2" i="57"/>
  <c r="B6" i="23"/>
  <c r="J26" i="57"/>
  <c r="D26" i="57"/>
  <c r="A26" i="57"/>
  <c r="J25" i="57"/>
  <c r="D25" i="57"/>
  <c r="A25" i="57"/>
  <c r="J24" i="57"/>
  <c r="D24" i="57"/>
  <c r="A24" i="57"/>
  <c r="J19" i="57"/>
  <c r="D19" i="57"/>
  <c r="A19" i="57"/>
  <c r="J21" i="57"/>
  <c r="D21" i="57"/>
  <c r="A21" i="57"/>
  <c r="J20" i="57"/>
  <c r="D20" i="57"/>
  <c r="A20" i="57"/>
  <c r="J16" i="57"/>
  <c r="D16" i="57"/>
  <c r="A16" i="57"/>
  <c r="J15" i="57"/>
  <c r="D15" i="57"/>
  <c r="A15" i="57"/>
  <c r="J14" i="57"/>
  <c r="D14" i="57"/>
  <c r="A14" i="57"/>
  <c r="G15" i="23"/>
  <c r="BC15" i="23"/>
  <c r="BD15" i="23"/>
  <c r="Q15" i="23"/>
  <c r="S15" i="23"/>
  <c r="W15" i="23"/>
  <c r="AA15" i="23"/>
  <c r="I15" i="23"/>
  <c r="J15" i="23"/>
  <c r="BK15" i="23"/>
  <c r="E14" i="52"/>
  <c r="E15" i="52"/>
  <c r="J15" i="52"/>
  <c r="H15" i="52"/>
  <c r="B3" i="61"/>
  <c r="E3" i="61"/>
  <c r="F3" i="61"/>
  <c r="B4" i="61"/>
  <c r="E4" i="61"/>
  <c r="F4" i="61"/>
  <c r="B5" i="61"/>
  <c r="E5" i="61"/>
  <c r="F5" i="61"/>
  <c r="E3" i="54"/>
  <c r="E4" i="54"/>
  <c r="E5" i="54"/>
  <c r="E6" i="54"/>
  <c r="E7" i="54"/>
  <c r="E8" i="54"/>
  <c r="E9" i="54"/>
  <c r="E10" i="54"/>
  <c r="E11" i="54"/>
  <c r="E12" i="54"/>
  <c r="E13" i="54"/>
  <c r="E14" i="54"/>
  <c r="E15" i="54"/>
  <c r="E16" i="54"/>
  <c r="E17" i="54"/>
  <c r="E18" i="54"/>
  <c r="E19" i="54"/>
  <c r="E20" i="54"/>
  <c r="E21" i="54"/>
  <c r="E22" i="54"/>
  <c r="E23" i="54"/>
  <c r="E24" i="54"/>
  <c r="E25" i="54"/>
  <c r="E26" i="54"/>
  <c r="E27" i="54"/>
  <c r="E28" i="54"/>
  <c r="E29" i="54"/>
  <c r="E30" i="54"/>
  <c r="E31" i="54"/>
  <c r="E32" i="54"/>
  <c r="E33" i="54"/>
  <c r="E34" i="54"/>
  <c r="E35" i="54"/>
  <c r="E36" i="54"/>
  <c r="E37" i="54"/>
  <c r="E38" i="54"/>
  <c r="E39" i="54"/>
  <c r="E40" i="54"/>
  <c r="E41" i="54"/>
  <c r="E42" i="54"/>
  <c r="E43" i="54"/>
  <c r="E44" i="54"/>
  <c r="E45" i="54"/>
  <c r="E46" i="54"/>
  <c r="E47" i="54"/>
  <c r="E48" i="54"/>
  <c r="E49" i="54"/>
  <c r="E50" i="54"/>
  <c r="E51" i="54"/>
  <c r="E52" i="54"/>
  <c r="E53" i="54"/>
  <c r="E54" i="54"/>
  <c r="E55" i="54"/>
  <c r="E56" i="54"/>
  <c r="E57" i="54"/>
  <c r="E58" i="54"/>
  <c r="C3" i="62"/>
  <c r="C4" i="62"/>
  <c r="C5" i="62"/>
  <c r="C6" i="62"/>
  <c r="C7" i="62"/>
  <c r="C8" i="62"/>
  <c r="C9" i="62"/>
  <c r="C10" i="62"/>
  <c r="C11" i="62"/>
  <c r="C12" i="62"/>
  <c r="C13" i="62"/>
  <c r="C14" i="62"/>
  <c r="C15" i="62"/>
  <c r="E15" i="62"/>
  <c r="E14" i="62"/>
  <c r="E13" i="62"/>
  <c r="E12" i="62"/>
  <c r="E11" i="62"/>
  <c r="E10" i="62"/>
  <c r="E9" i="62"/>
  <c r="E8" i="62"/>
  <c r="E7" i="62"/>
  <c r="E6" i="62"/>
  <c r="E5" i="62"/>
  <c r="E4" i="62"/>
  <c r="E3" i="62"/>
  <c r="E2" i="62"/>
  <c r="F2" i="61"/>
  <c r="E2" i="61"/>
  <c r="B2" i="61"/>
  <c r="B11" i="23"/>
  <c r="B15" i="23"/>
  <c r="G14" i="23"/>
  <c r="B13" i="23"/>
  <c r="G12" i="23"/>
  <c r="S8" i="56"/>
  <c r="T8" i="56"/>
  <c r="R8" i="56"/>
  <c r="O8" i="56"/>
  <c r="N8" i="56"/>
  <c r="M8" i="56"/>
  <c r="L8" i="56"/>
  <c r="J8" i="56"/>
  <c r="K8" i="56"/>
  <c r="I8" i="56"/>
  <c r="H8" i="56"/>
  <c r="F8" i="56"/>
  <c r="E8" i="56"/>
  <c r="D8" i="56"/>
  <c r="C8" i="56"/>
  <c r="B8" i="56"/>
  <c r="G15" i="53"/>
  <c r="E15" i="53"/>
  <c r="V15" i="23"/>
  <c r="AD15" i="23"/>
  <c r="M15" i="23"/>
  <c r="BN15" i="23"/>
  <c r="U15" i="23"/>
  <c r="AC15" i="23"/>
  <c r="L15" i="23"/>
  <c r="BM15" i="23"/>
  <c r="T15" i="23"/>
  <c r="AB15" i="23"/>
  <c r="K15" i="23"/>
  <c r="BL15" i="23"/>
  <c r="BC14" i="23"/>
  <c r="BE15" i="23"/>
  <c r="BJ15" i="23"/>
  <c r="BI15" i="23"/>
  <c r="BH15" i="23"/>
  <c r="BG15" i="23"/>
  <c r="I14" i="23"/>
  <c r="J14" i="23"/>
  <c r="BF15" i="23"/>
  <c r="AX15" i="23"/>
  <c r="AW15" i="23"/>
  <c r="AV15" i="23"/>
  <c r="AU15" i="23"/>
  <c r="AS15" i="23"/>
  <c r="AR15" i="23"/>
  <c r="AQ15" i="23"/>
  <c r="AN15" i="23"/>
  <c r="AM15" i="23"/>
  <c r="AL15" i="23"/>
  <c r="AK15" i="23"/>
  <c r="AI15" i="23"/>
  <c r="AG14" i="23"/>
  <c r="AG15" i="23"/>
  <c r="AH15" i="23"/>
  <c r="AF15" i="23"/>
  <c r="Y15" i="23"/>
  <c r="Z15" i="23"/>
  <c r="X15" i="23"/>
  <c r="R15" i="23"/>
  <c r="P15" i="23"/>
  <c r="O15" i="23"/>
  <c r="G9" i="13"/>
  <c r="N15" i="23"/>
  <c r="F15" i="23"/>
  <c r="E15" i="23"/>
  <c r="D15" i="23"/>
  <c r="C15" i="23"/>
  <c r="I58" i="54"/>
  <c r="B58" i="54"/>
  <c r="I53" i="54"/>
  <c r="B53" i="54"/>
  <c r="G7" i="23"/>
  <c r="BC7" i="23"/>
  <c r="BD7" i="23"/>
  <c r="Q7" i="23"/>
  <c r="S7" i="23"/>
  <c r="W7" i="23"/>
  <c r="AA7" i="23"/>
  <c r="I7" i="23"/>
  <c r="J7" i="23"/>
  <c r="BK7" i="23"/>
  <c r="T7" i="23"/>
  <c r="AB7" i="23"/>
  <c r="K7" i="23"/>
  <c r="BL7" i="23"/>
  <c r="I57" i="54"/>
  <c r="B57" i="54"/>
  <c r="I56" i="54"/>
  <c r="B56" i="54"/>
  <c r="I55" i="54"/>
  <c r="B55" i="54"/>
  <c r="I54" i="54"/>
  <c r="B54" i="54"/>
  <c r="I52" i="54"/>
  <c r="B52" i="54"/>
  <c r="I51" i="54"/>
  <c r="B51" i="54"/>
  <c r="I50" i="54"/>
  <c r="B50" i="54"/>
  <c r="E7" i="52"/>
  <c r="E6" i="52"/>
  <c r="J6" i="52"/>
  <c r="E2" i="54"/>
  <c r="I49" i="54"/>
  <c r="B49" i="54"/>
  <c r="I48" i="54"/>
  <c r="B48" i="54"/>
  <c r="I47" i="54"/>
  <c r="B47" i="54"/>
  <c r="I46" i="54"/>
  <c r="B46" i="54"/>
  <c r="I45" i="54"/>
  <c r="B45" i="54"/>
  <c r="I44" i="54"/>
  <c r="B44" i="54"/>
  <c r="I43" i="54"/>
  <c r="B43" i="54"/>
  <c r="I42" i="54"/>
  <c r="B42" i="54"/>
  <c r="I41" i="54"/>
  <c r="B41" i="54"/>
  <c r="I39" i="54"/>
  <c r="I40" i="54"/>
  <c r="B40" i="54"/>
  <c r="B39" i="54"/>
  <c r="I38" i="54"/>
  <c r="B38" i="54"/>
  <c r="I37" i="54"/>
  <c r="B37" i="54"/>
  <c r="I36" i="54"/>
  <c r="B36" i="54"/>
  <c r="I35" i="54"/>
  <c r="B35" i="54"/>
  <c r="I34" i="54"/>
  <c r="B34" i="54"/>
  <c r="I33" i="54"/>
  <c r="B33" i="54"/>
  <c r="I32" i="54"/>
  <c r="B32" i="54"/>
  <c r="B31" i="54"/>
  <c r="B30" i="54"/>
  <c r="B29" i="54"/>
  <c r="B28" i="54"/>
  <c r="B27" i="54"/>
  <c r="B26" i="54"/>
  <c r="B25" i="54"/>
  <c r="I23" i="54"/>
  <c r="I20" i="54"/>
  <c r="I17" i="54"/>
  <c r="I16" i="54"/>
  <c r="I18" i="54"/>
  <c r="I19" i="54"/>
  <c r="I21" i="54"/>
  <c r="I22" i="54"/>
  <c r="I24" i="54"/>
  <c r="I25" i="54"/>
  <c r="I26" i="54"/>
  <c r="I27" i="54"/>
  <c r="I28" i="54"/>
  <c r="I29" i="54"/>
  <c r="I30" i="54"/>
  <c r="I31" i="54"/>
  <c r="B16" i="54"/>
  <c r="B17" i="54"/>
  <c r="B18" i="54"/>
  <c r="B19" i="54"/>
  <c r="B20" i="54"/>
  <c r="B21" i="54"/>
  <c r="B22" i="54"/>
  <c r="B23" i="54"/>
  <c r="B24" i="54"/>
  <c r="B9" i="54"/>
  <c r="I4" i="54"/>
  <c r="I15" i="54"/>
  <c r="I14" i="54"/>
  <c r="I13" i="54"/>
  <c r="I12" i="54"/>
  <c r="I11" i="54"/>
  <c r="I10" i="54"/>
  <c r="I9" i="54"/>
  <c r="I8" i="54"/>
  <c r="I7" i="54"/>
  <c r="I6" i="54"/>
  <c r="I5" i="54"/>
  <c r="I3" i="54"/>
  <c r="I2" i="54"/>
  <c r="B3" i="54"/>
  <c r="B4" i="54"/>
  <c r="B5" i="54"/>
  <c r="B6" i="54"/>
  <c r="B7" i="54"/>
  <c r="B8" i="54"/>
  <c r="B10" i="54"/>
  <c r="B11" i="54"/>
  <c r="B12" i="54"/>
  <c r="B13" i="54"/>
  <c r="B14" i="54"/>
  <c r="B15" i="54"/>
  <c r="J3" i="52"/>
  <c r="J4" i="52"/>
  <c r="J5" i="52"/>
  <c r="J7" i="52"/>
  <c r="J8" i="52"/>
  <c r="J9" i="52"/>
  <c r="J10" i="52"/>
  <c r="J11" i="52"/>
  <c r="J12" i="52"/>
  <c r="J13" i="52"/>
  <c r="J14" i="52"/>
  <c r="J2" i="52"/>
  <c r="G13" i="23"/>
  <c r="G11" i="23"/>
  <c r="G10" i="23"/>
  <c r="J13" i="57"/>
  <c r="B9" i="23"/>
  <c r="G8" i="23"/>
  <c r="B8" i="23"/>
  <c r="D13" i="57"/>
  <c r="A13" i="57"/>
  <c r="J12" i="57"/>
  <c r="D12" i="57"/>
  <c r="A12" i="57"/>
  <c r="J7" i="57"/>
  <c r="J11" i="57"/>
  <c r="D11" i="57"/>
  <c r="A11" i="57"/>
  <c r="J10" i="57"/>
  <c r="B7" i="23"/>
  <c r="G6" i="23"/>
  <c r="D10" i="57"/>
  <c r="A10" i="57"/>
  <c r="J9" i="57"/>
  <c r="D9" i="57"/>
  <c r="A9" i="57"/>
  <c r="J8" i="57"/>
  <c r="D8" i="57"/>
  <c r="A8" i="57"/>
  <c r="D7" i="57"/>
  <c r="A7" i="57"/>
  <c r="J6" i="57"/>
  <c r="B5" i="23"/>
  <c r="G4" i="23"/>
  <c r="B4" i="23"/>
  <c r="D6" i="57"/>
  <c r="A6" i="57"/>
  <c r="J5" i="57"/>
  <c r="D5" i="57"/>
  <c r="A5" i="57"/>
  <c r="J4" i="57"/>
  <c r="D4" i="57"/>
  <c r="A4" i="57"/>
  <c r="J3" i="57"/>
  <c r="D3" i="57"/>
  <c r="A3" i="57"/>
  <c r="B3" i="23"/>
  <c r="G2" i="23"/>
  <c r="E13" i="52"/>
  <c r="BD14" i="23"/>
  <c r="Q14" i="23"/>
  <c r="T14" i="23"/>
  <c r="W14" i="23"/>
  <c r="AB14" i="23"/>
  <c r="K14" i="23"/>
  <c r="BL14" i="23"/>
  <c r="A2" i="57"/>
  <c r="J2" i="57"/>
  <c r="S2" i="56"/>
  <c r="R2" i="56"/>
  <c r="R3" i="56"/>
  <c r="R4" i="56"/>
  <c r="R5" i="56"/>
  <c r="R6" i="56"/>
  <c r="R7" i="56"/>
  <c r="B7" i="56"/>
  <c r="O7" i="56"/>
  <c r="N7" i="56"/>
  <c r="M7" i="56"/>
  <c r="L7" i="56"/>
  <c r="J7" i="56"/>
  <c r="K7" i="56"/>
  <c r="I7" i="56"/>
  <c r="H7" i="56"/>
  <c r="F7" i="56"/>
  <c r="E7" i="56"/>
  <c r="D7" i="56"/>
  <c r="C7" i="56"/>
  <c r="B4" i="56"/>
  <c r="B5" i="56"/>
  <c r="B6" i="56"/>
  <c r="O6" i="56"/>
  <c r="N6" i="56"/>
  <c r="M6" i="56"/>
  <c r="L6" i="56"/>
  <c r="J6" i="56"/>
  <c r="K6" i="56"/>
  <c r="I6" i="56"/>
  <c r="H6" i="56"/>
  <c r="F6" i="56"/>
  <c r="E6" i="56"/>
  <c r="D6" i="56"/>
  <c r="C6" i="56"/>
  <c r="O5" i="56"/>
  <c r="N5" i="56"/>
  <c r="M5" i="56"/>
  <c r="L5" i="56"/>
  <c r="J5" i="56"/>
  <c r="K5" i="56"/>
  <c r="I5" i="56"/>
  <c r="H5" i="56"/>
  <c r="F5" i="56"/>
  <c r="E5" i="56"/>
  <c r="D5" i="56"/>
  <c r="C5" i="56"/>
  <c r="O4" i="56"/>
  <c r="N4" i="56"/>
  <c r="M4" i="56"/>
  <c r="L4" i="56"/>
  <c r="J4" i="56"/>
  <c r="K4" i="56"/>
  <c r="I4" i="56"/>
  <c r="H4" i="56"/>
  <c r="F4" i="56"/>
  <c r="E4" i="56"/>
  <c r="D4" i="56"/>
  <c r="C4" i="56"/>
  <c r="O3" i="56"/>
  <c r="N3" i="56"/>
  <c r="M3" i="56"/>
  <c r="L3" i="56"/>
  <c r="J3" i="56"/>
  <c r="K3" i="56"/>
  <c r="I3" i="56"/>
  <c r="H3" i="56"/>
  <c r="F3" i="56"/>
  <c r="E3" i="56"/>
  <c r="D3" i="56"/>
  <c r="C3" i="56"/>
  <c r="B3" i="56"/>
  <c r="O2" i="56"/>
  <c r="N2" i="56"/>
  <c r="M2" i="56"/>
  <c r="L2" i="56"/>
  <c r="J2" i="56"/>
  <c r="K2" i="56"/>
  <c r="I2" i="56"/>
  <c r="H2" i="56"/>
  <c r="F2" i="56"/>
  <c r="E2" i="56"/>
  <c r="D2" i="56"/>
  <c r="C2" i="56"/>
  <c r="B2" i="56"/>
  <c r="E14" i="53"/>
  <c r="E13" i="53"/>
  <c r="E11" i="53"/>
  <c r="E10" i="53"/>
  <c r="E7" i="53"/>
  <c r="E6" i="53"/>
  <c r="E8" i="53"/>
  <c r="E9" i="53"/>
  <c r="E5" i="53"/>
  <c r="E4" i="53"/>
  <c r="E3" i="53"/>
  <c r="E2" i="53"/>
  <c r="N14" i="23"/>
  <c r="O7" i="23"/>
  <c r="G3" i="53"/>
  <c r="G4" i="53"/>
  <c r="G5" i="53"/>
  <c r="G6" i="53"/>
  <c r="G7" i="53"/>
  <c r="G8" i="53"/>
  <c r="G9" i="53"/>
  <c r="G10" i="53"/>
  <c r="G11" i="53"/>
  <c r="G12" i="53"/>
  <c r="G13" i="53"/>
  <c r="G14" i="53"/>
  <c r="G2" i="53"/>
  <c r="E12" i="53"/>
  <c r="H14" i="52"/>
  <c r="H13" i="52"/>
  <c r="H12" i="52"/>
  <c r="E12" i="52"/>
  <c r="H11" i="52"/>
  <c r="E11" i="52"/>
  <c r="H10" i="52"/>
  <c r="E10" i="52"/>
  <c r="H9" i="52"/>
  <c r="E9" i="52"/>
  <c r="H8" i="52"/>
  <c r="E8" i="52"/>
  <c r="H7" i="52"/>
  <c r="H6" i="52"/>
  <c r="H5" i="52"/>
  <c r="E5" i="52"/>
  <c r="H4" i="52"/>
  <c r="E4" i="52"/>
  <c r="H3" i="52"/>
  <c r="H2" i="52"/>
  <c r="G5" i="23"/>
  <c r="G9" i="23"/>
  <c r="G3" i="23"/>
  <c r="AG10" i="23"/>
  <c r="AG11" i="23"/>
  <c r="AV11" i="23"/>
  <c r="Q11" i="23"/>
  <c r="S11" i="23"/>
  <c r="C4" i="23"/>
  <c r="D4" i="23"/>
  <c r="E4" i="23"/>
  <c r="F4" i="23"/>
  <c r="I4" i="23"/>
  <c r="J4" i="23"/>
  <c r="K4" i="23"/>
  <c r="L4" i="23"/>
  <c r="M4" i="23"/>
  <c r="N4" i="23"/>
  <c r="O4" i="23"/>
  <c r="P4" i="23"/>
  <c r="Q4" i="23"/>
  <c r="R4" i="23"/>
  <c r="S4" i="23"/>
  <c r="T4" i="23"/>
  <c r="U4" i="23"/>
  <c r="V4" i="23"/>
  <c r="W4" i="23"/>
  <c r="X4" i="23"/>
  <c r="Y4" i="23"/>
  <c r="Z4" i="23"/>
  <c r="AA4" i="23"/>
  <c r="AB4" i="23"/>
  <c r="AC4" i="23"/>
  <c r="AD4" i="23"/>
  <c r="AF4" i="23"/>
  <c r="AI4" i="23"/>
  <c r="AK4" i="23"/>
  <c r="AL4" i="23"/>
  <c r="AM4" i="23"/>
  <c r="AN4" i="23"/>
  <c r="AQ4" i="23"/>
  <c r="AR4" i="23"/>
  <c r="AS4" i="23"/>
  <c r="AU4" i="23"/>
  <c r="AV4" i="23"/>
  <c r="AW4" i="23"/>
  <c r="AX4" i="23"/>
  <c r="BC4" i="23"/>
  <c r="BD4" i="23"/>
  <c r="BE4" i="23"/>
  <c r="BF4" i="23"/>
  <c r="BK4" i="23"/>
  <c r="BG4" i="23"/>
  <c r="BL4" i="23"/>
  <c r="BH4" i="23"/>
  <c r="BM4" i="23"/>
  <c r="BI4" i="23"/>
  <c r="BN4" i="23"/>
  <c r="BJ4" i="23"/>
  <c r="C5" i="23"/>
  <c r="D5" i="23"/>
  <c r="E5" i="23"/>
  <c r="F5" i="23"/>
  <c r="I5" i="23"/>
  <c r="J5" i="23"/>
  <c r="K5" i="23"/>
  <c r="L5" i="23"/>
  <c r="M5" i="23"/>
  <c r="N5" i="23"/>
  <c r="O5" i="23"/>
  <c r="P5" i="23"/>
  <c r="Q5" i="23"/>
  <c r="R5" i="23"/>
  <c r="S5" i="23"/>
  <c r="T5" i="23"/>
  <c r="U5" i="23"/>
  <c r="V5" i="23"/>
  <c r="W5" i="23"/>
  <c r="X5" i="23"/>
  <c r="Y5" i="23"/>
  <c r="Z5" i="23"/>
  <c r="AA5" i="23"/>
  <c r="AB5" i="23"/>
  <c r="AC5" i="23"/>
  <c r="AD5" i="23"/>
  <c r="AF5" i="23"/>
  <c r="AG4" i="23"/>
  <c r="AG5" i="23"/>
  <c r="AH5" i="23"/>
  <c r="AI5" i="23"/>
  <c r="AK5" i="23"/>
  <c r="AL5" i="23"/>
  <c r="AM5" i="23"/>
  <c r="AN5" i="23"/>
  <c r="AQ5" i="23"/>
  <c r="AR5" i="23"/>
  <c r="AS5" i="23"/>
  <c r="AU5" i="23"/>
  <c r="AV5" i="23"/>
  <c r="AW5" i="23"/>
  <c r="AX5" i="23"/>
  <c r="BC5" i="23"/>
  <c r="BD5" i="23"/>
  <c r="BE5" i="23"/>
  <c r="BF5" i="23"/>
  <c r="BK5" i="23"/>
  <c r="BG5" i="23"/>
  <c r="BL5" i="23"/>
  <c r="BH5" i="23"/>
  <c r="BM5" i="23"/>
  <c r="BI5" i="23"/>
  <c r="BN5" i="23"/>
  <c r="BJ5" i="23"/>
  <c r="C6" i="23"/>
  <c r="D6" i="23"/>
  <c r="E6" i="23"/>
  <c r="F6" i="23"/>
  <c r="I6" i="23"/>
  <c r="J6" i="23"/>
  <c r="K6" i="23"/>
  <c r="L6" i="23"/>
  <c r="M6" i="23"/>
  <c r="N6" i="23"/>
  <c r="O6" i="23"/>
  <c r="P6" i="23"/>
  <c r="Q6" i="23"/>
  <c r="R6" i="23"/>
  <c r="S6" i="23"/>
  <c r="T6" i="23"/>
  <c r="U6" i="23"/>
  <c r="V6" i="23"/>
  <c r="W6" i="23"/>
  <c r="X6" i="23"/>
  <c r="Y6" i="23"/>
  <c r="Z6" i="23"/>
  <c r="AA6" i="23"/>
  <c r="AB6" i="23"/>
  <c r="AC6" i="23"/>
  <c r="AD6" i="23"/>
  <c r="AF6" i="23"/>
  <c r="AI6" i="23"/>
  <c r="AK6" i="23"/>
  <c r="AL6" i="23"/>
  <c r="AM6" i="23"/>
  <c r="AN6" i="23"/>
  <c r="AQ6" i="23"/>
  <c r="AR6" i="23"/>
  <c r="AS6" i="23"/>
  <c r="AU6" i="23"/>
  <c r="AV6" i="23"/>
  <c r="AW6" i="23"/>
  <c r="AX6" i="23"/>
  <c r="BC6" i="23"/>
  <c r="BD6" i="23"/>
  <c r="BE6" i="23"/>
  <c r="BF6" i="23"/>
  <c r="BK6" i="23"/>
  <c r="BG6" i="23"/>
  <c r="BL6" i="23"/>
  <c r="BH6" i="23"/>
  <c r="BM6" i="23"/>
  <c r="BI6" i="23"/>
  <c r="BN6" i="23"/>
  <c r="BJ6" i="23"/>
  <c r="C7" i="23"/>
  <c r="D7" i="23"/>
  <c r="E7" i="23"/>
  <c r="F7" i="23"/>
  <c r="L7" i="23"/>
  <c r="M7" i="23"/>
  <c r="G4" i="13"/>
  <c r="N7" i="23"/>
  <c r="P7" i="23"/>
  <c r="R7" i="23"/>
  <c r="U7" i="23"/>
  <c r="V7" i="23"/>
  <c r="X7" i="23"/>
  <c r="Y7" i="23"/>
  <c r="Z7" i="23"/>
  <c r="AC7" i="23"/>
  <c r="AD7" i="23"/>
  <c r="AF7" i="23"/>
  <c r="AG6" i="23"/>
  <c r="AG7" i="23"/>
  <c r="AH7" i="23"/>
  <c r="AI7" i="23"/>
  <c r="AK7" i="23"/>
  <c r="AL7" i="23"/>
  <c r="AM7" i="23"/>
  <c r="AN7" i="23"/>
  <c r="AQ7" i="23"/>
  <c r="AR7" i="23"/>
  <c r="AS7" i="23"/>
  <c r="AU7" i="23"/>
  <c r="AV7" i="23"/>
  <c r="AW7" i="23"/>
  <c r="AX7" i="23"/>
  <c r="BE7" i="23"/>
  <c r="BF7" i="23"/>
  <c r="BG7" i="23"/>
  <c r="BH7" i="23"/>
  <c r="BM7" i="23"/>
  <c r="BI7" i="23"/>
  <c r="BN7" i="23"/>
  <c r="BJ7" i="23"/>
  <c r="C8" i="23"/>
  <c r="D8" i="23"/>
  <c r="E8" i="23"/>
  <c r="F8" i="23"/>
  <c r="I8" i="23"/>
  <c r="J8" i="23"/>
  <c r="K8" i="23"/>
  <c r="L8" i="23"/>
  <c r="M8" i="23"/>
  <c r="N8" i="23"/>
  <c r="O8" i="23"/>
  <c r="P8" i="23"/>
  <c r="Q8" i="23"/>
  <c r="R8" i="23"/>
  <c r="S8" i="23"/>
  <c r="T8" i="23"/>
  <c r="U8" i="23"/>
  <c r="V8" i="23"/>
  <c r="X8" i="23"/>
  <c r="Y8" i="23"/>
  <c r="Z8" i="23"/>
  <c r="AF8" i="23"/>
  <c r="AI8" i="23"/>
  <c r="AK8" i="23"/>
  <c r="AL8" i="23"/>
  <c r="AM8" i="23"/>
  <c r="AN8" i="23"/>
  <c r="AQ8" i="23"/>
  <c r="AR8" i="23"/>
  <c r="AS8" i="23"/>
  <c r="AU8" i="23"/>
  <c r="AV8" i="23"/>
  <c r="AW8" i="23"/>
  <c r="AX8" i="23"/>
  <c r="BC8" i="23"/>
  <c r="BD8" i="23"/>
  <c r="BE8" i="23"/>
  <c r="BF8" i="23"/>
  <c r="BK8" i="23"/>
  <c r="BG8" i="23"/>
  <c r="BL8" i="23"/>
  <c r="BH8" i="23"/>
  <c r="BM8" i="23"/>
  <c r="BI8" i="23"/>
  <c r="BN8" i="23"/>
  <c r="BJ8" i="23"/>
  <c r="C9" i="23"/>
  <c r="D9" i="23"/>
  <c r="E9" i="23"/>
  <c r="F9" i="23"/>
  <c r="I9" i="23"/>
  <c r="J9" i="23"/>
  <c r="K9" i="23"/>
  <c r="L9" i="23"/>
  <c r="M9" i="23"/>
  <c r="N9" i="23"/>
  <c r="O9" i="23"/>
  <c r="P9" i="23"/>
  <c r="Q9" i="23"/>
  <c r="R9" i="23"/>
  <c r="S9" i="23"/>
  <c r="T9" i="23"/>
  <c r="U9" i="23"/>
  <c r="V9" i="23"/>
  <c r="X9" i="23"/>
  <c r="Y9" i="23"/>
  <c r="Z9" i="23"/>
  <c r="AF9" i="23"/>
  <c r="AG8" i="23"/>
  <c r="AG9" i="23"/>
  <c r="AH9" i="23"/>
  <c r="AI9" i="23"/>
  <c r="AK9" i="23"/>
  <c r="AL9" i="23"/>
  <c r="AM9" i="23"/>
  <c r="AN9" i="23"/>
  <c r="AQ9" i="23"/>
  <c r="AR9" i="23"/>
  <c r="AS9" i="23"/>
  <c r="AU9" i="23"/>
  <c r="AV9" i="23"/>
  <c r="AW9" i="23"/>
  <c r="AX9" i="23"/>
  <c r="BC9" i="23"/>
  <c r="BD9" i="23"/>
  <c r="BE9" i="23"/>
  <c r="BF9" i="23"/>
  <c r="BK9" i="23"/>
  <c r="BG9" i="23"/>
  <c r="BL9" i="23"/>
  <c r="BH9" i="23"/>
  <c r="BM9" i="23"/>
  <c r="BI9" i="23"/>
  <c r="BN9" i="23"/>
  <c r="BJ9" i="23"/>
  <c r="C10" i="23"/>
  <c r="D10" i="23"/>
  <c r="E10" i="23"/>
  <c r="F10" i="23"/>
  <c r="I10" i="23"/>
  <c r="J10" i="23"/>
  <c r="K10" i="23"/>
  <c r="L10" i="23"/>
  <c r="M10" i="23"/>
  <c r="N10" i="23"/>
  <c r="O10" i="23"/>
  <c r="P10" i="23"/>
  <c r="Q10" i="23"/>
  <c r="R10" i="23"/>
  <c r="S10" i="23"/>
  <c r="T10" i="23"/>
  <c r="U10" i="23"/>
  <c r="V10" i="23"/>
  <c r="W10" i="23"/>
  <c r="X10" i="23"/>
  <c r="Y10" i="23"/>
  <c r="Z10" i="23"/>
  <c r="AA10" i="23"/>
  <c r="AB10" i="23"/>
  <c r="AC10" i="23"/>
  <c r="AD10" i="23"/>
  <c r="AF10" i="23"/>
  <c r="AI10" i="23"/>
  <c r="AK10" i="23"/>
  <c r="AL10" i="23"/>
  <c r="AM10" i="23"/>
  <c r="AN10" i="23"/>
  <c r="AQ10" i="23"/>
  <c r="AR10" i="23"/>
  <c r="AS10" i="23"/>
  <c r="AU10" i="23"/>
  <c r="AV10" i="23"/>
  <c r="AW10" i="23"/>
  <c r="AX10" i="23"/>
  <c r="BC10" i="23"/>
  <c r="BD10" i="23"/>
  <c r="BE10" i="23"/>
  <c r="BF10" i="23"/>
  <c r="BK10" i="23"/>
  <c r="BG10" i="23"/>
  <c r="BL10" i="23"/>
  <c r="BH10" i="23"/>
  <c r="BM10" i="23"/>
  <c r="BI10" i="23"/>
  <c r="BN10" i="23"/>
  <c r="BJ10" i="23"/>
  <c r="C11" i="23"/>
  <c r="D11" i="23"/>
  <c r="E11" i="23"/>
  <c r="F11" i="23"/>
  <c r="I11" i="23"/>
  <c r="J11" i="23"/>
  <c r="K11" i="23"/>
  <c r="L11" i="23"/>
  <c r="M11" i="23"/>
  <c r="N11" i="23"/>
  <c r="O11" i="23"/>
  <c r="P11" i="23"/>
  <c r="R11" i="23"/>
  <c r="T11" i="23"/>
  <c r="U11" i="23"/>
  <c r="V11" i="23"/>
  <c r="W11" i="23"/>
  <c r="X11" i="23"/>
  <c r="Y11" i="23"/>
  <c r="Z11" i="23"/>
  <c r="AA11" i="23"/>
  <c r="AB11" i="23"/>
  <c r="AC11" i="23"/>
  <c r="AD11" i="23"/>
  <c r="AF11" i="23"/>
  <c r="AH11" i="23"/>
  <c r="AI11" i="23"/>
  <c r="AK11" i="23"/>
  <c r="AL11" i="23"/>
  <c r="AM11" i="23"/>
  <c r="AN11" i="23"/>
  <c r="AQ11" i="23"/>
  <c r="AR11" i="23"/>
  <c r="AS11" i="23"/>
  <c r="AU11" i="23"/>
  <c r="AW11" i="23"/>
  <c r="AX11" i="23"/>
  <c r="BC11" i="23"/>
  <c r="BD11" i="23"/>
  <c r="BE11" i="23"/>
  <c r="BF11" i="23"/>
  <c r="BK11" i="23"/>
  <c r="BG11" i="23"/>
  <c r="BL11" i="23"/>
  <c r="BH11" i="23"/>
  <c r="BM11" i="23"/>
  <c r="BI11" i="23"/>
  <c r="BN11" i="23"/>
  <c r="BJ11" i="23"/>
  <c r="C12" i="23"/>
  <c r="D12" i="23"/>
  <c r="E12" i="23"/>
  <c r="F12" i="23"/>
  <c r="I12" i="23"/>
  <c r="J12" i="23"/>
  <c r="K12" i="23"/>
  <c r="L12" i="23"/>
  <c r="M12" i="23"/>
  <c r="N12" i="23"/>
  <c r="O12" i="23"/>
  <c r="P12" i="23"/>
  <c r="Q12" i="23"/>
  <c r="R12" i="23"/>
  <c r="S12" i="23"/>
  <c r="T12" i="23"/>
  <c r="U12" i="23"/>
  <c r="V12" i="23"/>
  <c r="W12" i="23"/>
  <c r="X12" i="23"/>
  <c r="Y12" i="23"/>
  <c r="Z12" i="23"/>
  <c r="AA12" i="23"/>
  <c r="AB12" i="23"/>
  <c r="AC12" i="23"/>
  <c r="AD12" i="23"/>
  <c r="AF12" i="23"/>
  <c r="AG12" i="23"/>
  <c r="AH12" i="23"/>
  <c r="AI12" i="23"/>
  <c r="AK12" i="23"/>
  <c r="AL12" i="23"/>
  <c r="AM12" i="23"/>
  <c r="AN12" i="23"/>
  <c r="AQ12" i="23"/>
  <c r="AR12" i="23"/>
  <c r="AS12" i="23"/>
  <c r="AU12" i="23"/>
  <c r="AV12" i="23"/>
  <c r="AW12" i="23"/>
  <c r="AX12" i="23"/>
  <c r="BC12" i="23"/>
  <c r="BD12" i="23"/>
  <c r="BE12" i="23"/>
  <c r="BF12" i="23"/>
  <c r="BK12" i="23"/>
  <c r="BG12" i="23"/>
  <c r="BL12" i="23"/>
  <c r="BH12" i="23"/>
  <c r="BM12" i="23"/>
  <c r="BI12" i="23"/>
  <c r="BN12" i="23"/>
  <c r="BJ12" i="23"/>
  <c r="C13" i="23"/>
  <c r="D13" i="23"/>
  <c r="E13" i="23"/>
  <c r="F13" i="23"/>
  <c r="I13" i="23"/>
  <c r="J13" i="23"/>
  <c r="K13" i="23"/>
  <c r="L13" i="23"/>
  <c r="M13" i="23"/>
  <c r="N13" i="23"/>
  <c r="O13" i="23"/>
  <c r="P13" i="23"/>
  <c r="Q13" i="23"/>
  <c r="R13" i="23"/>
  <c r="S13" i="23"/>
  <c r="T13" i="23"/>
  <c r="U13" i="23"/>
  <c r="V13" i="23"/>
  <c r="W13" i="23"/>
  <c r="X13" i="23"/>
  <c r="Y13" i="23"/>
  <c r="Z13" i="23"/>
  <c r="AA13" i="23"/>
  <c r="AB13" i="23"/>
  <c r="AC13" i="23"/>
  <c r="AD13" i="23"/>
  <c r="AF13" i="23"/>
  <c r="AI13" i="23"/>
  <c r="AK13" i="23"/>
  <c r="AL13" i="23"/>
  <c r="AM13" i="23"/>
  <c r="AN13" i="23"/>
  <c r="AQ13" i="23"/>
  <c r="AR13" i="23"/>
  <c r="AS13" i="23"/>
  <c r="AU13" i="23"/>
  <c r="AV13" i="23"/>
  <c r="AW13" i="23"/>
  <c r="AX13" i="23"/>
  <c r="BC13" i="23"/>
  <c r="BD13" i="23"/>
  <c r="BE13" i="23"/>
  <c r="BF13" i="23"/>
  <c r="BK13" i="23"/>
  <c r="BG13" i="23"/>
  <c r="BL13" i="23"/>
  <c r="BH13" i="23"/>
  <c r="BM13" i="23"/>
  <c r="BI13" i="23"/>
  <c r="BN13" i="23"/>
  <c r="BJ13" i="23"/>
  <c r="C14" i="23"/>
  <c r="D14" i="23"/>
  <c r="E14" i="23"/>
  <c r="F14" i="23"/>
  <c r="L14" i="23"/>
  <c r="M14" i="23"/>
  <c r="O14" i="23"/>
  <c r="P14" i="23"/>
  <c r="R14" i="23"/>
  <c r="S14" i="23"/>
  <c r="U14" i="23"/>
  <c r="V14" i="23"/>
  <c r="X14" i="23"/>
  <c r="Y14" i="23"/>
  <c r="Z14" i="23"/>
  <c r="AA14" i="23"/>
  <c r="AC14" i="23"/>
  <c r="AD14" i="23"/>
  <c r="AF14" i="23"/>
  <c r="AG13" i="23"/>
  <c r="AH14" i="23"/>
  <c r="AI14" i="23"/>
  <c r="AK14" i="23"/>
  <c r="AL14" i="23"/>
  <c r="AM14" i="23"/>
  <c r="AN14" i="23"/>
  <c r="AQ14" i="23"/>
  <c r="AR14" i="23"/>
  <c r="AS14" i="23"/>
  <c r="AU14" i="23"/>
  <c r="AV14" i="23"/>
  <c r="AW14" i="23"/>
  <c r="AX14" i="23"/>
  <c r="BE14" i="23"/>
  <c r="BF14" i="23"/>
  <c r="BK14" i="23"/>
  <c r="BG14" i="23"/>
  <c r="BH14" i="23"/>
  <c r="BM14" i="23"/>
  <c r="BI14" i="23"/>
  <c r="BN14" i="23"/>
  <c r="BJ14" i="23"/>
  <c r="P3" i="23"/>
  <c r="P2" i="23"/>
  <c r="G10" i="13"/>
  <c r="G8" i="13"/>
  <c r="G3" i="13"/>
  <c r="G2" i="13"/>
  <c r="C2" i="23"/>
  <c r="D2" i="23"/>
  <c r="E2" i="23"/>
  <c r="F2" i="23"/>
  <c r="I2" i="23"/>
  <c r="J2" i="23"/>
  <c r="K2" i="23"/>
  <c r="L2" i="23"/>
  <c r="M2" i="23"/>
  <c r="N2" i="23"/>
  <c r="O2" i="23"/>
  <c r="Q2" i="23"/>
  <c r="R2" i="23"/>
  <c r="S2" i="23"/>
  <c r="T2" i="23"/>
  <c r="U2" i="23"/>
  <c r="V2" i="23"/>
  <c r="W2" i="23"/>
  <c r="X2" i="23"/>
  <c r="Y2" i="23"/>
  <c r="Z2" i="23"/>
  <c r="AA2" i="23"/>
  <c r="AB2" i="23"/>
  <c r="AC2" i="23"/>
  <c r="AD2" i="23"/>
  <c r="AF2" i="23"/>
  <c r="AI2" i="23"/>
  <c r="AK2" i="23"/>
  <c r="AL2" i="23"/>
  <c r="AM2" i="23"/>
  <c r="AN2" i="23"/>
  <c r="AQ2" i="23"/>
  <c r="AR2" i="23"/>
  <c r="AS2" i="23"/>
  <c r="AU2" i="23"/>
  <c r="AV2" i="23"/>
  <c r="AW2" i="23"/>
  <c r="AX2" i="23"/>
  <c r="BC2" i="23"/>
  <c r="BD2" i="23"/>
  <c r="BE2" i="23"/>
  <c r="BF2" i="23"/>
  <c r="BK2" i="23"/>
  <c r="BG2" i="23"/>
  <c r="BL2" i="23"/>
  <c r="BH2" i="23"/>
  <c r="BM2" i="23"/>
  <c r="BI2" i="23"/>
  <c r="BN2" i="23"/>
  <c r="BJ2" i="23"/>
  <c r="C3" i="23"/>
  <c r="D3" i="23"/>
  <c r="E3" i="23"/>
  <c r="F3" i="23"/>
  <c r="I3" i="23"/>
  <c r="J3" i="23"/>
  <c r="K3" i="23"/>
  <c r="L3" i="23"/>
  <c r="M3" i="23"/>
  <c r="N3" i="23"/>
  <c r="O3" i="23"/>
  <c r="Q3" i="23"/>
  <c r="R3" i="23"/>
  <c r="S3" i="23"/>
  <c r="T3" i="23"/>
  <c r="U3" i="23"/>
  <c r="V3" i="23"/>
  <c r="W3" i="23"/>
  <c r="X3" i="23"/>
  <c r="Y3" i="23"/>
  <c r="Z3" i="23"/>
  <c r="AA3" i="23"/>
  <c r="AB3" i="23"/>
  <c r="AC3" i="23"/>
  <c r="AD3" i="23"/>
  <c r="AF3" i="23"/>
  <c r="AG2" i="23"/>
  <c r="AG3" i="23"/>
  <c r="AH3" i="23"/>
  <c r="AI3" i="23"/>
  <c r="AK3" i="23"/>
  <c r="AL3" i="23"/>
  <c r="AM3" i="23"/>
  <c r="AN3" i="23"/>
  <c r="AQ3" i="23"/>
  <c r="AR3" i="23"/>
  <c r="AS3" i="23"/>
  <c r="AU3" i="23"/>
  <c r="AV3" i="23"/>
  <c r="AW3" i="23"/>
  <c r="AX3" i="23"/>
  <c r="BC3" i="23"/>
  <c r="BD3" i="23"/>
  <c r="BE3" i="23"/>
  <c r="BF3" i="23"/>
  <c r="BK3" i="23"/>
  <c r="BG3" i="23"/>
  <c r="BL3" i="23"/>
  <c r="BH3" i="23"/>
  <c r="BM3" i="23"/>
  <c r="BI3" i="23"/>
  <c r="BN3" i="23"/>
  <c r="BJ3" i="23"/>
  <c r="B15" i="55"/>
  <c r="C15" i="55"/>
  <c r="D15" i="55"/>
  <c r="B16" i="55"/>
  <c r="C16" i="55"/>
  <c r="D16" i="55"/>
  <c r="D14" i="55"/>
  <c r="C14" i="55"/>
  <c r="B14" i="55"/>
  <c r="A21" i="55"/>
  <c r="A26" i="55"/>
  <c r="A53" i="55"/>
  <c r="A52" i="55"/>
  <c r="A51" i="55"/>
  <c r="A50" i="55"/>
  <c r="A49" i="55"/>
  <c r="A46" i="55"/>
  <c r="A45" i="55"/>
  <c r="A44" i="55"/>
  <c r="A42" i="55"/>
  <c r="A41" i="55"/>
  <c r="A40" i="55"/>
  <c r="A38" i="55"/>
  <c r="A37" i="55"/>
  <c r="A36" i="55"/>
  <c r="A33" i="55"/>
  <c r="A32" i="55"/>
  <c r="A31" i="55"/>
  <c r="A30" i="55"/>
  <c r="A28" i="55"/>
  <c r="A27" i="55"/>
  <c r="A25" i="55"/>
  <c r="A23" i="55"/>
  <c r="A22" i="55"/>
  <c r="A20" i="55"/>
  <c r="A10" i="55"/>
  <c r="A9" i="55"/>
  <c r="A8" i="55"/>
  <c r="B2" i="54"/>
  <c r="AH6" i="23"/>
  <c r="AH8" i="23"/>
  <c r="AH10" i="23"/>
  <c r="AH13" i="23"/>
  <c r="AH2" i="23"/>
  <c r="T2" i="56"/>
  <c r="S3" i="56"/>
  <c r="T3" i="56"/>
  <c r="S4" i="56"/>
  <c r="T4" i="56"/>
  <c r="S6" i="56"/>
  <c r="T6" i="56"/>
  <c r="S7" i="56"/>
  <c r="T7" i="56"/>
  <c r="AH4" i="23"/>
  <c r="S5" i="56"/>
  <c r="T5" i="56"/>
</calcChain>
</file>

<file path=xl/sharedStrings.xml><?xml version="1.0" encoding="utf-8"?>
<sst xmlns="http://schemas.openxmlformats.org/spreadsheetml/2006/main" count="1161" uniqueCount="442">
  <si>
    <t>color</t>
  </si>
  <si>
    <t>rare</t>
  </si>
  <si>
    <t>max_level</t>
  </si>
  <si>
    <t>cost</t>
  </si>
  <si>
    <t>valid_flg</t>
  </si>
  <si>
    <t>進化前RC6SV</t>
  </si>
  <si>
    <t>進化前MAXレベル</t>
  </si>
  <si>
    <t>Drop1W</t>
  </si>
  <si>
    <t>Drop1N</t>
  </si>
  <si>
    <t>PremiumS</t>
  </si>
  <si>
    <t>ラベル</t>
  </si>
  <si>
    <t>-</t>
  </si>
  <si>
    <t>限定キャラ</t>
  </si>
  <si>
    <t>特殊キャラ</t>
  </si>
  <si>
    <t>強化合成時の取得経験値</t>
  </si>
  <si>
    <t>レアレリティ</t>
  </si>
  <si>
    <t>金額</t>
  </si>
  <si>
    <t>character_id</t>
  </si>
  <si>
    <t>character_type_id</t>
  </si>
  <si>
    <t>drop_label</t>
  </si>
  <si>
    <t>unit_skill_id</t>
  </si>
  <si>
    <t>成長速度名</t>
    <rPh sb="0" eb="4">
      <t>セイチョウソクド</t>
    </rPh>
    <rPh sb="4" eb="5">
      <t>メイ</t>
    </rPh>
    <phoneticPr fontId="10"/>
  </si>
  <si>
    <t>RC6SV</t>
    <phoneticPr fontId="10"/>
  </si>
  <si>
    <t>HP係数</t>
    <rPh sb="2" eb="4">
      <t>ケイスウ</t>
    </rPh>
    <phoneticPr fontId="10"/>
  </si>
  <si>
    <t>攻撃係数</t>
    <rPh sb="0" eb="2">
      <t>コウゲキ</t>
    </rPh>
    <rPh sb="2" eb="4">
      <t>ケイスウ</t>
    </rPh>
    <phoneticPr fontId="10"/>
  </si>
  <si>
    <t>回復係数</t>
    <rPh sb="0" eb="2">
      <t>カイフク</t>
    </rPh>
    <rPh sb="2" eb="4">
      <t>ケイスウ</t>
    </rPh>
    <phoneticPr fontId="10"/>
  </si>
  <si>
    <t>防御係数</t>
    <rPh sb="0" eb="2">
      <t>ボウギョ</t>
    </rPh>
    <rPh sb="2" eb="4">
      <t>ケイスウ</t>
    </rPh>
    <phoneticPr fontId="10"/>
  </si>
  <si>
    <t>特徴</t>
    <rPh sb="0" eb="2">
      <t>トクチョウ</t>
    </rPh>
    <phoneticPr fontId="10"/>
  </si>
  <si>
    <t>訴求軸</t>
    <phoneticPr fontId="10"/>
  </si>
  <si>
    <t>性別</t>
    <phoneticPr fontId="10"/>
  </si>
  <si>
    <t>勢力</t>
    <rPh sb="0" eb="2">
      <t>セイリョク</t>
    </rPh>
    <phoneticPr fontId="10"/>
  </si>
  <si>
    <t>スキルタイプ</t>
    <phoneticPr fontId="10"/>
  </si>
  <si>
    <t>character_main_tribe_id</t>
    <phoneticPr fontId="10"/>
  </si>
  <si>
    <t>character_sub_tribe_id</t>
    <phoneticPr fontId="10"/>
  </si>
  <si>
    <t>調整後</t>
    <rPh sb="0" eb="2">
      <t>チョウセイ</t>
    </rPh>
    <rPh sb="2" eb="3">
      <t>アト</t>
    </rPh>
    <phoneticPr fontId="10"/>
  </si>
  <si>
    <t>使用せず</t>
    <rPh sb="0" eb="2">
      <t>シヨウ</t>
    </rPh>
    <phoneticPr fontId="9"/>
  </si>
  <si>
    <t>material_character_id</t>
  </si>
  <si>
    <t>material_count</t>
  </si>
  <si>
    <t>name</t>
    <phoneticPr fontId="9"/>
  </si>
  <si>
    <t>rare</t>
    <phoneticPr fontId="9"/>
  </si>
  <si>
    <t>drop_label</t>
    <phoneticPr fontId="9"/>
  </si>
  <si>
    <t>name</t>
    <phoneticPr fontId="10"/>
  </si>
  <si>
    <t>name</t>
    <phoneticPr fontId="10"/>
  </si>
  <si>
    <t>awake_price</t>
    <phoneticPr fontId="10"/>
  </si>
  <si>
    <t>NULL</t>
  </si>
  <si>
    <t>攻撃係数</t>
    <rPh sb="0" eb="2">
      <t>コウゲキ</t>
    </rPh>
    <rPh sb="2" eb="4">
      <t>ケイスウ</t>
    </rPh>
    <phoneticPr fontId="9"/>
  </si>
  <si>
    <t>HP係数</t>
    <rPh sb="2" eb="4">
      <t>ケイスウ</t>
    </rPh>
    <phoneticPr fontId="9"/>
  </si>
  <si>
    <t>防御系数</t>
    <rPh sb="0" eb="4">
      <t>ボウギョケイスウ</t>
    </rPh>
    <phoneticPr fontId="9"/>
  </si>
  <si>
    <t>回復系数</t>
    <rPh sb="0" eb="4">
      <t>カイフクケイスウ</t>
    </rPh>
    <phoneticPr fontId="9"/>
  </si>
  <si>
    <t>name</t>
    <phoneticPr fontId="10"/>
  </si>
  <si>
    <t>name</t>
    <phoneticPr fontId="10"/>
  </si>
  <si>
    <t>HP係数</t>
    <rPh sb="2" eb="4">
      <t>ケイスウ</t>
    </rPh>
    <phoneticPr fontId="10"/>
  </si>
  <si>
    <t>攻撃系数</t>
    <rPh sb="0" eb="4">
      <t>コウゲキケイスウ</t>
    </rPh>
    <phoneticPr fontId="10"/>
  </si>
  <si>
    <t>回復系数</t>
    <rPh sb="0" eb="4">
      <t>カイフクケイスウ</t>
    </rPh>
    <phoneticPr fontId="10"/>
  </si>
  <si>
    <t>base_character_id</t>
    <phoneticPr fontId="10"/>
  </si>
  <si>
    <t>required_exp_200</t>
  </si>
  <si>
    <t>required_exp_150</t>
  </si>
  <si>
    <t>required_exp_100</t>
  </si>
  <si>
    <t>required_exp_70</t>
  </si>
  <si>
    <t>required_exp_50</t>
  </si>
  <si>
    <t>rare</t>
    <phoneticPr fontId="9"/>
  </si>
  <si>
    <t>base_material_exp</t>
    <phoneticPr fontId="9"/>
  </si>
  <si>
    <t>base_material_exp</t>
    <phoneticPr fontId="10"/>
  </si>
  <si>
    <t>growth_speed</t>
    <phoneticPr fontId="10"/>
  </si>
  <si>
    <t>exp_table</t>
    <phoneticPr fontId="10"/>
  </si>
  <si>
    <t>base_soldprice</t>
    <phoneticPr fontId="10"/>
  </si>
  <si>
    <t>min_hp</t>
    <phoneticPr fontId="10"/>
  </si>
  <si>
    <t>min_attack</t>
    <phoneticPr fontId="10"/>
  </si>
  <si>
    <t>min_defense</t>
    <phoneticPr fontId="10"/>
  </si>
  <si>
    <t>min_heal</t>
    <phoneticPr fontId="10"/>
  </si>
  <si>
    <t>max_hp</t>
    <phoneticPr fontId="10"/>
  </si>
  <si>
    <t>max_defense</t>
    <phoneticPr fontId="10"/>
  </si>
  <si>
    <t>max_heal</t>
    <phoneticPr fontId="10"/>
  </si>
  <si>
    <t>skip</t>
    <phoneticPr fontId="10"/>
  </si>
  <si>
    <t>min_max</t>
    <phoneticPr fontId="10"/>
  </si>
  <si>
    <t>level_test</t>
    <phoneticPr fontId="9"/>
  </si>
  <si>
    <t>min_hp</t>
  </si>
  <si>
    <t>min_attack</t>
  </si>
  <si>
    <t>min_defense</t>
  </si>
  <si>
    <t>min_heal</t>
  </si>
  <si>
    <t>max_hp</t>
  </si>
  <si>
    <t>max_defense</t>
  </si>
  <si>
    <t>max_heal</t>
  </si>
  <si>
    <t>max_attack</t>
    <phoneticPr fontId="10"/>
  </si>
  <si>
    <t>max_bug</t>
    <phoneticPr fontId="10"/>
  </si>
  <si>
    <t>awake_character_id</t>
    <phoneticPr fontId="10"/>
  </si>
  <si>
    <t>crash_skill_id</t>
    <phoneticPr fontId="10"/>
  </si>
  <si>
    <t>等級</t>
    <rPh sb="0" eb="2">
      <t>トウキュウ</t>
    </rPh>
    <phoneticPr fontId="10"/>
  </si>
  <si>
    <t>Drop2W</t>
    <phoneticPr fontId="9"/>
  </si>
  <si>
    <t>PremiumW</t>
    <phoneticPr fontId="9"/>
  </si>
  <si>
    <t>comment</t>
    <phoneticPr fontId="10"/>
  </si>
  <si>
    <t>character_id</t>
    <phoneticPr fontId="10"/>
  </si>
  <si>
    <t>-</t>
    <phoneticPr fontId="9"/>
  </si>
  <si>
    <t>name</t>
    <phoneticPr fontId="10"/>
  </si>
  <si>
    <t>進化に必要なビット</t>
    <phoneticPr fontId="9"/>
  </si>
  <si>
    <t>売却時のビット価格</t>
    <rPh sb="0" eb="3">
      <t>バイキャクジ</t>
    </rPh>
    <rPh sb="7" eb="9">
      <t>カカク</t>
    </rPh>
    <phoneticPr fontId="9"/>
  </si>
  <si>
    <t>name</t>
    <phoneticPr fontId="10"/>
  </si>
  <si>
    <t>防御係数</t>
    <rPh sb="0" eb="2">
      <t>ボウギョケイスウ</t>
    </rPh>
    <rPh sb="2" eb="4">
      <t>ケイスウ</t>
    </rPh>
    <phoneticPr fontId="10"/>
  </si>
  <si>
    <t>required_exp_250</t>
    <phoneticPr fontId="9"/>
  </si>
  <si>
    <t>接頭語</t>
    <rPh sb="0" eb="3">
      <t>セットウゴ</t>
    </rPh>
    <phoneticPr fontId="21"/>
  </si>
  <si>
    <t>識別子</t>
    <rPh sb="0" eb="3">
      <t>シキベツシ</t>
    </rPh>
    <phoneticPr fontId="21"/>
  </si>
  <si>
    <t>形式</t>
    <rPh sb="0" eb="2">
      <t>ケイシキ</t>
    </rPh>
    <phoneticPr fontId="21"/>
  </si>
  <si>
    <t>出力ファイル名</t>
    <rPh sb="0" eb="2">
      <t>シュツリョク</t>
    </rPh>
    <rPh sb="6" eb="7">
      <t>メイ</t>
    </rPh>
    <phoneticPr fontId="21"/>
  </si>
  <si>
    <t>入力シート名</t>
    <rPh sb="0" eb="2">
      <t>ニュウリョク</t>
    </rPh>
    <rPh sb="5" eb="6">
      <t>メイ</t>
    </rPh>
    <phoneticPr fontId="21"/>
  </si>
  <si>
    <t>出力データ</t>
    <rPh sb="0" eb="2">
      <t>シュツリョク</t>
    </rPh>
    <phoneticPr fontId="21"/>
  </si>
  <si>
    <t>units</t>
  </si>
  <si>
    <t>awake_materials</t>
  </si>
  <si>
    <t>出力flg</t>
    <rPh sb="0" eb="2">
      <t>シュツリョク</t>
    </rPh>
    <phoneticPr fontId="21"/>
  </si>
  <si>
    <t>serif_type</t>
  </si>
  <si>
    <t>language</t>
    <phoneticPr fontId="21"/>
  </si>
  <si>
    <t>serif_id</t>
    <phoneticPr fontId="21"/>
  </si>
  <si>
    <t>unit_skills</t>
  </si>
  <si>
    <t>skill_cost</t>
  </si>
  <si>
    <t>skill_up_pattern_id</t>
  </si>
  <si>
    <t>effect_param</t>
  </si>
  <si>
    <t>crash_skills</t>
  </si>
  <si>
    <t>crash_skills_i18n_</t>
    <phoneticPr fontId="21"/>
  </si>
  <si>
    <t>language</t>
  </si>
  <si>
    <t>name</t>
  </si>
  <si>
    <t>comment</t>
  </si>
  <si>
    <t>comment</t>
    <phoneticPr fontId="9"/>
  </si>
  <si>
    <t>文字数</t>
    <rPh sb="0" eb="3">
      <t>モj</t>
    </rPh>
    <phoneticPr fontId="21"/>
  </si>
  <si>
    <t>skill_up_pattern_id</t>
    <phoneticPr fontId="21"/>
  </si>
  <si>
    <t>effect_param</t>
    <phoneticPr fontId="9"/>
  </si>
  <si>
    <t>ダメージ</t>
    <phoneticPr fontId="9"/>
  </si>
  <si>
    <t>回復</t>
    <rPh sb="0" eb="2">
      <t>カイフク</t>
    </rPh>
    <phoneticPr fontId="9"/>
  </si>
  <si>
    <t>バフ</t>
    <phoneticPr fontId="9"/>
  </si>
  <si>
    <t>デバフ</t>
    <phoneticPr fontId="9"/>
  </si>
  <si>
    <t>パズル</t>
    <phoneticPr fontId="9"/>
  </si>
  <si>
    <t>その他</t>
    <rPh sb="2" eb="3">
      <t>タ</t>
    </rPh>
    <phoneticPr fontId="9"/>
  </si>
  <si>
    <t>分類2</t>
    <rPh sb="0" eb="2">
      <t>ブンルイ</t>
    </rPh>
    <phoneticPr fontId="9"/>
  </si>
  <si>
    <t>等級</t>
    <rPh sb="0" eb="2">
      <t>トウキュウ</t>
    </rPh>
    <phoneticPr fontId="9"/>
  </si>
  <si>
    <t>分類</t>
    <rPh sb="0" eb="2">
      <t>ブンルイ</t>
    </rPh>
    <phoneticPr fontId="9"/>
  </si>
  <si>
    <t>valid_flg</t>
    <phoneticPr fontId="9"/>
  </si>
  <si>
    <t>effect_param</t>
    <phoneticPr fontId="9"/>
  </si>
  <si>
    <t>文字数チェック</t>
    <rPh sb="0" eb="7">
      <t>モジスウty</t>
    </rPh>
    <phoneticPr fontId="21"/>
  </si>
  <si>
    <t>comment</t>
    <phoneticPr fontId="9"/>
  </si>
  <si>
    <t>name</t>
    <phoneticPr fontId="9"/>
  </si>
  <si>
    <t>language</t>
    <phoneticPr fontId="21"/>
  </si>
  <si>
    <t>crash_skill_id</t>
    <phoneticPr fontId="9"/>
  </si>
  <si>
    <t>NULL</t>
    <phoneticPr fontId="9"/>
  </si>
  <si>
    <t>対象ユニット</t>
    <rPh sb="0" eb="6">
      <t>タイショ</t>
    </rPh>
    <phoneticPr fontId="21"/>
  </si>
  <si>
    <t>ja</t>
    <phoneticPr fontId="21"/>
  </si>
  <si>
    <t>ja</t>
    <phoneticPr fontId="21"/>
  </si>
  <si>
    <t>character_id</t>
    <phoneticPr fontId="21"/>
  </si>
  <si>
    <t>name</t>
    <phoneticPr fontId="21"/>
  </si>
  <si>
    <t>serif_type</t>
    <phoneticPr fontId="21"/>
  </si>
  <si>
    <t>frame_type</t>
  </si>
  <si>
    <t>temp</t>
    <phoneticPr fontId="21"/>
  </si>
  <si>
    <t>serif_id</t>
    <phoneticPr fontId="21"/>
  </si>
  <si>
    <t>language</t>
    <phoneticPr fontId="21"/>
  </si>
  <si>
    <t>serif</t>
    <phoneticPr fontId="21"/>
  </si>
  <si>
    <t>skill</t>
  </si>
  <si>
    <t>maru</t>
  </si>
  <si>
    <t>ja</t>
    <phoneticPr fontId="21"/>
  </si>
  <si>
    <t>cskill</t>
  </si>
  <si>
    <t>R3</t>
  </si>
  <si>
    <t>R4</t>
  </si>
  <si>
    <t>R5</t>
  </si>
  <si>
    <t>ユニット名</t>
  </si>
  <si>
    <t>スキル</t>
  </si>
  <si>
    <t>Cスキル</t>
  </si>
  <si>
    <t>覚醒素材</t>
  </si>
  <si>
    <t>PremiumW</t>
    <phoneticPr fontId="9"/>
  </si>
  <si>
    <t>PremiumL</t>
    <phoneticPr fontId="9"/>
  </si>
  <si>
    <t>PremiumSSS</t>
    <phoneticPr fontId="9"/>
  </si>
  <si>
    <t>PremiumSS</t>
    <phoneticPr fontId="9"/>
  </si>
  <si>
    <t>PremiumN</t>
    <phoneticPr fontId="9"/>
  </si>
  <si>
    <t>Drop2S</t>
    <phoneticPr fontId="9"/>
  </si>
  <si>
    <t>Drop2N</t>
    <phoneticPr fontId="9"/>
  </si>
  <si>
    <t>Drop1S</t>
    <phoneticPr fontId="9"/>
  </si>
  <si>
    <t>Drop1T</t>
    <phoneticPr fontId="9"/>
  </si>
  <si>
    <t>Material</t>
    <phoneticPr fontId="9"/>
  </si>
  <si>
    <t>-</t>
    <phoneticPr fontId="9"/>
  </si>
  <si>
    <t>-</t>
    <phoneticPr fontId="9"/>
  </si>
  <si>
    <t>required_exp_300</t>
    <phoneticPr fontId="9"/>
  </si>
  <si>
    <t>-</t>
    <phoneticPr fontId="9"/>
  </si>
  <si>
    <t>required_exp_250</t>
    <phoneticPr fontId="9"/>
  </si>
  <si>
    <t>ステータス</t>
    <phoneticPr fontId="21"/>
  </si>
  <si>
    <t>R5</t>
    <phoneticPr fontId="21"/>
  </si>
  <si>
    <t>R3</t>
    <phoneticPr fontId="21"/>
  </si>
  <si>
    <t>R4</t>
    <phoneticPr fontId="21"/>
  </si>
  <si>
    <t>HP</t>
    <phoneticPr fontId="21"/>
  </si>
  <si>
    <t>Attack</t>
    <phoneticPr fontId="21"/>
  </si>
  <si>
    <t>Heal</t>
    <phoneticPr fontId="21"/>
  </si>
  <si>
    <t>DropWizSSS</t>
    <phoneticPr fontId="9"/>
  </si>
  <si>
    <t>DropWizSS</t>
    <phoneticPr fontId="9"/>
  </si>
  <si>
    <t>required_exp_250</t>
    <phoneticPr fontId="9"/>
  </si>
  <si>
    <t>DropWizS</t>
    <phoneticPr fontId="9"/>
  </si>
  <si>
    <t>DropWizN</t>
    <phoneticPr fontId="9"/>
  </si>
  <si>
    <t>DropWizW</t>
    <phoneticPr fontId="9"/>
  </si>
  <si>
    <t>ラベル/レアリティ</t>
    <phoneticPr fontId="9"/>
  </si>
  <si>
    <t>DropWizSSS</t>
    <phoneticPr fontId="9"/>
  </si>
  <si>
    <t>-</t>
    <phoneticPr fontId="9"/>
  </si>
  <si>
    <t>DropWizSS</t>
    <phoneticPr fontId="9"/>
  </si>
  <si>
    <t>DropWizS</t>
    <phoneticPr fontId="9"/>
  </si>
  <si>
    <t>DropWizN</t>
    <phoneticPr fontId="9"/>
  </si>
  <si>
    <t>DropWizW</t>
    <phoneticPr fontId="9"/>
  </si>
  <si>
    <t>PremiumL</t>
    <phoneticPr fontId="9"/>
  </si>
  <si>
    <t>PremiumSSS</t>
    <phoneticPr fontId="9"/>
  </si>
  <si>
    <t>PremiumSS</t>
    <phoneticPr fontId="9"/>
  </si>
  <si>
    <t>PremiumN</t>
    <phoneticPr fontId="9"/>
  </si>
  <si>
    <t>PremiumW</t>
    <phoneticPr fontId="9"/>
  </si>
  <si>
    <t>Drop2S</t>
    <phoneticPr fontId="9"/>
  </si>
  <si>
    <t>Drop2N</t>
    <phoneticPr fontId="9"/>
  </si>
  <si>
    <t>Drop2W</t>
    <phoneticPr fontId="9"/>
  </si>
  <si>
    <t>Drop1S</t>
    <phoneticPr fontId="9"/>
  </si>
  <si>
    <t>Drop1T</t>
    <phoneticPr fontId="9"/>
  </si>
  <si>
    <t>Material</t>
    <phoneticPr fontId="9"/>
  </si>
  <si>
    <t>required_exp_300</t>
    <phoneticPr fontId="9"/>
  </si>
  <si>
    <t>character_id</t>
    <phoneticPr fontId="9"/>
  </si>
  <si>
    <t>特徴</t>
    <rPh sb="0" eb="2">
      <t>トクチョウ</t>
    </rPh>
    <phoneticPr fontId="9"/>
  </si>
  <si>
    <t>勢力</t>
    <rPh sb="0" eb="2">
      <t>セイリョク</t>
    </rPh>
    <phoneticPr fontId="9"/>
  </si>
  <si>
    <t>訴求軸</t>
    <phoneticPr fontId="9"/>
  </si>
  <si>
    <t>性別</t>
    <phoneticPr fontId="9"/>
  </si>
  <si>
    <t>character_sub_tribe_id</t>
    <phoneticPr fontId="9"/>
  </si>
  <si>
    <t>name</t>
    <phoneticPr fontId="9"/>
  </si>
  <si>
    <t>防御係数</t>
    <rPh sb="0" eb="2">
      <t>ボウギョ</t>
    </rPh>
    <rPh sb="2" eb="4">
      <t>ケイスウ</t>
    </rPh>
    <phoneticPr fontId="9"/>
  </si>
  <si>
    <t>回復係数</t>
    <rPh sb="0" eb="2">
      <t>カイフク</t>
    </rPh>
    <rPh sb="2" eb="4">
      <t>ケイスウ</t>
    </rPh>
    <phoneticPr fontId="9"/>
  </si>
  <si>
    <t>awake_type</t>
    <phoneticPr fontId="9"/>
  </si>
  <si>
    <t>awake_character_id</t>
    <phoneticPr fontId="9"/>
  </si>
  <si>
    <t>awake_character_id</t>
    <phoneticPr fontId="9"/>
  </si>
  <si>
    <t>base_character_id</t>
    <phoneticPr fontId="9"/>
  </si>
  <si>
    <t>awake_cost</t>
    <phoneticPr fontId="9"/>
  </si>
  <si>
    <t>normal</t>
    <phoneticPr fontId="9"/>
  </si>
  <si>
    <t>temp_awake</t>
    <phoneticPr fontId="9"/>
  </si>
  <si>
    <t>base_character_id</t>
    <phoneticPr fontId="9"/>
  </si>
  <si>
    <t>material_bug</t>
    <phoneticPr fontId="9"/>
  </si>
  <si>
    <t>priority</t>
    <phoneticPr fontId="9"/>
  </si>
  <si>
    <t>fork_awake_units_</t>
    <phoneticPr fontId="21"/>
  </si>
  <si>
    <t>.tmp</t>
    <phoneticPr fontId="21"/>
  </si>
  <si>
    <t>fork_awake_units</t>
    <phoneticPr fontId="21"/>
  </si>
  <si>
    <t>awake_character_id</t>
    <phoneticPr fontId="21"/>
  </si>
  <si>
    <t>awake_materials_</t>
    <phoneticPr fontId="21"/>
  </si>
  <si>
    <t>material_bug</t>
    <phoneticPr fontId="21"/>
  </si>
  <si>
    <t>fork_awake_materials_</t>
    <phoneticPr fontId="21"/>
  </si>
  <si>
    <t>priority</t>
    <phoneticPr fontId="21"/>
  </si>
  <si>
    <t>hero</t>
    <phoneticPr fontId="10"/>
  </si>
  <si>
    <t>hero</t>
    <phoneticPr fontId="10"/>
  </si>
  <si>
    <t>skip</t>
  </si>
  <si>
    <t>ability_id</t>
    <phoneticPr fontId="21"/>
  </si>
  <si>
    <t>ability_param</t>
    <phoneticPr fontId="21"/>
  </si>
  <si>
    <t>valid_flg</t>
    <phoneticPr fontId="21"/>
  </si>
  <si>
    <t>名前</t>
    <rPh sb="0" eb="2">
      <t>ナマ</t>
    </rPh>
    <phoneticPr fontId="21"/>
  </si>
  <si>
    <t>効果</t>
    <rPh sb="0" eb="2">
      <t>コウk</t>
    </rPh>
    <phoneticPr fontId="21"/>
  </si>
  <si>
    <t>1</t>
    <phoneticPr fontId="21"/>
  </si>
  <si>
    <t>ability_id</t>
    <phoneticPr fontId="21"/>
  </si>
  <si>
    <t>language</t>
    <phoneticPr fontId="21"/>
  </si>
  <si>
    <t>name</t>
    <phoneticPr fontId="9"/>
  </si>
  <si>
    <t>comment</t>
    <phoneticPr fontId="9"/>
  </si>
  <si>
    <t>ver</t>
    <phoneticPr fontId="21"/>
  </si>
  <si>
    <t>conditions</t>
    <phoneticPr fontId="21"/>
  </si>
  <si>
    <t>effects</t>
    <phoneticPr fontId="21"/>
  </si>
  <si>
    <t>priority</t>
    <phoneticPr fontId="21"/>
  </si>
  <si>
    <t>ability_param</t>
    <phoneticPr fontId="21"/>
  </si>
  <si>
    <t>valid_flg</t>
    <phoneticPr fontId="21"/>
  </si>
  <si>
    <t>character_id</t>
    <phoneticPr fontId="21"/>
  </si>
  <si>
    <t>ability_slot</t>
    <phoneticPr fontId="21"/>
  </si>
  <si>
    <t>ability_id</t>
    <phoneticPr fontId="9"/>
  </si>
  <si>
    <t>　アビリティ名</t>
    <phoneticPr fontId="21"/>
  </si>
  <si>
    <t>unlock_type</t>
    <phoneticPr fontId="9"/>
  </si>
  <si>
    <t>unlock_value</t>
    <phoneticPr fontId="21"/>
  </si>
  <si>
    <t>bug</t>
    <phoneticPr fontId="21"/>
  </si>
  <si>
    <t>units_</t>
    <phoneticPr fontId="21"/>
  </si>
  <si>
    <t>units</t>
    <phoneticPr fontId="21"/>
  </si>
  <si>
    <t>max_bug</t>
    <phoneticPr fontId="9"/>
  </si>
  <si>
    <t>crash_skill_id</t>
    <phoneticPr fontId="9"/>
  </si>
  <si>
    <t>awake_price</t>
    <phoneticPr fontId="9"/>
  </si>
  <si>
    <t>base_character_id</t>
    <phoneticPr fontId="9"/>
  </si>
  <si>
    <t>material_bug</t>
  </si>
  <si>
    <t>unit_levels_calc_</t>
    <phoneticPr fontId="21"/>
  </si>
  <si>
    <t>growth_speed</t>
    <phoneticPr fontId="9"/>
  </si>
  <si>
    <t>exp_table</t>
    <phoneticPr fontId="9"/>
  </si>
  <si>
    <t>base_soldprice</t>
    <phoneticPr fontId="9"/>
  </si>
  <si>
    <t>max_attack</t>
    <phoneticPr fontId="9"/>
  </si>
  <si>
    <t>skip</t>
    <phoneticPr fontId="9"/>
  </si>
  <si>
    <t>min_max</t>
    <phoneticPr fontId="9"/>
  </si>
  <si>
    <t>unit_skills_data_</t>
    <phoneticPr fontId="21"/>
  </si>
  <si>
    <t>unit_skills_i18n_</t>
    <phoneticPr fontId="21"/>
  </si>
  <si>
    <t>unit_skill_id</t>
    <phoneticPr fontId="21"/>
  </si>
  <si>
    <t>comment</t>
    <phoneticPr fontId="21"/>
  </si>
  <si>
    <t>crash_skills_data_</t>
    <phoneticPr fontId="21"/>
  </si>
  <si>
    <t>crash_skill_id</t>
    <phoneticPr fontId="21"/>
  </si>
  <si>
    <t>unit_serifs_data_</t>
    <phoneticPr fontId="21"/>
  </si>
  <si>
    <t>unit_serifs</t>
    <phoneticPr fontId="21"/>
  </si>
  <si>
    <t>unit_serifs_i18n_</t>
    <phoneticPr fontId="21"/>
  </si>
  <si>
    <t>abilities_</t>
    <phoneticPr fontId="21"/>
  </si>
  <si>
    <t>.tmp</t>
    <phoneticPr fontId="21"/>
  </si>
  <si>
    <t>abilities</t>
    <phoneticPr fontId="21"/>
  </si>
  <si>
    <t>abilities_i18n_</t>
    <phoneticPr fontId="21"/>
  </si>
  <si>
    <t>.tmp</t>
    <phoneticPr fontId="21"/>
  </si>
  <si>
    <t>abilities</t>
    <phoneticPr fontId="21"/>
  </si>
  <si>
    <t>ability_id</t>
    <phoneticPr fontId="21"/>
  </si>
  <si>
    <t>language</t>
    <phoneticPr fontId="21"/>
  </si>
  <si>
    <t>name</t>
    <phoneticPr fontId="21"/>
  </si>
  <si>
    <t>comment</t>
    <phoneticPr fontId="21"/>
  </si>
  <si>
    <t>unit_abilities_</t>
    <phoneticPr fontId="21"/>
  </si>
  <si>
    <t>.tmp</t>
    <phoneticPr fontId="21"/>
  </si>
  <si>
    <t>unit_abilities</t>
    <phoneticPr fontId="21"/>
  </si>
  <si>
    <t>character_id</t>
    <phoneticPr fontId="21"/>
  </si>
  <si>
    <t>ability_slot</t>
    <phoneticPr fontId="21"/>
  </si>
  <si>
    <t>ability_id</t>
    <phoneticPr fontId="9"/>
  </si>
  <si>
    <t>unlock_type</t>
    <phoneticPr fontId="9"/>
  </si>
  <si>
    <t>unlock_value</t>
    <phoneticPr fontId="21"/>
  </si>
  <si>
    <t>heian01</t>
    <phoneticPr fontId="21"/>
  </si>
  <si>
    <t>old</t>
  </si>
  <si>
    <t>[effect:damage_anti_tribe, target:enemy_one, tribe:samurai, val1:3.75, val2:1.5,  animation:damage_one_green04]</t>
    <phoneticPr fontId="21"/>
  </si>
  <si>
    <t>[effect:damage_anti_tribe, target:enemy_one, tribe:samurai, val1:3.375, val2:1.6,  animation:damage_one_red03]</t>
    <phoneticPr fontId="21"/>
  </si>
  <si>
    <t>[effect:change_block, new_block:crash, target:block_all, color:block_all, count:2, val:24, min_time_count:1, max_time_count:0, animation:change_block],[effect:enhance_unit, target:unit_blue, turn:3, status:action, val:2.0, calc:mul, animation:enhance_unit_one_action02]</t>
    <phoneticPr fontId="21"/>
  </si>
  <si>
    <t>お邪魔パネルと緑パネルを赤パネルに変換</t>
    <phoneticPr fontId="21"/>
  </si>
  <si>
    <t>1体に中ダメージ+
2ターン赤属性の回復力を小UP</t>
    <phoneticPr fontId="21"/>
  </si>
  <si>
    <t>[effect:damage, target:enemy_one, color:red, val:1.2, animation:damage_one_red02],[effect:enhance_unit, target:unit_red, turn:2, status:heal, val:0.015, calc:mul,animation:enhance_unit_all_heal01_unit01]</t>
    <phoneticPr fontId="21"/>
  </si>
  <si>
    <t>[effect:force_change_block, new_block:crack_bomb, target:block_all, ignore01:crash, ignore02:crack_bomb, color:block_red, count:8, val:12, animation:change_block],[effect:change_panel_ratio, turn:1, block_type:red, val:0.5]</t>
    <phoneticPr fontId="21"/>
  </si>
  <si>
    <t>1体に特大ダメージ
サムライに効果超大</t>
    <phoneticPr fontId="21"/>
  </si>
  <si>
    <t>ランダムで2つSCパネル(大)に変換+3ターン青属性のタップ回数を2増やす</t>
    <phoneticPr fontId="21"/>
  </si>
  <si>
    <t>１体に大ダメージ
ゴッドに効果特大</t>
    <phoneticPr fontId="21"/>
  </si>
  <si>
    <t>[effect:damage_anti_tribe, target:enemy_one, tribe:god, val1:3.375, val2:1.6,  animation:damage_one_yellow03]</t>
    <phoneticPr fontId="21"/>
  </si>
  <si>
    <t>[effect:damage_anti_tribe, target:enemy_one, tribe:god, val1:3.375, val2:1.6,  animation:damage_one_yellow03]</t>
    <phoneticPr fontId="21"/>
  </si>
  <si>
    <t>黄パネルを5個Cパネルに変換+2ターン緑属性の攻撃力と防御力を大アップ</t>
    <phoneticPr fontId="21"/>
  </si>
  <si>
    <t>[effect:force_change_block, new_block:crash, target:block_yellow, ignore01:crash, ignore02:crack_bomb, count:5, val:6, animation:change_block],[effect:enhance_unit, target:unit_green, turn:2, status:attack, val:0.213, calc:mul, animation:enhance_unit_all_attack03],[effect:enhance_unit, target:unit_green, turn:2, status:defense, val:960, calc:add, animation:enhance_unit_all_defense03_unit01]</t>
    <phoneticPr fontId="21"/>
  </si>
  <si>
    <t>ランダムで8つ赤ボムパネル(小)に変換+1ターン赤パネルの出現率UP</t>
    <phoneticPr fontId="21"/>
  </si>
  <si>
    <t>1体に大ダメージ
サムライに効果特大</t>
    <phoneticPr fontId="21"/>
  </si>
  <si>
    <t>1体に大ダメージ
サムライに効果特大</t>
    <phoneticPr fontId="21"/>
  </si>
  <si>
    <t>[effect:heal_ratio, val:0.3, animation:heal_unit, animation:heal02_unit01],[effect:enhance_unit, target:unit_all, turn:2, status:heal, val:0.015, calc:mul,animation:enhance_unit_all_heal01_unit01]</t>
    <phoneticPr fontId="21"/>
  </si>
  <si>
    <t>１体に大ダメージ
ゴッドに効果特大</t>
    <phoneticPr fontId="21"/>
  </si>
  <si>
    <t>1体に中ダメージ+
2ターン赤属性の回復力を小UP</t>
    <phoneticPr fontId="21"/>
  </si>
  <si>
    <t>ハートパネル無効解除+2ターン緑属性ユニットのCパネル生成短縮(効果超大)+緑属性の攻撃UP(青パネル吸収して効果UP)</t>
    <phoneticPr fontId="21"/>
  </si>
  <si>
    <t>ハートパネル無効解除+2ターン緑属性ユニットのCパネル生成短縮(効果超大)+緑属性の攻撃UP(青パネル吸収して効果UP)</t>
    <phoneticPr fontId="21"/>
  </si>
  <si>
    <t>虎韜の采配</t>
  </si>
  <si>
    <t>[effect:cure, bad_status:dis_heart, animation:cure01],[effect:crash_condition, target:unit_green, val:-6, turn:2, animation:crash_panel_reduce03],[effect:break_enchance_unit, val:0.005, lowest_val:0.2, count :-1, status:attack, turn:2, block:block_blue, target:unit_green, calc:mul, animation:enhance_unit_all_attack04]</t>
    <phoneticPr fontId="21"/>
  </si>
  <si>
    <t>天狗の構え</t>
  </si>
  <si>
    <t>鞍馬伝承の奇襲</t>
  </si>
  <si>
    <t>[effect:damage_anti_tribe, target:enemy_one, tribe:samurai, val1:3.375, val2:1.6,  animation:damage_one_red03]</t>
    <phoneticPr fontId="21"/>
  </si>
  <si>
    <t>[effect:damage_anti_tribe, target:enemy_one, tribe:samurai, val1:3.375, val2:1.6,  animation:damage_one_green03]</t>
    <phoneticPr fontId="21"/>
  </si>
  <si>
    <t>ほうら…こっちだよ</t>
    <phoneticPr fontId="21"/>
  </si>
  <si>
    <t>正々堂々と勝負しよう</t>
    <phoneticPr fontId="21"/>
  </si>
  <si>
    <t>笛の音を聞きたいかい？</t>
    <phoneticPr fontId="21"/>
  </si>
  <si>
    <t>[effect:cure, bad_status:dis_heart, animation:cure01],[effect:crash_condition, target:unit_green, val:-6, turn:2, animation:crash_panel_reduce03],[effect:break_enchance_unit, val:0.005, lowest_val:0.2, count :-1, status:attack, turn:2, block:block_blue, target:unit_green, calc:mul, animation:enhance_unit_all_attack04]</t>
    <phoneticPr fontId="21"/>
  </si>
  <si>
    <t>妄想こそがわたしの力！</t>
    <phoneticPr fontId="21"/>
  </si>
  <si>
    <t>あっ…ごめん妄想してた</t>
    <phoneticPr fontId="21"/>
  </si>
  <si>
    <t>妄想が止まらない！</t>
  </si>
  <si>
    <t>えっ…にやけてる？</t>
    <phoneticPr fontId="21"/>
  </si>
  <si>
    <t>いとをかし…だね！</t>
    <phoneticPr fontId="21"/>
  </si>
  <si>
    <t>元気にしてあげる！</t>
    <phoneticPr fontId="21"/>
  </si>
  <si>
    <t>わたしの作品…読んだ？</t>
    <phoneticPr fontId="21"/>
  </si>
  <si>
    <t>アイデアが降ってきた！</t>
    <phoneticPr fontId="21"/>
  </si>
  <si>
    <t>絢爛なる筆乱舞</t>
  </si>
  <si>
    <t>スリー・イン・ザ・ブラック</t>
  </si>
  <si>
    <t>煌炎の神楽</t>
  </si>
  <si>
    <t>剛僧の乱</t>
  </si>
  <si>
    <t>重武僧の乱舞</t>
  </si>
  <si>
    <t>弾丸リミックス</t>
  </si>
  <si>
    <t>弾丸ビートボックス</t>
  </si>
  <si>
    <t>ランダムで4つ赤ボムパネル(小)に変換+1ターン赤パネルの出現率UP</t>
    <phoneticPr fontId="21"/>
  </si>
  <si>
    <t>[effect:force_change_block, new_block:crack_bomb, target:block_all, ignore01:crash, ignore02:crack_bomb, color:block_red, count:4, val:12, animation:change_block],[effect:change_panel_ratio, turn:1, block_type:red, val:0.5]</t>
    <phoneticPr fontId="21"/>
  </si>
  <si>
    <t>豪傑の振撃</t>
  </si>
  <si>
    <t>必殺の火炎弾</t>
    <phoneticPr fontId="21"/>
  </si>
  <si>
    <t>必殺の火炎弾</t>
    <phoneticPr fontId="21"/>
  </si>
  <si>
    <t>燃焼の舞</t>
  </si>
  <si>
    <t>瞬撃のインナーブル</t>
  </si>
  <si>
    <t>豪傑の振撃</t>
    <phoneticPr fontId="21"/>
  </si>
  <si>
    <t>神楽舞の時間です</t>
  </si>
  <si>
    <t>あたしの舞を見て！</t>
    <phoneticPr fontId="21"/>
  </si>
  <si>
    <t>あの方は私が守る…</t>
  </si>
  <si>
    <t>あたしの舞を見て！</t>
    <phoneticPr fontId="21"/>
  </si>
  <si>
    <t>サァ、狙い打つぜェ！</t>
  </si>
  <si>
    <t>オマエはオレの的さァ！</t>
  </si>
  <si>
    <t>お前の力、俺が貰い受ける</t>
    <phoneticPr fontId="21"/>
  </si>
  <si>
    <t>全て薙ぎはらう…</t>
  </si>
  <si>
    <t>観自在…行深般若…</t>
    <phoneticPr fontId="21"/>
  </si>
  <si>
    <t>俺に勝つ気なのか</t>
    <phoneticPr fontId="21"/>
  </si>
  <si>
    <t>この七武装で片付ける！</t>
  </si>
  <si>
    <t>オレの弾丸がビートを刻む！</t>
    <phoneticPr fontId="21"/>
  </si>
  <si>
    <t>さてアンコールと行くか</t>
    <phoneticPr fontId="21"/>
  </si>
  <si>
    <t>オレの鼓動が火を吹くぜ</t>
    <phoneticPr fontId="21"/>
  </si>
  <si>
    <t>アガってきただろ？</t>
    <phoneticPr fontId="21"/>
  </si>
  <si>
    <t>オレの鼓動が火を吹くぜ</t>
    <phoneticPr fontId="21"/>
  </si>
  <si>
    <t>この弾丸ビートで心震えな！</t>
    <phoneticPr fontId="21"/>
  </si>
  <si>
    <t>ランダムで1つSCパネル(大)に変換+3ターン青属性のタップ回数を1増やす</t>
    <phoneticPr fontId="21"/>
  </si>
  <si>
    <t>[effect:damage, target:enemy_one, color:blue, val:1.5, animation:damage_one_blue04],
[effect:enhance_unit, target:unit_blue, turn:1, status:attack, val:0.075, calc:mul,animation:enhance_unit_all_attack03_unit01]</t>
    <phoneticPr fontId="21"/>
  </si>
  <si>
    <t>[effect:damage, target:enemy_one, color:blue, val:2.0, animation:damage_one_blue04],
[effect:enhance_unit, target:unit_blue, turn:1, status:attack, val:0.075, calc:mul,animation:enhance_unit_all_attack03_unit01]</t>
    <phoneticPr fontId="21"/>
  </si>
  <si>
    <t>健やかなる詩</t>
  </si>
  <si>
    <t>[effect:force_change_block, new_block:block_red, target:jammer, ignore01:crash, count:0, val:0, animation:change_block],[effect:force_change_block, new_block:block_red, target:block_green, ignore01:crash, count:0, val:0, animation:change_block]</t>
    <phoneticPr fontId="21"/>
  </si>
  <si>
    <t>[effect:force_change_block, new_block:crack_bomb, target:block_all, ignore01:crash, ignore02:crack_bomb, color:block_yellow, count:1, val:24, animation:change_block],[effect:enhance_unit, target:unit_yellow, turn:1, status:attack, val:0.21, calc:mul, animation:enhance_unit_all_attack03],[effect:enhance_unit, target:unit_yellow, turn:1, status:defense, val:1440, calc:add, animation:enhance_unit_all_defense03]</t>
    <phoneticPr fontId="21"/>
  </si>
  <si>
    <t>[effect:force_change_block, new_block:crack_bomb, target:block_all, ignore01:crash, ignore02:crack_bomb, color:block_yellow, count:1, val:24, animation:change_block],[effect:enhance_unit, target:unit_yellow, turn:2, status:attack, val:0.21, calc:mul, animation:enhance_unit_all_attack03],[effect:enhance_unit, target:unit_yellow, turn:2, status:defense, val:1440, calc:add, animation:enhance_unit_all_defense03]</t>
    <phoneticPr fontId="21"/>
  </si>
  <si>
    <t xml:space="preserve"> [effect:damage, target:enemy_one, color:green, val:1.2, animation:damage_one_green03],
[effect:damage_fix_pierce, target:enemy_one, color:green, val:1000],</t>
    <phoneticPr fontId="21"/>
  </si>
  <si>
    <t xml:space="preserve"> [effect:damage, target:enemy_one, color:green, val:1.2, animation:damage_one_green03],
[effect:damage_fix_pierce, target:enemy_one, color:green, val:1000],</t>
    <phoneticPr fontId="21"/>
  </si>
  <si>
    <t>1体に大ダメージ+
防御力を無視した固定威力ダメージ</t>
    <phoneticPr fontId="21"/>
  </si>
  <si>
    <t>1体に特大ダメージ+
1ターン青属性の攻撃力UP</t>
    <phoneticPr fontId="21"/>
  </si>
  <si>
    <t>1体に超大ダメージ+
1ターン青属性の攻撃力UP</t>
    <phoneticPr fontId="21"/>
  </si>
  <si>
    <t>HP大回復+
2ターン全ユニットの回復力小UP</t>
    <phoneticPr fontId="21"/>
  </si>
  <si>
    <t>HP大回復+
2ターン全ユニットの回復力小UP</t>
    <phoneticPr fontId="21"/>
  </si>
  <si>
    <t>1体に大ダメージ+
防御力を無視した固定威力ダメージ</t>
    <phoneticPr fontId="21"/>
  </si>
  <si>
    <t>キミも一緒に来ないか？</t>
    <phoneticPr fontId="21"/>
  </si>
  <si>
    <t>あなた…いいわね！！</t>
    <phoneticPr fontId="21"/>
  </si>
  <si>
    <t>わたしの作品で皆を元気に！</t>
    <phoneticPr fontId="21"/>
  </si>
  <si>
    <t>俺に勝てる奴などいない！</t>
    <phoneticPr fontId="21"/>
  </si>
  <si>
    <t>溢れ出す妄想</t>
    <phoneticPr fontId="21"/>
  </si>
  <si>
    <t>膨れ上がる妄想世界</t>
    <phoneticPr fontId="21"/>
  </si>
  <si>
    <t>猛創トランス</t>
    <phoneticPr fontId="21"/>
  </si>
  <si>
    <t>激烈猛創トランス</t>
    <phoneticPr fontId="21"/>
  </si>
  <si>
    <t>あなたの好きにはさせません</t>
    <phoneticPr fontId="21"/>
  </si>
  <si>
    <t>考察が捗るわ…！</t>
    <phoneticPr fontId="21"/>
  </si>
  <si>
    <t>全て僕の読み通り…だね</t>
    <phoneticPr fontId="21"/>
  </si>
  <si>
    <t>オレが射止めてやるぜェ！</t>
    <phoneticPr fontId="21"/>
  </si>
  <si>
    <t>サァ、狙い打つぜェ！</t>
    <phoneticPr fontId="21"/>
  </si>
  <si>
    <t>狙った的は絶対外さねェ！</t>
    <phoneticPr fontId="21"/>
  </si>
  <si>
    <t>オレのダーツが見てェのか？</t>
    <phoneticPr fontId="21"/>
  </si>
  <si>
    <t>勝利への道筋…もう見えたよ</t>
    <phoneticPr fontId="21"/>
  </si>
  <si>
    <t>皆に届けたいの！</t>
    <phoneticPr fontId="21"/>
  </si>
  <si>
    <t>火傷に注意ですよ？</t>
    <phoneticPr fontId="21"/>
  </si>
  <si>
    <t>キミも一緒に来ないか？</t>
    <phoneticPr fontId="21"/>
  </si>
  <si>
    <t>考察が捗るわ…！</t>
    <phoneticPr fontId="21"/>
  </si>
  <si>
    <t>ランダムで1つ黄ボムパネル(大)に変換+2ターン黄属性の攻撃力と防御力を特大UP</t>
    <phoneticPr fontId="21"/>
  </si>
  <si>
    <t>ランダムで1つ黄ボムパネル(大)に変換+1ターン黄属性の攻撃力と防御力を特大UP</t>
    <phoneticPr fontId="21"/>
  </si>
  <si>
    <t>30</t>
    <phoneticPr fontId="21"/>
  </si>
  <si>
    <t>[effect:change_block, new_block:crash, target:block_all, color:block_all, count:1, val:24, min_time_count:1, max_time_count:0, animation:change_block],[effect:enhance_unit, target:unit_blue, turn:3, status:action, val:1.0, calc:mul, animation:enhance_unit_one_action01]</t>
    <phoneticPr fontId="21"/>
  </si>
  <si>
    <t>sell_ghosts</t>
    <phoneticPr fontId="10"/>
  </si>
  <si>
    <t>sell_ghosts</t>
    <phoneticPr fontId="21"/>
  </si>
  <si>
    <t>label</t>
    <phoneticPr fontId="21"/>
  </si>
  <si>
    <t>sell_ghosts</t>
    <phoneticPr fontId="21"/>
  </si>
  <si>
    <t>Drop1T</t>
    <phoneticPr fontId="21"/>
  </si>
  <si>
    <t>Drop1W</t>
    <phoneticPr fontId="21"/>
  </si>
  <si>
    <t>Drop1N</t>
    <phoneticPr fontId="21"/>
  </si>
  <si>
    <t>Drop1S</t>
    <phoneticPr fontId="21"/>
  </si>
  <si>
    <t>Drop2N</t>
    <phoneticPr fontId="21"/>
  </si>
  <si>
    <t>Drop2W</t>
    <phoneticPr fontId="21"/>
  </si>
  <si>
    <t>DropWizW</t>
    <phoneticPr fontId="21"/>
  </si>
  <si>
    <t>DropWizN</t>
    <phoneticPr fontId="21"/>
  </si>
  <si>
    <t>DropWizS</t>
    <phoneticPr fontId="21"/>
  </si>
  <si>
    <t>DropWizSS</t>
    <phoneticPr fontId="21"/>
  </si>
  <si>
    <t>DropWizSSS</t>
    <phoneticPr fontId="21"/>
  </si>
  <si>
    <t>Material</t>
    <phoneticPr fontId="21"/>
  </si>
  <si>
    <t>PremiumW</t>
    <phoneticPr fontId="21"/>
  </si>
  <si>
    <t>PremiumN</t>
    <phoneticPr fontId="21"/>
  </si>
  <si>
    <t>PremiumS</t>
    <phoneticPr fontId="21"/>
  </si>
  <si>
    <t>PremiumSS</t>
    <phoneticPr fontId="21"/>
  </si>
  <si>
    <t>PremiumSSw</t>
    <phoneticPr fontId="21"/>
  </si>
  <si>
    <t>PremiumSSS</t>
    <phoneticPr fontId="21"/>
  </si>
  <si>
    <t>category</t>
    <phoneticPr fontId="21"/>
  </si>
  <si>
    <t>青をハートに変換+HP2500回復(ダメージパネル1つ吸収する毎に800回復)+3ターンハート出現率UP、黄属性の防御力を特大UP</t>
    <phoneticPr fontId="21"/>
  </si>
  <si>
    <t>[effect:force_change_block, new_block:block_heart, target:block_blue, ignore01:crash, ignore02:crack_bomb, count:0, val:0, animation:change_block],[effect:break_heal_fix, val:800, lowest_val:2500, count:-1, block01:damage, animation:heal02_unit01],[effect:change_panel_ratio, turn:3, block_type:heal, val:0.4, animation:block_incidence04],[effect:enhance_unit, target:unit_yellow, turn:3, status:defense, val:1080, calc:add, animation:enhance_unit_all_defense04_unit01]</t>
    <phoneticPr fontId="21"/>
  </si>
</sst>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2"/>
      <color theme="1"/>
      <name val="ＭＳ Ｐゴシック"/>
      <family val="2"/>
      <charset val="128"/>
      <scheme val="minor"/>
    </font>
    <font>
      <sz val="12"/>
      <color indexed="8"/>
      <name val="Times New Roman"/>
      <family val="1"/>
    </font>
    <font>
      <sz val="12"/>
      <color indexed="8"/>
      <name val="ＭＳ Ｐゴシック"/>
      <family val="3"/>
      <charset val="128"/>
    </font>
    <font>
      <sz val="11"/>
      <color indexed="8"/>
      <name val="ＭＳ Ｐゴシック"/>
      <family val="3"/>
      <charset val="128"/>
    </font>
    <font>
      <sz val="12"/>
      <color indexed="52"/>
      <name val="ＭＳ Ｐゴシック"/>
      <family val="3"/>
      <charset val="128"/>
    </font>
    <font>
      <sz val="12"/>
      <color indexed="10"/>
      <name val="ＭＳ Ｐゴシック"/>
      <family val="3"/>
      <charset val="128"/>
    </font>
    <font>
      <sz val="12"/>
      <color indexed="15"/>
      <name val="ＭＳ Ｐゴシック"/>
      <family val="3"/>
      <charset val="128"/>
    </font>
    <font>
      <sz val="10"/>
      <color indexed="8"/>
      <name val="Arial"/>
      <family val="2"/>
    </font>
    <font>
      <sz val="10"/>
      <color indexed="8"/>
      <name val="ＭＳ Ｐゴシック"/>
      <family val="3"/>
      <charset val="128"/>
    </font>
    <font>
      <sz val="6"/>
      <name val="ＭＳ Ｐゴシック"/>
      <family val="3"/>
      <charset val="128"/>
    </font>
    <font>
      <sz val="6"/>
      <name val="ＭＳ Ｐゴシック"/>
      <family val="3"/>
      <charset val="128"/>
    </font>
    <font>
      <sz val="10"/>
      <name val="ＭＳ Ｐゴシック"/>
      <family val="3"/>
      <charset val="128"/>
    </font>
    <font>
      <sz val="10"/>
      <color theme="1"/>
      <name val="ＭＳ Ｐゴシック"/>
      <family val="3"/>
      <charset val="128"/>
      <scheme val="minor"/>
    </font>
    <font>
      <sz val="10"/>
      <color rgb="FF000000"/>
      <name val="ＭＳ Ｐゴシック"/>
      <family val="3"/>
      <charset val="128"/>
      <scheme val="minor"/>
    </font>
    <font>
      <sz val="10"/>
      <color rgb="FF000000"/>
      <name val="ＭＳ Ｐゴシック"/>
      <family val="3"/>
      <charset val="128"/>
    </font>
    <font>
      <sz val="10"/>
      <color theme="1"/>
      <name val="ＭＳ Ｐゴシック"/>
      <family val="3"/>
      <charset val="128"/>
    </font>
    <font>
      <sz val="10"/>
      <color theme="1"/>
      <name val="ＭＳ Ｐゴシック"/>
      <family val="3"/>
      <charset val="128"/>
      <scheme val="major"/>
    </font>
    <font>
      <sz val="10"/>
      <color indexed="8"/>
      <name val="ＭＳ Ｐゴシック"/>
      <family val="3"/>
      <charset val="128"/>
      <scheme val="major"/>
    </font>
    <font>
      <sz val="10"/>
      <color theme="0"/>
      <name val="ＭＳ Ｐゴシック"/>
      <family val="3"/>
      <charset val="128"/>
    </font>
    <font>
      <u/>
      <sz val="12"/>
      <color theme="10"/>
      <name val="ＭＳ Ｐゴシック"/>
      <family val="2"/>
      <charset val="128"/>
      <scheme val="minor"/>
    </font>
    <font>
      <u/>
      <sz val="12"/>
      <color theme="11"/>
      <name val="ＭＳ Ｐゴシック"/>
      <family val="2"/>
      <charset val="128"/>
      <scheme val="minor"/>
    </font>
    <font>
      <sz val="6"/>
      <name val="ＭＳ Ｐゴシック"/>
      <family val="2"/>
      <charset val="128"/>
      <scheme val="minor"/>
    </font>
    <font>
      <sz val="12"/>
      <color theme="0"/>
      <name val="ＭＳ Ｐゴシック"/>
      <family val="2"/>
      <charset val="128"/>
      <scheme val="minor"/>
    </font>
    <font>
      <sz val="11"/>
      <color theme="1"/>
      <name val="ＭＳ Ｐゴシック"/>
      <family val="2"/>
      <charset val="128"/>
      <scheme val="minor"/>
    </font>
    <font>
      <sz val="10"/>
      <color indexed="8"/>
      <name val="ＭＳ Ｐゴシック"/>
      <family val="3"/>
      <charset val="128"/>
      <scheme val="minor"/>
    </font>
    <font>
      <sz val="10"/>
      <name val="ＭＳ Ｐゴシック"/>
      <family val="3"/>
      <charset val="128"/>
      <scheme val="minor"/>
    </font>
    <font>
      <sz val="10"/>
      <color rgb="FF000000"/>
      <name val="‚lＳ Ｐゴシック"/>
      <family val="3"/>
      <charset val="128"/>
    </font>
    <font>
      <sz val="12"/>
      <color indexed="206"/>
      <name val="ＭＳ Ｐゴシック"/>
      <family val="2"/>
      <charset val="128"/>
    </font>
    <font>
      <sz val="14.4"/>
      <color theme="1"/>
      <name val="Arial"/>
    </font>
    <font>
      <sz val="14.4"/>
      <color rgb="FF0000FF"/>
      <name val="Arial"/>
    </font>
  </fonts>
  <fills count="36">
    <fill>
      <patternFill patternType="none"/>
    </fill>
    <fill>
      <patternFill patternType="gray125"/>
    </fill>
    <fill>
      <patternFill patternType="solid">
        <fgColor indexed="18"/>
        <bgColor indexed="32"/>
      </patternFill>
    </fill>
    <fill>
      <patternFill patternType="solid">
        <fgColor indexed="16"/>
        <bgColor indexed="59"/>
      </patternFill>
    </fill>
    <fill>
      <patternFill patternType="solid">
        <fgColor indexed="22"/>
        <bgColor indexed="55"/>
      </patternFill>
    </fill>
    <fill>
      <patternFill patternType="solid">
        <fgColor indexed="53"/>
        <bgColor indexed="52"/>
      </patternFill>
    </fill>
    <fill>
      <patternFill patternType="solid">
        <fgColor indexed="10"/>
        <bgColor indexed="60"/>
      </patternFill>
    </fill>
    <fill>
      <patternFill patternType="solid">
        <fgColor theme="0" tint="-0.14999847407452621"/>
        <bgColor indexed="64"/>
      </patternFill>
    </fill>
    <fill>
      <patternFill patternType="solid">
        <fgColor theme="6" tint="0.79998168889431442"/>
        <bgColor indexed="64"/>
      </patternFill>
    </fill>
    <fill>
      <patternFill patternType="solid">
        <fgColor theme="0" tint="-0.14999847407452621"/>
        <bgColor indexed="59"/>
      </patternFill>
    </fill>
    <fill>
      <patternFill patternType="solid">
        <fgColor theme="0" tint="-0.14999847407452621"/>
        <bgColor indexed="31"/>
      </patternFill>
    </fill>
    <fill>
      <patternFill patternType="solid">
        <fgColor theme="4" tint="0.79998168889431442"/>
        <bgColor indexed="64"/>
      </patternFill>
    </fill>
    <fill>
      <patternFill patternType="solid">
        <fgColor theme="4" tint="0.79998168889431442"/>
        <bgColor indexed="27"/>
      </patternFill>
    </fill>
    <fill>
      <patternFill patternType="solid">
        <fgColor theme="0" tint="-0.14999847407452621"/>
        <bgColor indexed="55"/>
      </patternFill>
    </fill>
    <fill>
      <patternFill patternType="solid">
        <fgColor theme="0" tint="-4.9989318521683403E-2"/>
        <bgColor indexed="64"/>
      </patternFill>
    </fill>
    <fill>
      <patternFill patternType="solid">
        <fgColor rgb="FFFFFF00"/>
        <bgColor indexed="64"/>
      </patternFill>
    </fill>
    <fill>
      <patternFill patternType="solid">
        <fgColor rgb="FF008000"/>
        <bgColor indexed="64"/>
      </patternFill>
    </fill>
    <fill>
      <patternFill patternType="solid">
        <fgColor rgb="FF008000"/>
        <bgColor indexed="59"/>
      </patternFill>
    </fill>
    <fill>
      <patternFill patternType="solid">
        <fgColor rgb="FF008000"/>
        <bgColor indexed="40"/>
      </patternFill>
    </fill>
    <fill>
      <patternFill patternType="solid">
        <fgColor theme="1"/>
        <bgColor indexed="64"/>
      </patternFill>
    </fill>
    <fill>
      <patternFill patternType="solid">
        <fgColor theme="0"/>
        <bgColor indexed="64"/>
      </patternFill>
    </fill>
    <fill>
      <patternFill patternType="solid">
        <fgColor theme="1" tint="0.499984740745262"/>
        <bgColor indexed="64"/>
      </patternFill>
    </fill>
    <fill>
      <patternFill patternType="solid">
        <fgColor theme="8" tint="0.79998168889431442"/>
        <bgColor indexed="64"/>
      </patternFill>
    </fill>
    <fill>
      <patternFill patternType="solid">
        <fgColor theme="0" tint="-0.249977111117893"/>
        <bgColor indexed="64"/>
      </patternFill>
    </fill>
    <fill>
      <patternFill patternType="solid">
        <fgColor theme="9" tint="0.79998168889431442"/>
        <bgColor indexed="55"/>
      </patternFill>
    </fill>
    <fill>
      <patternFill patternType="solid">
        <fgColor theme="9" tint="0.79998168889431442"/>
        <bgColor indexed="64"/>
      </patternFill>
    </fill>
    <fill>
      <patternFill patternType="solid">
        <fgColor theme="9" tint="0.79998168889431442"/>
        <bgColor indexed="27"/>
      </patternFill>
    </fill>
    <fill>
      <patternFill patternType="solid">
        <fgColor theme="9" tint="0.79998168889431442"/>
        <bgColor indexed="59"/>
      </patternFill>
    </fill>
    <fill>
      <patternFill patternType="solid">
        <fgColor theme="4" tint="0.79998168889431442"/>
        <bgColor indexed="59"/>
      </patternFill>
    </fill>
    <fill>
      <patternFill patternType="solid">
        <fgColor theme="4" tint="0.59999389629810485"/>
        <bgColor indexed="64"/>
      </patternFill>
    </fill>
    <fill>
      <patternFill patternType="solid">
        <fgColor theme="6" tint="0.59999389629810485"/>
        <bgColor indexed="64"/>
      </patternFill>
    </fill>
    <fill>
      <patternFill patternType="solid">
        <fgColor theme="5" tint="0.79998168889431442"/>
        <bgColor indexed="64"/>
      </patternFill>
    </fill>
    <fill>
      <patternFill patternType="solid">
        <fgColor rgb="FFFFC000"/>
        <bgColor indexed="64"/>
      </patternFill>
    </fill>
    <fill>
      <patternFill patternType="solid">
        <fgColor theme="5" tint="0.59999389629810485"/>
        <bgColor indexed="64"/>
      </patternFill>
    </fill>
    <fill>
      <patternFill patternType="solid">
        <fgColor rgb="FFFCEF58"/>
        <bgColor indexed="64"/>
      </patternFill>
    </fill>
    <fill>
      <patternFill patternType="solid">
        <fgColor theme="7"/>
        <bgColor indexed="64"/>
      </patternFill>
    </fill>
  </fills>
  <borders count="31">
    <border>
      <left/>
      <right/>
      <top/>
      <bottom/>
      <diagonal/>
    </border>
    <border>
      <left style="thin">
        <color indexed="8"/>
      </left>
      <right style="thin">
        <color indexed="8"/>
      </right>
      <top style="thin">
        <color indexed="8"/>
      </top>
      <bottom style="thin">
        <color indexed="8"/>
      </bottom>
      <diagonal/>
    </border>
    <border>
      <left style="thin">
        <color indexed="8"/>
      </left>
      <right style="thin">
        <color indexed="8"/>
      </right>
      <top style="thin">
        <color indexed="8"/>
      </top>
      <bottom/>
      <diagonal/>
    </border>
    <border>
      <left style="thin">
        <color indexed="8"/>
      </left>
      <right/>
      <top style="thin">
        <color indexed="8"/>
      </top>
      <bottom style="thin">
        <color indexed="8"/>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style="thin">
        <color indexed="8"/>
      </right>
      <top style="thin">
        <color auto="1"/>
      </top>
      <bottom style="thin">
        <color auto="1"/>
      </bottom>
      <diagonal/>
    </border>
    <border>
      <left style="thin">
        <color indexed="8"/>
      </left>
      <right style="thin">
        <color indexed="8"/>
      </right>
      <top style="thin">
        <color auto="1"/>
      </top>
      <bottom style="thin">
        <color auto="1"/>
      </bottom>
      <diagonal/>
    </border>
    <border>
      <left style="thin">
        <color auto="1"/>
      </left>
      <right style="thin">
        <color auto="1"/>
      </right>
      <top style="thin">
        <color indexed="8"/>
      </top>
      <bottom style="thin">
        <color auto="1"/>
      </bottom>
      <diagonal/>
    </border>
    <border>
      <left style="thin">
        <color indexed="8"/>
      </left>
      <right style="thin">
        <color auto="1"/>
      </right>
      <top style="thin">
        <color auto="1"/>
      </top>
      <bottom/>
      <diagonal/>
    </border>
    <border>
      <left style="thin">
        <color auto="1"/>
      </left>
      <right style="thin">
        <color auto="1"/>
      </right>
      <top style="thin">
        <color auto="1"/>
      </top>
      <bottom/>
      <diagonal/>
    </border>
    <border>
      <left style="thin">
        <color indexed="8"/>
      </left>
      <right style="thin">
        <color indexed="8"/>
      </right>
      <top/>
      <bottom style="thin">
        <color indexed="8"/>
      </bottom>
      <diagonal/>
    </border>
    <border>
      <left/>
      <right/>
      <top/>
      <bottom style="thin">
        <color auto="1"/>
      </bottom>
      <diagonal/>
    </border>
    <border>
      <left/>
      <right style="thin">
        <color auto="1"/>
      </right>
      <top/>
      <bottom style="thin">
        <color auto="1"/>
      </bottom>
      <diagonal/>
    </border>
    <border>
      <left/>
      <right style="thin">
        <color indexed="8"/>
      </right>
      <top style="thin">
        <color indexed="8"/>
      </top>
      <bottom/>
      <diagonal/>
    </border>
    <border>
      <left style="thin">
        <color auto="1"/>
      </left>
      <right style="thin">
        <color auto="1"/>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auto="1"/>
      </right>
      <top style="thin">
        <color auto="1"/>
      </top>
      <bottom style="thin">
        <color auto="1"/>
      </bottom>
      <diagonal/>
    </border>
    <border>
      <left style="thin">
        <color indexed="8"/>
      </left>
      <right style="thin">
        <color auto="1"/>
      </right>
      <top style="thin">
        <color indexed="8"/>
      </top>
      <bottom style="thin">
        <color auto="1"/>
      </bottom>
      <diagonal/>
    </border>
    <border>
      <left style="thin">
        <color indexed="8"/>
      </left>
      <right style="thin">
        <color auto="1"/>
      </right>
      <top style="thin">
        <color indexed="8"/>
      </top>
      <bottom style="thin">
        <color indexed="8"/>
      </bottom>
      <diagonal/>
    </border>
    <border>
      <left style="thin">
        <color auto="1"/>
      </left>
      <right/>
      <top/>
      <bottom style="thin">
        <color auto="1"/>
      </bottom>
      <diagonal/>
    </border>
    <border>
      <left style="thin">
        <color indexed="8"/>
      </left>
      <right style="thin">
        <color auto="1"/>
      </right>
      <top style="thin">
        <color auto="1"/>
      </top>
      <bottom style="thin">
        <color indexed="8"/>
      </bottom>
      <diagonal/>
    </border>
    <border>
      <left style="thin">
        <color auto="1"/>
      </left>
      <right style="thin">
        <color auto="1"/>
      </right>
      <top style="thin">
        <color auto="1"/>
      </top>
      <bottom style="thin">
        <color indexed="8"/>
      </bottom>
      <diagonal/>
    </border>
    <border>
      <left/>
      <right style="thin">
        <color auto="1"/>
      </right>
      <top style="thin">
        <color auto="1"/>
      </top>
      <bottom/>
      <diagonal/>
    </border>
    <border>
      <left/>
      <right style="thin">
        <color auto="1"/>
      </right>
      <top style="thin">
        <color indexed="8"/>
      </top>
      <bottom style="thin">
        <color auto="1"/>
      </bottom>
      <diagonal/>
    </border>
    <border>
      <left/>
      <right style="thin">
        <color auto="1"/>
      </right>
      <top style="thin">
        <color auto="1"/>
      </top>
      <bottom style="thin">
        <color indexed="8"/>
      </bottom>
      <diagonal/>
    </border>
    <border>
      <left style="thin">
        <color auto="1"/>
      </left>
      <right style="thin">
        <color auto="1"/>
      </right>
      <top/>
      <bottom/>
      <diagonal/>
    </border>
    <border>
      <left style="thin">
        <color indexed="8"/>
      </left>
      <right style="thin">
        <color indexed="8"/>
      </right>
      <top/>
      <bottom/>
      <diagonal/>
    </border>
    <border>
      <left style="thin">
        <color auto="1"/>
      </left>
      <right/>
      <top style="thin">
        <color auto="1"/>
      </top>
      <bottom/>
      <diagonal/>
    </border>
  </borders>
  <cellStyleXfs count="4614">
    <xf numFmtId="0" fontId="0" fillId="0" borderId="0"/>
    <xf numFmtId="0" fontId="7" fillId="0" borderId="0"/>
    <xf numFmtId="38" fontId="1" fillId="0" borderId="0" applyFill="0" applyBorder="0" applyAlignment="0" applyProtection="0"/>
    <xf numFmtId="0" fontId="6" fillId="2" borderId="0" applyNumberFormat="0" applyBorder="0" applyAlignment="0" applyProtection="0"/>
    <xf numFmtId="0" fontId="5" fillId="3" borderId="0" applyNumberFormat="0" applyBorder="0" applyAlignment="0" applyProtection="0"/>
    <xf numFmtId="0" fontId="2" fillId="0" borderId="0"/>
    <xf numFmtId="0" fontId="3" fillId="0" borderId="0">
      <alignment vertical="center"/>
    </xf>
    <xf numFmtId="0" fontId="3" fillId="0" borderId="0">
      <alignment vertical="center"/>
    </xf>
    <xf numFmtId="0" fontId="4" fillId="3" borderId="0" applyNumberFormat="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23" fillId="0" borderId="0">
      <alignment vertical="center"/>
    </xf>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xf numFmtId="0" fontId="19" fillId="0" borderId="0" applyNumberFormat="0" applyFill="0" applyBorder="0" applyAlignment="0" applyProtection="0"/>
    <xf numFmtId="0" fontId="20" fillId="0" borderId="0" applyNumberFormat="0" applyFill="0" applyBorder="0" applyAlignment="0" applyProtection="0"/>
  </cellStyleXfs>
  <cellXfs count="222">
    <xf numFmtId="0" fontId="0" fillId="0" borderId="0" xfId="0"/>
    <xf numFmtId="0" fontId="0" fillId="0" borderId="0" xfId="0" applyFont="1" applyFill="1"/>
    <xf numFmtId="0" fontId="0" fillId="0" borderId="0" xfId="0" applyFont="1"/>
    <xf numFmtId="0" fontId="12" fillId="0" borderId="0" xfId="0" applyFont="1"/>
    <xf numFmtId="0" fontId="15" fillId="0" borderId="0" xfId="0" applyFont="1" applyAlignment="1">
      <alignment horizontal="center" vertical="center"/>
    </xf>
    <xf numFmtId="0" fontId="15" fillId="7" borderId="4" xfId="0" applyFont="1" applyFill="1" applyBorder="1" applyAlignment="1">
      <alignment horizontal="left" vertical="center"/>
    </xf>
    <xf numFmtId="0" fontId="15" fillId="0" borderId="8" xfId="0" applyFont="1" applyFill="1" applyBorder="1" applyAlignment="1">
      <alignment vertical="center"/>
    </xf>
    <xf numFmtId="0" fontId="15" fillId="7" borderId="9" xfId="0" applyFont="1" applyFill="1" applyBorder="1" applyAlignment="1">
      <alignment horizontal="left" vertical="center"/>
    </xf>
    <xf numFmtId="0" fontId="15" fillId="10" borderId="1" xfId="0" applyFont="1" applyFill="1" applyBorder="1" applyAlignment="1">
      <alignment vertical="center"/>
    </xf>
    <xf numFmtId="0" fontId="15" fillId="0" borderId="1" xfId="0" applyFont="1" applyBorder="1" applyAlignment="1">
      <alignment vertical="center"/>
    </xf>
    <xf numFmtId="0" fontId="15" fillId="0" borderId="4" xfId="0" applyFont="1" applyBorder="1" applyAlignment="1">
      <alignment horizontal="left" vertical="center"/>
    </xf>
    <xf numFmtId="0" fontId="15" fillId="7" borderId="4" xfId="0" applyFont="1" applyFill="1" applyBorder="1" applyAlignment="1">
      <alignment horizontal="right" vertical="center"/>
    </xf>
    <xf numFmtId="0" fontId="15" fillId="0" borderId="0" xfId="0" applyFont="1" applyAlignment="1">
      <alignment horizontal="left" vertical="center"/>
    </xf>
    <xf numFmtId="0" fontId="15" fillId="7" borderId="0" xfId="0" applyFont="1" applyFill="1" applyAlignment="1">
      <alignment horizontal="left" vertical="center"/>
    </xf>
    <xf numFmtId="0" fontId="15" fillId="7" borderId="0" xfId="0" applyFont="1" applyFill="1" applyAlignment="1">
      <alignment vertical="center"/>
    </xf>
    <xf numFmtId="0" fontId="15" fillId="0" borderId="0" xfId="0" applyFont="1" applyAlignment="1">
      <alignment horizontal="right" vertical="center"/>
    </xf>
    <xf numFmtId="0" fontId="12" fillId="7" borderId="1" xfId="0" applyFont="1" applyFill="1" applyBorder="1" applyAlignment="1">
      <alignment vertical="center"/>
    </xf>
    <xf numFmtId="0" fontId="15" fillId="10" borderId="3" xfId="0" applyFont="1" applyFill="1" applyBorder="1" applyAlignment="1">
      <alignment vertical="center"/>
    </xf>
    <xf numFmtId="0" fontId="15" fillId="0" borderId="4" xfId="0" applyFont="1" applyFill="1" applyBorder="1" applyAlignment="1">
      <alignment horizontal="right" vertical="center" wrapText="1"/>
    </xf>
    <xf numFmtId="0" fontId="15" fillId="12" borderId="4" xfId="0" applyFont="1" applyFill="1" applyBorder="1" applyAlignment="1">
      <alignment horizontal="center" vertical="center" wrapText="1"/>
    </xf>
    <xf numFmtId="0" fontId="11" fillId="9" borderId="4" xfId="0" applyFont="1" applyFill="1" applyBorder="1" applyAlignment="1">
      <alignment horizontal="center"/>
    </xf>
    <xf numFmtId="0" fontId="15" fillId="13" borderId="4" xfId="0" applyFont="1" applyFill="1" applyBorder="1"/>
    <xf numFmtId="0" fontId="15" fillId="4" borderId="1" xfId="0" applyFont="1" applyFill="1" applyBorder="1" applyAlignment="1">
      <alignment vertical="center"/>
    </xf>
    <xf numFmtId="0" fontId="8" fillId="4" borderId="1" xfId="0" applyFont="1" applyFill="1" applyBorder="1" applyAlignment="1">
      <alignment vertical="center"/>
    </xf>
    <xf numFmtId="0" fontId="15" fillId="0" borderId="0" xfId="0" applyFont="1" applyAlignment="1">
      <alignment vertical="center"/>
    </xf>
    <xf numFmtId="0" fontId="8" fillId="0" borderId="1" xfId="0" applyFont="1" applyBorder="1" applyAlignment="1">
      <alignment vertical="center"/>
    </xf>
    <xf numFmtId="0" fontId="8" fillId="0" borderId="19" xfId="0" applyFont="1" applyBorder="1" applyAlignment="1">
      <alignment vertical="center"/>
    </xf>
    <xf numFmtId="0" fontId="8" fillId="0" borderId="4" xfId="0" applyFont="1" applyFill="1" applyBorder="1" applyAlignment="1">
      <alignment vertical="center"/>
    </xf>
    <xf numFmtId="0" fontId="15" fillId="5" borderId="0" xfId="0" applyFont="1" applyFill="1" applyAlignment="1">
      <alignment vertical="center"/>
    </xf>
    <xf numFmtId="0" fontId="8" fillId="0" borderId="1" xfId="0" applyFont="1" applyFill="1" applyBorder="1" applyAlignment="1">
      <alignment vertical="center"/>
    </xf>
    <xf numFmtId="0" fontId="15" fillId="6" borderId="0" xfId="0" applyFont="1" applyFill="1" applyAlignment="1">
      <alignment vertical="center"/>
    </xf>
    <xf numFmtId="0" fontId="15" fillId="4" borderId="1" xfId="0" applyFont="1" applyFill="1" applyBorder="1" applyAlignment="1">
      <alignment horizontal="center" vertical="center"/>
    </xf>
    <xf numFmtId="0" fontId="8" fillId="0" borderId="2" xfId="0" applyFont="1" applyFill="1" applyBorder="1" applyAlignment="1">
      <alignment vertical="center"/>
    </xf>
    <xf numFmtId="0" fontId="8" fillId="4" borderId="1" xfId="0" applyFont="1" applyFill="1" applyBorder="1" applyAlignment="1">
      <alignment horizontal="center" vertical="center"/>
    </xf>
    <xf numFmtId="0" fontId="8" fillId="0" borderId="20" xfId="0" applyFont="1" applyBorder="1" applyAlignment="1">
      <alignment vertical="center"/>
    </xf>
    <xf numFmtId="0" fontId="15" fillId="0" borderId="19" xfId="0" applyFont="1" applyBorder="1" applyAlignment="1">
      <alignment vertical="center"/>
    </xf>
    <xf numFmtId="0" fontId="15" fillId="0" borderId="20" xfId="0" applyFont="1" applyBorder="1" applyAlignment="1">
      <alignment vertical="center"/>
    </xf>
    <xf numFmtId="0" fontId="15" fillId="0" borderId="4" xfId="0" applyFont="1" applyBorder="1" applyAlignment="1">
      <alignment vertical="center"/>
    </xf>
    <xf numFmtId="0" fontId="15" fillId="0" borderId="4" xfId="0" applyFont="1" applyBorder="1" applyAlignment="1">
      <alignment horizontal="center" vertical="center"/>
    </xf>
    <xf numFmtId="0" fontId="15" fillId="0" borderId="12" xfId="0" applyFont="1" applyBorder="1" applyAlignment="1">
      <alignment horizontal="left" vertical="center"/>
    </xf>
    <xf numFmtId="0" fontId="8" fillId="14" borderId="10" xfId="0" applyFont="1" applyFill="1" applyBorder="1" applyAlignment="1">
      <alignment vertical="center"/>
    </xf>
    <xf numFmtId="0" fontId="15" fillId="14" borderId="4" xfId="0" applyFont="1" applyFill="1" applyBorder="1" applyAlignment="1">
      <alignment vertical="center"/>
    </xf>
    <xf numFmtId="0" fontId="12" fillId="12" borderId="4" xfId="0" applyFont="1" applyFill="1" applyBorder="1" applyAlignment="1">
      <alignment horizontal="center" vertical="center" wrapText="1"/>
    </xf>
    <xf numFmtId="0" fontId="15" fillId="12" borderId="6" xfId="0" applyFont="1" applyFill="1" applyBorder="1" applyAlignment="1">
      <alignment horizontal="center" vertical="center" wrapText="1"/>
    </xf>
    <xf numFmtId="0" fontId="13" fillId="0" borderId="4" xfId="0" applyFont="1" applyBorder="1" applyAlignment="1">
      <alignment horizontal="right" vertical="center" wrapText="1"/>
    </xf>
    <xf numFmtId="0" fontId="15" fillId="0" borderId="3" xfId="0" applyFont="1" applyFill="1" applyBorder="1" applyAlignment="1">
      <alignment vertical="center"/>
    </xf>
    <xf numFmtId="0" fontId="15" fillId="0" borderId="0" xfId="0" applyFont="1" applyFill="1" applyAlignment="1">
      <alignment vertical="center"/>
    </xf>
    <xf numFmtId="0" fontId="8" fillId="14" borderId="1" xfId="0" applyFont="1" applyFill="1" applyBorder="1" applyAlignment="1">
      <alignment vertical="center"/>
    </xf>
    <xf numFmtId="0" fontId="15" fillId="7" borderId="8" xfId="0" applyFont="1" applyFill="1" applyBorder="1" applyAlignment="1">
      <alignment horizontal="right" vertical="center"/>
    </xf>
    <xf numFmtId="0" fontId="16" fillId="4" borderId="4" xfId="0" applyFont="1" applyFill="1" applyBorder="1" applyAlignment="1">
      <alignment horizontal="center" vertical="center"/>
    </xf>
    <xf numFmtId="0" fontId="17" fillId="4" borderId="4" xfId="0" applyFont="1" applyFill="1" applyBorder="1" applyAlignment="1">
      <alignment horizontal="center" vertical="center"/>
    </xf>
    <xf numFmtId="0" fontId="17" fillId="0" borderId="4" xfId="0" applyFont="1" applyBorder="1" applyAlignment="1">
      <alignment horizontal="center" vertical="center"/>
    </xf>
    <xf numFmtId="0" fontId="17" fillId="0" borderId="4" xfId="0" applyFont="1" applyFill="1" applyBorder="1" applyAlignment="1">
      <alignment horizontal="center" vertical="center"/>
    </xf>
    <xf numFmtId="0" fontId="16" fillId="0" borderId="4" xfId="0" applyFont="1" applyBorder="1" applyAlignment="1">
      <alignment horizontal="center" vertical="center" wrapText="1"/>
    </xf>
    <xf numFmtId="0" fontId="16" fillId="0" borderId="12" xfId="0" applyFont="1" applyBorder="1" applyAlignment="1">
      <alignment horizontal="center" vertical="center" wrapText="1"/>
    </xf>
    <xf numFmtId="0" fontId="12" fillId="0" borderId="4" xfId="0" applyFont="1" applyBorder="1" applyAlignment="1">
      <alignment horizontal="center" vertical="center" wrapText="1"/>
    </xf>
    <xf numFmtId="0" fontId="17" fillId="0" borderId="7" xfId="0" applyFont="1" applyBorder="1" applyAlignment="1">
      <alignment horizontal="center" vertical="center"/>
    </xf>
    <xf numFmtId="0" fontId="15" fillId="7" borderId="1" xfId="0" applyFont="1" applyFill="1" applyBorder="1" applyAlignment="1">
      <alignment horizontal="left" vertical="center"/>
    </xf>
    <xf numFmtId="0" fontId="15" fillId="7" borderId="1" xfId="0" applyFont="1" applyFill="1" applyBorder="1" applyAlignment="1">
      <alignment horizontal="right" vertical="center"/>
    </xf>
    <xf numFmtId="0" fontId="14" fillId="11" borderId="0" xfId="0" applyFont="1" applyFill="1" applyBorder="1" applyAlignment="1">
      <alignment horizontal="center" vertical="center"/>
    </xf>
    <xf numFmtId="0" fontId="13" fillId="11" borderId="0" xfId="0" applyFont="1" applyFill="1" applyBorder="1" applyAlignment="1">
      <alignment horizontal="center" vertical="center"/>
    </xf>
    <xf numFmtId="0" fontId="12" fillId="11" borderId="0" xfId="0" applyFont="1" applyFill="1" applyAlignment="1">
      <alignment vertical="center"/>
    </xf>
    <xf numFmtId="0" fontId="15" fillId="7" borderId="3" xfId="0" applyFont="1" applyFill="1" applyBorder="1" applyAlignment="1">
      <alignment horizontal="left" vertical="center"/>
    </xf>
    <xf numFmtId="0" fontId="14" fillId="8" borderId="0" xfId="0" applyFont="1" applyFill="1" applyBorder="1" applyAlignment="1">
      <alignment horizontal="center" vertical="center"/>
    </xf>
    <xf numFmtId="0" fontId="13" fillId="8" borderId="0" xfId="0" applyFont="1" applyFill="1" applyBorder="1" applyAlignment="1">
      <alignment horizontal="center" vertical="center"/>
    </xf>
    <xf numFmtId="0" fontId="22" fillId="19" borderId="0" xfId="0" applyFont="1" applyFill="1"/>
    <xf numFmtId="0" fontId="15" fillId="0" borderId="4" xfId="0" applyFont="1" applyFill="1" applyBorder="1" applyAlignment="1">
      <alignment vertical="center"/>
    </xf>
    <xf numFmtId="0" fontId="15" fillId="15" borderId="10" xfId="0" applyFont="1" applyFill="1" applyBorder="1" applyAlignment="1">
      <alignment horizontal="right" vertical="center"/>
    </xf>
    <xf numFmtId="0" fontId="8" fillId="7" borderId="1" xfId="0" applyFont="1" applyFill="1" applyBorder="1" applyAlignment="1">
      <alignment vertical="center"/>
    </xf>
    <xf numFmtId="0" fontId="8" fillId="7" borderId="2" xfId="0" applyFont="1" applyFill="1" applyBorder="1" applyAlignment="1">
      <alignment vertical="center"/>
    </xf>
    <xf numFmtId="0" fontId="15" fillId="7" borderId="4" xfId="0" applyFont="1" applyFill="1" applyBorder="1" applyAlignment="1">
      <alignment vertical="center"/>
    </xf>
    <xf numFmtId="0" fontId="11" fillId="7" borderId="0" xfId="0" applyFont="1" applyFill="1" applyAlignment="1">
      <alignment vertical="center"/>
    </xf>
    <xf numFmtId="0" fontId="18" fillId="0" borderId="0" xfId="0" applyFont="1" applyFill="1" applyAlignment="1">
      <alignment vertical="center"/>
    </xf>
    <xf numFmtId="0" fontId="8" fillId="14" borderId="21" xfId="0" applyFont="1" applyFill="1" applyBorder="1" applyAlignment="1">
      <alignment horizontal="center" vertical="center"/>
    </xf>
    <xf numFmtId="0" fontId="8" fillId="14" borderId="1" xfId="0" applyFont="1" applyFill="1" applyBorder="1" applyAlignment="1">
      <alignment horizontal="center" vertical="center"/>
    </xf>
    <xf numFmtId="0" fontId="8" fillId="0" borderId="1" xfId="0" applyFont="1" applyFill="1" applyBorder="1" applyAlignment="1">
      <alignment horizontal="center" vertical="center"/>
    </xf>
    <xf numFmtId="0" fontId="8" fillId="0" borderId="2" xfId="0" applyFont="1" applyFill="1" applyBorder="1" applyAlignment="1">
      <alignment horizontal="center" vertical="center"/>
    </xf>
    <xf numFmtId="0" fontId="8" fillId="0" borderId="4" xfId="0" applyFont="1" applyFill="1" applyBorder="1" applyAlignment="1">
      <alignment horizontal="center" vertical="center"/>
    </xf>
    <xf numFmtId="0" fontId="16" fillId="0" borderId="4" xfId="0" applyFont="1" applyFill="1" applyBorder="1" applyAlignment="1">
      <alignment horizontal="center" vertical="center" wrapText="1"/>
    </xf>
    <xf numFmtId="0" fontId="14" fillId="7" borderId="4" xfId="0" applyFont="1" applyFill="1" applyBorder="1" applyAlignment="1">
      <alignment horizontal="left" vertical="center"/>
    </xf>
    <xf numFmtId="0" fontId="14" fillId="8" borderId="7" xfId="0" applyFont="1" applyFill="1" applyBorder="1" applyAlignment="1">
      <alignment horizontal="left" vertical="center"/>
    </xf>
    <xf numFmtId="0" fontId="18" fillId="16" borderId="4" xfId="0" applyFont="1" applyFill="1" applyBorder="1" applyAlignment="1">
      <alignment horizontal="left" vertical="center"/>
    </xf>
    <xf numFmtId="0" fontId="14" fillId="11" borderId="14" xfId="0" applyFont="1" applyFill="1" applyBorder="1" applyAlignment="1">
      <alignment horizontal="left" vertical="center"/>
    </xf>
    <xf numFmtId="0" fontId="11" fillId="8" borderId="7" xfId="0" applyFont="1" applyFill="1" applyBorder="1" applyAlignment="1">
      <alignment horizontal="left" vertical="center"/>
    </xf>
    <xf numFmtId="0" fontId="14" fillId="11" borderId="7" xfId="0" applyFont="1" applyFill="1" applyBorder="1" applyAlignment="1">
      <alignment horizontal="left" vertical="center"/>
    </xf>
    <xf numFmtId="0" fontId="14" fillId="7" borderId="7" xfId="0" applyFont="1" applyFill="1" applyBorder="1" applyAlignment="1">
      <alignment horizontal="left" vertical="center"/>
    </xf>
    <xf numFmtId="0" fontId="11" fillId="9" borderId="13" xfId="0" applyFont="1" applyFill="1" applyBorder="1" applyAlignment="1">
      <alignment horizontal="left" vertical="center"/>
    </xf>
    <xf numFmtId="0" fontId="14" fillId="8" borderId="15" xfId="0" applyFont="1" applyFill="1" applyBorder="1" applyAlignment="1">
      <alignment horizontal="left" vertical="center"/>
    </xf>
    <xf numFmtId="0" fontId="14" fillId="11" borderId="6" xfId="0" applyFont="1" applyFill="1" applyBorder="1" applyAlignment="1">
      <alignment horizontal="left" vertical="center"/>
    </xf>
    <xf numFmtId="0" fontId="11" fillId="9" borderId="1" xfId="0" applyFont="1" applyFill="1" applyBorder="1" applyAlignment="1">
      <alignment horizontal="left" vertical="center"/>
    </xf>
    <xf numFmtId="0" fontId="14" fillId="8" borderId="4" xfId="0" applyFont="1" applyFill="1" applyBorder="1" applyAlignment="1">
      <alignment horizontal="left" vertical="center"/>
    </xf>
    <xf numFmtId="0" fontId="14" fillId="8" borderId="5" xfId="0" applyFont="1" applyFill="1" applyBorder="1" applyAlignment="1">
      <alignment horizontal="left" vertical="center"/>
    </xf>
    <xf numFmtId="0" fontId="18" fillId="17" borderId="16" xfId="0" applyFont="1" applyFill="1" applyBorder="1" applyAlignment="1">
      <alignment horizontal="left" vertical="center"/>
    </xf>
    <xf numFmtId="0" fontId="18" fillId="18" borderId="1" xfId="0" applyFont="1" applyFill="1" applyBorder="1" applyAlignment="1">
      <alignment horizontal="left" vertical="center"/>
    </xf>
    <xf numFmtId="0" fontId="14" fillId="7" borderId="14" xfId="0" applyFont="1" applyFill="1" applyBorder="1" applyAlignment="1">
      <alignment horizontal="left" vertical="center"/>
    </xf>
    <xf numFmtId="0" fontId="14" fillId="7" borderId="6" xfId="0" applyFont="1" applyFill="1" applyBorder="1" applyAlignment="1">
      <alignment horizontal="left" vertical="center"/>
    </xf>
    <xf numFmtId="0" fontId="11" fillId="0" borderId="17" xfId="0" applyFont="1" applyFill="1" applyBorder="1" applyAlignment="1">
      <alignment horizontal="left" vertical="center"/>
    </xf>
    <xf numFmtId="0" fontId="11" fillId="9" borderId="18" xfId="0" applyFont="1" applyFill="1" applyBorder="1" applyAlignment="1">
      <alignment horizontal="left" vertical="center"/>
    </xf>
    <xf numFmtId="0" fontId="11" fillId="9" borderId="3" xfId="0" applyFont="1" applyFill="1" applyBorder="1" applyAlignment="1">
      <alignment horizontal="left" vertical="center"/>
    </xf>
    <xf numFmtId="0" fontId="11" fillId="9" borderId="4" xfId="0" applyFont="1" applyFill="1" applyBorder="1" applyAlignment="1">
      <alignment horizontal="left" vertical="center"/>
    </xf>
    <xf numFmtId="0" fontId="18" fillId="16" borderId="17" xfId="0" applyFont="1" applyFill="1" applyBorder="1" applyAlignment="1">
      <alignment horizontal="left" vertical="center"/>
    </xf>
    <xf numFmtId="0" fontId="18" fillId="17" borderId="17" xfId="0" applyFont="1" applyFill="1" applyBorder="1" applyAlignment="1">
      <alignment horizontal="left" vertical="center"/>
    </xf>
    <xf numFmtId="0" fontId="18" fillId="16" borderId="11" xfId="0" applyFont="1" applyFill="1" applyBorder="1" applyAlignment="1">
      <alignment horizontal="left" vertical="center"/>
    </xf>
    <xf numFmtId="0" fontId="18" fillId="16" borderId="12" xfId="0" applyFont="1" applyFill="1" applyBorder="1" applyAlignment="1">
      <alignment horizontal="left" vertical="center"/>
    </xf>
    <xf numFmtId="0" fontId="8" fillId="20" borderId="1" xfId="0" applyFont="1" applyFill="1" applyBorder="1" applyAlignment="1">
      <alignment horizontal="center" vertical="center"/>
    </xf>
    <xf numFmtId="0" fontId="8" fillId="0" borderId="10" xfId="0" applyFont="1" applyFill="1" applyBorder="1" applyAlignment="1">
      <alignment vertical="center"/>
    </xf>
    <xf numFmtId="0" fontId="22" fillId="21" borderId="4" xfId="0" applyFont="1" applyFill="1" applyBorder="1"/>
    <xf numFmtId="0" fontId="0" fillId="21" borderId="4" xfId="0" applyFill="1" applyBorder="1"/>
    <xf numFmtId="0" fontId="0" fillId="0" borderId="4" xfId="0" applyBorder="1"/>
    <xf numFmtId="0" fontId="0" fillId="0" borderId="4" xfId="0" applyFill="1" applyBorder="1"/>
    <xf numFmtId="0" fontId="0" fillId="8" borderId="4" xfId="0" applyFill="1" applyBorder="1"/>
    <xf numFmtId="0" fontId="0" fillId="0" borderId="4" xfId="0" applyFont="1" applyBorder="1"/>
    <xf numFmtId="0" fontId="0" fillId="22" borderId="4" xfId="0" applyFill="1" applyBorder="1"/>
    <xf numFmtId="0" fontId="0" fillId="11" borderId="6" xfId="0" applyFill="1" applyBorder="1"/>
    <xf numFmtId="0" fontId="0" fillId="11" borderId="4" xfId="0" applyFill="1" applyBorder="1"/>
    <xf numFmtId="0" fontId="12" fillId="0" borderId="4" xfId="0" applyFont="1" applyFill="1" applyBorder="1" applyAlignment="1">
      <alignment vertical="center"/>
    </xf>
    <xf numFmtId="0" fontId="12" fillId="11" borderId="7" xfId="0" applyFont="1" applyFill="1" applyBorder="1" applyAlignment="1">
      <alignment horizontal="center" vertical="center"/>
    </xf>
    <xf numFmtId="0" fontId="12" fillId="11" borderId="15" xfId="0" applyFont="1" applyFill="1" applyBorder="1" applyAlignment="1">
      <alignment horizontal="center" vertical="center"/>
    </xf>
    <xf numFmtId="0" fontId="12" fillId="8" borderId="15" xfId="0" applyFont="1" applyFill="1" applyBorder="1" applyAlignment="1">
      <alignment horizontal="center" vertical="center"/>
    </xf>
    <xf numFmtId="0" fontId="12" fillId="8" borderId="22" xfId="0" applyFont="1" applyFill="1" applyBorder="1" applyAlignment="1">
      <alignment horizontal="center" vertical="center"/>
    </xf>
    <xf numFmtId="0" fontId="12" fillId="11" borderId="22" xfId="0" applyFont="1" applyFill="1" applyBorder="1" applyAlignment="1">
      <alignment horizontal="center" vertical="center"/>
    </xf>
    <xf numFmtId="0" fontId="12" fillId="7" borderId="22" xfId="0" applyFont="1" applyFill="1" applyBorder="1" applyAlignment="1">
      <alignment horizontal="center" vertical="center"/>
    </xf>
    <xf numFmtId="0" fontId="12" fillId="7" borderId="6" xfId="0" applyFont="1" applyFill="1" applyBorder="1" applyAlignment="1">
      <alignment horizontal="left" vertical="center"/>
    </xf>
    <xf numFmtId="0" fontId="12" fillId="7" borderId="4" xfId="0" applyFont="1" applyFill="1" applyBorder="1" applyAlignment="1">
      <alignment horizontal="left" vertical="center"/>
    </xf>
    <xf numFmtId="0" fontId="12" fillId="7" borderId="5" xfId="0" applyFont="1" applyFill="1" applyBorder="1" applyAlignment="1">
      <alignment horizontal="left" vertical="center"/>
    </xf>
    <xf numFmtId="0" fontId="12" fillId="7" borderId="7" xfId="0" applyFont="1" applyFill="1" applyBorder="1" applyAlignment="1">
      <alignment horizontal="center" vertical="center"/>
    </xf>
    <xf numFmtId="0" fontId="12" fillId="7" borderId="7" xfId="0" applyFont="1" applyFill="1" applyBorder="1" applyAlignment="1">
      <alignment horizontal="left" vertical="center"/>
    </xf>
    <xf numFmtId="0" fontId="12" fillId="0" borderId="0" xfId="0" applyFont="1" applyFill="1" applyAlignment="1">
      <alignment horizontal="center" vertical="center"/>
    </xf>
    <xf numFmtId="0" fontId="12" fillId="0" borderId="0" xfId="0" applyFont="1" applyFill="1" applyAlignment="1">
      <alignment vertical="center"/>
    </xf>
    <xf numFmtId="0" fontId="24" fillId="0" borderId="0" xfId="0" applyFont="1" applyFill="1" applyAlignment="1">
      <alignment vertical="center"/>
    </xf>
    <xf numFmtId="0" fontId="15" fillId="20" borderId="4" xfId="0" applyFont="1" applyFill="1" applyBorder="1" applyAlignment="1">
      <alignment horizontal="left" vertical="center"/>
    </xf>
    <xf numFmtId="0" fontId="25" fillId="0" borderId="7" xfId="0" applyFont="1" applyFill="1" applyBorder="1" applyAlignment="1">
      <alignment horizontal="right" vertical="center" wrapText="1"/>
    </xf>
    <xf numFmtId="0" fontId="13" fillId="0" borderId="4" xfId="0" applyFont="1" applyFill="1" applyBorder="1" applyAlignment="1">
      <alignment horizontal="left" vertical="center" wrapText="1"/>
    </xf>
    <xf numFmtId="0" fontId="25" fillId="0" borderId="7" xfId="0" applyFont="1" applyFill="1" applyBorder="1" applyAlignment="1">
      <alignment horizontal="left" vertical="center" wrapText="1"/>
    </xf>
    <xf numFmtId="0" fontId="12" fillId="0" borderId="4" xfId="0" applyFont="1" applyFill="1" applyBorder="1" applyAlignment="1">
      <alignment horizontal="left" vertical="center" wrapText="1"/>
    </xf>
    <xf numFmtId="0" fontId="12" fillId="0" borderId="7" xfId="0" applyFont="1" applyFill="1" applyBorder="1" applyAlignment="1">
      <alignment horizontal="right" vertical="center" wrapText="1"/>
    </xf>
    <xf numFmtId="0" fontId="26" fillId="0" borderId="4" xfId="0" applyFont="1" applyFill="1" applyBorder="1" applyAlignment="1">
      <alignment horizontal="center" vertical="center" wrapText="1"/>
    </xf>
    <xf numFmtId="0" fontId="13" fillId="0" borderId="4" xfId="0" applyFont="1" applyFill="1" applyBorder="1" applyAlignment="1">
      <alignment horizontal="center" vertical="center" wrapText="1"/>
    </xf>
    <xf numFmtId="0" fontId="12" fillId="0" borderId="4" xfId="0" applyFont="1" applyFill="1" applyBorder="1" applyAlignment="1">
      <alignment horizontal="center" vertical="center"/>
    </xf>
    <xf numFmtId="0" fontId="12" fillId="0" borderId="7" xfId="0" applyFont="1" applyFill="1" applyBorder="1" applyAlignment="1">
      <alignment horizontal="left" vertical="center" wrapText="1"/>
    </xf>
    <xf numFmtId="0" fontId="0" fillId="23" borderId="4" xfId="0" applyFill="1" applyBorder="1"/>
    <xf numFmtId="0" fontId="0" fillId="23" borderId="0" xfId="0" applyFill="1"/>
    <xf numFmtId="0" fontId="27" fillId="0" borderId="0" xfId="0" applyFont="1"/>
    <xf numFmtId="0" fontId="15" fillId="24" borderId="3" xfId="0" applyFont="1" applyFill="1" applyBorder="1" applyAlignment="1">
      <alignment horizontal="center" vertical="center"/>
    </xf>
    <xf numFmtId="0" fontId="8" fillId="24" borderId="20" xfId="0" applyFont="1" applyFill="1" applyBorder="1" applyAlignment="1">
      <alignment horizontal="center" vertical="center"/>
    </xf>
    <xf numFmtId="0" fontId="8" fillId="24" borderId="10" xfId="0" applyFont="1" applyFill="1" applyBorder="1" applyAlignment="1">
      <alignment horizontal="center" vertical="center"/>
    </xf>
    <xf numFmtId="0" fontId="8" fillId="25" borderId="10" xfId="0" applyFont="1" applyFill="1" applyBorder="1" applyAlignment="1">
      <alignment vertical="center"/>
    </xf>
    <xf numFmtId="0" fontId="8" fillId="24" borderId="19" xfId="0" applyFont="1" applyFill="1" applyBorder="1" applyAlignment="1">
      <alignment horizontal="center" vertical="center"/>
    </xf>
    <xf numFmtId="0" fontId="8" fillId="24" borderId="4" xfId="0" applyFont="1" applyFill="1" applyBorder="1" applyAlignment="1">
      <alignment horizontal="center" vertical="center"/>
    </xf>
    <xf numFmtId="0" fontId="8" fillId="25" borderId="4" xfId="0" applyFont="1" applyFill="1" applyBorder="1" applyAlignment="1">
      <alignment vertical="center"/>
    </xf>
    <xf numFmtId="0" fontId="8" fillId="24" borderId="23" xfId="0" applyFont="1" applyFill="1" applyBorder="1" applyAlignment="1">
      <alignment horizontal="center" vertical="center"/>
    </xf>
    <xf numFmtId="0" fontId="8" fillId="24" borderId="24" xfId="0" applyFont="1" applyFill="1" applyBorder="1" applyAlignment="1">
      <alignment horizontal="center" vertical="center"/>
    </xf>
    <xf numFmtId="0" fontId="8" fillId="25" borderId="24" xfId="0" applyFont="1" applyFill="1" applyBorder="1" applyAlignment="1">
      <alignment vertical="center"/>
    </xf>
    <xf numFmtId="0" fontId="15" fillId="25" borderId="4" xfId="0" applyFont="1" applyFill="1" applyBorder="1" applyAlignment="1">
      <alignment vertical="center"/>
    </xf>
    <xf numFmtId="0" fontId="17" fillId="25" borderId="4" xfId="0" applyFont="1" applyFill="1" applyBorder="1" applyAlignment="1">
      <alignment horizontal="center" vertical="center"/>
    </xf>
    <xf numFmtId="0" fontId="16" fillId="25" borderId="4" xfId="0" applyFont="1" applyFill="1" applyBorder="1" applyAlignment="1">
      <alignment horizontal="center" vertical="center" wrapText="1"/>
    </xf>
    <xf numFmtId="0" fontId="8" fillId="25" borderId="1" xfId="0" applyFont="1" applyFill="1" applyBorder="1" applyAlignment="1">
      <alignment vertical="center"/>
    </xf>
    <xf numFmtId="0" fontId="8" fillId="24" borderId="25" xfId="0" applyFont="1" applyFill="1" applyBorder="1" applyAlignment="1">
      <alignment horizontal="center" vertical="center"/>
    </xf>
    <xf numFmtId="0" fontId="8" fillId="24" borderId="12" xfId="0" applyFont="1" applyFill="1" applyBorder="1" applyAlignment="1">
      <alignment horizontal="center" vertical="center"/>
    </xf>
    <xf numFmtId="0" fontId="8" fillId="24" borderId="26" xfId="0" applyFont="1" applyFill="1" applyBorder="1" applyAlignment="1">
      <alignment horizontal="center" vertical="center"/>
    </xf>
    <xf numFmtId="0" fontId="8" fillId="24" borderId="6" xfId="0" applyFont="1" applyFill="1" applyBorder="1" applyAlignment="1">
      <alignment horizontal="center" vertical="center"/>
    </xf>
    <xf numFmtId="0" fontId="8" fillId="24" borderId="27" xfId="0" applyFont="1" applyFill="1" applyBorder="1" applyAlignment="1">
      <alignment horizontal="center" vertical="center"/>
    </xf>
    <xf numFmtId="0" fontId="15" fillId="24" borderId="21" xfId="0" applyFont="1" applyFill="1" applyBorder="1" applyAlignment="1">
      <alignment horizontal="center" vertical="center"/>
    </xf>
    <xf numFmtId="0" fontId="16" fillId="25" borderId="12" xfId="0" applyFont="1" applyFill="1" applyBorder="1" applyAlignment="1">
      <alignment horizontal="center" vertical="center" wrapText="1"/>
    </xf>
    <xf numFmtId="0" fontId="0" fillId="15" borderId="4" xfId="0" applyFill="1" applyBorder="1"/>
    <xf numFmtId="0" fontId="15" fillId="7" borderId="18" xfId="0" applyFont="1" applyFill="1" applyBorder="1" applyAlignment="1">
      <alignment horizontal="left" vertical="center"/>
    </xf>
    <xf numFmtId="0" fontId="15" fillId="15" borderId="0" xfId="0" applyFont="1" applyFill="1" applyAlignment="1">
      <alignment horizontal="left" vertical="center"/>
    </xf>
    <xf numFmtId="0" fontId="14" fillId="8" borderId="28" xfId="0" applyFont="1" applyFill="1" applyBorder="1" applyAlignment="1">
      <alignment horizontal="left" vertical="center"/>
    </xf>
    <xf numFmtId="0" fontId="14" fillId="7" borderId="0" xfId="0" applyFont="1" applyFill="1" applyBorder="1" applyAlignment="1">
      <alignment horizontal="left" vertical="center"/>
    </xf>
    <xf numFmtId="0" fontId="14" fillId="7" borderId="28" xfId="0" applyFont="1" applyFill="1" applyBorder="1" applyAlignment="1">
      <alignment horizontal="left" vertical="center"/>
    </xf>
    <xf numFmtId="0" fontId="11" fillId="7" borderId="28" xfId="0" applyFont="1" applyFill="1" applyBorder="1" applyAlignment="1">
      <alignment horizontal="left" vertical="center"/>
    </xf>
    <xf numFmtId="0" fontId="14" fillId="11" borderId="28" xfId="0" applyFont="1" applyFill="1" applyBorder="1" applyAlignment="1">
      <alignment horizontal="left" vertical="center"/>
    </xf>
    <xf numFmtId="0" fontId="11" fillId="9" borderId="29" xfId="0" applyFont="1" applyFill="1" applyBorder="1" applyAlignment="1">
      <alignment horizontal="left" vertical="center"/>
    </xf>
    <xf numFmtId="0" fontId="14" fillId="8" borderId="30" xfId="0" applyFont="1" applyFill="1" applyBorder="1" applyAlignment="1">
      <alignment horizontal="left" vertical="center"/>
    </xf>
    <xf numFmtId="0" fontId="14" fillId="8" borderId="12" xfId="0" applyFont="1" applyFill="1" applyBorder="1" applyAlignment="1">
      <alignment horizontal="left" vertical="center"/>
    </xf>
    <xf numFmtId="0" fontId="14" fillId="7" borderId="12" xfId="0" applyFont="1" applyFill="1" applyBorder="1" applyAlignment="1">
      <alignment horizontal="left" vertical="center"/>
    </xf>
    <xf numFmtId="0" fontId="15" fillId="0" borderId="4" xfId="0" applyFont="1" applyFill="1" applyBorder="1" applyAlignment="1">
      <alignment horizontal="right" vertical="center"/>
    </xf>
    <xf numFmtId="0" fontId="12" fillId="26" borderId="4" xfId="0" applyFont="1" applyFill="1" applyBorder="1" applyAlignment="1">
      <alignment horizontal="center" vertical="center" wrapText="1"/>
    </xf>
    <xf numFmtId="0" fontId="11" fillId="27" borderId="4" xfId="0" applyFont="1" applyFill="1" applyBorder="1" applyAlignment="1">
      <alignment horizontal="center"/>
    </xf>
    <xf numFmtId="0" fontId="11" fillId="28" borderId="4" xfId="0" applyFont="1" applyFill="1" applyBorder="1" applyAlignment="1">
      <alignment horizontal="center"/>
    </xf>
    <xf numFmtId="0" fontId="13" fillId="7" borderId="4" xfId="0" applyFont="1" applyFill="1" applyBorder="1" applyAlignment="1">
      <alignment horizontal="right" vertical="center" wrapText="1"/>
    </xf>
    <xf numFmtId="0" fontId="15" fillId="0" borderId="4" xfId="0" applyFont="1" applyFill="1" applyBorder="1"/>
    <xf numFmtId="0" fontId="15" fillId="11" borderId="4" xfId="0" applyFont="1" applyFill="1" applyBorder="1" applyAlignment="1">
      <alignment horizontal="center" vertical="center"/>
    </xf>
    <xf numFmtId="0" fontId="15" fillId="23" borderId="4" xfId="0" applyFont="1" applyFill="1" applyBorder="1" applyAlignment="1">
      <alignment horizontal="center" vertical="center"/>
    </xf>
    <xf numFmtId="0" fontId="15" fillId="25" borderId="4" xfId="0" applyFont="1" applyFill="1" applyBorder="1" applyAlignment="1">
      <alignment horizontal="center" vertical="center"/>
    </xf>
    <xf numFmtId="0" fontId="15" fillId="0" borderId="4" xfId="0" applyFont="1" applyFill="1" applyBorder="1" applyAlignment="1">
      <alignment horizontal="center" vertical="center"/>
    </xf>
    <xf numFmtId="0" fontId="15" fillId="23" borderId="15" xfId="0" applyFont="1" applyFill="1" applyBorder="1" applyAlignment="1">
      <alignment horizontal="center" vertical="center"/>
    </xf>
    <xf numFmtId="0" fontId="12" fillId="23" borderId="15" xfId="0" applyFont="1" applyFill="1" applyBorder="1" applyAlignment="1">
      <alignment horizontal="center" vertical="center"/>
    </xf>
    <xf numFmtId="0" fontId="15" fillId="7" borderId="4" xfId="0" applyFont="1" applyFill="1" applyBorder="1" applyAlignment="1">
      <alignment horizontal="center" vertical="center"/>
    </xf>
    <xf numFmtId="49" fontId="11" fillId="0" borderId="4" xfId="0" applyNumberFormat="1" applyFont="1" applyFill="1" applyBorder="1" applyAlignment="1">
      <alignment horizontal="center" vertical="center"/>
    </xf>
    <xf numFmtId="0" fontId="12" fillId="8" borderId="0" xfId="0" applyFont="1" applyFill="1" applyBorder="1" applyAlignment="1">
      <alignment horizontal="center" vertical="center"/>
    </xf>
    <xf numFmtId="0" fontId="15" fillId="8" borderId="0" xfId="0" applyFont="1" applyFill="1" applyBorder="1" applyAlignment="1">
      <alignment horizontal="center" vertical="center"/>
    </xf>
    <xf numFmtId="0" fontId="23" fillId="8" borderId="0" xfId="0" applyFont="1" applyFill="1" applyAlignment="1">
      <alignment horizontal="center"/>
    </xf>
    <xf numFmtId="0" fontId="15" fillId="29" borderId="4" xfId="0" applyFont="1" applyFill="1" applyBorder="1" applyAlignment="1">
      <alignment horizontal="center" vertical="center"/>
    </xf>
    <xf numFmtId="0" fontId="0" fillId="29" borderId="4" xfId="0" applyFill="1" applyBorder="1"/>
    <xf numFmtId="0" fontId="12" fillId="29" borderId="15" xfId="0" applyFont="1" applyFill="1" applyBorder="1" applyAlignment="1">
      <alignment horizontal="center" vertical="center"/>
    </xf>
    <xf numFmtId="0" fontId="12" fillId="29" borderId="22" xfId="0" applyFont="1" applyFill="1" applyBorder="1" applyAlignment="1">
      <alignment horizontal="center" vertical="center"/>
    </xf>
    <xf numFmtId="0" fontId="12" fillId="0" borderId="4" xfId="0" applyFont="1" applyFill="1" applyBorder="1" applyAlignment="1">
      <alignment horizontal="left"/>
    </xf>
    <xf numFmtId="0" fontId="15" fillId="0" borderId="0" xfId="0" applyFont="1" applyFill="1" applyAlignment="1">
      <alignment horizontal="left" vertical="center"/>
    </xf>
    <xf numFmtId="0" fontId="13" fillId="30" borderId="4" xfId="0" applyFont="1" applyFill="1" applyBorder="1" applyAlignment="1">
      <alignment horizontal="left" vertical="center" wrapText="1"/>
    </xf>
    <xf numFmtId="0" fontId="12" fillId="30" borderId="4" xfId="0" applyFont="1" applyFill="1" applyBorder="1" applyAlignment="1">
      <alignment horizontal="left" vertical="center" wrapText="1"/>
    </xf>
    <xf numFmtId="0" fontId="12" fillId="30" borderId="4" xfId="0" applyFont="1" applyFill="1" applyBorder="1" applyAlignment="1">
      <alignment vertical="center" wrapText="1"/>
    </xf>
    <xf numFmtId="0" fontId="12" fillId="11" borderId="22" xfId="0" applyFont="1" applyFill="1" applyBorder="1" applyAlignment="1">
      <alignment horizontal="center" vertical="center" wrapText="1"/>
    </xf>
    <xf numFmtId="0" fontId="24" fillId="0" borderId="0" xfId="0" applyFont="1" applyFill="1" applyAlignment="1">
      <alignment vertical="center" wrapText="1"/>
    </xf>
    <xf numFmtId="0" fontId="13" fillId="31" borderId="4" xfId="0" applyFont="1" applyFill="1" applyBorder="1" applyAlignment="1">
      <alignment horizontal="left" vertical="center" wrapText="1"/>
    </xf>
    <xf numFmtId="0" fontId="28" fillId="0" borderId="0" xfId="0" applyFont="1"/>
    <xf numFmtId="0" fontId="12" fillId="31" borderId="4" xfId="0" applyFont="1" applyFill="1" applyBorder="1" applyAlignment="1">
      <alignment horizontal="left" vertical="center" wrapText="1"/>
    </xf>
    <xf numFmtId="0" fontId="24" fillId="31" borderId="7" xfId="0" applyFont="1" applyFill="1" applyBorder="1" applyAlignment="1">
      <alignment vertical="center" wrapText="1"/>
    </xf>
    <xf numFmtId="0" fontId="12" fillId="31" borderId="4" xfId="0" applyFont="1" applyFill="1" applyBorder="1" applyAlignment="1">
      <alignment vertical="center" wrapText="1"/>
    </xf>
    <xf numFmtId="0" fontId="29" fillId="0" borderId="0" xfId="0" applyFont="1"/>
    <xf numFmtId="0" fontId="13" fillId="32" borderId="4" xfId="0" applyFont="1" applyFill="1" applyBorder="1" applyAlignment="1">
      <alignment horizontal="left" vertical="center" wrapText="1"/>
    </xf>
    <xf numFmtId="0" fontId="15" fillId="30" borderId="4" xfId="0" applyFont="1" applyFill="1" applyBorder="1"/>
    <xf numFmtId="0" fontId="13" fillId="33" borderId="4" xfId="0" applyFont="1" applyFill="1" applyBorder="1" applyAlignment="1">
      <alignment horizontal="right" vertical="center" wrapText="1"/>
    </xf>
    <xf numFmtId="0" fontId="15" fillId="33" borderId="4" xfId="0" applyFont="1" applyFill="1" applyBorder="1"/>
    <xf numFmtId="0" fontId="13" fillId="29" borderId="4" xfId="0" applyFont="1" applyFill="1" applyBorder="1" applyAlignment="1">
      <alignment horizontal="right" vertical="center" wrapText="1"/>
    </xf>
    <xf numFmtId="0" fontId="15" fillId="34" borderId="4" xfId="0" applyFont="1" applyFill="1" applyBorder="1"/>
    <xf numFmtId="0" fontId="13" fillId="34" borderId="4" xfId="0" applyFont="1" applyFill="1" applyBorder="1" applyAlignment="1">
      <alignment horizontal="right" vertical="center" wrapText="1"/>
    </xf>
    <xf numFmtId="0" fontId="15" fillId="35" borderId="4" xfId="0" applyFont="1" applyFill="1" applyBorder="1"/>
    <xf numFmtId="0" fontId="13" fillId="35" borderId="4" xfId="0" applyFont="1" applyFill="1" applyBorder="1" applyAlignment="1">
      <alignment horizontal="right" vertical="center" wrapText="1"/>
    </xf>
    <xf numFmtId="0" fontId="0" fillId="0" borderId="0" xfId="0" applyFill="1"/>
    <xf numFmtId="0" fontId="12" fillId="32" borderId="4" xfId="0" applyFont="1" applyFill="1" applyBorder="1" applyAlignment="1">
      <alignment horizontal="left"/>
    </xf>
    <xf numFmtId="0" fontId="0" fillId="29" borderId="4" xfId="0" applyFill="1" applyBorder="1" applyAlignment="1">
      <alignment horizontal="center"/>
    </xf>
  </cellXfs>
  <cellStyles count="4614">
    <cellStyle name="Excel Built-in Normal" xfId="1"/>
    <cellStyle name="ハイパーリンク" xfId="9" builtinId="8" hidden="1"/>
    <cellStyle name="ハイパーリンク" xfId="11" builtinId="8" hidden="1"/>
    <cellStyle name="ハイパーリンク" xfId="13" builtinId="8" hidden="1"/>
    <cellStyle name="ハイパーリンク" xfId="15" builtinId="8" hidden="1"/>
    <cellStyle name="ハイパーリンク" xfId="17" builtinId="8" hidden="1"/>
    <cellStyle name="ハイパーリンク" xfId="19" builtinId="8" hidden="1"/>
    <cellStyle name="ハイパーリンク" xfId="21" builtinId="8" hidden="1"/>
    <cellStyle name="ハイパーリンク" xfId="23"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hidden="1"/>
    <cellStyle name="ハイパーリンク" xfId="61" builtinId="8" hidden="1"/>
    <cellStyle name="ハイパーリンク" xfId="63" builtinId="8" hidden="1"/>
    <cellStyle name="ハイパーリンク" xfId="65" builtinId="8" hidden="1"/>
    <cellStyle name="ハイパーリンク" xfId="67" builtinId="8" hidden="1"/>
    <cellStyle name="ハイパーリンク" xfId="69" builtinId="8" hidden="1"/>
    <cellStyle name="ハイパーリンク" xfId="71" builtinId="8" hidden="1"/>
    <cellStyle name="ハイパーリンク" xfId="73" builtinId="8" hidden="1"/>
    <cellStyle name="ハイパーリンク" xfId="75" builtinId="8" hidden="1"/>
    <cellStyle name="ハイパーリンク" xfId="77" builtinId="8" hidden="1"/>
    <cellStyle name="ハイパーリンク" xfId="79" builtinId="8" hidden="1"/>
    <cellStyle name="ハイパーリンク" xfId="81" builtinId="8" hidden="1"/>
    <cellStyle name="ハイパーリンク" xfId="83" builtinId="8" hidden="1"/>
    <cellStyle name="ハイパーリンク" xfId="85" builtinId="8" hidden="1"/>
    <cellStyle name="ハイパーリンク" xfId="87" builtinId="8" hidden="1"/>
    <cellStyle name="ハイパーリンク" xfId="89" builtinId="8" hidden="1"/>
    <cellStyle name="ハイパーリンク" xfId="91" builtinId="8" hidden="1"/>
    <cellStyle name="ハイパーリンク" xfId="93" builtinId="8" hidden="1"/>
    <cellStyle name="ハイパーリンク" xfId="95" builtinId="8" hidden="1"/>
    <cellStyle name="ハイパーリンク" xfId="97" builtinId="8" hidden="1"/>
    <cellStyle name="ハイパーリンク" xfId="99" builtinId="8" hidden="1"/>
    <cellStyle name="ハイパーリンク" xfId="101" builtinId="8" hidden="1"/>
    <cellStyle name="ハイパーリンク" xfId="103" builtinId="8" hidden="1"/>
    <cellStyle name="ハイパーリンク" xfId="105" builtinId="8" hidden="1"/>
    <cellStyle name="ハイパーリンク" xfId="107" builtinId="8" hidden="1"/>
    <cellStyle name="ハイパーリンク" xfId="109" builtinId="8" hidden="1"/>
    <cellStyle name="ハイパーリンク" xfId="111" builtinId="8" hidden="1"/>
    <cellStyle name="ハイパーリンク" xfId="113" builtinId="8" hidden="1"/>
    <cellStyle name="ハイパーリンク" xfId="115" builtinId="8" hidden="1"/>
    <cellStyle name="ハイパーリンク" xfId="117" builtinId="8" hidden="1"/>
    <cellStyle name="ハイパーリンク" xfId="119" builtinId="8" hidden="1"/>
    <cellStyle name="ハイパーリンク" xfId="121" builtinId="8" hidden="1"/>
    <cellStyle name="ハイパーリンク" xfId="123" builtinId="8" hidden="1"/>
    <cellStyle name="ハイパーリンク" xfId="125" builtinId="8" hidden="1"/>
    <cellStyle name="ハイパーリンク" xfId="127" builtinId="8" hidden="1"/>
    <cellStyle name="ハイパーリンク" xfId="129" builtinId="8" hidden="1"/>
    <cellStyle name="ハイパーリンク" xfId="131" builtinId="8" hidden="1"/>
    <cellStyle name="ハイパーリンク" xfId="133" builtinId="8" hidden="1"/>
    <cellStyle name="ハイパーリンク" xfId="135" builtinId="8" hidden="1"/>
    <cellStyle name="ハイパーリンク" xfId="137" builtinId="8" hidden="1"/>
    <cellStyle name="ハイパーリンク" xfId="139" builtinId="8" hidden="1"/>
    <cellStyle name="ハイパーリンク" xfId="141" builtinId="8" hidden="1"/>
    <cellStyle name="ハイパーリンク" xfId="143" builtinId="8" hidden="1"/>
    <cellStyle name="ハイパーリンク" xfId="145" builtinId="8" hidden="1"/>
    <cellStyle name="ハイパーリンク" xfId="147" builtinId="8" hidden="1"/>
    <cellStyle name="ハイパーリンク" xfId="149" builtinId="8" hidden="1"/>
    <cellStyle name="ハイパーリンク" xfId="151" builtinId="8" hidden="1"/>
    <cellStyle name="ハイパーリンク" xfId="153" builtinId="8" hidden="1"/>
    <cellStyle name="ハイパーリンク" xfId="155" builtinId="8" hidden="1"/>
    <cellStyle name="ハイパーリンク" xfId="157" builtinId="8" hidden="1"/>
    <cellStyle name="ハイパーリンク" xfId="159" builtinId="8" hidden="1"/>
    <cellStyle name="ハイパーリンク" xfId="161" builtinId="8" hidden="1"/>
    <cellStyle name="ハイパーリンク" xfId="163" builtinId="8" hidden="1"/>
    <cellStyle name="ハイパーリンク" xfId="165" builtinId="8" hidden="1"/>
    <cellStyle name="ハイパーリンク" xfId="167" builtinId="8" hidden="1"/>
    <cellStyle name="ハイパーリンク" xfId="169" builtinId="8" hidden="1"/>
    <cellStyle name="ハイパーリンク" xfId="171" builtinId="8" hidden="1"/>
    <cellStyle name="ハイパーリンク" xfId="173" builtinId="8" hidden="1"/>
    <cellStyle name="ハイパーリンク" xfId="175" builtinId="8" hidden="1"/>
    <cellStyle name="ハイパーリンク" xfId="177" builtinId="8" hidden="1"/>
    <cellStyle name="ハイパーリンク" xfId="179" builtinId="8" hidden="1"/>
    <cellStyle name="ハイパーリンク" xfId="181" builtinId="8" hidden="1"/>
    <cellStyle name="ハイパーリンク" xfId="183" builtinId="8" hidden="1"/>
    <cellStyle name="ハイパーリンク" xfId="185" builtinId="8" hidden="1"/>
    <cellStyle name="ハイパーリンク" xfId="187" builtinId="8" hidden="1"/>
    <cellStyle name="ハイパーリンク" xfId="189" builtinId="8" hidden="1"/>
    <cellStyle name="ハイパーリンク" xfId="191" builtinId="8" hidden="1"/>
    <cellStyle name="ハイパーリンク" xfId="193" builtinId="8" hidden="1"/>
    <cellStyle name="ハイパーリンク" xfId="195" builtinId="8" hidden="1"/>
    <cellStyle name="ハイパーリンク" xfId="197" builtinId="8" hidden="1"/>
    <cellStyle name="ハイパーリンク" xfId="199" builtinId="8" hidden="1"/>
    <cellStyle name="ハイパーリンク" xfId="201" builtinId="8" hidden="1"/>
    <cellStyle name="ハイパーリンク" xfId="203" builtinId="8" hidden="1"/>
    <cellStyle name="ハイパーリンク" xfId="205" builtinId="8" hidden="1"/>
    <cellStyle name="ハイパーリンク" xfId="207" builtinId="8" hidden="1"/>
    <cellStyle name="ハイパーリンク" xfId="209" builtinId="8" hidden="1"/>
    <cellStyle name="ハイパーリンク" xfId="211" builtinId="8" hidden="1"/>
    <cellStyle name="ハイパーリンク" xfId="213" builtinId="8" hidden="1"/>
    <cellStyle name="ハイパーリンク" xfId="215" builtinId="8" hidden="1"/>
    <cellStyle name="ハイパーリンク" xfId="217" builtinId="8" hidden="1"/>
    <cellStyle name="ハイパーリンク" xfId="219" builtinId="8" hidden="1"/>
    <cellStyle name="ハイパーリンク" xfId="221" builtinId="8" hidden="1"/>
    <cellStyle name="ハイパーリンク" xfId="223" builtinId="8" hidden="1"/>
    <cellStyle name="ハイパーリンク" xfId="225" builtinId="8" hidden="1"/>
    <cellStyle name="ハイパーリンク" xfId="227" builtinId="8" hidden="1"/>
    <cellStyle name="ハイパーリンク" xfId="229" builtinId="8" hidden="1"/>
    <cellStyle name="ハイパーリンク" xfId="231" builtinId="8" hidden="1"/>
    <cellStyle name="ハイパーリンク" xfId="233" builtinId="8" hidden="1"/>
    <cellStyle name="ハイパーリンク" xfId="235" builtinId="8" hidden="1"/>
    <cellStyle name="ハイパーリンク" xfId="237" builtinId="8" hidden="1"/>
    <cellStyle name="ハイパーリンク" xfId="239" builtinId="8" hidden="1"/>
    <cellStyle name="ハイパーリンク" xfId="241" builtinId="8" hidden="1"/>
    <cellStyle name="ハイパーリンク" xfId="243" builtinId="8" hidden="1"/>
    <cellStyle name="ハイパーリンク" xfId="245" builtinId="8" hidden="1"/>
    <cellStyle name="ハイパーリンク" xfId="247" builtinId="8" hidden="1"/>
    <cellStyle name="ハイパーリンク" xfId="249" builtinId="8" hidden="1"/>
    <cellStyle name="ハイパーリンク" xfId="251" builtinId="8" hidden="1"/>
    <cellStyle name="ハイパーリンク" xfId="253" builtinId="8" hidden="1"/>
    <cellStyle name="ハイパーリンク" xfId="255" builtinId="8" hidden="1"/>
    <cellStyle name="ハイパーリンク" xfId="257" builtinId="8" hidden="1"/>
    <cellStyle name="ハイパーリンク" xfId="259" builtinId="8" hidden="1"/>
    <cellStyle name="ハイパーリンク" xfId="261" builtinId="8" hidden="1"/>
    <cellStyle name="ハイパーリンク" xfId="263" builtinId="8" hidden="1"/>
    <cellStyle name="ハイパーリンク" xfId="265" builtinId="8" hidden="1"/>
    <cellStyle name="ハイパーリンク" xfId="267" builtinId="8" hidden="1"/>
    <cellStyle name="ハイパーリンク" xfId="269" builtinId="8" hidden="1"/>
    <cellStyle name="ハイパーリンク" xfId="271" builtinId="8" hidden="1"/>
    <cellStyle name="ハイパーリンク" xfId="273" builtinId="8" hidden="1"/>
    <cellStyle name="ハイパーリンク" xfId="275" builtinId="8" hidden="1"/>
    <cellStyle name="ハイパーリンク" xfId="277" builtinId="8" hidden="1"/>
    <cellStyle name="ハイパーリンク" xfId="279" builtinId="8" hidden="1"/>
    <cellStyle name="ハイパーリンク" xfId="281" builtinId="8" hidden="1"/>
    <cellStyle name="ハイパーリンク" xfId="283" builtinId="8" hidden="1"/>
    <cellStyle name="ハイパーリンク" xfId="285" builtinId="8" hidden="1"/>
    <cellStyle name="ハイパーリンク" xfId="287" builtinId="8" hidden="1"/>
    <cellStyle name="ハイパーリンク" xfId="289" builtinId="8" hidden="1"/>
    <cellStyle name="ハイパーリンク" xfId="291" builtinId="8" hidden="1"/>
    <cellStyle name="ハイパーリンク" xfId="293" builtinId="8" hidden="1"/>
    <cellStyle name="ハイパーリンク" xfId="295" builtinId="8" hidden="1"/>
    <cellStyle name="ハイパーリンク" xfId="297" builtinId="8" hidden="1"/>
    <cellStyle name="ハイパーリンク" xfId="299" builtinId="8" hidden="1"/>
    <cellStyle name="ハイパーリンク" xfId="301" builtinId="8" hidden="1"/>
    <cellStyle name="ハイパーリンク" xfId="303" builtinId="8" hidden="1"/>
    <cellStyle name="ハイパーリンク" xfId="305" builtinId="8" hidden="1"/>
    <cellStyle name="ハイパーリンク" xfId="307" builtinId="8" hidden="1"/>
    <cellStyle name="ハイパーリンク" xfId="309" builtinId="8" hidden="1"/>
    <cellStyle name="ハイパーリンク" xfId="311" builtinId="8" hidden="1"/>
    <cellStyle name="ハイパーリンク" xfId="313" builtinId="8" hidden="1"/>
    <cellStyle name="ハイパーリンク" xfId="315" builtinId="8" hidden="1"/>
    <cellStyle name="ハイパーリンク" xfId="317" builtinId="8" hidden="1"/>
    <cellStyle name="ハイパーリンク" xfId="319" builtinId="8" hidden="1"/>
    <cellStyle name="ハイパーリンク" xfId="321" builtinId="8" hidden="1"/>
    <cellStyle name="ハイパーリンク" xfId="323" builtinId="8" hidden="1"/>
    <cellStyle name="ハイパーリンク" xfId="325" builtinId="8" hidden="1"/>
    <cellStyle name="ハイパーリンク" xfId="327" builtinId="8" hidden="1"/>
    <cellStyle name="ハイパーリンク" xfId="329" builtinId="8" hidden="1"/>
    <cellStyle name="ハイパーリンク" xfId="331" builtinId="8" hidden="1"/>
    <cellStyle name="ハイパーリンク" xfId="333" builtinId="8" hidden="1"/>
    <cellStyle name="ハイパーリンク" xfId="335" builtinId="8" hidden="1"/>
    <cellStyle name="ハイパーリンク" xfId="337" builtinId="8" hidden="1"/>
    <cellStyle name="ハイパーリンク" xfId="339" builtinId="8" hidden="1"/>
    <cellStyle name="ハイパーリンク" xfId="341" builtinId="8" hidden="1"/>
    <cellStyle name="ハイパーリンク" xfId="343" builtinId="8" hidden="1"/>
    <cellStyle name="ハイパーリンク" xfId="345" builtinId="8" hidden="1"/>
    <cellStyle name="ハイパーリンク" xfId="347" builtinId="8" hidden="1"/>
    <cellStyle name="ハイパーリンク" xfId="349" builtinId="8" hidden="1"/>
    <cellStyle name="ハイパーリンク" xfId="351" builtinId="8" hidden="1"/>
    <cellStyle name="ハイパーリンク" xfId="353" builtinId="8" hidden="1"/>
    <cellStyle name="ハイパーリンク" xfId="355" builtinId="8" hidden="1"/>
    <cellStyle name="ハイパーリンク" xfId="357" builtinId="8" hidden="1"/>
    <cellStyle name="ハイパーリンク" xfId="359" builtinId="8" hidden="1"/>
    <cellStyle name="ハイパーリンク" xfId="361" builtinId="8" hidden="1"/>
    <cellStyle name="ハイパーリンク" xfId="363" builtinId="8" hidden="1"/>
    <cellStyle name="ハイパーリンク" xfId="365" builtinId="8" hidden="1"/>
    <cellStyle name="ハイパーリンク" xfId="367" builtinId="8" hidden="1"/>
    <cellStyle name="ハイパーリンク" xfId="369" builtinId="8" hidden="1"/>
    <cellStyle name="ハイパーリンク" xfId="371" builtinId="8" hidden="1"/>
    <cellStyle name="ハイパーリンク" xfId="373" builtinId="8" hidden="1"/>
    <cellStyle name="ハイパーリンク" xfId="375" builtinId="8" hidden="1"/>
    <cellStyle name="ハイパーリンク" xfId="377" builtinId="8" hidden="1"/>
    <cellStyle name="ハイパーリンク" xfId="379" builtinId="8" hidden="1"/>
    <cellStyle name="ハイパーリンク" xfId="381" builtinId="8" hidden="1"/>
    <cellStyle name="ハイパーリンク" xfId="383" builtinId="8" hidden="1"/>
    <cellStyle name="ハイパーリンク" xfId="385" builtinId="8" hidden="1"/>
    <cellStyle name="ハイパーリンク" xfId="387" builtinId="8" hidden="1"/>
    <cellStyle name="ハイパーリンク" xfId="389" builtinId="8" hidden="1"/>
    <cellStyle name="ハイパーリンク" xfId="391" builtinId="8" hidden="1"/>
    <cellStyle name="ハイパーリンク" xfId="393" builtinId="8" hidden="1"/>
    <cellStyle name="ハイパーリンク" xfId="395" builtinId="8" hidden="1"/>
    <cellStyle name="ハイパーリンク" xfId="397" builtinId="8" hidden="1"/>
    <cellStyle name="ハイパーリンク" xfId="399" builtinId="8" hidden="1"/>
    <cellStyle name="ハイパーリンク" xfId="401" builtinId="8" hidden="1"/>
    <cellStyle name="ハイパーリンク" xfId="403" builtinId="8" hidden="1"/>
    <cellStyle name="ハイパーリンク" xfId="405" builtinId="8" hidden="1"/>
    <cellStyle name="ハイパーリンク" xfId="407" builtinId="8" hidden="1"/>
    <cellStyle name="ハイパーリンク" xfId="409" builtinId="8" hidden="1"/>
    <cellStyle name="ハイパーリンク" xfId="411" builtinId="8" hidden="1"/>
    <cellStyle name="ハイパーリンク" xfId="413" builtinId="8" hidden="1"/>
    <cellStyle name="ハイパーリンク" xfId="415" builtinId="8" hidden="1"/>
    <cellStyle name="ハイパーリンク" xfId="417" builtinId="8" hidden="1"/>
    <cellStyle name="ハイパーリンク" xfId="419" builtinId="8" hidden="1"/>
    <cellStyle name="ハイパーリンク" xfId="421" builtinId="8" hidden="1"/>
    <cellStyle name="ハイパーリンク" xfId="423" builtinId="8" hidden="1"/>
    <cellStyle name="ハイパーリンク" xfId="425" builtinId="8" hidden="1"/>
    <cellStyle name="ハイパーリンク" xfId="427" builtinId="8" hidden="1"/>
    <cellStyle name="ハイパーリンク" xfId="429" builtinId="8" hidden="1"/>
    <cellStyle name="ハイパーリンク" xfId="431" builtinId="8" hidden="1"/>
    <cellStyle name="ハイパーリンク" xfId="433" builtinId="8" hidden="1"/>
    <cellStyle name="ハイパーリンク" xfId="435" builtinId="8" hidden="1"/>
    <cellStyle name="ハイパーリンク" xfId="437" builtinId="8" hidden="1"/>
    <cellStyle name="ハイパーリンク" xfId="439" builtinId="8" hidden="1"/>
    <cellStyle name="ハイパーリンク" xfId="441" builtinId="8" hidden="1"/>
    <cellStyle name="ハイパーリンク" xfId="443" builtinId="8" hidden="1"/>
    <cellStyle name="ハイパーリンク" xfId="445" builtinId="8" hidden="1"/>
    <cellStyle name="ハイパーリンク" xfId="447" builtinId="8" hidden="1"/>
    <cellStyle name="ハイパーリンク" xfId="449" builtinId="8" hidden="1"/>
    <cellStyle name="ハイパーリンク" xfId="451" builtinId="8" hidden="1"/>
    <cellStyle name="ハイパーリンク" xfId="453" builtinId="8" hidden="1"/>
    <cellStyle name="ハイパーリンク" xfId="455" builtinId="8" hidden="1"/>
    <cellStyle name="ハイパーリンク" xfId="457" builtinId="8" hidden="1"/>
    <cellStyle name="ハイパーリンク" xfId="459" builtinId="8" hidden="1"/>
    <cellStyle name="ハイパーリンク" xfId="461" builtinId="8" hidden="1"/>
    <cellStyle name="ハイパーリンク" xfId="463" builtinId="8" hidden="1"/>
    <cellStyle name="ハイパーリンク" xfId="465" builtinId="8" hidden="1"/>
    <cellStyle name="ハイパーリンク" xfId="467" builtinId="8" hidden="1"/>
    <cellStyle name="ハイパーリンク" xfId="469" builtinId="8" hidden="1"/>
    <cellStyle name="ハイパーリンク" xfId="471" builtinId="8" hidden="1"/>
    <cellStyle name="ハイパーリンク" xfId="473" builtinId="8" hidden="1"/>
    <cellStyle name="ハイパーリンク" xfId="475" builtinId="8" hidden="1"/>
    <cellStyle name="ハイパーリンク" xfId="477" builtinId="8" hidden="1"/>
    <cellStyle name="ハイパーリンク" xfId="479" builtinId="8" hidden="1"/>
    <cellStyle name="ハイパーリンク" xfId="481" builtinId="8" hidden="1"/>
    <cellStyle name="ハイパーリンク" xfId="483" builtinId="8" hidden="1"/>
    <cellStyle name="ハイパーリンク" xfId="485" builtinId="8" hidden="1"/>
    <cellStyle name="ハイパーリンク" xfId="487" builtinId="8" hidden="1"/>
    <cellStyle name="ハイパーリンク" xfId="489" builtinId="8" hidden="1"/>
    <cellStyle name="ハイパーリンク" xfId="491" builtinId="8" hidden="1"/>
    <cellStyle name="ハイパーリンク" xfId="493" builtinId="8" hidden="1"/>
    <cellStyle name="ハイパーリンク" xfId="495" builtinId="8" hidden="1"/>
    <cellStyle name="ハイパーリンク" xfId="497" builtinId="8" hidden="1"/>
    <cellStyle name="ハイパーリンク" xfId="499" builtinId="8" hidden="1"/>
    <cellStyle name="ハイパーリンク" xfId="501" builtinId="8" hidden="1"/>
    <cellStyle name="ハイパーリンク" xfId="503" builtinId="8" hidden="1"/>
    <cellStyle name="ハイパーリンク" xfId="505" builtinId="8" hidden="1"/>
    <cellStyle name="ハイパーリンク" xfId="507" builtinId="8" hidden="1"/>
    <cellStyle name="ハイパーリンク" xfId="509" builtinId="8" hidden="1"/>
    <cellStyle name="ハイパーリンク" xfId="511" builtinId="8" hidden="1"/>
    <cellStyle name="ハイパーリンク" xfId="513" builtinId="8" hidden="1"/>
    <cellStyle name="ハイパーリンク" xfId="515" builtinId="8" hidden="1"/>
    <cellStyle name="ハイパーリンク" xfId="517" builtinId="8" hidden="1"/>
    <cellStyle name="ハイパーリンク" xfId="519" builtinId="8" hidden="1"/>
    <cellStyle name="ハイパーリンク" xfId="521" builtinId="8" hidden="1"/>
    <cellStyle name="ハイパーリンク" xfId="523" builtinId="8" hidden="1"/>
    <cellStyle name="ハイパーリンク" xfId="525" builtinId="8" hidden="1"/>
    <cellStyle name="ハイパーリンク" xfId="527" builtinId="8" hidden="1"/>
    <cellStyle name="ハイパーリンク" xfId="529" builtinId="8" hidden="1"/>
    <cellStyle name="ハイパーリンク" xfId="531" builtinId="8" hidden="1"/>
    <cellStyle name="ハイパーリンク" xfId="533" builtinId="8" hidden="1"/>
    <cellStyle name="ハイパーリンク" xfId="535" builtinId="8" hidden="1"/>
    <cellStyle name="ハイパーリンク" xfId="537" builtinId="8" hidden="1"/>
    <cellStyle name="ハイパーリンク" xfId="539" builtinId="8" hidden="1"/>
    <cellStyle name="ハイパーリンク" xfId="541" builtinId="8" hidden="1"/>
    <cellStyle name="ハイパーリンク" xfId="543" builtinId="8" hidden="1"/>
    <cellStyle name="ハイパーリンク" xfId="545" builtinId="8" hidden="1"/>
    <cellStyle name="ハイパーリンク" xfId="547" builtinId="8" hidden="1"/>
    <cellStyle name="ハイパーリンク" xfId="549" builtinId="8" hidden="1"/>
    <cellStyle name="ハイパーリンク" xfId="551" builtinId="8" hidden="1"/>
    <cellStyle name="ハイパーリンク" xfId="553" builtinId="8" hidden="1"/>
    <cellStyle name="ハイパーリンク" xfId="555" builtinId="8" hidden="1"/>
    <cellStyle name="ハイパーリンク" xfId="557" builtinId="8" hidden="1"/>
    <cellStyle name="ハイパーリンク" xfId="559" builtinId="8" hidden="1"/>
    <cellStyle name="ハイパーリンク" xfId="561" builtinId="8" hidden="1"/>
    <cellStyle name="ハイパーリンク" xfId="563" builtinId="8" hidden="1"/>
    <cellStyle name="ハイパーリンク" xfId="565" builtinId="8" hidden="1"/>
    <cellStyle name="ハイパーリンク" xfId="567" builtinId="8" hidden="1"/>
    <cellStyle name="ハイパーリンク" xfId="569" builtinId="8" hidden="1"/>
    <cellStyle name="ハイパーリンク" xfId="571" builtinId="8" hidden="1"/>
    <cellStyle name="ハイパーリンク" xfId="573" builtinId="8" hidden="1"/>
    <cellStyle name="ハイパーリンク" xfId="575" builtinId="8" hidden="1"/>
    <cellStyle name="ハイパーリンク" xfId="577" builtinId="8" hidden="1"/>
    <cellStyle name="ハイパーリンク" xfId="579" builtinId="8" hidden="1"/>
    <cellStyle name="ハイパーリンク" xfId="581" builtinId="8" hidden="1"/>
    <cellStyle name="ハイパーリンク" xfId="583" builtinId="8" hidden="1"/>
    <cellStyle name="ハイパーリンク" xfId="585" builtinId="8" hidden="1"/>
    <cellStyle name="ハイパーリンク" xfId="587" builtinId="8" hidden="1"/>
    <cellStyle name="ハイパーリンク" xfId="589" builtinId="8" hidden="1"/>
    <cellStyle name="ハイパーリンク" xfId="591" builtinId="8" hidden="1"/>
    <cellStyle name="ハイパーリンク" xfId="593" builtinId="8" hidden="1"/>
    <cellStyle name="ハイパーリンク" xfId="595" builtinId="8" hidden="1"/>
    <cellStyle name="ハイパーリンク" xfId="597" builtinId="8" hidden="1"/>
    <cellStyle name="ハイパーリンク" xfId="599" builtinId="8" hidden="1"/>
    <cellStyle name="ハイパーリンク" xfId="601" builtinId="8" hidden="1"/>
    <cellStyle name="ハイパーリンク" xfId="603" builtinId="8" hidden="1"/>
    <cellStyle name="ハイパーリンク" xfId="605" builtinId="8" hidden="1"/>
    <cellStyle name="ハイパーリンク" xfId="607" builtinId="8" hidden="1"/>
    <cellStyle name="ハイパーリンク" xfId="609" builtinId="8" hidden="1"/>
    <cellStyle name="ハイパーリンク" xfId="611" builtinId="8" hidden="1"/>
    <cellStyle name="ハイパーリンク" xfId="613" builtinId="8" hidden="1"/>
    <cellStyle name="ハイパーリンク" xfId="615" builtinId="8" hidden="1"/>
    <cellStyle name="ハイパーリンク" xfId="617" builtinId="8" hidden="1"/>
    <cellStyle name="ハイパーリンク" xfId="619" builtinId="8" hidden="1"/>
    <cellStyle name="ハイパーリンク" xfId="621" builtinId="8" hidden="1"/>
    <cellStyle name="ハイパーリンク" xfId="623" builtinId="8" hidden="1"/>
    <cellStyle name="ハイパーリンク" xfId="625" builtinId="8" hidden="1"/>
    <cellStyle name="ハイパーリンク" xfId="627" builtinId="8" hidden="1"/>
    <cellStyle name="ハイパーリンク" xfId="629" builtinId="8" hidden="1"/>
    <cellStyle name="ハイパーリンク" xfId="631" builtinId="8" hidden="1"/>
    <cellStyle name="ハイパーリンク" xfId="633" builtinId="8" hidden="1"/>
    <cellStyle name="ハイパーリンク" xfId="635" builtinId="8" hidden="1"/>
    <cellStyle name="ハイパーリンク" xfId="637" builtinId="8" hidden="1"/>
    <cellStyle name="ハイパーリンク" xfId="639" builtinId="8" hidden="1"/>
    <cellStyle name="ハイパーリンク" xfId="641" builtinId="8" hidden="1"/>
    <cellStyle name="ハイパーリンク" xfId="643" builtinId="8" hidden="1"/>
    <cellStyle name="ハイパーリンク" xfId="645" builtinId="8" hidden="1"/>
    <cellStyle name="ハイパーリンク" xfId="647" builtinId="8" hidden="1"/>
    <cellStyle name="ハイパーリンク" xfId="649" builtinId="8" hidden="1"/>
    <cellStyle name="ハイパーリンク" xfId="651" builtinId="8" hidden="1"/>
    <cellStyle name="ハイパーリンク" xfId="653" builtinId="8" hidden="1"/>
    <cellStyle name="ハイパーリンク" xfId="655" builtinId="8" hidden="1"/>
    <cellStyle name="ハイパーリンク" xfId="657" builtinId="8" hidden="1"/>
    <cellStyle name="ハイパーリンク" xfId="659" builtinId="8" hidden="1"/>
    <cellStyle name="ハイパーリンク" xfId="661" builtinId="8" hidden="1"/>
    <cellStyle name="ハイパーリンク" xfId="663" builtinId="8" hidden="1"/>
    <cellStyle name="ハイパーリンク" xfId="665" builtinId="8" hidden="1"/>
    <cellStyle name="ハイパーリンク" xfId="667" builtinId="8" hidden="1"/>
    <cellStyle name="ハイパーリンク" xfId="669" builtinId="8" hidden="1"/>
    <cellStyle name="ハイパーリンク" xfId="671" builtinId="8" hidden="1"/>
    <cellStyle name="ハイパーリンク" xfId="673" builtinId="8" hidden="1"/>
    <cellStyle name="ハイパーリンク" xfId="675" builtinId="8" hidden="1"/>
    <cellStyle name="ハイパーリンク" xfId="677" builtinId="8" hidden="1"/>
    <cellStyle name="ハイパーリンク" xfId="679" builtinId="8" hidden="1"/>
    <cellStyle name="ハイパーリンク" xfId="681" builtinId="8" hidden="1"/>
    <cellStyle name="ハイパーリンク" xfId="683" builtinId="8" hidden="1"/>
    <cellStyle name="ハイパーリンク" xfId="685" builtinId="8" hidden="1"/>
    <cellStyle name="ハイパーリンク" xfId="687" builtinId="8" hidden="1"/>
    <cellStyle name="ハイパーリンク" xfId="689" builtinId="8" hidden="1"/>
    <cellStyle name="ハイパーリンク" xfId="691" builtinId="8" hidden="1"/>
    <cellStyle name="ハイパーリンク" xfId="693" builtinId="8" hidden="1"/>
    <cellStyle name="ハイパーリンク" xfId="695" builtinId="8" hidden="1"/>
    <cellStyle name="ハイパーリンク" xfId="697" builtinId="8" hidden="1"/>
    <cellStyle name="ハイパーリンク" xfId="699" builtinId="8" hidden="1"/>
    <cellStyle name="ハイパーリンク" xfId="701" builtinId="8" hidden="1"/>
    <cellStyle name="ハイパーリンク" xfId="703" builtinId="8" hidden="1"/>
    <cellStyle name="ハイパーリンク" xfId="705" builtinId="8" hidden="1"/>
    <cellStyle name="ハイパーリンク" xfId="707" builtinId="8" hidden="1"/>
    <cellStyle name="ハイパーリンク" xfId="709" builtinId="8" hidden="1"/>
    <cellStyle name="ハイパーリンク" xfId="711" builtinId="8" hidden="1"/>
    <cellStyle name="ハイパーリンク" xfId="713" builtinId="8" hidden="1"/>
    <cellStyle name="ハイパーリンク" xfId="715" builtinId="8" hidden="1"/>
    <cellStyle name="ハイパーリンク" xfId="717" builtinId="8" hidden="1"/>
    <cellStyle name="ハイパーリンク" xfId="719" builtinId="8" hidden="1"/>
    <cellStyle name="ハイパーリンク" xfId="721" builtinId="8" hidden="1"/>
    <cellStyle name="ハイパーリンク" xfId="723" builtinId="8" hidden="1"/>
    <cellStyle name="ハイパーリンク" xfId="725" builtinId="8" hidden="1"/>
    <cellStyle name="ハイパーリンク" xfId="727" builtinId="8" hidden="1"/>
    <cellStyle name="ハイパーリンク" xfId="729" builtinId="8" hidden="1"/>
    <cellStyle name="ハイパーリンク" xfId="731" builtinId="8" hidden="1"/>
    <cellStyle name="ハイパーリンク" xfId="733" builtinId="8" hidden="1"/>
    <cellStyle name="ハイパーリンク" xfId="735" builtinId="8" hidden="1"/>
    <cellStyle name="ハイパーリンク" xfId="737" builtinId="8" hidden="1"/>
    <cellStyle name="ハイパーリンク" xfId="739" builtinId="8" hidden="1"/>
    <cellStyle name="ハイパーリンク" xfId="741" builtinId="8" hidden="1"/>
    <cellStyle name="ハイパーリンク" xfId="743" builtinId="8" hidden="1"/>
    <cellStyle name="ハイパーリンク" xfId="745" builtinId="8" hidden="1"/>
    <cellStyle name="ハイパーリンク" xfId="747" builtinId="8" hidden="1"/>
    <cellStyle name="ハイパーリンク" xfId="749" builtinId="8" hidden="1"/>
    <cellStyle name="ハイパーリンク" xfId="751" builtinId="8" hidden="1"/>
    <cellStyle name="ハイパーリンク" xfId="753" builtinId="8" hidden="1"/>
    <cellStyle name="ハイパーリンク" xfId="755" builtinId="8" hidden="1"/>
    <cellStyle name="ハイパーリンク" xfId="757" builtinId="8" hidden="1"/>
    <cellStyle name="ハイパーリンク" xfId="759" builtinId="8" hidden="1"/>
    <cellStyle name="ハイパーリンク" xfId="761" builtinId="8" hidden="1"/>
    <cellStyle name="ハイパーリンク" xfId="763" builtinId="8" hidden="1"/>
    <cellStyle name="ハイパーリンク" xfId="765" builtinId="8" hidden="1"/>
    <cellStyle name="ハイパーリンク" xfId="767" builtinId="8" hidden="1"/>
    <cellStyle name="ハイパーリンク" xfId="769" builtinId="8" hidden="1"/>
    <cellStyle name="ハイパーリンク" xfId="771" builtinId="8" hidden="1"/>
    <cellStyle name="ハイパーリンク" xfId="773" builtinId="8" hidden="1"/>
    <cellStyle name="ハイパーリンク" xfId="775" builtinId="8" hidden="1"/>
    <cellStyle name="ハイパーリンク" xfId="777" builtinId="8" hidden="1"/>
    <cellStyle name="ハイパーリンク" xfId="779" builtinId="8" hidden="1"/>
    <cellStyle name="ハイパーリンク" xfId="781" builtinId="8" hidden="1"/>
    <cellStyle name="ハイパーリンク" xfId="783" builtinId="8" hidden="1"/>
    <cellStyle name="ハイパーリンク" xfId="785" builtinId="8" hidden="1"/>
    <cellStyle name="ハイパーリンク" xfId="787" builtinId="8" hidden="1"/>
    <cellStyle name="ハイパーリンク" xfId="789" builtinId="8" hidden="1"/>
    <cellStyle name="ハイパーリンク" xfId="791" builtinId="8" hidden="1"/>
    <cellStyle name="ハイパーリンク" xfId="793" builtinId="8" hidden="1"/>
    <cellStyle name="ハイパーリンク" xfId="795" builtinId="8" hidden="1"/>
    <cellStyle name="ハイパーリンク" xfId="797" builtinId="8" hidden="1"/>
    <cellStyle name="ハイパーリンク" xfId="799" builtinId="8" hidden="1"/>
    <cellStyle name="ハイパーリンク" xfId="801" builtinId="8" hidden="1"/>
    <cellStyle name="ハイパーリンク" xfId="803" builtinId="8" hidden="1"/>
    <cellStyle name="ハイパーリンク" xfId="805" builtinId="8" hidden="1"/>
    <cellStyle name="ハイパーリンク" xfId="807" builtinId="8" hidden="1"/>
    <cellStyle name="ハイパーリンク" xfId="809" builtinId="8" hidden="1"/>
    <cellStyle name="ハイパーリンク" xfId="811" builtinId="8" hidden="1"/>
    <cellStyle name="ハイパーリンク" xfId="813" builtinId="8" hidden="1"/>
    <cellStyle name="ハイパーリンク" xfId="815" builtinId="8" hidden="1"/>
    <cellStyle name="ハイパーリンク" xfId="817" builtinId="8" hidden="1"/>
    <cellStyle name="ハイパーリンク" xfId="819" builtinId="8" hidden="1"/>
    <cellStyle name="ハイパーリンク" xfId="821" builtinId="8" hidden="1"/>
    <cellStyle name="ハイパーリンク" xfId="823" builtinId="8" hidden="1"/>
    <cellStyle name="ハイパーリンク" xfId="825" builtinId="8" hidden="1"/>
    <cellStyle name="ハイパーリンク" xfId="827" builtinId="8" hidden="1"/>
    <cellStyle name="ハイパーリンク" xfId="829" builtinId="8" hidden="1"/>
    <cellStyle name="ハイパーリンク" xfId="831" builtinId="8" hidden="1"/>
    <cellStyle name="ハイパーリンク" xfId="833" builtinId="8" hidden="1"/>
    <cellStyle name="ハイパーリンク" xfId="835" builtinId="8" hidden="1"/>
    <cellStyle name="ハイパーリンク" xfId="837" builtinId="8" hidden="1"/>
    <cellStyle name="ハイパーリンク" xfId="839" builtinId="8" hidden="1"/>
    <cellStyle name="ハイパーリンク" xfId="841" builtinId="8" hidden="1"/>
    <cellStyle name="ハイパーリンク" xfId="843" builtinId="8" hidden="1"/>
    <cellStyle name="ハイパーリンク" xfId="845" builtinId="8" hidden="1"/>
    <cellStyle name="ハイパーリンク" xfId="847" builtinId="8" hidden="1"/>
    <cellStyle name="ハイパーリンク" xfId="849" builtinId="8" hidden="1"/>
    <cellStyle name="ハイパーリンク" xfId="851" builtinId="8" hidden="1"/>
    <cellStyle name="ハイパーリンク" xfId="853" builtinId="8" hidden="1"/>
    <cellStyle name="ハイパーリンク" xfId="855" builtinId="8" hidden="1"/>
    <cellStyle name="ハイパーリンク" xfId="857" builtinId="8" hidden="1"/>
    <cellStyle name="ハイパーリンク" xfId="859" builtinId="8" hidden="1"/>
    <cellStyle name="ハイパーリンク" xfId="861" builtinId="8" hidden="1"/>
    <cellStyle name="ハイパーリンク" xfId="863" builtinId="8" hidden="1"/>
    <cellStyle name="ハイパーリンク" xfId="865" builtinId="8" hidden="1"/>
    <cellStyle name="ハイパーリンク" xfId="867" builtinId="8" hidden="1"/>
    <cellStyle name="ハイパーリンク" xfId="869" builtinId="8" hidden="1"/>
    <cellStyle name="ハイパーリンク" xfId="871" builtinId="8" hidden="1"/>
    <cellStyle name="ハイパーリンク" xfId="873" builtinId="8" hidden="1"/>
    <cellStyle name="ハイパーリンク" xfId="875" builtinId="8" hidden="1"/>
    <cellStyle name="ハイパーリンク" xfId="877" builtinId="8" hidden="1"/>
    <cellStyle name="ハイパーリンク" xfId="879" builtinId="8" hidden="1"/>
    <cellStyle name="ハイパーリンク" xfId="881" builtinId="8" hidden="1"/>
    <cellStyle name="ハイパーリンク" xfId="883" builtinId="8" hidden="1"/>
    <cellStyle name="ハイパーリンク" xfId="885" builtinId="8" hidden="1"/>
    <cellStyle name="ハイパーリンク" xfId="887" builtinId="8" hidden="1"/>
    <cellStyle name="ハイパーリンク" xfId="889" builtinId="8" hidden="1"/>
    <cellStyle name="ハイパーリンク" xfId="891" builtinId="8" hidden="1"/>
    <cellStyle name="ハイパーリンク" xfId="893" builtinId="8" hidden="1"/>
    <cellStyle name="ハイパーリンク" xfId="895" builtinId="8" hidden="1"/>
    <cellStyle name="ハイパーリンク" xfId="897" builtinId="8" hidden="1"/>
    <cellStyle name="ハイパーリンク" xfId="899" builtinId="8" hidden="1"/>
    <cellStyle name="ハイパーリンク" xfId="901" builtinId="8" hidden="1"/>
    <cellStyle name="ハイパーリンク" xfId="903" builtinId="8" hidden="1"/>
    <cellStyle name="ハイパーリンク" xfId="905" builtinId="8" hidden="1"/>
    <cellStyle name="ハイパーリンク" xfId="907" builtinId="8" hidden="1"/>
    <cellStyle name="ハイパーリンク" xfId="909" builtinId="8" hidden="1"/>
    <cellStyle name="ハイパーリンク" xfId="911" builtinId="8" hidden="1"/>
    <cellStyle name="ハイパーリンク" xfId="913" builtinId="8" hidden="1"/>
    <cellStyle name="ハイパーリンク" xfId="915" builtinId="8" hidden="1"/>
    <cellStyle name="ハイパーリンク" xfId="917" builtinId="8" hidden="1"/>
    <cellStyle name="ハイパーリンク" xfId="919" builtinId="8" hidden="1"/>
    <cellStyle name="ハイパーリンク" xfId="921" builtinId="8" hidden="1"/>
    <cellStyle name="ハイパーリンク" xfId="923" builtinId="8" hidden="1"/>
    <cellStyle name="ハイパーリンク" xfId="925" builtinId="8" hidden="1"/>
    <cellStyle name="ハイパーリンク" xfId="927" builtinId="8" hidden="1"/>
    <cellStyle name="ハイパーリンク" xfId="929" builtinId="8" hidden="1"/>
    <cellStyle name="ハイパーリンク" xfId="931" builtinId="8" hidden="1"/>
    <cellStyle name="ハイパーリンク" xfId="933" builtinId="8" hidden="1"/>
    <cellStyle name="ハイパーリンク" xfId="935" builtinId="8" hidden="1"/>
    <cellStyle name="ハイパーリンク" xfId="937" builtinId="8" hidden="1"/>
    <cellStyle name="ハイパーリンク" xfId="939" builtinId="8" hidden="1"/>
    <cellStyle name="ハイパーリンク" xfId="941" builtinId="8" hidden="1"/>
    <cellStyle name="ハイパーリンク" xfId="943" builtinId="8" hidden="1"/>
    <cellStyle name="ハイパーリンク" xfId="945" builtinId="8" hidden="1"/>
    <cellStyle name="ハイパーリンク" xfId="947" builtinId="8" hidden="1"/>
    <cellStyle name="ハイパーリンク" xfId="949" builtinId="8" hidden="1"/>
    <cellStyle name="ハイパーリンク" xfId="951" builtinId="8" hidden="1"/>
    <cellStyle name="ハイパーリンク" xfId="953" builtinId="8" hidden="1"/>
    <cellStyle name="ハイパーリンク" xfId="955" builtinId="8" hidden="1"/>
    <cellStyle name="ハイパーリンク" xfId="957" builtinId="8" hidden="1"/>
    <cellStyle name="ハイパーリンク" xfId="959" builtinId="8" hidden="1"/>
    <cellStyle name="ハイパーリンク" xfId="961" builtinId="8" hidden="1"/>
    <cellStyle name="ハイパーリンク" xfId="963" builtinId="8" hidden="1"/>
    <cellStyle name="ハイパーリンク" xfId="965" builtinId="8" hidden="1"/>
    <cellStyle name="ハイパーリンク" xfId="967" builtinId="8" hidden="1"/>
    <cellStyle name="ハイパーリンク" xfId="969" builtinId="8" hidden="1"/>
    <cellStyle name="ハイパーリンク" xfId="971" builtinId="8" hidden="1"/>
    <cellStyle name="ハイパーリンク" xfId="973" builtinId="8" hidden="1"/>
    <cellStyle name="ハイパーリンク" xfId="975" builtinId="8" hidden="1"/>
    <cellStyle name="ハイパーリンク" xfId="977" builtinId="8" hidden="1"/>
    <cellStyle name="ハイパーリンク" xfId="979" builtinId="8" hidden="1"/>
    <cellStyle name="ハイパーリンク" xfId="981" builtinId="8" hidden="1"/>
    <cellStyle name="ハイパーリンク" xfId="983" builtinId="8" hidden="1"/>
    <cellStyle name="ハイパーリンク" xfId="985" builtinId="8" hidden="1"/>
    <cellStyle name="ハイパーリンク" xfId="987" builtinId="8" hidden="1"/>
    <cellStyle name="ハイパーリンク" xfId="989" builtinId="8" hidden="1"/>
    <cellStyle name="ハイパーリンク" xfId="991" builtinId="8" hidden="1"/>
    <cellStyle name="ハイパーリンク" xfId="993" builtinId="8" hidden="1"/>
    <cellStyle name="ハイパーリンク" xfId="995" builtinId="8" hidden="1"/>
    <cellStyle name="ハイパーリンク" xfId="997" builtinId="8" hidden="1"/>
    <cellStyle name="ハイパーリンク" xfId="999" builtinId="8" hidden="1"/>
    <cellStyle name="ハイパーリンク" xfId="1001" builtinId="8" hidden="1"/>
    <cellStyle name="ハイパーリンク" xfId="1003" builtinId="8" hidden="1"/>
    <cellStyle name="ハイパーリンク" xfId="1005" builtinId="8" hidden="1"/>
    <cellStyle name="ハイパーリンク" xfId="1007" builtinId="8" hidden="1"/>
    <cellStyle name="ハイパーリンク" xfId="1009" builtinId="8" hidden="1"/>
    <cellStyle name="ハイパーリンク" xfId="1011" builtinId="8" hidden="1"/>
    <cellStyle name="ハイパーリンク" xfId="1013" builtinId="8" hidden="1"/>
    <cellStyle name="ハイパーリンク" xfId="1015" builtinId="8" hidden="1"/>
    <cellStyle name="ハイパーリンク" xfId="1017" builtinId="8" hidden="1"/>
    <cellStyle name="ハイパーリンク" xfId="1019" builtinId="8" hidden="1"/>
    <cellStyle name="ハイパーリンク" xfId="1021" builtinId="8" hidden="1"/>
    <cellStyle name="ハイパーリンク" xfId="1023" builtinId="8" hidden="1"/>
    <cellStyle name="ハイパーリンク" xfId="1025" builtinId="8" hidden="1"/>
    <cellStyle name="ハイパーリンク" xfId="1027" builtinId="8" hidden="1"/>
    <cellStyle name="ハイパーリンク" xfId="1029" builtinId="8" hidden="1"/>
    <cellStyle name="ハイパーリンク" xfId="1031" builtinId="8" hidden="1"/>
    <cellStyle name="ハイパーリンク" xfId="1033" builtinId="8" hidden="1"/>
    <cellStyle name="ハイパーリンク" xfId="1035" builtinId="8" hidden="1"/>
    <cellStyle name="ハイパーリンク" xfId="1037" builtinId="8" hidden="1"/>
    <cellStyle name="ハイパーリンク" xfId="1039" builtinId="8" hidden="1"/>
    <cellStyle name="ハイパーリンク" xfId="1041" builtinId="8" hidden="1"/>
    <cellStyle name="ハイパーリンク" xfId="1043" builtinId="8" hidden="1"/>
    <cellStyle name="ハイパーリンク" xfId="1045" builtinId="8" hidden="1"/>
    <cellStyle name="ハイパーリンク" xfId="1047" builtinId="8" hidden="1"/>
    <cellStyle name="ハイパーリンク" xfId="1049" builtinId="8" hidden="1"/>
    <cellStyle name="ハイパーリンク" xfId="1051" builtinId="8" hidden="1"/>
    <cellStyle name="ハイパーリンク" xfId="1053" builtinId="8" hidden="1"/>
    <cellStyle name="ハイパーリンク" xfId="1055" builtinId="8" hidden="1"/>
    <cellStyle name="ハイパーリンク" xfId="1057" builtinId="8" hidden="1"/>
    <cellStyle name="ハイパーリンク" xfId="1059" builtinId="8" hidden="1"/>
    <cellStyle name="ハイパーリンク" xfId="1061" builtinId="8" hidden="1"/>
    <cellStyle name="ハイパーリンク" xfId="1063" builtinId="8" hidden="1"/>
    <cellStyle name="ハイパーリンク" xfId="1065" builtinId="8" hidden="1"/>
    <cellStyle name="ハイパーリンク" xfId="1067" builtinId="8" hidden="1"/>
    <cellStyle name="ハイパーリンク" xfId="1069" builtinId="8" hidden="1"/>
    <cellStyle name="ハイパーリンク" xfId="1071" builtinId="8" hidden="1"/>
    <cellStyle name="ハイパーリンク" xfId="1073" builtinId="8" hidden="1"/>
    <cellStyle name="ハイパーリンク" xfId="1075" builtinId="8" hidden="1"/>
    <cellStyle name="ハイパーリンク" xfId="1077" builtinId="8" hidden="1"/>
    <cellStyle name="ハイパーリンク" xfId="1079" builtinId="8" hidden="1"/>
    <cellStyle name="ハイパーリンク" xfId="1081" builtinId="8" hidden="1"/>
    <cellStyle name="ハイパーリンク" xfId="1083" builtinId="8" hidden="1"/>
    <cellStyle name="ハイパーリンク" xfId="1085" builtinId="8" hidden="1"/>
    <cellStyle name="ハイパーリンク" xfId="1087" builtinId="8" hidden="1"/>
    <cellStyle name="ハイパーリンク" xfId="1089" builtinId="8" hidden="1"/>
    <cellStyle name="ハイパーリンク" xfId="1091" builtinId="8" hidden="1"/>
    <cellStyle name="ハイパーリンク" xfId="1093" builtinId="8" hidden="1"/>
    <cellStyle name="ハイパーリンク" xfId="1095" builtinId="8" hidden="1"/>
    <cellStyle name="ハイパーリンク" xfId="1097" builtinId="8" hidden="1"/>
    <cellStyle name="ハイパーリンク" xfId="1099" builtinId="8" hidden="1"/>
    <cellStyle name="ハイパーリンク" xfId="1101" builtinId="8" hidden="1"/>
    <cellStyle name="ハイパーリンク" xfId="1103" builtinId="8" hidden="1"/>
    <cellStyle name="ハイパーリンク" xfId="1105" builtinId="8" hidden="1"/>
    <cellStyle name="ハイパーリンク" xfId="1107" builtinId="8" hidden="1"/>
    <cellStyle name="ハイパーリンク" xfId="1109" builtinId="8" hidden="1"/>
    <cellStyle name="ハイパーリンク" xfId="1111" builtinId="8" hidden="1"/>
    <cellStyle name="ハイパーリンク" xfId="1113" builtinId="8" hidden="1"/>
    <cellStyle name="ハイパーリンク" xfId="1115" builtinId="8" hidden="1"/>
    <cellStyle name="ハイパーリンク" xfId="1117" builtinId="8" hidden="1"/>
    <cellStyle name="ハイパーリンク" xfId="1119" builtinId="8" hidden="1"/>
    <cellStyle name="ハイパーリンク" xfId="1121" builtinId="8" hidden="1"/>
    <cellStyle name="ハイパーリンク" xfId="1123" builtinId="8" hidden="1"/>
    <cellStyle name="ハイパーリンク" xfId="1125" builtinId="8" hidden="1"/>
    <cellStyle name="ハイパーリンク" xfId="1127" builtinId="8" hidden="1"/>
    <cellStyle name="ハイパーリンク" xfId="1129" builtinId="8" hidden="1"/>
    <cellStyle name="ハイパーリンク" xfId="1131" builtinId="8" hidden="1"/>
    <cellStyle name="ハイパーリンク" xfId="1133" builtinId="8" hidden="1"/>
    <cellStyle name="ハイパーリンク" xfId="1135" builtinId="8" hidden="1"/>
    <cellStyle name="ハイパーリンク" xfId="1137" builtinId="8" hidden="1"/>
    <cellStyle name="ハイパーリンク" xfId="1139" builtinId="8" hidden="1"/>
    <cellStyle name="ハイパーリンク" xfId="1141" builtinId="8" hidden="1"/>
    <cellStyle name="ハイパーリンク" xfId="1143" builtinId="8" hidden="1"/>
    <cellStyle name="ハイパーリンク" xfId="1145" builtinId="8" hidden="1"/>
    <cellStyle name="ハイパーリンク" xfId="1147" builtinId="8" hidden="1"/>
    <cellStyle name="ハイパーリンク" xfId="1149" builtinId="8" hidden="1"/>
    <cellStyle name="ハイパーリンク" xfId="1151" builtinId="8" hidden="1"/>
    <cellStyle name="ハイパーリンク" xfId="1153" builtinId="8" hidden="1"/>
    <cellStyle name="ハイパーリンク" xfId="1155" builtinId="8" hidden="1"/>
    <cellStyle name="ハイパーリンク" xfId="1157" builtinId="8" hidden="1"/>
    <cellStyle name="ハイパーリンク" xfId="1159" builtinId="8" hidden="1"/>
    <cellStyle name="ハイパーリンク" xfId="1161" builtinId="8" hidden="1"/>
    <cellStyle name="ハイパーリンク" xfId="1163" builtinId="8" hidden="1"/>
    <cellStyle name="ハイパーリンク" xfId="1165" builtinId="8" hidden="1"/>
    <cellStyle name="ハイパーリンク" xfId="1167" builtinId="8" hidden="1"/>
    <cellStyle name="ハイパーリンク" xfId="1169" builtinId="8" hidden="1"/>
    <cellStyle name="ハイパーリンク" xfId="1171" builtinId="8" hidden="1"/>
    <cellStyle name="ハイパーリンク" xfId="1173" builtinId="8" hidden="1"/>
    <cellStyle name="ハイパーリンク" xfId="1175" builtinId="8" hidden="1"/>
    <cellStyle name="ハイパーリンク" xfId="1177" builtinId="8" hidden="1"/>
    <cellStyle name="ハイパーリンク" xfId="1179" builtinId="8" hidden="1"/>
    <cellStyle name="ハイパーリンク" xfId="1181" builtinId="8" hidden="1"/>
    <cellStyle name="ハイパーリンク" xfId="1183" builtinId="8" hidden="1"/>
    <cellStyle name="ハイパーリンク" xfId="1185" builtinId="8" hidden="1"/>
    <cellStyle name="ハイパーリンク" xfId="1187" builtinId="8" hidden="1"/>
    <cellStyle name="ハイパーリンク" xfId="1189" builtinId="8" hidden="1"/>
    <cellStyle name="ハイパーリンク" xfId="1191" builtinId="8" hidden="1"/>
    <cellStyle name="ハイパーリンク" xfId="1193" builtinId="8" hidden="1"/>
    <cellStyle name="ハイパーリンク" xfId="1195" builtinId="8" hidden="1"/>
    <cellStyle name="ハイパーリンク" xfId="1197" builtinId="8" hidden="1"/>
    <cellStyle name="ハイパーリンク" xfId="1199" builtinId="8" hidden="1"/>
    <cellStyle name="ハイパーリンク" xfId="1201" builtinId="8" hidden="1"/>
    <cellStyle name="ハイパーリンク" xfId="1203" builtinId="8" hidden="1"/>
    <cellStyle name="ハイパーリンク" xfId="1205" builtinId="8" hidden="1"/>
    <cellStyle name="ハイパーリンク" xfId="1207" builtinId="8" hidden="1"/>
    <cellStyle name="ハイパーリンク" xfId="1209" builtinId="8" hidden="1"/>
    <cellStyle name="ハイパーリンク" xfId="1211" builtinId="8" hidden="1"/>
    <cellStyle name="ハイパーリンク" xfId="1213" builtinId="8" hidden="1"/>
    <cellStyle name="ハイパーリンク" xfId="1215" builtinId="8" hidden="1"/>
    <cellStyle name="ハイパーリンク" xfId="1217" builtinId="8" hidden="1"/>
    <cellStyle name="ハイパーリンク" xfId="1219" builtinId="8" hidden="1"/>
    <cellStyle name="ハイパーリンク" xfId="1221" builtinId="8" hidden="1"/>
    <cellStyle name="ハイパーリンク" xfId="1223" builtinId="8" hidden="1"/>
    <cellStyle name="ハイパーリンク" xfId="1225" builtinId="8" hidden="1"/>
    <cellStyle name="ハイパーリンク" xfId="1227" builtinId="8" hidden="1"/>
    <cellStyle name="ハイパーリンク" xfId="1229" builtinId="8" hidden="1"/>
    <cellStyle name="ハイパーリンク" xfId="1231" builtinId="8" hidden="1"/>
    <cellStyle name="ハイパーリンク" xfId="1233" builtinId="8" hidden="1"/>
    <cellStyle name="ハイパーリンク" xfId="1235" builtinId="8" hidden="1"/>
    <cellStyle name="ハイパーリンク" xfId="1237" builtinId="8" hidden="1"/>
    <cellStyle name="ハイパーリンク" xfId="1239" builtinId="8" hidden="1"/>
    <cellStyle name="ハイパーリンク" xfId="1241" builtinId="8" hidden="1"/>
    <cellStyle name="ハイパーリンク" xfId="1243" builtinId="8" hidden="1"/>
    <cellStyle name="ハイパーリンク" xfId="1245" builtinId="8" hidden="1"/>
    <cellStyle name="ハイパーリンク" xfId="1247" builtinId="8" hidden="1"/>
    <cellStyle name="ハイパーリンク" xfId="1249" builtinId="8" hidden="1"/>
    <cellStyle name="ハイパーリンク" xfId="1251" builtinId="8" hidden="1"/>
    <cellStyle name="ハイパーリンク" xfId="1253" builtinId="8" hidden="1"/>
    <cellStyle name="ハイパーリンク" xfId="1255" builtinId="8" hidden="1"/>
    <cellStyle name="ハイパーリンク" xfId="1257" builtinId="8" hidden="1"/>
    <cellStyle name="ハイパーリンク" xfId="1259" builtinId="8" hidden="1"/>
    <cellStyle name="ハイパーリンク" xfId="1261" builtinId="8" hidden="1"/>
    <cellStyle name="ハイパーリンク" xfId="1263" builtinId="8" hidden="1"/>
    <cellStyle name="ハイパーリンク" xfId="1265" builtinId="8" hidden="1"/>
    <cellStyle name="ハイパーリンク" xfId="1267" builtinId="8" hidden="1"/>
    <cellStyle name="ハイパーリンク" xfId="1269" builtinId="8" hidden="1"/>
    <cellStyle name="ハイパーリンク" xfId="1271" builtinId="8" hidden="1"/>
    <cellStyle name="ハイパーリンク" xfId="1273" builtinId="8" hidden="1"/>
    <cellStyle name="ハイパーリンク" xfId="1275" builtinId="8" hidden="1"/>
    <cellStyle name="ハイパーリンク" xfId="1277" builtinId="8" hidden="1"/>
    <cellStyle name="ハイパーリンク" xfId="1279" builtinId="8" hidden="1"/>
    <cellStyle name="ハイパーリンク" xfId="1281" builtinId="8" hidden="1"/>
    <cellStyle name="ハイパーリンク" xfId="1283" builtinId="8" hidden="1"/>
    <cellStyle name="ハイパーリンク" xfId="1285" builtinId="8" hidden="1"/>
    <cellStyle name="ハイパーリンク" xfId="1287" builtinId="8" hidden="1"/>
    <cellStyle name="ハイパーリンク" xfId="1289" builtinId="8" hidden="1"/>
    <cellStyle name="ハイパーリンク" xfId="1291" builtinId="8" hidden="1"/>
    <cellStyle name="ハイパーリンク" xfId="1293" builtinId="8" hidden="1"/>
    <cellStyle name="ハイパーリンク" xfId="1295" builtinId="8" hidden="1"/>
    <cellStyle name="ハイパーリンク" xfId="1297" builtinId="8" hidden="1"/>
    <cellStyle name="ハイパーリンク" xfId="1299" builtinId="8" hidden="1"/>
    <cellStyle name="ハイパーリンク" xfId="1301" builtinId="8" hidden="1"/>
    <cellStyle name="ハイパーリンク" xfId="1303" builtinId="8" hidden="1"/>
    <cellStyle name="ハイパーリンク" xfId="1305" builtinId="8" hidden="1"/>
    <cellStyle name="ハイパーリンク" xfId="1307" builtinId="8" hidden="1"/>
    <cellStyle name="ハイパーリンク" xfId="1309" builtinId="8" hidden="1"/>
    <cellStyle name="ハイパーリンク" xfId="1311" builtinId="8" hidden="1"/>
    <cellStyle name="ハイパーリンク" xfId="1313" builtinId="8" hidden="1"/>
    <cellStyle name="ハイパーリンク" xfId="1315" builtinId="8" hidden="1"/>
    <cellStyle name="ハイパーリンク" xfId="1317" builtinId="8" hidden="1"/>
    <cellStyle name="ハイパーリンク" xfId="1319" builtinId="8" hidden="1"/>
    <cellStyle name="ハイパーリンク" xfId="1321" builtinId="8" hidden="1"/>
    <cellStyle name="ハイパーリンク" xfId="1323" builtinId="8" hidden="1"/>
    <cellStyle name="ハイパーリンク" xfId="1325" builtinId="8" hidden="1"/>
    <cellStyle name="ハイパーリンク" xfId="1327" builtinId="8" hidden="1"/>
    <cellStyle name="ハイパーリンク" xfId="1329" builtinId="8" hidden="1"/>
    <cellStyle name="ハイパーリンク" xfId="1331" builtinId="8" hidden="1"/>
    <cellStyle name="ハイパーリンク" xfId="1333" builtinId="8" hidden="1"/>
    <cellStyle name="ハイパーリンク" xfId="1335" builtinId="8" hidden="1"/>
    <cellStyle name="ハイパーリンク" xfId="1337" builtinId="8" hidden="1"/>
    <cellStyle name="ハイパーリンク" xfId="1339" builtinId="8" hidden="1"/>
    <cellStyle name="ハイパーリンク" xfId="1341" builtinId="8" hidden="1"/>
    <cellStyle name="ハイパーリンク" xfId="1343" builtinId="8" hidden="1"/>
    <cellStyle name="ハイパーリンク" xfId="1345" builtinId="8" hidden="1"/>
    <cellStyle name="ハイパーリンク" xfId="1347" builtinId="8" hidden="1"/>
    <cellStyle name="ハイパーリンク" xfId="1349" builtinId="8" hidden="1"/>
    <cellStyle name="ハイパーリンク" xfId="1351" builtinId="8" hidden="1"/>
    <cellStyle name="ハイパーリンク" xfId="1353" builtinId="8" hidden="1"/>
    <cellStyle name="ハイパーリンク" xfId="1355" builtinId="8" hidden="1"/>
    <cellStyle name="ハイパーリンク" xfId="1357" builtinId="8" hidden="1"/>
    <cellStyle name="ハイパーリンク" xfId="1359" builtinId="8" hidden="1"/>
    <cellStyle name="ハイパーリンク" xfId="1361" builtinId="8" hidden="1"/>
    <cellStyle name="ハイパーリンク" xfId="1363" builtinId="8" hidden="1"/>
    <cellStyle name="ハイパーリンク" xfId="1365" builtinId="8" hidden="1"/>
    <cellStyle name="ハイパーリンク" xfId="1367" builtinId="8" hidden="1"/>
    <cellStyle name="ハイパーリンク" xfId="1369" builtinId="8" hidden="1"/>
    <cellStyle name="ハイパーリンク" xfId="1371" builtinId="8" hidden="1"/>
    <cellStyle name="ハイパーリンク" xfId="1373" builtinId="8" hidden="1"/>
    <cellStyle name="ハイパーリンク" xfId="1375" builtinId="8" hidden="1"/>
    <cellStyle name="ハイパーリンク" xfId="1377" builtinId="8" hidden="1"/>
    <cellStyle name="ハイパーリンク" xfId="1379" builtinId="8" hidden="1"/>
    <cellStyle name="ハイパーリンク" xfId="1381" builtinId="8" hidden="1"/>
    <cellStyle name="ハイパーリンク" xfId="1383" builtinId="8" hidden="1"/>
    <cellStyle name="ハイパーリンク" xfId="1385" builtinId="8" hidden="1"/>
    <cellStyle name="ハイパーリンク" xfId="1387" builtinId="8" hidden="1"/>
    <cellStyle name="ハイパーリンク" xfId="1389" builtinId="8" hidden="1"/>
    <cellStyle name="ハイパーリンク" xfId="1391" builtinId="8" hidden="1"/>
    <cellStyle name="ハイパーリンク" xfId="1393" builtinId="8" hidden="1"/>
    <cellStyle name="ハイパーリンク" xfId="1395" builtinId="8" hidden="1"/>
    <cellStyle name="ハイパーリンク" xfId="1397" builtinId="8" hidden="1"/>
    <cellStyle name="ハイパーリンク" xfId="1399" builtinId="8" hidden="1"/>
    <cellStyle name="ハイパーリンク" xfId="1401" builtinId="8" hidden="1"/>
    <cellStyle name="ハイパーリンク" xfId="1403" builtinId="8" hidden="1"/>
    <cellStyle name="ハイパーリンク" xfId="1405" builtinId="8" hidden="1"/>
    <cellStyle name="ハイパーリンク" xfId="1407" builtinId="8" hidden="1"/>
    <cellStyle name="ハイパーリンク" xfId="1409" builtinId="8" hidden="1"/>
    <cellStyle name="ハイパーリンク" xfId="1411" builtinId="8" hidden="1"/>
    <cellStyle name="ハイパーリンク" xfId="1413" builtinId="8" hidden="1"/>
    <cellStyle name="ハイパーリンク" xfId="1415" builtinId="8" hidden="1"/>
    <cellStyle name="ハイパーリンク" xfId="1417" builtinId="8" hidden="1"/>
    <cellStyle name="ハイパーリンク" xfId="1419" builtinId="8" hidden="1"/>
    <cellStyle name="ハイパーリンク" xfId="1421" builtinId="8" hidden="1"/>
    <cellStyle name="ハイパーリンク" xfId="1423" builtinId="8" hidden="1"/>
    <cellStyle name="ハイパーリンク" xfId="1425" builtinId="8" hidden="1"/>
    <cellStyle name="ハイパーリンク" xfId="1427" builtinId="8" hidden="1"/>
    <cellStyle name="ハイパーリンク" xfId="1429" builtinId="8" hidden="1"/>
    <cellStyle name="ハイパーリンク" xfId="1431" builtinId="8" hidden="1"/>
    <cellStyle name="ハイパーリンク" xfId="1433" builtinId="8" hidden="1"/>
    <cellStyle name="ハイパーリンク" xfId="1435" builtinId="8" hidden="1"/>
    <cellStyle name="ハイパーリンク" xfId="1437" builtinId="8" hidden="1"/>
    <cellStyle name="ハイパーリンク" xfId="1439" builtinId="8" hidden="1"/>
    <cellStyle name="ハイパーリンク" xfId="1441" builtinId="8" hidden="1"/>
    <cellStyle name="ハイパーリンク" xfId="1443" builtinId="8" hidden="1"/>
    <cellStyle name="ハイパーリンク" xfId="1445" builtinId="8" hidden="1"/>
    <cellStyle name="ハイパーリンク" xfId="1447" builtinId="8" hidden="1"/>
    <cellStyle name="ハイパーリンク" xfId="1449" builtinId="8" hidden="1"/>
    <cellStyle name="ハイパーリンク" xfId="1451" builtinId="8" hidden="1"/>
    <cellStyle name="ハイパーリンク" xfId="1453" builtinId="8" hidden="1"/>
    <cellStyle name="ハイパーリンク" xfId="1455" builtinId="8" hidden="1"/>
    <cellStyle name="ハイパーリンク" xfId="1457" builtinId="8" hidden="1"/>
    <cellStyle name="ハイパーリンク" xfId="1459" builtinId="8" hidden="1"/>
    <cellStyle name="ハイパーリンク" xfId="1461" builtinId="8" hidden="1"/>
    <cellStyle name="ハイパーリンク" xfId="1463" builtinId="8" hidden="1"/>
    <cellStyle name="ハイパーリンク" xfId="1465" builtinId="8" hidden="1"/>
    <cellStyle name="ハイパーリンク" xfId="1467" builtinId="8" hidden="1"/>
    <cellStyle name="ハイパーリンク" xfId="1469" builtinId="8" hidden="1"/>
    <cellStyle name="ハイパーリンク" xfId="1471" builtinId="8" hidden="1"/>
    <cellStyle name="ハイパーリンク" xfId="1473" builtinId="8" hidden="1"/>
    <cellStyle name="ハイパーリンク" xfId="1475" builtinId="8" hidden="1"/>
    <cellStyle name="ハイパーリンク" xfId="1477" builtinId="8" hidden="1"/>
    <cellStyle name="ハイパーリンク" xfId="1479" builtinId="8" hidden="1"/>
    <cellStyle name="ハイパーリンク" xfId="1481" builtinId="8" hidden="1"/>
    <cellStyle name="ハイパーリンク" xfId="1483" builtinId="8" hidden="1"/>
    <cellStyle name="ハイパーリンク" xfId="1485" builtinId="8" hidden="1"/>
    <cellStyle name="ハイパーリンク" xfId="1487" builtinId="8" hidden="1"/>
    <cellStyle name="ハイパーリンク" xfId="1489" builtinId="8" hidden="1"/>
    <cellStyle name="ハイパーリンク" xfId="1491" builtinId="8" hidden="1"/>
    <cellStyle name="ハイパーリンク" xfId="1493" builtinId="8" hidden="1"/>
    <cellStyle name="ハイパーリンク" xfId="1495" builtinId="8" hidden="1"/>
    <cellStyle name="ハイパーリンク" xfId="1497" builtinId="8" hidden="1"/>
    <cellStyle name="ハイパーリンク" xfId="1499" builtinId="8" hidden="1"/>
    <cellStyle name="ハイパーリンク" xfId="1501" builtinId="8" hidden="1"/>
    <cellStyle name="ハイパーリンク" xfId="1503" builtinId="8" hidden="1"/>
    <cellStyle name="ハイパーリンク" xfId="1505" builtinId="8" hidden="1"/>
    <cellStyle name="ハイパーリンク" xfId="1507" builtinId="8" hidden="1"/>
    <cellStyle name="ハイパーリンク" xfId="1509" builtinId="8" hidden="1"/>
    <cellStyle name="ハイパーリンク" xfId="1511" builtinId="8" hidden="1"/>
    <cellStyle name="ハイパーリンク" xfId="1513" builtinId="8" hidden="1"/>
    <cellStyle name="ハイパーリンク" xfId="1515" builtinId="8" hidden="1"/>
    <cellStyle name="ハイパーリンク" xfId="1517" builtinId="8" hidden="1"/>
    <cellStyle name="ハイパーリンク" xfId="1519" builtinId="8" hidden="1"/>
    <cellStyle name="ハイパーリンク" xfId="1521" builtinId="8" hidden="1"/>
    <cellStyle name="ハイパーリンク" xfId="1523" builtinId="8" hidden="1"/>
    <cellStyle name="ハイパーリンク" xfId="1525" builtinId="8" hidden="1"/>
    <cellStyle name="ハイパーリンク" xfId="1527" builtinId="8" hidden="1"/>
    <cellStyle name="ハイパーリンク" xfId="1529" builtinId="8" hidden="1"/>
    <cellStyle name="ハイパーリンク" xfId="1531" builtinId="8" hidden="1"/>
    <cellStyle name="ハイパーリンク" xfId="1533" builtinId="8" hidden="1"/>
    <cellStyle name="ハイパーリンク" xfId="1535" builtinId="8" hidden="1"/>
    <cellStyle name="ハイパーリンク" xfId="1537" builtinId="8" hidden="1"/>
    <cellStyle name="ハイパーリンク" xfId="1539" builtinId="8" hidden="1"/>
    <cellStyle name="ハイパーリンク" xfId="1541" builtinId="8" hidden="1"/>
    <cellStyle name="ハイパーリンク" xfId="1543" builtinId="8" hidden="1"/>
    <cellStyle name="ハイパーリンク" xfId="1545" builtinId="8" hidden="1"/>
    <cellStyle name="ハイパーリンク" xfId="1547" builtinId="8" hidden="1"/>
    <cellStyle name="ハイパーリンク" xfId="1549" builtinId="8" hidden="1"/>
    <cellStyle name="ハイパーリンク" xfId="1551" builtinId="8" hidden="1"/>
    <cellStyle name="ハイパーリンク" xfId="1553" builtinId="8" hidden="1"/>
    <cellStyle name="ハイパーリンク" xfId="1555" builtinId="8" hidden="1"/>
    <cellStyle name="ハイパーリンク" xfId="1557" builtinId="8" hidden="1"/>
    <cellStyle name="ハイパーリンク" xfId="1559" builtinId="8" hidden="1"/>
    <cellStyle name="ハイパーリンク" xfId="1561" builtinId="8" hidden="1"/>
    <cellStyle name="ハイパーリンク" xfId="1563" builtinId="8" hidden="1"/>
    <cellStyle name="ハイパーリンク" xfId="1565" builtinId="8" hidden="1"/>
    <cellStyle name="ハイパーリンク" xfId="1567" builtinId="8" hidden="1"/>
    <cellStyle name="ハイパーリンク" xfId="1569" builtinId="8" hidden="1"/>
    <cellStyle name="ハイパーリンク" xfId="1571" builtinId="8" hidden="1"/>
    <cellStyle name="ハイパーリンク" xfId="1573" builtinId="8" hidden="1"/>
    <cellStyle name="ハイパーリンク" xfId="1575" builtinId="8" hidden="1"/>
    <cellStyle name="ハイパーリンク" xfId="1577" builtinId="8" hidden="1"/>
    <cellStyle name="ハイパーリンク" xfId="1579" builtinId="8" hidden="1"/>
    <cellStyle name="ハイパーリンク" xfId="1581" builtinId="8" hidden="1"/>
    <cellStyle name="ハイパーリンク" xfId="1583" builtinId="8" hidden="1"/>
    <cellStyle name="ハイパーリンク" xfId="1585" builtinId="8" hidden="1"/>
    <cellStyle name="ハイパーリンク" xfId="1587" builtinId="8" hidden="1"/>
    <cellStyle name="ハイパーリンク" xfId="1589" builtinId="8" hidden="1"/>
    <cellStyle name="ハイパーリンク" xfId="1591" builtinId="8" hidden="1"/>
    <cellStyle name="ハイパーリンク" xfId="1593" builtinId="8" hidden="1"/>
    <cellStyle name="ハイパーリンク" xfId="1595" builtinId="8" hidden="1"/>
    <cellStyle name="ハイパーリンク" xfId="1597" builtinId="8" hidden="1"/>
    <cellStyle name="ハイパーリンク" xfId="1599" builtinId="8" hidden="1"/>
    <cellStyle name="ハイパーリンク" xfId="1601" builtinId="8" hidden="1"/>
    <cellStyle name="ハイパーリンク" xfId="1603" builtinId="8" hidden="1"/>
    <cellStyle name="ハイパーリンク" xfId="1605" builtinId="8" hidden="1"/>
    <cellStyle name="ハイパーリンク" xfId="1607" builtinId="8" hidden="1"/>
    <cellStyle name="ハイパーリンク" xfId="1609" builtinId="8" hidden="1"/>
    <cellStyle name="ハイパーリンク" xfId="1611" builtinId="8" hidden="1"/>
    <cellStyle name="ハイパーリンク" xfId="1613" builtinId="8" hidden="1"/>
    <cellStyle name="ハイパーリンク" xfId="1615" builtinId="8" hidden="1"/>
    <cellStyle name="ハイパーリンク" xfId="1617" builtinId="8" hidden="1"/>
    <cellStyle name="ハイパーリンク" xfId="1619" builtinId="8" hidden="1"/>
    <cellStyle name="ハイパーリンク" xfId="1621" builtinId="8" hidden="1"/>
    <cellStyle name="ハイパーリンク" xfId="1623" builtinId="8" hidden="1"/>
    <cellStyle name="ハイパーリンク" xfId="1625" builtinId="8" hidden="1"/>
    <cellStyle name="ハイパーリンク" xfId="1627" builtinId="8" hidden="1"/>
    <cellStyle name="ハイパーリンク" xfId="1629" builtinId="8" hidden="1"/>
    <cellStyle name="ハイパーリンク" xfId="1631" builtinId="8" hidden="1"/>
    <cellStyle name="ハイパーリンク" xfId="1633" builtinId="8" hidden="1"/>
    <cellStyle name="ハイパーリンク" xfId="1635" builtinId="8" hidden="1"/>
    <cellStyle name="ハイパーリンク" xfId="1637" builtinId="8" hidden="1"/>
    <cellStyle name="ハイパーリンク" xfId="1639" builtinId="8" hidden="1"/>
    <cellStyle name="ハイパーリンク" xfId="1641" builtinId="8" hidden="1"/>
    <cellStyle name="ハイパーリンク" xfId="1643" builtinId="8" hidden="1"/>
    <cellStyle name="ハイパーリンク" xfId="1645" builtinId="8" hidden="1"/>
    <cellStyle name="ハイパーリンク" xfId="1647" builtinId="8" hidden="1"/>
    <cellStyle name="ハイパーリンク" xfId="1649" builtinId="8" hidden="1"/>
    <cellStyle name="ハイパーリンク" xfId="1651" builtinId="8" hidden="1"/>
    <cellStyle name="ハイパーリンク" xfId="1653" builtinId="8" hidden="1"/>
    <cellStyle name="ハイパーリンク" xfId="1655" builtinId="8" hidden="1"/>
    <cellStyle name="ハイパーリンク" xfId="1657" builtinId="8" hidden="1"/>
    <cellStyle name="ハイパーリンク" xfId="1659" builtinId="8" hidden="1"/>
    <cellStyle name="ハイパーリンク" xfId="1661" builtinId="8" hidden="1"/>
    <cellStyle name="ハイパーリンク" xfId="1663" builtinId="8" hidden="1"/>
    <cellStyle name="ハイパーリンク" xfId="1665" builtinId="8" hidden="1"/>
    <cellStyle name="ハイパーリンク" xfId="1667" builtinId="8" hidden="1"/>
    <cellStyle name="ハイパーリンク" xfId="1669" builtinId="8" hidden="1"/>
    <cellStyle name="ハイパーリンク" xfId="1671" builtinId="8" hidden="1"/>
    <cellStyle name="ハイパーリンク" xfId="1673" builtinId="8" hidden="1"/>
    <cellStyle name="ハイパーリンク" xfId="1675" builtinId="8" hidden="1"/>
    <cellStyle name="ハイパーリンク" xfId="1677" builtinId="8" hidden="1"/>
    <cellStyle name="ハイパーリンク" xfId="1679" builtinId="8" hidden="1"/>
    <cellStyle name="ハイパーリンク" xfId="1681" builtinId="8" hidden="1"/>
    <cellStyle name="ハイパーリンク" xfId="1683" builtinId="8" hidden="1"/>
    <cellStyle name="ハイパーリンク" xfId="1685" builtinId="8" hidden="1"/>
    <cellStyle name="ハイパーリンク" xfId="1687" builtinId="8" hidden="1"/>
    <cellStyle name="ハイパーリンク" xfId="1689" builtinId="8" hidden="1"/>
    <cellStyle name="ハイパーリンク" xfId="1691" builtinId="8" hidden="1"/>
    <cellStyle name="ハイパーリンク" xfId="1693" builtinId="8" hidden="1"/>
    <cellStyle name="ハイパーリンク" xfId="1695" builtinId="8" hidden="1"/>
    <cellStyle name="ハイパーリンク" xfId="1697" builtinId="8" hidden="1"/>
    <cellStyle name="ハイパーリンク" xfId="1699" builtinId="8" hidden="1"/>
    <cellStyle name="ハイパーリンク" xfId="1701" builtinId="8" hidden="1"/>
    <cellStyle name="ハイパーリンク" xfId="1703" builtinId="8" hidden="1"/>
    <cellStyle name="ハイパーリンク" xfId="1705" builtinId="8" hidden="1"/>
    <cellStyle name="ハイパーリンク" xfId="1707" builtinId="8" hidden="1"/>
    <cellStyle name="ハイパーリンク" xfId="1709" builtinId="8" hidden="1"/>
    <cellStyle name="ハイパーリンク" xfId="1711" builtinId="8" hidden="1"/>
    <cellStyle name="ハイパーリンク" xfId="1713" builtinId="8" hidden="1"/>
    <cellStyle name="ハイパーリンク" xfId="1715" builtinId="8" hidden="1"/>
    <cellStyle name="ハイパーリンク" xfId="1717" builtinId="8" hidden="1"/>
    <cellStyle name="ハイパーリンク" xfId="1719" builtinId="8" hidden="1"/>
    <cellStyle name="ハイパーリンク" xfId="1721" builtinId="8" hidden="1"/>
    <cellStyle name="ハイパーリンク" xfId="1723" builtinId="8" hidden="1"/>
    <cellStyle name="ハイパーリンク" xfId="1725" builtinId="8" hidden="1"/>
    <cellStyle name="ハイパーリンク" xfId="1727" builtinId="8" hidden="1"/>
    <cellStyle name="ハイパーリンク" xfId="1729" builtinId="8" hidden="1"/>
    <cellStyle name="ハイパーリンク" xfId="1731" builtinId="8" hidden="1"/>
    <cellStyle name="ハイパーリンク" xfId="1733" builtinId="8" hidden="1"/>
    <cellStyle name="ハイパーリンク" xfId="1735" builtinId="8" hidden="1"/>
    <cellStyle name="ハイパーリンク" xfId="1737" builtinId="8" hidden="1"/>
    <cellStyle name="ハイパーリンク" xfId="1739" builtinId="8" hidden="1"/>
    <cellStyle name="ハイパーリンク" xfId="1741" builtinId="8" hidden="1"/>
    <cellStyle name="ハイパーリンク" xfId="1743" builtinId="8" hidden="1"/>
    <cellStyle name="ハイパーリンク" xfId="1745" builtinId="8" hidden="1"/>
    <cellStyle name="ハイパーリンク" xfId="1747" builtinId="8" hidden="1"/>
    <cellStyle name="ハイパーリンク" xfId="1749" builtinId="8" hidden="1"/>
    <cellStyle name="ハイパーリンク" xfId="1751" builtinId="8" hidden="1"/>
    <cellStyle name="ハイパーリンク" xfId="1753" builtinId="8" hidden="1"/>
    <cellStyle name="ハイパーリンク" xfId="1755" builtinId="8" hidden="1"/>
    <cellStyle name="ハイパーリンク" xfId="1757" builtinId="8" hidden="1"/>
    <cellStyle name="ハイパーリンク" xfId="1759" builtinId="8" hidden="1"/>
    <cellStyle name="ハイパーリンク" xfId="1761" builtinId="8" hidden="1"/>
    <cellStyle name="ハイパーリンク" xfId="1763" builtinId="8" hidden="1"/>
    <cellStyle name="ハイパーリンク" xfId="1765" builtinId="8" hidden="1"/>
    <cellStyle name="ハイパーリンク" xfId="1767" builtinId="8" hidden="1"/>
    <cellStyle name="ハイパーリンク" xfId="1769" builtinId="8" hidden="1"/>
    <cellStyle name="ハイパーリンク" xfId="1771" builtinId="8" hidden="1"/>
    <cellStyle name="ハイパーリンク" xfId="1773" builtinId="8" hidden="1"/>
    <cellStyle name="ハイパーリンク" xfId="1775" builtinId="8" hidden="1"/>
    <cellStyle name="ハイパーリンク" xfId="1777" builtinId="8" hidden="1"/>
    <cellStyle name="ハイパーリンク" xfId="1779" builtinId="8" hidden="1"/>
    <cellStyle name="ハイパーリンク" xfId="1781" builtinId="8" hidden="1"/>
    <cellStyle name="ハイパーリンク" xfId="1783" builtinId="8" hidden="1"/>
    <cellStyle name="ハイパーリンク" xfId="1785" builtinId="8" hidden="1"/>
    <cellStyle name="ハイパーリンク" xfId="1787" builtinId="8" hidden="1"/>
    <cellStyle name="ハイパーリンク" xfId="1789" builtinId="8" hidden="1"/>
    <cellStyle name="ハイパーリンク" xfId="1791" builtinId="8" hidden="1"/>
    <cellStyle name="ハイパーリンク" xfId="1793" builtinId="8" hidden="1"/>
    <cellStyle name="ハイパーリンク" xfId="1795" builtinId="8" hidden="1"/>
    <cellStyle name="ハイパーリンク" xfId="1797" builtinId="8" hidden="1"/>
    <cellStyle name="ハイパーリンク" xfId="1799" builtinId="8" hidden="1"/>
    <cellStyle name="ハイパーリンク" xfId="1801" builtinId="8" hidden="1"/>
    <cellStyle name="ハイパーリンク" xfId="1803" builtinId="8" hidden="1"/>
    <cellStyle name="ハイパーリンク" xfId="1805" builtinId="8" hidden="1"/>
    <cellStyle name="ハイパーリンク" xfId="1807" builtinId="8" hidden="1"/>
    <cellStyle name="ハイパーリンク" xfId="1809" builtinId="8" hidden="1"/>
    <cellStyle name="ハイパーリンク" xfId="1811" builtinId="8" hidden="1"/>
    <cellStyle name="ハイパーリンク" xfId="1813" builtinId="8" hidden="1"/>
    <cellStyle name="ハイパーリンク" xfId="1815" builtinId="8" hidden="1"/>
    <cellStyle name="ハイパーリンク" xfId="1817" builtinId="8" hidden="1"/>
    <cellStyle name="ハイパーリンク" xfId="1819" builtinId="8" hidden="1"/>
    <cellStyle name="ハイパーリンク" xfId="1821" builtinId="8" hidden="1"/>
    <cellStyle name="ハイパーリンク" xfId="1823" builtinId="8" hidden="1"/>
    <cellStyle name="ハイパーリンク" xfId="1825" builtinId="8" hidden="1"/>
    <cellStyle name="ハイパーリンク" xfId="1827" builtinId="8" hidden="1"/>
    <cellStyle name="ハイパーリンク" xfId="1829" builtinId="8" hidden="1"/>
    <cellStyle name="ハイパーリンク" xfId="1831" builtinId="8" hidden="1"/>
    <cellStyle name="ハイパーリンク" xfId="1833" builtinId="8" hidden="1"/>
    <cellStyle name="ハイパーリンク" xfId="1835" builtinId="8" hidden="1"/>
    <cellStyle name="ハイパーリンク" xfId="1837" builtinId="8" hidden="1"/>
    <cellStyle name="ハイパーリンク" xfId="1839" builtinId="8" hidden="1"/>
    <cellStyle name="ハイパーリンク" xfId="1841" builtinId="8" hidden="1"/>
    <cellStyle name="ハイパーリンク" xfId="1843" builtinId="8" hidden="1"/>
    <cellStyle name="ハイパーリンク" xfId="1845" builtinId="8" hidden="1"/>
    <cellStyle name="ハイパーリンク" xfId="1847" builtinId="8" hidden="1"/>
    <cellStyle name="ハイパーリンク" xfId="1849" builtinId="8" hidden="1"/>
    <cellStyle name="ハイパーリンク" xfId="1851" builtinId="8" hidden="1"/>
    <cellStyle name="ハイパーリンク" xfId="1853" builtinId="8" hidden="1"/>
    <cellStyle name="ハイパーリンク" xfId="1855" builtinId="8" hidden="1"/>
    <cellStyle name="ハイパーリンク" xfId="1857" builtinId="8" hidden="1"/>
    <cellStyle name="ハイパーリンク" xfId="1859" builtinId="8" hidden="1"/>
    <cellStyle name="ハイパーリンク" xfId="1861" builtinId="8" hidden="1"/>
    <cellStyle name="ハイパーリンク" xfId="1863" builtinId="8" hidden="1"/>
    <cellStyle name="ハイパーリンク" xfId="1865" builtinId="8" hidden="1"/>
    <cellStyle name="ハイパーリンク" xfId="1867" builtinId="8" hidden="1"/>
    <cellStyle name="ハイパーリンク" xfId="1869" builtinId="8" hidden="1"/>
    <cellStyle name="ハイパーリンク" xfId="1871" builtinId="8" hidden="1"/>
    <cellStyle name="ハイパーリンク" xfId="1873" builtinId="8" hidden="1"/>
    <cellStyle name="ハイパーリンク" xfId="1875" builtinId="8" hidden="1"/>
    <cellStyle name="ハイパーリンク" xfId="1877" builtinId="8" hidden="1"/>
    <cellStyle name="ハイパーリンク" xfId="1879" builtinId="8" hidden="1"/>
    <cellStyle name="ハイパーリンク" xfId="1881" builtinId="8" hidden="1"/>
    <cellStyle name="ハイパーリンク" xfId="1883" builtinId="8" hidden="1"/>
    <cellStyle name="ハイパーリンク" xfId="1885" builtinId="8" hidden="1"/>
    <cellStyle name="ハイパーリンク" xfId="1887" builtinId="8" hidden="1"/>
    <cellStyle name="ハイパーリンク" xfId="1889" builtinId="8" hidden="1"/>
    <cellStyle name="ハイパーリンク" xfId="1891" builtinId="8" hidden="1"/>
    <cellStyle name="ハイパーリンク" xfId="1893" builtinId="8" hidden="1"/>
    <cellStyle name="ハイパーリンク" xfId="1895" builtinId="8" hidden="1"/>
    <cellStyle name="ハイパーリンク" xfId="1897" builtinId="8" hidden="1"/>
    <cellStyle name="ハイパーリンク" xfId="1899" builtinId="8" hidden="1"/>
    <cellStyle name="ハイパーリンク" xfId="1901" builtinId="8" hidden="1"/>
    <cellStyle name="ハイパーリンク" xfId="1903" builtinId="8" hidden="1"/>
    <cellStyle name="ハイパーリンク" xfId="1905" builtinId="8" hidden="1"/>
    <cellStyle name="ハイパーリンク" xfId="1907" builtinId="8" hidden="1"/>
    <cellStyle name="ハイパーリンク" xfId="1909" builtinId="8" hidden="1"/>
    <cellStyle name="ハイパーリンク" xfId="1911" builtinId="8" hidden="1"/>
    <cellStyle name="ハイパーリンク" xfId="1913" builtinId="8" hidden="1"/>
    <cellStyle name="ハイパーリンク" xfId="1915" builtinId="8" hidden="1"/>
    <cellStyle name="ハイパーリンク" xfId="1917" builtinId="8" hidden="1"/>
    <cellStyle name="ハイパーリンク" xfId="1919" builtinId="8" hidden="1"/>
    <cellStyle name="ハイパーリンク" xfId="1921" builtinId="8" hidden="1"/>
    <cellStyle name="ハイパーリンク" xfId="1923" builtinId="8" hidden="1"/>
    <cellStyle name="ハイパーリンク" xfId="1925" builtinId="8" hidden="1"/>
    <cellStyle name="ハイパーリンク" xfId="1927" builtinId="8" hidden="1"/>
    <cellStyle name="ハイパーリンク" xfId="1929" builtinId="8" hidden="1"/>
    <cellStyle name="ハイパーリンク" xfId="1931" builtinId="8" hidden="1"/>
    <cellStyle name="ハイパーリンク" xfId="1933" builtinId="8" hidden="1"/>
    <cellStyle name="ハイパーリンク" xfId="1935" builtinId="8" hidden="1"/>
    <cellStyle name="ハイパーリンク" xfId="1937" builtinId="8" hidden="1"/>
    <cellStyle name="ハイパーリンク" xfId="1939" builtinId="8" hidden="1"/>
    <cellStyle name="ハイパーリンク" xfId="1941" builtinId="8" hidden="1"/>
    <cellStyle name="ハイパーリンク" xfId="1943" builtinId="8" hidden="1"/>
    <cellStyle name="ハイパーリンク" xfId="1945" builtinId="8" hidden="1"/>
    <cellStyle name="ハイパーリンク" xfId="1947" builtinId="8" hidden="1"/>
    <cellStyle name="ハイパーリンク" xfId="1949" builtinId="8" hidden="1"/>
    <cellStyle name="ハイパーリンク" xfId="1951" builtinId="8" hidden="1"/>
    <cellStyle name="ハイパーリンク" xfId="1953" builtinId="8" hidden="1"/>
    <cellStyle name="ハイパーリンク" xfId="1955" builtinId="8" hidden="1"/>
    <cellStyle name="ハイパーリンク" xfId="1957" builtinId="8" hidden="1"/>
    <cellStyle name="ハイパーリンク" xfId="1959" builtinId="8" hidden="1"/>
    <cellStyle name="ハイパーリンク" xfId="1961" builtinId="8" hidden="1"/>
    <cellStyle name="ハイパーリンク" xfId="1963" builtinId="8" hidden="1"/>
    <cellStyle name="ハイパーリンク" xfId="1965" builtinId="8" hidden="1"/>
    <cellStyle name="ハイパーリンク" xfId="1967" builtinId="8" hidden="1"/>
    <cellStyle name="ハイパーリンク" xfId="1969" builtinId="8" hidden="1"/>
    <cellStyle name="ハイパーリンク" xfId="1971" builtinId="8" hidden="1"/>
    <cellStyle name="ハイパーリンク" xfId="1973" builtinId="8" hidden="1"/>
    <cellStyle name="ハイパーリンク" xfId="1975" builtinId="8" hidden="1"/>
    <cellStyle name="ハイパーリンク" xfId="1977" builtinId="8" hidden="1"/>
    <cellStyle name="ハイパーリンク" xfId="1979" builtinId="8" hidden="1"/>
    <cellStyle name="ハイパーリンク" xfId="1981" builtinId="8" hidden="1"/>
    <cellStyle name="ハイパーリンク" xfId="1983" builtinId="8" hidden="1"/>
    <cellStyle name="ハイパーリンク" xfId="1985" builtinId="8" hidden="1"/>
    <cellStyle name="ハイパーリンク" xfId="1987" builtinId="8" hidden="1"/>
    <cellStyle name="ハイパーリンク" xfId="1989" builtinId="8" hidden="1"/>
    <cellStyle name="ハイパーリンク" xfId="1991" builtinId="8" hidden="1"/>
    <cellStyle name="ハイパーリンク" xfId="1993" builtinId="8" hidden="1"/>
    <cellStyle name="ハイパーリンク" xfId="1995" builtinId="8" hidden="1"/>
    <cellStyle name="ハイパーリンク" xfId="1997" builtinId="8" hidden="1"/>
    <cellStyle name="ハイパーリンク" xfId="1999" builtinId="8" hidden="1"/>
    <cellStyle name="ハイパーリンク" xfId="2001" builtinId="8" hidden="1"/>
    <cellStyle name="ハイパーリンク" xfId="2003" builtinId="8" hidden="1"/>
    <cellStyle name="ハイパーリンク" xfId="2005" builtinId="8" hidden="1"/>
    <cellStyle name="ハイパーリンク" xfId="2007" builtinId="8" hidden="1"/>
    <cellStyle name="ハイパーリンク" xfId="2009" builtinId="8" hidden="1"/>
    <cellStyle name="ハイパーリンク" xfId="2011" builtinId="8" hidden="1"/>
    <cellStyle name="ハイパーリンク" xfId="2013" builtinId="8" hidden="1"/>
    <cellStyle name="ハイパーリンク" xfId="2015" builtinId="8" hidden="1"/>
    <cellStyle name="ハイパーリンク" xfId="2017" builtinId="8" hidden="1"/>
    <cellStyle name="ハイパーリンク" xfId="2019" builtinId="8" hidden="1"/>
    <cellStyle name="ハイパーリンク" xfId="2021" builtinId="8" hidden="1"/>
    <cellStyle name="ハイパーリンク" xfId="2023" builtinId="8" hidden="1"/>
    <cellStyle name="ハイパーリンク" xfId="2025" builtinId="8" hidden="1"/>
    <cellStyle name="ハイパーリンク" xfId="2027" builtinId="8" hidden="1"/>
    <cellStyle name="ハイパーリンク" xfId="2029" builtinId="8" hidden="1"/>
    <cellStyle name="ハイパーリンク" xfId="2031" builtinId="8" hidden="1"/>
    <cellStyle name="ハイパーリンク" xfId="2033" builtinId="8" hidden="1"/>
    <cellStyle name="ハイパーリンク" xfId="2035" builtinId="8" hidden="1"/>
    <cellStyle name="ハイパーリンク" xfId="2037" builtinId="8" hidden="1"/>
    <cellStyle name="ハイパーリンク" xfId="2039" builtinId="8" hidden="1"/>
    <cellStyle name="ハイパーリンク" xfId="2041" builtinId="8" hidden="1"/>
    <cellStyle name="ハイパーリンク" xfId="2043" builtinId="8" hidden="1"/>
    <cellStyle name="ハイパーリンク" xfId="2045" builtinId="8" hidden="1"/>
    <cellStyle name="ハイパーリンク" xfId="2047" builtinId="8" hidden="1"/>
    <cellStyle name="ハイパーリンク" xfId="2049" builtinId="8" hidden="1"/>
    <cellStyle name="ハイパーリンク" xfId="2051" builtinId="8" hidden="1"/>
    <cellStyle name="ハイパーリンク" xfId="2053" builtinId="8" hidden="1"/>
    <cellStyle name="ハイパーリンク" xfId="2055" builtinId="8" hidden="1"/>
    <cellStyle name="ハイパーリンク" xfId="2057" builtinId="8" hidden="1"/>
    <cellStyle name="ハイパーリンク" xfId="2059" builtinId="8" hidden="1"/>
    <cellStyle name="ハイパーリンク" xfId="2061" builtinId="8" hidden="1"/>
    <cellStyle name="ハイパーリンク" xfId="2063" builtinId="8" hidden="1"/>
    <cellStyle name="ハイパーリンク" xfId="2065" builtinId="8" hidden="1"/>
    <cellStyle name="ハイパーリンク" xfId="2067" builtinId="8" hidden="1"/>
    <cellStyle name="ハイパーリンク" xfId="2069" builtinId="8" hidden="1"/>
    <cellStyle name="ハイパーリンク" xfId="2071" builtinId="8" hidden="1"/>
    <cellStyle name="ハイパーリンク" xfId="2073" builtinId="8" hidden="1"/>
    <cellStyle name="ハイパーリンク" xfId="2075" builtinId="8" hidden="1"/>
    <cellStyle name="ハイパーリンク" xfId="2077" builtinId="8" hidden="1"/>
    <cellStyle name="ハイパーリンク" xfId="2079" builtinId="8" hidden="1"/>
    <cellStyle name="ハイパーリンク" xfId="2081" builtinId="8" hidden="1"/>
    <cellStyle name="ハイパーリンク" xfId="2083" builtinId="8" hidden="1"/>
    <cellStyle name="ハイパーリンク" xfId="2085" builtinId="8" hidden="1"/>
    <cellStyle name="ハイパーリンク" xfId="2087" builtinId="8" hidden="1"/>
    <cellStyle name="ハイパーリンク" xfId="2089" builtinId="8" hidden="1"/>
    <cellStyle name="ハイパーリンク" xfId="2091" builtinId="8" hidden="1"/>
    <cellStyle name="ハイパーリンク" xfId="2093" builtinId="8" hidden="1"/>
    <cellStyle name="ハイパーリンク" xfId="2095" builtinId="8" hidden="1"/>
    <cellStyle name="ハイパーリンク" xfId="2097" builtinId="8" hidden="1"/>
    <cellStyle name="ハイパーリンク" xfId="2099" builtinId="8" hidden="1"/>
    <cellStyle name="ハイパーリンク" xfId="2101" builtinId="8" hidden="1"/>
    <cellStyle name="ハイパーリンク" xfId="2103" builtinId="8" hidden="1"/>
    <cellStyle name="ハイパーリンク" xfId="2105" builtinId="8" hidden="1"/>
    <cellStyle name="ハイパーリンク" xfId="2107" builtinId="8" hidden="1"/>
    <cellStyle name="ハイパーリンク" xfId="2109" builtinId="8" hidden="1"/>
    <cellStyle name="ハイパーリンク" xfId="2111" builtinId="8" hidden="1"/>
    <cellStyle name="ハイパーリンク" xfId="2113" builtinId="8" hidden="1"/>
    <cellStyle name="ハイパーリンク" xfId="2115" builtinId="8" hidden="1"/>
    <cellStyle name="ハイパーリンク" xfId="2117" builtinId="8" hidden="1"/>
    <cellStyle name="ハイパーリンク" xfId="2119" builtinId="8" hidden="1"/>
    <cellStyle name="ハイパーリンク" xfId="2121" builtinId="8" hidden="1"/>
    <cellStyle name="ハイパーリンク" xfId="2123" builtinId="8" hidden="1"/>
    <cellStyle name="ハイパーリンク" xfId="2125" builtinId="8" hidden="1"/>
    <cellStyle name="ハイパーリンク" xfId="2127" builtinId="8" hidden="1"/>
    <cellStyle name="ハイパーリンク" xfId="2129" builtinId="8" hidden="1"/>
    <cellStyle name="ハイパーリンク" xfId="2131" builtinId="8" hidden="1"/>
    <cellStyle name="ハイパーリンク" xfId="2133" builtinId="8" hidden="1"/>
    <cellStyle name="ハイパーリンク" xfId="2135" builtinId="8" hidden="1"/>
    <cellStyle name="ハイパーリンク" xfId="2137" builtinId="8" hidden="1"/>
    <cellStyle name="ハイパーリンク" xfId="2139" builtinId="8" hidden="1"/>
    <cellStyle name="ハイパーリンク" xfId="2141" builtinId="8" hidden="1"/>
    <cellStyle name="ハイパーリンク" xfId="2143" builtinId="8" hidden="1"/>
    <cellStyle name="ハイパーリンク" xfId="2145" builtinId="8" hidden="1"/>
    <cellStyle name="ハイパーリンク" xfId="2147" builtinId="8" hidden="1"/>
    <cellStyle name="ハイパーリンク" xfId="2149" builtinId="8" hidden="1"/>
    <cellStyle name="ハイパーリンク" xfId="2151" builtinId="8" hidden="1"/>
    <cellStyle name="ハイパーリンク" xfId="2153" builtinId="8" hidden="1"/>
    <cellStyle name="ハイパーリンク" xfId="2155" builtinId="8" hidden="1"/>
    <cellStyle name="ハイパーリンク" xfId="2157" builtinId="8" hidden="1"/>
    <cellStyle name="ハイパーリンク" xfId="2159" builtinId="8" hidden="1"/>
    <cellStyle name="ハイパーリンク" xfId="2161" builtinId="8" hidden="1"/>
    <cellStyle name="ハイパーリンク" xfId="2163" builtinId="8" hidden="1"/>
    <cellStyle name="ハイパーリンク" xfId="2165" builtinId="8" hidden="1"/>
    <cellStyle name="ハイパーリンク" xfId="2167" builtinId="8" hidden="1"/>
    <cellStyle name="ハイパーリンク" xfId="2169" builtinId="8" hidden="1"/>
    <cellStyle name="ハイパーリンク" xfId="2171" builtinId="8" hidden="1"/>
    <cellStyle name="ハイパーリンク" xfId="2173" builtinId="8" hidden="1"/>
    <cellStyle name="ハイパーリンク" xfId="2175" builtinId="8" hidden="1"/>
    <cellStyle name="ハイパーリンク" xfId="2177" builtinId="8" hidden="1"/>
    <cellStyle name="ハイパーリンク" xfId="2179" builtinId="8" hidden="1"/>
    <cellStyle name="ハイパーリンク" xfId="2181" builtinId="8" hidden="1"/>
    <cellStyle name="ハイパーリンク" xfId="2183" builtinId="8" hidden="1"/>
    <cellStyle name="ハイパーリンク" xfId="2185" builtinId="8" hidden="1"/>
    <cellStyle name="ハイパーリンク" xfId="2187" builtinId="8" hidden="1"/>
    <cellStyle name="ハイパーリンク" xfId="2189" builtinId="8" hidden="1"/>
    <cellStyle name="ハイパーリンク" xfId="2191" builtinId="8" hidden="1"/>
    <cellStyle name="ハイパーリンク" xfId="2193" builtinId="8" hidden="1"/>
    <cellStyle name="ハイパーリンク" xfId="2195" builtinId="8" hidden="1"/>
    <cellStyle name="ハイパーリンク" xfId="2197" builtinId="8" hidden="1"/>
    <cellStyle name="ハイパーリンク" xfId="2199" builtinId="8" hidden="1"/>
    <cellStyle name="ハイパーリンク" xfId="2201" builtinId="8" hidden="1"/>
    <cellStyle name="ハイパーリンク" xfId="2203" builtinId="8" hidden="1"/>
    <cellStyle name="ハイパーリンク" xfId="2205" builtinId="8" hidden="1"/>
    <cellStyle name="ハイパーリンク" xfId="2207" builtinId="8" hidden="1"/>
    <cellStyle name="ハイパーリンク" xfId="2209" builtinId="8" hidden="1"/>
    <cellStyle name="ハイパーリンク" xfId="2211" builtinId="8" hidden="1"/>
    <cellStyle name="ハイパーリンク" xfId="2213" builtinId="8" hidden="1"/>
    <cellStyle name="ハイパーリンク" xfId="2215" builtinId="8" hidden="1"/>
    <cellStyle name="ハイパーリンク" xfId="2217" builtinId="8" hidden="1"/>
    <cellStyle name="ハイパーリンク" xfId="2219" builtinId="8" hidden="1"/>
    <cellStyle name="ハイパーリンク" xfId="2221" builtinId="8" hidden="1"/>
    <cellStyle name="ハイパーリンク" xfId="2223" builtinId="8" hidden="1"/>
    <cellStyle name="ハイパーリンク" xfId="2225" builtinId="8" hidden="1"/>
    <cellStyle name="ハイパーリンク" xfId="2227" builtinId="8" hidden="1"/>
    <cellStyle name="ハイパーリンク" xfId="2229" builtinId="8" hidden="1"/>
    <cellStyle name="ハイパーリンク" xfId="2231" builtinId="8" hidden="1"/>
    <cellStyle name="ハイパーリンク" xfId="2233" builtinId="8" hidden="1"/>
    <cellStyle name="ハイパーリンク" xfId="2235" builtinId="8" hidden="1"/>
    <cellStyle name="ハイパーリンク" xfId="2237" builtinId="8" hidden="1"/>
    <cellStyle name="ハイパーリンク" xfId="2239" builtinId="8" hidden="1"/>
    <cellStyle name="ハイパーリンク" xfId="2241" builtinId="8" hidden="1"/>
    <cellStyle name="ハイパーリンク" xfId="2243" builtinId="8" hidden="1"/>
    <cellStyle name="ハイパーリンク" xfId="2245" builtinId="8" hidden="1"/>
    <cellStyle name="ハイパーリンク" xfId="2247" builtinId="8" hidden="1"/>
    <cellStyle name="ハイパーリンク" xfId="2249" builtinId="8" hidden="1"/>
    <cellStyle name="ハイパーリンク" xfId="2251" builtinId="8" hidden="1"/>
    <cellStyle name="ハイパーリンク" xfId="2253" builtinId="8" hidden="1"/>
    <cellStyle name="ハイパーリンク" xfId="2255" builtinId="8" hidden="1"/>
    <cellStyle name="ハイパーリンク" xfId="2257" builtinId="8" hidden="1"/>
    <cellStyle name="ハイパーリンク" xfId="2259" builtinId="8" hidden="1"/>
    <cellStyle name="ハイパーリンク" xfId="2261" builtinId="8" hidden="1"/>
    <cellStyle name="ハイパーリンク" xfId="2263" builtinId="8" hidden="1"/>
    <cellStyle name="ハイパーリンク" xfId="2265" builtinId="8" hidden="1"/>
    <cellStyle name="ハイパーリンク" xfId="2267" builtinId="8" hidden="1"/>
    <cellStyle name="ハイパーリンク" xfId="2269" builtinId="8" hidden="1"/>
    <cellStyle name="ハイパーリンク" xfId="2271" builtinId="8" hidden="1"/>
    <cellStyle name="ハイパーリンク" xfId="2273" builtinId="8" hidden="1"/>
    <cellStyle name="ハイパーリンク" xfId="2275" builtinId="8" hidden="1"/>
    <cellStyle name="ハイパーリンク" xfId="2277" builtinId="8" hidden="1"/>
    <cellStyle name="ハイパーリンク" xfId="2279" builtinId="8" hidden="1"/>
    <cellStyle name="ハイパーリンク" xfId="2281" builtinId="8" hidden="1"/>
    <cellStyle name="ハイパーリンク" xfId="2283" builtinId="8" hidden="1"/>
    <cellStyle name="ハイパーリンク" xfId="2285" builtinId="8" hidden="1"/>
    <cellStyle name="ハイパーリンク" xfId="2287" builtinId="8" hidden="1"/>
    <cellStyle name="ハイパーリンク" xfId="2289" builtinId="8" hidden="1"/>
    <cellStyle name="ハイパーリンク" xfId="2291" builtinId="8" hidden="1"/>
    <cellStyle name="ハイパーリンク" xfId="2293" builtinId="8" hidden="1"/>
    <cellStyle name="ハイパーリンク" xfId="2295" builtinId="8" hidden="1"/>
    <cellStyle name="ハイパーリンク" xfId="2297" builtinId="8" hidden="1"/>
    <cellStyle name="ハイパーリンク" xfId="2299" builtinId="8" hidden="1"/>
    <cellStyle name="ハイパーリンク" xfId="2301" builtinId="8" hidden="1"/>
    <cellStyle name="ハイパーリンク" xfId="2303" builtinId="8" hidden="1"/>
    <cellStyle name="ハイパーリンク" xfId="2305" builtinId="8" hidden="1"/>
    <cellStyle name="ハイパーリンク" xfId="2307" builtinId="8" hidden="1"/>
    <cellStyle name="ハイパーリンク" xfId="2309" builtinId="8" hidden="1"/>
    <cellStyle name="ハイパーリンク" xfId="2311" builtinId="8" hidden="1"/>
    <cellStyle name="ハイパーリンク" xfId="2313" builtinId="8" hidden="1"/>
    <cellStyle name="ハイパーリンク" xfId="2315" builtinId="8" hidden="1"/>
    <cellStyle name="ハイパーリンク" xfId="2317" builtinId="8" hidden="1"/>
    <cellStyle name="ハイパーリンク" xfId="2319" builtinId="8" hidden="1"/>
    <cellStyle name="ハイパーリンク" xfId="2321" builtinId="8" hidden="1"/>
    <cellStyle name="ハイパーリンク" xfId="2323" builtinId="8" hidden="1"/>
    <cellStyle name="ハイパーリンク" xfId="2325" builtinId="8" hidden="1"/>
    <cellStyle name="ハイパーリンク" xfId="2327" builtinId="8" hidden="1"/>
    <cellStyle name="ハイパーリンク" xfId="2329" builtinId="8" hidden="1"/>
    <cellStyle name="ハイパーリンク" xfId="2331" builtinId="8" hidden="1"/>
    <cellStyle name="ハイパーリンク" xfId="2333" builtinId="8" hidden="1"/>
    <cellStyle name="ハイパーリンク" xfId="2335" builtinId="8" hidden="1"/>
    <cellStyle name="ハイパーリンク" xfId="2337" builtinId="8" hidden="1"/>
    <cellStyle name="ハイパーリンク" xfId="2339" builtinId="8" hidden="1"/>
    <cellStyle name="ハイパーリンク" xfId="2341" builtinId="8" hidden="1"/>
    <cellStyle name="ハイパーリンク" xfId="2343" builtinId="8" hidden="1"/>
    <cellStyle name="ハイパーリンク" xfId="2345" builtinId="8" hidden="1"/>
    <cellStyle name="ハイパーリンク" xfId="2347" builtinId="8" hidden="1"/>
    <cellStyle name="ハイパーリンク" xfId="2349" builtinId="8" hidden="1"/>
    <cellStyle name="ハイパーリンク" xfId="2351" builtinId="8" hidden="1"/>
    <cellStyle name="ハイパーリンク" xfId="2353" builtinId="8" hidden="1"/>
    <cellStyle name="ハイパーリンク" xfId="2355" builtinId="8" hidden="1"/>
    <cellStyle name="ハイパーリンク" xfId="2357" builtinId="8" hidden="1"/>
    <cellStyle name="ハイパーリンク" xfId="2359" builtinId="8" hidden="1"/>
    <cellStyle name="ハイパーリンク" xfId="2361" builtinId="8" hidden="1"/>
    <cellStyle name="ハイパーリンク" xfId="2363" builtinId="8" hidden="1"/>
    <cellStyle name="ハイパーリンク" xfId="2365" builtinId="8" hidden="1"/>
    <cellStyle name="ハイパーリンク" xfId="2367" builtinId="8" hidden="1"/>
    <cellStyle name="ハイパーリンク" xfId="2369" builtinId="8" hidden="1"/>
    <cellStyle name="ハイパーリンク" xfId="2371" builtinId="8" hidden="1"/>
    <cellStyle name="ハイパーリンク" xfId="2373" builtinId="8" hidden="1"/>
    <cellStyle name="ハイパーリンク" xfId="2375" builtinId="8" hidden="1"/>
    <cellStyle name="ハイパーリンク" xfId="2377" builtinId="8" hidden="1"/>
    <cellStyle name="ハイパーリンク" xfId="2379" builtinId="8" hidden="1"/>
    <cellStyle name="ハイパーリンク" xfId="2381" builtinId="8" hidden="1"/>
    <cellStyle name="ハイパーリンク" xfId="2383" builtinId="8" hidden="1"/>
    <cellStyle name="ハイパーリンク" xfId="2385" builtinId="8" hidden="1"/>
    <cellStyle name="ハイパーリンク" xfId="2387" builtinId="8" hidden="1"/>
    <cellStyle name="ハイパーリンク" xfId="2389" builtinId="8" hidden="1"/>
    <cellStyle name="ハイパーリンク" xfId="2391" builtinId="8" hidden="1"/>
    <cellStyle name="ハイパーリンク" xfId="2393" builtinId="8" hidden="1"/>
    <cellStyle name="ハイパーリンク" xfId="2395" builtinId="8" hidden="1"/>
    <cellStyle name="ハイパーリンク" xfId="2397" builtinId="8" hidden="1"/>
    <cellStyle name="ハイパーリンク" xfId="2399" builtinId="8" hidden="1"/>
    <cellStyle name="ハイパーリンク" xfId="2401" builtinId="8" hidden="1"/>
    <cellStyle name="ハイパーリンク" xfId="2403" builtinId="8" hidden="1"/>
    <cellStyle name="ハイパーリンク" xfId="2405" builtinId="8" hidden="1"/>
    <cellStyle name="ハイパーリンク" xfId="2407" builtinId="8" hidden="1"/>
    <cellStyle name="ハイパーリンク" xfId="2409" builtinId="8" hidden="1"/>
    <cellStyle name="ハイパーリンク" xfId="2411" builtinId="8" hidden="1"/>
    <cellStyle name="ハイパーリンク" xfId="2413" builtinId="8" hidden="1"/>
    <cellStyle name="ハイパーリンク" xfId="2415" builtinId="8" hidden="1"/>
    <cellStyle name="ハイパーリンク" xfId="2417" builtinId="8" hidden="1"/>
    <cellStyle name="ハイパーリンク" xfId="2419" builtinId="8" hidden="1"/>
    <cellStyle name="ハイパーリンク" xfId="2421" builtinId="8" hidden="1"/>
    <cellStyle name="ハイパーリンク" xfId="2423" builtinId="8" hidden="1"/>
    <cellStyle name="ハイパーリンク" xfId="2425" builtinId="8" hidden="1"/>
    <cellStyle name="ハイパーリンク" xfId="2427" builtinId="8" hidden="1"/>
    <cellStyle name="ハイパーリンク" xfId="2429" builtinId="8" hidden="1"/>
    <cellStyle name="ハイパーリンク" xfId="2431" builtinId="8" hidden="1"/>
    <cellStyle name="ハイパーリンク" xfId="2433" builtinId="8" hidden="1"/>
    <cellStyle name="ハイパーリンク" xfId="2435" builtinId="8" hidden="1"/>
    <cellStyle name="ハイパーリンク" xfId="2437" builtinId="8" hidden="1"/>
    <cellStyle name="ハイパーリンク" xfId="2439" builtinId="8" hidden="1"/>
    <cellStyle name="ハイパーリンク" xfId="2441" builtinId="8" hidden="1"/>
    <cellStyle name="ハイパーリンク" xfId="2443" builtinId="8" hidden="1"/>
    <cellStyle name="ハイパーリンク" xfId="2445" builtinId="8" hidden="1"/>
    <cellStyle name="ハイパーリンク" xfId="2447" builtinId="8" hidden="1"/>
    <cellStyle name="ハイパーリンク" xfId="2449" builtinId="8" hidden="1"/>
    <cellStyle name="ハイパーリンク" xfId="2451" builtinId="8" hidden="1"/>
    <cellStyle name="ハイパーリンク" xfId="2453" builtinId="8" hidden="1"/>
    <cellStyle name="ハイパーリンク" xfId="2455" builtinId="8" hidden="1"/>
    <cellStyle name="ハイパーリンク" xfId="2457" builtinId="8" hidden="1"/>
    <cellStyle name="ハイパーリンク" xfId="2459" builtinId="8" hidden="1"/>
    <cellStyle name="ハイパーリンク" xfId="2461" builtinId="8" hidden="1"/>
    <cellStyle name="ハイパーリンク" xfId="2463" builtinId="8" hidden="1"/>
    <cellStyle name="ハイパーリンク" xfId="2465" builtinId="8" hidden="1"/>
    <cellStyle name="ハイパーリンク" xfId="2467" builtinId="8" hidden="1"/>
    <cellStyle name="ハイパーリンク" xfId="2469" builtinId="8" hidden="1"/>
    <cellStyle name="ハイパーリンク" xfId="2471" builtinId="8" hidden="1"/>
    <cellStyle name="ハイパーリンク" xfId="2473" builtinId="8" hidden="1"/>
    <cellStyle name="ハイパーリンク" xfId="2475" builtinId="8" hidden="1"/>
    <cellStyle name="ハイパーリンク" xfId="2477" builtinId="8" hidden="1"/>
    <cellStyle name="ハイパーリンク" xfId="2479" builtinId="8" hidden="1"/>
    <cellStyle name="ハイパーリンク" xfId="2481" builtinId="8" hidden="1"/>
    <cellStyle name="ハイパーリンク" xfId="2483" builtinId="8" hidden="1"/>
    <cellStyle name="ハイパーリンク" xfId="2485" builtinId="8" hidden="1"/>
    <cellStyle name="ハイパーリンク" xfId="2487" builtinId="8" hidden="1"/>
    <cellStyle name="ハイパーリンク" xfId="2489" builtinId="8" hidden="1"/>
    <cellStyle name="ハイパーリンク" xfId="2491" builtinId="8" hidden="1"/>
    <cellStyle name="ハイパーリンク" xfId="2493" builtinId="8" hidden="1"/>
    <cellStyle name="ハイパーリンク" xfId="2495" builtinId="8" hidden="1"/>
    <cellStyle name="ハイパーリンク" xfId="2497" builtinId="8" hidden="1"/>
    <cellStyle name="ハイパーリンク" xfId="2499" builtinId="8" hidden="1"/>
    <cellStyle name="ハイパーリンク" xfId="2501" builtinId="8" hidden="1"/>
    <cellStyle name="ハイパーリンク" xfId="2503" builtinId="8" hidden="1"/>
    <cellStyle name="ハイパーリンク" xfId="2505" builtinId="8" hidden="1"/>
    <cellStyle name="ハイパーリンク" xfId="2507" builtinId="8" hidden="1"/>
    <cellStyle name="ハイパーリンク" xfId="2509" builtinId="8" hidden="1"/>
    <cellStyle name="ハイパーリンク" xfId="2511" builtinId="8" hidden="1"/>
    <cellStyle name="ハイパーリンク" xfId="2513" builtinId="8" hidden="1"/>
    <cellStyle name="ハイパーリンク" xfId="2515" builtinId="8" hidden="1"/>
    <cellStyle name="ハイパーリンク" xfId="2517" builtinId="8" hidden="1"/>
    <cellStyle name="ハイパーリンク" xfId="2519" builtinId="8" hidden="1"/>
    <cellStyle name="ハイパーリンク" xfId="2521" builtinId="8" hidden="1"/>
    <cellStyle name="ハイパーリンク" xfId="2523" builtinId="8" hidden="1"/>
    <cellStyle name="ハイパーリンク" xfId="2525" builtinId="8" hidden="1"/>
    <cellStyle name="ハイパーリンク" xfId="2527" builtinId="8" hidden="1"/>
    <cellStyle name="ハイパーリンク" xfId="2529" builtinId="8" hidden="1"/>
    <cellStyle name="ハイパーリンク" xfId="2531" builtinId="8" hidden="1"/>
    <cellStyle name="ハイパーリンク" xfId="2533" builtinId="8" hidden="1"/>
    <cellStyle name="ハイパーリンク" xfId="2535" builtinId="8" hidden="1"/>
    <cellStyle name="ハイパーリンク" xfId="2537" builtinId="8" hidden="1"/>
    <cellStyle name="ハイパーリンク" xfId="2539" builtinId="8" hidden="1"/>
    <cellStyle name="ハイパーリンク" xfId="2541" builtinId="8" hidden="1"/>
    <cellStyle name="ハイパーリンク" xfId="2543" builtinId="8" hidden="1"/>
    <cellStyle name="ハイパーリンク" xfId="2545" builtinId="8" hidden="1"/>
    <cellStyle name="ハイパーリンク" xfId="2547" builtinId="8" hidden="1"/>
    <cellStyle name="ハイパーリンク" xfId="2549" builtinId="8" hidden="1"/>
    <cellStyle name="ハイパーリンク" xfId="2551" builtinId="8" hidden="1"/>
    <cellStyle name="ハイパーリンク" xfId="2553" builtinId="8" hidden="1"/>
    <cellStyle name="ハイパーリンク" xfId="2555" builtinId="8" hidden="1"/>
    <cellStyle name="ハイパーリンク" xfId="2557" builtinId="8" hidden="1"/>
    <cellStyle name="ハイパーリンク" xfId="2559" builtinId="8" hidden="1"/>
    <cellStyle name="ハイパーリンク" xfId="2561" builtinId="8" hidden="1"/>
    <cellStyle name="ハイパーリンク" xfId="2563" builtinId="8" hidden="1"/>
    <cellStyle name="ハイパーリンク" xfId="2565" builtinId="8" hidden="1"/>
    <cellStyle name="ハイパーリンク" xfId="2567" builtinId="8" hidden="1"/>
    <cellStyle name="ハイパーリンク" xfId="2569" builtinId="8" hidden="1"/>
    <cellStyle name="ハイパーリンク" xfId="2571" builtinId="8" hidden="1"/>
    <cellStyle name="ハイパーリンク" xfId="2573" builtinId="8" hidden="1"/>
    <cellStyle name="ハイパーリンク" xfId="2575" builtinId="8" hidden="1"/>
    <cellStyle name="ハイパーリンク" xfId="2577" builtinId="8" hidden="1"/>
    <cellStyle name="ハイパーリンク" xfId="2579" builtinId="8" hidden="1"/>
    <cellStyle name="ハイパーリンク" xfId="2581" builtinId="8" hidden="1"/>
    <cellStyle name="ハイパーリンク" xfId="2583" builtinId="8" hidden="1"/>
    <cellStyle name="ハイパーリンク" xfId="2585" builtinId="8" hidden="1"/>
    <cellStyle name="ハイパーリンク" xfId="2587" builtinId="8" hidden="1"/>
    <cellStyle name="ハイパーリンク" xfId="2589" builtinId="8" hidden="1"/>
    <cellStyle name="ハイパーリンク" xfId="2591" builtinId="8" hidden="1"/>
    <cellStyle name="ハイパーリンク" xfId="2593" builtinId="8" hidden="1"/>
    <cellStyle name="ハイパーリンク" xfId="2595" builtinId="8" hidden="1"/>
    <cellStyle name="ハイパーリンク" xfId="2597" builtinId="8" hidden="1"/>
    <cellStyle name="ハイパーリンク" xfId="2599" builtinId="8" hidden="1"/>
    <cellStyle name="ハイパーリンク" xfId="2601" builtinId="8" hidden="1"/>
    <cellStyle name="ハイパーリンク" xfId="2603" builtinId="8" hidden="1"/>
    <cellStyle name="ハイパーリンク" xfId="2605" builtinId="8" hidden="1"/>
    <cellStyle name="ハイパーリンク" xfId="2607" builtinId="8" hidden="1"/>
    <cellStyle name="ハイパーリンク" xfId="2609" builtinId="8" hidden="1"/>
    <cellStyle name="ハイパーリンク" xfId="2611" builtinId="8" hidden="1"/>
    <cellStyle name="ハイパーリンク" xfId="2613" builtinId="8" hidden="1"/>
    <cellStyle name="ハイパーリンク" xfId="2615" builtinId="8" hidden="1"/>
    <cellStyle name="ハイパーリンク" xfId="2617" builtinId="8" hidden="1"/>
    <cellStyle name="ハイパーリンク" xfId="2619" builtinId="8" hidden="1"/>
    <cellStyle name="ハイパーリンク" xfId="2621" builtinId="8" hidden="1"/>
    <cellStyle name="ハイパーリンク" xfId="2623" builtinId="8" hidden="1"/>
    <cellStyle name="ハイパーリンク" xfId="2625" builtinId="8" hidden="1"/>
    <cellStyle name="ハイパーリンク" xfId="2627" builtinId="8" hidden="1"/>
    <cellStyle name="ハイパーリンク" xfId="2629" builtinId="8" hidden="1"/>
    <cellStyle name="ハイパーリンク" xfId="2631" builtinId="8" hidden="1"/>
    <cellStyle name="ハイパーリンク" xfId="2633" builtinId="8" hidden="1"/>
    <cellStyle name="ハイパーリンク" xfId="2635" builtinId="8" hidden="1"/>
    <cellStyle name="ハイパーリンク" xfId="2637" builtinId="8" hidden="1"/>
    <cellStyle name="ハイパーリンク" xfId="2639" builtinId="8" hidden="1"/>
    <cellStyle name="ハイパーリンク" xfId="2641" builtinId="8" hidden="1"/>
    <cellStyle name="ハイパーリンク" xfId="2643" builtinId="8" hidden="1"/>
    <cellStyle name="ハイパーリンク" xfId="2645" builtinId="8" hidden="1"/>
    <cellStyle name="ハイパーリンク" xfId="2647" builtinId="8" hidden="1"/>
    <cellStyle name="ハイパーリンク" xfId="2649" builtinId="8" hidden="1"/>
    <cellStyle name="ハイパーリンク" xfId="2651" builtinId="8" hidden="1"/>
    <cellStyle name="ハイパーリンク" xfId="2653" builtinId="8" hidden="1"/>
    <cellStyle name="ハイパーリンク" xfId="2655" builtinId="8" hidden="1"/>
    <cellStyle name="ハイパーリンク" xfId="2657" builtinId="8" hidden="1"/>
    <cellStyle name="ハイパーリンク" xfId="2659" builtinId="8" hidden="1"/>
    <cellStyle name="ハイパーリンク" xfId="2661" builtinId="8" hidden="1"/>
    <cellStyle name="ハイパーリンク" xfId="2663" builtinId="8" hidden="1"/>
    <cellStyle name="ハイパーリンク" xfId="2665" builtinId="8" hidden="1"/>
    <cellStyle name="ハイパーリンク" xfId="2667" builtinId="8" hidden="1"/>
    <cellStyle name="ハイパーリンク" xfId="2669" builtinId="8" hidden="1"/>
    <cellStyle name="ハイパーリンク" xfId="2671" builtinId="8" hidden="1"/>
    <cellStyle name="ハイパーリンク" xfId="2673" builtinId="8" hidden="1"/>
    <cellStyle name="ハイパーリンク" xfId="2675" builtinId="8" hidden="1"/>
    <cellStyle name="ハイパーリンク" xfId="2677" builtinId="8" hidden="1"/>
    <cellStyle name="ハイパーリンク" xfId="2679" builtinId="8" hidden="1"/>
    <cellStyle name="ハイパーリンク" xfId="2681" builtinId="8" hidden="1"/>
    <cellStyle name="ハイパーリンク" xfId="2683" builtinId="8" hidden="1"/>
    <cellStyle name="ハイパーリンク" xfId="2685" builtinId="8" hidden="1"/>
    <cellStyle name="ハイパーリンク" xfId="2687" builtinId="8" hidden="1"/>
    <cellStyle name="ハイパーリンク" xfId="2689" builtinId="8" hidden="1"/>
    <cellStyle name="ハイパーリンク" xfId="2691" builtinId="8" hidden="1"/>
    <cellStyle name="ハイパーリンク" xfId="2693" builtinId="8" hidden="1"/>
    <cellStyle name="ハイパーリンク" xfId="2695" builtinId="8" hidden="1"/>
    <cellStyle name="ハイパーリンク" xfId="2697" builtinId="8" hidden="1"/>
    <cellStyle name="ハイパーリンク" xfId="2699" builtinId="8" hidden="1"/>
    <cellStyle name="ハイパーリンク" xfId="2701" builtinId="8" hidden="1"/>
    <cellStyle name="ハイパーリンク" xfId="2703" builtinId="8" hidden="1"/>
    <cellStyle name="ハイパーリンク" xfId="2705" builtinId="8" hidden="1"/>
    <cellStyle name="ハイパーリンク" xfId="2707" builtinId="8" hidden="1"/>
    <cellStyle name="ハイパーリンク" xfId="2709" builtinId="8" hidden="1"/>
    <cellStyle name="ハイパーリンク" xfId="2711" builtinId="8" hidden="1"/>
    <cellStyle name="ハイパーリンク" xfId="2713" builtinId="8" hidden="1"/>
    <cellStyle name="ハイパーリンク" xfId="2715" builtinId="8" hidden="1"/>
    <cellStyle name="ハイパーリンク" xfId="2717" builtinId="8" hidden="1"/>
    <cellStyle name="ハイパーリンク" xfId="2719" builtinId="8" hidden="1"/>
    <cellStyle name="ハイパーリンク" xfId="2721" builtinId="8" hidden="1"/>
    <cellStyle name="ハイパーリンク" xfId="2723" builtinId="8" hidden="1"/>
    <cellStyle name="ハイパーリンク" xfId="2725" builtinId="8" hidden="1"/>
    <cellStyle name="ハイパーリンク" xfId="2727" builtinId="8" hidden="1"/>
    <cellStyle name="ハイパーリンク" xfId="2729" builtinId="8" hidden="1"/>
    <cellStyle name="ハイパーリンク" xfId="2731" builtinId="8" hidden="1"/>
    <cellStyle name="ハイパーリンク" xfId="2733" builtinId="8" hidden="1"/>
    <cellStyle name="ハイパーリンク" xfId="2735" builtinId="8" hidden="1"/>
    <cellStyle name="ハイパーリンク" xfId="2737" builtinId="8" hidden="1"/>
    <cellStyle name="ハイパーリンク" xfId="2739" builtinId="8" hidden="1"/>
    <cellStyle name="ハイパーリンク" xfId="2741" builtinId="8" hidden="1"/>
    <cellStyle name="ハイパーリンク" xfId="2743" builtinId="8" hidden="1"/>
    <cellStyle name="ハイパーリンク" xfId="2745" builtinId="8" hidden="1"/>
    <cellStyle name="ハイパーリンク" xfId="2747" builtinId="8" hidden="1"/>
    <cellStyle name="ハイパーリンク" xfId="2749" builtinId="8" hidden="1"/>
    <cellStyle name="ハイパーリンク" xfId="2751" builtinId="8" hidden="1"/>
    <cellStyle name="ハイパーリンク" xfId="2753" builtinId="8" hidden="1"/>
    <cellStyle name="ハイパーリンク" xfId="2755" builtinId="8" hidden="1"/>
    <cellStyle name="ハイパーリンク" xfId="2757" builtinId="8" hidden="1"/>
    <cellStyle name="ハイパーリンク" xfId="2759" builtinId="8" hidden="1"/>
    <cellStyle name="ハイパーリンク" xfId="2761" builtinId="8" hidden="1"/>
    <cellStyle name="ハイパーリンク" xfId="2763" builtinId="8" hidden="1"/>
    <cellStyle name="ハイパーリンク" xfId="2765" builtinId="8" hidden="1"/>
    <cellStyle name="ハイパーリンク" xfId="2767" builtinId="8" hidden="1"/>
    <cellStyle name="ハイパーリンク" xfId="2769" builtinId="8" hidden="1"/>
    <cellStyle name="ハイパーリンク" xfId="2771" builtinId="8" hidden="1"/>
    <cellStyle name="ハイパーリンク" xfId="2773" builtinId="8" hidden="1"/>
    <cellStyle name="ハイパーリンク" xfId="2775" builtinId="8" hidden="1"/>
    <cellStyle name="ハイパーリンク" xfId="2777" builtinId="8" hidden="1"/>
    <cellStyle name="ハイパーリンク" xfId="2779" builtinId="8" hidden="1"/>
    <cellStyle name="ハイパーリンク" xfId="2781" builtinId="8" hidden="1"/>
    <cellStyle name="ハイパーリンク" xfId="2783" builtinId="8" hidden="1"/>
    <cellStyle name="ハイパーリンク" xfId="2785" builtinId="8" hidden="1"/>
    <cellStyle name="ハイパーリンク" xfId="2787" builtinId="8" hidden="1"/>
    <cellStyle name="ハイパーリンク" xfId="2789" builtinId="8" hidden="1"/>
    <cellStyle name="ハイパーリンク" xfId="2791" builtinId="8" hidden="1"/>
    <cellStyle name="ハイパーリンク" xfId="2793" builtinId="8" hidden="1"/>
    <cellStyle name="ハイパーリンク" xfId="2795" builtinId="8" hidden="1"/>
    <cellStyle name="ハイパーリンク" xfId="2797" builtinId="8" hidden="1"/>
    <cellStyle name="ハイパーリンク" xfId="2799" builtinId="8" hidden="1"/>
    <cellStyle name="ハイパーリンク" xfId="2801" builtinId="8" hidden="1"/>
    <cellStyle name="ハイパーリンク" xfId="2803" builtinId="8" hidden="1"/>
    <cellStyle name="ハイパーリンク" xfId="2805" builtinId="8" hidden="1"/>
    <cellStyle name="ハイパーリンク" xfId="2807" builtinId="8" hidden="1"/>
    <cellStyle name="ハイパーリンク" xfId="2809" builtinId="8" hidden="1"/>
    <cellStyle name="ハイパーリンク" xfId="2811" builtinId="8" hidden="1"/>
    <cellStyle name="ハイパーリンク" xfId="2813" builtinId="8" hidden="1"/>
    <cellStyle name="ハイパーリンク" xfId="2815" builtinId="8" hidden="1"/>
    <cellStyle name="ハイパーリンク" xfId="2817" builtinId="8" hidden="1"/>
    <cellStyle name="ハイパーリンク" xfId="2819" builtinId="8" hidden="1"/>
    <cellStyle name="ハイパーリンク" xfId="2821" builtinId="8" hidden="1"/>
    <cellStyle name="ハイパーリンク" xfId="2823" builtinId="8" hidden="1"/>
    <cellStyle name="ハイパーリンク" xfId="2825" builtinId="8" hidden="1"/>
    <cellStyle name="ハイパーリンク" xfId="2827" builtinId="8" hidden="1"/>
    <cellStyle name="ハイパーリンク" xfId="2829" builtinId="8" hidden="1"/>
    <cellStyle name="ハイパーリンク" xfId="2831" builtinId="8" hidden="1"/>
    <cellStyle name="ハイパーリンク" xfId="2833" builtinId="8" hidden="1"/>
    <cellStyle name="ハイパーリンク" xfId="2835" builtinId="8" hidden="1"/>
    <cellStyle name="ハイパーリンク" xfId="2837" builtinId="8" hidden="1"/>
    <cellStyle name="ハイパーリンク" xfId="2839" builtinId="8" hidden="1"/>
    <cellStyle name="ハイパーリンク" xfId="2841" builtinId="8" hidden="1"/>
    <cellStyle name="ハイパーリンク" xfId="2843" builtinId="8" hidden="1"/>
    <cellStyle name="ハイパーリンク" xfId="2845" builtinId="8" hidden="1"/>
    <cellStyle name="ハイパーリンク" xfId="2847" builtinId="8" hidden="1"/>
    <cellStyle name="ハイパーリンク" xfId="2849" builtinId="8" hidden="1"/>
    <cellStyle name="ハイパーリンク" xfId="2851" builtinId="8" hidden="1"/>
    <cellStyle name="ハイパーリンク" xfId="2853" builtinId="8" hidden="1"/>
    <cellStyle name="ハイパーリンク" xfId="2855" builtinId="8" hidden="1"/>
    <cellStyle name="ハイパーリンク" xfId="2857" builtinId="8" hidden="1"/>
    <cellStyle name="ハイパーリンク" xfId="2859" builtinId="8" hidden="1"/>
    <cellStyle name="ハイパーリンク" xfId="2861" builtinId="8" hidden="1"/>
    <cellStyle name="ハイパーリンク" xfId="2863" builtinId="8" hidden="1"/>
    <cellStyle name="ハイパーリンク" xfId="2865" builtinId="8" hidden="1"/>
    <cellStyle name="ハイパーリンク" xfId="2867" builtinId="8" hidden="1"/>
    <cellStyle name="ハイパーリンク" xfId="2869" builtinId="8" hidden="1"/>
    <cellStyle name="ハイパーリンク" xfId="2871" builtinId="8" hidden="1"/>
    <cellStyle name="ハイパーリンク" xfId="2873" builtinId="8" hidden="1"/>
    <cellStyle name="ハイパーリンク" xfId="2875" builtinId="8" hidden="1"/>
    <cellStyle name="ハイパーリンク" xfId="2877" builtinId="8" hidden="1"/>
    <cellStyle name="ハイパーリンク" xfId="2879" builtinId="8" hidden="1"/>
    <cellStyle name="ハイパーリンク" xfId="2881" builtinId="8" hidden="1"/>
    <cellStyle name="ハイパーリンク" xfId="2883" builtinId="8" hidden="1"/>
    <cellStyle name="ハイパーリンク" xfId="2885" builtinId="8" hidden="1"/>
    <cellStyle name="ハイパーリンク" xfId="2887" builtinId="8" hidden="1"/>
    <cellStyle name="ハイパーリンク" xfId="2889" builtinId="8" hidden="1"/>
    <cellStyle name="ハイパーリンク" xfId="2891" builtinId="8" hidden="1"/>
    <cellStyle name="ハイパーリンク" xfId="2893" builtinId="8" hidden="1"/>
    <cellStyle name="ハイパーリンク" xfId="2895" builtinId="8" hidden="1"/>
    <cellStyle name="ハイパーリンク" xfId="2897" builtinId="8" hidden="1"/>
    <cellStyle name="ハイパーリンク" xfId="2899" builtinId="8" hidden="1"/>
    <cellStyle name="ハイパーリンク" xfId="2901" builtinId="8" hidden="1"/>
    <cellStyle name="ハイパーリンク" xfId="2903" builtinId="8" hidden="1"/>
    <cellStyle name="ハイパーリンク" xfId="2905" builtinId="8" hidden="1"/>
    <cellStyle name="ハイパーリンク" xfId="2907" builtinId="8" hidden="1"/>
    <cellStyle name="ハイパーリンク" xfId="2909" builtinId="8" hidden="1"/>
    <cellStyle name="ハイパーリンク" xfId="2911" builtinId="8" hidden="1"/>
    <cellStyle name="ハイパーリンク" xfId="2913" builtinId="8" hidden="1"/>
    <cellStyle name="ハイパーリンク" xfId="2915" builtinId="8" hidden="1"/>
    <cellStyle name="ハイパーリンク" xfId="2917" builtinId="8" hidden="1"/>
    <cellStyle name="ハイパーリンク" xfId="2919" builtinId="8" hidden="1"/>
    <cellStyle name="ハイパーリンク" xfId="2921" builtinId="8" hidden="1"/>
    <cellStyle name="ハイパーリンク" xfId="2923" builtinId="8" hidden="1"/>
    <cellStyle name="ハイパーリンク" xfId="2925" builtinId="8" hidden="1"/>
    <cellStyle name="ハイパーリンク" xfId="2927" builtinId="8" hidden="1"/>
    <cellStyle name="ハイパーリンク" xfId="2929" builtinId="8" hidden="1"/>
    <cellStyle name="ハイパーリンク" xfId="2931" builtinId="8" hidden="1"/>
    <cellStyle name="ハイパーリンク" xfId="2933" builtinId="8" hidden="1"/>
    <cellStyle name="ハイパーリンク" xfId="2935" builtinId="8" hidden="1"/>
    <cellStyle name="ハイパーリンク" xfId="2937" builtinId="8" hidden="1"/>
    <cellStyle name="ハイパーリンク" xfId="2939" builtinId="8" hidden="1"/>
    <cellStyle name="ハイパーリンク" xfId="2941" builtinId="8" hidden="1"/>
    <cellStyle name="ハイパーリンク" xfId="2943" builtinId="8" hidden="1"/>
    <cellStyle name="ハイパーリンク" xfId="2945" builtinId="8" hidden="1"/>
    <cellStyle name="ハイパーリンク" xfId="2947" builtinId="8" hidden="1"/>
    <cellStyle name="ハイパーリンク" xfId="2949" builtinId="8" hidden="1"/>
    <cellStyle name="ハイパーリンク" xfId="2951" builtinId="8" hidden="1"/>
    <cellStyle name="ハイパーリンク" xfId="2953" builtinId="8" hidden="1"/>
    <cellStyle name="ハイパーリンク" xfId="2955" builtinId="8" hidden="1"/>
    <cellStyle name="ハイパーリンク" xfId="2957" builtinId="8" hidden="1"/>
    <cellStyle name="ハイパーリンク" xfId="2959" builtinId="8" hidden="1"/>
    <cellStyle name="ハイパーリンク" xfId="2961" builtinId="8" hidden="1"/>
    <cellStyle name="ハイパーリンク" xfId="2963" builtinId="8" hidden="1"/>
    <cellStyle name="ハイパーリンク" xfId="2965" builtinId="8" hidden="1"/>
    <cellStyle name="ハイパーリンク" xfId="2967" builtinId="8" hidden="1"/>
    <cellStyle name="ハイパーリンク" xfId="2969" builtinId="8" hidden="1"/>
    <cellStyle name="ハイパーリンク" xfId="2971" builtinId="8" hidden="1"/>
    <cellStyle name="ハイパーリンク" xfId="2973" builtinId="8" hidden="1"/>
    <cellStyle name="ハイパーリンク" xfId="2975" builtinId="8" hidden="1"/>
    <cellStyle name="ハイパーリンク" xfId="2977" builtinId="8" hidden="1"/>
    <cellStyle name="ハイパーリンク" xfId="2979" builtinId="8" hidden="1"/>
    <cellStyle name="ハイパーリンク" xfId="2981" builtinId="8" hidden="1"/>
    <cellStyle name="ハイパーリンク" xfId="2983" builtinId="8" hidden="1"/>
    <cellStyle name="ハイパーリンク" xfId="2985" builtinId="8" hidden="1"/>
    <cellStyle name="ハイパーリンク" xfId="2987" builtinId="8" hidden="1"/>
    <cellStyle name="ハイパーリンク" xfId="2989" builtinId="8" hidden="1"/>
    <cellStyle name="ハイパーリンク" xfId="2991" builtinId="8" hidden="1"/>
    <cellStyle name="ハイパーリンク" xfId="2993" builtinId="8" hidden="1"/>
    <cellStyle name="ハイパーリンク" xfId="2995" builtinId="8" hidden="1"/>
    <cellStyle name="ハイパーリンク" xfId="2997" builtinId="8" hidden="1"/>
    <cellStyle name="ハイパーリンク" xfId="2999" builtinId="8" hidden="1"/>
    <cellStyle name="ハイパーリンク" xfId="3001" builtinId="8" hidden="1"/>
    <cellStyle name="ハイパーリンク" xfId="3003" builtinId="8" hidden="1"/>
    <cellStyle name="ハイパーリンク" xfId="3005" builtinId="8" hidden="1"/>
    <cellStyle name="ハイパーリンク" xfId="3007" builtinId="8" hidden="1"/>
    <cellStyle name="ハイパーリンク" xfId="3009" builtinId="8" hidden="1"/>
    <cellStyle name="ハイパーリンク" xfId="3011" builtinId="8" hidden="1"/>
    <cellStyle name="ハイパーリンク" xfId="3013" builtinId="8" hidden="1"/>
    <cellStyle name="ハイパーリンク" xfId="3015" builtinId="8" hidden="1"/>
    <cellStyle name="ハイパーリンク" xfId="3017" builtinId="8" hidden="1"/>
    <cellStyle name="ハイパーリンク" xfId="3019" builtinId="8" hidden="1"/>
    <cellStyle name="ハイパーリンク" xfId="3021" builtinId="8" hidden="1"/>
    <cellStyle name="ハイパーリンク" xfId="3023" builtinId="8" hidden="1"/>
    <cellStyle name="ハイパーリンク" xfId="3025" builtinId="8" hidden="1"/>
    <cellStyle name="ハイパーリンク" xfId="3027" builtinId="8" hidden="1"/>
    <cellStyle name="ハイパーリンク" xfId="3029" builtinId="8" hidden="1"/>
    <cellStyle name="ハイパーリンク" xfId="3031" builtinId="8" hidden="1"/>
    <cellStyle name="ハイパーリンク" xfId="3033" builtinId="8" hidden="1"/>
    <cellStyle name="ハイパーリンク" xfId="3035" builtinId="8" hidden="1"/>
    <cellStyle name="ハイパーリンク" xfId="3037" builtinId="8" hidden="1"/>
    <cellStyle name="ハイパーリンク" xfId="3039" builtinId="8" hidden="1"/>
    <cellStyle name="ハイパーリンク" xfId="3041" builtinId="8" hidden="1"/>
    <cellStyle name="ハイパーリンク" xfId="3043" builtinId="8" hidden="1"/>
    <cellStyle name="ハイパーリンク" xfId="3045" builtinId="8" hidden="1"/>
    <cellStyle name="ハイパーリンク" xfId="3047" builtinId="8" hidden="1"/>
    <cellStyle name="ハイパーリンク" xfId="3049" builtinId="8" hidden="1"/>
    <cellStyle name="ハイパーリンク" xfId="3051" builtinId="8" hidden="1"/>
    <cellStyle name="ハイパーリンク" xfId="3053" builtinId="8" hidden="1"/>
    <cellStyle name="ハイパーリンク" xfId="3055" builtinId="8" hidden="1"/>
    <cellStyle name="ハイパーリンク" xfId="3057" builtinId="8" hidden="1"/>
    <cellStyle name="ハイパーリンク" xfId="3059" builtinId="8" hidden="1"/>
    <cellStyle name="ハイパーリンク" xfId="3061" builtinId="8" hidden="1"/>
    <cellStyle name="ハイパーリンク" xfId="3063" builtinId="8" hidden="1"/>
    <cellStyle name="ハイパーリンク" xfId="3065" builtinId="8" hidden="1"/>
    <cellStyle name="ハイパーリンク" xfId="3067" builtinId="8" hidden="1"/>
    <cellStyle name="ハイパーリンク" xfId="3069" builtinId="8" hidden="1"/>
    <cellStyle name="ハイパーリンク" xfId="3071" builtinId="8" hidden="1"/>
    <cellStyle name="ハイパーリンク" xfId="3073" builtinId="8" hidden="1"/>
    <cellStyle name="ハイパーリンク" xfId="3075" builtinId="8" hidden="1"/>
    <cellStyle name="ハイパーリンク" xfId="3077" builtinId="8" hidden="1"/>
    <cellStyle name="ハイパーリンク" xfId="3079" builtinId="8" hidden="1"/>
    <cellStyle name="ハイパーリンク" xfId="3081" builtinId="8" hidden="1"/>
    <cellStyle name="ハイパーリンク" xfId="3083" builtinId="8" hidden="1"/>
    <cellStyle name="ハイパーリンク" xfId="3085" builtinId="8" hidden="1"/>
    <cellStyle name="ハイパーリンク" xfId="3087" builtinId="8" hidden="1"/>
    <cellStyle name="ハイパーリンク" xfId="3089" builtinId="8" hidden="1"/>
    <cellStyle name="ハイパーリンク" xfId="3091" builtinId="8" hidden="1"/>
    <cellStyle name="ハイパーリンク" xfId="3093" builtinId="8" hidden="1"/>
    <cellStyle name="ハイパーリンク" xfId="3095" builtinId="8" hidden="1"/>
    <cellStyle name="ハイパーリンク" xfId="3097" builtinId="8" hidden="1"/>
    <cellStyle name="ハイパーリンク" xfId="3099" builtinId="8" hidden="1"/>
    <cellStyle name="ハイパーリンク" xfId="3101" builtinId="8" hidden="1"/>
    <cellStyle name="ハイパーリンク" xfId="3103" builtinId="8" hidden="1"/>
    <cellStyle name="ハイパーリンク" xfId="3105" builtinId="8" hidden="1"/>
    <cellStyle name="ハイパーリンク" xfId="3107" builtinId="8" hidden="1"/>
    <cellStyle name="ハイパーリンク" xfId="3109" builtinId="8" hidden="1"/>
    <cellStyle name="ハイパーリンク" xfId="3111" builtinId="8" hidden="1"/>
    <cellStyle name="ハイパーリンク" xfId="3113" builtinId="8" hidden="1"/>
    <cellStyle name="ハイパーリンク" xfId="3115" builtinId="8" hidden="1"/>
    <cellStyle name="ハイパーリンク" xfId="3117" builtinId="8" hidden="1"/>
    <cellStyle name="ハイパーリンク" xfId="3119" builtinId="8" hidden="1"/>
    <cellStyle name="ハイパーリンク" xfId="3121" builtinId="8" hidden="1"/>
    <cellStyle name="ハイパーリンク" xfId="3123" builtinId="8" hidden="1"/>
    <cellStyle name="ハイパーリンク" xfId="3125" builtinId="8" hidden="1"/>
    <cellStyle name="ハイパーリンク" xfId="3127" builtinId="8" hidden="1"/>
    <cellStyle name="ハイパーリンク" xfId="3129" builtinId="8" hidden="1"/>
    <cellStyle name="ハイパーリンク" xfId="3131" builtinId="8" hidden="1"/>
    <cellStyle name="ハイパーリンク" xfId="3133" builtinId="8" hidden="1"/>
    <cellStyle name="ハイパーリンク" xfId="3135" builtinId="8" hidden="1"/>
    <cellStyle name="ハイパーリンク" xfId="3137" builtinId="8" hidden="1"/>
    <cellStyle name="ハイパーリンク" xfId="3139" builtinId="8" hidden="1"/>
    <cellStyle name="ハイパーリンク" xfId="3141" builtinId="8" hidden="1"/>
    <cellStyle name="ハイパーリンク" xfId="3143" builtinId="8" hidden="1"/>
    <cellStyle name="ハイパーリンク" xfId="3145" builtinId="8" hidden="1"/>
    <cellStyle name="ハイパーリンク" xfId="3147" builtinId="8" hidden="1"/>
    <cellStyle name="ハイパーリンク" xfId="3149" builtinId="8" hidden="1"/>
    <cellStyle name="ハイパーリンク" xfId="3151" builtinId="8" hidden="1"/>
    <cellStyle name="ハイパーリンク" xfId="3153" builtinId="8" hidden="1"/>
    <cellStyle name="ハイパーリンク" xfId="3155" builtinId="8" hidden="1"/>
    <cellStyle name="ハイパーリンク" xfId="3157" builtinId="8" hidden="1"/>
    <cellStyle name="ハイパーリンク" xfId="3159" builtinId="8" hidden="1"/>
    <cellStyle name="ハイパーリンク" xfId="3161" builtinId="8" hidden="1"/>
    <cellStyle name="ハイパーリンク" xfId="3163" builtinId="8" hidden="1"/>
    <cellStyle name="ハイパーリンク" xfId="3165" builtinId="8" hidden="1"/>
    <cellStyle name="ハイパーリンク" xfId="3167" builtinId="8" hidden="1"/>
    <cellStyle name="ハイパーリンク" xfId="3169" builtinId="8" hidden="1"/>
    <cellStyle name="ハイパーリンク" xfId="3171" builtinId="8" hidden="1"/>
    <cellStyle name="ハイパーリンク" xfId="3173" builtinId="8" hidden="1"/>
    <cellStyle name="ハイパーリンク" xfId="3175" builtinId="8" hidden="1"/>
    <cellStyle name="ハイパーリンク" xfId="3177" builtinId="8" hidden="1"/>
    <cellStyle name="ハイパーリンク" xfId="3179" builtinId="8" hidden="1"/>
    <cellStyle name="ハイパーリンク" xfId="3181" builtinId="8" hidden="1"/>
    <cellStyle name="ハイパーリンク" xfId="3183" builtinId="8" hidden="1"/>
    <cellStyle name="ハイパーリンク" xfId="3185" builtinId="8" hidden="1"/>
    <cellStyle name="ハイパーリンク" xfId="3187" builtinId="8" hidden="1"/>
    <cellStyle name="ハイパーリンク" xfId="3189" builtinId="8" hidden="1"/>
    <cellStyle name="ハイパーリンク" xfId="3191" builtinId="8" hidden="1"/>
    <cellStyle name="ハイパーリンク" xfId="3193" builtinId="8" hidden="1"/>
    <cellStyle name="ハイパーリンク" xfId="3195" builtinId="8" hidden="1"/>
    <cellStyle name="ハイパーリンク" xfId="3197" builtinId="8" hidden="1"/>
    <cellStyle name="ハイパーリンク" xfId="3199" builtinId="8" hidden="1"/>
    <cellStyle name="ハイパーリンク" xfId="3201" builtinId="8" hidden="1"/>
    <cellStyle name="ハイパーリンク" xfId="3203" builtinId="8" hidden="1"/>
    <cellStyle name="ハイパーリンク" xfId="3205" builtinId="8" hidden="1"/>
    <cellStyle name="ハイパーリンク" xfId="3207" builtinId="8" hidden="1"/>
    <cellStyle name="ハイパーリンク" xfId="3209" builtinId="8" hidden="1"/>
    <cellStyle name="ハイパーリンク" xfId="3211" builtinId="8" hidden="1"/>
    <cellStyle name="ハイパーリンク" xfId="3213" builtinId="8" hidden="1"/>
    <cellStyle name="ハイパーリンク" xfId="3215" builtinId="8" hidden="1"/>
    <cellStyle name="ハイパーリンク" xfId="3217" builtinId="8" hidden="1"/>
    <cellStyle name="ハイパーリンク" xfId="3219" builtinId="8" hidden="1"/>
    <cellStyle name="ハイパーリンク" xfId="3221" builtinId="8" hidden="1"/>
    <cellStyle name="ハイパーリンク" xfId="3223" builtinId="8" hidden="1"/>
    <cellStyle name="ハイパーリンク" xfId="3225" builtinId="8" hidden="1"/>
    <cellStyle name="ハイパーリンク" xfId="3227" builtinId="8" hidden="1"/>
    <cellStyle name="ハイパーリンク" xfId="3229" builtinId="8" hidden="1"/>
    <cellStyle name="ハイパーリンク" xfId="3231" builtinId="8" hidden="1"/>
    <cellStyle name="ハイパーリンク" xfId="3233" builtinId="8" hidden="1"/>
    <cellStyle name="ハイパーリンク" xfId="3235" builtinId="8" hidden="1"/>
    <cellStyle name="ハイパーリンク" xfId="3237" builtinId="8" hidden="1"/>
    <cellStyle name="ハイパーリンク" xfId="3239" builtinId="8" hidden="1"/>
    <cellStyle name="ハイパーリンク" xfId="3241" builtinId="8" hidden="1"/>
    <cellStyle name="ハイパーリンク" xfId="3243" builtinId="8" hidden="1"/>
    <cellStyle name="ハイパーリンク" xfId="3245" builtinId="8" hidden="1"/>
    <cellStyle name="ハイパーリンク" xfId="3247" builtinId="8" hidden="1"/>
    <cellStyle name="ハイパーリンク" xfId="3249" builtinId="8" hidden="1"/>
    <cellStyle name="ハイパーリンク" xfId="3251" builtinId="8" hidden="1"/>
    <cellStyle name="ハイパーリンク" xfId="3253" builtinId="8" hidden="1"/>
    <cellStyle name="ハイパーリンク" xfId="3255" builtinId="8" hidden="1"/>
    <cellStyle name="ハイパーリンク" xfId="3257" builtinId="8" hidden="1"/>
    <cellStyle name="ハイパーリンク" xfId="3259" builtinId="8" hidden="1"/>
    <cellStyle name="ハイパーリンク" xfId="3261" builtinId="8" hidden="1"/>
    <cellStyle name="ハイパーリンク" xfId="3263" builtinId="8" hidden="1"/>
    <cellStyle name="ハイパーリンク" xfId="3265" builtinId="8" hidden="1"/>
    <cellStyle name="ハイパーリンク" xfId="3267" builtinId="8" hidden="1"/>
    <cellStyle name="ハイパーリンク" xfId="3269" builtinId="8" hidden="1"/>
    <cellStyle name="ハイパーリンク" xfId="3271" builtinId="8" hidden="1"/>
    <cellStyle name="ハイパーリンク" xfId="3273" builtinId="8" hidden="1"/>
    <cellStyle name="ハイパーリンク" xfId="3275" builtinId="8" hidden="1"/>
    <cellStyle name="ハイパーリンク" xfId="3277" builtinId="8" hidden="1"/>
    <cellStyle name="ハイパーリンク" xfId="3279" builtinId="8" hidden="1"/>
    <cellStyle name="ハイパーリンク" xfId="3281" builtinId="8" hidden="1"/>
    <cellStyle name="ハイパーリンク" xfId="3283" builtinId="8" hidden="1"/>
    <cellStyle name="ハイパーリンク" xfId="3285" builtinId="8" hidden="1"/>
    <cellStyle name="ハイパーリンク" xfId="3287" builtinId="8" hidden="1"/>
    <cellStyle name="ハイパーリンク" xfId="3289" builtinId="8" hidden="1"/>
    <cellStyle name="ハイパーリンク" xfId="3291" builtinId="8" hidden="1"/>
    <cellStyle name="ハイパーリンク" xfId="3293" builtinId="8" hidden="1"/>
    <cellStyle name="ハイパーリンク" xfId="3295" builtinId="8" hidden="1"/>
    <cellStyle name="ハイパーリンク" xfId="3297" builtinId="8" hidden="1"/>
    <cellStyle name="ハイパーリンク" xfId="3299" builtinId="8" hidden="1"/>
    <cellStyle name="ハイパーリンク" xfId="3301" builtinId="8" hidden="1"/>
    <cellStyle name="ハイパーリンク" xfId="3303" builtinId="8" hidden="1"/>
    <cellStyle name="ハイパーリンク" xfId="3305" builtinId="8" hidden="1"/>
    <cellStyle name="ハイパーリンク" xfId="3307" builtinId="8" hidden="1"/>
    <cellStyle name="ハイパーリンク" xfId="3309" builtinId="8" hidden="1"/>
    <cellStyle name="ハイパーリンク" xfId="3311" builtinId="8" hidden="1"/>
    <cellStyle name="ハイパーリンク" xfId="3313" builtinId="8" hidden="1"/>
    <cellStyle name="ハイパーリンク" xfId="3315" builtinId="8" hidden="1"/>
    <cellStyle name="ハイパーリンク" xfId="3317" builtinId="8" hidden="1"/>
    <cellStyle name="ハイパーリンク" xfId="3319" builtinId="8" hidden="1"/>
    <cellStyle name="ハイパーリンク" xfId="3321" builtinId="8" hidden="1"/>
    <cellStyle name="ハイパーリンク" xfId="3323" builtinId="8" hidden="1"/>
    <cellStyle name="ハイパーリンク" xfId="3325" builtinId="8" hidden="1"/>
    <cellStyle name="ハイパーリンク" xfId="3327" builtinId="8" hidden="1"/>
    <cellStyle name="ハイパーリンク" xfId="3329" builtinId="8" hidden="1"/>
    <cellStyle name="ハイパーリンク" xfId="3331" builtinId="8" hidden="1"/>
    <cellStyle name="ハイパーリンク" xfId="3333" builtinId="8" hidden="1"/>
    <cellStyle name="ハイパーリンク" xfId="3335" builtinId="8" hidden="1"/>
    <cellStyle name="ハイパーリンク" xfId="3337" builtinId="8" hidden="1"/>
    <cellStyle name="ハイパーリンク" xfId="3339" builtinId="8" hidden="1"/>
    <cellStyle name="ハイパーリンク" xfId="3341" builtinId="8" hidden="1"/>
    <cellStyle name="ハイパーリンク" xfId="3343" builtinId="8" hidden="1"/>
    <cellStyle name="ハイパーリンク" xfId="3345" builtinId="8" hidden="1"/>
    <cellStyle name="ハイパーリンク" xfId="3347" builtinId="8" hidden="1"/>
    <cellStyle name="ハイパーリンク" xfId="3349" builtinId="8" hidden="1"/>
    <cellStyle name="ハイパーリンク" xfId="3351" builtinId="8" hidden="1"/>
    <cellStyle name="ハイパーリンク" xfId="3353" builtinId="8" hidden="1"/>
    <cellStyle name="ハイパーリンク" xfId="3355" builtinId="8" hidden="1"/>
    <cellStyle name="ハイパーリンク" xfId="3357" builtinId="8" hidden="1"/>
    <cellStyle name="ハイパーリンク" xfId="3359" builtinId="8" hidden="1"/>
    <cellStyle name="ハイパーリンク" xfId="3361" builtinId="8" hidden="1"/>
    <cellStyle name="ハイパーリンク" xfId="3363" builtinId="8" hidden="1"/>
    <cellStyle name="ハイパーリンク" xfId="3365" builtinId="8" hidden="1"/>
    <cellStyle name="ハイパーリンク" xfId="3367" builtinId="8" hidden="1"/>
    <cellStyle name="ハイパーリンク" xfId="3369" builtinId="8" hidden="1"/>
    <cellStyle name="ハイパーリンク" xfId="3371" builtinId="8" hidden="1"/>
    <cellStyle name="ハイパーリンク" xfId="3373" builtinId="8" hidden="1"/>
    <cellStyle name="ハイパーリンク" xfId="3375" builtinId="8" hidden="1"/>
    <cellStyle name="ハイパーリンク" xfId="3377" builtinId="8" hidden="1"/>
    <cellStyle name="ハイパーリンク" xfId="3379" builtinId="8" hidden="1"/>
    <cellStyle name="ハイパーリンク" xfId="3381" builtinId="8" hidden="1"/>
    <cellStyle name="ハイパーリンク" xfId="3383" builtinId="8" hidden="1"/>
    <cellStyle name="ハイパーリンク" xfId="3385" builtinId="8" hidden="1"/>
    <cellStyle name="ハイパーリンク" xfId="3387" builtinId="8" hidden="1"/>
    <cellStyle name="ハイパーリンク" xfId="3389" builtinId="8" hidden="1"/>
    <cellStyle name="ハイパーリンク" xfId="3391" builtinId="8" hidden="1"/>
    <cellStyle name="ハイパーリンク" xfId="3393" builtinId="8" hidden="1"/>
    <cellStyle name="ハイパーリンク" xfId="3395" builtinId="8" hidden="1"/>
    <cellStyle name="ハイパーリンク" xfId="3397" builtinId="8" hidden="1"/>
    <cellStyle name="ハイパーリンク" xfId="3399" builtinId="8" hidden="1"/>
    <cellStyle name="ハイパーリンク" xfId="3401" builtinId="8" hidden="1"/>
    <cellStyle name="ハイパーリンク" xfId="3403" builtinId="8" hidden="1"/>
    <cellStyle name="ハイパーリンク" xfId="3405" builtinId="8" hidden="1"/>
    <cellStyle name="ハイパーリンク" xfId="3407" builtinId="8" hidden="1"/>
    <cellStyle name="ハイパーリンク" xfId="3409" builtinId="8" hidden="1"/>
    <cellStyle name="ハイパーリンク" xfId="3411" builtinId="8" hidden="1"/>
    <cellStyle name="ハイパーリンク" xfId="3413" builtinId="8" hidden="1"/>
    <cellStyle name="ハイパーリンク" xfId="3415" builtinId="8" hidden="1"/>
    <cellStyle name="ハイパーリンク" xfId="3417" builtinId="8" hidden="1"/>
    <cellStyle name="ハイパーリンク" xfId="3419" builtinId="8" hidden="1"/>
    <cellStyle name="ハイパーリンク" xfId="3421" builtinId="8" hidden="1"/>
    <cellStyle name="ハイパーリンク" xfId="3423" builtinId="8" hidden="1"/>
    <cellStyle name="ハイパーリンク" xfId="3425" builtinId="8" hidden="1"/>
    <cellStyle name="ハイパーリンク" xfId="3427" builtinId="8" hidden="1"/>
    <cellStyle name="ハイパーリンク" xfId="3429" builtinId="8" hidden="1"/>
    <cellStyle name="ハイパーリンク" xfId="3431" builtinId="8" hidden="1"/>
    <cellStyle name="ハイパーリンク" xfId="3433" builtinId="8" hidden="1"/>
    <cellStyle name="ハイパーリンク" xfId="3435" builtinId="8" hidden="1"/>
    <cellStyle name="ハイパーリンク" xfId="3437" builtinId="8" hidden="1"/>
    <cellStyle name="ハイパーリンク" xfId="3439" builtinId="8" hidden="1"/>
    <cellStyle name="ハイパーリンク" xfId="3441" builtinId="8" hidden="1"/>
    <cellStyle name="ハイパーリンク" xfId="3443" builtinId="8" hidden="1"/>
    <cellStyle name="ハイパーリンク" xfId="3445" builtinId="8" hidden="1"/>
    <cellStyle name="ハイパーリンク" xfId="3447" builtinId="8" hidden="1"/>
    <cellStyle name="ハイパーリンク" xfId="3449" builtinId="8" hidden="1"/>
    <cellStyle name="ハイパーリンク" xfId="3451" builtinId="8" hidden="1"/>
    <cellStyle name="ハイパーリンク" xfId="3453" builtinId="8" hidden="1"/>
    <cellStyle name="ハイパーリンク" xfId="3455" builtinId="8" hidden="1"/>
    <cellStyle name="ハイパーリンク" xfId="3457" builtinId="8" hidden="1"/>
    <cellStyle name="ハイパーリンク" xfId="3459" builtinId="8" hidden="1"/>
    <cellStyle name="ハイパーリンク" xfId="3461" builtinId="8" hidden="1"/>
    <cellStyle name="ハイパーリンク" xfId="3463" builtinId="8" hidden="1"/>
    <cellStyle name="ハイパーリンク" xfId="3465" builtinId="8" hidden="1"/>
    <cellStyle name="ハイパーリンク" xfId="3467" builtinId="8" hidden="1"/>
    <cellStyle name="ハイパーリンク" xfId="3469" builtinId="8" hidden="1"/>
    <cellStyle name="ハイパーリンク" xfId="3471" builtinId="8" hidden="1"/>
    <cellStyle name="ハイパーリンク" xfId="3473" builtinId="8" hidden="1"/>
    <cellStyle name="ハイパーリンク" xfId="3475" builtinId="8" hidden="1"/>
    <cellStyle name="ハイパーリンク" xfId="3477" builtinId="8" hidden="1"/>
    <cellStyle name="ハイパーリンク" xfId="3479" builtinId="8" hidden="1"/>
    <cellStyle name="ハイパーリンク" xfId="3481" builtinId="8" hidden="1"/>
    <cellStyle name="ハイパーリンク" xfId="3483" builtinId="8" hidden="1"/>
    <cellStyle name="ハイパーリンク" xfId="3485" builtinId="8" hidden="1"/>
    <cellStyle name="ハイパーリンク" xfId="3487" builtinId="8" hidden="1"/>
    <cellStyle name="ハイパーリンク" xfId="3489" builtinId="8" hidden="1"/>
    <cellStyle name="ハイパーリンク" xfId="3491" builtinId="8" hidden="1"/>
    <cellStyle name="ハイパーリンク" xfId="3493" builtinId="8" hidden="1"/>
    <cellStyle name="ハイパーリンク" xfId="3495" builtinId="8" hidden="1"/>
    <cellStyle name="ハイパーリンク" xfId="3497" builtinId="8" hidden="1"/>
    <cellStyle name="ハイパーリンク" xfId="3499" builtinId="8" hidden="1"/>
    <cellStyle name="ハイパーリンク" xfId="3501" builtinId="8" hidden="1"/>
    <cellStyle name="ハイパーリンク" xfId="3503" builtinId="8" hidden="1"/>
    <cellStyle name="ハイパーリンク" xfId="3505" builtinId="8" hidden="1"/>
    <cellStyle name="ハイパーリンク" xfId="3507" builtinId="8" hidden="1"/>
    <cellStyle name="ハイパーリンク" xfId="3509" builtinId="8" hidden="1"/>
    <cellStyle name="ハイパーリンク" xfId="3511" builtinId="8" hidden="1"/>
    <cellStyle name="ハイパーリンク" xfId="3513" builtinId="8" hidden="1"/>
    <cellStyle name="ハイパーリンク" xfId="3515" builtinId="8" hidden="1"/>
    <cellStyle name="ハイパーリンク" xfId="3517" builtinId="8" hidden="1"/>
    <cellStyle name="ハイパーリンク" xfId="3519" builtinId="8" hidden="1"/>
    <cellStyle name="ハイパーリンク" xfId="3521" builtinId="8" hidden="1"/>
    <cellStyle name="ハイパーリンク" xfId="3523" builtinId="8" hidden="1"/>
    <cellStyle name="ハイパーリンク" xfId="3525" builtinId="8" hidden="1"/>
    <cellStyle name="ハイパーリンク" xfId="3527" builtinId="8" hidden="1"/>
    <cellStyle name="ハイパーリンク" xfId="3529" builtinId="8" hidden="1"/>
    <cellStyle name="ハイパーリンク" xfId="3531" builtinId="8" hidden="1"/>
    <cellStyle name="ハイパーリンク" xfId="3533" builtinId="8" hidden="1"/>
    <cellStyle name="ハイパーリンク" xfId="3535" builtinId="8" hidden="1"/>
    <cellStyle name="ハイパーリンク" xfId="3537" builtinId="8" hidden="1"/>
    <cellStyle name="ハイパーリンク" xfId="3539" builtinId="8" hidden="1"/>
    <cellStyle name="ハイパーリンク" xfId="3541" builtinId="8" hidden="1"/>
    <cellStyle name="ハイパーリンク" xfId="3543" builtinId="8" hidden="1"/>
    <cellStyle name="ハイパーリンク" xfId="3545" builtinId="8" hidden="1"/>
    <cellStyle name="ハイパーリンク" xfId="3547" builtinId="8" hidden="1"/>
    <cellStyle name="ハイパーリンク" xfId="3549" builtinId="8" hidden="1"/>
    <cellStyle name="ハイパーリンク" xfId="3551" builtinId="8" hidden="1"/>
    <cellStyle name="ハイパーリンク" xfId="3553" builtinId="8" hidden="1"/>
    <cellStyle name="ハイパーリンク" xfId="3555" builtinId="8" hidden="1"/>
    <cellStyle name="ハイパーリンク" xfId="3557" builtinId="8" hidden="1"/>
    <cellStyle name="ハイパーリンク" xfId="3559" builtinId="8" hidden="1"/>
    <cellStyle name="ハイパーリンク" xfId="3561" builtinId="8" hidden="1"/>
    <cellStyle name="ハイパーリンク" xfId="3563" builtinId="8" hidden="1"/>
    <cellStyle name="ハイパーリンク" xfId="3565" builtinId="8" hidden="1"/>
    <cellStyle name="ハイパーリンク" xfId="3567" builtinId="8" hidden="1"/>
    <cellStyle name="ハイパーリンク" xfId="3569" builtinId="8" hidden="1"/>
    <cellStyle name="ハイパーリンク" xfId="3571" builtinId="8" hidden="1"/>
    <cellStyle name="ハイパーリンク" xfId="3573" builtinId="8" hidden="1"/>
    <cellStyle name="ハイパーリンク" xfId="3575" builtinId="8" hidden="1"/>
    <cellStyle name="ハイパーリンク" xfId="3577" builtinId="8" hidden="1"/>
    <cellStyle name="ハイパーリンク" xfId="3579" builtinId="8" hidden="1"/>
    <cellStyle name="ハイパーリンク" xfId="3581" builtinId="8" hidden="1"/>
    <cellStyle name="ハイパーリンク" xfId="3583" builtinId="8" hidden="1"/>
    <cellStyle name="ハイパーリンク" xfId="3585" builtinId="8" hidden="1"/>
    <cellStyle name="ハイパーリンク" xfId="3587" builtinId="8" hidden="1"/>
    <cellStyle name="ハイパーリンク" xfId="3589" builtinId="8" hidden="1"/>
    <cellStyle name="ハイパーリンク" xfId="3591" builtinId="8" hidden="1"/>
    <cellStyle name="ハイパーリンク" xfId="3593" builtinId="8" hidden="1"/>
    <cellStyle name="ハイパーリンク" xfId="3595" builtinId="8" hidden="1"/>
    <cellStyle name="ハイパーリンク" xfId="3597" builtinId="8" hidden="1"/>
    <cellStyle name="ハイパーリンク" xfId="3599" builtinId="8" hidden="1"/>
    <cellStyle name="ハイパーリンク" xfId="3601" builtinId="8" hidden="1"/>
    <cellStyle name="ハイパーリンク" xfId="3603" builtinId="8" hidden="1"/>
    <cellStyle name="ハイパーリンク" xfId="3605" builtinId="8" hidden="1"/>
    <cellStyle name="ハイパーリンク" xfId="3607" builtinId="8" hidden="1"/>
    <cellStyle name="ハイパーリンク" xfId="3609" builtinId="8" hidden="1"/>
    <cellStyle name="ハイパーリンク" xfId="3611" builtinId="8" hidden="1"/>
    <cellStyle name="ハイパーリンク" xfId="3613" builtinId="8" hidden="1"/>
    <cellStyle name="ハイパーリンク" xfId="3615" builtinId="8" hidden="1"/>
    <cellStyle name="ハイパーリンク" xfId="3617" builtinId="8" hidden="1"/>
    <cellStyle name="ハイパーリンク" xfId="3619" builtinId="8" hidden="1"/>
    <cellStyle name="ハイパーリンク" xfId="3621" builtinId="8" hidden="1"/>
    <cellStyle name="ハイパーリンク" xfId="3623" builtinId="8" hidden="1"/>
    <cellStyle name="ハイパーリンク" xfId="3625" builtinId="8" hidden="1"/>
    <cellStyle name="ハイパーリンク" xfId="3627" builtinId="8" hidden="1"/>
    <cellStyle name="ハイパーリンク" xfId="3629" builtinId="8" hidden="1"/>
    <cellStyle name="ハイパーリンク" xfId="3631" builtinId="8" hidden="1"/>
    <cellStyle name="ハイパーリンク" xfId="3633" builtinId="8" hidden="1"/>
    <cellStyle name="ハイパーリンク" xfId="3635" builtinId="8" hidden="1"/>
    <cellStyle name="ハイパーリンク" xfId="3637" builtinId="8" hidden="1"/>
    <cellStyle name="ハイパーリンク" xfId="3639" builtinId="8" hidden="1"/>
    <cellStyle name="ハイパーリンク" xfId="3641" builtinId="8" hidden="1"/>
    <cellStyle name="ハイパーリンク" xfId="3643" builtinId="8" hidden="1"/>
    <cellStyle name="ハイパーリンク" xfId="3645" builtinId="8" hidden="1"/>
    <cellStyle name="ハイパーリンク" xfId="3647" builtinId="8" hidden="1"/>
    <cellStyle name="ハイパーリンク" xfId="3649" builtinId="8" hidden="1"/>
    <cellStyle name="ハイパーリンク" xfId="3651" builtinId="8" hidden="1"/>
    <cellStyle name="ハイパーリンク" xfId="3653" builtinId="8" hidden="1"/>
    <cellStyle name="ハイパーリンク" xfId="3655" builtinId="8" hidden="1"/>
    <cellStyle name="ハイパーリンク" xfId="3657" builtinId="8" hidden="1"/>
    <cellStyle name="ハイパーリンク" xfId="3659" builtinId="8" hidden="1"/>
    <cellStyle name="ハイパーリンク" xfId="3661" builtinId="8" hidden="1"/>
    <cellStyle name="ハイパーリンク" xfId="3663" builtinId="8" hidden="1"/>
    <cellStyle name="ハイパーリンク" xfId="3665" builtinId="8" hidden="1"/>
    <cellStyle name="ハイパーリンク" xfId="3667" builtinId="8" hidden="1"/>
    <cellStyle name="ハイパーリンク" xfId="3669" builtinId="8" hidden="1"/>
    <cellStyle name="ハイパーリンク" xfId="3671" builtinId="8" hidden="1"/>
    <cellStyle name="ハイパーリンク" xfId="3673" builtinId="8" hidden="1"/>
    <cellStyle name="ハイパーリンク" xfId="3675" builtinId="8" hidden="1"/>
    <cellStyle name="ハイパーリンク" xfId="3677" builtinId="8" hidden="1"/>
    <cellStyle name="ハイパーリンク" xfId="3679" builtinId="8" hidden="1"/>
    <cellStyle name="ハイパーリンク" xfId="3681" builtinId="8" hidden="1"/>
    <cellStyle name="ハイパーリンク" xfId="3683" builtinId="8" hidden="1"/>
    <cellStyle name="ハイパーリンク" xfId="3685" builtinId="8" hidden="1"/>
    <cellStyle name="ハイパーリンク" xfId="3687" builtinId="8" hidden="1"/>
    <cellStyle name="ハイパーリンク" xfId="3689" builtinId="8" hidden="1"/>
    <cellStyle name="ハイパーリンク" xfId="3691" builtinId="8" hidden="1"/>
    <cellStyle name="ハイパーリンク" xfId="3693" builtinId="8" hidden="1"/>
    <cellStyle name="ハイパーリンク" xfId="3695" builtinId="8" hidden="1"/>
    <cellStyle name="ハイパーリンク" xfId="3697" builtinId="8" hidden="1"/>
    <cellStyle name="ハイパーリンク" xfId="3699" builtinId="8" hidden="1"/>
    <cellStyle name="ハイパーリンク" xfId="3701" builtinId="8" hidden="1"/>
    <cellStyle name="ハイパーリンク" xfId="3703" builtinId="8" hidden="1"/>
    <cellStyle name="ハイパーリンク" xfId="3705" builtinId="8" hidden="1"/>
    <cellStyle name="ハイパーリンク" xfId="3707" builtinId="8" hidden="1"/>
    <cellStyle name="ハイパーリンク" xfId="3709" builtinId="8" hidden="1"/>
    <cellStyle name="ハイパーリンク" xfId="3711" builtinId="8" hidden="1"/>
    <cellStyle name="ハイパーリンク" xfId="3713" builtinId="8" hidden="1"/>
    <cellStyle name="ハイパーリンク" xfId="3715" builtinId="8" hidden="1"/>
    <cellStyle name="ハイパーリンク" xfId="3717" builtinId="8" hidden="1"/>
    <cellStyle name="ハイパーリンク" xfId="3719" builtinId="8" hidden="1"/>
    <cellStyle name="ハイパーリンク" xfId="3721" builtinId="8" hidden="1"/>
    <cellStyle name="ハイパーリンク" xfId="3723" builtinId="8" hidden="1"/>
    <cellStyle name="ハイパーリンク" xfId="3725" builtinId="8" hidden="1"/>
    <cellStyle name="ハイパーリンク" xfId="3727" builtinId="8" hidden="1"/>
    <cellStyle name="ハイパーリンク" xfId="3729" builtinId="8" hidden="1"/>
    <cellStyle name="ハイパーリンク" xfId="3731" builtinId="8" hidden="1"/>
    <cellStyle name="ハイパーリンク" xfId="3733" builtinId="8" hidden="1"/>
    <cellStyle name="ハイパーリンク" xfId="3735" builtinId="8" hidden="1"/>
    <cellStyle name="ハイパーリンク" xfId="3737" builtinId="8" hidden="1"/>
    <cellStyle name="ハイパーリンク" xfId="3739" builtinId="8" hidden="1"/>
    <cellStyle name="ハイパーリンク" xfId="3741" builtinId="8" hidden="1"/>
    <cellStyle name="ハイパーリンク" xfId="3743" builtinId="8" hidden="1"/>
    <cellStyle name="ハイパーリンク" xfId="3745" builtinId="8" hidden="1"/>
    <cellStyle name="ハイパーリンク" xfId="3747" builtinId="8" hidden="1"/>
    <cellStyle name="ハイパーリンク" xfId="3749" builtinId="8" hidden="1"/>
    <cellStyle name="ハイパーリンク" xfId="3751" builtinId="8" hidden="1"/>
    <cellStyle name="ハイパーリンク" xfId="3753" builtinId="8" hidden="1"/>
    <cellStyle name="ハイパーリンク" xfId="3755" builtinId="8" hidden="1"/>
    <cellStyle name="ハイパーリンク" xfId="3757" builtinId="8" hidden="1"/>
    <cellStyle name="ハイパーリンク" xfId="3759" builtinId="8" hidden="1"/>
    <cellStyle name="ハイパーリンク" xfId="3761" builtinId="8" hidden="1"/>
    <cellStyle name="ハイパーリンク" xfId="3763" builtinId="8" hidden="1"/>
    <cellStyle name="ハイパーリンク" xfId="3765" builtinId="8" hidden="1"/>
    <cellStyle name="ハイパーリンク" xfId="3767" builtinId="8" hidden="1"/>
    <cellStyle name="ハイパーリンク" xfId="3769" builtinId="8" hidden="1"/>
    <cellStyle name="ハイパーリンク" xfId="3771" builtinId="8" hidden="1"/>
    <cellStyle name="ハイパーリンク" xfId="3773" builtinId="8" hidden="1"/>
    <cellStyle name="ハイパーリンク" xfId="3775" builtinId="8" hidden="1"/>
    <cellStyle name="ハイパーリンク" xfId="3777" builtinId="8" hidden="1"/>
    <cellStyle name="ハイパーリンク" xfId="3779" builtinId="8" hidden="1"/>
    <cellStyle name="ハイパーリンク" xfId="3781" builtinId="8" hidden="1"/>
    <cellStyle name="ハイパーリンク" xfId="3783" builtinId="8" hidden="1"/>
    <cellStyle name="ハイパーリンク" xfId="3785" builtinId="8" hidden="1"/>
    <cellStyle name="ハイパーリンク" xfId="3787" builtinId="8" hidden="1"/>
    <cellStyle name="ハイパーリンク" xfId="3789" builtinId="8" hidden="1"/>
    <cellStyle name="ハイパーリンク" xfId="3791" builtinId="8" hidden="1"/>
    <cellStyle name="ハイパーリンク" xfId="3793" builtinId="8" hidden="1"/>
    <cellStyle name="ハイパーリンク" xfId="3795" builtinId="8" hidden="1"/>
    <cellStyle name="ハイパーリンク" xfId="3797" builtinId="8" hidden="1"/>
    <cellStyle name="ハイパーリンク" xfId="3799" builtinId="8" hidden="1"/>
    <cellStyle name="ハイパーリンク" xfId="3801" builtinId="8" hidden="1"/>
    <cellStyle name="ハイパーリンク" xfId="3803" builtinId="8" hidden="1"/>
    <cellStyle name="ハイパーリンク" xfId="3805" builtinId="8" hidden="1"/>
    <cellStyle name="ハイパーリンク" xfId="3807" builtinId="8" hidden="1"/>
    <cellStyle name="ハイパーリンク" xfId="3809" builtinId="8" hidden="1"/>
    <cellStyle name="ハイパーリンク" xfId="3811" builtinId="8" hidden="1"/>
    <cellStyle name="ハイパーリンク" xfId="3813" builtinId="8" hidden="1"/>
    <cellStyle name="ハイパーリンク" xfId="3815" builtinId="8" hidden="1"/>
    <cellStyle name="ハイパーリンク" xfId="3817" builtinId="8" hidden="1"/>
    <cellStyle name="ハイパーリンク" xfId="3819" builtinId="8" hidden="1"/>
    <cellStyle name="ハイパーリンク" xfId="3821" builtinId="8" hidden="1"/>
    <cellStyle name="ハイパーリンク" xfId="3823" builtinId="8" hidden="1"/>
    <cellStyle name="ハイパーリンク" xfId="3825" builtinId="8" hidden="1"/>
    <cellStyle name="ハイパーリンク" xfId="3827" builtinId="8" hidden="1"/>
    <cellStyle name="ハイパーリンク" xfId="3829" builtinId="8" hidden="1"/>
    <cellStyle name="ハイパーリンク" xfId="3831" builtinId="8" hidden="1"/>
    <cellStyle name="ハイパーリンク" xfId="3833" builtinId="8" hidden="1"/>
    <cellStyle name="ハイパーリンク" xfId="3835" builtinId="8" hidden="1"/>
    <cellStyle name="ハイパーリンク" xfId="3837" builtinId="8" hidden="1"/>
    <cellStyle name="ハイパーリンク" xfId="3839" builtinId="8" hidden="1"/>
    <cellStyle name="ハイパーリンク" xfId="3841" builtinId="8" hidden="1"/>
    <cellStyle name="ハイパーリンク" xfId="3843" builtinId="8" hidden="1"/>
    <cellStyle name="ハイパーリンク" xfId="3845" builtinId="8" hidden="1"/>
    <cellStyle name="ハイパーリンク" xfId="3847" builtinId="8" hidden="1"/>
    <cellStyle name="ハイパーリンク" xfId="3849" builtinId="8" hidden="1"/>
    <cellStyle name="ハイパーリンク" xfId="3851" builtinId="8" hidden="1"/>
    <cellStyle name="ハイパーリンク" xfId="3853" builtinId="8" hidden="1"/>
    <cellStyle name="ハイパーリンク" xfId="3855" builtinId="8" hidden="1"/>
    <cellStyle name="ハイパーリンク" xfId="3857" builtinId="8" hidden="1"/>
    <cellStyle name="ハイパーリンク" xfId="3859" builtinId="8" hidden="1"/>
    <cellStyle name="ハイパーリンク" xfId="3861" builtinId="8" hidden="1"/>
    <cellStyle name="ハイパーリンク" xfId="3863" builtinId="8" hidden="1"/>
    <cellStyle name="ハイパーリンク" xfId="3865" builtinId="8" hidden="1"/>
    <cellStyle name="ハイパーリンク" xfId="3867" builtinId="8" hidden="1"/>
    <cellStyle name="ハイパーリンク" xfId="3869" builtinId="8" hidden="1"/>
    <cellStyle name="ハイパーリンク" xfId="3871" builtinId="8" hidden="1"/>
    <cellStyle name="ハイパーリンク" xfId="3873" builtinId="8" hidden="1"/>
    <cellStyle name="ハイパーリンク" xfId="3875" builtinId="8" hidden="1"/>
    <cellStyle name="ハイパーリンク" xfId="3877" builtinId="8" hidden="1"/>
    <cellStyle name="ハイパーリンク" xfId="3879" builtinId="8" hidden="1"/>
    <cellStyle name="ハイパーリンク" xfId="3881" builtinId="8" hidden="1"/>
    <cellStyle name="ハイパーリンク" xfId="3883" builtinId="8" hidden="1"/>
    <cellStyle name="ハイパーリンク" xfId="3885" builtinId="8" hidden="1"/>
    <cellStyle name="ハイパーリンク" xfId="3887" builtinId="8" hidden="1"/>
    <cellStyle name="ハイパーリンク" xfId="3889" builtinId="8" hidden="1"/>
    <cellStyle name="ハイパーリンク" xfId="3891" builtinId="8" hidden="1"/>
    <cellStyle name="ハイパーリンク" xfId="3893" builtinId="8" hidden="1"/>
    <cellStyle name="ハイパーリンク" xfId="3895" builtinId="8" hidden="1"/>
    <cellStyle name="ハイパーリンク" xfId="3897" builtinId="8" hidden="1"/>
    <cellStyle name="ハイパーリンク" xfId="3899" builtinId="8" hidden="1"/>
    <cellStyle name="ハイパーリンク" xfId="3901" builtinId="8" hidden="1"/>
    <cellStyle name="ハイパーリンク" xfId="3903" builtinId="8" hidden="1"/>
    <cellStyle name="ハイパーリンク" xfId="3905" builtinId="8" hidden="1"/>
    <cellStyle name="ハイパーリンク" xfId="3907" builtinId="8" hidden="1"/>
    <cellStyle name="ハイパーリンク" xfId="3909" builtinId="8" hidden="1"/>
    <cellStyle name="ハイパーリンク" xfId="3911" builtinId="8" hidden="1"/>
    <cellStyle name="ハイパーリンク" xfId="3913" builtinId="8" hidden="1"/>
    <cellStyle name="ハイパーリンク" xfId="3915" builtinId="8" hidden="1"/>
    <cellStyle name="ハイパーリンク" xfId="3917" builtinId="8" hidden="1"/>
    <cellStyle name="ハイパーリンク" xfId="3919" builtinId="8" hidden="1"/>
    <cellStyle name="ハイパーリンク" xfId="3921" builtinId="8" hidden="1"/>
    <cellStyle name="ハイパーリンク" xfId="3923" builtinId="8" hidden="1"/>
    <cellStyle name="ハイパーリンク" xfId="3925" builtinId="8" hidden="1"/>
    <cellStyle name="ハイパーリンク" xfId="3927" builtinId="8" hidden="1"/>
    <cellStyle name="ハイパーリンク" xfId="3929" builtinId="8" hidden="1"/>
    <cellStyle name="ハイパーリンク" xfId="3931" builtinId="8" hidden="1"/>
    <cellStyle name="ハイパーリンク" xfId="3933" builtinId="8" hidden="1"/>
    <cellStyle name="ハイパーリンク" xfId="3935" builtinId="8" hidden="1"/>
    <cellStyle name="ハイパーリンク" xfId="3937" builtinId="8" hidden="1"/>
    <cellStyle name="ハイパーリンク" xfId="3939" builtinId="8" hidden="1"/>
    <cellStyle name="ハイパーリンク" xfId="3941" builtinId="8" hidden="1"/>
    <cellStyle name="ハイパーリンク" xfId="3943" builtinId="8" hidden="1"/>
    <cellStyle name="ハイパーリンク" xfId="3945" builtinId="8" hidden="1"/>
    <cellStyle name="ハイパーリンク" xfId="3947" builtinId="8" hidden="1"/>
    <cellStyle name="ハイパーリンク" xfId="3949" builtinId="8" hidden="1"/>
    <cellStyle name="ハイパーリンク" xfId="3951" builtinId="8" hidden="1"/>
    <cellStyle name="ハイパーリンク" xfId="3953" builtinId="8" hidden="1"/>
    <cellStyle name="ハイパーリンク" xfId="3955" builtinId="8" hidden="1"/>
    <cellStyle name="ハイパーリンク" xfId="3957" builtinId="8" hidden="1"/>
    <cellStyle name="ハイパーリンク" xfId="3959" builtinId="8" hidden="1"/>
    <cellStyle name="ハイパーリンク" xfId="3961" builtinId="8" hidden="1"/>
    <cellStyle name="ハイパーリンク" xfId="3963" builtinId="8" hidden="1"/>
    <cellStyle name="ハイパーリンク" xfId="3965" builtinId="8" hidden="1"/>
    <cellStyle name="ハイパーリンク" xfId="3967" builtinId="8" hidden="1"/>
    <cellStyle name="ハイパーリンク" xfId="3969" builtinId="8" hidden="1"/>
    <cellStyle name="ハイパーリンク" xfId="3971" builtinId="8" hidden="1"/>
    <cellStyle name="ハイパーリンク" xfId="3973" builtinId="8" hidden="1"/>
    <cellStyle name="ハイパーリンク" xfId="3975" builtinId="8" hidden="1"/>
    <cellStyle name="ハイパーリンク" xfId="3977" builtinId="8" hidden="1"/>
    <cellStyle name="ハイパーリンク" xfId="3979" builtinId="8" hidden="1"/>
    <cellStyle name="ハイパーリンク" xfId="3981" builtinId="8" hidden="1"/>
    <cellStyle name="ハイパーリンク" xfId="3983" builtinId="8" hidden="1"/>
    <cellStyle name="ハイパーリンク" xfId="3985" builtinId="8" hidden="1"/>
    <cellStyle name="ハイパーリンク" xfId="3987" builtinId="8" hidden="1"/>
    <cellStyle name="ハイパーリンク" xfId="3989" builtinId="8" hidden="1"/>
    <cellStyle name="ハイパーリンク" xfId="3991" builtinId="8" hidden="1"/>
    <cellStyle name="ハイパーリンク" xfId="3993" builtinId="8" hidden="1"/>
    <cellStyle name="ハイパーリンク" xfId="3995" builtinId="8" hidden="1"/>
    <cellStyle name="ハイパーリンク" xfId="3997" builtinId="8" hidden="1"/>
    <cellStyle name="ハイパーリンク" xfId="3999" builtinId="8" hidden="1"/>
    <cellStyle name="ハイパーリンク" xfId="4001" builtinId="8" hidden="1"/>
    <cellStyle name="ハイパーリンク" xfId="4003" builtinId="8" hidden="1"/>
    <cellStyle name="ハイパーリンク" xfId="4005" builtinId="8" hidden="1"/>
    <cellStyle name="ハイパーリンク" xfId="4007" builtinId="8" hidden="1"/>
    <cellStyle name="ハイパーリンク" xfId="4009" builtinId="8" hidden="1"/>
    <cellStyle name="ハイパーリンク" xfId="4011" builtinId="8" hidden="1"/>
    <cellStyle name="ハイパーリンク" xfId="4013" builtinId="8" hidden="1"/>
    <cellStyle name="ハイパーリンク" xfId="4015" builtinId="8" hidden="1"/>
    <cellStyle name="ハイパーリンク" xfId="4017" builtinId="8" hidden="1"/>
    <cellStyle name="ハイパーリンク" xfId="4019" builtinId="8" hidden="1"/>
    <cellStyle name="ハイパーリンク" xfId="4021" builtinId="8" hidden="1"/>
    <cellStyle name="ハイパーリンク" xfId="4023" builtinId="8" hidden="1"/>
    <cellStyle name="ハイパーリンク" xfId="4025" builtinId="8" hidden="1"/>
    <cellStyle name="ハイパーリンク" xfId="4027" builtinId="8" hidden="1"/>
    <cellStyle name="ハイパーリンク" xfId="4029" builtinId="8" hidden="1"/>
    <cellStyle name="ハイパーリンク" xfId="4031" builtinId="8" hidden="1"/>
    <cellStyle name="ハイパーリンク" xfId="4033" builtinId="8" hidden="1"/>
    <cellStyle name="ハイパーリンク" xfId="4035" builtinId="8" hidden="1"/>
    <cellStyle name="ハイパーリンク" xfId="4037" builtinId="8" hidden="1"/>
    <cellStyle name="ハイパーリンク" xfId="4039" builtinId="8" hidden="1"/>
    <cellStyle name="ハイパーリンク" xfId="4041" builtinId="8" hidden="1"/>
    <cellStyle name="ハイパーリンク" xfId="4043" builtinId="8" hidden="1"/>
    <cellStyle name="ハイパーリンク" xfId="4045" builtinId="8" hidden="1"/>
    <cellStyle name="ハイパーリンク" xfId="4047" builtinId="8" hidden="1"/>
    <cellStyle name="ハイパーリンク" xfId="4049" builtinId="8" hidden="1"/>
    <cellStyle name="ハイパーリンク" xfId="4051" builtinId="8" hidden="1"/>
    <cellStyle name="ハイパーリンク" xfId="4053" builtinId="8" hidden="1"/>
    <cellStyle name="ハイパーリンク" xfId="4055" builtinId="8" hidden="1"/>
    <cellStyle name="ハイパーリンク" xfId="4057" builtinId="8" hidden="1"/>
    <cellStyle name="ハイパーリンク" xfId="4059" builtinId="8" hidden="1"/>
    <cellStyle name="ハイパーリンク" xfId="4061" builtinId="8" hidden="1"/>
    <cellStyle name="ハイパーリンク" xfId="4063" builtinId="8" hidden="1"/>
    <cellStyle name="ハイパーリンク" xfId="4065" builtinId="8" hidden="1"/>
    <cellStyle name="ハイパーリンク" xfId="4067" builtinId="8" hidden="1"/>
    <cellStyle name="ハイパーリンク" xfId="4069" builtinId="8" hidden="1"/>
    <cellStyle name="ハイパーリンク" xfId="4071" builtinId="8" hidden="1"/>
    <cellStyle name="ハイパーリンク" xfId="4073" builtinId="8" hidden="1"/>
    <cellStyle name="ハイパーリンク" xfId="4075" builtinId="8" hidden="1"/>
    <cellStyle name="ハイパーリンク" xfId="4077" builtinId="8" hidden="1"/>
    <cellStyle name="ハイパーリンク" xfId="4079" builtinId="8" hidden="1"/>
    <cellStyle name="ハイパーリンク" xfId="4081" builtinId="8" hidden="1"/>
    <cellStyle name="ハイパーリンク" xfId="4083" builtinId="8" hidden="1"/>
    <cellStyle name="ハイパーリンク" xfId="4085" builtinId="8" hidden="1"/>
    <cellStyle name="ハイパーリンク" xfId="4087" builtinId="8" hidden="1"/>
    <cellStyle name="ハイパーリンク" xfId="4089" builtinId="8" hidden="1"/>
    <cellStyle name="ハイパーリンク" xfId="4091" builtinId="8" hidden="1"/>
    <cellStyle name="ハイパーリンク" xfId="4093" builtinId="8" hidden="1"/>
    <cellStyle name="ハイパーリンク" xfId="4095" builtinId="8" hidden="1"/>
    <cellStyle name="ハイパーリンク" xfId="4097" builtinId="8" hidden="1"/>
    <cellStyle name="ハイパーリンク" xfId="4099" builtinId="8" hidden="1"/>
    <cellStyle name="ハイパーリンク" xfId="4101" builtinId="8" hidden="1"/>
    <cellStyle name="ハイパーリンク" xfId="4103" builtinId="8" hidden="1"/>
    <cellStyle name="ハイパーリンク" xfId="4105" builtinId="8" hidden="1"/>
    <cellStyle name="ハイパーリンク" xfId="4107" builtinId="8" hidden="1"/>
    <cellStyle name="ハイパーリンク" xfId="4109" builtinId="8" hidden="1"/>
    <cellStyle name="ハイパーリンク" xfId="4111" builtinId="8" hidden="1"/>
    <cellStyle name="ハイパーリンク" xfId="4113" builtinId="8" hidden="1"/>
    <cellStyle name="ハイパーリンク" xfId="4115" builtinId="8" hidden="1"/>
    <cellStyle name="ハイパーリンク" xfId="4117" builtinId="8" hidden="1"/>
    <cellStyle name="ハイパーリンク" xfId="4119" builtinId="8" hidden="1"/>
    <cellStyle name="ハイパーリンク" xfId="4121" builtinId="8" hidden="1"/>
    <cellStyle name="ハイパーリンク" xfId="4123" builtinId="8" hidden="1"/>
    <cellStyle name="ハイパーリンク" xfId="4125" builtinId="8" hidden="1"/>
    <cellStyle name="ハイパーリンク" xfId="4127" builtinId="8" hidden="1"/>
    <cellStyle name="ハイパーリンク" xfId="4129" builtinId="8" hidden="1"/>
    <cellStyle name="ハイパーリンク" xfId="4131" builtinId="8" hidden="1"/>
    <cellStyle name="ハイパーリンク" xfId="4133" builtinId="8" hidden="1"/>
    <cellStyle name="ハイパーリンク" xfId="4135" builtinId="8" hidden="1"/>
    <cellStyle name="ハイパーリンク" xfId="4137" builtinId="8" hidden="1"/>
    <cellStyle name="ハイパーリンク" xfId="4139" builtinId="8" hidden="1"/>
    <cellStyle name="ハイパーリンク" xfId="4141" builtinId="8" hidden="1"/>
    <cellStyle name="ハイパーリンク" xfId="4143" builtinId="8" hidden="1"/>
    <cellStyle name="ハイパーリンク" xfId="4145" builtinId="8" hidden="1"/>
    <cellStyle name="ハイパーリンク" xfId="4147" builtinId="8" hidden="1"/>
    <cellStyle name="ハイパーリンク" xfId="4149" builtinId="8" hidden="1"/>
    <cellStyle name="ハイパーリンク" xfId="4151" builtinId="8" hidden="1"/>
    <cellStyle name="ハイパーリンク" xfId="4153" builtinId="8" hidden="1"/>
    <cellStyle name="ハイパーリンク" xfId="4155" builtinId="8" hidden="1"/>
    <cellStyle name="ハイパーリンク" xfId="4157" builtinId="8" hidden="1"/>
    <cellStyle name="ハイパーリンク" xfId="4159" builtinId="8" hidden="1"/>
    <cellStyle name="ハイパーリンク" xfId="4161" builtinId="8" hidden="1"/>
    <cellStyle name="ハイパーリンク" xfId="4163" builtinId="8" hidden="1"/>
    <cellStyle name="ハイパーリンク" xfId="4165" builtinId="8" hidden="1"/>
    <cellStyle name="ハイパーリンク" xfId="4167" builtinId="8" hidden="1"/>
    <cellStyle name="ハイパーリンク" xfId="4169" builtinId="8" hidden="1"/>
    <cellStyle name="ハイパーリンク" xfId="4171" builtinId="8" hidden="1"/>
    <cellStyle name="ハイパーリンク" xfId="4173" builtinId="8" hidden="1"/>
    <cellStyle name="ハイパーリンク" xfId="4175" builtinId="8" hidden="1"/>
    <cellStyle name="ハイパーリンク" xfId="4177" builtinId="8" hidden="1"/>
    <cellStyle name="ハイパーリンク" xfId="4179" builtinId="8" hidden="1"/>
    <cellStyle name="ハイパーリンク" xfId="4181" builtinId="8" hidden="1"/>
    <cellStyle name="ハイパーリンク" xfId="4183" builtinId="8" hidden="1"/>
    <cellStyle name="ハイパーリンク" xfId="4185" builtinId="8" hidden="1"/>
    <cellStyle name="ハイパーリンク" xfId="4187" builtinId="8" hidden="1"/>
    <cellStyle name="ハイパーリンク" xfId="4189" builtinId="8" hidden="1"/>
    <cellStyle name="ハイパーリンク" xfId="4191" builtinId="8" hidden="1"/>
    <cellStyle name="ハイパーリンク" xfId="4193" builtinId="8" hidden="1"/>
    <cellStyle name="ハイパーリンク" xfId="4195" builtinId="8" hidden="1"/>
    <cellStyle name="ハイパーリンク" xfId="4197" builtinId="8" hidden="1"/>
    <cellStyle name="ハイパーリンク" xfId="4199" builtinId="8" hidden="1"/>
    <cellStyle name="ハイパーリンク" xfId="4201" builtinId="8" hidden="1"/>
    <cellStyle name="ハイパーリンク" xfId="4203" builtinId="8" hidden="1"/>
    <cellStyle name="ハイパーリンク" xfId="4205" builtinId="8" hidden="1"/>
    <cellStyle name="ハイパーリンク" xfId="4207" builtinId="8" hidden="1"/>
    <cellStyle name="ハイパーリンク" xfId="4209" builtinId="8" hidden="1"/>
    <cellStyle name="ハイパーリンク" xfId="4211" builtinId="8" hidden="1"/>
    <cellStyle name="ハイパーリンク" xfId="4213" builtinId="8" hidden="1"/>
    <cellStyle name="ハイパーリンク" xfId="4215" builtinId="8" hidden="1"/>
    <cellStyle name="ハイパーリンク" xfId="4217" builtinId="8" hidden="1"/>
    <cellStyle name="ハイパーリンク" xfId="4219" builtinId="8" hidden="1"/>
    <cellStyle name="ハイパーリンク" xfId="4221" builtinId="8" hidden="1"/>
    <cellStyle name="ハイパーリンク" xfId="4223" builtinId="8" hidden="1"/>
    <cellStyle name="ハイパーリンク" xfId="4225" builtinId="8" hidden="1"/>
    <cellStyle name="ハイパーリンク" xfId="4227" builtinId="8" hidden="1"/>
    <cellStyle name="ハイパーリンク" xfId="4229" builtinId="8" hidden="1"/>
    <cellStyle name="ハイパーリンク" xfId="4231" builtinId="8" hidden="1"/>
    <cellStyle name="ハイパーリンク" xfId="4233" builtinId="8" hidden="1"/>
    <cellStyle name="ハイパーリンク" xfId="4235" builtinId="8" hidden="1"/>
    <cellStyle name="ハイパーリンク" xfId="4237" builtinId="8" hidden="1"/>
    <cellStyle name="ハイパーリンク" xfId="4239" builtinId="8" hidden="1"/>
    <cellStyle name="ハイパーリンク" xfId="4241" builtinId="8" hidden="1"/>
    <cellStyle name="ハイパーリンク" xfId="4243" builtinId="8" hidden="1"/>
    <cellStyle name="ハイパーリンク" xfId="4245" builtinId="8" hidden="1"/>
    <cellStyle name="ハイパーリンク" xfId="4247" builtinId="8" hidden="1"/>
    <cellStyle name="ハイパーリンク" xfId="4249" builtinId="8" hidden="1"/>
    <cellStyle name="ハイパーリンク" xfId="4251" builtinId="8" hidden="1"/>
    <cellStyle name="ハイパーリンク" xfId="4253" builtinId="8" hidden="1"/>
    <cellStyle name="ハイパーリンク" xfId="4255" builtinId="8" hidden="1"/>
    <cellStyle name="ハイパーリンク" xfId="4257" builtinId="8" hidden="1"/>
    <cellStyle name="ハイパーリンク" xfId="4259" builtinId="8" hidden="1"/>
    <cellStyle name="ハイパーリンク" xfId="4261" builtinId="8" hidden="1"/>
    <cellStyle name="ハイパーリンク" xfId="4263" builtinId="8" hidden="1"/>
    <cellStyle name="ハイパーリンク" xfId="4265" builtinId="8" hidden="1"/>
    <cellStyle name="ハイパーリンク" xfId="4267" builtinId="8" hidden="1"/>
    <cellStyle name="ハイパーリンク" xfId="4269" builtinId="8" hidden="1"/>
    <cellStyle name="ハイパーリンク" xfId="4271" builtinId="8" hidden="1"/>
    <cellStyle name="ハイパーリンク" xfId="4273" builtinId="8" hidden="1"/>
    <cellStyle name="ハイパーリンク" xfId="4275" builtinId="8" hidden="1"/>
    <cellStyle name="ハイパーリンク" xfId="4277" builtinId="8" hidden="1"/>
    <cellStyle name="ハイパーリンク" xfId="4279" builtinId="8" hidden="1"/>
    <cellStyle name="ハイパーリンク" xfId="4281" builtinId="8" hidden="1"/>
    <cellStyle name="ハイパーリンク" xfId="4283" builtinId="8" hidden="1"/>
    <cellStyle name="ハイパーリンク" xfId="4285" builtinId="8" hidden="1"/>
    <cellStyle name="ハイパーリンク" xfId="4287" builtinId="8" hidden="1"/>
    <cellStyle name="ハイパーリンク" xfId="4289" builtinId="8" hidden="1"/>
    <cellStyle name="ハイパーリンク" xfId="4291" builtinId="8" hidden="1"/>
    <cellStyle name="ハイパーリンク" xfId="4293" builtinId="8" hidden="1"/>
    <cellStyle name="ハイパーリンク" xfId="4295" builtinId="8" hidden="1"/>
    <cellStyle name="ハイパーリンク" xfId="4297" builtinId="8" hidden="1"/>
    <cellStyle name="ハイパーリンク" xfId="4299" builtinId="8" hidden="1"/>
    <cellStyle name="ハイパーリンク" xfId="4301" builtinId="8" hidden="1"/>
    <cellStyle name="ハイパーリンク" xfId="4303" builtinId="8" hidden="1"/>
    <cellStyle name="ハイパーリンク" xfId="4305" builtinId="8" hidden="1"/>
    <cellStyle name="ハイパーリンク" xfId="4307" builtinId="8" hidden="1"/>
    <cellStyle name="ハイパーリンク" xfId="4309" builtinId="8" hidden="1"/>
    <cellStyle name="ハイパーリンク" xfId="4311" builtinId="8" hidden="1"/>
    <cellStyle name="ハイパーリンク" xfId="4313" builtinId="8" hidden="1"/>
    <cellStyle name="ハイパーリンク" xfId="4315" builtinId="8" hidden="1"/>
    <cellStyle name="ハイパーリンク" xfId="4317" builtinId="8" hidden="1"/>
    <cellStyle name="ハイパーリンク" xfId="4319" builtinId="8" hidden="1"/>
    <cellStyle name="ハイパーリンク" xfId="4321" builtinId="8" hidden="1"/>
    <cellStyle name="ハイパーリンク" xfId="4323" builtinId="8" hidden="1"/>
    <cellStyle name="ハイパーリンク" xfId="4325" builtinId="8" hidden="1"/>
    <cellStyle name="ハイパーリンク" xfId="4327" builtinId="8" hidden="1"/>
    <cellStyle name="ハイパーリンク" xfId="4329" builtinId="8" hidden="1"/>
    <cellStyle name="ハイパーリンク" xfId="4331" builtinId="8" hidden="1"/>
    <cellStyle name="ハイパーリンク" xfId="4333" builtinId="8" hidden="1"/>
    <cellStyle name="ハイパーリンク" xfId="4335" builtinId="8" hidden="1"/>
    <cellStyle name="ハイパーリンク" xfId="4337" builtinId="8" hidden="1"/>
    <cellStyle name="ハイパーリンク" xfId="4339" builtinId="8" hidden="1"/>
    <cellStyle name="ハイパーリンク" xfId="4341" builtinId="8" hidden="1"/>
    <cellStyle name="ハイパーリンク" xfId="4343" builtinId="8" hidden="1"/>
    <cellStyle name="ハイパーリンク" xfId="4345" builtinId="8" hidden="1"/>
    <cellStyle name="ハイパーリンク" xfId="4347" builtinId="8" hidden="1"/>
    <cellStyle name="ハイパーリンク" xfId="4349" builtinId="8" hidden="1"/>
    <cellStyle name="ハイパーリンク" xfId="4351" builtinId="8" hidden="1"/>
    <cellStyle name="ハイパーリンク" xfId="4353" builtinId="8" hidden="1"/>
    <cellStyle name="ハイパーリンク" xfId="4355" builtinId="8" hidden="1"/>
    <cellStyle name="ハイパーリンク" xfId="4357" builtinId="8" hidden="1"/>
    <cellStyle name="ハイパーリンク" xfId="4359" builtinId="8" hidden="1"/>
    <cellStyle name="ハイパーリンク" xfId="4361" builtinId="8" hidden="1"/>
    <cellStyle name="ハイパーリンク" xfId="4363" builtinId="8" hidden="1"/>
    <cellStyle name="ハイパーリンク" xfId="4365" builtinId="8" hidden="1"/>
    <cellStyle name="ハイパーリンク" xfId="4367" builtinId="8" hidden="1"/>
    <cellStyle name="ハイパーリンク" xfId="4369" builtinId="8" hidden="1"/>
    <cellStyle name="ハイパーリンク" xfId="4371" builtinId="8" hidden="1"/>
    <cellStyle name="ハイパーリンク" xfId="4374" builtinId="8" hidden="1"/>
    <cellStyle name="ハイパーリンク" xfId="4376" builtinId="8" hidden="1"/>
    <cellStyle name="ハイパーリンク" xfId="4378" builtinId="8" hidden="1"/>
    <cellStyle name="ハイパーリンク" xfId="4380" builtinId="8" hidden="1"/>
    <cellStyle name="ハイパーリンク" xfId="4382" builtinId="8" hidden="1"/>
    <cellStyle name="ハイパーリンク" xfId="4384" builtinId="8" hidden="1"/>
    <cellStyle name="ハイパーリンク" xfId="4386" builtinId="8" hidden="1"/>
    <cellStyle name="ハイパーリンク" xfId="4388" builtinId="8" hidden="1"/>
    <cellStyle name="ハイパーリンク" xfId="4390" builtinId="8" hidden="1"/>
    <cellStyle name="ハイパーリンク" xfId="4392" builtinId="8" hidden="1"/>
    <cellStyle name="ハイパーリンク" xfId="4394" builtinId="8" hidden="1"/>
    <cellStyle name="ハイパーリンク" xfId="4396" builtinId="8" hidden="1"/>
    <cellStyle name="ハイパーリンク" xfId="4398" builtinId="8" hidden="1"/>
    <cellStyle name="ハイパーリンク" xfId="4400" builtinId="8" hidden="1"/>
    <cellStyle name="ハイパーリンク" xfId="4402" builtinId="8" hidden="1"/>
    <cellStyle name="ハイパーリンク" xfId="4404" builtinId="8" hidden="1"/>
    <cellStyle name="ハイパーリンク" xfId="4406" builtinId="8" hidden="1"/>
    <cellStyle name="ハイパーリンク" xfId="4408" builtinId="8" hidden="1"/>
    <cellStyle name="ハイパーリンク" xfId="4410" builtinId="8" hidden="1"/>
    <cellStyle name="ハイパーリンク" xfId="4412" builtinId="8" hidden="1"/>
    <cellStyle name="ハイパーリンク" xfId="4414" builtinId="8" hidden="1"/>
    <cellStyle name="ハイパーリンク" xfId="4416" builtinId="8" hidden="1"/>
    <cellStyle name="ハイパーリンク" xfId="4418" builtinId="8" hidden="1"/>
    <cellStyle name="ハイパーリンク" xfId="4420" builtinId="8" hidden="1"/>
    <cellStyle name="ハイパーリンク" xfId="4422" builtinId="8" hidden="1"/>
    <cellStyle name="ハイパーリンク" xfId="4424" builtinId="8" hidden="1"/>
    <cellStyle name="ハイパーリンク" xfId="4426" builtinId="8" hidden="1"/>
    <cellStyle name="ハイパーリンク" xfId="4428" builtinId="8" hidden="1"/>
    <cellStyle name="ハイパーリンク" xfId="4430" builtinId="8" hidden="1"/>
    <cellStyle name="ハイパーリンク" xfId="4432" builtinId="8" hidden="1"/>
    <cellStyle name="ハイパーリンク" xfId="4434" builtinId="8" hidden="1"/>
    <cellStyle name="ハイパーリンク" xfId="4436" builtinId="8" hidden="1"/>
    <cellStyle name="ハイパーリンク" xfId="4438" builtinId="8" hidden="1"/>
    <cellStyle name="ハイパーリンク" xfId="4440" builtinId="8" hidden="1"/>
    <cellStyle name="ハイパーリンク" xfId="4442" builtinId="8" hidden="1"/>
    <cellStyle name="ハイパーリンク" xfId="4444" builtinId="8" hidden="1"/>
    <cellStyle name="ハイパーリンク" xfId="4446" builtinId="8" hidden="1"/>
    <cellStyle name="ハイパーリンク" xfId="4448" builtinId="8" hidden="1"/>
    <cellStyle name="ハイパーリンク" xfId="4450" builtinId="8" hidden="1"/>
    <cellStyle name="ハイパーリンク" xfId="4452" builtinId="8" hidden="1"/>
    <cellStyle name="ハイパーリンク" xfId="4454" builtinId="8" hidden="1"/>
    <cellStyle name="ハイパーリンク" xfId="4456" builtinId="8" hidden="1"/>
    <cellStyle name="ハイパーリンク" xfId="4458" builtinId="8" hidden="1"/>
    <cellStyle name="ハイパーリンク" xfId="4460" builtinId="8" hidden="1"/>
    <cellStyle name="ハイパーリンク" xfId="4462" builtinId="8" hidden="1"/>
    <cellStyle name="ハイパーリンク" xfId="4464" builtinId="8" hidden="1"/>
    <cellStyle name="ハイパーリンク" xfId="4466" builtinId="8" hidden="1"/>
    <cellStyle name="ハイパーリンク" xfId="4468" builtinId="8" hidden="1"/>
    <cellStyle name="ハイパーリンク" xfId="4470" builtinId="8" hidden="1"/>
    <cellStyle name="ハイパーリンク" xfId="4472" builtinId="8" hidden="1"/>
    <cellStyle name="ハイパーリンク" xfId="4474" builtinId="8" hidden="1"/>
    <cellStyle name="ハイパーリンク" xfId="4476" builtinId="8" hidden="1"/>
    <cellStyle name="ハイパーリンク" xfId="4478" builtinId="8" hidden="1"/>
    <cellStyle name="ハイパーリンク" xfId="4480" builtinId="8" hidden="1"/>
    <cellStyle name="ハイパーリンク" xfId="4482" builtinId="8" hidden="1"/>
    <cellStyle name="ハイパーリンク" xfId="4484" builtinId="8" hidden="1"/>
    <cellStyle name="ハイパーリンク" xfId="4486" builtinId="8" hidden="1"/>
    <cellStyle name="ハイパーリンク" xfId="4488" builtinId="8" hidden="1"/>
    <cellStyle name="ハイパーリンク" xfId="4490" builtinId="8" hidden="1"/>
    <cellStyle name="ハイパーリンク" xfId="4492" builtinId="8" hidden="1"/>
    <cellStyle name="ハイパーリンク" xfId="4494" builtinId="8" hidden="1"/>
    <cellStyle name="ハイパーリンク" xfId="4496" builtinId="8" hidden="1"/>
    <cellStyle name="ハイパーリンク" xfId="4498" builtinId="8" hidden="1"/>
    <cellStyle name="ハイパーリンク" xfId="4500" builtinId="8" hidden="1"/>
    <cellStyle name="ハイパーリンク" xfId="4502" builtinId="8" hidden="1"/>
    <cellStyle name="ハイパーリンク" xfId="4504" builtinId="8" hidden="1"/>
    <cellStyle name="ハイパーリンク" xfId="4506" builtinId="8" hidden="1"/>
    <cellStyle name="ハイパーリンク" xfId="4508" builtinId="8" hidden="1"/>
    <cellStyle name="ハイパーリンク" xfId="4510" builtinId="8" hidden="1"/>
    <cellStyle name="ハイパーリンク" xfId="4512" builtinId="8" hidden="1"/>
    <cellStyle name="ハイパーリンク" xfId="4514" builtinId="8" hidden="1"/>
    <cellStyle name="ハイパーリンク" xfId="4516" builtinId="8" hidden="1"/>
    <cellStyle name="ハイパーリンク" xfId="4518" builtinId="8" hidden="1"/>
    <cellStyle name="ハイパーリンク" xfId="4520" builtinId="8" hidden="1"/>
    <cellStyle name="ハイパーリンク" xfId="4522" builtinId="8" hidden="1"/>
    <cellStyle name="ハイパーリンク" xfId="4524" builtinId="8" hidden="1"/>
    <cellStyle name="ハイパーリンク" xfId="4526" builtinId="8" hidden="1"/>
    <cellStyle name="ハイパーリンク" xfId="4528" builtinId="8" hidden="1"/>
    <cellStyle name="ハイパーリンク" xfId="4530" builtinId="8" hidden="1"/>
    <cellStyle name="ハイパーリンク" xfId="4532" builtinId="8" hidden="1"/>
    <cellStyle name="ハイパーリンク" xfId="4534" builtinId="8" hidden="1"/>
    <cellStyle name="ハイパーリンク" xfId="4536" builtinId="8" hidden="1"/>
    <cellStyle name="ハイパーリンク" xfId="4538" builtinId="8" hidden="1"/>
    <cellStyle name="ハイパーリンク" xfId="4540" builtinId="8" hidden="1"/>
    <cellStyle name="ハイパーリンク" xfId="4542" builtinId="8" hidden="1"/>
    <cellStyle name="ハイパーリンク" xfId="4544" builtinId="8" hidden="1"/>
    <cellStyle name="ハイパーリンク" xfId="4546" builtinId="8" hidden="1"/>
    <cellStyle name="ハイパーリンク" xfId="4548" builtinId="8" hidden="1"/>
    <cellStyle name="ハイパーリンク" xfId="4550" builtinId="8" hidden="1"/>
    <cellStyle name="ハイパーリンク" xfId="4552" builtinId="8" hidden="1"/>
    <cellStyle name="ハイパーリンク" xfId="4554" builtinId="8" hidden="1"/>
    <cellStyle name="ハイパーリンク" xfId="4556" builtinId="8" hidden="1"/>
    <cellStyle name="ハイパーリンク" xfId="4558" builtinId="8" hidden="1"/>
    <cellStyle name="ハイパーリンク" xfId="4560" builtinId="8" hidden="1"/>
    <cellStyle name="ハイパーリンク" xfId="4562" builtinId="8" hidden="1"/>
    <cellStyle name="ハイパーリンク" xfId="4564" builtinId="8" hidden="1"/>
    <cellStyle name="ハイパーリンク" xfId="4566" builtinId="8" hidden="1"/>
    <cellStyle name="ハイパーリンク" xfId="4568" builtinId="8" hidden="1"/>
    <cellStyle name="ハイパーリンク" xfId="4570" builtinId="8" hidden="1"/>
    <cellStyle name="ハイパーリンク" xfId="4572" builtinId="8" hidden="1"/>
    <cellStyle name="ハイパーリンク" xfId="4574" builtinId="8" hidden="1"/>
    <cellStyle name="ハイパーリンク" xfId="4576" builtinId="8" hidden="1"/>
    <cellStyle name="ハイパーリンク" xfId="4578" builtinId="8" hidden="1"/>
    <cellStyle name="ハイパーリンク" xfId="4580" builtinId="8" hidden="1"/>
    <cellStyle name="ハイパーリンク" xfId="4582" builtinId="8" hidden="1"/>
    <cellStyle name="ハイパーリンク" xfId="4584" builtinId="8" hidden="1"/>
    <cellStyle name="ハイパーリンク" xfId="4586" builtinId="8" hidden="1"/>
    <cellStyle name="ハイパーリンク" xfId="4588" builtinId="8" hidden="1"/>
    <cellStyle name="ハイパーリンク" xfId="4590" builtinId="8" hidden="1"/>
    <cellStyle name="ハイパーリンク" xfId="4592" builtinId="8" hidden="1"/>
    <cellStyle name="ハイパーリンク" xfId="4594" builtinId="8" hidden="1"/>
    <cellStyle name="ハイパーリンク" xfId="4596" builtinId="8" hidden="1"/>
    <cellStyle name="ハイパーリンク" xfId="4598" builtinId="8" hidden="1"/>
    <cellStyle name="ハイパーリンク" xfId="4600" builtinId="8" hidden="1"/>
    <cellStyle name="ハイパーリンク" xfId="4602" builtinId="8" hidden="1"/>
    <cellStyle name="ハイパーリンク" xfId="4604" builtinId="8" hidden="1"/>
    <cellStyle name="ハイパーリンク" xfId="4606" builtinId="8" hidden="1"/>
    <cellStyle name="ハイパーリンク" xfId="4608" builtinId="8" hidden="1"/>
    <cellStyle name="ハイパーリンク" xfId="4610" builtinId="8" hidden="1"/>
    <cellStyle name="ハイパーリンク" xfId="4612" builtinId="8" hidden="1"/>
    <cellStyle name="桁区切り 2" xfId="2"/>
    <cellStyle name="標準" xfId="0" builtinId="0"/>
    <cellStyle name="標準 2" xfId="5"/>
    <cellStyle name="標準 2 2" xfId="4373"/>
    <cellStyle name="標準 3" xfId="6"/>
    <cellStyle name="標準 4" xfId="7"/>
    <cellStyle name="無題1" xfId="8"/>
    <cellStyle name="表示済みのハイパーリンク" xfId="10" builtinId="9" hidden="1"/>
    <cellStyle name="表示済みのハイパーリンク" xfId="12" builtinId="9" hidden="1"/>
    <cellStyle name="表示済みのハイパーリンク" xfId="14" builtinId="9" hidden="1"/>
    <cellStyle name="表示済みのハイパーリンク" xfId="16" builtinId="9" hidden="1"/>
    <cellStyle name="表示済みのハイパーリンク" xfId="18" builtinId="9" hidden="1"/>
    <cellStyle name="表示済みのハイパーリンク" xfId="20" builtinId="9" hidden="1"/>
    <cellStyle name="表示済みのハイパーリンク" xfId="22" builtinId="9" hidden="1"/>
    <cellStyle name="表示済みのハイパーリンク" xfId="24"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 name="表示済みのハイパーリンク" xfId="60" builtinId="9" hidden="1"/>
    <cellStyle name="表示済みのハイパーリンク" xfId="62" builtinId="9" hidden="1"/>
    <cellStyle name="表示済みのハイパーリンク" xfId="64" builtinId="9" hidden="1"/>
    <cellStyle name="表示済みのハイパーリンク" xfId="66" builtinId="9" hidden="1"/>
    <cellStyle name="表示済みのハイパーリンク" xfId="68" builtinId="9" hidden="1"/>
    <cellStyle name="表示済みのハイパーリンク" xfId="70" builtinId="9" hidden="1"/>
    <cellStyle name="表示済みのハイパーリンク" xfId="72" builtinId="9" hidden="1"/>
    <cellStyle name="表示済みのハイパーリンク" xfId="74" builtinId="9" hidden="1"/>
    <cellStyle name="表示済みのハイパーリンク" xfId="76" builtinId="9" hidden="1"/>
    <cellStyle name="表示済みのハイパーリンク" xfId="78" builtinId="9" hidden="1"/>
    <cellStyle name="表示済みのハイパーリンク" xfId="80" builtinId="9" hidden="1"/>
    <cellStyle name="表示済みのハイパーリンク" xfId="82" builtinId="9" hidden="1"/>
    <cellStyle name="表示済みのハイパーリンク" xfId="84" builtinId="9" hidden="1"/>
    <cellStyle name="表示済みのハイパーリンク" xfId="86" builtinId="9" hidden="1"/>
    <cellStyle name="表示済みのハイパーリンク" xfId="88" builtinId="9" hidden="1"/>
    <cellStyle name="表示済みのハイパーリンク" xfId="90" builtinId="9" hidden="1"/>
    <cellStyle name="表示済みのハイパーリンク" xfId="92" builtinId="9" hidden="1"/>
    <cellStyle name="表示済みのハイパーリンク" xfId="94" builtinId="9" hidden="1"/>
    <cellStyle name="表示済みのハイパーリンク" xfId="96" builtinId="9" hidden="1"/>
    <cellStyle name="表示済みのハイパーリンク" xfId="98" builtinId="9" hidden="1"/>
    <cellStyle name="表示済みのハイパーリンク" xfId="100" builtinId="9" hidden="1"/>
    <cellStyle name="表示済みのハイパーリンク" xfId="102" builtinId="9" hidden="1"/>
    <cellStyle name="表示済みのハイパーリンク" xfId="104" builtinId="9" hidden="1"/>
    <cellStyle name="表示済みのハイパーリンク" xfId="106" builtinId="9" hidden="1"/>
    <cellStyle name="表示済みのハイパーリンク" xfId="108" builtinId="9" hidden="1"/>
    <cellStyle name="表示済みのハイパーリンク" xfId="110" builtinId="9" hidden="1"/>
    <cellStyle name="表示済みのハイパーリンク" xfId="112" builtinId="9" hidden="1"/>
    <cellStyle name="表示済みのハイパーリンク" xfId="114" builtinId="9" hidden="1"/>
    <cellStyle name="表示済みのハイパーリンク" xfId="116" builtinId="9" hidden="1"/>
    <cellStyle name="表示済みのハイパーリンク" xfId="118" builtinId="9" hidden="1"/>
    <cellStyle name="表示済みのハイパーリンク" xfId="120" builtinId="9" hidden="1"/>
    <cellStyle name="表示済みのハイパーリンク" xfId="122" builtinId="9" hidden="1"/>
    <cellStyle name="表示済みのハイパーリンク" xfId="124" builtinId="9" hidden="1"/>
    <cellStyle name="表示済みのハイパーリンク" xfId="126" builtinId="9" hidden="1"/>
    <cellStyle name="表示済みのハイパーリンク" xfId="128" builtinId="9" hidden="1"/>
    <cellStyle name="表示済みのハイパーリンク" xfId="130" builtinId="9" hidden="1"/>
    <cellStyle name="表示済みのハイパーリンク" xfId="132" builtinId="9" hidden="1"/>
    <cellStyle name="表示済みのハイパーリンク" xfId="134" builtinId="9" hidden="1"/>
    <cellStyle name="表示済みのハイパーリンク" xfId="136" builtinId="9" hidden="1"/>
    <cellStyle name="表示済みのハイパーリンク" xfId="138" builtinId="9" hidden="1"/>
    <cellStyle name="表示済みのハイパーリンク" xfId="140" builtinId="9" hidden="1"/>
    <cellStyle name="表示済みのハイパーリンク" xfId="142" builtinId="9" hidden="1"/>
    <cellStyle name="表示済みのハイパーリンク" xfId="144" builtinId="9" hidden="1"/>
    <cellStyle name="表示済みのハイパーリンク" xfId="146" builtinId="9" hidden="1"/>
    <cellStyle name="表示済みのハイパーリンク" xfId="148" builtinId="9" hidden="1"/>
    <cellStyle name="表示済みのハイパーリンク" xfId="150" builtinId="9" hidden="1"/>
    <cellStyle name="表示済みのハイパーリンク" xfId="152" builtinId="9" hidden="1"/>
    <cellStyle name="表示済みのハイパーリンク" xfId="154" builtinId="9" hidden="1"/>
    <cellStyle name="表示済みのハイパーリンク" xfId="156" builtinId="9" hidden="1"/>
    <cellStyle name="表示済みのハイパーリンク" xfId="158" builtinId="9" hidden="1"/>
    <cellStyle name="表示済みのハイパーリンク" xfId="160" builtinId="9" hidden="1"/>
    <cellStyle name="表示済みのハイパーリンク" xfId="162" builtinId="9" hidden="1"/>
    <cellStyle name="表示済みのハイパーリンク" xfId="164" builtinId="9" hidden="1"/>
    <cellStyle name="表示済みのハイパーリンク" xfId="166" builtinId="9" hidden="1"/>
    <cellStyle name="表示済みのハイパーリンク" xfId="168" builtinId="9" hidden="1"/>
    <cellStyle name="表示済みのハイパーリンク" xfId="170" builtinId="9" hidden="1"/>
    <cellStyle name="表示済みのハイパーリンク" xfId="172" builtinId="9" hidden="1"/>
    <cellStyle name="表示済みのハイパーリンク" xfId="174" builtinId="9" hidden="1"/>
    <cellStyle name="表示済みのハイパーリンク" xfId="176" builtinId="9" hidden="1"/>
    <cellStyle name="表示済みのハイパーリンク" xfId="178" builtinId="9" hidden="1"/>
    <cellStyle name="表示済みのハイパーリンク" xfId="180" builtinId="9" hidden="1"/>
    <cellStyle name="表示済みのハイパーリンク" xfId="182" builtinId="9" hidden="1"/>
    <cellStyle name="表示済みのハイパーリンク" xfId="184" builtinId="9" hidden="1"/>
    <cellStyle name="表示済みのハイパーリンク" xfId="186" builtinId="9" hidden="1"/>
    <cellStyle name="表示済みのハイパーリンク" xfId="188" builtinId="9" hidden="1"/>
    <cellStyle name="表示済みのハイパーリンク" xfId="190" builtinId="9" hidden="1"/>
    <cellStyle name="表示済みのハイパーリンク" xfId="192" builtinId="9" hidden="1"/>
    <cellStyle name="表示済みのハイパーリンク" xfId="194" builtinId="9" hidden="1"/>
    <cellStyle name="表示済みのハイパーリンク" xfId="196" builtinId="9" hidden="1"/>
    <cellStyle name="表示済みのハイパーリンク" xfId="198" builtinId="9" hidden="1"/>
    <cellStyle name="表示済みのハイパーリンク" xfId="200" builtinId="9" hidden="1"/>
    <cellStyle name="表示済みのハイパーリンク" xfId="202" builtinId="9" hidden="1"/>
    <cellStyle name="表示済みのハイパーリンク" xfId="204" builtinId="9" hidden="1"/>
    <cellStyle name="表示済みのハイパーリンク" xfId="206" builtinId="9" hidden="1"/>
    <cellStyle name="表示済みのハイパーリンク" xfId="208" builtinId="9" hidden="1"/>
    <cellStyle name="表示済みのハイパーリンク" xfId="210" builtinId="9" hidden="1"/>
    <cellStyle name="表示済みのハイパーリンク" xfId="212" builtinId="9" hidden="1"/>
    <cellStyle name="表示済みのハイパーリンク" xfId="214" builtinId="9" hidden="1"/>
    <cellStyle name="表示済みのハイパーリンク" xfId="216" builtinId="9" hidden="1"/>
    <cellStyle name="表示済みのハイパーリンク" xfId="218" builtinId="9" hidden="1"/>
    <cellStyle name="表示済みのハイパーリンク" xfId="220" builtinId="9" hidden="1"/>
    <cellStyle name="表示済みのハイパーリンク" xfId="222" builtinId="9" hidden="1"/>
    <cellStyle name="表示済みのハイパーリンク" xfId="224" builtinId="9" hidden="1"/>
    <cellStyle name="表示済みのハイパーリンク" xfId="226" builtinId="9" hidden="1"/>
    <cellStyle name="表示済みのハイパーリンク" xfId="228" builtinId="9" hidden="1"/>
    <cellStyle name="表示済みのハイパーリンク" xfId="230" builtinId="9" hidden="1"/>
    <cellStyle name="表示済みのハイパーリンク" xfId="232" builtinId="9" hidden="1"/>
    <cellStyle name="表示済みのハイパーリンク" xfId="234" builtinId="9" hidden="1"/>
    <cellStyle name="表示済みのハイパーリンク" xfId="236" builtinId="9" hidden="1"/>
    <cellStyle name="表示済みのハイパーリンク" xfId="238" builtinId="9" hidden="1"/>
    <cellStyle name="表示済みのハイパーリンク" xfId="240" builtinId="9" hidden="1"/>
    <cellStyle name="表示済みのハイパーリンク" xfId="242" builtinId="9" hidden="1"/>
    <cellStyle name="表示済みのハイパーリンク" xfId="244" builtinId="9" hidden="1"/>
    <cellStyle name="表示済みのハイパーリンク" xfId="246" builtinId="9" hidden="1"/>
    <cellStyle name="表示済みのハイパーリンク" xfId="248" builtinId="9" hidden="1"/>
    <cellStyle name="表示済みのハイパーリンク" xfId="250" builtinId="9" hidden="1"/>
    <cellStyle name="表示済みのハイパーリンク" xfId="252" builtinId="9" hidden="1"/>
    <cellStyle name="表示済みのハイパーリンク" xfId="254" builtinId="9" hidden="1"/>
    <cellStyle name="表示済みのハイパーリンク" xfId="256" builtinId="9" hidden="1"/>
    <cellStyle name="表示済みのハイパーリンク" xfId="258" builtinId="9" hidden="1"/>
    <cellStyle name="表示済みのハイパーリンク" xfId="260" builtinId="9" hidden="1"/>
    <cellStyle name="表示済みのハイパーリンク" xfId="262" builtinId="9" hidden="1"/>
    <cellStyle name="表示済みのハイパーリンク" xfId="264" builtinId="9" hidden="1"/>
    <cellStyle name="表示済みのハイパーリンク" xfId="266" builtinId="9" hidden="1"/>
    <cellStyle name="表示済みのハイパーリンク" xfId="268" builtinId="9" hidden="1"/>
    <cellStyle name="表示済みのハイパーリンク" xfId="270" builtinId="9" hidden="1"/>
    <cellStyle name="表示済みのハイパーリンク" xfId="272" builtinId="9" hidden="1"/>
    <cellStyle name="表示済みのハイパーリンク" xfId="274" builtinId="9" hidden="1"/>
    <cellStyle name="表示済みのハイパーリンク" xfId="276" builtinId="9" hidden="1"/>
    <cellStyle name="表示済みのハイパーリンク" xfId="278" builtinId="9" hidden="1"/>
    <cellStyle name="表示済みのハイパーリンク" xfId="280" builtinId="9" hidden="1"/>
    <cellStyle name="表示済みのハイパーリンク" xfId="282" builtinId="9" hidden="1"/>
    <cellStyle name="表示済みのハイパーリンク" xfId="284" builtinId="9" hidden="1"/>
    <cellStyle name="表示済みのハイパーリンク" xfId="286" builtinId="9" hidden="1"/>
    <cellStyle name="表示済みのハイパーリンク" xfId="288" builtinId="9" hidden="1"/>
    <cellStyle name="表示済みのハイパーリンク" xfId="290" builtinId="9" hidden="1"/>
    <cellStyle name="表示済みのハイパーリンク" xfId="292" builtinId="9" hidden="1"/>
    <cellStyle name="表示済みのハイパーリンク" xfId="294" builtinId="9" hidden="1"/>
    <cellStyle name="表示済みのハイパーリンク" xfId="296" builtinId="9" hidden="1"/>
    <cellStyle name="表示済みのハイパーリンク" xfId="298" builtinId="9" hidden="1"/>
    <cellStyle name="表示済みのハイパーリンク" xfId="300" builtinId="9" hidden="1"/>
    <cellStyle name="表示済みのハイパーリンク" xfId="302" builtinId="9" hidden="1"/>
    <cellStyle name="表示済みのハイパーリンク" xfId="304" builtinId="9" hidden="1"/>
    <cellStyle name="表示済みのハイパーリンク" xfId="306" builtinId="9" hidden="1"/>
    <cellStyle name="表示済みのハイパーリンク" xfId="308" builtinId="9" hidden="1"/>
    <cellStyle name="表示済みのハイパーリンク" xfId="310" builtinId="9" hidden="1"/>
    <cellStyle name="表示済みのハイパーリンク" xfId="312" builtinId="9" hidden="1"/>
    <cellStyle name="表示済みのハイパーリンク" xfId="314" builtinId="9" hidden="1"/>
    <cellStyle name="表示済みのハイパーリンク" xfId="316" builtinId="9" hidden="1"/>
    <cellStyle name="表示済みのハイパーリンク" xfId="318" builtinId="9" hidden="1"/>
    <cellStyle name="表示済みのハイパーリンク" xfId="320" builtinId="9" hidden="1"/>
    <cellStyle name="表示済みのハイパーリンク" xfId="322" builtinId="9" hidden="1"/>
    <cellStyle name="表示済みのハイパーリンク" xfId="324" builtinId="9" hidden="1"/>
    <cellStyle name="表示済みのハイパーリンク" xfId="326" builtinId="9" hidden="1"/>
    <cellStyle name="表示済みのハイパーリンク" xfId="328" builtinId="9" hidden="1"/>
    <cellStyle name="表示済みのハイパーリンク" xfId="330" builtinId="9" hidden="1"/>
    <cellStyle name="表示済みのハイパーリンク" xfId="332" builtinId="9" hidden="1"/>
    <cellStyle name="表示済みのハイパーリンク" xfId="334" builtinId="9" hidden="1"/>
    <cellStyle name="表示済みのハイパーリンク" xfId="336" builtinId="9" hidden="1"/>
    <cellStyle name="表示済みのハイパーリンク" xfId="338" builtinId="9" hidden="1"/>
    <cellStyle name="表示済みのハイパーリンク" xfId="340" builtinId="9" hidden="1"/>
    <cellStyle name="表示済みのハイパーリンク" xfId="342" builtinId="9" hidden="1"/>
    <cellStyle name="表示済みのハイパーリンク" xfId="344" builtinId="9" hidden="1"/>
    <cellStyle name="表示済みのハイパーリンク" xfId="346" builtinId="9" hidden="1"/>
    <cellStyle name="表示済みのハイパーリンク" xfId="348" builtinId="9" hidden="1"/>
    <cellStyle name="表示済みのハイパーリンク" xfId="350" builtinId="9" hidden="1"/>
    <cellStyle name="表示済みのハイパーリンク" xfId="352" builtinId="9" hidden="1"/>
    <cellStyle name="表示済みのハイパーリンク" xfId="354" builtinId="9" hidden="1"/>
    <cellStyle name="表示済みのハイパーリンク" xfId="356" builtinId="9" hidden="1"/>
    <cellStyle name="表示済みのハイパーリンク" xfId="358" builtinId="9" hidden="1"/>
    <cellStyle name="表示済みのハイパーリンク" xfId="360" builtinId="9" hidden="1"/>
    <cellStyle name="表示済みのハイパーリンク" xfId="362" builtinId="9" hidden="1"/>
    <cellStyle name="表示済みのハイパーリンク" xfId="364" builtinId="9" hidden="1"/>
    <cellStyle name="表示済みのハイパーリンク" xfId="366" builtinId="9" hidden="1"/>
    <cellStyle name="表示済みのハイパーリンク" xfId="368" builtinId="9" hidden="1"/>
    <cellStyle name="表示済みのハイパーリンク" xfId="370" builtinId="9" hidden="1"/>
    <cellStyle name="表示済みのハイパーリンク" xfId="372" builtinId="9" hidden="1"/>
    <cellStyle name="表示済みのハイパーリンク" xfId="374" builtinId="9" hidden="1"/>
    <cellStyle name="表示済みのハイパーリンク" xfId="376" builtinId="9" hidden="1"/>
    <cellStyle name="表示済みのハイパーリンク" xfId="378" builtinId="9" hidden="1"/>
    <cellStyle name="表示済みのハイパーリンク" xfId="380" builtinId="9" hidden="1"/>
    <cellStyle name="表示済みのハイパーリンク" xfId="382" builtinId="9" hidden="1"/>
    <cellStyle name="表示済みのハイパーリンク" xfId="384" builtinId="9" hidden="1"/>
    <cellStyle name="表示済みのハイパーリンク" xfId="386" builtinId="9" hidden="1"/>
    <cellStyle name="表示済みのハイパーリンク" xfId="388" builtinId="9" hidden="1"/>
    <cellStyle name="表示済みのハイパーリンク" xfId="390" builtinId="9" hidden="1"/>
    <cellStyle name="表示済みのハイパーリンク" xfId="392" builtinId="9" hidden="1"/>
    <cellStyle name="表示済みのハイパーリンク" xfId="394" builtinId="9" hidden="1"/>
    <cellStyle name="表示済みのハイパーリンク" xfId="396" builtinId="9" hidden="1"/>
    <cellStyle name="表示済みのハイパーリンク" xfId="398" builtinId="9" hidden="1"/>
    <cellStyle name="表示済みのハイパーリンク" xfId="400" builtinId="9" hidden="1"/>
    <cellStyle name="表示済みのハイパーリンク" xfId="402" builtinId="9" hidden="1"/>
    <cellStyle name="表示済みのハイパーリンク" xfId="404" builtinId="9" hidden="1"/>
    <cellStyle name="表示済みのハイパーリンク" xfId="406" builtinId="9" hidden="1"/>
    <cellStyle name="表示済みのハイパーリンク" xfId="408" builtinId="9" hidden="1"/>
    <cellStyle name="表示済みのハイパーリンク" xfId="410" builtinId="9" hidden="1"/>
    <cellStyle name="表示済みのハイパーリンク" xfId="412" builtinId="9" hidden="1"/>
    <cellStyle name="表示済みのハイパーリンク" xfId="414" builtinId="9" hidden="1"/>
    <cellStyle name="表示済みのハイパーリンク" xfId="416" builtinId="9" hidden="1"/>
    <cellStyle name="表示済みのハイパーリンク" xfId="418" builtinId="9" hidden="1"/>
    <cellStyle name="表示済みのハイパーリンク" xfId="420" builtinId="9" hidden="1"/>
    <cellStyle name="表示済みのハイパーリンク" xfId="422" builtinId="9" hidden="1"/>
    <cellStyle name="表示済みのハイパーリンク" xfId="424" builtinId="9" hidden="1"/>
    <cellStyle name="表示済みのハイパーリンク" xfId="426" builtinId="9" hidden="1"/>
    <cellStyle name="表示済みのハイパーリンク" xfId="428" builtinId="9" hidden="1"/>
    <cellStyle name="表示済みのハイパーリンク" xfId="430" builtinId="9" hidden="1"/>
    <cellStyle name="表示済みのハイパーリンク" xfId="432" builtinId="9" hidden="1"/>
    <cellStyle name="表示済みのハイパーリンク" xfId="434" builtinId="9" hidden="1"/>
    <cellStyle name="表示済みのハイパーリンク" xfId="436" builtinId="9" hidden="1"/>
    <cellStyle name="表示済みのハイパーリンク" xfId="438" builtinId="9" hidden="1"/>
    <cellStyle name="表示済みのハイパーリンク" xfId="440" builtinId="9" hidden="1"/>
    <cellStyle name="表示済みのハイパーリンク" xfId="442" builtinId="9" hidden="1"/>
    <cellStyle name="表示済みのハイパーリンク" xfId="444" builtinId="9" hidden="1"/>
    <cellStyle name="表示済みのハイパーリンク" xfId="446" builtinId="9" hidden="1"/>
    <cellStyle name="表示済みのハイパーリンク" xfId="448" builtinId="9" hidden="1"/>
    <cellStyle name="表示済みのハイパーリンク" xfId="450" builtinId="9" hidden="1"/>
    <cellStyle name="表示済みのハイパーリンク" xfId="452" builtinId="9" hidden="1"/>
    <cellStyle name="表示済みのハイパーリンク" xfId="454" builtinId="9" hidden="1"/>
    <cellStyle name="表示済みのハイパーリンク" xfId="456" builtinId="9" hidden="1"/>
    <cellStyle name="表示済みのハイパーリンク" xfId="458" builtinId="9" hidden="1"/>
    <cellStyle name="表示済みのハイパーリンク" xfId="460" builtinId="9" hidden="1"/>
    <cellStyle name="表示済みのハイパーリンク" xfId="462" builtinId="9" hidden="1"/>
    <cellStyle name="表示済みのハイパーリンク" xfId="464" builtinId="9" hidden="1"/>
    <cellStyle name="表示済みのハイパーリンク" xfId="466" builtinId="9" hidden="1"/>
    <cellStyle name="表示済みのハイパーリンク" xfId="468" builtinId="9" hidden="1"/>
    <cellStyle name="表示済みのハイパーリンク" xfId="470" builtinId="9" hidden="1"/>
    <cellStyle name="表示済みのハイパーリンク" xfId="472" builtinId="9" hidden="1"/>
    <cellStyle name="表示済みのハイパーリンク" xfId="474" builtinId="9" hidden="1"/>
    <cellStyle name="表示済みのハイパーリンク" xfId="476" builtinId="9" hidden="1"/>
    <cellStyle name="表示済みのハイパーリンク" xfId="478" builtinId="9" hidden="1"/>
    <cellStyle name="表示済みのハイパーリンク" xfId="480" builtinId="9" hidden="1"/>
    <cellStyle name="表示済みのハイパーリンク" xfId="482" builtinId="9" hidden="1"/>
    <cellStyle name="表示済みのハイパーリンク" xfId="484" builtinId="9" hidden="1"/>
    <cellStyle name="表示済みのハイパーリンク" xfId="486" builtinId="9" hidden="1"/>
    <cellStyle name="表示済みのハイパーリンク" xfId="488" builtinId="9" hidden="1"/>
    <cellStyle name="表示済みのハイパーリンク" xfId="490" builtinId="9" hidden="1"/>
    <cellStyle name="表示済みのハイパーリンク" xfId="492" builtinId="9" hidden="1"/>
    <cellStyle name="表示済みのハイパーリンク" xfId="494" builtinId="9" hidden="1"/>
    <cellStyle name="表示済みのハイパーリンク" xfId="496" builtinId="9" hidden="1"/>
    <cellStyle name="表示済みのハイパーリンク" xfId="498" builtinId="9" hidden="1"/>
    <cellStyle name="表示済みのハイパーリンク" xfId="500" builtinId="9" hidden="1"/>
    <cellStyle name="表示済みのハイパーリンク" xfId="502" builtinId="9" hidden="1"/>
    <cellStyle name="表示済みのハイパーリンク" xfId="504" builtinId="9" hidden="1"/>
    <cellStyle name="表示済みのハイパーリンク" xfId="506" builtinId="9" hidden="1"/>
    <cellStyle name="表示済みのハイパーリンク" xfId="508" builtinId="9" hidden="1"/>
    <cellStyle name="表示済みのハイパーリンク" xfId="510" builtinId="9" hidden="1"/>
    <cellStyle name="表示済みのハイパーリンク" xfId="512" builtinId="9" hidden="1"/>
    <cellStyle name="表示済みのハイパーリンク" xfId="514" builtinId="9" hidden="1"/>
    <cellStyle name="表示済みのハイパーリンク" xfId="516" builtinId="9" hidden="1"/>
    <cellStyle name="表示済みのハイパーリンク" xfId="518" builtinId="9" hidden="1"/>
    <cellStyle name="表示済みのハイパーリンク" xfId="520" builtinId="9" hidden="1"/>
    <cellStyle name="表示済みのハイパーリンク" xfId="522" builtinId="9" hidden="1"/>
    <cellStyle name="表示済みのハイパーリンク" xfId="524" builtinId="9" hidden="1"/>
    <cellStyle name="表示済みのハイパーリンク" xfId="526" builtinId="9" hidden="1"/>
    <cellStyle name="表示済みのハイパーリンク" xfId="528" builtinId="9" hidden="1"/>
    <cellStyle name="表示済みのハイパーリンク" xfId="530" builtinId="9" hidden="1"/>
    <cellStyle name="表示済みのハイパーリンク" xfId="532" builtinId="9" hidden="1"/>
    <cellStyle name="表示済みのハイパーリンク" xfId="534" builtinId="9" hidden="1"/>
    <cellStyle name="表示済みのハイパーリンク" xfId="536" builtinId="9" hidden="1"/>
    <cellStyle name="表示済みのハイパーリンク" xfId="538" builtinId="9" hidden="1"/>
    <cellStyle name="表示済みのハイパーリンク" xfId="540" builtinId="9" hidden="1"/>
    <cellStyle name="表示済みのハイパーリンク" xfId="542" builtinId="9" hidden="1"/>
    <cellStyle name="表示済みのハイパーリンク" xfId="544" builtinId="9" hidden="1"/>
    <cellStyle name="表示済みのハイパーリンク" xfId="546" builtinId="9" hidden="1"/>
    <cellStyle name="表示済みのハイパーリンク" xfId="548" builtinId="9" hidden="1"/>
    <cellStyle name="表示済みのハイパーリンク" xfId="550" builtinId="9" hidden="1"/>
    <cellStyle name="表示済みのハイパーリンク" xfId="552" builtinId="9" hidden="1"/>
    <cellStyle name="表示済みのハイパーリンク" xfId="554" builtinId="9" hidden="1"/>
    <cellStyle name="表示済みのハイパーリンク" xfId="556" builtinId="9" hidden="1"/>
    <cellStyle name="表示済みのハイパーリンク" xfId="558" builtinId="9" hidden="1"/>
    <cellStyle name="表示済みのハイパーリンク" xfId="560" builtinId="9" hidden="1"/>
    <cellStyle name="表示済みのハイパーリンク" xfId="562" builtinId="9" hidden="1"/>
    <cellStyle name="表示済みのハイパーリンク" xfId="564" builtinId="9" hidden="1"/>
    <cellStyle name="表示済みのハイパーリンク" xfId="566" builtinId="9" hidden="1"/>
    <cellStyle name="表示済みのハイパーリンク" xfId="568" builtinId="9" hidden="1"/>
    <cellStyle name="表示済みのハイパーリンク" xfId="570" builtinId="9" hidden="1"/>
    <cellStyle name="表示済みのハイパーリンク" xfId="572" builtinId="9" hidden="1"/>
    <cellStyle name="表示済みのハイパーリンク" xfId="574" builtinId="9" hidden="1"/>
    <cellStyle name="表示済みのハイパーリンク" xfId="576" builtinId="9" hidden="1"/>
    <cellStyle name="表示済みのハイパーリンク" xfId="578" builtinId="9" hidden="1"/>
    <cellStyle name="表示済みのハイパーリンク" xfId="580" builtinId="9" hidden="1"/>
    <cellStyle name="表示済みのハイパーリンク" xfId="582" builtinId="9" hidden="1"/>
    <cellStyle name="表示済みのハイパーリンク" xfId="584" builtinId="9" hidden="1"/>
    <cellStyle name="表示済みのハイパーリンク" xfId="586" builtinId="9" hidden="1"/>
    <cellStyle name="表示済みのハイパーリンク" xfId="588" builtinId="9" hidden="1"/>
    <cellStyle name="表示済みのハイパーリンク" xfId="590" builtinId="9" hidden="1"/>
    <cellStyle name="表示済みのハイパーリンク" xfId="592" builtinId="9" hidden="1"/>
    <cellStyle name="表示済みのハイパーリンク" xfId="594" builtinId="9" hidden="1"/>
    <cellStyle name="表示済みのハイパーリンク" xfId="596" builtinId="9" hidden="1"/>
    <cellStyle name="表示済みのハイパーリンク" xfId="598" builtinId="9" hidden="1"/>
    <cellStyle name="表示済みのハイパーリンク" xfId="600" builtinId="9" hidden="1"/>
    <cellStyle name="表示済みのハイパーリンク" xfId="602" builtinId="9" hidden="1"/>
    <cellStyle name="表示済みのハイパーリンク" xfId="604" builtinId="9" hidden="1"/>
    <cellStyle name="表示済みのハイパーリンク" xfId="606" builtinId="9" hidden="1"/>
    <cellStyle name="表示済みのハイパーリンク" xfId="608" builtinId="9" hidden="1"/>
    <cellStyle name="表示済みのハイパーリンク" xfId="610" builtinId="9" hidden="1"/>
    <cellStyle name="表示済みのハイパーリンク" xfId="612" builtinId="9" hidden="1"/>
    <cellStyle name="表示済みのハイパーリンク" xfId="614" builtinId="9" hidden="1"/>
    <cellStyle name="表示済みのハイパーリンク" xfId="616" builtinId="9" hidden="1"/>
    <cellStyle name="表示済みのハイパーリンク" xfId="618" builtinId="9" hidden="1"/>
    <cellStyle name="表示済みのハイパーリンク" xfId="620" builtinId="9" hidden="1"/>
    <cellStyle name="表示済みのハイパーリンク" xfId="622" builtinId="9" hidden="1"/>
    <cellStyle name="表示済みのハイパーリンク" xfId="624" builtinId="9" hidden="1"/>
    <cellStyle name="表示済みのハイパーリンク" xfId="626" builtinId="9" hidden="1"/>
    <cellStyle name="表示済みのハイパーリンク" xfId="628" builtinId="9" hidden="1"/>
    <cellStyle name="表示済みのハイパーリンク" xfId="630" builtinId="9" hidden="1"/>
    <cellStyle name="表示済みのハイパーリンク" xfId="632" builtinId="9" hidden="1"/>
    <cellStyle name="表示済みのハイパーリンク" xfId="634" builtinId="9" hidden="1"/>
    <cellStyle name="表示済みのハイパーリンク" xfId="636" builtinId="9" hidden="1"/>
    <cellStyle name="表示済みのハイパーリンク" xfId="638" builtinId="9" hidden="1"/>
    <cellStyle name="表示済みのハイパーリンク" xfId="640" builtinId="9" hidden="1"/>
    <cellStyle name="表示済みのハイパーリンク" xfId="642" builtinId="9" hidden="1"/>
    <cellStyle name="表示済みのハイパーリンク" xfId="644" builtinId="9" hidden="1"/>
    <cellStyle name="表示済みのハイパーリンク" xfId="646" builtinId="9" hidden="1"/>
    <cellStyle name="表示済みのハイパーリンク" xfId="648" builtinId="9" hidden="1"/>
    <cellStyle name="表示済みのハイパーリンク" xfId="650" builtinId="9" hidden="1"/>
    <cellStyle name="表示済みのハイパーリンク" xfId="652" builtinId="9" hidden="1"/>
    <cellStyle name="表示済みのハイパーリンク" xfId="654" builtinId="9" hidden="1"/>
    <cellStyle name="表示済みのハイパーリンク" xfId="656" builtinId="9" hidden="1"/>
    <cellStyle name="表示済みのハイパーリンク" xfId="658" builtinId="9" hidden="1"/>
    <cellStyle name="表示済みのハイパーリンク" xfId="660" builtinId="9" hidden="1"/>
    <cellStyle name="表示済みのハイパーリンク" xfId="662" builtinId="9" hidden="1"/>
    <cellStyle name="表示済みのハイパーリンク" xfId="664" builtinId="9" hidden="1"/>
    <cellStyle name="表示済みのハイパーリンク" xfId="666" builtinId="9" hidden="1"/>
    <cellStyle name="表示済みのハイパーリンク" xfId="668" builtinId="9" hidden="1"/>
    <cellStyle name="表示済みのハイパーリンク" xfId="670" builtinId="9" hidden="1"/>
    <cellStyle name="表示済みのハイパーリンク" xfId="672" builtinId="9" hidden="1"/>
    <cellStyle name="表示済みのハイパーリンク" xfId="674" builtinId="9" hidden="1"/>
    <cellStyle name="表示済みのハイパーリンク" xfId="676" builtinId="9" hidden="1"/>
    <cellStyle name="表示済みのハイパーリンク" xfId="678" builtinId="9" hidden="1"/>
    <cellStyle name="表示済みのハイパーリンク" xfId="680" builtinId="9" hidden="1"/>
    <cellStyle name="表示済みのハイパーリンク" xfId="682" builtinId="9" hidden="1"/>
    <cellStyle name="表示済みのハイパーリンク" xfId="684" builtinId="9" hidden="1"/>
    <cellStyle name="表示済みのハイパーリンク" xfId="686" builtinId="9" hidden="1"/>
    <cellStyle name="表示済みのハイパーリンク" xfId="688" builtinId="9" hidden="1"/>
    <cellStyle name="表示済みのハイパーリンク" xfId="690" builtinId="9" hidden="1"/>
    <cellStyle name="表示済みのハイパーリンク" xfId="692" builtinId="9" hidden="1"/>
    <cellStyle name="表示済みのハイパーリンク" xfId="694" builtinId="9" hidden="1"/>
    <cellStyle name="表示済みのハイパーリンク" xfId="696" builtinId="9" hidden="1"/>
    <cellStyle name="表示済みのハイパーリンク" xfId="698" builtinId="9" hidden="1"/>
    <cellStyle name="表示済みのハイパーリンク" xfId="700" builtinId="9" hidden="1"/>
    <cellStyle name="表示済みのハイパーリンク" xfId="702" builtinId="9" hidden="1"/>
    <cellStyle name="表示済みのハイパーリンク" xfId="704" builtinId="9" hidden="1"/>
    <cellStyle name="表示済みのハイパーリンク" xfId="706" builtinId="9" hidden="1"/>
    <cellStyle name="表示済みのハイパーリンク" xfId="708" builtinId="9" hidden="1"/>
    <cellStyle name="表示済みのハイパーリンク" xfId="710" builtinId="9" hidden="1"/>
    <cellStyle name="表示済みのハイパーリンク" xfId="712" builtinId="9" hidden="1"/>
    <cellStyle name="表示済みのハイパーリンク" xfId="714" builtinId="9" hidden="1"/>
    <cellStyle name="表示済みのハイパーリンク" xfId="716" builtinId="9" hidden="1"/>
    <cellStyle name="表示済みのハイパーリンク" xfId="718" builtinId="9" hidden="1"/>
    <cellStyle name="表示済みのハイパーリンク" xfId="720" builtinId="9" hidden="1"/>
    <cellStyle name="表示済みのハイパーリンク" xfId="722" builtinId="9" hidden="1"/>
    <cellStyle name="表示済みのハイパーリンク" xfId="724" builtinId="9" hidden="1"/>
    <cellStyle name="表示済みのハイパーリンク" xfId="726" builtinId="9" hidden="1"/>
    <cellStyle name="表示済みのハイパーリンク" xfId="728" builtinId="9" hidden="1"/>
    <cellStyle name="表示済みのハイパーリンク" xfId="730" builtinId="9" hidden="1"/>
    <cellStyle name="表示済みのハイパーリンク" xfId="732" builtinId="9" hidden="1"/>
    <cellStyle name="表示済みのハイパーリンク" xfId="734" builtinId="9" hidden="1"/>
    <cellStyle name="表示済みのハイパーリンク" xfId="736" builtinId="9" hidden="1"/>
    <cellStyle name="表示済みのハイパーリンク" xfId="738" builtinId="9" hidden="1"/>
    <cellStyle name="表示済みのハイパーリンク" xfId="740" builtinId="9" hidden="1"/>
    <cellStyle name="表示済みのハイパーリンク" xfId="742" builtinId="9" hidden="1"/>
    <cellStyle name="表示済みのハイパーリンク" xfId="744" builtinId="9" hidden="1"/>
    <cellStyle name="表示済みのハイパーリンク" xfId="746" builtinId="9" hidden="1"/>
    <cellStyle name="表示済みのハイパーリンク" xfId="748" builtinId="9" hidden="1"/>
    <cellStyle name="表示済みのハイパーリンク" xfId="750" builtinId="9" hidden="1"/>
    <cellStyle name="表示済みのハイパーリンク" xfId="752" builtinId="9" hidden="1"/>
    <cellStyle name="表示済みのハイパーリンク" xfId="754" builtinId="9" hidden="1"/>
    <cellStyle name="表示済みのハイパーリンク" xfId="756" builtinId="9" hidden="1"/>
    <cellStyle name="表示済みのハイパーリンク" xfId="758" builtinId="9" hidden="1"/>
    <cellStyle name="表示済みのハイパーリンク" xfId="760" builtinId="9" hidden="1"/>
    <cellStyle name="表示済みのハイパーリンク" xfId="762" builtinId="9" hidden="1"/>
    <cellStyle name="表示済みのハイパーリンク" xfId="764" builtinId="9" hidden="1"/>
    <cellStyle name="表示済みのハイパーリンク" xfId="766" builtinId="9" hidden="1"/>
    <cellStyle name="表示済みのハイパーリンク" xfId="768" builtinId="9" hidden="1"/>
    <cellStyle name="表示済みのハイパーリンク" xfId="770" builtinId="9" hidden="1"/>
    <cellStyle name="表示済みのハイパーリンク" xfId="772" builtinId="9" hidden="1"/>
    <cellStyle name="表示済みのハイパーリンク" xfId="774" builtinId="9" hidden="1"/>
    <cellStyle name="表示済みのハイパーリンク" xfId="776" builtinId="9" hidden="1"/>
    <cellStyle name="表示済みのハイパーリンク" xfId="778" builtinId="9" hidden="1"/>
    <cellStyle name="表示済みのハイパーリンク" xfId="780" builtinId="9" hidden="1"/>
    <cellStyle name="表示済みのハイパーリンク" xfId="782" builtinId="9" hidden="1"/>
    <cellStyle name="表示済みのハイパーリンク" xfId="784" builtinId="9" hidden="1"/>
    <cellStyle name="表示済みのハイパーリンク" xfId="786" builtinId="9" hidden="1"/>
    <cellStyle name="表示済みのハイパーリンク" xfId="788" builtinId="9" hidden="1"/>
    <cellStyle name="表示済みのハイパーリンク" xfId="790" builtinId="9" hidden="1"/>
    <cellStyle name="表示済みのハイパーリンク" xfId="792" builtinId="9" hidden="1"/>
    <cellStyle name="表示済みのハイパーリンク" xfId="794" builtinId="9" hidden="1"/>
    <cellStyle name="表示済みのハイパーリンク" xfId="796" builtinId="9" hidden="1"/>
    <cellStyle name="表示済みのハイパーリンク" xfId="798" builtinId="9" hidden="1"/>
    <cellStyle name="表示済みのハイパーリンク" xfId="800" builtinId="9" hidden="1"/>
    <cellStyle name="表示済みのハイパーリンク" xfId="802" builtinId="9" hidden="1"/>
    <cellStyle name="表示済みのハイパーリンク" xfId="804" builtinId="9" hidden="1"/>
    <cellStyle name="表示済みのハイパーリンク" xfId="806" builtinId="9" hidden="1"/>
    <cellStyle name="表示済みのハイパーリンク" xfId="808" builtinId="9" hidden="1"/>
    <cellStyle name="表示済みのハイパーリンク" xfId="810" builtinId="9" hidden="1"/>
    <cellStyle name="表示済みのハイパーリンク" xfId="812" builtinId="9" hidden="1"/>
    <cellStyle name="表示済みのハイパーリンク" xfId="814" builtinId="9" hidden="1"/>
    <cellStyle name="表示済みのハイパーリンク" xfId="816" builtinId="9" hidden="1"/>
    <cellStyle name="表示済みのハイパーリンク" xfId="818" builtinId="9" hidden="1"/>
    <cellStyle name="表示済みのハイパーリンク" xfId="820" builtinId="9" hidden="1"/>
    <cellStyle name="表示済みのハイパーリンク" xfId="822" builtinId="9" hidden="1"/>
    <cellStyle name="表示済みのハイパーリンク" xfId="824" builtinId="9" hidden="1"/>
    <cellStyle name="表示済みのハイパーリンク" xfId="826" builtinId="9" hidden="1"/>
    <cellStyle name="表示済みのハイパーリンク" xfId="828" builtinId="9" hidden="1"/>
    <cellStyle name="表示済みのハイパーリンク" xfId="830" builtinId="9" hidden="1"/>
    <cellStyle name="表示済みのハイパーリンク" xfId="832" builtinId="9" hidden="1"/>
    <cellStyle name="表示済みのハイパーリンク" xfId="834" builtinId="9" hidden="1"/>
    <cellStyle name="表示済みのハイパーリンク" xfId="836" builtinId="9" hidden="1"/>
    <cellStyle name="表示済みのハイパーリンク" xfId="838" builtinId="9" hidden="1"/>
    <cellStyle name="表示済みのハイパーリンク" xfId="840" builtinId="9" hidden="1"/>
    <cellStyle name="表示済みのハイパーリンク" xfId="842" builtinId="9" hidden="1"/>
    <cellStyle name="表示済みのハイパーリンク" xfId="844" builtinId="9" hidden="1"/>
    <cellStyle name="表示済みのハイパーリンク" xfId="846" builtinId="9" hidden="1"/>
    <cellStyle name="表示済みのハイパーリンク" xfId="848" builtinId="9" hidden="1"/>
    <cellStyle name="表示済みのハイパーリンク" xfId="850" builtinId="9" hidden="1"/>
    <cellStyle name="表示済みのハイパーリンク" xfId="852" builtinId="9" hidden="1"/>
    <cellStyle name="表示済みのハイパーリンク" xfId="854" builtinId="9" hidden="1"/>
    <cellStyle name="表示済みのハイパーリンク" xfId="856" builtinId="9" hidden="1"/>
    <cellStyle name="表示済みのハイパーリンク" xfId="858" builtinId="9" hidden="1"/>
    <cellStyle name="表示済みのハイパーリンク" xfId="860" builtinId="9" hidden="1"/>
    <cellStyle name="表示済みのハイパーリンク" xfId="862" builtinId="9" hidden="1"/>
    <cellStyle name="表示済みのハイパーリンク" xfId="864" builtinId="9" hidden="1"/>
    <cellStyle name="表示済みのハイパーリンク" xfId="866" builtinId="9" hidden="1"/>
    <cellStyle name="表示済みのハイパーリンク" xfId="868" builtinId="9" hidden="1"/>
    <cellStyle name="表示済みのハイパーリンク" xfId="870" builtinId="9" hidden="1"/>
    <cellStyle name="表示済みのハイパーリンク" xfId="872" builtinId="9" hidden="1"/>
    <cellStyle name="表示済みのハイパーリンク" xfId="874" builtinId="9" hidden="1"/>
    <cellStyle name="表示済みのハイパーリンク" xfId="876" builtinId="9" hidden="1"/>
    <cellStyle name="表示済みのハイパーリンク" xfId="878" builtinId="9" hidden="1"/>
    <cellStyle name="表示済みのハイパーリンク" xfId="880" builtinId="9" hidden="1"/>
    <cellStyle name="表示済みのハイパーリンク" xfId="882" builtinId="9" hidden="1"/>
    <cellStyle name="表示済みのハイパーリンク" xfId="884" builtinId="9" hidden="1"/>
    <cellStyle name="表示済みのハイパーリンク" xfId="886" builtinId="9" hidden="1"/>
    <cellStyle name="表示済みのハイパーリンク" xfId="888" builtinId="9" hidden="1"/>
    <cellStyle name="表示済みのハイパーリンク" xfId="890" builtinId="9" hidden="1"/>
    <cellStyle name="表示済みのハイパーリンク" xfId="892" builtinId="9" hidden="1"/>
    <cellStyle name="表示済みのハイパーリンク" xfId="894" builtinId="9" hidden="1"/>
    <cellStyle name="表示済みのハイパーリンク" xfId="896" builtinId="9" hidden="1"/>
    <cellStyle name="表示済みのハイパーリンク" xfId="898" builtinId="9" hidden="1"/>
    <cellStyle name="表示済みのハイパーリンク" xfId="900" builtinId="9" hidden="1"/>
    <cellStyle name="表示済みのハイパーリンク" xfId="902" builtinId="9" hidden="1"/>
    <cellStyle name="表示済みのハイパーリンク" xfId="904" builtinId="9" hidden="1"/>
    <cellStyle name="表示済みのハイパーリンク" xfId="906" builtinId="9" hidden="1"/>
    <cellStyle name="表示済みのハイパーリンク" xfId="908" builtinId="9" hidden="1"/>
    <cellStyle name="表示済みのハイパーリンク" xfId="910" builtinId="9" hidden="1"/>
    <cellStyle name="表示済みのハイパーリンク" xfId="912" builtinId="9" hidden="1"/>
    <cellStyle name="表示済みのハイパーリンク" xfId="914" builtinId="9" hidden="1"/>
    <cellStyle name="表示済みのハイパーリンク" xfId="916" builtinId="9" hidden="1"/>
    <cellStyle name="表示済みのハイパーリンク" xfId="918" builtinId="9" hidden="1"/>
    <cellStyle name="表示済みのハイパーリンク" xfId="920" builtinId="9" hidden="1"/>
    <cellStyle name="表示済みのハイパーリンク" xfId="922" builtinId="9" hidden="1"/>
    <cellStyle name="表示済みのハイパーリンク" xfId="924" builtinId="9" hidden="1"/>
    <cellStyle name="表示済みのハイパーリンク" xfId="926" builtinId="9" hidden="1"/>
    <cellStyle name="表示済みのハイパーリンク" xfId="928" builtinId="9" hidden="1"/>
    <cellStyle name="表示済みのハイパーリンク" xfId="930" builtinId="9" hidden="1"/>
    <cellStyle name="表示済みのハイパーリンク" xfId="932" builtinId="9" hidden="1"/>
    <cellStyle name="表示済みのハイパーリンク" xfId="934" builtinId="9" hidden="1"/>
    <cellStyle name="表示済みのハイパーリンク" xfId="936" builtinId="9" hidden="1"/>
    <cellStyle name="表示済みのハイパーリンク" xfId="938" builtinId="9" hidden="1"/>
    <cellStyle name="表示済みのハイパーリンク" xfId="940" builtinId="9" hidden="1"/>
    <cellStyle name="表示済みのハイパーリンク" xfId="942" builtinId="9" hidden="1"/>
    <cellStyle name="表示済みのハイパーリンク" xfId="944" builtinId="9" hidden="1"/>
    <cellStyle name="表示済みのハイパーリンク" xfId="946" builtinId="9" hidden="1"/>
    <cellStyle name="表示済みのハイパーリンク" xfId="948" builtinId="9" hidden="1"/>
    <cellStyle name="表示済みのハイパーリンク" xfId="950" builtinId="9" hidden="1"/>
    <cellStyle name="表示済みのハイパーリンク" xfId="952" builtinId="9" hidden="1"/>
    <cellStyle name="表示済みのハイパーリンク" xfId="954" builtinId="9" hidden="1"/>
    <cellStyle name="表示済みのハイパーリンク" xfId="956" builtinId="9" hidden="1"/>
    <cellStyle name="表示済みのハイパーリンク" xfId="958" builtinId="9" hidden="1"/>
    <cellStyle name="表示済みのハイパーリンク" xfId="960" builtinId="9" hidden="1"/>
    <cellStyle name="表示済みのハイパーリンク" xfId="962" builtinId="9" hidden="1"/>
    <cellStyle name="表示済みのハイパーリンク" xfId="964" builtinId="9" hidden="1"/>
    <cellStyle name="表示済みのハイパーリンク" xfId="966" builtinId="9" hidden="1"/>
    <cellStyle name="表示済みのハイパーリンク" xfId="968" builtinId="9" hidden="1"/>
    <cellStyle name="表示済みのハイパーリンク" xfId="970" builtinId="9" hidden="1"/>
    <cellStyle name="表示済みのハイパーリンク" xfId="972" builtinId="9" hidden="1"/>
    <cellStyle name="表示済みのハイパーリンク" xfId="974" builtinId="9" hidden="1"/>
    <cellStyle name="表示済みのハイパーリンク" xfId="976" builtinId="9" hidden="1"/>
    <cellStyle name="表示済みのハイパーリンク" xfId="978" builtinId="9" hidden="1"/>
    <cellStyle name="表示済みのハイパーリンク" xfId="980" builtinId="9" hidden="1"/>
    <cellStyle name="表示済みのハイパーリンク" xfId="982" builtinId="9" hidden="1"/>
    <cellStyle name="表示済みのハイパーリンク" xfId="984" builtinId="9" hidden="1"/>
    <cellStyle name="表示済みのハイパーリンク" xfId="986" builtinId="9" hidden="1"/>
    <cellStyle name="表示済みのハイパーリンク" xfId="988" builtinId="9" hidden="1"/>
    <cellStyle name="表示済みのハイパーリンク" xfId="990" builtinId="9" hidden="1"/>
    <cellStyle name="表示済みのハイパーリンク" xfId="992" builtinId="9" hidden="1"/>
    <cellStyle name="表示済みのハイパーリンク" xfId="994" builtinId="9" hidden="1"/>
    <cellStyle name="表示済みのハイパーリンク" xfId="996" builtinId="9" hidden="1"/>
    <cellStyle name="表示済みのハイパーリンク" xfId="998" builtinId="9" hidden="1"/>
    <cellStyle name="表示済みのハイパーリンク" xfId="1000" builtinId="9" hidden="1"/>
    <cellStyle name="表示済みのハイパーリンク" xfId="1002" builtinId="9" hidden="1"/>
    <cellStyle name="表示済みのハイパーリンク" xfId="1004" builtinId="9" hidden="1"/>
    <cellStyle name="表示済みのハイパーリンク" xfId="1006" builtinId="9" hidden="1"/>
    <cellStyle name="表示済みのハイパーリンク" xfId="1008" builtinId="9" hidden="1"/>
    <cellStyle name="表示済みのハイパーリンク" xfId="1010" builtinId="9" hidden="1"/>
    <cellStyle name="表示済みのハイパーリンク" xfId="1012" builtinId="9" hidden="1"/>
    <cellStyle name="表示済みのハイパーリンク" xfId="1014" builtinId="9" hidden="1"/>
    <cellStyle name="表示済みのハイパーリンク" xfId="1016" builtinId="9" hidden="1"/>
    <cellStyle name="表示済みのハイパーリンク" xfId="1018" builtinId="9" hidden="1"/>
    <cellStyle name="表示済みのハイパーリンク" xfId="1020" builtinId="9" hidden="1"/>
    <cellStyle name="表示済みのハイパーリンク" xfId="1022" builtinId="9" hidden="1"/>
    <cellStyle name="表示済みのハイパーリンク" xfId="1024" builtinId="9" hidden="1"/>
    <cellStyle name="表示済みのハイパーリンク" xfId="1026" builtinId="9" hidden="1"/>
    <cellStyle name="表示済みのハイパーリンク" xfId="1028" builtinId="9" hidden="1"/>
    <cellStyle name="表示済みのハイパーリンク" xfId="1030" builtinId="9" hidden="1"/>
    <cellStyle name="表示済みのハイパーリンク" xfId="1032" builtinId="9" hidden="1"/>
    <cellStyle name="表示済みのハイパーリンク" xfId="1034" builtinId="9" hidden="1"/>
    <cellStyle name="表示済みのハイパーリンク" xfId="1036" builtinId="9" hidden="1"/>
    <cellStyle name="表示済みのハイパーリンク" xfId="1038" builtinId="9" hidden="1"/>
    <cellStyle name="表示済みのハイパーリンク" xfId="1040" builtinId="9" hidden="1"/>
    <cellStyle name="表示済みのハイパーリンク" xfId="1042" builtinId="9" hidden="1"/>
    <cellStyle name="表示済みのハイパーリンク" xfId="1044" builtinId="9" hidden="1"/>
    <cellStyle name="表示済みのハイパーリンク" xfId="1046" builtinId="9" hidden="1"/>
    <cellStyle name="表示済みのハイパーリンク" xfId="1048" builtinId="9" hidden="1"/>
    <cellStyle name="表示済みのハイパーリンク" xfId="1050" builtinId="9" hidden="1"/>
    <cellStyle name="表示済みのハイパーリンク" xfId="1052" builtinId="9" hidden="1"/>
    <cellStyle name="表示済みのハイパーリンク" xfId="1054" builtinId="9" hidden="1"/>
    <cellStyle name="表示済みのハイパーリンク" xfId="1056" builtinId="9" hidden="1"/>
    <cellStyle name="表示済みのハイパーリンク" xfId="1058" builtinId="9" hidden="1"/>
    <cellStyle name="表示済みのハイパーリンク" xfId="1060" builtinId="9" hidden="1"/>
    <cellStyle name="表示済みのハイパーリンク" xfId="1062" builtinId="9" hidden="1"/>
    <cellStyle name="表示済みのハイパーリンク" xfId="1064" builtinId="9" hidden="1"/>
    <cellStyle name="表示済みのハイパーリンク" xfId="1066" builtinId="9" hidden="1"/>
    <cellStyle name="表示済みのハイパーリンク" xfId="1068" builtinId="9" hidden="1"/>
    <cellStyle name="表示済みのハイパーリンク" xfId="1070" builtinId="9" hidden="1"/>
    <cellStyle name="表示済みのハイパーリンク" xfId="1072" builtinId="9" hidden="1"/>
    <cellStyle name="表示済みのハイパーリンク" xfId="1074" builtinId="9" hidden="1"/>
    <cellStyle name="表示済みのハイパーリンク" xfId="1076" builtinId="9" hidden="1"/>
    <cellStyle name="表示済みのハイパーリンク" xfId="1078" builtinId="9" hidden="1"/>
    <cellStyle name="表示済みのハイパーリンク" xfId="1080" builtinId="9" hidden="1"/>
    <cellStyle name="表示済みのハイパーリンク" xfId="1082" builtinId="9" hidden="1"/>
    <cellStyle name="表示済みのハイパーリンク" xfId="1084" builtinId="9" hidden="1"/>
    <cellStyle name="表示済みのハイパーリンク" xfId="1086" builtinId="9" hidden="1"/>
    <cellStyle name="表示済みのハイパーリンク" xfId="1088" builtinId="9" hidden="1"/>
    <cellStyle name="表示済みのハイパーリンク" xfId="1090" builtinId="9" hidden="1"/>
    <cellStyle name="表示済みのハイパーリンク" xfId="1092" builtinId="9" hidden="1"/>
    <cellStyle name="表示済みのハイパーリンク" xfId="1094" builtinId="9" hidden="1"/>
    <cellStyle name="表示済みのハイパーリンク" xfId="1096" builtinId="9" hidden="1"/>
    <cellStyle name="表示済みのハイパーリンク" xfId="1098" builtinId="9" hidden="1"/>
    <cellStyle name="表示済みのハイパーリンク" xfId="1100" builtinId="9" hidden="1"/>
    <cellStyle name="表示済みのハイパーリンク" xfId="1102" builtinId="9" hidden="1"/>
    <cellStyle name="表示済みのハイパーリンク" xfId="1104" builtinId="9" hidden="1"/>
    <cellStyle name="表示済みのハイパーリンク" xfId="1106" builtinId="9" hidden="1"/>
    <cellStyle name="表示済みのハイパーリンク" xfId="1108" builtinId="9" hidden="1"/>
    <cellStyle name="表示済みのハイパーリンク" xfId="1110" builtinId="9" hidden="1"/>
    <cellStyle name="表示済みのハイパーリンク" xfId="1112" builtinId="9" hidden="1"/>
    <cellStyle name="表示済みのハイパーリンク" xfId="1114" builtinId="9" hidden="1"/>
    <cellStyle name="表示済みのハイパーリンク" xfId="1116" builtinId="9" hidden="1"/>
    <cellStyle name="表示済みのハイパーリンク" xfId="1118" builtinId="9" hidden="1"/>
    <cellStyle name="表示済みのハイパーリンク" xfId="1120" builtinId="9" hidden="1"/>
    <cellStyle name="表示済みのハイパーリンク" xfId="1122" builtinId="9" hidden="1"/>
    <cellStyle name="表示済みのハイパーリンク" xfId="1124" builtinId="9" hidden="1"/>
    <cellStyle name="表示済みのハイパーリンク" xfId="1126" builtinId="9" hidden="1"/>
    <cellStyle name="表示済みのハイパーリンク" xfId="1128" builtinId="9" hidden="1"/>
    <cellStyle name="表示済みのハイパーリンク" xfId="1130" builtinId="9" hidden="1"/>
    <cellStyle name="表示済みのハイパーリンク" xfId="1132" builtinId="9" hidden="1"/>
    <cellStyle name="表示済みのハイパーリンク" xfId="1134" builtinId="9" hidden="1"/>
    <cellStyle name="表示済みのハイパーリンク" xfId="1136" builtinId="9" hidden="1"/>
    <cellStyle name="表示済みのハイパーリンク" xfId="1138" builtinId="9" hidden="1"/>
    <cellStyle name="表示済みのハイパーリンク" xfId="1140" builtinId="9" hidden="1"/>
    <cellStyle name="表示済みのハイパーリンク" xfId="1142" builtinId="9" hidden="1"/>
    <cellStyle name="表示済みのハイパーリンク" xfId="1144" builtinId="9" hidden="1"/>
    <cellStyle name="表示済みのハイパーリンク" xfId="1146" builtinId="9" hidden="1"/>
    <cellStyle name="表示済みのハイパーリンク" xfId="1148" builtinId="9" hidden="1"/>
    <cellStyle name="表示済みのハイパーリンク" xfId="1150" builtinId="9" hidden="1"/>
    <cellStyle name="表示済みのハイパーリンク" xfId="1152" builtinId="9" hidden="1"/>
    <cellStyle name="表示済みのハイパーリンク" xfId="1154" builtinId="9" hidden="1"/>
    <cellStyle name="表示済みのハイパーリンク" xfId="1156" builtinId="9" hidden="1"/>
    <cellStyle name="表示済みのハイパーリンク" xfId="1158" builtinId="9" hidden="1"/>
    <cellStyle name="表示済みのハイパーリンク" xfId="1160" builtinId="9" hidden="1"/>
    <cellStyle name="表示済みのハイパーリンク" xfId="1162" builtinId="9" hidden="1"/>
    <cellStyle name="表示済みのハイパーリンク" xfId="1164" builtinId="9" hidden="1"/>
    <cellStyle name="表示済みのハイパーリンク" xfId="1166" builtinId="9" hidden="1"/>
    <cellStyle name="表示済みのハイパーリンク" xfId="1168" builtinId="9" hidden="1"/>
    <cellStyle name="表示済みのハイパーリンク" xfId="1170" builtinId="9" hidden="1"/>
    <cellStyle name="表示済みのハイパーリンク" xfId="1172" builtinId="9" hidden="1"/>
    <cellStyle name="表示済みのハイパーリンク" xfId="1174" builtinId="9" hidden="1"/>
    <cellStyle name="表示済みのハイパーリンク" xfId="1176" builtinId="9" hidden="1"/>
    <cellStyle name="表示済みのハイパーリンク" xfId="1178" builtinId="9" hidden="1"/>
    <cellStyle name="表示済みのハイパーリンク" xfId="1180" builtinId="9" hidden="1"/>
    <cellStyle name="表示済みのハイパーリンク" xfId="1182" builtinId="9" hidden="1"/>
    <cellStyle name="表示済みのハイパーリンク" xfId="1184" builtinId="9" hidden="1"/>
    <cellStyle name="表示済みのハイパーリンク" xfId="1186" builtinId="9" hidden="1"/>
    <cellStyle name="表示済みのハイパーリンク" xfId="1188" builtinId="9" hidden="1"/>
    <cellStyle name="表示済みのハイパーリンク" xfId="1190" builtinId="9" hidden="1"/>
    <cellStyle name="表示済みのハイパーリンク" xfId="1192" builtinId="9" hidden="1"/>
    <cellStyle name="表示済みのハイパーリンク" xfId="1194" builtinId="9" hidden="1"/>
    <cellStyle name="表示済みのハイパーリンク" xfId="1196" builtinId="9" hidden="1"/>
    <cellStyle name="表示済みのハイパーリンク" xfId="1198" builtinId="9" hidden="1"/>
    <cellStyle name="表示済みのハイパーリンク" xfId="1200" builtinId="9" hidden="1"/>
    <cellStyle name="表示済みのハイパーリンク" xfId="1202" builtinId="9" hidden="1"/>
    <cellStyle name="表示済みのハイパーリンク" xfId="1204" builtinId="9" hidden="1"/>
    <cellStyle name="表示済みのハイパーリンク" xfId="1206" builtinId="9" hidden="1"/>
    <cellStyle name="表示済みのハイパーリンク" xfId="1208" builtinId="9" hidden="1"/>
    <cellStyle name="表示済みのハイパーリンク" xfId="1210" builtinId="9" hidden="1"/>
    <cellStyle name="表示済みのハイパーリンク" xfId="1212" builtinId="9" hidden="1"/>
    <cellStyle name="表示済みのハイパーリンク" xfId="1214" builtinId="9" hidden="1"/>
    <cellStyle name="表示済みのハイパーリンク" xfId="1216" builtinId="9" hidden="1"/>
    <cellStyle name="表示済みのハイパーリンク" xfId="1218" builtinId="9" hidden="1"/>
    <cellStyle name="表示済みのハイパーリンク" xfId="1220" builtinId="9" hidden="1"/>
    <cellStyle name="表示済みのハイパーリンク" xfId="1222" builtinId="9" hidden="1"/>
    <cellStyle name="表示済みのハイパーリンク" xfId="1224" builtinId="9" hidden="1"/>
    <cellStyle name="表示済みのハイパーリンク" xfId="1226" builtinId="9" hidden="1"/>
    <cellStyle name="表示済みのハイパーリンク" xfId="1228" builtinId="9" hidden="1"/>
    <cellStyle name="表示済みのハイパーリンク" xfId="1230" builtinId="9" hidden="1"/>
    <cellStyle name="表示済みのハイパーリンク" xfId="1232" builtinId="9" hidden="1"/>
    <cellStyle name="表示済みのハイパーリンク" xfId="1234" builtinId="9" hidden="1"/>
    <cellStyle name="表示済みのハイパーリンク" xfId="1236" builtinId="9" hidden="1"/>
    <cellStyle name="表示済みのハイパーリンク" xfId="1238" builtinId="9" hidden="1"/>
    <cellStyle name="表示済みのハイパーリンク" xfId="1240" builtinId="9" hidden="1"/>
    <cellStyle name="表示済みのハイパーリンク" xfId="1242" builtinId="9" hidden="1"/>
    <cellStyle name="表示済みのハイパーリンク" xfId="1244" builtinId="9" hidden="1"/>
    <cellStyle name="表示済みのハイパーリンク" xfId="1246" builtinId="9" hidden="1"/>
    <cellStyle name="表示済みのハイパーリンク" xfId="1248" builtinId="9" hidden="1"/>
    <cellStyle name="表示済みのハイパーリンク" xfId="1250" builtinId="9" hidden="1"/>
    <cellStyle name="表示済みのハイパーリンク" xfId="1252" builtinId="9" hidden="1"/>
    <cellStyle name="表示済みのハイパーリンク" xfId="1254" builtinId="9" hidden="1"/>
    <cellStyle name="表示済みのハイパーリンク" xfId="1256" builtinId="9" hidden="1"/>
    <cellStyle name="表示済みのハイパーリンク" xfId="1258" builtinId="9" hidden="1"/>
    <cellStyle name="表示済みのハイパーリンク" xfId="1260" builtinId="9" hidden="1"/>
    <cellStyle name="表示済みのハイパーリンク" xfId="1262" builtinId="9" hidden="1"/>
    <cellStyle name="表示済みのハイパーリンク" xfId="1264" builtinId="9" hidden="1"/>
    <cellStyle name="表示済みのハイパーリンク" xfId="1266" builtinId="9" hidden="1"/>
    <cellStyle name="表示済みのハイパーリンク" xfId="1268" builtinId="9" hidden="1"/>
    <cellStyle name="表示済みのハイパーリンク" xfId="1270" builtinId="9" hidden="1"/>
    <cellStyle name="表示済みのハイパーリンク" xfId="1272" builtinId="9" hidden="1"/>
    <cellStyle name="表示済みのハイパーリンク" xfId="1274" builtinId="9" hidden="1"/>
    <cellStyle name="表示済みのハイパーリンク" xfId="1276" builtinId="9" hidden="1"/>
    <cellStyle name="表示済みのハイパーリンク" xfId="1278" builtinId="9" hidden="1"/>
    <cellStyle name="表示済みのハイパーリンク" xfId="1280" builtinId="9" hidden="1"/>
    <cellStyle name="表示済みのハイパーリンク" xfId="1282" builtinId="9" hidden="1"/>
    <cellStyle name="表示済みのハイパーリンク" xfId="1284" builtinId="9" hidden="1"/>
    <cellStyle name="表示済みのハイパーリンク" xfId="1286" builtinId="9" hidden="1"/>
    <cellStyle name="表示済みのハイパーリンク" xfId="1288" builtinId="9" hidden="1"/>
    <cellStyle name="表示済みのハイパーリンク" xfId="1290" builtinId="9" hidden="1"/>
    <cellStyle name="表示済みのハイパーリンク" xfId="1292" builtinId="9" hidden="1"/>
    <cellStyle name="表示済みのハイパーリンク" xfId="1294" builtinId="9" hidden="1"/>
    <cellStyle name="表示済みのハイパーリンク" xfId="1296" builtinId="9" hidden="1"/>
    <cellStyle name="表示済みのハイパーリンク" xfId="1298" builtinId="9" hidden="1"/>
    <cellStyle name="表示済みのハイパーリンク" xfId="1300" builtinId="9" hidden="1"/>
    <cellStyle name="表示済みのハイパーリンク" xfId="1302" builtinId="9" hidden="1"/>
    <cellStyle name="表示済みのハイパーリンク" xfId="1304" builtinId="9" hidden="1"/>
    <cellStyle name="表示済みのハイパーリンク" xfId="1306" builtinId="9" hidden="1"/>
    <cellStyle name="表示済みのハイパーリンク" xfId="1308" builtinId="9" hidden="1"/>
    <cellStyle name="表示済みのハイパーリンク" xfId="1310" builtinId="9" hidden="1"/>
    <cellStyle name="表示済みのハイパーリンク" xfId="1312" builtinId="9" hidden="1"/>
    <cellStyle name="表示済みのハイパーリンク" xfId="1314" builtinId="9" hidden="1"/>
    <cellStyle name="表示済みのハイパーリンク" xfId="1316" builtinId="9" hidden="1"/>
    <cellStyle name="表示済みのハイパーリンク" xfId="1318" builtinId="9" hidden="1"/>
    <cellStyle name="表示済みのハイパーリンク" xfId="1320" builtinId="9" hidden="1"/>
    <cellStyle name="表示済みのハイパーリンク" xfId="1322" builtinId="9" hidden="1"/>
    <cellStyle name="表示済みのハイパーリンク" xfId="1324" builtinId="9" hidden="1"/>
    <cellStyle name="表示済みのハイパーリンク" xfId="1326" builtinId="9" hidden="1"/>
    <cellStyle name="表示済みのハイパーリンク" xfId="1328" builtinId="9" hidden="1"/>
    <cellStyle name="表示済みのハイパーリンク" xfId="1330" builtinId="9" hidden="1"/>
    <cellStyle name="表示済みのハイパーリンク" xfId="1332" builtinId="9" hidden="1"/>
    <cellStyle name="表示済みのハイパーリンク" xfId="1334" builtinId="9" hidden="1"/>
    <cellStyle name="表示済みのハイパーリンク" xfId="1336" builtinId="9" hidden="1"/>
    <cellStyle name="表示済みのハイパーリンク" xfId="1338" builtinId="9" hidden="1"/>
    <cellStyle name="表示済みのハイパーリンク" xfId="1340" builtinId="9" hidden="1"/>
    <cellStyle name="表示済みのハイパーリンク" xfId="1342" builtinId="9" hidden="1"/>
    <cellStyle name="表示済みのハイパーリンク" xfId="1344" builtinId="9" hidden="1"/>
    <cellStyle name="表示済みのハイパーリンク" xfId="1346" builtinId="9" hidden="1"/>
    <cellStyle name="表示済みのハイパーリンク" xfId="1348" builtinId="9" hidden="1"/>
    <cellStyle name="表示済みのハイパーリンク" xfId="1350" builtinId="9" hidden="1"/>
    <cellStyle name="表示済みのハイパーリンク" xfId="1352" builtinId="9" hidden="1"/>
    <cellStyle name="表示済みのハイパーリンク" xfId="1354" builtinId="9" hidden="1"/>
    <cellStyle name="表示済みのハイパーリンク" xfId="1356" builtinId="9" hidden="1"/>
    <cellStyle name="表示済みのハイパーリンク" xfId="1358" builtinId="9" hidden="1"/>
    <cellStyle name="表示済みのハイパーリンク" xfId="1360" builtinId="9" hidden="1"/>
    <cellStyle name="表示済みのハイパーリンク" xfId="1362" builtinId="9" hidden="1"/>
    <cellStyle name="表示済みのハイパーリンク" xfId="1364" builtinId="9" hidden="1"/>
    <cellStyle name="表示済みのハイパーリンク" xfId="1366" builtinId="9" hidden="1"/>
    <cellStyle name="表示済みのハイパーリンク" xfId="1368" builtinId="9" hidden="1"/>
    <cellStyle name="表示済みのハイパーリンク" xfId="1370" builtinId="9" hidden="1"/>
    <cellStyle name="表示済みのハイパーリンク" xfId="1372" builtinId="9" hidden="1"/>
    <cellStyle name="表示済みのハイパーリンク" xfId="1374" builtinId="9" hidden="1"/>
    <cellStyle name="表示済みのハイパーリンク" xfId="1376" builtinId="9" hidden="1"/>
    <cellStyle name="表示済みのハイパーリンク" xfId="1378" builtinId="9" hidden="1"/>
    <cellStyle name="表示済みのハイパーリンク" xfId="1380" builtinId="9" hidden="1"/>
    <cellStyle name="表示済みのハイパーリンク" xfId="1382" builtinId="9" hidden="1"/>
    <cellStyle name="表示済みのハイパーリンク" xfId="1384" builtinId="9" hidden="1"/>
    <cellStyle name="表示済みのハイパーリンク" xfId="1386" builtinId="9" hidden="1"/>
    <cellStyle name="表示済みのハイパーリンク" xfId="1388" builtinId="9" hidden="1"/>
    <cellStyle name="表示済みのハイパーリンク" xfId="1390" builtinId="9" hidden="1"/>
    <cellStyle name="表示済みのハイパーリンク" xfId="1392" builtinId="9" hidden="1"/>
    <cellStyle name="表示済みのハイパーリンク" xfId="1394" builtinId="9" hidden="1"/>
    <cellStyle name="表示済みのハイパーリンク" xfId="1396" builtinId="9" hidden="1"/>
    <cellStyle name="表示済みのハイパーリンク" xfId="1398" builtinId="9" hidden="1"/>
    <cellStyle name="表示済みのハイパーリンク" xfId="1400" builtinId="9" hidden="1"/>
    <cellStyle name="表示済みのハイパーリンク" xfId="1402" builtinId="9" hidden="1"/>
    <cellStyle name="表示済みのハイパーリンク" xfId="1404" builtinId="9" hidden="1"/>
    <cellStyle name="表示済みのハイパーリンク" xfId="1406" builtinId="9" hidden="1"/>
    <cellStyle name="表示済みのハイパーリンク" xfId="1408" builtinId="9" hidden="1"/>
    <cellStyle name="表示済みのハイパーリンク" xfId="1410" builtinId="9" hidden="1"/>
    <cellStyle name="表示済みのハイパーリンク" xfId="1412" builtinId="9" hidden="1"/>
    <cellStyle name="表示済みのハイパーリンク" xfId="1414" builtinId="9" hidden="1"/>
    <cellStyle name="表示済みのハイパーリンク" xfId="1416" builtinId="9" hidden="1"/>
    <cellStyle name="表示済みのハイパーリンク" xfId="1418" builtinId="9" hidden="1"/>
    <cellStyle name="表示済みのハイパーリンク" xfId="1420" builtinId="9" hidden="1"/>
    <cellStyle name="表示済みのハイパーリンク" xfId="1422" builtinId="9" hidden="1"/>
    <cellStyle name="表示済みのハイパーリンク" xfId="1424" builtinId="9" hidden="1"/>
    <cellStyle name="表示済みのハイパーリンク" xfId="1426" builtinId="9" hidden="1"/>
    <cellStyle name="表示済みのハイパーリンク" xfId="1428" builtinId="9" hidden="1"/>
    <cellStyle name="表示済みのハイパーリンク" xfId="1430" builtinId="9" hidden="1"/>
    <cellStyle name="表示済みのハイパーリンク" xfId="1432" builtinId="9" hidden="1"/>
    <cellStyle name="表示済みのハイパーリンク" xfId="1434" builtinId="9" hidden="1"/>
    <cellStyle name="表示済みのハイパーリンク" xfId="1436" builtinId="9" hidden="1"/>
    <cellStyle name="表示済みのハイパーリンク" xfId="1438" builtinId="9" hidden="1"/>
    <cellStyle name="表示済みのハイパーリンク" xfId="1440" builtinId="9" hidden="1"/>
    <cellStyle name="表示済みのハイパーリンク" xfId="1442" builtinId="9" hidden="1"/>
    <cellStyle name="表示済みのハイパーリンク" xfId="1444" builtinId="9" hidden="1"/>
    <cellStyle name="表示済みのハイパーリンク" xfId="1446" builtinId="9" hidden="1"/>
    <cellStyle name="表示済みのハイパーリンク" xfId="1448" builtinId="9" hidden="1"/>
    <cellStyle name="表示済みのハイパーリンク" xfId="1450" builtinId="9" hidden="1"/>
    <cellStyle name="表示済みのハイパーリンク" xfId="1452" builtinId="9" hidden="1"/>
    <cellStyle name="表示済みのハイパーリンク" xfId="1454" builtinId="9" hidden="1"/>
    <cellStyle name="表示済みのハイパーリンク" xfId="1456" builtinId="9" hidden="1"/>
    <cellStyle name="表示済みのハイパーリンク" xfId="1458" builtinId="9" hidden="1"/>
    <cellStyle name="表示済みのハイパーリンク" xfId="1460" builtinId="9" hidden="1"/>
    <cellStyle name="表示済みのハイパーリンク" xfId="1462" builtinId="9" hidden="1"/>
    <cellStyle name="表示済みのハイパーリンク" xfId="1464" builtinId="9" hidden="1"/>
    <cellStyle name="表示済みのハイパーリンク" xfId="1466" builtinId="9" hidden="1"/>
    <cellStyle name="表示済みのハイパーリンク" xfId="1468" builtinId="9" hidden="1"/>
    <cellStyle name="表示済みのハイパーリンク" xfId="1470" builtinId="9" hidden="1"/>
    <cellStyle name="表示済みのハイパーリンク" xfId="1472" builtinId="9" hidden="1"/>
    <cellStyle name="表示済みのハイパーリンク" xfId="1474" builtinId="9" hidden="1"/>
    <cellStyle name="表示済みのハイパーリンク" xfId="1476" builtinId="9" hidden="1"/>
    <cellStyle name="表示済みのハイパーリンク" xfId="1478" builtinId="9" hidden="1"/>
    <cellStyle name="表示済みのハイパーリンク" xfId="1480" builtinId="9" hidden="1"/>
    <cellStyle name="表示済みのハイパーリンク" xfId="1482" builtinId="9" hidden="1"/>
    <cellStyle name="表示済みのハイパーリンク" xfId="1484" builtinId="9" hidden="1"/>
    <cellStyle name="表示済みのハイパーリンク" xfId="1486" builtinId="9" hidden="1"/>
    <cellStyle name="表示済みのハイパーリンク" xfId="1488" builtinId="9" hidden="1"/>
    <cellStyle name="表示済みのハイパーリンク" xfId="1490" builtinId="9" hidden="1"/>
    <cellStyle name="表示済みのハイパーリンク" xfId="1492" builtinId="9" hidden="1"/>
    <cellStyle name="表示済みのハイパーリンク" xfId="1494" builtinId="9" hidden="1"/>
    <cellStyle name="表示済みのハイパーリンク" xfId="1496" builtinId="9" hidden="1"/>
    <cellStyle name="表示済みのハイパーリンク" xfId="1498" builtinId="9" hidden="1"/>
    <cellStyle name="表示済みのハイパーリンク" xfId="1500" builtinId="9" hidden="1"/>
    <cellStyle name="表示済みのハイパーリンク" xfId="1502" builtinId="9" hidden="1"/>
    <cellStyle name="表示済みのハイパーリンク" xfId="1504" builtinId="9" hidden="1"/>
    <cellStyle name="表示済みのハイパーリンク" xfId="1506" builtinId="9" hidden="1"/>
    <cellStyle name="表示済みのハイパーリンク" xfId="1508" builtinId="9" hidden="1"/>
    <cellStyle name="表示済みのハイパーリンク" xfId="1510" builtinId="9" hidden="1"/>
    <cellStyle name="表示済みのハイパーリンク" xfId="1512" builtinId="9" hidden="1"/>
    <cellStyle name="表示済みのハイパーリンク" xfId="1514" builtinId="9" hidden="1"/>
    <cellStyle name="表示済みのハイパーリンク" xfId="1516" builtinId="9" hidden="1"/>
    <cellStyle name="表示済みのハイパーリンク" xfId="1518" builtinId="9" hidden="1"/>
    <cellStyle name="表示済みのハイパーリンク" xfId="1520" builtinId="9" hidden="1"/>
    <cellStyle name="表示済みのハイパーリンク" xfId="1522" builtinId="9" hidden="1"/>
    <cellStyle name="表示済みのハイパーリンク" xfId="1524" builtinId="9" hidden="1"/>
    <cellStyle name="表示済みのハイパーリンク" xfId="1526" builtinId="9" hidden="1"/>
    <cellStyle name="表示済みのハイパーリンク" xfId="1528" builtinId="9" hidden="1"/>
    <cellStyle name="表示済みのハイパーリンク" xfId="1530" builtinId="9" hidden="1"/>
    <cellStyle name="表示済みのハイパーリンク" xfId="1532" builtinId="9" hidden="1"/>
    <cellStyle name="表示済みのハイパーリンク" xfId="1534" builtinId="9" hidden="1"/>
    <cellStyle name="表示済みのハイパーリンク" xfId="1536" builtinId="9" hidden="1"/>
    <cellStyle name="表示済みのハイパーリンク" xfId="1538" builtinId="9" hidden="1"/>
    <cellStyle name="表示済みのハイパーリンク" xfId="1540" builtinId="9" hidden="1"/>
    <cellStyle name="表示済みのハイパーリンク" xfId="1542" builtinId="9" hidden="1"/>
    <cellStyle name="表示済みのハイパーリンク" xfId="1544" builtinId="9" hidden="1"/>
    <cellStyle name="表示済みのハイパーリンク" xfId="1546" builtinId="9" hidden="1"/>
    <cellStyle name="表示済みのハイパーリンク" xfId="1548" builtinId="9" hidden="1"/>
    <cellStyle name="表示済みのハイパーリンク" xfId="1550" builtinId="9" hidden="1"/>
    <cellStyle name="表示済みのハイパーリンク" xfId="1552" builtinId="9" hidden="1"/>
    <cellStyle name="表示済みのハイパーリンク" xfId="1554" builtinId="9" hidden="1"/>
    <cellStyle name="表示済みのハイパーリンク" xfId="1556" builtinId="9" hidden="1"/>
    <cellStyle name="表示済みのハイパーリンク" xfId="1558" builtinId="9" hidden="1"/>
    <cellStyle name="表示済みのハイパーリンク" xfId="1560" builtinId="9" hidden="1"/>
    <cellStyle name="表示済みのハイパーリンク" xfId="1562" builtinId="9" hidden="1"/>
    <cellStyle name="表示済みのハイパーリンク" xfId="1564" builtinId="9" hidden="1"/>
    <cellStyle name="表示済みのハイパーリンク" xfId="1566" builtinId="9" hidden="1"/>
    <cellStyle name="表示済みのハイパーリンク" xfId="1568" builtinId="9" hidden="1"/>
    <cellStyle name="表示済みのハイパーリンク" xfId="1570" builtinId="9" hidden="1"/>
    <cellStyle name="表示済みのハイパーリンク" xfId="1572" builtinId="9" hidden="1"/>
    <cellStyle name="表示済みのハイパーリンク" xfId="1574" builtinId="9" hidden="1"/>
    <cellStyle name="表示済みのハイパーリンク" xfId="1576" builtinId="9" hidden="1"/>
    <cellStyle name="表示済みのハイパーリンク" xfId="1578" builtinId="9" hidden="1"/>
    <cellStyle name="表示済みのハイパーリンク" xfId="1580" builtinId="9" hidden="1"/>
    <cellStyle name="表示済みのハイパーリンク" xfId="1582" builtinId="9" hidden="1"/>
    <cellStyle name="表示済みのハイパーリンク" xfId="1584" builtinId="9" hidden="1"/>
    <cellStyle name="表示済みのハイパーリンク" xfId="1586" builtinId="9" hidden="1"/>
    <cellStyle name="表示済みのハイパーリンク" xfId="1588" builtinId="9" hidden="1"/>
    <cellStyle name="表示済みのハイパーリンク" xfId="1590" builtinId="9" hidden="1"/>
    <cellStyle name="表示済みのハイパーリンク" xfId="1592" builtinId="9" hidden="1"/>
    <cellStyle name="表示済みのハイパーリンク" xfId="1594" builtinId="9" hidden="1"/>
    <cellStyle name="表示済みのハイパーリンク" xfId="1596" builtinId="9" hidden="1"/>
    <cellStyle name="表示済みのハイパーリンク" xfId="1598" builtinId="9" hidden="1"/>
    <cellStyle name="表示済みのハイパーリンク" xfId="1600" builtinId="9" hidden="1"/>
    <cellStyle name="表示済みのハイパーリンク" xfId="1602" builtinId="9" hidden="1"/>
    <cellStyle name="表示済みのハイパーリンク" xfId="1604" builtinId="9" hidden="1"/>
    <cellStyle name="表示済みのハイパーリンク" xfId="1606" builtinId="9" hidden="1"/>
    <cellStyle name="表示済みのハイパーリンク" xfId="1608" builtinId="9" hidden="1"/>
    <cellStyle name="表示済みのハイパーリンク" xfId="1610" builtinId="9" hidden="1"/>
    <cellStyle name="表示済みのハイパーリンク" xfId="1612" builtinId="9" hidden="1"/>
    <cellStyle name="表示済みのハイパーリンク" xfId="1614" builtinId="9" hidden="1"/>
    <cellStyle name="表示済みのハイパーリンク" xfId="1616" builtinId="9" hidden="1"/>
    <cellStyle name="表示済みのハイパーリンク" xfId="1618" builtinId="9" hidden="1"/>
    <cellStyle name="表示済みのハイパーリンク" xfId="1620" builtinId="9" hidden="1"/>
    <cellStyle name="表示済みのハイパーリンク" xfId="1622" builtinId="9" hidden="1"/>
    <cellStyle name="表示済みのハイパーリンク" xfId="1624" builtinId="9" hidden="1"/>
    <cellStyle name="表示済みのハイパーリンク" xfId="1626" builtinId="9" hidden="1"/>
    <cellStyle name="表示済みのハイパーリンク" xfId="1628" builtinId="9" hidden="1"/>
    <cellStyle name="表示済みのハイパーリンク" xfId="1630" builtinId="9" hidden="1"/>
    <cellStyle name="表示済みのハイパーリンク" xfId="1632" builtinId="9" hidden="1"/>
    <cellStyle name="表示済みのハイパーリンク" xfId="1634" builtinId="9" hidden="1"/>
    <cellStyle name="表示済みのハイパーリンク" xfId="1636" builtinId="9" hidden="1"/>
    <cellStyle name="表示済みのハイパーリンク" xfId="1638" builtinId="9" hidden="1"/>
    <cellStyle name="表示済みのハイパーリンク" xfId="1640" builtinId="9" hidden="1"/>
    <cellStyle name="表示済みのハイパーリンク" xfId="1642" builtinId="9" hidden="1"/>
    <cellStyle name="表示済みのハイパーリンク" xfId="1644" builtinId="9" hidden="1"/>
    <cellStyle name="表示済みのハイパーリンク" xfId="1646" builtinId="9" hidden="1"/>
    <cellStyle name="表示済みのハイパーリンク" xfId="1648" builtinId="9" hidden="1"/>
    <cellStyle name="表示済みのハイパーリンク" xfId="1650" builtinId="9" hidden="1"/>
    <cellStyle name="表示済みのハイパーリンク" xfId="1652" builtinId="9" hidden="1"/>
    <cellStyle name="表示済みのハイパーリンク" xfId="1654" builtinId="9" hidden="1"/>
    <cellStyle name="表示済みのハイパーリンク" xfId="1656" builtinId="9" hidden="1"/>
    <cellStyle name="表示済みのハイパーリンク" xfId="1658" builtinId="9" hidden="1"/>
    <cellStyle name="表示済みのハイパーリンク" xfId="1660" builtinId="9" hidden="1"/>
    <cellStyle name="表示済みのハイパーリンク" xfId="1662" builtinId="9" hidden="1"/>
    <cellStyle name="表示済みのハイパーリンク" xfId="1664" builtinId="9" hidden="1"/>
    <cellStyle name="表示済みのハイパーリンク" xfId="1666" builtinId="9" hidden="1"/>
    <cellStyle name="表示済みのハイパーリンク" xfId="1668" builtinId="9" hidden="1"/>
    <cellStyle name="表示済みのハイパーリンク" xfId="1670" builtinId="9" hidden="1"/>
    <cellStyle name="表示済みのハイパーリンク" xfId="1672" builtinId="9" hidden="1"/>
    <cellStyle name="表示済みのハイパーリンク" xfId="1674" builtinId="9" hidden="1"/>
    <cellStyle name="表示済みのハイパーリンク" xfId="1676" builtinId="9" hidden="1"/>
    <cellStyle name="表示済みのハイパーリンク" xfId="1678" builtinId="9" hidden="1"/>
    <cellStyle name="表示済みのハイパーリンク" xfId="1680" builtinId="9" hidden="1"/>
    <cellStyle name="表示済みのハイパーリンク" xfId="1682" builtinId="9" hidden="1"/>
    <cellStyle name="表示済みのハイパーリンク" xfId="1684" builtinId="9" hidden="1"/>
    <cellStyle name="表示済みのハイパーリンク" xfId="1686" builtinId="9" hidden="1"/>
    <cellStyle name="表示済みのハイパーリンク" xfId="1688" builtinId="9" hidden="1"/>
    <cellStyle name="表示済みのハイパーリンク" xfId="1690" builtinId="9" hidden="1"/>
    <cellStyle name="表示済みのハイパーリンク" xfId="1692" builtinId="9" hidden="1"/>
    <cellStyle name="表示済みのハイパーリンク" xfId="1694" builtinId="9" hidden="1"/>
    <cellStyle name="表示済みのハイパーリンク" xfId="1696" builtinId="9" hidden="1"/>
    <cellStyle name="表示済みのハイパーリンク" xfId="1698" builtinId="9" hidden="1"/>
    <cellStyle name="表示済みのハイパーリンク" xfId="1700" builtinId="9" hidden="1"/>
    <cellStyle name="表示済みのハイパーリンク" xfId="1702" builtinId="9" hidden="1"/>
    <cellStyle name="表示済みのハイパーリンク" xfId="1704" builtinId="9" hidden="1"/>
    <cellStyle name="表示済みのハイパーリンク" xfId="1706" builtinId="9" hidden="1"/>
    <cellStyle name="表示済みのハイパーリンク" xfId="1708" builtinId="9" hidden="1"/>
    <cellStyle name="表示済みのハイパーリンク" xfId="1710" builtinId="9" hidden="1"/>
    <cellStyle name="表示済みのハイパーリンク" xfId="1712" builtinId="9" hidden="1"/>
    <cellStyle name="表示済みのハイパーリンク" xfId="1714" builtinId="9" hidden="1"/>
    <cellStyle name="表示済みのハイパーリンク" xfId="1716" builtinId="9" hidden="1"/>
    <cellStyle name="表示済みのハイパーリンク" xfId="1718" builtinId="9" hidden="1"/>
    <cellStyle name="表示済みのハイパーリンク" xfId="1720" builtinId="9" hidden="1"/>
    <cellStyle name="表示済みのハイパーリンク" xfId="1722" builtinId="9" hidden="1"/>
    <cellStyle name="表示済みのハイパーリンク" xfId="1724" builtinId="9" hidden="1"/>
    <cellStyle name="表示済みのハイパーリンク" xfId="1726" builtinId="9" hidden="1"/>
    <cellStyle name="表示済みのハイパーリンク" xfId="1728" builtinId="9" hidden="1"/>
    <cellStyle name="表示済みのハイパーリンク" xfId="1730" builtinId="9" hidden="1"/>
    <cellStyle name="表示済みのハイパーリンク" xfId="1732" builtinId="9" hidden="1"/>
    <cellStyle name="表示済みのハイパーリンク" xfId="1734" builtinId="9" hidden="1"/>
    <cellStyle name="表示済みのハイパーリンク" xfId="1736" builtinId="9" hidden="1"/>
    <cellStyle name="表示済みのハイパーリンク" xfId="1738" builtinId="9" hidden="1"/>
    <cellStyle name="表示済みのハイパーリンク" xfId="1740" builtinId="9" hidden="1"/>
    <cellStyle name="表示済みのハイパーリンク" xfId="1742" builtinId="9" hidden="1"/>
    <cellStyle name="表示済みのハイパーリンク" xfId="1744" builtinId="9" hidden="1"/>
    <cellStyle name="表示済みのハイパーリンク" xfId="1746" builtinId="9" hidden="1"/>
    <cellStyle name="表示済みのハイパーリンク" xfId="1748" builtinId="9" hidden="1"/>
    <cellStyle name="表示済みのハイパーリンク" xfId="1750" builtinId="9" hidden="1"/>
    <cellStyle name="表示済みのハイパーリンク" xfId="1752" builtinId="9" hidden="1"/>
    <cellStyle name="表示済みのハイパーリンク" xfId="1754" builtinId="9" hidden="1"/>
    <cellStyle name="表示済みのハイパーリンク" xfId="1756" builtinId="9" hidden="1"/>
    <cellStyle name="表示済みのハイパーリンク" xfId="1758" builtinId="9" hidden="1"/>
    <cellStyle name="表示済みのハイパーリンク" xfId="1760" builtinId="9" hidden="1"/>
    <cellStyle name="表示済みのハイパーリンク" xfId="1762" builtinId="9" hidden="1"/>
    <cellStyle name="表示済みのハイパーリンク" xfId="1764" builtinId="9" hidden="1"/>
    <cellStyle name="表示済みのハイパーリンク" xfId="1766" builtinId="9" hidden="1"/>
    <cellStyle name="表示済みのハイパーリンク" xfId="1768" builtinId="9" hidden="1"/>
    <cellStyle name="表示済みのハイパーリンク" xfId="1770" builtinId="9" hidden="1"/>
    <cellStyle name="表示済みのハイパーリンク" xfId="1772" builtinId="9" hidden="1"/>
    <cellStyle name="表示済みのハイパーリンク" xfId="1774" builtinId="9" hidden="1"/>
    <cellStyle name="表示済みのハイパーリンク" xfId="1776" builtinId="9" hidden="1"/>
    <cellStyle name="表示済みのハイパーリンク" xfId="1778" builtinId="9" hidden="1"/>
    <cellStyle name="表示済みのハイパーリンク" xfId="1780" builtinId="9" hidden="1"/>
    <cellStyle name="表示済みのハイパーリンク" xfId="1782" builtinId="9" hidden="1"/>
    <cellStyle name="表示済みのハイパーリンク" xfId="1784" builtinId="9" hidden="1"/>
    <cellStyle name="表示済みのハイパーリンク" xfId="1786" builtinId="9" hidden="1"/>
    <cellStyle name="表示済みのハイパーリンク" xfId="1788" builtinId="9" hidden="1"/>
    <cellStyle name="表示済みのハイパーリンク" xfId="1790" builtinId="9" hidden="1"/>
    <cellStyle name="表示済みのハイパーリンク" xfId="1792" builtinId="9" hidden="1"/>
    <cellStyle name="表示済みのハイパーリンク" xfId="1794" builtinId="9" hidden="1"/>
    <cellStyle name="表示済みのハイパーリンク" xfId="1796" builtinId="9" hidden="1"/>
    <cellStyle name="表示済みのハイパーリンク" xfId="1798" builtinId="9" hidden="1"/>
    <cellStyle name="表示済みのハイパーリンク" xfId="1800" builtinId="9" hidden="1"/>
    <cellStyle name="表示済みのハイパーリンク" xfId="1802" builtinId="9" hidden="1"/>
    <cellStyle name="表示済みのハイパーリンク" xfId="1804" builtinId="9" hidden="1"/>
    <cellStyle name="表示済みのハイパーリンク" xfId="1806" builtinId="9" hidden="1"/>
    <cellStyle name="表示済みのハイパーリンク" xfId="1808" builtinId="9" hidden="1"/>
    <cellStyle name="表示済みのハイパーリンク" xfId="1810" builtinId="9" hidden="1"/>
    <cellStyle name="表示済みのハイパーリンク" xfId="1812" builtinId="9" hidden="1"/>
    <cellStyle name="表示済みのハイパーリンク" xfId="1814" builtinId="9" hidden="1"/>
    <cellStyle name="表示済みのハイパーリンク" xfId="1816" builtinId="9" hidden="1"/>
    <cellStyle name="表示済みのハイパーリンク" xfId="1818" builtinId="9" hidden="1"/>
    <cellStyle name="表示済みのハイパーリンク" xfId="1820" builtinId="9" hidden="1"/>
    <cellStyle name="表示済みのハイパーリンク" xfId="1822" builtinId="9" hidden="1"/>
    <cellStyle name="表示済みのハイパーリンク" xfId="1824" builtinId="9" hidden="1"/>
    <cellStyle name="表示済みのハイパーリンク" xfId="1826" builtinId="9" hidden="1"/>
    <cellStyle name="表示済みのハイパーリンク" xfId="1828" builtinId="9" hidden="1"/>
    <cellStyle name="表示済みのハイパーリンク" xfId="1830" builtinId="9" hidden="1"/>
    <cellStyle name="表示済みのハイパーリンク" xfId="1832" builtinId="9" hidden="1"/>
    <cellStyle name="表示済みのハイパーリンク" xfId="1834" builtinId="9" hidden="1"/>
    <cellStyle name="表示済みのハイパーリンク" xfId="1836" builtinId="9" hidden="1"/>
    <cellStyle name="表示済みのハイパーリンク" xfId="1838" builtinId="9" hidden="1"/>
    <cellStyle name="表示済みのハイパーリンク" xfId="1840" builtinId="9" hidden="1"/>
    <cellStyle name="表示済みのハイパーリンク" xfId="1842" builtinId="9" hidden="1"/>
    <cellStyle name="表示済みのハイパーリンク" xfId="1844" builtinId="9" hidden="1"/>
    <cellStyle name="表示済みのハイパーリンク" xfId="1846" builtinId="9" hidden="1"/>
    <cellStyle name="表示済みのハイパーリンク" xfId="1848" builtinId="9" hidden="1"/>
    <cellStyle name="表示済みのハイパーリンク" xfId="1850" builtinId="9" hidden="1"/>
    <cellStyle name="表示済みのハイパーリンク" xfId="1852" builtinId="9" hidden="1"/>
    <cellStyle name="表示済みのハイパーリンク" xfId="1854" builtinId="9" hidden="1"/>
    <cellStyle name="表示済みのハイパーリンク" xfId="1856" builtinId="9" hidden="1"/>
    <cellStyle name="表示済みのハイパーリンク" xfId="1858" builtinId="9" hidden="1"/>
    <cellStyle name="表示済みのハイパーリンク" xfId="1860" builtinId="9" hidden="1"/>
    <cellStyle name="表示済みのハイパーリンク" xfId="1862" builtinId="9" hidden="1"/>
    <cellStyle name="表示済みのハイパーリンク" xfId="1864" builtinId="9" hidden="1"/>
    <cellStyle name="表示済みのハイパーリンク" xfId="1866" builtinId="9" hidden="1"/>
    <cellStyle name="表示済みのハイパーリンク" xfId="1868" builtinId="9" hidden="1"/>
    <cellStyle name="表示済みのハイパーリンク" xfId="1870" builtinId="9" hidden="1"/>
    <cellStyle name="表示済みのハイパーリンク" xfId="1872" builtinId="9" hidden="1"/>
    <cellStyle name="表示済みのハイパーリンク" xfId="1874" builtinId="9" hidden="1"/>
    <cellStyle name="表示済みのハイパーリンク" xfId="1876" builtinId="9" hidden="1"/>
    <cellStyle name="表示済みのハイパーリンク" xfId="1878" builtinId="9" hidden="1"/>
    <cellStyle name="表示済みのハイパーリンク" xfId="1880" builtinId="9" hidden="1"/>
    <cellStyle name="表示済みのハイパーリンク" xfId="1882" builtinId="9" hidden="1"/>
    <cellStyle name="表示済みのハイパーリンク" xfId="1884" builtinId="9" hidden="1"/>
    <cellStyle name="表示済みのハイパーリンク" xfId="1886" builtinId="9" hidden="1"/>
    <cellStyle name="表示済みのハイパーリンク" xfId="1888" builtinId="9" hidden="1"/>
    <cellStyle name="表示済みのハイパーリンク" xfId="1890" builtinId="9" hidden="1"/>
    <cellStyle name="表示済みのハイパーリンク" xfId="1892" builtinId="9" hidden="1"/>
    <cellStyle name="表示済みのハイパーリンク" xfId="1894" builtinId="9" hidden="1"/>
    <cellStyle name="表示済みのハイパーリンク" xfId="1896" builtinId="9" hidden="1"/>
    <cellStyle name="表示済みのハイパーリンク" xfId="1898" builtinId="9" hidden="1"/>
    <cellStyle name="表示済みのハイパーリンク" xfId="1900" builtinId="9" hidden="1"/>
    <cellStyle name="表示済みのハイパーリンク" xfId="1902" builtinId="9" hidden="1"/>
    <cellStyle name="表示済みのハイパーリンク" xfId="1904" builtinId="9" hidden="1"/>
    <cellStyle name="表示済みのハイパーリンク" xfId="1906" builtinId="9" hidden="1"/>
    <cellStyle name="表示済みのハイパーリンク" xfId="1908" builtinId="9" hidden="1"/>
    <cellStyle name="表示済みのハイパーリンク" xfId="1910" builtinId="9" hidden="1"/>
    <cellStyle name="表示済みのハイパーリンク" xfId="1912" builtinId="9" hidden="1"/>
    <cellStyle name="表示済みのハイパーリンク" xfId="1914" builtinId="9" hidden="1"/>
    <cellStyle name="表示済みのハイパーリンク" xfId="1916" builtinId="9" hidden="1"/>
    <cellStyle name="表示済みのハイパーリンク" xfId="1918" builtinId="9" hidden="1"/>
    <cellStyle name="表示済みのハイパーリンク" xfId="1920" builtinId="9" hidden="1"/>
    <cellStyle name="表示済みのハイパーリンク" xfId="1922" builtinId="9" hidden="1"/>
    <cellStyle name="表示済みのハイパーリンク" xfId="1924" builtinId="9" hidden="1"/>
    <cellStyle name="表示済みのハイパーリンク" xfId="1926" builtinId="9" hidden="1"/>
    <cellStyle name="表示済みのハイパーリンク" xfId="1928" builtinId="9" hidden="1"/>
    <cellStyle name="表示済みのハイパーリンク" xfId="1930" builtinId="9" hidden="1"/>
    <cellStyle name="表示済みのハイパーリンク" xfId="1932" builtinId="9" hidden="1"/>
    <cellStyle name="表示済みのハイパーリンク" xfId="1934" builtinId="9" hidden="1"/>
    <cellStyle name="表示済みのハイパーリンク" xfId="1936" builtinId="9" hidden="1"/>
    <cellStyle name="表示済みのハイパーリンク" xfId="1938" builtinId="9" hidden="1"/>
    <cellStyle name="表示済みのハイパーリンク" xfId="1940" builtinId="9" hidden="1"/>
    <cellStyle name="表示済みのハイパーリンク" xfId="1942" builtinId="9" hidden="1"/>
    <cellStyle name="表示済みのハイパーリンク" xfId="1944" builtinId="9" hidden="1"/>
    <cellStyle name="表示済みのハイパーリンク" xfId="1946" builtinId="9" hidden="1"/>
    <cellStyle name="表示済みのハイパーリンク" xfId="1948" builtinId="9" hidden="1"/>
    <cellStyle name="表示済みのハイパーリンク" xfId="1950" builtinId="9" hidden="1"/>
    <cellStyle name="表示済みのハイパーリンク" xfId="1952" builtinId="9" hidden="1"/>
    <cellStyle name="表示済みのハイパーリンク" xfId="1954" builtinId="9" hidden="1"/>
    <cellStyle name="表示済みのハイパーリンク" xfId="1956" builtinId="9" hidden="1"/>
    <cellStyle name="表示済みのハイパーリンク" xfId="1958" builtinId="9" hidden="1"/>
    <cellStyle name="表示済みのハイパーリンク" xfId="1960" builtinId="9" hidden="1"/>
    <cellStyle name="表示済みのハイパーリンク" xfId="1962" builtinId="9" hidden="1"/>
    <cellStyle name="表示済みのハイパーリンク" xfId="1964" builtinId="9" hidden="1"/>
    <cellStyle name="表示済みのハイパーリンク" xfId="1966" builtinId="9" hidden="1"/>
    <cellStyle name="表示済みのハイパーリンク" xfId="1968" builtinId="9" hidden="1"/>
    <cellStyle name="表示済みのハイパーリンク" xfId="1970" builtinId="9" hidden="1"/>
    <cellStyle name="表示済みのハイパーリンク" xfId="1972" builtinId="9" hidden="1"/>
    <cellStyle name="表示済みのハイパーリンク" xfId="1974" builtinId="9" hidden="1"/>
    <cellStyle name="表示済みのハイパーリンク" xfId="1976" builtinId="9" hidden="1"/>
    <cellStyle name="表示済みのハイパーリンク" xfId="1978" builtinId="9" hidden="1"/>
    <cellStyle name="表示済みのハイパーリンク" xfId="1980" builtinId="9" hidden="1"/>
    <cellStyle name="表示済みのハイパーリンク" xfId="1982" builtinId="9" hidden="1"/>
    <cellStyle name="表示済みのハイパーリンク" xfId="1984" builtinId="9" hidden="1"/>
    <cellStyle name="表示済みのハイパーリンク" xfId="1986" builtinId="9" hidden="1"/>
    <cellStyle name="表示済みのハイパーリンク" xfId="1988" builtinId="9" hidden="1"/>
    <cellStyle name="表示済みのハイパーリンク" xfId="1990" builtinId="9" hidden="1"/>
    <cellStyle name="表示済みのハイパーリンク" xfId="1992" builtinId="9" hidden="1"/>
    <cellStyle name="表示済みのハイパーリンク" xfId="1994" builtinId="9" hidden="1"/>
    <cellStyle name="表示済みのハイパーリンク" xfId="1996" builtinId="9" hidden="1"/>
    <cellStyle name="表示済みのハイパーリンク" xfId="1998" builtinId="9" hidden="1"/>
    <cellStyle name="表示済みのハイパーリンク" xfId="2000" builtinId="9" hidden="1"/>
    <cellStyle name="表示済みのハイパーリンク" xfId="2002" builtinId="9" hidden="1"/>
    <cellStyle name="表示済みのハイパーリンク" xfId="2004" builtinId="9" hidden="1"/>
    <cellStyle name="表示済みのハイパーリンク" xfId="2006" builtinId="9" hidden="1"/>
    <cellStyle name="表示済みのハイパーリンク" xfId="2008" builtinId="9" hidden="1"/>
    <cellStyle name="表示済みのハイパーリンク" xfId="2010" builtinId="9" hidden="1"/>
    <cellStyle name="表示済みのハイパーリンク" xfId="2012" builtinId="9" hidden="1"/>
    <cellStyle name="表示済みのハイパーリンク" xfId="2014" builtinId="9" hidden="1"/>
    <cellStyle name="表示済みのハイパーリンク" xfId="2016" builtinId="9" hidden="1"/>
    <cellStyle name="表示済みのハイパーリンク" xfId="2018" builtinId="9" hidden="1"/>
    <cellStyle name="表示済みのハイパーリンク" xfId="2020" builtinId="9" hidden="1"/>
    <cellStyle name="表示済みのハイパーリンク" xfId="2022" builtinId="9" hidden="1"/>
    <cellStyle name="表示済みのハイパーリンク" xfId="2024" builtinId="9" hidden="1"/>
    <cellStyle name="表示済みのハイパーリンク" xfId="2026" builtinId="9" hidden="1"/>
    <cellStyle name="表示済みのハイパーリンク" xfId="2028" builtinId="9" hidden="1"/>
    <cellStyle name="表示済みのハイパーリンク" xfId="2030" builtinId="9" hidden="1"/>
    <cellStyle name="表示済みのハイパーリンク" xfId="2032" builtinId="9" hidden="1"/>
    <cellStyle name="表示済みのハイパーリンク" xfId="2034" builtinId="9" hidden="1"/>
    <cellStyle name="表示済みのハイパーリンク" xfId="2036" builtinId="9" hidden="1"/>
    <cellStyle name="表示済みのハイパーリンク" xfId="2038" builtinId="9" hidden="1"/>
    <cellStyle name="表示済みのハイパーリンク" xfId="2040" builtinId="9" hidden="1"/>
    <cellStyle name="表示済みのハイパーリンク" xfId="2042" builtinId="9" hidden="1"/>
    <cellStyle name="表示済みのハイパーリンク" xfId="2044" builtinId="9" hidden="1"/>
    <cellStyle name="表示済みのハイパーリンク" xfId="2046" builtinId="9" hidden="1"/>
    <cellStyle name="表示済みのハイパーリンク" xfId="2048" builtinId="9" hidden="1"/>
    <cellStyle name="表示済みのハイパーリンク" xfId="2050" builtinId="9" hidden="1"/>
    <cellStyle name="表示済みのハイパーリンク" xfId="2052" builtinId="9" hidden="1"/>
    <cellStyle name="表示済みのハイパーリンク" xfId="2054" builtinId="9" hidden="1"/>
    <cellStyle name="表示済みのハイパーリンク" xfId="2056" builtinId="9" hidden="1"/>
    <cellStyle name="表示済みのハイパーリンク" xfId="2058" builtinId="9" hidden="1"/>
    <cellStyle name="表示済みのハイパーリンク" xfId="2060" builtinId="9" hidden="1"/>
    <cellStyle name="表示済みのハイパーリンク" xfId="2062" builtinId="9" hidden="1"/>
    <cellStyle name="表示済みのハイパーリンク" xfId="2064" builtinId="9" hidden="1"/>
    <cellStyle name="表示済みのハイパーリンク" xfId="2066" builtinId="9" hidden="1"/>
    <cellStyle name="表示済みのハイパーリンク" xfId="2068" builtinId="9" hidden="1"/>
    <cellStyle name="表示済みのハイパーリンク" xfId="2070" builtinId="9" hidden="1"/>
    <cellStyle name="表示済みのハイパーリンク" xfId="2072" builtinId="9" hidden="1"/>
    <cellStyle name="表示済みのハイパーリンク" xfId="2074" builtinId="9" hidden="1"/>
    <cellStyle name="表示済みのハイパーリンク" xfId="2076" builtinId="9" hidden="1"/>
    <cellStyle name="表示済みのハイパーリンク" xfId="2078" builtinId="9" hidden="1"/>
    <cellStyle name="表示済みのハイパーリンク" xfId="2080" builtinId="9" hidden="1"/>
    <cellStyle name="表示済みのハイパーリンク" xfId="2082" builtinId="9" hidden="1"/>
    <cellStyle name="表示済みのハイパーリンク" xfId="2084" builtinId="9" hidden="1"/>
    <cellStyle name="表示済みのハイパーリンク" xfId="2086" builtinId="9" hidden="1"/>
    <cellStyle name="表示済みのハイパーリンク" xfId="2088" builtinId="9" hidden="1"/>
    <cellStyle name="表示済みのハイパーリンク" xfId="2090" builtinId="9" hidden="1"/>
    <cellStyle name="表示済みのハイパーリンク" xfId="2092" builtinId="9" hidden="1"/>
    <cellStyle name="表示済みのハイパーリンク" xfId="2094" builtinId="9" hidden="1"/>
    <cellStyle name="表示済みのハイパーリンク" xfId="2096" builtinId="9" hidden="1"/>
    <cellStyle name="表示済みのハイパーリンク" xfId="2098" builtinId="9" hidden="1"/>
    <cellStyle name="表示済みのハイパーリンク" xfId="2100" builtinId="9" hidden="1"/>
    <cellStyle name="表示済みのハイパーリンク" xfId="2102" builtinId="9" hidden="1"/>
    <cellStyle name="表示済みのハイパーリンク" xfId="2104" builtinId="9" hidden="1"/>
    <cellStyle name="表示済みのハイパーリンク" xfId="2106" builtinId="9" hidden="1"/>
    <cellStyle name="表示済みのハイパーリンク" xfId="2108" builtinId="9" hidden="1"/>
    <cellStyle name="表示済みのハイパーリンク" xfId="2110" builtinId="9" hidden="1"/>
    <cellStyle name="表示済みのハイパーリンク" xfId="2112" builtinId="9" hidden="1"/>
    <cellStyle name="表示済みのハイパーリンク" xfId="2114" builtinId="9" hidden="1"/>
    <cellStyle name="表示済みのハイパーリンク" xfId="2116" builtinId="9" hidden="1"/>
    <cellStyle name="表示済みのハイパーリンク" xfId="2118" builtinId="9" hidden="1"/>
    <cellStyle name="表示済みのハイパーリンク" xfId="2120" builtinId="9" hidden="1"/>
    <cellStyle name="表示済みのハイパーリンク" xfId="2122" builtinId="9" hidden="1"/>
    <cellStyle name="表示済みのハイパーリンク" xfId="2124" builtinId="9" hidden="1"/>
    <cellStyle name="表示済みのハイパーリンク" xfId="2126" builtinId="9" hidden="1"/>
    <cellStyle name="表示済みのハイパーリンク" xfId="2128" builtinId="9" hidden="1"/>
    <cellStyle name="表示済みのハイパーリンク" xfId="2130" builtinId="9" hidden="1"/>
    <cellStyle name="表示済みのハイパーリンク" xfId="2132" builtinId="9" hidden="1"/>
    <cellStyle name="表示済みのハイパーリンク" xfId="2134" builtinId="9" hidden="1"/>
    <cellStyle name="表示済みのハイパーリンク" xfId="2136" builtinId="9" hidden="1"/>
    <cellStyle name="表示済みのハイパーリンク" xfId="2138" builtinId="9" hidden="1"/>
    <cellStyle name="表示済みのハイパーリンク" xfId="2140" builtinId="9" hidden="1"/>
    <cellStyle name="表示済みのハイパーリンク" xfId="2142" builtinId="9" hidden="1"/>
    <cellStyle name="表示済みのハイパーリンク" xfId="2144" builtinId="9" hidden="1"/>
    <cellStyle name="表示済みのハイパーリンク" xfId="2146" builtinId="9" hidden="1"/>
    <cellStyle name="表示済みのハイパーリンク" xfId="2148" builtinId="9" hidden="1"/>
    <cellStyle name="表示済みのハイパーリンク" xfId="2150" builtinId="9" hidden="1"/>
    <cellStyle name="表示済みのハイパーリンク" xfId="2152" builtinId="9" hidden="1"/>
    <cellStyle name="表示済みのハイパーリンク" xfId="2154" builtinId="9" hidden="1"/>
    <cellStyle name="表示済みのハイパーリンク" xfId="2156" builtinId="9" hidden="1"/>
    <cellStyle name="表示済みのハイパーリンク" xfId="2158" builtinId="9" hidden="1"/>
    <cellStyle name="表示済みのハイパーリンク" xfId="2160" builtinId="9" hidden="1"/>
    <cellStyle name="表示済みのハイパーリンク" xfId="2162" builtinId="9" hidden="1"/>
    <cellStyle name="表示済みのハイパーリンク" xfId="2164" builtinId="9" hidden="1"/>
    <cellStyle name="表示済みのハイパーリンク" xfId="2166" builtinId="9" hidden="1"/>
    <cellStyle name="表示済みのハイパーリンク" xfId="2168" builtinId="9" hidden="1"/>
    <cellStyle name="表示済みのハイパーリンク" xfId="2170" builtinId="9" hidden="1"/>
    <cellStyle name="表示済みのハイパーリンク" xfId="2172" builtinId="9" hidden="1"/>
    <cellStyle name="表示済みのハイパーリンク" xfId="2174" builtinId="9" hidden="1"/>
    <cellStyle name="表示済みのハイパーリンク" xfId="2176" builtinId="9" hidden="1"/>
    <cellStyle name="表示済みのハイパーリンク" xfId="2178" builtinId="9" hidden="1"/>
    <cellStyle name="表示済みのハイパーリンク" xfId="2180" builtinId="9" hidden="1"/>
    <cellStyle name="表示済みのハイパーリンク" xfId="2182" builtinId="9" hidden="1"/>
    <cellStyle name="表示済みのハイパーリンク" xfId="2184" builtinId="9" hidden="1"/>
    <cellStyle name="表示済みのハイパーリンク" xfId="2186" builtinId="9" hidden="1"/>
    <cellStyle name="表示済みのハイパーリンク" xfId="2188" builtinId="9" hidden="1"/>
    <cellStyle name="表示済みのハイパーリンク" xfId="2190" builtinId="9" hidden="1"/>
    <cellStyle name="表示済みのハイパーリンク" xfId="2192" builtinId="9" hidden="1"/>
    <cellStyle name="表示済みのハイパーリンク" xfId="2194" builtinId="9" hidden="1"/>
    <cellStyle name="表示済みのハイパーリンク" xfId="2196" builtinId="9" hidden="1"/>
    <cellStyle name="表示済みのハイパーリンク" xfId="2198" builtinId="9" hidden="1"/>
    <cellStyle name="表示済みのハイパーリンク" xfId="2200" builtinId="9" hidden="1"/>
    <cellStyle name="表示済みのハイパーリンク" xfId="2202" builtinId="9" hidden="1"/>
    <cellStyle name="表示済みのハイパーリンク" xfId="2204" builtinId="9" hidden="1"/>
    <cellStyle name="表示済みのハイパーリンク" xfId="2206" builtinId="9" hidden="1"/>
    <cellStyle name="表示済みのハイパーリンク" xfId="2208" builtinId="9" hidden="1"/>
    <cellStyle name="表示済みのハイパーリンク" xfId="2210" builtinId="9" hidden="1"/>
    <cellStyle name="表示済みのハイパーリンク" xfId="2212" builtinId="9" hidden="1"/>
    <cellStyle name="表示済みのハイパーリンク" xfId="2214" builtinId="9" hidden="1"/>
    <cellStyle name="表示済みのハイパーリンク" xfId="2216" builtinId="9" hidden="1"/>
    <cellStyle name="表示済みのハイパーリンク" xfId="2218" builtinId="9" hidden="1"/>
    <cellStyle name="表示済みのハイパーリンク" xfId="2220" builtinId="9" hidden="1"/>
    <cellStyle name="表示済みのハイパーリンク" xfId="2222" builtinId="9" hidden="1"/>
    <cellStyle name="表示済みのハイパーリンク" xfId="2224" builtinId="9" hidden="1"/>
    <cellStyle name="表示済みのハイパーリンク" xfId="2226" builtinId="9" hidden="1"/>
    <cellStyle name="表示済みのハイパーリンク" xfId="2228" builtinId="9" hidden="1"/>
    <cellStyle name="表示済みのハイパーリンク" xfId="2230" builtinId="9" hidden="1"/>
    <cellStyle name="表示済みのハイパーリンク" xfId="2232" builtinId="9" hidden="1"/>
    <cellStyle name="表示済みのハイパーリンク" xfId="2234" builtinId="9" hidden="1"/>
    <cellStyle name="表示済みのハイパーリンク" xfId="2236" builtinId="9" hidden="1"/>
    <cellStyle name="表示済みのハイパーリンク" xfId="2238" builtinId="9" hidden="1"/>
    <cellStyle name="表示済みのハイパーリンク" xfId="2240" builtinId="9" hidden="1"/>
    <cellStyle name="表示済みのハイパーリンク" xfId="2242" builtinId="9" hidden="1"/>
    <cellStyle name="表示済みのハイパーリンク" xfId="2244" builtinId="9" hidden="1"/>
    <cellStyle name="表示済みのハイパーリンク" xfId="2246" builtinId="9" hidden="1"/>
    <cellStyle name="表示済みのハイパーリンク" xfId="2248" builtinId="9" hidden="1"/>
    <cellStyle name="表示済みのハイパーリンク" xfId="2250" builtinId="9" hidden="1"/>
    <cellStyle name="表示済みのハイパーリンク" xfId="2252" builtinId="9" hidden="1"/>
    <cellStyle name="表示済みのハイパーリンク" xfId="2254" builtinId="9" hidden="1"/>
    <cellStyle name="表示済みのハイパーリンク" xfId="2256" builtinId="9" hidden="1"/>
    <cellStyle name="表示済みのハイパーリンク" xfId="2258" builtinId="9" hidden="1"/>
    <cellStyle name="表示済みのハイパーリンク" xfId="2260" builtinId="9" hidden="1"/>
    <cellStyle name="表示済みのハイパーリンク" xfId="2262" builtinId="9" hidden="1"/>
    <cellStyle name="表示済みのハイパーリンク" xfId="2264" builtinId="9" hidden="1"/>
    <cellStyle name="表示済みのハイパーリンク" xfId="2266" builtinId="9" hidden="1"/>
    <cellStyle name="表示済みのハイパーリンク" xfId="2268" builtinId="9" hidden="1"/>
    <cellStyle name="表示済みのハイパーリンク" xfId="2270" builtinId="9" hidden="1"/>
    <cellStyle name="表示済みのハイパーリンク" xfId="2272" builtinId="9" hidden="1"/>
    <cellStyle name="表示済みのハイパーリンク" xfId="2274" builtinId="9" hidden="1"/>
    <cellStyle name="表示済みのハイパーリンク" xfId="2276" builtinId="9" hidden="1"/>
    <cellStyle name="表示済みのハイパーリンク" xfId="2278" builtinId="9" hidden="1"/>
    <cellStyle name="表示済みのハイパーリンク" xfId="2280" builtinId="9" hidden="1"/>
    <cellStyle name="表示済みのハイパーリンク" xfId="2282" builtinId="9" hidden="1"/>
    <cellStyle name="表示済みのハイパーリンク" xfId="2284" builtinId="9" hidden="1"/>
    <cellStyle name="表示済みのハイパーリンク" xfId="2286" builtinId="9" hidden="1"/>
    <cellStyle name="表示済みのハイパーリンク" xfId="2288" builtinId="9" hidden="1"/>
    <cellStyle name="表示済みのハイパーリンク" xfId="2290" builtinId="9" hidden="1"/>
    <cellStyle name="表示済みのハイパーリンク" xfId="2292" builtinId="9" hidden="1"/>
    <cellStyle name="表示済みのハイパーリンク" xfId="2294" builtinId="9" hidden="1"/>
    <cellStyle name="表示済みのハイパーリンク" xfId="2296" builtinId="9" hidden="1"/>
    <cellStyle name="表示済みのハイパーリンク" xfId="2298" builtinId="9" hidden="1"/>
    <cellStyle name="表示済みのハイパーリンク" xfId="2300" builtinId="9" hidden="1"/>
    <cellStyle name="表示済みのハイパーリンク" xfId="2302" builtinId="9" hidden="1"/>
    <cellStyle name="表示済みのハイパーリンク" xfId="2304" builtinId="9" hidden="1"/>
    <cellStyle name="表示済みのハイパーリンク" xfId="2306" builtinId="9" hidden="1"/>
    <cellStyle name="表示済みのハイパーリンク" xfId="2308" builtinId="9" hidden="1"/>
    <cellStyle name="表示済みのハイパーリンク" xfId="2310" builtinId="9" hidden="1"/>
    <cellStyle name="表示済みのハイパーリンク" xfId="2312" builtinId="9" hidden="1"/>
    <cellStyle name="表示済みのハイパーリンク" xfId="2314" builtinId="9" hidden="1"/>
    <cellStyle name="表示済みのハイパーリンク" xfId="2316" builtinId="9" hidden="1"/>
    <cellStyle name="表示済みのハイパーリンク" xfId="2318" builtinId="9" hidden="1"/>
    <cellStyle name="表示済みのハイパーリンク" xfId="2320" builtinId="9" hidden="1"/>
    <cellStyle name="表示済みのハイパーリンク" xfId="2322" builtinId="9" hidden="1"/>
    <cellStyle name="表示済みのハイパーリンク" xfId="2324" builtinId="9" hidden="1"/>
    <cellStyle name="表示済みのハイパーリンク" xfId="2326" builtinId="9" hidden="1"/>
    <cellStyle name="表示済みのハイパーリンク" xfId="2328" builtinId="9" hidden="1"/>
    <cellStyle name="表示済みのハイパーリンク" xfId="2330" builtinId="9" hidden="1"/>
    <cellStyle name="表示済みのハイパーリンク" xfId="2332" builtinId="9" hidden="1"/>
    <cellStyle name="表示済みのハイパーリンク" xfId="2334" builtinId="9" hidden="1"/>
    <cellStyle name="表示済みのハイパーリンク" xfId="2336" builtinId="9" hidden="1"/>
    <cellStyle name="表示済みのハイパーリンク" xfId="2338" builtinId="9" hidden="1"/>
    <cellStyle name="表示済みのハイパーリンク" xfId="2340" builtinId="9" hidden="1"/>
    <cellStyle name="表示済みのハイパーリンク" xfId="2342" builtinId="9" hidden="1"/>
    <cellStyle name="表示済みのハイパーリンク" xfId="2344" builtinId="9" hidden="1"/>
    <cellStyle name="表示済みのハイパーリンク" xfId="2346" builtinId="9" hidden="1"/>
    <cellStyle name="表示済みのハイパーリンク" xfId="2348" builtinId="9" hidden="1"/>
    <cellStyle name="表示済みのハイパーリンク" xfId="2350" builtinId="9" hidden="1"/>
    <cellStyle name="表示済みのハイパーリンク" xfId="2352" builtinId="9" hidden="1"/>
    <cellStyle name="表示済みのハイパーリンク" xfId="2354" builtinId="9" hidden="1"/>
    <cellStyle name="表示済みのハイパーリンク" xfId="2356" builtinId="9" hidden="1"/>
    <cellStyle name="表示済みのハイパーリンク" xfId="2358" builtinId="9" hidden="1"/>
    <cellStyle name="表示済みのハイパーリンク" xfId="2360" builtinId="9" hidden="1"/>
    <cellStyle name="表示済みのハイパーリンク" xfId="2362" builtinId="9" hidden="1"/>
    <cellStyle name="表示済みのハイパーリンク" xfId="2364" builtinId="9" hidden="1"/>
    <cellStyle name="表示済みのハイパーリンク" xfId="2366" builtinId="9" hidden="1"/>
    <cellStyle name="表示済みのハイパーリンク" xfId="2368" builtinId="9" hidden="1"/>
    <cellStyle name="表示済みのハイパーリンク" xfId="2370" builtinId="9" hidden="1"/>
    <cellStyle name="表示済みのハイパーリンク" xfId="2372" builtinId="9" hidden="1"/>
    <cellStyle name="表示済みのハイパーリンク" xfId="2374" builtinId="9" hidden="1"/>
    <cellStyle name="表示済みのハイパーリンク" xfId="2376" builtinId="9" hidden="1"/>
    <cellStyle name="表示済みのハイパーリンク" xfId="2378" builtinId="9" hidden="1"/>
    <cellStyle name="表示済みのハイパーリンク" xfId="2380" builtinId="9" hidden="1"/>
    <cellStyle name="表示済みのハイパーリンク" xfId="2382" builtinId="9" hidden="1"/>
    <cellStyle name="表示済みのハイパーリンク" xfId="2384" builtinId="9" hidden="1"/>
    <cellStyle name="表示済みのハイパーリンク" xfId="2386" builtinId="9" hidden="1"/>
    <cellStyle name="表示済みのハイパーリンク" xfId="2388" builtinId="9" hidden="1"/>
    <cellStyle name="表示済みのハイパーリンク" xfId="2390" builtinId="9" hidden="1"/>
    <cellStyle name="表示済みのハイパーリンク" xfId="2392" builtinId="9" hidden="1"/>
    <cellStyle name="表示済みのハイパーリンク" xfId="2394" builtinId="9" hidden="1"/>
    <cellStyle name="表示済みのハイパーリンク" xfId="2396" builtinId="9" hidden="1"/>
    <cellStyle name="表示済みのハイパーリンク" xfId="2398" builtinId="9" hidden="1"/>
    <cellStyle name="表示済みのハイパーリンク" xfId="2400" builtinId="9" hidden="1"/>
    <cellStyle name="表示済みのハイパーリンク" xfId="2402" builtinId="9" hidden="1"/>
    <cellStyle name="表示済みのハイパーリンク" xfId="2404" builtinId="9" hidden="1"/>
    <cellStyle name="表示済みのハイパーリンク" xfId="2406" builtinId="9" hidden="1"/>
    <cellStyle name="表示済みのハイパーリンク" xfId="2408" builtinId="9" hidden="1"/>
    <cellStyle name="表示済みのハイパーリンク" xfId="2410" builtinId="9" hidden="1"/>
    <cellStyle name="表示済みのハイパーリンク" xfId="2412" builtinId="9" hidden="1"/>
    <cellStyle name="表示済みのハイパーリンク" xfId="2414" builtinId="9" hidden="1"/>
    <cellStyle name="表示済みのハイパーリンク" xfId="2416" builtinId="9" hidden="1"/>
    <cellStyle name="表示済みのハイパーリンク" xfId="2418" builtinId="9" hidden="1"/>
    <cellStyle name="表示済みのハイパーリンク" xfId="2420" builtinId="9" hidden="1"/>
    <cellStyle name="表示済みのハイパーリンク" xfId="2422" builtinId="9" hidden="1"/>
    <cellStyle name="表示済みのハイパーリンク" xfId="2424" builtinId="9" hidden="1"/>
    <cellStyle name="表示済みのハイパーリンク" xfId="2426" builtinId="9" hidden="1"/>
    <cellStyle name="表示済みのハイパーリンク" xfId="2428" builtinId="9" hidden="1"/>
    <cellStyle name="表示済みのハイパーリンク" xfId="2430" builtinId="9" hidden="1"/>
    <cellStyle name="表示済みのハイパーリンク" xfId="2432" builtinId="9" hidden="1"/>
    <cellStyle name="表示済みのハイパーリンク" xfId="2434" builtinId="9" hidden="1"/>
    <cellStyle name="表示済みのハイパーリンク" xfId="2436" builtinId="9" hidden="1"/>
    <cellStyle name="表示済みのハイパーリンク" xfId="2438" builtinId="9" hidden="1"/>
    <cellStyle name="表示済みのハイパーリンク" xfId="2440" builtinId="9" hidden="1"/>
    <cellStyle name="表示済みのハイパーリンク" xfId="2442" builtinId="9" hidden="1"/>
    <cellStyle name="表示済みのハイパーリンク" xfId="2444" builtinId="9" hidden="1"/>
    <cellStyle name="表示済みのハイパーリンク" xfId="2446" builtinId="9" hidden="1"/>
    <cellStyle name="表示済みのハイパーリンク" xfId="2448" builtinId="9" hidden="1"/>
    <cellStyle name="表示済みのハイパーリンク" xfId="2450" builtinId="9" hidden="1"/>
    <cellStyle name="表示済みのハイパーリンク" xfId="2452" builtinId="9" hidden="1"/>
    <cellStyle name="表示済みのハイパーリンク" xfId="2454" builtinId="9" hidden="1"/>
    <cellStyle name="表示済みのハイパーリンク" xfId="2456" builtinId="9" hidden="1"/>
    <cellStyle name="表示済みのハイパーリンク" xfId="2458" builtinId="9" hidden="1"/>
    <cellStyle name="表示済みのハイパーリンク" xfId="2460" builtinId="9" hidden="1"/>
    <cellStyle name="表示済みのハイパーリンク" xfId="2462" builtinId="9" hidden="1"/>
    <cellStyle name="表示済みのハイパーリンク" xfId="2464" builtinId="9" hidden="1"/>
    <cellStyle name="表示済みのハイパーリンク" xfId="2466" builtinId="9" hidden="1"/>
    <cellStyle name="表示済みのハイパーリンク" xfId="2468" builtinId="9" hidden="1"/>
    <cellStyle name="表示済みのハイパーリンク" xfId="2470" builtinId="9" hidden="1"/>
    <cellStyle name="表示済みのハイパーリンク" xfId="2472" builtinId="9" hidden="1"/>
    <cellStyle name="表示済みのハイパーリンク" xfId="2474" builtinId="9" hidden="1"/>
    <cellStyle name="表示済みのハイパーリンク" xfId="2476" builtinId="9" hidden="1"/>
    <cellStyle name="表示済みのハイパーリンク" xfId="2478" builtinId="9" hidden="1"/>
    <cellStyle name="表示済みのハイパーリンク" xfId="2480" builtinId="9" hidden="1"/>
    <cellStyle name="表示済みのハイパーリンク" xfId="2482" builtinId="9" hidden="1"/>
    <cellStyle name="表示済みのハイパーリンク" xfId="2484" builtinId="9" hidden="1"/>
    <cellStyle name="表示済みのハイパーリンク" xfId="2486" builtinId="9" hidden="1"/>
    <cellStyle name="表示済みのハイパーリンク" xfId="2488" builtinId="9" hidden="1"/>
    <cellStyle name="表示済みのハイパーリンク" xfId="2490" builtinId="9" hidden="1"/>
    <cellStyle name="表示済みのハイパーリンク" xfId="2492" builtinId="9" hidden="1"/>
    <cellStyle name="表示済みのハイパーリンク" xfId="2494" builtinId="9" hidden="1"/>
    <cellStyle name="表示済みのハイパーリンク" xfId="2496" builtinId="9" hidden="1"/>
    <cellStyle name="表示済みのハイパーリンク" xfId="2498" builtinId="9" hidden="1"/>
    <cellStyle name="表示済みのハイパーリンク" xfId="2500" builtinId="9" hidden="1"/>
    <cellStyle name="表示済みのハイパーリンク" xfId="2502" builtinId="9" hidden="1"/>
    <cellStyle name="表示済みのハイパーリンク" xfId="2504" builtinId="9" hidden="1"/>
    <cellStyle name="表示済みのハイパーリンク" xfId="2506" builtinId="9" hidden="1"/>
    <cellStyle name="表示済みのハイパーリンク" xfId="2508" builtinId="9" hidden="1"/>
    <cellStyle name="表示済みのハイパーリンク" xfId="2510" builtinId="9" hidden="1"/>
    <cellStyle name="表示済みのハイパーリンク" xfId="2512" builtinId="9" hidden="1"/>
    <cellStyle name="表示済みのハイパーリンク" xfId="2514" builtinId="9" hidden="1"/>
    <cellStyle name="表示済みのハイパーリンク" xfId="2516" builtinId="9" hidden="1"/>
    <cellStyle name="表示済みのハイパーリンク" xfId="2518" builtinId="9" hidden="1"/>
    <cellStyle name="表示済みのハイパーリンク" xfId="2520" builtinId="9" hidden="1"/>
    <cellStyle name="表示済みのハイパーリンク" xfId="2522" builtinId="9" hidden="1"/>
    <cellStyle name="表示済みのハイパーリンク" xfId="2524" builtinId="9" hidden="1"/>
    <cellStyle name="表示済みのハイパーリンク" xfId="2526" builtinId="9" hidden="1"/>
    <cellStyle name="表示済みのハイパーリンク" xfId="2528" builtinId="9" hidden="1"/>
    <cellStyle name="表示済みのハイパーリンク" xfId="2530" builtinId="9" hidden="1"/>
    <cellStyle name="表示済みのハイパーリンク" xfId="2532" builtinId="9" hidden="1"/>
    <cellStyle name="表示済みのハイパーリンク" xfId="2534" builtinId="9" hidden="1"/>
    <cellStyle name="表示済みのハイパーリンク" xfId="2536" builtinId="9" hidden="1"/>
    <cellStyle name="表示済みのハイパーリンク" xfId="2538" builtinId="9" hidden="1"/>
    <cellStyle name="表示済みのハイパーリンク" xfId="2540" builtinId="9" hidden="1"/>
    <cellStyle name="表示済みのハイパーリンク" xfId="2542" builtinId="9" hidden="1"/>
    <cellStyle name="表示済みのハイパーリンク" xfId="2544" builtinId="9" hidden="1"/>
    <cellStyle name="表示済みのハイパーリンク" xfId="2546" builtinId="9" hidden="1"/>
    <cellStyle name="表示済みのハイパーリンク" xfId="2548" builtinId="9" hidden="1"/>
    <cellStyle name="表示済みのハイパーリンク" xfId="2550" builtinId="9" hidden="1"/>
    <cellStyle name="表示済みのハイパーリンク" xfId="2552" builtinId="9" hidden="1"/>
    <cellStyle name="表示済みのハイパーリンク" xfId="2554" builtinId="9" hidden="1"/>
    <cellStyle name="表示済みのハイパーリンク" xfId="2556" builtinId="9" hidden="1"/>
    <cellStyle name="表示済みのハイパーリンク" xfId="2558" builtinId="9" hidden="1"/>
    <cellStyle name="表示済みのハイパーリンク" xfId="2560" builtinId="9" hidden="1"/>
    <cellStyle name="表示済みのハイパーリンク" xfId="2562" builtinId="9" hidden="1"/>
    <cellStyle name="表示済みのハイパーリンク" xfId="2564" builtinId="9" hidden="1"/>
    <cellStyle name="表示済みのハイパーリンク" xfId="2566" builtinId="9" hidden="1"/>
    <cellStyle name="表示済みのハイパーリンク" xfId="2568" builtinId="9" hidden="1"/>
    <cellStyle name="表示済みのハイパーリンク" xfId="2570" builtinId="9" hidden="1"/>
    <cellStyle name="表示済みのハイパーリンク" xfId="2572" builtinId="9" hidden="1"/>
    <cellStyle name="表示済みのハイパーリンク" xfId="2574" builtinId="9" hidden="1"/>
    <cellStyle name="表示済みのハイパーリンク" xfId="2576" builtinId="9" hidden="1"/>
    <cellStyle name="表示済みのハイパーリンク" xfId="2578" builtinId="9" hidden="1"/>
    <cellStyle name="表示済みのハイパーリンク" xfId="2580" builtinId="9" hidden="1"/>
    <cellStyle name="表示済みのハイパーリンク" xfId="2582" builtinId="9" hidden="1"/>
    <cellStyle name="表示済みのハイパーリンク" xfId="2584" builtinId="9" hidden="1"/>
    <cellStyle name="表示済みのハイパーリンク" xfId="2586" builtinId="9" hidden="1"/>
    <cellStyle name="表示済みのハイパーリンク" xfId="2588" builtinId="9" hidden="1"/>
    <cellStyle name="表示済みのハイパーリンク" xfId="2590" builtinId="9" hidden="1"/>
    <cellStyle name="表示済みのハイパーリンク" xfId="2592" builtinId="9" hidden="1"/>
    <cellStyle name="表示済みのハイパーリンク" xfId="2594" builtinId="9" hidden="1"/>
    <cellStyle name="表示済みのハイパーリンク" xfId="2596" builtinId="9" hidden="1"/>
    <cellStyle name="表示済みのハイパーリンク" xfId="2598" builtinId="9" hidden="1"/>
    <cellStyle name="表示済みのハイパーリンク" xfId="2600" builtinId="9" hidden="1"/>
    <cellStyle name="表示済みのハイパーリンク" xfId="2602" builtinId="9" hidden="1"/>
    <cellStyle name="表示済みのハイパーリンク" xfId="2604" builtinId="9" hidden="1"/>
    <cellStyle name="表示済みのハイパーリンク" xfId="2606" builtinId="9" hidden="1"/>
    <cellStyle name="表示済みのハイパーリンク" xfId="2608" builtinId="9" hidden="1"/>
    <cellStyle name="表示済みのハイパーリンク" xfId="2610" builtinId="9" hidden="1"/>
    <cellStyle name="表示済みのハイパーリンク" xfId="2612" builtinId="9" hidden="1"/>
    <cellStyle name="表示済みのハイパーリンク" xfId="2614" builtinId="9" hidden="1"/>
    <cellStyle name="表示済みのハイパーリンク" xfId="2616" builtinId="9" hidden="1"/>
    <cellStyle name="表示済みのハイパーリンク" xfId="2618" builtinId="9" hidden="1"/>
    <cellStyle name="表示済みのハイパーリンク" xfId="2620" builtinId="9" hidden="1"/>
    <cellStyle name="表示済みのハイパーリンク" xfId="2622" builtinId="9" hidden="1"/>
    <cellStyle name="表示済みのハイパーリンク" xfId="2624" builtinId="9" hidden="1"/>
    <cellStyle name="表示済みのハイパーリンク" xfId="2626" builtinId="9" hidden="1"/>
    <cellStyle name="表示済みのハイパーリンク" xfId="2628" builtinId="9" hidden="1"/>
    <cellStyle name="表示済みのハイパーリンク" xfId="2630" builtinId="9" hidden="1"/>
    <cellStyle name="表示済みのハイパーリンク" xfId="2632" builtinId="9" hidden="1"/>
    <cellStyle name="表示済みのハイパーリンク" xfId="2634" builtinId="9" hidden="1"/>
    <cellStyle name="表示済みのハイパーリンク" xfId="2636" builtinId="9" hidden="1"/>
    <cellStyle name="表示済みのハイパーリンク" xfId="2638" builtinId="9" hidden="1"/>
    <cellStyle name="表示済みのハイパーリンク" xfId="2640" builtinId="9" hidden="1"/>
    <cellStyle name="表示済みのハイパーリンク" xfId="2642" builtinId="9" hidden="1"/>
    <cellStyle name="表示済みのハイパーリンク" xfId="2644" builtinId="9" hidden="1"/>
    <cellStyle name="表示済みのハイパーリンク" xfId="2646" builtinId="9" hidden="1"/>
    <cellStyle name="表示済みのハイパーリンク" xfId="2648" builtinId="9" hidden="1"/>
    <cellStyle name="表示済みのハイパーリンク" xfId="2650" builtinId="9" hidden="1"/>
    <cellStyle name="表示済みのハイパーリンク" xfId="2652" builtinId="9" hidden="1"/>
    <cellStyle name="表示済みのハイパーリンク" xfId="2654" builtinId="9" hidden="1"/>
    <cellStyle name="表示済みのハイパーリンク" xfId="2656" builtinId="9" hidden="1"/>
    <cellStyle name="表示済みのハイパーリンク" xfId="2658" builtinId="9" hidden="1"/>
    <cellStyle name="表示済みのハイパーリンク" xfId="2660" builtinId="9" hidden="1"/>
    <cellStyle name="表示済みのハイパーリンク" xfId="2662" builtinId="9" hidden="1"/>
    <cellStyle name="表示済みのハイパーリンク" xfId="2664" builtinId="9" hidden="1"/>
    <cellStyle name="表示済みのハイパーリンク" xfId="2666" builtinId="9" hidden="1"/>
    <cellStyle name="表示済みのハイパーリンク" xfId="2668" builtinId="9" hidden="1"/>
    <cellStyle name="表示済みのハイパーリンク" xfId="2670" builtinId="9" hidden="1"/>
    <cellStyle name="表示済みのハイパーリンク" xfId="2672" builtinId="9" hidden="1"/>
    <cellStyle name="表示済みのハイパーリンク" xfId="2674" builtinId="9" hidden="1"/>
    <cellStyle name="表示済みのハイパーリンク" xfId="2676" builtinId="9" hidden="1"/>
    <cellStyle name="表示済みのハイパーリンク" xfId="2678" builtinId="9" hidden="1"/>
    <cellStyle name="表示済みのハイパーリンク" xfId="2680" builtinId="9" hidden="1"/>
    <cellStyle name="表示済みのハイパーリンク" xfId="2682" builtinId="9" hidden="1"/>
    <cellStyle name="表示済みのハイパーリンク" xfId="2684" builtinId="9" hidden="1"/>
    <cellStyle name="表示済みのハイパーリンク" xfId="2686" builtinId="9" hidden="1"/>
    <cellStyle name="表示済みのハイパーリンク" xfId="2688" builtinId="9" hidden="1"/>
    <cellStyle name="表示済みのハイパーリンク" xfId="2690" builtinId="9" hidden="1"/>
    <cellStyle name="表示済みのハイパーリンク" xfId="2692" builtinId="9" hidden="1"/>
    <cellStyle name="表示済みのハイパーリンク" xfId="2694" builtinId="9" hidden="1"/>
    <cellStyle name="表示済みのハイパーリンク" xfId="2696" builtinId="9" hidden="1"/>
    <cellStyle name="表示済みのハイパーリンク" xfId="2698" builtinId="9" hidden="1"/>
    <cellStyle name="表示済みのハイパーリンク" xfId="2700" builtinId="9" hidden="1"/>
    <cellStyle name="表示済みのハイパーリンク" xfId="2702" builtinId="9" hidden="1"/>
    <cellStyle name="表示済みのハイパーリンク" xfId="2704" builtinId="9" hidden="1"/>
    <cellStyle name="表示済みのハイパーリンク" xfId="2706" builtinId="9" hidden="1"/>
    <cellStyle name="表示済みのハイパーリンク" xfId="2708" builtinId="9" hidden="1"/>
    <cellStyle name="表示済みのハイパーリンク" xfId="2710" builtinId="9" hidden="1"/>
    <cellStyle name="表示済みのハイパーリンク" xfId="2712" builtinId="9" hidden="1"/>
    <cellStyle name="表示済みのハイパーリンク" xfId="2714" builtinId="9" hidden="1"/>
    <cellStyle name="表示済みのハイパーリンク" xfId="2716" builtinId="9" hidden="1"/>
    <cellStyle name="表示済みのハイパーリンク" xfId="2718" builtinId="9" hidden="1"/>
    <cellStyle name="表示済みのハイパーリンク" xfId="2720" builtinId="9" hidden="1"/>
    <cellStyle name="表示済みのハイパーリンク" xfId="2722" builtinId="9" hidden="1"/>
    <cellStyle name="表示済みのハイパーリンク" xfId="2724" builtinId="9" hidden="1"/>
    <cellStyle name="表示済みのハイパーリンク" xfId="2726" builtinId="9" hidden="1"/>
    <cellStyle name="表示済みのハイパーリンク" xfId="2728" builtinId="9" hidden="1"/>
    <cellStyle name="表示済みのハイパーリンク" xfId="2730" builtinId="9" hidden="1"/>
    <cellStyle name="表示済みのハイパーリンク" xfId="2732" builtinId="9" hidden="1"/>
    <cellStyle name="表示済みのハイパーリンク" xfId="2734" builtinId="9" hidden="1"/>
    <cellStyle name="表示済みのハイパーリンク" xfId="2736" builtinId="9" hidden="1"/>
    <cellStyle name="表示済みのハイパーリンク" xfId="2738" builtinId="9" hidden="1"/>
    <cellStyle name="表示済みのハイパーリンク" xfId="2740" builtinId="9" hidden="1"/>
    <cellStyle name="表示済みのハイパーリンク" xfId="2742" builtinId="9" hidden="1"/>
    <cellStyle name="表示済みのハイパーリンク" xfId="2744" builtinId="9" hidden="1"/>
    <cellStyle name="表示済みのハイパーリンク" xfId="2746" builtinId="9" hidden="1"/>
    <cellStyle name="表示済みのハイパーリンク" xfId="2748" builtinId="9" hidden="1"/>
    <cellStyle name="表示済みのハイパーリンク" xfId="2750" builtinId="9" hidden="1"/>
    <cellStyle name="表示済みのハイパーリンク" xfId="2752" builtinId="9" hidden="1"/>
    <cellStyle name="表示済みのハイパーリンク" xfId="2754" builtinId="9" hidden="1"/>
    <cellStyle name="表示済みのハイパーリンク" xfId="2756" builtinId="9" hidden="1"/>
    <cellStyle name="表示済みのハイパーリンク" xfId="2758" builtinId="9" hidden="1"/>
    <cellStyle name="表示済みのハイパーリンク" xfId="2760" builtinId="9" hidden="1"/>
    <cellStyle name="表示済みのハイパーリンク" xfId="2762" builtinId="9" hidden="1"/>
    <cellStyle name="表示済みのハイパーリンク" xfId="2764" builtinId="9" hidden="1"/>
    <cellStyle name="表示済みのハイパーリンク" xfId="2766" builtinId="9" hidden="1"/>
    <cellStyle name="表示済みのハイパーリンク" xfId="2768" builtinId="9" hidden="1"/>
    <cellStyle name="表示済みのハイパーリンク" xfId="2770" builtinId="9" hidden="1"/>
    <cellStyle name="表示済みのハイパーリンク" xfId="2772" builtinId="9" hidden="1"/>
    <cellStyle name="表示済みのハイパーリンク" xfId="2774" builtinId="9" hidden="1"/>
    <cellStyle name="表示済みのハイパーリンク" xfId="2776" builtinId="9" hidden="1"/>
    <cellStyle name="表示済みのハイパーリンク" xfId="2778" builtinId="9" hidden="1"/>
    <cellStyle name="表示済みのハイパーリンク" xfId="2780" builtinId="9" hidden="1"/>
    <cellStyle name="表示済みのハイパーリンク" xfId="2782" builtinId="9" hidden="1"/>
    <cellStyle name="表示済みのハイパーリンク" xfId="2784" builtinId="9" hidden="1"/>
    <cellStyle name="表示済みのハイパーリンク" xfId="2786" builtinId="9" hidden="1"/>
    <cellStyle name="表示済みのハイパーリンク" xfId="2788" builtinId="9" hidden="1"/>
    <cellStyle name="表示済みのハイパーリンク" xfId="2790" builtinId="9" hidden="1"/>
    <cellStyle name="表示済みのハイパーリンク" xfId="2792" builtinId="9" hidden="1"/>
    <cellStyle name="表示済みのハイパーリンク" xfId="2794" builtinId="9" hidden="1"/>
    <cellStyle name="表示済みのハイパーリンク" xfId="2796" builtinId="9" hidden="1"/>
    <cellStyle name="表示済みのハイパーリンク" xfId="2798" builtinId="9" hidden="1"/>
    <cellStyle name="表示済みのハイパーリンク" xfId="2800" builtinId="9" hidden="1"/>
    <cellStyle name="表示済みのハイパーリンク" xfId="2802" builtinId="9" hidden="1"/>
    <cellStyle name="表示済みのハイパーリンク" xfId="2804" builtinId="9" hidden="1"/>
    <cellStyle name="表示済みのハイパーリンク" xfId="2806" builtinId="9" hidden="1"/>
    <cellStyle name="表示済みのハイパーリンク" xfId="2808" builtinId="9" hidden="1"/>
    <cellStyle name="表示済みのハイパーリンク" xfId="2810" builtinId="9" hidden="1"/>
    <cellStyle name="表示済みのハイパーリンク" xfId="2812" builtinId="9" hidden="1"/>
    <cellStyle name="表示済みのハイパーリンク" xfId="2814" builtinId="9" hidden="1"/>
    <cellStyle name="表示済みのハイパーリンク" xfId="2816" builtinId="9" hidden="1"/>
    <cellStyle name="表示済みのハイパーリンク" xfId="2818" builtinId="9" hidden="1"/>
    <cellStyle name="表示済みのハイパーリンク" xfId="2820" builtinId="9" hidden="1"/>
    <cellStyle name="表示済みのハイパーリンク" xfId="2822" builtinId="9" hidden="1"/>
    <cellStyle name="表示済みのハイパーリンク" xfId="2824" builtinId="9" hidden="1"/>
    <cellStyle name="表示済みのハイパーリンク" xfId="2826" builtinId="9" hidden="1"/>
    <cellStyle name="表示済みのハイパーリンク" xfId="2828" builtinId="9" hidden="1"/>
    <cellStyle name="表示済みのハイパーリンク" xfId="2830" builtinId="9" hidden="1"/>
    <cellStyle name="表示済みのハイパーリンク" xfId="2832" builtinId="9" hidden="1"/>
    <cellStyle name="表示済みのハイパーリンク" xfId="2834" builtinId="9" hidden="1"/>
    <cellStyle name="表示済みのハイパーリンク" xfId="2836" builtinId="9" hidden="1"/>
    <cellStyle name="表示済みのハイパーリンク" xfId="2838" builtinId="9" hidden="1"/>
    <cellStyle name="表示済みのハイパーリンク" xfId="2840" builtinId="9" hidden="1"/>
    <cellStyle name="表示済みのハイパーリンク" xfId="2842" builtinId="9" hidden="1"/>
    <cellStyle name="表示済みのハイパーリンク" xfId="2844" builtinId="9" hidden="1"/>
    <cellStyle name="表示済みのハイパーリンク" xfId="2846" builtinId="9" hidden="1"/>
    <cellStyle name="表示済みのハイパーリンク" xfId="2848" builtinId="9" hidden="1"/>
    <cellStyle name="表示済みのハイパーリンク" xfId="2850" builtinId="9" hidden="1"/>
    <cellStyle name="表示済みのハイパーリンク" xfId="2852" builtinId="9" hidden="1"/>
    <cellStyle name="表示済みのハイパーリンク" xfId="2854" builtinId="9" hidden="1"/>
    <cellStyle name="表示済みのハイパーリンク" xfId="2856" builtinId="9" hidden="1"/>
    <cellStyle name="表示済みのハイパーリンク" xfId="2858" builtinId="9" hidden="1"/>
    <cellStyle name="表示済みのハイパーリンク" xfId="2860" builtinId="9" hidden="1"/>
    <cellStyle name="表示済みのハイパーリンク" xfId="2862" builtinId="9" hidden="1"/>
    <cellStyle name="表示済みのハイパーリンク" xfId="2864" builtinId="9" hidden="1"/>
    <cellStyle name="表示済みのハイパーリンク" xfId="2866" builtinId="9" hidden="1"/>
    <cellStyle name="表示済みのハイパーリンク" xfId="2868" builtinId="9" hidden="1"/>
    <cellStyle name="表示済みのハイパーリンク" xfId="2870" builtinId="9" hidden="1"/>
    <cellStyle name="表示済みのハイパーリンク" xfId="2872" builtinId="9" hidden="1"/>
    <cellStyle name="表示済みのハイパーリンク" xfId="2874" builtinId="9" hidden="1"/>
    <cellStyle name="表示済みのハイパーリンク" xfId="2876" builtinId="9" hidden="1"/>
    <cellStyle name="表示済みのハイパーリンク" xfId="2878" builtinId="9" hidden="1"/>
    <cellStyle name="表示済みのハイパーリンク" xfId="2880" builtinId="9" hidden="1"/>
    <cellStyle name="表示済みのハイパーリンク" xfId="2882" builtinId="9" hidden="1"/>
    <cellStyle name="表示済みのハイパーリンク" xfId="2884" builtinId="9" hidden="1"/>
    <cellStyle name="表示済みのハイパーリンク" xfId="2886" builtinId="9" hidden="1"/>
    <cellStyle name="表示済みのハイパーリンク" xfId="2888" builtinId="9" hidden="1"/>
    <cellStyle name="表示済みのハイパーリンク" xfId="2890" builtinId="9" hidden="1"/>
    <cellStyle name="表示済みのハイパーリンク" xfId="2892" builtinId="9" hidden="1"/>
    <cellStyle name="表示済みのハイパーリンク" xfId="2894" builtinId="9" hidden="1"/>
    <cellStyle name="表示済みのハイパーリンク" xfId="2896" builtinId="9" hidden="1"/>
    <cellStyle name="表示済みのハイパーリンク" xfId="2898" builtinId="9" hidden="1"/>
    <cellStyle name="表示済みのハイパーリンク" xfId="2900" builtinId="9" hidden="1"/>
    <cellStyle name="表示済みのハイパーリンク" xfId="2902" builtinId="9" hidden="1"/>
    <cellStyle name="表示済みのハイパーリンク" xfId="2904" builtinId="9" hidden="1"/>
    <cellStyle name="表示済みのハイパーリンク" xfId="2906" builtinId="9" hidden="1"/>
    <cellStyle name="表示済みのハイパーリンク" xfId="2908" builtinId="9" hidden="1"/>
    <cellStyle name="表示済みのハイパーリンク" xfId="2910" builtinId="9" hidden="1"/>
    <cellStyle name="表示済みのハイパーリンク" xfId="2912" builtinId="9" hidden="1"/>
    <cellStyle name="表示済みのハイパーリンク" xfId="2914" builtinId="9" hidden="1"/>
    <cellStyle name="表示済みのハイパーリンク" xfId="2916" builtinId="9" hidden="1"/>
    <cellStyle name="表示済みのハイパーリンク" xfId="2918" builtinId="9" hidden="1"/>
    <cellStyle name="表示済みのハイパーリンク" xfId="2920" builtinId="9" hidden="1"/>
    <cellStyle name="表示済みのハイパーリンク" xfId="2922" builtinId="9" hidden="1"/>
    <cellStyle name="表示済みのハイパーリンク" xfId="2924" builtinId="9" hidden="1"/>
    <cellStyle name="表示済みのハイパーリンク" xfId="2926" builtinId="9" hidden="1"/>
    <cellStyle name="表示済みのハイパーリンク" xfId="2928" builtinId="9" hidden="1"/>
    <cellStyle name="表示済みのハイパーリンク" xfId="2930" builtinId="9" hidden="1"/>
    <cellStyle name="表示済みのハイパーリンク" xfId="2932" builtinId="9" hidden="1"/>
    <cellStyle name="表示済みのハイパーリンク" xfId="2934" builtinId="9" hidden="1"/>
    <cellStyle name="表示済みのハイパーリンク" xfId="2936" builtinId="9" hidden="1"/>
    <cellStyle name="表示済みのハイパーリンク" xfId="2938" builtinId="9" hidden="1"/>
    <cellStyle name="表示済みのハイパーリンク" xfId="2940" builtinId="9" hidden="1"/>
    <cellStyle name="表示済みのハイパーリンク" xfId="2942" builtinId="9" hidden="1"/>
    <cellStyle name="表示済みのハイパーリンク" xfId="2944" builtinId="9" hidden="1"/>
    <cellStyle name="表示済みのハイパーリンク" xfId="2946" builtinId="9" hidden="1"/>
    <cellStyle name="表示済みのハイパーリンク" xfId="2948" builtinId="9" hidden="1"/>
    <cellStyle name="表示済みのハイパーリンク" xfId="2950" builtinId="9" hidden="1"/>
    <cellStyle name="表示済みのハイパーリンク" xfId="2952" builtinId="9" hidden="1"/>
    <cellStyle name="表示済みのハイパーリンク" xfId="2954" builtinId="9" hidden="1"/>
    <cellStyle name="表示済みのハイパーリンク" xfId="2956" builtinId="9" hidden="1"/>
    <cellStyle name="表示済みのハイパーリンク" xfId="2958" builtinId="9" hidden="1"/>
    <cellStyle name="表示済みのハイパーリンク" xfId="2960" builtinId="9" hidden="1"/>
    <cellStyle name="表示済みのハイパーリンク" xfId="2962" builtinId="9" hidden="1"/>
    <cellStyle name="表示済みのハイパーリンク" xfId="2964" builtinId="9" hidden="1"/>
    <cellStyle name="表示済みのハイパーリンク" xfId="2966" builtinId="9" hidden="1"/>
    <cellStyle name="表示済みのハイパーリンク" xfId="2968" builtinId="9" hidden="1"/>
    <cellStyle name="表示済みのハイパーリンク" xfId="2970" builtinId="9" hidden="1"/>
    <cellStyle name="表示済みのハイパーリンク" xfId="2972" builtinId="9" hidden="1"/>
    <cellStyle name="表示済みのハイパーリンク" xfId="2974" builtinId="9" hidden="1"/>
    <cellStyle name="表示済みのハイパーリンク" xfId="2976" builtinId="9" hidden="1"/>
    <cellStyle name="表示済みのハイパーリンク" xfId="2978" builtinId="9" hidden="1"/>
    <cellStyle name="表示済みのハイパーリンク" xfId="2980" builtinId="9" hidden="1"/>
    <cellStyle name="表示済みのハイパーリンク" xfId="2982" builtinId="9" hidden="1"/>
    <cellStyle name="表示済みのハイパーリンク" xfId="2984" builtinId="9" hidden="1"/>
    <cellStyle name="表示済みのハイパーリンク" xfId="2986" builtinId="9" hidden="1"/>
    <cellStyle name="表示済みのハイパーリンク" xfId="2988" builtinId="9" hidden="1"/>
    <cellStyle name="表示済みのハイパーリンク" xfId="2990" builtinId="9" hidden="1"/>
    <cellStyle name="表示済みのハイパーリンク" xfId="2992" builtinId="9" hidden="1"/>
    <cellStyle name="表示済みのハイパーリンク" xfId="2994" builtinId="9" hidden="1"/>
    <cellStyle name="表示済みのハイパーリンク" xfId="2996" builtinId="9" hidden="1"/>
    <cellStyle name="表示済みのハイパーリンク" xfId="2998" builtinId="9" hidden="1"/>
    <cellStyle name="表示済みのハイパーリンク" xfId="3000" builtinId="9" hidden="1"/>
    <cellStyle name="表示済みのハイパーリンク" xfId="3002" builtinId="9" hidden="1"/>
    <cellStyle name="表示済みのハイパーリンク" xfId="3004" builtinId="9" hidden="1"/>
    <cellStyle name="表示済みのハイパーリンク" xfId="3006" builtinId="9" hidden="1"/>
    <cellStyle name="表示済みのハイパーリンク" xfId="3008" builtinId="9" hidden="1"/>
    <cellStyle name="表示済みのハイパーリンク" xfId="3010" builtinId="9" hidden="1"/>
    <cellStyle name="表示済みのハイパーリンク" xfId="3012" builtinId="9" hidden="1"/>
    <cellStyle name="表示済みのハイパーリンク" xfId="3014" builtinId="9" hidden="1"/>
    <cellStyle name="表示済みのハイパーリンク" xfId="3016" builtinId="9" hidden="1"/>
    <cellStyle name="表示済みのハイパーリンク" xfId="3018" builtinId="9" hidden="1"/>
    <cellStyle name="表示済みのハイパーリンク" xfId="3020" builtinId="9" hidden="1"/>
    <cellStyle name="表示済みのハイパーリンク" xfId="3022" builtinId="9" hidden="1"/>
    <cellStyle name="表示済みのハイパーリンク" xfId="3024" builtinId="9" hidden="1"/>
    <cellStyle name="表示済みのハイパーリンク" xfId="3026" builtinId="9" hidden="1"/>
    <cellStyle name="表示済みのハイパーリンク" xfId="3028" builtinId="9" hidden="1"/>
    <cellStyle name="表示済みのハイパーリンク" xfId="3030" builtinId="9" hidden="1"/>
    <cellStyle name="表示済みのハイパーリンク" xfId="3032" builtinId="9" hidden="1"/>
    <cellStyle name="表示済みのハイパーリンク" xfId="3034" builtinId="9" hidden="1"/>
    <cellStyle name="表示済みのハイパーリンク" xfId="3036" builtinId="9" hidden="1"/>
    <cellStyle name="表示済みのハイパーリンク" xfId="3038" builtinId="9" hidden="1"/>
    <cellStyle name="表示済みのハイパーリンク" xfId="3040" builtinId="9" hidden="1"/>
    <cellStyle name="表示済みのハイパーリンク" xfId="3042" builtinId="9" hidden="1"/>
    <cellStyle name="表示済みのハイパーリンク" xfId="3044" builtinId="9" hidden="1"/>
    <cellStyle name="表示済みのハイパーリンク" xfId="3046" builtinId="9" hidden="1"/>
    <cellStyle name="表示済みのハイパーリンク" xfId="3048" builtinId="9" hidden="1"/>
    <cellStyle name="表示済みのハイパーリンク" xfId="3050" builtinId="9" hidden="1"/>
    <cellStyle name="表示済みのハイパーリンク" xfId="3052" builtinId="9" hidden="1"/>
    <cellStyle name="表示済みのハイパーリンク" xfId="3054" builtinId="9" hidden="1"/>
    <cellStyle name="表示済みのハイパーリンク" xfId="3056" builtinId="9" hidden="1"/>
    <cellStyle name="表示済みのハイパーリンク" xfId="3058" builtinId="9" hidden="1"/>
    <cellStyle name="表示済みのハイパーリンク" xfId="3060" builtinId="9" hidden="1"/>
    <cellStyle name="表示済みのハイパーリンク" xfId="3062" builtinId="9" hidden="1"/>
    <cellStyle name="表示済みのハイパーリンク" xfId="3064" builtinId="9" hidden="1"/>
    <cellStyle name="表示済みのハイパーリンク" xfId="3066" builtinId="9" hidden="1"/>
    <cellStyle name="表示済みのハイパーリンク" xfId="3068" builtinId="9" hidden="1"/>
    <cellStyle name="表示済みのハイパーリンク" xfId="3070" builtinId="9" hidden="1"/>
    <cellStyle name="表示済みのハイパーリンク" xfId="3072" builtinId="9" hidden="1"/>
    <cellStyle name="表示済みのハイパーリンク" xfId="3074" builtinId="9" hidden="1"/>
    <cellStyle name="表示済みのハイパーリンク" xfId="3076" builtinId="9" hidden="1"/>
    <cellStyle name="表示済みのハイパーリンク" xfId="3078" builtinId="9" hidden="1"/>
    <cellStyle name="表示済みのハイパーリンク" xfId="3080" builtinId="9" hidden="1"/>
    <cellStyle name="表示済みのハイパーリンク" xfId="3082" builtinId="9" hidden="1"/>
    <cellStyle name="表示済みのハイパーリンク" xfId="3084" builtinId="9" hidden="1"/>
    <cellStyle name="表示済みのハイパーリンク" xfId="3086" builtinId="9" hidden="1"/>
    <cellStyle name="表示済みのハイパーリンク" xfId="3088" builtinId="9" hidden="1"/>
    <cellStyle name="表示済みのハイパーリンク" xfId="3090" builtinId="9" hidden="1"/>
    <cellStyle name="表示済みのハイパーリンク" xfId="3092" builtinId="9" hidden="1"/>
    <cellStyle name="表示済みのハイパーリンク" xfId="3094" builtinId="9" hidden="1"/>
    <cellStyle name="表示済みのハイパーリンク" xfId="3096" builtinId="9" hidden="1"/>
    <cellStyle name="表示済みのハイパーリンク" xfId="3098" builtinId="9" hidden="1"/>
    <cellStyle name="表示済みのハイパーリンク" xfId="3100" builtinId="9" hidden="1"/>
    <cellStyle name="表示済みのハイパーリンク" xfId="3102" builtinId="9" hidden="1"/>
    <cellStyle name="表示済みのハイパーリンク" xfId="3104" builtinId="9" hidden="1"/>
    <cellStyle name="表示済みのハイパーリンク" xfId="3106" builtinId="9" hidden="1"/>
    <cellStyle name="表示済みのハイパーリンク" xfId="3108" builtinId="9" hidden="1"/>
    <cellStyle name="表示済みのハイパーリンク" xfId="3110" builtinId="9" hidden="1"/>
    <cellStyle name="表示済みのハイパーリンク" xfId="3112" builtinId="9" hidden="1"/>
    <cellStyle name="表示済みのハイパーリンク" xfId="3114" builtinId="9" hidden="1"/>
    <cellStyle name="表示済みのハイパーリンク" xfId="3116" builtinId="9" hidden="1"/>
    <cellStyle name="表示済みのハイパーリンク" xfId="3118" builtinId="9" hidden="1"/>
    <cellStyle name="表示済みのハイパーリンク" xfId="3120" builtinId="9" hidden="1"/>
    <cellStyle name="表示済みのハイパーリンク" xfId="3122" builtinId="9" hidden="1"/>
    <cellStyle name="表示済みのハイパーリンク" xfId="3124" builtinId="9" hidden="1"/>
    <cellStyle name="表示済みのハイパーリンク" xfId="3126" builtinId="9" hidden="1"/>
    <cellStyle name="表示済みのハイパーリンク" xfId="3128" builtinId="9" hidden="1"/>
    <cellStyle name="表示済みのハイパーリンク" xfId="3130" builtinId="9" hidden="1"/>
    <cellStyle name="表示済みのハイパーリンク" xfId="3132" builtinId="9" hidden="1"/>
    <cellStyle name="表示済みのハイパーリンク" xfId="3134" builtinId="9" hidden="1"/>
    <cellStyle name="表示済みのハイパーリンク" xfId="3136" builtinId="9" hidden="1"/>
    <cellStyle name="表示済みのハイパーリンク" xfId="3138" builtinId="9" hidden="1"/>
    <cellStyle name="表示済みのハイパーリンク" xfId="3140" builtinId="9" hidden="1"/>
    <cellStyle name="表示済みのハイパーリンク" xfId="3142" builtinId="9" hidden="1"/>
    <cellStyle name="表示済みのハイパーリンク" xfId="3144" builtinId="9" hidden="1"/>
    <cellStyle name="表示済みのハイパーリンク" xfId="3146" builtinId="9" hidden="1"/>
    <cellStyle name="表示済みのハイパーリンク" xfId="3148" builtinId="9" hidden="1"/>
    <cellStyle name="表示済みのハイパーリンク" xfId="3150" builtinId="9" hidden="1"/>
    <cellStyle name="表示済みのハイパーリンク" xfId="3152" builtinId="9" hidden="1"/>
    <cellStyle name="表示済みのハイパーリンク" xfId="3154" builtinId="9" hidden="1"/>
    <cellStyle name="表示済みのハイパーリンク" xfId="3156" builtinId="9" hidden="1"/>
    <cellStyle name="表示済みのハイパーリンク" xfId="3158" builtinId="9" hidden="1"/>
    <cellStyle name="表示済みのハイパーリンク" xfId="3160" builtinId="9" hidden="1"/>
    <cellStyle name="表示済みのハイパーリンク" xfId="3162" builtinId="9" hidden="1"/>
    <cellStyle name="表示済みのハイパーリンク" xfId="3164" builtinId="9" hidden="1"/>
    <cellStyle name="表示済みのハイパーリンク" xfId="3166" builtinId="9" hidden="1"/>
    <cellStyle name="表示済みのハイパーリンク" xfId="3168" builtinId="9" hidden="1"/>
    <cellStyle name="表示済みのハイパーリンク" xfId="3170" builtinId="9" hidden="1"/>
    <cellStyle name="表示済みのハイパーリンク" xfId="3172" builtinId="9" hidden="1"/>
    <cellStyle name="表示済みのハイパーリンク" xfId="3174" builtinId="9" hidden="1"/>
    <cellStyle name="表示済みのハイパーリンク" xfId="3176" builtinId="9" hidden="1"/>
    <cellStyle name="表示済みのハイパーリンク" xfId="3178" builtinId="9" hidden="1"/>
    <cellStyle name="表示済みのハイパーリンク" xfId="3180" builtinId="9" hidden="1"/>
    <cellStyle name="表示済みのハイパーリンク" xfId="3182" builtinId="9" hidden="1"/>
    <cellStyle name="表示済みのハイパーリンク" xfId="3184" builtinId="9" hidden="1"/>
    <cellStyle name="表示済みのハイパーリンク" xfId="3186" builtinId="9" hidden="1"/>
    <cellStyle name="表示済みのハイパーリンク" xfId="3188" builtinId="9" hidden="1"/>
    <cellStyle name="表示済みのハイパーリンク" xfId="3190" builtinId="9" hidden="1"/>
    <cellStyle name="表示済みのハイパーリンク" xfId="3192" builtinId="9" hidden="1"/>
    <cellStyle name="表示済みのハイパーリンク" xfId="3194" builtinId="9" hidden="1"/>
    <cellStyle name="表示済みのハイパーリンク" xfId="3196" builtinId="9" hidden="1"/>
    <cellStyle name="表示済みのハイパーリンク" xfId="3198" builtinId="9" hidden="1"/>
    <cellStyle name="表示済みのハイパーリンク" xfId="3200" builtinId="9" hidden="1"/>
    <cellStyle name="表示済みのハイパーリンク" xfId="3202" builtinId="9" hidden="1"/>
    <cellStyle name="表示済みのハイパーリンク" xfId="3204" builtinId="9" hidden="1"/>
    <cellStyle name="表示済みのハイパーリンク" xfId="3206" builtinId="9" hidden="1"/>
    <cellStyle name="表示済みのハイパーリンク" xfId="3208" builtinId="9" hidden="1"/>
    <cellStyle name="表示済みのハイパーリンク" xfId="3210" builtinId="9" hidden="1"/>
    <cellStyle name="表示済みのハイパーリンク" xfId="3212" builtinId="9" hidden="1"/>
    <cellStyle name="表示済みのハイパーリンク" xfId="3214" builtinId="9" hidden="1"/>
    <cellStyle name="表示済みのハイパーリンク" xfId="3216" builtinId="9" hidden="1"/>
    <cellStyle name="表示済みのハイパーリンク" xfId="3218" builtinId="9" hidden="1"/>
    <cellStyle name="表示済みのハイパーリンク" xfId="3220" builtinId="9" hidden="1"/>
    <cellStyle name="表示済みのハイパーリンク" xfId="3222" builtinId="9" hidden="1"/>
    <cellStyle name="表示済みのハイパーリンク" xfId="3224" builtinId="9" hidden="1"/>
    <cellStyle name="表示済みのハイパーリンク" xfId="3226" builtinId="9" hidden="1"/>
    <cellStyle name="表示済みのハイパーリンク" xfId="3228" builtinId="9" hidden="1"/>
    <cellStyle name="表示済みのハイパーリンク" xfId="3230" builtinId="9" hidden="1"/>
    <cellStyle name="表示済みのハイパーリンク" xfId="3232" builtinId="9" hidden="1"/>
    <cellStyle name="表示済みのハイパーリンク" xfId="3234" builtinId="9" hidden="1"/>
    <cellStyle name="表示済みのハイパーリンク" xfId="3236" builtinId="9" hidden="1"/>
    <cellStyle name="表示済みのハイパーリンク" xfId="3238" builtinId="9" hidden="1"/>
    <cellStyle name="表示済みのハイパーリンク" xfId="3240" builtinId="9" hidden="1"/>
    <cellStyle name="表示済みのハイパーリンク" xfId="3242" builtinId="9" hidden="1"/>
    <cellStyle name="表示済みのハイパーリンク" xfId="3244" builtinId="9" hidden="1"/>
    <cellStyle name="表示済みのハイパーリンク" xfId="3246" builtinId="9" hidden="1"/>
    <cellStyle name="表示済みのハイパーリンク" xfId="3248" builtinId="9" hidden="1"/>
    <cellStyle name="表示済みのハイパーリンク" xfId="3250" builtinId="9" hidden="1"/>
    <cellStyle name="表示済みのハイパーリンク" xfId="3252" builtinId="9" hidden="1"/>
    <cellStyle name="表示済みのハイパーリンク" xfId="3254" builtinId="9" hidden="1"/>
    <cellStyle name="表示済みのハイパーリンク" xfId="3256" builtinId="9" hidden="1"/>
    <cellStyle name="表示済みのハイパーリンク" xfId="3258" builtinId="9" hidden="1"/>
    <cellStyle name="表示済みのハイパーリンク" xfId="3260" builtinId="9" hidden="1"/>
    <cellStyle name="表示済みのハイパーリンク" xfId="3262" builtinId="9" hidden="1"/>
    <cellStyle name="表示済みのハイパーリンク" xfId="3264" builtinId="9" hidden="1"/>
    <cellStyle name="表示済みのハイパーリンク" xfId="3266" builtinId="9" hidden="1"/>
    <cellStyle name="表示済みのハイパーリンク" xfId="3268" builtinId="9" hidden="1"/>
    <cellStyle name="表示済みのハイパーリンク" xfId="3270" builtinId="9" hidden="1"/>
    <cellStyle name="表示済みのハイパーリンク" xfId="3272" builtinId="9" hidden="1"/>
    <cellStyle name="表示済みのハイパーリンク" xfId="3274" builtinId="9" hidden="1"/>
    <cellStyle name="表示済みのハイパーリンク" xfId="3276" builtinId="9" hidden="1"/>
    <cellStyle name="表示済みのハイパーリンク" xfId="3278" builtinId="9" hidden="1"/>
    <cellStyle name="表示済みのハイパーリンク" xfId="3280" builtinId="9" hidden="1"/>
    <cellStyle name="表示済みのハイパーリンク" xfId="3282" builtinId="9" hidden="1"/>
    <cellStyle name="表示済みのハイパーリンク" xfId="3284" builtinId="9" hidden="1"/>
    <cellStyle name="表示済みのハイパーリンク" xfId="3286" builtinId="9" hidden="1"/>
    <cellStyle name="表示済みのハイパーリンク" xfId="3288" builtinId="9" hidden="1"/>
    <cellStyle name="表示済みのハイパーリンク" xfId="3290" builtinId="9" hidden="1"/>
    <cellStyle name="表示済みのハイパーリンク" xfId="3292" builtinId="9" hidden="1"/>
    <cellStyle name="表示済みのハイパーリンク" xfId="3294" builtinId="9" hidden="1"/>
    <cellStyle name="表示済みのハイパーリンク" xfId="3296" builtinId="9" hidden="1"/>
    <cellStyle name="表示済みのハイパーリンク" xfId="3298" builtinId="9" hidden="1"/>
    <cellStyle name="表示済みのハイパーリンク" xfId="3300" builtinId="9" hidden="1"/>
    <cellStyle name="表示済みのハイパーリンク" xfId="3302" builtinId="9" hidden="1"/>
    <cellStyle name="表示済みのハイパーリンク" xfId="3304" builtinId="9" hidden="1"/>
    <cellStyle name="表示済みのハイパーリンク" xfId="3306" builtinId="9" hidden="1"/>
    <cellStyle name="表示済みのハイパーリンク" xfId="3308" builtinId="9" hidden="1"/>
    <cellStyle name="表示済みのハイパーリンク" xfId="3310" builtinId="9" hidden="1"/>
    <cellStyle name="表示済みのハイパーリンク" xfId="3312" builtinId="9" hidden="1"/>
    <cellStyle name="表示済みのハイパーリンク" xfId="3314" builtinId="9" hidden="1"/>
    <cellStyle name="表示済みのハイパーリンク" xfId="3316" builtinId="9" hidden="1"/>
    <cellStyle name="表示済みのハイパーリンク" xfId="3318" builtinId="9" hidden="1"/>
    <cellStyle name="表示済みのハイパーリンク" xfId="3320" builtinId="9" hidden="1"/>
    <cellStyle name="表示済みのハイパーリンク" xfId="3322" builtinId="9" hidden="1"/>
    <cellStyle name="表示済みのハイパーリンク" xfId="3324" builtinId="9" hidden="1"/>
    <cellStyle name="表示済みのハイパーリンク" xfId="3326" builtinId="9" hidden="1"/>
    <cellStyle name="表示済みのハイパーリンク" xfId="3328" builtinId="9" hidden="1"/>
    <cellStyle name="表示済みのハイパーリンク" xfId="3330" builtinId="9" hidden="1"/>
    <cellStyle name="表示済みのハイパーリンク" xfId="3332" builtinId="9" hidden="1"/>
    <cellStyle name="表示済みのハイパーリンク" xfId="3334" builtinId="9" hidden="1"/>
    <cellStyle name="表示済みのハイパーリンク" xfId="3336" builtinId="9" hidden="1"/>
    <cellStyle name="表示済みのハイパーリンク" xfId="3338" builtinId="9" hidden="1"/>
    <cellStyle name="表示済みのハイパーリンク" xfId="3340" builtinId="9" hidden="1"/>
    <cellStyle name="表示済みのハイパーリンク" xfId="3342" builtinId="9" hidden="1"/>
    <cellStyle name="表示済みのハイパーリンク" xfId="3344" builtinId="9" hidden="1"/>
    <cellStyle name="表示済みのハイパーリンク" xfId="3346" builtinId="9" hidden="1"/>
    <cellStyle name="表示済みのハイパーリンク" xfId="3348" builtinId="9" hidden="1"/>
    <cellStyle name="表示済みのハイパーリンク" xfId="3350" builtinId="9" hidden="1"/>
    <cellStyle name="表示済みのハイパーリンク" xfId="3352" builtinId="9" hidden="1"/>
    <cellStyle name="表示済みのハイパーリンク" xfId="3354" builtinId="9" hidden="1"/>
    <cellStyle name="表示済みのハイパーリンク" xfId="3356" builtinId="9" hidden="1"/>
    <cellStyle name="表示済みのハイパーリンク" xfId="3358" builtinId="9" hidden="1"/>
    <cellStyle name="表示済みのハイパーリンク" xfId="3360" builtinId="9" hidden="1"/>
    <cellStyle name="表示済みのハイパーリンク" xfId="3362" builtinId="9" hidden="1"/>
    <cellStyle name="表示済みのハイパーリンク" xfId="3364" builtinId="9" hidden="1"/>
    <cellStyle name="表示済みのハイパーリンク" xfId="3366" builtinId="9" hidden="1"/>
    <cellStyle name="表示済みのハイパーリンク" xfId="3368" builtinId="9" hidden="1"/>
    <cellStyle name="表示済みのハイパーリンク" xfId="3370" builtinId="9" hidden="1"/>
    <cellStyle name="表示済みのハイパーリンク" xfId="3372" builtinId="9" hidden="1"/>
    <cellStyle name="表示済みのハイパーリンク" xfId="3374" builtinId="9" hidden="1"/>
    <cellStyle name="表示済みのハイパーリンク" xfId="3376" builtinId="9" hidden="1"/>
    <cellStyle name="表示済みのハイパーリンク" xfId="3378" builtinId="9" hidden="1"/>
    <cellStyle name="表示済みのハイパーリンク" xfId="3380" builtinId="9" hidden="1"/>
    <cellStyle name="表示済みのハイパーリンク" xfId="3382" builtinId="9" hidden="1"/>
    <cellStyle name="表示済みのハイパーリンク" xfId="3384" builtinId="9" hidden="1"/>
    <cellStyle name="表示済みのハイパーリンク" xfId="3386" builtinId="9" hidden="1"/>
    <cellStyle name="表示済みのハイパーリンク" xfId="3388" builtinId="9" hidden="1"/>
    <cellStyle name="表示済みのハイパーリンク" xfId="3390" builtinId="9" hidden="1"/>
    <cellStyle name="表示済みのハイパーリンク" xfId="3392" builtinId="9" hidden="1"/>
    <cellStyle name="表示済みのハイパーリンク" xfId="3394" builtinId="9" hidden="1"/>
    <cellStyle name="表示済みのハイパーリンク" xfId="3396" builtinId="9" hidden="1"/>
    <cellStyle name="表示済みのハイパーリンク" xfId="3398" builtinId="9" hidden="1"/>
    <cellStyle name="表示済みのハイパーリンク" xfId="3400" builtinId="9" hidden="1"/>
    <cellStyle name="表示済みのハイパーリンク" xfId="3402" builtinId="9" hidden="1"/>
    <cellStyle name="表示済みのハイパーリンク" xfId="3404" builtinId="9" hidden="1"/>
    <cellStyle name="表示済みのハイパーリンク" xfId="3406" builtinId="9" hidden="1"/>
    <cellStyle name="表示済みのハイパーリンク" xfId="3408" builtinId="9" hidden="1"/>
    <cellStyle name="表示済みのハイパーリンク" xfId="3410" builtinId="9" hidden="1"/>
    <cellStyle name="表示済みのハイパーリンク" xfId="3412" builtinId="9" hidden="1"/>
    <cellStyle name="表示済みのハイパーリンク" xfId="3414" builtinId="9" hidden="1"/>
    <cellStyle name="表示済みのハイパーリンク" xfId="3416" builtinId="9" hidden="1"/>
    <cellStyle name="表示済みのハイパーリンク" xfId="3418" builtinId="9" hidden="1"/>
    <cellStyle name="表示済みのハイパーリンク" xfId="3420" builtinId="9" hidden="1"/>
    <cellStyle name="表示済みのハイパーリンク" xfId="3422" builtinId="9" hidden="1"/>
    <cellStyle name="表示済みのハイパーリンク" xfId="3424" builtinId="9" hidden="1"/>
    <cellStyle name="表示済みのハイパーリンク" xfId="3426" builtinId="9" hidden="1"/>
    <cellStyle name="表示済みのハイパーリンク" xfId="3428" builtinId="9" hidden="1"/>
    <cellStyle name="表示済みのハイパーリンク" xfId="3430" builtinId="9" hidden="1"/>
    <cellStyle name="表示済みのハイパーリンク" xfId="3432" builtinId="9" hidden="1"/>
    <cellStyle name="表示済みのハイパーリンク" xfId="3434" builtinId="9" hidden="1"/>
    <cellStyle name="表示済みのハイパーリンク" xfId="3436" builtinId="9" hidden="1"/>
    <cellStyle name="表示済みのハイパーリンク" xfId="3438" builtinId="9" hidden="1"/>
    <cellStyle name="表示済みのハイパーリンク" xfId="3440" builtinId="9" hidden="1"/>
    <cellStyle name="表示済みのハイパーリンク" xfId="3442" builtinId="9" hidden="1"/>
    <cellStyle name="表示済みのハイパーリンク" xfId="3444" builtinId="9" hidden="1"/>
    <cellStyle name="表示済みのハイパーリンク" xfId="3446" builtinId="9" hidden="1"/>
    <cellStyle name="表示済みのハイパーリンク" xfId="3448" builtinId="9" hidden="1"/>
    <cellStyle name="表示済みのハイパーリンク" xfId="3450" builtinId="9" hidden="1"/>
    <cellStyle name="表示済みのハイパーリンク" xfId="3452" builtinId="9" hidden="1"/>
    <cellStyle name="表示済みのハイパーリンク" xfId="3454" builtinId="9" hidden="1"/>
    <cellStyle name="表示済みのハイパーリンク" xfId="3456" builtinId="9" hidden="1"/>
    <cellStyle name="表示済みのハイパーリンク" xfId="3458" builtinId="9" hidden="1"/>
    <cellStyle name="表示済みのハイパーリンク" xfId="3460" builtinId="9" hidden="1"/>
    <cellStyle name="表示済みのハイパーリンク" xfId="3462" builtinId="9" hidden="1"/>
    <cellStyle name="表示済みのハイパーリンク" xfId="3464" builtinId="9" hidden="1"/>
    <cellStyle name="表示済みのハイパーリンク" xfId="3466" builtinId="9" hidden="1"/>
    <cellStyle name="表示済みのハイパーリンク" xfId="3468" builtinId="9" hidden="1"/>
    <cellStyle name="表示済みのハイパーリンク" xfId="3470" builtinId="9" hidden="1"/>
    <cellStyle name="表示済みのハイパーリンク" xfId="3472" builtinId="9" hidden="1"/>
    <cellStyle name="表示済みのハイパーリンク" xfId="3474" builtinId="9" hidden="1"/>
    <cellStyle name="表示済みのハイパーリンク" xfId="3476" builtinId="9" hidden="1"/>
    <cellStyle name="表示済みのハイパーリンク" xfId="3478" builtinId="9" hidden="1"/>
    <cellStyle name="表示済みのハイパーリンク" xfId="3480" builtinId="9" hidden="1"/>
    <cellStyle name="表示済みのハイパーリンク" xfId="3482" builtinId="9" hidden="1"/>
    <cellStyle name="表示済みのハイパーリンク" xfId="3484" builtinId="9" hidden="1"/>
    <cellStyle name="表示済みのハイパーリンク" xfId="3486" builtinId="9" hidden="1"/>
    <cellStyle name="表示済みのハイパーリンク" xfId="3488" builtinId="9" hidden="1"/>
    <cellStyle name="表示済みのハイパーリンク" xfId="3490" builtinId="9" hidden="1"/>
    <cellStyle name="表示済みのハイパーリンク" xfId="3492" builtinId="9" hidden="1"/>
    <cellStyle name="表示済みのハイパーリンク" xfId="3494" builtinId="9" hidden="1"/>
    <cellStyle name="表示済みのハイパーリンク" xfId="3496" builtinId="9" hidden="1"/>
    <cellStyle name="表示済みのハイパーリンク" xfId="3498" builtinId="9" hidden="1"/>
    <cellStyle name="表示済みのハイパーリンク" xfId="3500" builtinId="9" hidden="1"/>
    <cellStyle name="表示済みのハイパーリンク" xfId="3502" builtinId="9" hidden="1"/>
    <cellStyle name="表示済みのハイパーリンク" xfId="3504" builtinId="9" hidden="1"/>
    <cellStyle name="表示済みのハイパーリンク" xfId="3506" builtinId="9" hidden="1"/>
    <cellStyle name="表示済みのハイパーリンク" xfId="3508" builtinId="9" hidden="1"/>
    <cellStyle name="表示済みのハイパーリンク" xfId="3510" builtinId="9" hidden="1"/>
    <cellStyle name="表示済みのハイパーリンク" xfId="3512" builtinId="9" hidden="1"/>
    <cellStyle name="表示済みのハイパーリンク" xfId="3514" builtinId="9" hidden="1"/>
    <cellStyle name="表示済みのハイパーリンク" xfId="3516" builtinId="9" hidden="1"/>
    <cellStyle name="表示済みのハイパーリンク" xfId="3518" builtinId="9" hidden="1"/>
    <cellStyle name="表示済みのハイパーリンク" xfId="3520" builtinId="9" hidden="1"/>
    <cellStyle name="表示済みのハイパーリンク" xfId="3522" builtinId="9" hidden="1"/>
    <cellStyle name="表示済みのハイパーリンク" xfId="3524" builtinId="9" hidden="1"/>
    <cellStyle name="表示済みのハイパーリンク" xfId="3526" builtinId="9" hidden="1"/>
    <cellStyle name="表示済みのハイパーリンク" xfId="3528" builtinId="9" hidden="1"/>
    <cellStyle name="表示済みのハイパーリンク" xfId="3530" builtinId="9" hidden="1"/>
    <cellStyle name="表示済みのハイパーリンク" xfId="3532" builtinId="9" hidden="1"/>
    <cellStyle name="表示済みのハイパーリンク" xfId="3534" builtinId="9" hidden="1"/>
    <cellStyle name="表示済みのハイパーリンク" xfId="3536" builtinId="9" hidden="1"/>
    <cellStyle name="表示済みのハイパーリンク" xfId="3538" builtinId="9" hidden="1"/>
    <cellStyle name="表示済みのハイパーリンク" xfId="3540" builtinId="9" hidden="1"/>
    <cellStyle name="表示済みのハイパーリンク" xfId="3542" builtinId="9" hidden="1"/>
    <cellStyle name="表示済みのハイパーリンク" xfId="3544" builtinId="9" hidden="1"/>
    <cellStyle name="表示済みのハイパーリンク" xfId="3546" builtinId="9" hidden="1"/>
    <cellStyle name="表示済みのハイパーリンク" xfId="3548" builtinId="9" hidden="1"/>
    <cellStyle name="表示済みのハイパーリンク" xfId="3550" builtinId="9" hidden="1"/>
    <cellStyle name="表示済みのハイパーリンク" xfId="3552" builtinId="9" hidden="1"/>
    <cellStyle name="表示済みのハイパーリンク" xfId="3554" builtinId="9" hidden="1"/>
    <cellStyle name="表示済みのハイパーリンク" xfId="3556" builtinId="9" hidden="1"/>
    <cellStyle name="表示済みのハイパーリンク" xfId="3558" builtinId="9" hidden="1"/>
    <cellStyle name="表示済みのハイパーリンク" xfId="3560" builtinId="9" hidden="1"/>
    <cellStyle name="表示済みのハイパーリンク" xfId="3562" builtinId="9" hidden="1"/>
    <cellStyle name="表示済みのハイパーリンク" xfId="3564" builtinId="9" hidden="1"/>
    <cellStyle name="表示済みのハイパーリンク" xfId="3566" builtinId="9" hidden="1"/>
    <cellStyle name="表示済みのハイパーリンク" xfId="3568" builtinId="9" hidden="1"/>
    <cellStyle name="表示済みのハイパーリンク" xfId="3570" builtinId="9" hidden="1"/>
    <cellStyle name="表示済みのハイパーリンク" xfId="3572" builtinId="9" hidden="1"/>
    <cellStyle name="表示済みのハイパーリンク" xfId="3574" builtinId="9" hidden="1"/>
    <cellStyle name="表示済みのハイパーリンク" xfId="3576" builtinId="9" hidden="1"/>
    <cellStyle name="表示済みのハイパーリンク" xfId="3578" builtinId="9" hidden="1"/>
    <cellStyle name="表示済みのハイパーリンク" xfId="3580" builtinId="9" hidden="1"/>
    <cellStyle name="表示済みのハイパーリンク" xfId="3582" builtinId="9" hidden="1"/>
    <cellStyle name="表示済みのハイパーリンク" xfId="3584" builtinId="9" hidden="1"/>
    <cellStyle name="表示済みのハイパーリンク" xfId="3586" builtinId="9" hidden="1"/>
    <cellStyle name="表示済みのハイパーリンク" xfId="3588" builtinId="9" hidden="1"/>
    <cellStyle name="表示済みのハイパーリンク" xfId="3590" builtinId="9" hidden="1"/>
    <cellStyle name="表示済みのハイパーリンク" xfId="3592" builtinId="9" hidden="1"/>
    <cellStyle name="表示済みのハイパーリンク" xfId="3594" builtinId="9" hidden="1"/>
    <cellStyle name="表示済みのハイパーリンク" xfId="3596" builtinId="9" hidden="1"/>
    <cellStyle name="表示済みのハイパーリンク" xfId="3598" builtinId="9" hidden="1"/>
    <cellStyle name="表示済みのハイパーリンク" xfId="3600" builtinId="9" hidden="1"/>
    <cellStyle name="表示済みのハイパーリンク" xfId="3602" builtinId="9" hidden="1"/>
    <cellStyle name="表示済みのハイパーリンク" xfId="3604" builtinId="9" hidden="1"/>
    <cellStyle name="表示済みのハイパーリンク" xfId="3606" builtinId="9" hidden="1"/>
    <cellStyle name="表示済みのハイパーリンク" xfId="3608" builtinId="9" hidden="1"/>
    <cellStyle name="表示済みのハイパーリンク" xfId="3610" builtinId="9" hidden="1"/>
    <cellStyle name="表示済みのハイパーリンク" xfId="3612" builtinId="9" hidden="1"/>
    <cellStyle name="表示済みのハイパーリンク" xfId="3614" builtinId="9" hidden="1"/>
    <cellStyle name="表示済みのハイパーリンク" xfId="3616" builtinId="9" hidden="1"/>
    <cellStyle name="表示済みのハイパーリンク" xfId="3618" builtinId="9" hidden="1"/>
    <cellStyle name="表示済みのハイパーリンク" xfId="3620" builtinId="9" hidden="1"/>
    <cellStyle name="表示済みのハイパーリンク" xfId="3622" builtinId="9" hidden="1"/>
    <cellStyle name="表示済みのハイパーリンク" xfId="3624" builtinId="9" hidden="1"/>
    <cellStyle name="表示済みのハイパーリンク" xfId="3626" builtinId="9" hidden="1"/>
    <cellStyle name="表示済みのハイパーリンク" xfId="3628" builtinId="9" hidden="1"/>
    <cellStyle name="表示済みのハイパーリンク" xfId="3630" builtinId="9" hidden="1"/>
    <cellStyle name="表示済みのハイパーリンク" xfId="3632" builtinId="9" hidden="1"/>
    <cellStyle name="表示済みのハイパーリンク" xfId="3634" builtinId="9" hidden="1"/>
    <cellStyle name="表示済みのハイパーリンク" xfId="3636" builtinId="9" hidden="1"/>
    <cellStyle name="表示済みのハイパーリンク" xfId="3638" builtinId="9" hidden="1"/>
    <cellStyle name="表示済みのハイパーリンク" xfId="3640" builtinId="9" hidden="1"/>
    <cellStyle name="表示済みのハイパーリンク" xfId="3642" builtinId="9" hidden="1"/>
    <cellStyle name="表示済みのハイパーリンク" xfId="3644" builtinId="9" hidden="1"/>
    <cellStyle name="表示済みのハイパーリンク" xfId="3646" builtinId="9" hidden="1"/>
    <cellStyle name="表示済みのハイパーリンク" xfId="3648" builtinId="9" hidden="1"/>
    <cellStyle name="表示済みのハイパーリンク" xfId="3650" builtinId="9" hidden="1"/>
    <cellStyle name="表示済みのハイパーリンク" xfId="3652" builtinId="9" hidden="1"/>
    <cellStyle name="表示済みのハイパーリンク" xfId="3654" builtinId="9" hidden="1"/>
    <cellStyle name="表示済みのハイパーリンク" xfId="3656" builtinId="9" hidden="1"/>
    <cellStyle name="表示済みのハイパーリンク" xfId="3658" builtinId="9" hidden="1"/>
    <cellStyle name="表示済みのハイパーリンク" xfId="3660" builtinId="9" hidden="1"/>
    <cellStyle name="表示済みのハイパーリンク" xfId="3662" builtinId="9" hidden="1"/>
    <cellStyle name="表示済みのハイパーリンク" xfId="3664" builtinId="9" hidden="1"/>
    <cellStyle name="表示済みのハイパーリンク" xfId="3666" builtinId="9" hidden="1"/>
    <cellStyle name="表示済みのハイパーリンク" xfId="3668" builtinId="9" hidden="1"/>
    <cellStyle name="表示済みのハイパーリンク" xfId="3670" builtinId="9" hidden="1"/>
    <cellStyle name="表示済みのハイパーリンク" xfId="3672" builtinId="9" hidden="1"/>
    <cellStyle name="表示済みのハイパーリンク" xfId="3674" builtinId="9" hidden="1"/>
    <cellStyle name="表示済みのハイパーリンク" xfId="3676" builtinId="9" hidden="1"/>
    <cellStyle name="表示済みのハイパーリンク" xfId="3678" builtinId="9" hidden="1"/>
    <cellStyle name="表示済みのハイパーリンク" xfId="3680" builtinId="9" hidden="1"/>
    <cellStyle name="表示済みのハイパーリンク" xfId="3682" builtinId="9" hidden="1"/>
    <cellStyle name="表示済みのハイパーリンク" xfId="3684" builtinId="9" hidden="1"/>
    <cellStyle name="表示済みのハイパーリンク" xfId="3686" builtinId="9" hidden="1"/>
    <cellStyle name="表示済みのハイパーリンク" xfId="3688" builtinId="9" hidden="1"/>
    <cellStyle name="表示済みのハイパーリンク" xfId="3690" builtinId="9" hidden="1"/>
    <cellStyle name="表示済みのハイパーリンク" xfId="3692" builtinId="9" hidden="1"/>
    <cellStyle name="表示済みのハイパーリンク" xfId="3694" builtinId="9" hidden="1"/>
    <cellStyle name="表示済みのハイパーリンク" xfId="3696" builtinId="9" hidden="1"/>
    <cellStyle name="表示済みのハイパーリンク" xfId="3698" builtinId="9" hidden="1"/>
    <cellStyle name="表示済みのハイパーリンク" xfId="3700" builtinId="9" hidden="1"/>
    <cellStyle name="表示済みのハイパーリンク" xfId="3702" builtinId="9" hidden="1"/>
    <cellStyle name="表示済みのハイパーリンク" xfId="3704" builtinId="9" hidden="1"/>
    <cellStyle name="表示済みのハイパーリンク" xfId="3706" builtinId="9" hidden="1"/>
    <cellStyle name="表示済みのハイパーリンク" xfId="3708" builtinId="9" hidden="1"/>
    <cellStyle name="表示済みのハイパーリンク" xfId="3710" builtinId="9" hidden="1"/>
    <cellStyle name="表示済みのハイパーリンク" xfId="3712" builtinId="9" hidden="1"/>
    <cellStyle name="表示済みのハイパーリンク" xfId="3714" builtinId="9" hidden="1"/>
    <cellStyle name="表示済みのハイパーリンク" xfId="3716" builtinId="9" hidden="1"/>
    <cellStyle name="表示済みのハイパーリンク" xfId="3718" builtinId="9" hidden="1"/>
    <cellStyle name="表示済みのハイパーリンク" xfId="3720" builtinId="9" hidden="1"/>
    <cellStyle name="表示済みのハイパーリンク" xfId="3722" builtinId="9" hidden="1"/>
    <cellStyle name="表示済みのハイパーリンク" xfId="3724" builtinId="9" hidden="1"/>
    <cellStyle name="表示済みのハイパーリンク" xfId="3726" builtinId="9" hidden="1"/>
    <cellStyle name="表示済みのハイパーリンク" xfId="3728" builtinId="9" hidden="1"/>
    <cellStyle name="表示済みのハイパーリンク" xfId="3730" builtinId="9" hidden="1"/>
    <cellStyle name="表示済みのハイパーリンク" xfId="3732" builtinId="9" hidden="1"/>
    <cellStyle name="表示済みのハイパーリンク" xfId="3734" builtinId="9" hidden="1"/>
    <cellStyle name="表示済みのハイパーリンク" xfId="3736" builtinId="9" hidden="1"/>
    <cellStyle name="表示済みのハイパーリンク" xfId="3738" builtinId="9" hidden="1"/>
    <cellStyle name="表示済みのハイパーリンク" xfId="3740" builtinId="9" hidden="1"/>
    <cellStyle name="表示済みのハイパーリンク" xfId="3742" builtinId="9" hidden="1"/>
    <cellStyle name="表示済みのハイパーリンク" xfId="3744" builtinId="9" hidden="1"/>
    <cellStyle name="表示済みのハイパーリンク" xfId="3746" builtinId="9" hidden="1"/>
    <cellStyle name="表示済みのハイパーリンク" xfId="3748" builtinId="9" hidden="1"/>
    <cellStyle name="表示済みのハイパーリンク" xfId="3750" builtinId="9" hidden="1"/>
    <cellStyle name="表示済みのハイパーリンク" xfId="3752" builtinId="9" hidden="1"/>
    <cellStyle name="表示済みのハイパーリンク" xfId="3754" builtinId="9" hidden="1"/>
    <cellStyle name="表示済みのハイパーリンク" xfId="3756" builtinId="9" hidden="1"/>
    <cellStyle name="表示済みのハイパーリンク" xfId="3758" builtinId="9" hidden="1"/>
    <cellStyle name="表示済みのハイパーリンク" xfId="3760" builtinId="9" hidden="1"/>
    <cellStyle name="表示済みのハイパーリンク" xfId="3762" builtinId="9" hidden="1"/>
    <cellStyle name="表示済みのハイパーリンク" xfId="3764" builtinId="9" hidden="1"/>
    <cellStyle name="表示済みのハイパーリンク" xfId="3766" builtinId="9" hidden="1"/>
    <cellStyle name="表示済みのハイパーリンク" xfId="3768" builtinId="9" hidden="1"/>
    <cellStyle name="表示済みのハイパーリンク" xfId="3770" builtinId="9" hidden="1"/>
    <cellStyle name="表示済みのハイパーリンク" xfId="3772" builtinId="9" hidden="1"/>
    <cellStyle name="表示済みのハイパーリンク" xfId="3774" builtinId="9" hidden="1"/>
    <cellStyle name="表示済みのハイパーリンク" xfId="3776" builtinId="9" hidden="1"/>
    <cellStyle name="表示済みのハイパーリンク" xfId="3778" builtinId="9" hidden="1"/>
    <cellStyle name="表示済みのハイパーリンク" xfId="3780" builtinId="9" hidden="1"/>
    <cellStyle name="表示済みのハイパーリンク" xfId="3782" builtinId="9" hidden="1"/>
    <cellStyle name="表示済みのハイパーリンク" xfId="3784" builtinId="9" hidden="1"/>
    <cellStyle name="表示済みのハイパーリンク" xfId="3786" builtinId="9" hidden="1"/>
    <cellStyle name="表示済みのハイパーリンク" xfId="3788" builtinId="9" hidden="1"/>
    <cellStyle name="表示済みのハイパーリンク" xfId="3790" builtinId="9" hidden="1"/>
    <cellStyle name="表示済みのハイパーリンク" xfId="3792" builtinId="9" hidden="1"/>
    <cellStyle name="表示済みのハイパーリンク" xfId="3794" builtinId="9" hidden="1"/>
    <cellStyle name="表示済みのハイパーリンク" xfId="3796" builtinId="9" hidden="1"/>
    <cellStyle name="表示済みのハイパーリンク" xfId="3798" builtinId="9" hidden="1"/>
    <cellStyle name="表示済みのハイパーリンク" xfId="3800" builtinId="9" hidden="1"/>
    <cellStyle name="表示済みのハイパーリンク" xfId="3802" builtinId="9" hidden="1"/>
    <cellStyle name="表示済みのハイパーリンク" xfId="3804" builtinId="9" hidden="1"/>
    <cellStyle name="表示済みのハイパーリンク" xfId="3806" builtinId="9" hidden="1"/>
    <cellStyle name="表示済みのハイパーリンク" xfId="3808" builtinId="9" hidden="1"/>
    <cellStyle name="表示済みのハイパーリンク" xfId="3810" builtinId="9" hidden="1"/>
    <cellStyle name="表示済みのハイパーリンク" xfId="3812" builtinId="9" hidden="1"/>
    <cellStyle name="表示済みのハイパーリンク" xfId="3814" builtinId="9" hidden="1"/>
    <cellStyle name="表示済みのハイパーリンク" xfId="3816" builtinId="9" hidden="1"/>
    <cellStyle name="表示済みのハイパーリンク" xfId="3818" builtinId="9" hidden="1"/>
    <cellStyle name="表示済みのハイパーリンク" xfId="3820" builtinId="9" hidden="1"/>
    <cellStyle name="表示済みのハイパーリンク" xfId="3822" builtinId="9" hidden="1"/>
    <cellStyle name="表示済みのハイパーリンク" xfId="3824" builtinId="9" hidden="1"/>
    <cellStyle name="表示済みのハイパーリンク" xfId="3826" builtinId="9" hidden="1"/>
    <cellStyle name="表示済みのハイパーリンク" xfId="3828" builtinId="9" hidden="1"/>
    <cellStyle name="表示済みのハイパーリンク" xfId="3830" builtinId="9" hidden="1"/>
    <cellStyle name="表示済みのハイパーリンク" xfId="3832" builtinId="9" hidden="1"/>
    <cellStyle name="表示済みのハイパーリンク" xfId="3834" builtinId="9" hidden="1"/>
    <cellStyle name="表示済みのハイパーリンク" xfId="3836" builtinId="9" hidden="1"/>
    <cellStyle name="表示済みのハイパーリンク" xfId="3838" builtinId="9" hidden="1"/>
    <cellStyle name="表示済みのハイパーリンク" xfId="3840" builtinId="9" hidden="1"/>
    <cellStyle name="表示済みのハイパーリンク" xfId="3842" builtinId="9" hidden="1"/>
    <cellStyle name="表示済みのハイパーリンク" xfId="3844" builtinId="9" hidden="1"/>
    <cellStyle name="表示済みのハイパーリンク" xfId="3846" builtinId="9" hidden="1"/>
    <cellStyle name="表示済みのハイパーリンク" xfId="3848" builtinId="9" hidden="1"/>
    <cellStyle name="表示済みのハイパーリンク" xfId="3850" builtinId="9" hidden="1"/>
    <cellStyle name="表示済みのハイパーリンク" xfId="3852" builtinId="9" hidden="1"/>
    <cellStyle name="表示済みのハイパーリンク" xfId="3854" builtinId="9" hidden="1"/>
    <cellStyle name="表示済みのハイパーリンク" xfId="3856" builtinId="9" hidden="1"/>
    <cellStyle name="表示済みのハイパーリンク" xfId="3858" builtinId="9" hidden="1"/>
    <cellStyle name="表示済みのハイパーリンク" xfId="3860" builtinId="9" hidden="1"/>
    <cellStyle name="表示済みのハイパーリンク" xfId="3862" builtinId="9" hidden="1"/>
    <cellStyle name="表示済みのハイパーリンク" xfId="3864" builtinId="9" hidden="1"/>
    <cellStyle name="表示済みのハイパーリンク" xfId="3866" builtinId="9" hidden="1"/>
    <cellStyle name="表示済みのハイパーリンク" xfId="3868" builtinId="9" hidden="1"/>
    <cellStyle name="表示済みのハイパーリンク" xfId="3870" builtinId="9" hidden="1"/>
    <cellStyle name="表示済みのハイパーリンク" xfId="3872" builtinId="9" hidden="1"/>
    <cellStyle name="表示済みのハイパーリンク" xfId="3874" builtinId="9" hidden="1"/>
    <cellStyle name="表示済みのハイパーリンク" xfId="3876" builtinId="9" hidden="1"/>
    <cellStyle name="表示済みのハイパーリンク" xfId="3878" builtinId="9" hidden="1"/>
    <cellStyle name="表示済みのハイパーリンク" xfId="3880" builtinId="9" hidden="1"/>
    <cellStyle name="表示済みのハイパーリンク" xfId="3882" builtinId="9" hidden="1"/>
    <cellStyle name="表示済みのハイパーリンク" xfId="3884" builtinId="9" hidden="1"/>
    <cellStyle name="表示済みのハイパーリンク" xfId="3886" builtinId="9" hidden="1"/>
    <cellStyle name="表示済みのハイパーリンク" xfId="3888" builtinId="9" hidden="1"/>
    <cellStyle name="表示済みのハイパーリンク" xfId="3890" builtinId="9" hidden="1"/>
    <cellStyle name="表示済みのハイパーリンク" xfId="3892" builtinId="9" hidden="1"/>
    <cellStyle name="表示済みのハイパーリンク" xfId="3894" builtinId="9" hidden="1"/>
    <cellStyle name="表示済みのハイパーリンク" xfId="3896" builtinId="9" hidden="1"/>
    <cellStyle name="表示済みのハイパーリンク" xfId="3898" builtinId="9" hidden="1"/>
    <cellStyle name="表示済みのハイパーリンク" xfId="3900" builtinId="9" hidden="1"/>
    <cellStyle name="表示済みのハイパーリンク" xfId="3902" builtinId="9" hidden="1"/>
    <cellStyle name="表示済みのハイパーリンク" xfId="3904" builtinId="9" hidden="1"/>
    <cellStyle name="表示済みのハイパーリンク" xfId="3906" builtinId="9" hidden="1"/>
    <cellStyle name="表示済みのハイパーリンク" xfId="3908" builtinId="9" hidden="1"/>
    <cellStyle name="表示済みのハイパーリンク" xfId="3910" builtinId="9" hidden="1"/>
    <cellStyle name="表示済みのハイパーリンク" xfId="3912" builtinId="9" hidden="1"/>
    <cellStyle name="表示済みのハイパーリンク" xfId="3914" builtinId="9" hidden="1"/>
    <cellStyle name="表示済みのハイパーリンク" xfId="3916" builtinId="9" hidden="1"/>
    <cellStyle name="表示済みのハイパーリンク" xfId="3918" builtinId="9" hidden="1"/>
    <cellStyle name="表示済みのハイパーリンク" xfId="3920" builtinId="9" hidden="1"/>
    <cellStyle name="表示済みのハイパーリンク" xfId="3922" builtinId="9" hidden="1"/>
    <cellStyle name="表示済みのハイパーリンク" xfId="3924" builtinId="9" hidden="1"/>
    <cellStyle name="表示済みのハイパーリンク" xfId="3926" builtinId="9" hidden="1"/>
    <cellStyle name="表示済みのハイパーリンク" xfId="3928" builtinId="9" hidden="1"/>
    <cellStyle name="表示済みのハイパーリンク" xfId="3930" builtinId="9" hidden="1"/>
    <cellStyle name="表示済みのハイパーリンク" xfId="3932" builtinId="9" hidden="1"/>
    <cellStyle name="表示済みのハイパーリンク" xfId="3934" builtinId="9" hidden="1"/>
    <cellStyle name="表示済みのハイパーリンク" xfId="3936" builtinId="9" hidden="1"/>
    <cellStyle name="表示済みのハイパーリンク" xfId="3938" builtinId="9" hidden="1"/>
    <cellStyle name="表示済みのハイパーリンク" xfId="3940" builtinId="9" hidden="1"/>
    <cellStyle name="表示済みのハイパーリンク" xfId="3942" builtinId="9" hidden="1"/>
    <cellStyle name="表示済みのハイパーリンク" xfId="3944" builtinId="9" hidden="1"/>
    <cellStyle name="表示済みのハイパーリンク" xfId="3946" builtinId="9" hidden="1"/>
    <cellStyle name="表示済みのハイパーリンク" xfId="3948" builtinId="9" hidden="1"/>
    <cellStyle name="表示済みのハイパーリンク" xfId="3950" builtinId="9" hidden="1"/>
    <cellStyle name="表示済みのハイパーリンク" xfId="3952" builtinId="9" hidden="1"/>
    <cellStyle name="表示済みのハイパーリンク" xfId="3954" builtinId="9" hidden="1"/>
    <cellStyle name="表示済みのハイパーリンク" xfId="3956" builtinId="9" hidden="1"/>
    <cellStyle name="表示済みのハイパーリンク" xfId="3958" builtinId="9" hidden="1"/>
    <cellStyle name="表示済みのハイパーリンク" xfId="3960" builtinId="9" hidden="1"/>
    <cellStyle name="表示済みのハイパーリンク" xfId="3962" builtinId="9" hidden="1"/>
    <cellStyle name="表示済みのハイパーリンク" xfId="3964" builtinId="9" hidden="1"/>
    <cellStyle name="表示済みのハイパーリンク" xfId="3966" builtinId="9" hidden="1"/>
    <cellStyle name="表示済みのハイパーリンク" xfId="3968" builtinId="9" hidden="1"/>
    <cellStyle name="表示済みのハイパーリンク" xfId="3970" builtinId="9" hidden="1"/>
    <cellStyle name="表示済みのハイパーリンク" xfId="3972" builtinId="9" hidden="1"/>
    <cellStyle name="表示済みのハイパーリンク" xfId="3974" builtinId="9" hidden="1"/>
    <cellStyle name="表示済みのハイパーリンク" xfId="3976" builtinId="9" hidden="1"/>
    <cellStyle name="表示済みのハイパーリンク" xfId="3978" builtinId="9" hidden="1"/>
    <cellStyle name="表示済みのハイパーリンク" xfId="3980" builtinId="9" hidden="1"/>
    <cellStyle name="表示済みのハイパーリンク" xfId="3982" builtinId="9" hidden="1"/>
    <cellStyle name="表示済みのハイパーリンク" xfId="3984" builtinId="9" hidden="1"/>
    <cellStyle name="表示済みのハイパーリンク" xfId="3986" builtinId="9" hidden="1"/>
    <cellStyle name="表示済みのハイパーリンク" xfId="3988" builtinId="9" hidden="1"/>
    <cellStyle name="表示済みのハイパーリンク" xfId="3990" builtinId="9" hidden="1"/>
    <cellStyle name="表示済みのハイパーリンク" xfId="3992" builtinId="9" hidden="1"/>
    <cellStyle name="表示済みのハイパーリンク" xfId="3994" builtinId="9" hidden="1"/>
    <cellStyle name="表示済みのハイパーリンク" xfId="3996" builtinId="9" hidden="1"/>
    <cellStyle name="表示済みのハイパーリンク" xfId="3998" builtinId="9" hidden="1"/>
    <cellStyle name="表示済みのハイパーリンク" xfId="4000" builtinId="9" hidden="1"/>
    <cellStyle name="表示済みのハイパーリンク" xfId="4002" builtinId="9" hidden="1"/>
    <cellStyle name="表示済みのハイパーリンク" xfId="4004" builtinId="9" hidden="1"/>
    <cellStyle name="表示済みのハイパーリンク" xfId="4006" builtinId="9" hidden="1"/>
    <cellStyle name="表示済みのハイパーリンク" xfId="4008" builtinId="9" hidden="1"/>
    <cellStyle name="表示済みのハイパーリンク" xfId="4010" builtinId="9" hidden="1"/>
    <cellStyle name="表示済みのハイパーリンク" xfId="4012" builtinId="9" hidden="1"/>
    <cellStyle name="表示済みのハイパーリンク" xfId="4014" builtinId="9" hidden="1"/>
    <cellStyle name="表示済みのハイパーリンク" xfId="4016" builtinId="9" hidden="1"/>
    <cellStyle name="表示済みのハイパーリンク" xfId="4018" builtinId="9" hidden="1"/>
    <cellStyle name="表示済みのハイパーリンク" xfId="4020" builtinId="9" hidden="1"/>
    <cellStyle name="表示済みのハイパーリンク" xfId="4022" builtinId="9" hidden="1"/>
    <cellStyle name="表示済みのハイパーリンク" xfId="4024" builtinId="9" hidden="1"/>
    <cellStyle name="表示済みのハイパーリンク" xfId="4026" builtinId="9" hidden="1"/>
    <cellStyle name="表示済みのハイパーリンク" xfId="4028" builtinId="9" hidden="1"/>
    <cellStyle name="表示済みのハイパーリンク" xfId="4030" builtinId="9" hidden="1"/>
    <cellStyle name="表示済みのハイパーリンク" xfId="4032" builtinId="9" hidden="1"/>
    <cellStyle name="表示済みのハイパーリンク" xfId="4034" builtinId="9" hidden="1"/>
    <cellStyle name="表示済みのハイパーリンク" xfId="4036" builtinId="9" hidden="1"/>
    <cellStyle name="表示済みのハイパーリンク" xfId="4038" builtinId="9" hidden="1"/>
    <cellStyle name="表示済みのハイパーリンク" xfId="4040" builtinId="9" hidden="1"/>
    <cellStyle name="表示済みのハイパーリンク" xfId="4042" builtinId="9" hidden="1"/>
    <cellStyle name="表示済みのハイパーリンク" xfId="4044" builtinId="9" hidden="1"/>
    <cellStyle name="表示済みのハイパーリンク" xfId="4046" builtinId="9" hidden="1"/>
    <cellStyle name="表示済みのハイパーリンク" xfId="4048" builtinId="9" hidden="1"/>
    <cellStyle name="表示済みのハイパーリンク" xfId="4050" builtinId="9" hidden="1"/>
    <cellStyle name="表示済みのハイパーリンク" xfId="4052" builtinId="9" hidden="1"/>
    <cellStyle name="表示済みのハイパーリンク" xfId="4054" builtinId="9" hidden="1"/>
    <cellStyle name="表示済みのハイパーリンク" xfId="4056" builtinId="9" hidden="1"/>
    <cellStyle name="表示済みのハイパーリンク" xfId="4058" builtinId="9" hidden="1"/>
    <cellStyle name="表示済みのハイパーリンク" xfId="4060" builtinId="9" hidden="1"/>
    <cellStyle name="表示済みのハイパーリンク" xfId="4062" builtinId="9" hidden="1"/>
    <cellStyle name="表示済みのハイパーリンク" xfId="4064" builtinId="9" hidden="1"/>
    <cellStyle name="表示済みのハイパーリンク" xfId="4066" builtinId="9" hidden="1"/>
    <cellStyle name="表示済みのハイパーリンク" xfId="4068" builtinId="9" hidden="1"/>
    <cellStyle name="表示済みのハイパーリンク" xfId="4070" builtinId="9" hidden="1"/>
    <cellStyle name="表示済みのハイパーリンク" xfId="4072" builtinId="9" hidden="1"/>
    <cellStyle name="表示済みのハイパーリンク" xfId="4074" builtinId="9" hidden="1"/>
    <cellStyle name="表示済みのハイパーリンク" xfId="4076" builtinId="9" hidden="1"/>
    <cellStyle name="表示済みのハイパーリンク" xfId="4078" builtinId="9" hidden="1"/>
    <cellStyle name="表示済みのハイパーリンク" xfId="4080" builtinId="9" hidden="1"/>
    <cellStyle name="表示済みのハイパーリンク" xfId="4082" builtinId="9" hidden="1"/>
    <cellStyle name="表示済みのハイパーリンク" xfId="4084" builtinId="9" hidden="1"/>
    <cellStyle name="表示済みのハイパーリンク" xfId="4086" builtinId="9" hidden="1"/>
    <cellStyle name="表示済みのハイパーリンク" xfId="4088" builtinId="9" hidden="1"/>
    <cellStyle name="表示済みのハイパーリンク" xfId="4090" builtinId="9" hidden="1"/>
    <cellStyle name="表示済みのハイパーリンク" xfId="4092" builtinId="9" hidden="1"/>
    <cellStyle name="表示済みのハイパーリンク" xfId="4094" builtinId="9" hidden="1"/>
    <cellStyle name="表示済みのハイパーリンク" xfId="4096" builtinId="9" hidden="1"/>
    <cellStyle name="表示済みのハイパーリンク" xfId="4098" builtinId="9" hidden="1"/>
    <cellStyle name="表示済みのハイパーリンク" xfId="4100" builtinId="9" hidden="1"/>
    <cellStyle name="表示済みのハイパーリンク" xfId="4102" builtinId="9" hidden="1"/>
    <cellStyle name="表示済みのハイパーリンク" xfId="4104" builtinId="9" hidden="1"/>
    <cellStyle name="表示済みのハイパーリンク" xfId="4106" builtinId="9" hidden="1"/>
    <cellStyle name="表示済みのハイパーリンク" xfId="4108" builtinId="9" hidden="1"/>
    <cellStyle name="表示済みのハイパーリンク" xfId="4110" builtinId="9" hidden="1"/>
    <cellStyle name="表示済みのハイパーリンク" xfId="4112" builtinId="9" hidden="1"/>
    <cellStyle name="表示済みのハイパーリンク" xfId="4114" builtinId="9" hidden="1"/>
    <cellStyle name="表示済みのハイパーリンク" xfId="4116" builtinId="9" hidden="1"/>
    <cellStyle name="表示済みのハイパーリンク" xfId="4118" builtinId="9" hidden="1"/>
    <cellStyle name="表示済みのハイパーリンク" xfId="4120" builtinId="9" hidden="1"/>
    <cellStyle name="表示済みのハイパーリンク" xfId="4122" builtinId="9" hidden="1"/>
    <cellStyle name="表示済みのハイパーリンク" xfId="4124" builtinId="9" hidden="1"/>
    <cellStyle name="表示済みのハイパーリンク" xfId="4126" builtinId="9" hidden="1"/>
    <cellStyle name="表示済みのハイパーリンク" xfId="4128" builtinId="9" hidden="1"/>
    <cellStyle name="表示済みのハイパーリンク" xfId="4130" builtinId="9" hidden="1"/>
    <cellStyle name="表示済みのハイパーリンク" xfId="4132" builtinId="9" hidden="1"/>
    <cellStyle name="表示済みのハイパーリンク" xfId="4134" builtinId="9" hidden="1"/>
    <cellStyle name="表示済みのハイパーリンク" xfId="4136" builtinId="9" hidden="1"/>
    <cellStyle name="表示済みのハイパーリンク" xfId="4138" builtinId="9" hidden="1"/>
    <cellStyle name="表示済みのハイパーリンク" xfId="4140" builtinId="9" hidden="1"/>
    <cellStyle name="表示済みのハイパーリンク" xfId="4142" builtinId="9" hidden="1"/>
    <cellStyle name="表示済みのハイパーリンク" xfId="4144" builtinId="9" hidden="1"/>
    <cellStyle name="表示済みのハイパーリンク" xfId="4146" builtinId="9" hidden="1"/>
    <cellStyle name="表示済みのハイパーリンク" xfId="4148" builtinId="9" hidden="1"/>
    <cellStyle name="表示済みのハイパーリンク" xfId="4150" builtinId="9" hidden="1"/>
    <cellStyle name="表示済みのハイパーリンク" xfId="4152" builtinId="9" hidden="1"/>
    <cellStyle name="表示済みのハイパーリンク" xfId="4154" builtinId="9" hidden="1"/>
    <cellStyle name="表示済みのハイパーリンク" xfId="4156" builtinId="9" hidden="1"/>
    <cellStyle name="表示済みのハイパーリンク" xfId="4158" builtinId="9" hidden="1"/>
    <cellStyle name="表示済みのハイパーリンク" xfId="4160" builtinId="9" hidden="1"/>
    <cellStyle name="表示済みのハイパーリンク" xfId="4162" builtinId="9" hidden="1"/>
    <cellStyle name="表示済みのハイパーリンク" xfId="4164" builtinId="9" hidden="1"/>
    <cellStyle name="表示済みのハイパーリンク" xfId="4166" builtinId="9" hidden="1"/>
    <cellStyle name="表示済みのハイパーリンク" xfId="4168" builtinId="9" hidden="1"/>
    <cellStyle name="表示済みのハイパーリンク" xfId="4170" builtinId="9" hidden="1"/>
    <cellStyle name="表示済みのハイパーリンク" xfId="4172" builtinId="9" hidden="1"/>
    <cellStyle name="表示済みのハイパーリンク" xfId="4174" builtinId="9" hidden="1"/>
    <cellStyle name="表示済みのハイパーリンク" xfId="4176" builtinId="9" hidden="1"/>
    <cellStyle name="表示済みのハイパーリンク" xfId="4178" builtinId="9" hidden="1"/>
    <cellStyle name="表示済みのハイパーリンク" xfId="4180" builtinId="9" hidden="1"/>
    <cellStyle name="表示済みのハイパーリンク" xfId="4182" builtinId="9" hidden="1"/>
    <cellStyle name="表示済みのハイパーリンク" xfId="4184" builtinId="9" hidden="1"/>
    <cellStyle name="表示済みのハイパーリンク" xfId="4186" builtinId="9" hidden="1"/>
    <cellStyle name="表示済みのハイパーリンク" xfId="4188" builtinId="9" hidden="1"/>
    <cellStyle name="表示済みのハイパーリンク" xfId="4190" builtinId="9" hidden="1"/>
    <cellStyle name="表示済みのハイパーリンク" xfId="4192" builtinId="9" hidden="1"/>
    <cellStyle name="表示済みのハイパーリンク" xfId="4194" builtinId="9" hidden="1"/>
    <cellStyle name="表示済みのハイパーリンク" xfId="4196" builtinId="9" hidden="1"/>
    <cellStyle name="表示済みのハイパーリンク" xfId="4198" builtinId="9" hidden="1"/>
    <cellStyle name="表示済みのハイパーリンク" xfId="4200" builtinId="9" hidden="1"/>
    <cellStyle name="表示済みのハイパーリンク" xfId="4202" builtinId="9" hidden="1"/>
    <cellStyle name="表示済みのハイパーリンク" xfId="4204" builtinId="9" hidden="1"/>
    <cellStyle name="表示済みのハイパーリンク" xfId="4206" builtinId="9" hidden="1"/>
    <cellStyle name="表示済みのハイパーリンク" xfId="4208" builtinId="9" hidden="1"/>
    <cellStyle name="表示済みのハイパーリンク" xfId="4210" builtinId="9" hidden="1"/>
    <cellStyle name="表示済みのハイパーリンク" xfId="4212" builtinId="9" hidden="1"/>
    <cellStyle name="表示済みのハイパーリンク" xfId="4214" builtinId="9" hidden="1"/>
    <cellStyle name="表示済みのハイパーリンク" xfId="4216" builtinId="9" hidden="1"/>
    <cellStyle name="表示済みのハイパーリンク" xfId="4218" builtinId="9" hidden="1"/>
    <cellStyle name="表示済みのハイパーリンク" xfId="4220" builtinId="9" hidden="1"/>
    <cellStyle name="表示済みのハイパーリンク" xfId="4222" builtinId="9" hidden="1"/>
    <cellStyle name="表示済みのハイパーリンク" xfId="4224" builtinId="9" hidden="1"/>
    <cellStyle name="表示済みのハイパーリンク" xfId="4226" builtinId="9" hidden="1"/>
    <cellStyle name="表示済みのハイパーリンク" xfId="4228" builtinId="9" hidden="1"/>
    <cellStyle name="表示済みのハイパーリンク" xfId="4230" builtinId="9" hidden="1"/>
    <cellStyle name="表示済みのハイパーリンク" xfId="4232" builtinId="9" hidden="1"/>
    <cellStyle name="表示済みのハイパーリンク" xfId="4234" builtinId="9" hidden="1"/>
    <cellStyle name="表示済みのハイパーリンク" xfId="4236" builtinId="9" hidden="1"/>
    <cellStyle name="表示済みのハイパーリンク" xfId="4238" builtinId="9" hidden="1"/>
    <cellStyle name="表示済みのハイパーリンク" xfId="4240" builtinId="9" hidden="1"/>
    <cellStyle name="表示済みのハイパーリンク" xfId="4242" builtinId="9" hidden="1"/>
    <cellStyle name="表示済みのハイパーリンク" xfId="4244" builtinId="9" hidden="1"/>
    <cellStyle name="表示済みのハイパーリンク" xfId="4246" builtinId="9" hidden="1"/>
    <cellStyle name="表示済みのハイパーリンク" xfId="4248" builtinId="9" hidden="1"/>
    <cellStyle name="表示済みのハイパーリンク" xfId="4250" builtinId="9" hidden="1"/>
    <cellStyle name="表示済みのハイパーリンク" xfId="4252" builtinId="9" hidden="1"/>
    <cellStyle name="表示済みのハイパーリンク" xfId="4254" builtinId="9" hidden="1"/>
    <cellStyle name="表示済みのハイパーリンク" xfId="4256" builtinId="9" hidden="1"/>
    <cellStyle name="表示済みのハイパーリンク" xfId="4258" builtinId="9" hidden="1"/>
    <cellStyle name="表示済みのハイパーリンク" xfId="4260" builtinId="9" hidden="1"/>
    <cellStyle name="表示済みのハイパーリンク" xfId="4262" builtinId="9" hidden="1"/>
    <cellStyle name="表示済みのハイパーリンク" xfId="4264" builtinId="9" hidden="1"/>
    <cellStyle name="表示済みのハイパーリンク" xfId="4266" builtinId="9" hidden="1"/>
    <cellStyle name="表示済みのハイパーリンク" xfId="4268" builtinId="9" hidden="1"/>
    <cellStyle name="表示済みのハイパーリンク" xfId="4270" builtinId="9" hidden="1"/>
    <cellStyle name="表示済みのハイパーリンク" xfId="4272" builtinId="9" hidden="1"/>
    <cellStyle name="表示済みのハイパーリンク" xfId="4274" builtinId="9" hidden="1"/>
    <cellStyle name="表示済みのハイパーリンク" xfId="4276" builtinId="9" hidden="1"/>
    <cellStyle name="表示済みのハイパーリンク" xfId="4278" builtinId="9" hidden="1"/>
    <cellStyle name="表示済みのハイパーリンク" xfId="4280" builtinId="9" hidden="1"/>
    <cellStyle name="表示済みのハイパーリンク" xfId="4282" builtinId="9" hidden="1"/>
    <cellStyle name="表示済みのハイパーリンク" xfId="4284" builtinId="9" hidden="1"/>
    <cellStyle name="表示済みのハイパーリンク" xfId="4286" builtinId="9" hidden="1"/>
    <cellStyle name="表示済みのハイパーリンク" xfId="4288" builtinId="9" hidden="1"/>
    <cellStyle name="表示済みのハイパーリンク" xfId="4290" builtinId="9" hidden="1"/>
    <cellStyle name="表示済みのハイパーリンク" xfId="4292" builtinId="9" hidden="1"/>
    <cellStyle name="表示済みのハイパーリンク" xfId="4294" builtinId="9" hidden="1"/>
    <cellStyle name="表示済みのハイパーリンク" xfId="4296" builtinId="9" hidden="1"/>
    <cellStyle name="表示済みのハイパーリンク" xfId="4298" builtinId="9" hidden="1"/>
    <cellStyle name="表示済みのハイパーリンク" xfId="4300" builtinId="9" hidden="1"/>
    <cellStyle name="表示済みのハイパーリンク" xfId="4302" builtinId="9" hidden="1"/>
    <cellStyle name="表示済みのハイパーリンク" xfId="4304" builtinId="9" hidden="1"/>
    <cellStyle name="表示済みのハイパーリンク" xfId="4306" builtinId="9" hidden="1"/>
    <cellStyle name="表示済みのハイパーリンク" xfId="4308" builtinId="9" hidden="1"/>
    <cellStyle name="表示済みのハイパーリンク" xfId="4310" builtinId="9" hidden="1"/>
    <cellStyle name="表示済みのハイパーリンク" xfId="4312" builtinId="9" hidden="1"/>
    <cellStyle name="表示済みのハイパーリンク" xfId="4314" builtinId="9" hidden="1"/>
    <cellStyle name="表示済みのハイパーリンク" xfId="4316" builtinId="9" hidden="1"/>
    <cellStyle name="表示済みのハイパーリンク" xfId="4318" builtinId="9" hidden="1"/>
    <cellStyle name="表示済みのハイパーリンク" xfId="4320" builtinId="9" hidden="1"/>
    <cellStyle name="表示済みのハイパーリンク" xfId="4322" builtinId="9" hidden="1"/>
    <cellStyle name="表示済みのハイパーリンク" xfId="4324" builtinId="9" hidden="1"/>
    <cellStyle name="表示済みのハイパーリンク" xfId="4326" builtinId="9" hidden="1"/>
    <cellStyle name="表示済みのハイパーリンク" xfId="4328" builtinId="9" hidden="1"/>
    <cellStyle name="表示済みのハイパーリンク" xfId="4330" builtinId="9" hidden="1"/>
    <cellStyle name="表示済みのハイパーリンク" xfId="4332" builtinId="9" hidden="1"/>
    <cellStyle name="表示済みのハイパーリンク" xfId="4334" builtinId="9" hidden="1"/>
    <cellStyle name="表示済みのハイパーリンク" xfId="4336" builtinId="9" hidden="1"/>
    <cellStyle name="表示済みのハイパーリンク" xfId="4338" builtinId="9" hidden="1"/>
    <cellStyle name="表示済みのハイパーリンク" xfId="4340" builtinId="9" hidden="1"/>
    <cellStyle name="表示済みのハイパーリンク" xfId="4342" builtinId="9" hidden="1"/>
    <cellStyle name="表示済みのハイパーリンク" xfId="4344" builtinId="9" hidden="1"/>
    <cellStyle name="表示済みのハイパーリンク" xfId="4346" builtinId="9" hidden="1"/>
    <cellStyle name="表示済みのハイパーリンク" xfId="4348" builtinId="9" hidden="1"/>
    <cellStyle name="表示済みのハイパーリンク" xfId="4350" builtinId="9" hidden="1"/>
    <cellStyle name="表示済みのハイパーリンク" xfId="4352" builtinId="9" hidden="1"/>
    <cellStyle name="表示済みのハイパーリンク" xfId="4354" builtinId="9" hidden="1"/>
    <cellStyle name="表示済みのハイパーリンク" xfId="4356" builtinId="9" hidden="1"/>
    <cellStyle name="表示済みのハイパーリンク" xfId="4358" builtinId="9" hidden="1"/>
    <cellStyle name="表示済みのハイパーリンク" xfId="4360" builtinId="9" hidden="1"/>
    <cellStyle name="表示済みのハイパーリンク" xfId="4362" builtinId="9" hidden="1"/>
    <cellStyle name="表示済みのハイパーリンク" xfId="4364" builtinId="9" hidden="1"/>
    <cellStyle name="表示済みのハイパーリンク" xfId="4366" builtinId="9" hidden="1"/>
    <cellStyle name="表示済みのハイパーリンク" xfId="4368" builtinId="9" hidden="1"/>
    <cellStyle name="表示済みのハイパーリンク" xfId="4370" builtinId="9" hidden="1"/>
    <cellStyle name="表示済みのハイパーリンク" xfId="4372" builtinId="9" hidden="1"/>
    <cellStyle name="表示済みのハイパーリンク" xfId="4375" builtinId="9" hidden="1"/>
    <cellStyle name="表示済みのハイパーリンク" xfId="4377" builtinId="9" hidden="1"/>
    <cellStyle name="表示済みのハイパーリンク" xfId="4379" builtinId="9" hidden="1"/>
    <cellStyle name="表示済みのハイパーリンク" xfId="4381" builtinId="9" hidden="1"/>
    <cellStyle name="表示済みのハイパーリンク" xfId="4383" builtinId="9" hidden="1"/>
    <cellStyle name="表示済みのハイパーリンク" xfId="4385" builtinId="9" hidden="1"/>
    <cellStyle name="表示済みのハイパーリンク" xfId="4387" builtinId="9" hidden="1"/>
    <cellStyle name="表示済みのハイパーリンク" xfId="4389" builtinId="9" hidden="1"/>
    <cellStyle name="表示済みのハイパーリンク" xfId="4391" builtinId="9" hidden="1"/>
    <cellStyle name="表示済みのハイパーリンク" xfId="4393" builtinId="9" hidden="1"/>
    <cellStyle name="表示済みのハイパーリンク" xfId="4395" builtinId="9" hidden="1"/>
    <cellStyle name="表示済みのハイパーリンク" xfId="4397" builtinId="9" hidden="1"/>
    <cellStyle name="表示済みのハイパーリンク" xfId="4399" builtinId="9" hidden="1"/>
    <cellStyle name="表示済みのハイパーリンク" xfId="4401" builtinId="9" hidden="1"/>
    <cellStyle name="表示済みのハイパーリンク" xfId="4403" builtinId="9" hidden="1"/>
    <cellStyle name="表示済みのハイパーリンク" xfId="4405" builtinId="9" hidden="1"/>
    <cellStyle name="表示済みのハイパーリンク" xfId="4407" builtinId="9" hidden="1"/>
    <cellStyle name="表示済みのハイパーリンク" xfId="4409" builtinId="9" hidden="1"/>
    <cellStyle name="表示済みのハイパーリンク" xfId="4411" builtinId="9" hidden="1"/>
    <cellStyle name="表示済みのハイパーリンク" xfId="4413" builtinId="9" hidden="1"/>
    <cellStyle name="表示済みのハイパーリンク" xfId="4415" builtinId="9" hidden="1"/>
    <cellStyle name="表示済みのハイパーリンク" xfId="4417" builtinId="9" hidden="1"/>
    <cellStyle name="表示済みのハイパーリンク" xfId="4419" builtinId="9" hidden="1"/>
    <cellStyle name="表示済みのハイパーリンク" xfId="4421" builtinId="9" hidden="1"/>
    <cellStyle name="表示済みのハイパーリンク" xfId="4423" builtinId="9" hidden="1"/>
    <cellStyle name="表示済みのハイパーリンク" xfId="4425" builtinId="9" hidden="1"/>
    <cellStyle name="表示済みのハイパーリンク" xfId="4427" builtinId="9" hidden="1"/>
    <cellStyle name="表示済みのハイパーリンク" xfId="4429" builtinId="9" hidden="1"/>
    <cellStyle name="表示済みのハイパーリンク" xfId="4431" builtinId="9" hidden="1"/>
    <cellStyle name="表示済みのハイパーリンク" xfId="4433" builtinId="9" hidden="1"/>
    <cellStyle name="表示済みのハイパーリンク" xfId="4435" builtinId="9" hidden="1"/>
    <cellStyle name="表示済みのハイパーリンク" xfId="4437" builtinId="9" hidden="1"/>
    <cellStyle name="表示済みのハイパーリンク" xfId="4439" builtinId="9" hidden="1"/>
    <cellStyle name="表示済みのハイパーリンク" xfId="4441" builtinId="9" hidden="1"/>
    <cellStyle name="表示済みのハイパーリンク" xfId="4443" builtinId="9" hidden="1"/>
    <cellStyle name="表示済みのハイパーリンク" xfId="4445" builtinId="9" hidden="1"/>
    <cellStyle name="表示済みのハイパーリンク" xfId="4447" builtinId="9" hidden="1"/>
    <cellStyle name="表示済みのハイパーリンク" xfId="4449" builtinId="9" hidden="1"/>
    <cellStyle name="表示済みのハイパーリンク" xfId="4451" builtinId="9" hidden="1"/>
    <cellStyle name="表示済みのハイパーリンク" xfId="4453" builtinId="9" hidden="1"/>
    <cellStyle name="表示済みのハイパーリンク" xfId="4455" builtinId="9" hidden="1"/>
    <cellStyle name="表示済みのハイパーリンク" xfId="4457" builtinId="9" hidden="1"/>
    <cellStyle name="表示済みのハイパーリンク" xfId="4459" builtinId="9" hidden="1"/>
    <cellStyle name="表示済みのハイパーリンク" xfId="4461" builtinId="9" hidden="1"/>
    <cellStyle name="表示済みのハイパーリンク" xfId="4463" builtinId="9" hidden="1"/>
    <cellStyle name="表示済みのハイパーリンク" xfId="4465" builtinId="9" hidden="1"/>
    <cellStyle name="表示済みのハイパーリンク" xfId="4467" builtinId="9" hidden="1"/>
    <cellStyle name="表示済みのハイパーリンク" xfId="4469" builtinId="9" hidden="1"/>
    <cellStyle name="表示済みのハイパーリンク" xfId="4471" builtinId="9" hidden="1"/>
    <cellStyle name="表示済みのハイパーリンク" xfId="4473" builtinId="9" hidden="1"/>
    <cellStyle name="表示済みのハイパーリンク" xfId="4475" builtinId="9" hidden="1"/>
    <cellStyle name="表示済みのハイパーリンク" xfId="4477" builtinId="9" hidden="1"/>
    <cellStyle name="表示済みのハイパーリンク" xfId="4479" builtinId="9" hidden="1"/>
    <cellStyle name="表示済みのハイパーリンク" xfId="4481" builtinId="9" hidden="1"/>
    <cellStyle name="表示済みのハイパーリンク" xfId="4483" builtinId="9" hidden="1"/>
    <cellStyle name="表示済みのハイパーリンク" xfId="4485" builtinId="9" hidden="1"/>
    <cellStyle name="表示済みのハイパーリンク" xfId="4487" builtinId="9" hidden="1"/>
    <cellStyle name="表示済みのハイパーリンク" xfId="4489" builtinId="9" hidden="1"/>
    <cellStyle name="表示済みのハイパーリンク" xfId="4491" builtinId="9" hidden="1"/>
    <cellStyle name="表示済みのハイパーリンク" xfId="4493" builtinId="9" hidden="1"/>
    <cellStyle name="表示済みのハイパーリンク" xfId="4495" builtinId="9" hidden="1"/>
    <cellStyle name="表示済みのハイパーリンク" xfId="4497" builtinId="9" hidden="1"/>
    <cellStyle name="表示済みのハイパーリンク" xfId="4499" builtinId="9" hidden="1"/>
    <cellStyle name="表示済みのハイパーリンク" xfId="4501" builtinId="9" hidden="1"/>
    <cellStyle name="表示済みのハイパーリンク" xfId="4503" builtinId="9" hidden="1"/>
    <cellStyle name="表示済みのハイパーリンク" xfId="4505" builtinId="9" hidden="1"/>
    <cellStyle name="表示済みのハイパーリンク" xfId="4507" builtinId="9" hidden="1"/>
    <cellStyle name="表示済みのハイパーリンク" xfId="4509" builtinId="9" hidden="1"/>
    <cellStyle name="表示済みのハイパーリンク" xfId="4511" builtinId="9" hidden="1"/>
    <cellStyle name="表示済みのハイパーリンク" xfId="4513" builtinId="9" hidden="1"/>
    <cellStyle name="表示済みのハイパーリンク" xfId="4515" builtinId="9" hidden="1"/>
    <cellStyle name="表示済みのハイパーリンク" xfId="4517" builtinId="9" hidden="1"/>
    <cellStyle name="表示済みのハイパーリンク" xfId="4519" builtinId="9" hidden="1"/>
    <cellStyle name="表示済みのハイパーリンク" xfId="4521" builtinId="9" hidden="1"/>
    <cellStyle name="表示済みのハイパーリンク" xfId="4523" builtinId="9" hidden="1"/>
    <cellStyle name="表示済みのハイパーリンク" xfId="4525" builtinId="9" hidden="1"/>
    <cellStyle name="表示済みのハイパーリンク" xfId="4527" builtinId="9" hidden="1"/>
    <cellStyle name="表示済みのハイパーリンク" xfId="4529" builtinId="9" hidden="1"/>
    <cellStyle name="表示済みのハイパーリンク" xfId="4531" builtinId="9" hidden="1"/>
    <cellStyle name="表示済みのハイパーリンク" xfId="4533" builtinId="9" hidden="1"/>
    <cellStyle name="表示済みのハイパーリンク" xfId="4535" builtinId="9" hidden="1"/>
    <cellStyle name="表示済みのハイパーリンク" xfId="4537" builtinId="9" hidden="1"/>
    <cellStyle name="表示済みのハイパーリンク" xfId="4539" builtinId="9" hidden="1"/>
    <cellStyle name="表示済みのハイパーリンク" xfId="4541" builtinId="9" hidden="1"/>
    <cellStyle name="表示済みのハイパーリンク" xfId="4543" builtinId="9" hidden="1"/>
    <cellStyle name="表示済みのハイパーリンク" xfId="4545" builtinId="9" hidden="1"/>
    <cellStyle name="表示済みのハイパーリンク" xfId="4547" builtinId="9" hidden="1"/>
    <cellStyle name="表示済みのハイパーリンク" xfId="4549" builtinId="9" hidden="1"/>
    <cellStyle name="表示済みのハイパーリンク" xfId="4551" builtinId="9" hidden="1"/>
    <cellStyle name="表示済みのハイパーリンク" xfId="4553" builtinId="9" hidden="1"/>
    <cellStyle name="表示済みのハイパーリンク" xfId="4555" builtinId="9" hidden="1"/>
    <cellStyle name="表示済みのハイパーリンク" xfId="4557" builtinId="9" hidden="1"/>
    <cellStyle name="表示済みのハイパーリンク" xfId="4559" builtinId="9" hidden="1"/>
    <cellStyle name="表示済みのハイパーリンク" xfId="4561" builtinId="9" hidden="1"/>
    <cellStyle name="表示済みのハイパーリンク" xfId="4563" builtinId="9" hidden="1"/>
    <cellStyle name="表示済みのハイパーリンク" xfId="4565" builtinId="9" hidden="1"/>
    <cellStyle name="表示済みのハイパーリンク" xfId="4567" builtinId="9" hidden="1"/>
    <cellStyle name="表示済みのハイパーリンク" xfId="4569" builtinId="9" hidden="1"/>
    <cellStyle name="表示済みのハイパーリンク" xfId="4571" builtinId="9" hidden="1"/>
    <cellStyle name="表示済みのハイパーリンク" xfId="4573" builtinId="9" hidden="1"/>
    <cellStyle name="表示済みのハイパーリンク" xfId="4575" builtinId="9" hidden="1"/>
    <cellStyle name="表示済みのハイパーリンク" xfId="4577" builtinId="9" hidden="1"/>
    <cellStyle name="表示済みのハイパーリンク" xfId="4579" builtinId="9" hidden="1"/>
    <cellStyle name="表示済みのハイパーリンク" xfId="4581" builtinId="9" hidden="1"/>
    <cellStyle name="表示済みのハイパーリンク" xfId="4583" builtinId="9" hidden="1"/>
    <cellStyle name="表示済みのハイパーリンク" xfId="4585" builtinId="9" hidden="1"/>
    <cellStyle name="表示済みのハイパーリンク" xfId="4587" builtinId="9" hidden="1"/>
    <cellStyle name="表示済みのハイパーリンク" xfId="4589" builtinId="9" hidden="1"/>
    <cellStyle name="表示済みのハイパーリンク" xfId="4591" builtinId="9" hidden="1"/>
    <cellStyle name="表示済みのハイパーリンク" xfId="4593" builtinId="9" hidden="1"/>
    <cellStyle name="表示済みのハイパーリンク" xfId="4595" builtinId="9" hidden="1"/>
    <cellStyle name="表示済みのハイパーリンク" xfId="4597" builtinId="9" hidden="1"/>
    <cellStyle name="表示済みのハイパーリンク" xfId="4599" builtinId="9" hidden="1"/>
    <cellStyle name="表示済みのハイパーリンク" xfId="4601" builtinId="9" hidden="1"/>
    <cellStyle name="表示済みのハイパーリンク" xfId="4603" builtinId="9" hidden="1"/>
    <cellStyle name="表示済みのハイパーリンク" xfId="4605" builtinId="9" hidden="1"/>
    <cellStyle name="表示済みのハイパーリンク" xfId="4607" builtinId="9" hidden="1"/>
    <cellStyle name="表示済みのハイパーリンク" xfId="4609" builtinId="9" hidden="1"/>
    <cellStyle name="表示済みのハイパーリンク" xfId="4611" builtinId="9" hidden="1"/>
    <cellStyle name="表示済みのハイパーリンク" xfId="4613" builtinId="9" hidden="1"/>
    <cellStyle name="赤字強調" xfId="4"/>
    <cellStyle name="青字強調" xfId="3"/>
  </cellStyles>
  <dxfs count="39">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condense val="0"/>
        <extend val="0"/>
        <sz val="12"/>
        <color indexed="9"/>
      </font>
      <fill>
        <patternFill patternType="solid">
          <fgColor indexed="59"/>
          <bgColor indexed="63"/>
        </patternFill>
      </fill>
    </dxf>
    <dxf>
      <font>
        <b val="0"/>
        <condense val="0"/>
        <extend val="0"/>
        <sz val="12"/>
        <color indexed="9"/>
      </font>
      <fill>
        <patternFill patternType="solid">
          <fgColor indexed="59"/>
          <bgColor indexed="63"/>
        </patternFill>
      </fill>
    </dxf>
  </dxfs>
  <tableStyles count="0" defaultTableStyle="TableStyleMedium9" defaultPivotStyle="PivotStyleMedium4"/>
  <colors>
    <indexedColors>
      <rgbColor rgb="00000000"/>
      <rgbColor rgb="00FFFFFF"/>
      <rgbColor rgb="00DD0806"/>
      <rgbColor rgb="001FB714"/>
      <rgbColor rgb="000000D4"/>
      <rgbColor rgb="00FCF305"/>
      <rgbColor rgb="00F20884"/>
      <rgbColor rgb="0000ABEA"/>
      <rgbColor rgb="00000000"/>
      <rgbColor rgb="00FFFFFF"/>
      <rgbColor rgb="00FF0000"/>
      <rgbColor rgb="0000FF00"/>
      <rgbColor rgb="000000D4"/>
      <rgbColor rgb="00FFFF00"/>
      <rgbColor rgb="00FF00FF"/>
      <rgbColor rgb="0000FFFF"/>
      <rgbColor rgb="004C19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CF305"/>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950E"/>
      <rgbColor rgb="00666699"/>
      <rgbColor rgb="00B2B2B2"/>
      <rgbColor rgb="00003366"/>
      <rgbColor rgb="00339966"/>
      <rgbColor rgb="00003300"/>
      <rgbColor rgb="00262626"/>
      <rgbColor rgb="00DD0806"/>
      <rgbColor rgb="00993366"/>
      <rgbColor rgb="00333399"/>
      <rgbColor rgb="00333333"/>
    </indexedColors>
    <mruColors>
      <color rgb="FFFCEF58"/>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3.xml"/><Relationship Id="rId21" Type="http://schemas.openxmlformats.org/officeDocument/2006/relationships/externalLink" Target="externalLinks/externalLink4.xml"/><Relationship Id="rId22" Type="http://schemas.openxmlformats.org/officeDocument/2006/relationships/theme" Target="theme/theme1.xml"/><Relationship Id="rId23" Type="http://schemas.openxmlformats.org/officeDocument/2006/relationships/styles" Target="styles.xml"/><Relationship Id="rId24" Type="http://schemas.openxmlformats.org/officeDocument/2006/relationships/sharedStrings" Target="sharedStrings.xml"/><Relationship Id="rId25" Type="http://schemas.openxmlformats.org/officeDocument/2006/relationships/calcChain" Target="calcChain.xml"/><Relationship Id="rId26"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externalLink" Target="externalLinks/externalLink1.xml"/><Relationship Id="rId19" Type="http://schemas.openxmlformats.org/officeDocument/2006/relationships/externalLink" Target="externalLinks/externalLink2.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CharacterMaster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nitAwakeMasterData.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UnitAbilityMasterData.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nitMaster_templat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
      <sheetName val="属性"/>
      <sheetName val="characters"/>
      <sheetName val="character_type_i18n"/>
      <sheetName val="character_tribe_i18n"/>
      <sheetName val="unit_cautions"/>
    </sheetNames>
    <sheetDataSet>
      <sheetData sheetId="0"/>
      <sheetData sheetId="1">
        <row r="2">
          <cell r="B2">
            <v>0.5</v>
          </cell>
          <cell r="C2">
            <v>0.3</v>
          </cell>
          <cell r="D2">
            <v>1</v>
          </cell>
          <cell r="E2">
            <v>0.25</v>
          </cell>
        </row>
      </sheetData>
      <sheetData sheetId="2">
        <row r="1">
          <cell r="A1" t="str">
            <v>属性</v>
          </cell>
          <cell r="B1" t="str">
            <v>HP係数</v>
          </cell>
          <cell r="C1" t="str">
            <v>攻撃係数</v>
          </cell>
          <cell r="D1" t="str">
            <v>防御系数</v>
          </cell>
          <cell r="E1" t="str">
            <v>回復系数</v>
          </cell>
        </row>
        <row r="2">
          <cell r="A2" t="str">
            <v>red</v>
          </cell>
          <cell r="B2">
            <v>1</v>
          </cell>
          <cell r="C2">
            <v>1.02</v>
          </cell>
          <cell r="D2">
            <v>1</v>
          </cell>
          <cell r="E2">
            <v>0.98</v>
          </cell>
        </row>
        <row r="3">
          <cell r="A3" t="str">
            <v>green</v>
          </cell>
          <cell r="B3">
            <v>1.02</v>
          </cell>
          <cell r="C3">
            <v>0.98</v>
          </cell>
          <cell r="D3">
            <v>1</v>
          </cell>
          <cell r="E3">
            <v>1</v>
          </cell>
        </row>
        <row r="4">
          <cell r="A4" t="str">
            <v>blue</v>
          </cell>
          <cell r="B4">
            <v>1</v>
          </cell>
          <cell r="C4">
            <v>0.98</v>
          </cell>
          <cell r="D4">
            <v>1</v>
          </cell>
          <cell r="E4">
            <v>1.02</v>
          </cell>
        </row>
        <row r="5">
          <cell r="A5" t="str">
            <v>yellow</v>
          </cell>
          <cell r="B5">
            <v>0.98</v>
          </cell>
          <cell r="C5">
            <v>1.01</v>
          </cell>
          <cell r="D5">
            <v>1</v>
          </cell>
          <cell r="E5">
            <v>1.01</v>
          </cell>
        </row>
        <row r="6">
          <cell r="A6" t="str">
            <v>colorless</v>
          </cell>
          <cell r="B6">
            <v>1</v>
          </cell>
          <cell r="C6">
            <v>1</v>
          </cell>
          <cell r="D6">
            <v>1</v>
          </cell>
          <cell r="E6">
            <v>1</v>
          </cell>
        </row>
      </sheetData>
      <sheetData sheetId="3">
        <row r="1">
          <cell r="A1" t="str">
            <v>character_id</v>
          </cell>
          <cell r="B1" t="str">
            <v>language</v>
          </cell>
          <cell r="C1" t="str">
            <v>name</v>
          </cell>
          <cell r="D1" t="str">
            <v>特徴</v>
          </cell>
          <cell r="E1" t="str">
            <v>勢力</v>
          </cell>
          <cell r="F1" t="str">
            <v>訴求軸</v>
          </cell>
          <cell r="G1" t="str">
            <v>性別</v>
          </cell>
          <cell r="H1" t="str">
            <v>color</v>
          </cell>
          <cell r="I1" t="str">
            <v>rare</v>
          </cell>
          <cell r="J1" t="str">
            <v>drop_label</v>
          </cell>
          <cell r="K1" t="str">
            <v>character_type_id</v>
          </cell>
          <cell r="L1" t="str">
            <v>name</v>
          </cell>
          <cell r="M1" t="str">
            <v>character_main_tribe_id</v>
          </cell>
          <cell r="N1" t="str">
            <v>name</v>
          </cell>
          <cell r="O1" t="str">
            <v>character_sub_tribe_id</v>
          </cell>
          <cell r="P1" t="str">
            <v>name</v>
          </cell>
          <cell r="Q1" t="str">
            <v>スキルタイプ</v>
          </cell>
          <cell r="R1" t="str">
            <v>valid_flg</v>
          </cell>
          <cell r="S1" t="str">
            <v>category</v>
          </cell>
          <cell r="T1" t="str">
            <v>awaketype</v>
          </cell>
          <cell r="U1" t="str">
            <v>flavor_text</v>
          </cell>
          <cell r="V1" t="str">
            <v>obtain_message</v>
          </cell>
          <cell r="W1" t="str">
            <v>awaken_message</v>
          </cell>
        </row>
        <row r="2">
          <cell r="A2">
            <v>1</v>
          </cell>
          <cell r="B2" t="str">
            <v>ja</v>
          </cell>
          <cell r="C2" t="str">
            <v>ジェリー</v>
          </cell>
        </row>
        <row r="3">
          <cell r="A3">
            <v>2</v>
          </cell>
          <cell r="B3" t="str">
            <v>ja</v>
          </cell>
          <cell r="C3" t="str">
            <v>イレギュラー・ジェリー</v>
          </cell>
        </row>
        <row r="4">
          <cell r="A4">
            <v>3</v>
          </cell>
          <cell r="B4" t="str">
            <v>ja</v>
          </cell>
          <cell r="C4" t="str">
            <v>エージェント ジョー</v>
          </cell>
        </row>
        <row r="5">
          <cell r="A5">
            <v>4</v>
          </cell>
          <cell r="B5" t="str">
            <v>ja</v>
          </cell>
          <cell r="C5" t="str">
            <v>エースエージェント ジョー</v>
          </cell>
        </row>
        <row r="6">
          <cell r="A6">
            <v>5</v>
          </cell>
          <cell r="B6" t="str">
            <v>ja</v>
          </cell>
          <cell r="C6" t="str">
            <v>パトドッグ ポチ</v>
          </cell>
        </row>
        <row r="7">
          <cell r="A7">
            <v>6</v>
          </cell>
          <cell r="B7" t="str">
            <v>ja</v>
          </cell>
          <cell r="C7" t="str">
            <v>パトドッグリーダー ポチ</v>
          </cell>
        </row>
        <row r="8">
          <cell r="A8">
            <v>7</v>
          </cell>
          <cell r="B8" t="str">
            <v>ja</v>
          </cell>
          <cell r="C8" t="str">
            <v>エレキポット</v>
          </cell>
        </row>
        <row r="9">
          <cell r="A9">
            <v>8</v>
          </cell>
          <cell r="B9" t="str">
            <v>ja</v>
          </cell>
          <cell r="C9" t="str">
            <v>ハイボルテージ エレキポット</v>
          </cell>
        </row>
        <row r="10">
          <cell r="A10">
            <v>9</v>
          </cell>
          <cell r="B10" t="str">
            <v>ja</v>
          </cell>
          <cell r="C10" t="str">
            <v>ブレット</v>
          </cell>
        </row>
        <row r="11">
          <cell r="A11">
            <v>10</v>
          </cell>
          <cell r="B11" t="str">
            <v>ja</v>
          </cell>
          <cell r="C11" t="str">
            <v>燃える悪戯魂 ブレット</v>
          </cell>
        </row>
        <row r="12">
          <cell r="A12">
            <v>11</v>
          </cell>
          <cell r="B12" t="str">
            <v>ja</v>
          </cell>
          <cell r="C12" t="str">
            <v>マグリット</v>
          </cell>
        </row>
        <row r="13">
          <cell r="A13">
            <v>12</v>
          </cell>
          <cell r="B13" t="str">
            <v>ja</v>
          </cell>
          <cell r="C13" t="str">
            <v>癒しのグラフィティ マグリット</v>
          </cell>
        </row>
        <row r="14">
          <cell r="A14">
            <v>13</v>
          </cell>
          <cell r="B14" t="str">
            <v>ja</v>
          </cell>
          <cell r="C14" t="str">
            <v>ミミ</v>
          </cell>
        </row>
        <row r="15">
          <cell r="A15">
            <v>14</v>
          </cell>
          <cell r="B15" t="str">
            <v>ja</v>
          </cell>
          <cell r="C15" t="str">
            <v>ミミ・ザ・ガンマンキャット</v>
          </cell>
        </row>
        <row r="16">
          <cell r="A16">
            <v>15</v>
          </cell>
          <cell r="B16" t="str">
            <v>ja</v>
          </cell>
          <cell r="C16" t="str">
            <v>アカネ</v>
          </cell>
        </row>
        <row r="17">
          <cell r="A17">
            <v>16</v>
          </cell>
          <cell r="B17" t="str">
            <v>ja</v>
          </cell>
          <cell r="C17" t="str">
            <v>炎戦少女 アカネ</v>
          </cell>
        </row>
        <row r="18">
          <cell r="A18">
            <v>17</v>
          </cell>
          <cell r="B18" t="str">
            <v>ja</v>
          </cell>
          <cell r="C18" t="str">
            <v>リム</v>
          </cell>
        </row>
        <row r="19">
          <cell r="A19">
            <v>18</v>
          </cell>
          <cell r="B19" t="str">
            <v>ja</v>
          </cell>
          <cell r="C19" t="str">
            <v>戦闘案内人 リム</v>
          </cell>
        </row>
        <row r="20">
          <cell r="A20">
            <v>19</v>
          </cell>
          <cell r="B20" t="str">
            <v>ja</v>
          </cell>
          <cell r="C20" t="str">
            <v>ティンク</v>
          </cell>
        </row>
        <row r="21">
          <cell r="A21">
            <v>20</v>
          </cell>
          <cell r="B21" t="str">
            <v>ja</v>
          </cell>
          <cell r="C21" t="str">
            <v>電子妖精 ティンク</v>
          </cell>
        </row>
        <row r="22">
          <cell r="A22">
            <v>21</v>
          </cell>
          <cell r="B22" t="str">
            <v>ja</v>
          </cell>
          <cell r="C22" t="str">
            <v>ヴェロキー</v>
          </cell>
        </row>
        <row r="23">
          <cell r="A23">
            <v>22</v>
          </cell>
          <cell r="B23" t="str">
            <v>ja</v>
          </cell>
          <cell r="C23" t="str">
            <v>突然変異ヴェロキー</v>
          </cell>
        </row>
        <row r="24">
          <cell r="A24">
            <v>23</v>
          </cell>
          <cell r="B24" t="str">
            <v>ja</v>
          </cell>
          <cell r="C24" t="str">
            <v>ミール</v>
          </cell>
        </row>
        <row r="25">
          <cell r="A25">
            <v>24</v>
          </cell>
          <cell r="B25" t="str">
            <v>ja</v>
          </cell>
          <cell r="C25" t="str">
            <v>天翔のミール</v>
          </cell>
        </row>
        <row r="26">
          <cell r="A26">
            <v>25</v>
          </cell>
          <cell r="B26" t="str">
            <v>ja</v>
          </cell>
          <cell r="C26" t="str">
            <v>ハチ</v>
          </cell>
        </row>
        <row r="27">
          <cell r="A27">
            <v>26</v>
          </cell>
          <cell r="B27" t="str">
            <v>ja</v>
          </cell>
          <cell r="C27" t="str">
            <v>勇犬 ハチ</v>
          </cell>
        </row>
        <row r="28">
          <cell r="A28">
            <v>27</v>
          </cell>
          <cell r="B28" t="str">
            <v>ja</v>
          </cell>
          <cell r="C28" t="str">
            <v>パトライン</v>
          </cell>
        </row>
        <row r="29">
          <cell r="A29">
            <v>28</v>
          </cell>
          <cell r="B29" t="str">
            <v>ja</v>
          </cell>
          <cell r="C29" t="str">
            <v>現場急行 パトラインカスタム</v>
          </cell>
        </row>
        <row r="30">
          <cell r="A30">
            <v>29</v>
          </cell>
          <cell r="B30" t="str">
            <v>ja</v>
          </cell>
          <cell r="C30" t="str">
            <v>スケアクロウ</v>
          </cell>
        </row>
        <row r="31">
          <cell r="A31">
            <v>30</v>
          </cell>
          <cell r="B31" t="str">
            <v>ja</v>
          </cell>
          <cell r="C31" t="str">
            <v>護衛機人 スケアクロウ</v>
          </cell>
        </row>
        <row r="32">
          <cell r="A32">
            <v>31</v>
          </cell>
          <cell r="B32" t="str">
            <v>ja</v>
          </cell>
          <cell r="C32" t="str">
            <v>マービー</v>
          </cell>
        </row>
        <row r="33">
          <cell r="A33">
            <v>32</v>
          </cell>
          <cell r="B33" t="str">
            <v>ja</v>
          </cell>
          <cell r="C33" t="str">
            <v>沈黙のジャミング マービー</v>
          </cell>
        </row>
        <row r="34">
          <cell r="A34">
            <v>33</v>
          </cell>
          <cell r="B34" t="str">
            <v>ja</v>
          </cell>
          <cell r="C34" t="str">
            <v>ゴクウ</v>
          </cell>
        </row>
        <row r="35">
          <cell r="A35">
            <v>34</v>
          </cell>
          <cell r="B35" t="str">
            <v>ja</v>
          </cell>
          <cell r="C35" t="str">
            <v>斉天大聖 ゴクウ</v>
          </cell>
        </row>
        <row r="36">
          <cell r="A36">
            <v>35</v>
          </cell>
          <cell r="B36" t="str">
            <v>ja</v>
          </cell>
          <cell r="C36" t="str">
            <v>F2</v>
          </cell>
        </row>
        <row r="37">
          <cell r="A37">
            <v>36</v>
          </cell>
          <cell r="B37" t="str">
            <v>ja</v>
          </cell>
          <cell r="C37" t="str">
            <v>オフィス追尾型移動地雷F3</v>
          </cell>
        </row>
        <row r="38">
          <cell r="A38">
            <v>37</v>
          </cell>
          <cell r="B38" t="str">
            <v>ja</v>
          </cell>
          <cell r="C38" t="str">
            <v>ガイル</v>
          </cell>
        </row>
        <row r="39">
          <cell r="A39">
            <v>38</v>
          </cell>
          <cell r="B39" t="str">
            <v>ja</v>
          </cell>
          <cell r="C39" t="str">
            <v>通話対応型 ガイル</v>
          </cell>
        </row>
        <row r="40">
          <cell r="A40">
            <v>39</v>
          </cell>
          <cell r="B40" t="str">
            <v>ja</v>
          </cell>
          <cell r="C40" t="str">
            <v>マーロン</v>
          </cell>
        </row>
        <row r="41">
          <cell r="A41">
            <v>40</v>
          </cell>
          <cell r="B41" t="str">
            <v>ja</v>
          </cell>
          <cell r="C41" t="str">
            <v>デジタルマジシャン マーロン</v>
          </cell>
        </row>
        <row r="42">
          <cell r="A42">
            <v>41</v>
          </cell>
          <cell r="B42" t="str">
            <v>ja</v>
          </cell>
          <cell r="C42" t="str">
            <v>ヒュウガ</v>
          </cell>
        </row>
        <row r="43">
          <cell r="A43">
            <v>42</v>
          </cell>
          <cell r="B43" t="str">
            <v>ja</v>
          </cell>
          <cell r="C43" t="str">
            <v>燃えゆる吐息 ヒュウガ</v>
          </cell>
        </row>
        <row r="44">
          <cell r="A44">
            <v>43</v>
          </cell>
          <cell r="B44" t="str">
            <v>ja</v>
          </cell>
          <cell r="C44" t="str">
            <v>ムゥ</v>
          </cell>
        </row>
        <row r="45">
          <cell r="A45">
            <v>44</v>
          </cell>
          <cell r="B45" t="str">
            <v>ja</v>
          </cell>
          <cell r="C45" t="str">
            <v>遠い星からやってきたムゥ</v>
          </cell>
        </row>
        <row r="46">
          <cell r="A46">
            <v>45</v>
          </cell>
          <cell r="B46" t="str">
            <v>ja</v>
          </cell>
          <cell r="C46" t="str">
            <v>ショウイン</v>
          </cell>
        </row>
        <row r="47">
          <cell r="A47">
            <v>46</v>
          </cell>
          <cell r="B47" t="str">
            <v>ja</v>
          </cell>
          <cell r="C47" t="str">
            <v>微笑みの筆跡 ショウイン</v>
          </cell>
        </row>
        <row r="48">
          <cell r="A48">
            <v>47</v>
          </cell>
          <cell r="B48" t="str">
            <v>ja</v>
          </cell>
          <cell r="C48" t="str">
            <v>ヒロ</v>
          </cell>
        </row>
        <row r="49">
          <cell r="A49">
            <v>48</v>
          </cell>
          <cell r="B49" t="str">
            <v>ja</v>
          </cell>
          <cell r="C49" t="str">
            <v>サンダーステップのヒロ</v>
          </cell>
        </row>
        <row r="50">
          <cell r="A50">
            <v>49</v>
          </cell>
          <cell r="B50" t="str">
            <v>ja</v>
          </cell>
          <cell r="C50" t="str">
            <v>ヨシタカ</v>
          </cell>
        </row>
        <row r="51">
          <cell r="A51">
            <v>50</v>
          </cell>
          <cell r="B51" t="str">
            <v>ja</v>
          </cell>
          <cell r="C51" t="str">
            <v>炎銃のレジスタンス ヨシタカ</v>
          </cell>
        </row>
        <row r="52">
          <cell r="A52">
            <v>51</v>
          </cell>
          <cell r="B52" t="str">
            <v>ja</v>
          </cell>
          <cell r="C52" t="str">
            <v>マイ</v>
          </cell>
        </row>
        <row r="53">
          <cell r="A53">
            <v>52</v>
          </cell>
          <cell r="B53" t="str">
            <v>ja</v>
          </cell>
          <cell r="C53" t="str">
            <v>翠槍のレジスタンス マイ</v>
          </cell>
        </row>
        <row r="54">
          <cell r="A54">
            <v>53</v>
          </cell>
          <cell r="B54" t="str">
            <v>ja</v>
          </cell>
          <cell r="C54" t="str">
            <v>ケンジ</v>
          </cell>
        </row>
        <row r="55">
          <cell r="A55">
            <v>54</v>
          </cell>
          <cell r="B55" t="str">
            <v>ja</v>
          </cell>
          <cell r="C55" t="str">
            <v>蒼斬のレジスタンス ケンジ</v>
          </cell>
        </row>
        <row r="56">
          <cell r="A56">
            <v>55</v>
          </cell>
          <cell r="B56" t="str">
            <v>ja</v>
          </cell>
          <cell r="C56" t="str">
            <v>マミコ</v>
          </cell>
        </row>
        <row r="57">
          <cell r="A57">
            <v>56</v>
          </cell>
          <cell r="B57" t="str">
            <v>ja</v>
          </cell>
          <cell r="C57" t="str">
            <v>黄槌のレジスタンス マミコ</v>
          </cell>
        </row>
        <row r="58">
          <cell r="A58">
            <v>57</v>
          </cell>
          <cell r="B58" t="str">
            <v>ja</v>
          </cell>
          <cell r="C58" t="str">
            <v>チェン・リー</v>
          </cell>
        </row>
        <row r="59">
          <cell r="A59">
            <v>58</v>
          </cell>
          <cell r="B59" t="str">
            <v>ja</v>
          </cell>
          <cell r="C59" t="str">
            <v>ドランクマスター チェン・リー</v>
          </cell>
        </row>
        <row r="60">
          <cell r="A60">
            <v>59</v>
          </cell>
          <cell r="B60" t="str">
            <v>ja</v>
          </cell>
          <cell r="C60" t="str">
            <v>マーチ</v>
          </cell>
        </row>
        <row r="61">
          <cell r="A61">
            <v>60</v>
          </cell>
          <cell r="B61" t="str">
            <v>ja</v>
          </cell>
          <cell r="C61" t="str">
            <v>おでかけマーチ</v>
          </cell>
        </row>
        <row r="62">
          <cell r="A62">
            <v>61</v>
          </cell>
          <cell r="B62" t="str">
            <v>ja</v>
          </cell>
          <cell r="C62" t="str">
            <v>クロウ</v>
          </cell>
        </row>
        <row r="63">
          <cell r="A63">
            <v>62</v>
          </cell>
          <cell r="B63" t="str">
            <v>ja</v>
          </cell>
          <cell r="C63" t="str">
            <v>脈動旋律のクロウ</v>
          </cell>
        </row>
        <row r="64">
          <cell r="A64">
            <v>63</v>
          </cell>
          <cell r="B64" t="str">
            <v>ja</v>
          </cell>
          <cell r="C64" t="str">
            <v>トニー</v>
          </cell>
        </row>
        <row r="65">
          <cell r="A65">
            <v>64</v>
          </cell>
          <cell r="B65" t="str">
            <v>ja</v>
          </cell>
          <cell r="C65" t="str">
            <v>フレイムエッジ トニー</v>
          </cell>
        </row>
        <row r="66">
          <cell r="A66">
            <v>65</v>
          </cell>
          <cell r="B66" t="str">
            <v>ja</v>
          </cell>
          <cell r="C66" t="str">
            <v>ファイアフォックス</v>
          </cell>
        </row>
        <row r="67">
          <cell r="A67">
            <v>66</v>
          </cell>
          <cell r="B67" t="str">
            <v>ja</v>
          </cell>
          <cell r="C67" t="str">
            <v>探索者 ファイアフォックス</v>
          </cell>
        </row>
        <row r="68">
          <cell r="A68">
            <v>67</v>
          </cell>
          <cell r="B68" t="str">
            <v>ja</v>
          </cell>
          <cell r="C68" t="str">
            <v>双炎の探索者 ファイアフォックス</v>
          </cell>
        </row>
        <row r="69">
          <cell r="A69">
            <v>68</v>
          </cell>
          <cell r="B69" t="str">
            <v>ja</v>
          </cell>
          <cell r="C69" t="str">
            <v>ストール</v>
          </cell>
        </row>
        <row r="70">
          <cell r="A70">
            <v>69</v>
          </cell>
          <cell r="B70" t="str">
            <v>ja</v>
          </cell>
          <cell r="C70" t="str">
            <v>思想家 ストール</v>
          </cell>
        </row>
        <row r="71">
          <cell r="A71">
            <v>70</v>
          </cell>
          <cell r="B71" t="str">
            <v>ja</v>
          </cell>
          <cell r="C71" t="str">
            <v>自由の思想家 ストール</v>
          </cell>
        </row>
        <row r="72">
          <cell r="A72">
            <v>71</v>
          </cell>
          <cell r="B72" t="str">
            <v>ja</v>
          </cell>
          <cell r="C72" t="str">
            <v>ダックス</v>
          </cell>
        </row>
        <row r="73">
          <cell r="A73">
            <v>72</v>
          </cell>
          <cell r="B73" t="str">
            <v>ja</v>
          </cell>
          <cell r="C73" t="str">
            <v>探求者 ダックス</v>
          </cell>
        </row>
        <row r="74">
          <cell r="A74">
            <v>73</v>
          </cell>
          <cell r="B74" t="str">
            <v>ja</v>
          </cell>
          <cell r="C74" t="str">
            <v>自由の探求者 ダックス</v>
          </cell>
        </row>
        <row r="75">
          <cell r="A75">
            <v>74</v>
          </cell>
          <cell r="B75" t="str">
            <v>ja</v>
          </cell>
          <cell r="C75" t="str">
            <v>サンダーバード</v>
          </cell>
        </row>
        <row r="76">
          <cell r="A76">
            <v>75</v>
          </cell>
          <cell r="B76" t="str">
            <v>ja</v>
          </cell>
          <cell r="C76" t="str">
            <v>伝令者 サンダーバード</v>
          </cell>
        </row>
        <row r="77">
          <cell r="A77">
            <v>76</v>
          </cell>
          <cell r="B77" t="str">
            <v>ja</v>
          </cell>
          <cell r="C77" t="str">
            <v>閃速の伝令者 サンダーバード</v>
          </cell>
        </row>
        <row r="78">
          <cell r="A78">
            <v>77</v>
          </cell>
          <cell r="B78" t="str">
            <v>ja</v>
          </cell>
          <cell r="C78" t="str">
            <v>潜伏型メリッサ</v>
          </cell>
        </row>
        <row r="79">
          <cell r="A79">
            <v>78</v>
          </cell>
          <cell r="B79" t="str">
            <v>ja</v>
          </cell>
          <cell r="C79" t="str">
            <v>擬態潜伏型メリッサ2.0</v>
          </cell>
        </row>
        <row r="80">
          <cell r="A80">
            <v>79</v>
          </cell>
          <cell r="B80" t="str">
            <v>ja</v>
          </cell>
          <cell r="C80" t="str">
            <v>ハッピー100</v>
          </cell>
        </row>
        <row r="81">
          <cell r="A81">
            <v>80</v>
          </cell>
          <cell r="B81" t="str">
            <v>ja</v>
          </cell>
          <cell r="C81" t="str">
            <v>ハッピー101</v>
          </cell>
        </row>
        <row r="82">
          <cell r="A82">
            <v>81</v>
          </cell>
          <cell r="B82" t="str">
            <v>ja</v>
          </cell>
          <cell r="C82" t="str">
            <v>増幅型モリス</v>
          </cell>
        </row>
        <row r="83">
          <cell r="A83">
            <v>82</v>
          </cell>
          <cell r="B83" t="str">
            <v>ja</v>
          </cell>
          <cell r="C83" t="str">
            <v>偽装増幅型G・モリス</v>
          </cell>
        </row>
        <row r="84">
          <cell r="A84">
            <v>83</v>
          </cell>
          <cell r="B84" t="str">
            <v>ja</v>
          </cell>
          <cell r="C84" t="str">
            <v>拡散性ニムダ</v>
          </cell>
        </row>
        <row r="85">
          <cell r="A85">
            <v>84</v>
          </cell>
          <cell r="B85" t="str">
            <v>ja</v>
          </cell>
          <cell r="C85" t="str">
            <v>高速拡散性ニムダE</v>
          </cell>
        </row>
        <row r="86">
          <cell r="A86">
            <v>85</v>
          </cell>
          <cell r="B86" t="str">
            <v>ja</v>
          </cell>
          <cell r="C86" t="str">
            <v>朱雀</v>
          </cell>
        </row>
        <row r="87">
          <cell r="A87">
            <v>86</v>
          </cell>
          <cell r="B87" t="str">
            <v>ja</v>
          </cell>
          <cell r="C87" t="str">
            <v>守護者 朱雀</v>
          </cell>
        </row>
        <row r="88">
          <cell r="A88">
            <v>87</v>
          </cell>
          <cell r="B88" t="str">
            <v>ja</v>
          </cell>
          <cell r="C88" t="str">
            <v>朱南の守護神 朱雀</v>
          </cell>
        </row>
        <row r="89">
          <cell r="A89">
            <v>88</v>
          </cell>
          <cell r="B89" t="str">
            <v>ja</v>
          </cell>
          <cell r="C89" t="str">
            <v>玄武</v>
          </cell>
        </row>
        <row r="90">
          <cell r="A90">
            <v>89</v>
          </cell>
          <cell r="B90" t="str">
            <v>ja</v>
          </cell>
          <cell r="C90" t="str">
            <v>守護者 玄武</v>
          </cell>
        </row>
        <row r="91">
          <cell r="A91">
            <v>90</v>
          </cell>
          <cell r="B91" t="str">
            <v>ja</v>
          </cell>
          <cell r="C91" t="str">
            <v>翠北の守護神 玄武</v>
          </cell>
        </row>
        <row r="92">
          <cell r="A92">
            <v>91</v>
          </cell>
          <cell r="B92" t="str">
            <v>ja</v>
          </cell>
          <cell r="C92" t="str">
            <v>青龍</v>
          </cell>
        </row>
        <row r="93">
          <cell r="A93">
            <v>92</v>
          </cell>
          <cell r="B93" t="str">
            <v>ja</v>
          </cell>
          <cell r="C93" t="str">
            <v>守護者 青龍</v>
          </cell>
        </row>
        <row r="94">
          <cell r="A94">
            <v>93</v>
          </cell>
          <cell r="B94" t="str">
            <v>ja</v>
          </cell>
          <cell r="C94" t="str">
            <v>碧東の守護神 青龍</v>
          </cell>
        </row>
        <row r="95">
          <cell r="A95">
            <v>94</v>
          </cell>
          <cell r="B95" t="str">
            <v>ja</v>
          </cell>
          <cell r="C95" t="str">
            <v>白虎</v>
          </cell>
        </row>
        <row r="96">
          <cell r="A96">
            <v>95</v>
          </cell>
          <cell r="B96" t="str">
            <v>ja</v>
          </cell>
          <cell r="C96" t="str">
            <v>守護者 白虎</v>
          </cell>
        </row>
        <row r="97">
          <cell r="A97">
            <v>96</v>
          </cell>
          <cell r="B97" t="str">
            <v>ja</v>
          </cell>
          <cell r="C97" t="str">
            <v>金西の守護神 白虎</v>
          </cell>
        </row>
        <row r="98">
          <cell r="A98">
            <v>97</v>
          </cell>
          <cell r="B98" t="str">
            <v>ja</v>
          </cell>
          <cell r="C98" t="str">
            <v>炎のミリオンダック</v>
          </cell>
        </row>
        <row r="99">
          <cell r="A99">
            <v>98</v>
          </cell>
          <cell r="B99" t="str">
            <v>ja</v>
          </cell>
          <cell r="C99" t="str">
            <v>森のミリオンダック</v>
          </cell>
        </row>
        <row r="100">
          <cell r="A100">
            <v>99</v>
          </cell>
          <cell r="B100" t="str">
            <v>ja</v>
          </cell>
          <cell r="C100" t="str">
            <v>水のミリオンダック</v>
          </cell>
        </row>
        <row r="101">
          <cell r="A101">
            <v>100</v>
          </cell>
          <cell r="B101" t="str">
            <v>ja</v>
          </cell>
          <cell r="C101" t="str">
            <v>雷のミリオンダック</v>
          </cell>
        </row>
        <row r="102">
          <cell r="A102">
            <v>101</v>
          </cell>
          <cell r="B102" t="str">
            <v>ja</v>
          </cell>
          <cell r="C102" t="str">
            <v>レッドチェシャ</v>
          </cell>
        </row>
        <row r="103">
          <cell r="A103">
            <v>102</v>
          </cell>
          <cell r="B103" t="str">
            <v>ja</v>
          </cell>
          <cell r="C103" t="str">
            <v>レッドラビット</v>
          </cell>
        </row>
        <row r="104">
          <cell r="A104">
            <v>103</v>
          </cell>
          <cell r="B104" t="str">
            <v>ja</v>
          </cell>
          <cell r="C104" t="str">
            <v>レッドキャタップ</v>
          </cell>
        </row>
        <row r="105">
          <cell r="A105">
            <v>104</v>
          </cell>
          <cell r="B105" t="str">
            <v>ja</v>
          </cell>
          <cell r="C105" t="str">
            <v>炎のマッドハッター</v>
          </cell>
        </row>
        <row r="106">
          <cell r="A106">
            <v>105</v>
          </cell>
          <cell r="B106" t="str">
            <v>ja</v>
          </cell>
          <cell r="C106" t="str">
            <v>グリーンチェシャ</v>
          </cell>
        </row>
        <row r="107">
          <cell r="A107">
            <v>106</v>
          </cell>
          <cell r="B107" t="str">
            <v>ja</v>
          </cell>
          <cell r="C107" t="str">
            <v>グリーンラビット</v>
          </cell>
        </row>
        <row r="108">
          <cell r="A108">
            <v>107</v>
          </cell>
          <cell r="B108" t="str">
            <v>ja</v>
          </cell>
          <cell r="C108" t="str">
            <v>グリーンキャタップ</v>
          </cell>
        </row>
        <row r="109">
          <cell r="A109">
            <v>108</v>
          </cell>
          <cell r="B109" t="str">
            <v>ja</v>
          </cell>
          <cell r="C109" t="str">
            <v>森のマッドハッター</v>
          </cell>
        </row>
        <row r="110">
          <cell r="A110">
            <v>109</v>
          </cell>
          <cell r="B110" t="str">
            <v>ja</v>
          </cell>
          <cell r="C110" t="str">
            <v>ブルーチェシャ</v>
          </cell>
        </row>
        <row r="111">
          <cell r="A111">
            <v>110</v>
          </cell>
          <cell r="B111" t="str">
            <v>ja</v>
          </cell>
          <cell r="C111" t="str">
            <v>ブルーラビット</v>
          </cell>
        </row>
        <row r="112">
          <cell r="A112">
            <v>111</v>
          </cell>
          <cell r="B112" t="str">
            <v>ja</v>
          </cell>
          <cell r="C112" t="str">
            <v>ブルーキャタップ</v>
          </cell>
        </row>
        <row r="113">
          <cell r="A113">
            <v>112</v>
          </cell>
          <cell r="B113" t="str">
            <v>ja</v>
          </cell>
          <cell r="C113" t="str">
            <v>水のマッドハッター</v>
          </cell>
        </row>
        <row r="114">
          <cell r="A114">
            <v>113</v>
          </cell>
          <cell r="B114" t="str">
            <v>ja</v>
          </cell>
          <cell r="C114" t="str">
            <v>イエローチェシャ</v>
          </cell>
        </row>
        <row r="115">
          <cell r="A115">
            <v>114</v>
          </cell>
          <cell r="B115" t="str">
            <v>ja</v>
          </cell>
          <cell r="C115" t="str">
            <v>イエローラビット</v>
          </cell>
        </row>
        <row r="116">
          <cell r="A116">
            <v>115</v>
          </cell>
          <cell r="B116" t="str">
            <v>ja</v>
          </cell>
          <cell r="C116" t="str">
            <v>イエローキャタップ</v>
          </cell>
        </row>
        <row r="117">
          <cell r="A117">
            <v>116</v>
          </cell>
          <cell r="B117" t="str">
            <v>ja</v>
          </cell>
          <cell r="C117" t="str">
            <v>雷のマッドハッター</v>
          </cell>
        </row>
        <row r="118">
          <cell r="A118">
            <v>117</v>
          </cell>
          <cell r="B118" t="str">
            <v>ja</v>
          </cell>
          <cell r="C118" t="str">
            <v>ゴールドピヨピヨ</v>
          </cell>
        </row>
        <row r="119">
          <cell r="A119">
            <v>118</v>
          </cell>
          <cell r="B119" t="str">
            <v>ja</v>
          </cell>
          <cell r="C119" t="str">
            <v>ゴールドチック</v>
          </cell>
        </row>
        <row r="120">
          <cell r="A120">
            <v>119</v>
          </cell>
          <cell r="B120" t="str">
            <v>ja</v>
          </cell>
          <cell r="C120" t="str">
            <v>ゴールドダック</v>
          </cell>
        </row>
        <row r="121">
          <cell r="A121">
            <v>120</v>
          </cell>
          <cell r="B121" t="str">
            <v>ja</v>
          </cell>
          <cell r="C121" t="str">
            <v>ゴールドキング</v>
          </cell>
        </row>
        <row r="122">
          <cell r="A122">
            <v>121</v>
          </cell>
          <cell r="B122" t="str">
            <v>ja</v>
          </cell>
          <cell r="C122" t="str">
            <v>攻めの果実</v>
          </cell>
        </row>
        <row r="123">
          <cell r="A123">
            <v>122</v>
          </cell>
          <cell r="B123" t="str">
            <v>ja</v>
          </cell>
          <cell r="C123" t="str">
            <v>生命の果実</v>
          </cell>
        </row>
        <row r="124">
          <cell r="A124">
            <v>123</v>
          </cell>
          <cell r="B124" t="str">
            <v>ja</v>
          </cell>
          <cell r="C124" t="str">
            <v>癒しの果実</v>
          </cell>
        </row>
        <row r="125">
          <cell r="A125">
            <v>124</v>
          </cell>
          <cell r="B125" t="str">
            <v>ja</v>
          </cell>
          <cell r="C125" t="str">
            <v>黄金の果実</v>
          </cell>
        </row>
        <row r="126">
          <cell r="A126">
            <v>125</v>
          </cell>
          <cell r="B126" t="str">
            <v>ja</v>
          </cell>
          <cell r="C126" t="str">
            <v>秘術の果実</v>
          </cell>
        </row>
        <row r="127">
          <cell r="A127">
            <v>126</v>
          </cell>
          <cell r="B127" t="str">
            <v>ja</v>
          </cell>
          <cell r="C127" t="str">
            <v>骨器使い ユノ</v>
          </cell>
        </row>
        <row r="128">
          <cell r="A128">
            <v>127</v>
          </cell>
          <cell r="B128" t="str">
            <v>ja</v>
          </cell>
          <cell r="C128" t="str">
            <v>狂喜の賢者 ユノ</v>
          </cell>
        </row>
        <row r="129">
          <cell r="A129">
            <v>128</v>
          </cell>
          <cell r="B129" t="str">
            <v>ja</v>
          </cell>
          <cell r="C129" t="str">
            <v>野生児 アマラ</v>
          </cell>
        </row>
        <row r="130">
          <cell r="A130">
            <v>129</v>
          </cell>
          <cell r="B130" t="str">
            <v>ja</v>
          </cell>
          <cell r="C130" t="str">
            <v>孤高の狼憑き アマラ</v>
          </cell>
        </row>
        <row r="131">
          <cell r="A131">
            <v>130</v>
          </cell>
          <cell r="B131" t="str">
            <v>ja</v>
          </cell>
          <cell r="C131" t="str">
            <v>狼男 ローレンス</v>
          </cell>
        </row>
        <row r="132">
          <cell r="A132">
            <v>131</v>
          </cell>
          <cell r="B132" t="str">
            <v>ja</v>
          </cell>
          <cell r="C132" t="str">
            <v>月下の人狼 ローレンス</v>
          </cell>
        </row>
        <row r="133">
          <cell r="A133">
            <v>132</v>
          </cell>
          <cell r="B133" t="str">
            <v>ja</v>
          </cell>
          <cell r="C133" t="str">
            <v>鳥人ハヤト</v>
          </cell>
        </row>
        <row r="134">
          <cell r="A134">
            <v>133</v>
          </cell>
          <cell r="B134" t="str">
            <v>ja</v>
          </cell>
          <cell r="C134" t="str">
            <v>迅雷の刀剣 ハヤト</v>
          </cell>
        </row>
        <row r="135">
          <cell r="A135">
            <v>134</v>
          </cell>
          <cell r="B135" t="str">
            <v>ja</v>
          </cell>
          <cell r="C135" t="str">
            <v>妖炎の夕霧</v>
          </cell>
        </row>
        <row r="136">
          <cell r="A136">
            <v>135</v>
          </cell>
          <cell r="B136" t="str">
            <v>ja</v>
          </cell>
          <cell r="C136" t="str">
            <v>京の炎華夕霧</v>
          </cell>
        </row>
        <row r="137">
          <cell r="A137">
            <v>136</v>
          </cell>
          <cell r="B137" t="str">
            <v>ja</v>
          </cell>
          <cell r="C137" t="str">
            <v>お針子チハヤ</v>
          </cell>
        </row>
        <row r="138">
          <cell r="A138">
            <v>137</v>
          </cell>
          <cell r="B138" t="str">
            <v>ja</v>
          </cell>
          <cell r="C138" t="str">
            <v>清福の仕立屋 チハヤ</v>
          </cell>
        </row>
        <row r="139">
          <cell r="A139">
            <v>138</v>
          </cell>
          <cell r="B139" t="str">
            <v>ja</v>
          </cell>
          <cell r="C139" t="str">
            <v>蒼薙のトモエ</v>
          </cell>
        </row>
        <row r="140">
          <cell r="A140">
            <v>139</v>
          </cell>
          <cell r="B140" t="str">
            <v>ja</v>
          </cell>
          <cell r="C140" t="str">
            <v>蒼昇刃姫 トモエ</v>
          </cell>
        </row>
        <row r="141">
          <cell r="A141">
            <v>140</v>
          </cell>
          <cell r="B141" t="str">
            <v>ja</v>
          </cell>
          <cell r="C141" t="str">
            <v>秋祭のタマモ</v>
          </cell>
        </row>
        <row r="142">
          <cell r="A142">
            <v>141</v>
          </cell>
          <cell r="B142" t="str">
            <v>ja</v>
          </cell>
          <cell r="C142" t="str">
            <v>妖狐演舞 タマモ</v>
          </cell>
        </row>
        <row r="143">
          <cell r="A143">
            <v>142</v>
          </cell>
          <cell r="B143" t="str">
            <v>ja</v>
          </cell>
          <cell r="C143" t="str">
            <v>赤ずきん</v>
          </cell>
        </row>
        <row r="144">
          <cell r="A144">
            <v>143</v>
          </cell>
          <cell r="B144" t="str">
            <v>ja</v>
          </cell>
          <cell r="C144" t="str">
            <v>深紅の死神 赤ずきん</v>
          </cell>
        </row>
        <row r="145">
          <cell r="A145">
            <v>144</v>
          </cell>
          <cell r="B145" t="str">
            <v>ja</v>
          </cell>
          <cell r="C145" t="str">
            <v>かぐや</v>
          </cell>
        </row>
        <row r="146">
          <cell r="A146">
            <v>145</v>
          </cell>
          <cell r="B146" t="str">
            <v>ja</v>
          </cell>
          <cell r="C146" t="str">
            <v>魔性妖艶 かぐや</v>
          </cell>
        </row>
        <row r="147">
          <cell r="A147">
            <v>146</v>
          </cell>
          <cell r="B147" t="str">
            <v>ja</v>
          </cell>
          <cell r="C147" t="str">
            <v>マーメイド</v>
          </cell>
        </row>
        <row r="148">
          <cell r="A148">
            <v>147</v>
          </cell>
          <cell r="B148" t="str">
            <v>ja</v>
          </cell>
          <cell r="C148" t="str">
            <v>蒼き閃光 元マーメイド</v>
          </cell>
        </row>
        <row r="149">
          <cell r="A149">
            <v>148</v>
          </cell>
          <cell r="B149" t="str">
            <v>ja</v>
          </cell>
          <cell r="C149" t="str">
            <v>シンデレラ</v>
          </cell>
        </row>
        <row r="150">
          <cell r="A150">
            <v>149</v>
          </cell>
          <cell r="B150" t="str">
            <v>ja</v>
          </cell>
          <cell r="C150" t="str">
            <v>雷撃蹴技を極めし者 シンデレラ</v>
          </cell>
        </row>
        <row r="151">
          <cell r="A151">
            <v>150</v>
          </cell>
          <cell r="B151" t="str">
            <v>ja</v>
          </cell>
          <cell r="C151" t="str">
            <v>ポイズンマスターサキ</v>
          </cell>
        </row>
        <row r="152">
          <cell r="A152">
            <v>151</v>
          </cell>
          <cell r="B152" t="str">
            <v>ja</v>
          </cell>
          <cell r="C152" t="str">
            <v>毒煙の処刑人サキ</v>
          </cell>
        </row>
        <row r="153">
          <cell r="A153">
            <v>152</v>
          </cell>
          <cell r="B153" t="str">
            <v>ja</v>
          </cell>
          <cell r="C153" t="str">
            <v>功夫少女ランラン</v>
          </cell>
        </row>
        <row r="154">
          <cell r="A154">
            <v>153</v>
          </cell>
          <cell r="B154" t="str">
            <v>ja</v>
          </cell>
          <cell r="C154" t="str">
            <v>拳聖ランラン</v>
          </cell>
        </row>
        <row r="155">
          <cell r="A155">
            <v>154</v>
          </cell>
          <cell r="B155" t="str">
            <v>ja</v>
          </cell>
          <cell r="C155" t="str">
            <v>始末屋 ハンナ</v>
          </cell>
        </row>
        <row r="156">
          <cell r="A156">
            <v>155</v>
          </cell>
          <cell r="B156" t="str">
            <v>ja</v>
          </cell>
          <cell r="C156" t="str">
            <v>隻眼の掃除屋 ハンナ</v>
          </cell>
        </row>
        <row r="157">
          <cell r="A157">
            <v>156</v>
          </cell>
          <cell r="B157" t="str">
            <v>ja</v>
          </cell>
          <cell r="C157" t="str">
            <v>踊り子 エレナ</v>
          </cell>
        </row>
        <row r="158">
          <cell r="A158">
            <v>157</v>
          </cell>
          <cell r="B158" t="str">
            <v>ja</v>
          </cell>
          <cell r="C158" t="str">
            <v>雷光舞姫 エレナ</v>
          </cell>
        </row>
        <row r="159">
          <cell r="A159">
            <v>158</v>
          </cell>
          <cell r="B159" t="str">
            <v>ja</v>
          </cell>
          <cell r="C159" t="str">
            <v>シスター シャルロッテ</v>
          </cell>
        </row>
        <row r="160">
          <cell r="A160">
            <v>159</v>
          </cell>
          <cell r="B160" t="str">
            <v>ja</v>
          </cell>
          <cell r="C160" t="str">
            <v>邪を狩りし者 シャルロッテ</v>
          </cell>
        </row>
        <row r="161">
          <cell r="A161">
            <v>160</v>
          </cell>
          <cell r="B161" t="str">
            <v>ja</v>
          </cell>
          <cell r="C161" t="str">
            <v>反逆者 クリエ</v>
          </cell>
        </row>
        <row r="162">
          <cell r="A162">
            <v>161</v>
          </cell>
          <cell r="B162" t="str">
            <v>ja</v>
          </cell>
          <cell r="C162" t="str">
            <v>咆哮の先導者 クリエ</v>
          </cell>
        </row>
        <row r="163">
          <cell r="A163">
            <v>162</v>
          </cell>
          <cell r="B163" t="str">
            <v>ja</v>
          </cell>
          <cell r="C163" t="str">
            <v>狂女 クララ</v>
          </cell>
        </row>
        <row r="164">
          <cell r="A164">
            <v>163</v>
          </cell>
          <cell r="B164" t="str">
            <v>ja</v>
          </cell>
          <cell r="C164" t="str">
            <v>冷酷な狂嬢 クララ</v>
          </cell>
        </row>
        <row r="165">
          <cell r="A165">
            <v>164</v>
          </cell>
          <cell r="B165" t="str">
            <v>ja</v>
          </cell>
          <cell r="C165" t="str">
            <v>イブとトモダチ</v>
          </cell>
        </row>
        <row r="166">
          <cell r="A166">
            <v>165</v>
          </cell>
          <cell r="B166" t="str">
            <v>ja</v>
          </cell>
          <cell r="C166" t="str">
            <v>イブとたったひとりのトモダチ</v>
          </cell>
        </row>
        <row r="167">
          <cell r="A167">
            <v>166</v>
          </cell>
          <cell r="B167" t="str">
            <v>ja</v>
          </cell>
          <cell r="C167" t="str">
            <v>ベリアル</v>
          </cell>
        </row>
        <row r="168">
          <cell r="A168">
            <v>167</v>
          </cell>
          <cell r="B168" t="str">
            <v>ja</v>
          </cell>
          <cell r="C168" t="str">
            <v>逆徒 ベリアル</v>
          </cell>
        </row>
        <row r="169">
          <cell r="A169">
            <v>168</v>
          </cell>
          <cell r="B169" t="str">
            <v>ja</v>
          </cell>
          <cell r="C169" t="str">
            <v>猛進の大逆者 ベリアル</v>
          </cell>
        </row>
        <row r="170">
          <cell r="A170">
            <v>169</v>
          </cell>
          <cell r="B170" t="str">
            <v>ja</v>
          </cell>
          <cell r="C170" t="str">
            <v>オセ</v>
          </cell>
        </row>
        <row r="171">
          <cell r="A171">
            <v>170</v>
          </cell>
          <cell r="B171" t="str">
            <v>ja</v>
          </cell>
          <cell r="C171" t="str">
            <v>識徒 オセ</v>
          </cell>
        </row>
        <row r="172">
          <cell r="A172">
            <v>171</v>
          </cell>
          <cell r="B172" t="str">
            <v>ja</v>
          </cell>
          <cell r="C172" t="str">
            <v>精解の預知者 オセ</v>
          </cell>
        </row>
        <row r="173">
          <cell r="A173">
            <v>172</v>
          </cell>
          <cell r="B173" t="str">
            <v>ja</v>
          </cell>
          <cell r="C173" t="str">
            <v>フォルネウス</v>
          </cell>
        </row>
        <row r="174">
          <cell r="A174">
            <v>173</v>
          </cell>
          <cell r="B174" t="str">
            <v>ja</v>
          </cell>
          <cell r="C174" t="str">
            <v>公爵 フォルネウス</v>
          </cell>
        </row>
        <row r="175">
          <cell r="A175">
            <v>174</v>
          </cell>
          <cell r="B175" t="str">
            <v>ja</v>
          </cell>
          <cell r="C175" t="str">
            <v>偽愛の大公爵 フォルネウス</v>
          </cell>
        </row>
        <row r="176">
          <cell r="A176">
            <v>175</v>
          </cell>
          <cell r="B176" t="str">
            <v>ja</v>
          </cell>
          <cell r="C176" t="str">
            <v>バフォメット</v>
          </cell>
        </row>
        <row r="177">
          <cell r="A177">
            <v>176</v>
          </cell>
          <cell r="B177" t="str">
            <v>ja</v>
          </cell>
          <cell r="C177" t="str">
            <v>異教徒 バフォメット</v>
          </cell>
        </row>
        <row r="178">
          <cell r="A178">
            <v>177</v>
          </cell>
          <cell r="B178" t="str">
            <v>ja</v>
          </cell>
          <cell r="C178" t="str">
            <v>黒魔の異端師 バフォメット</v>
          </cell>
        </row>
        <row r="179">
          <cell r="A179">
            <v>178</v>
          </cell>
          <cell r="B179" t="str">
            <v>ja</v>
          </cell>
          <cell r="C179" t="str">
            <v>ケルベロス</v>
          </cell>
        </row>
        <row r="180">
          <cell r="A180">
            <v>179</v>
          </cell>
          <cell r="B180" t="str">
            <v>ja</v>
          </cell>
          <cell r="C180" t="str">
            <v>番犬 ケルベロス</v>
          </cell>
        </row>
        <row r="181">
          <cell r="A181">
            <v>180</v>
          </cell>
          <cell r="B181" t="str">
            <v>ja</v>
          </cell>
          <cell r="C181" t="str">
            <v>地獄の大門番 ケルベロス</v>
          </cell>
        </row>
        <row r="182">
          <cell r="A182">
            <v>181</v>
          </cell>
          <cell r="B182" t="str">
            <v>ja</v>
          </cell>
          <cell r="C182" t="str">
            <v>ベヒモス</v>
          </cell>
        </row>
        <row r="183">
          <cell r="A183">
            <v>182</v>
          </cell>
          <cell r="B183" t="str">
            <v>ja</v>
          </cell>
          <cell r="C183" t="str">
            <v>放蕩者 ベヒモス</v>
          </cell>
        </row>
        <row r="184">
          <cell r="A184">
            <v>183</v>
          </cell>
          <cell r="B184" t="str">
            <v>ja</v>
          </cell>
          <cell r="C184" t="str">
            <v>鈍重な彷徨者 ベヒモス</v>
          </cell>
        </row>
        <row r="185">
          <cell r="A185">
            <v>184</v>
          </cell>
          <cell r="B185" t="str">
            <v>ja</v>
          </cell>
          <cell r="C185" t="str">
            <v>クラーケン</v>
          </cell>
        </row>
        <row r="186">
          <cell r="A186">
            <v>185</v>
          </cell>
          <cell r="B186" t="str">
            <v>ja</v>
          </cell>
          <cell r="C186" t="str">
            <v>海姫 クラーケン</v>
          </cell>
        </row>
        <row r="187">
          <cell r="A187">
            <v>186</v>
          </cell>
          <cell r="B187" t="str">
            <v>ja</v>
          </cell>
          <cell r="C187" t="str">
            <v>誇り高き多触姫・クラーケン</v>
          </cell>
        </row>
        <row r="188">
          <cell r="A188">
            <v>187</v>
          </cell>
          <cell r="B188" t="str">
            <v>ja</v>
          </cell>
          <cell r="C188" t="str">
            <v>ホルス</v>
          </cell>
        </row>
        <row r="189">
          <cell r="A189">
            <v>188</v>
          </cell>
          <cell r="B189" t="str">
            <v>ja</v>
          </cell>
          <cell r="C189" t="str">
            <v>猛禽 ホルス</v>
          </cell>
        </row>
        <row r="190">
          <cell r="A190">
            <v>189</v>
          </cell>
          <cell r="B190" t="str">
            <v>ja</v>
          </cell>
          <cell r="C190" t="str">
            <v>迅雷の王禽 ホルス</v>
          </cell>
        </row>
        <row r="191">
          <cell r="A191">
            <v>190</v>
          </cell>
          <cell r="B191" t="str">
            <v>ja</v>
          </cell>
          <cell r="C191" t="str">
            <v>卑弥呼</v>
          </cell>
        </row>
        <row r="192">
          <cell r="A192">
            <v>191</v>
          </cell>
          <cell r="B192" t="str">
            <v>ja</v>
          </cell>
          <cell r="C192" t="str">
            <v>始祖 卑弥呼</v>
          </cell>
        </row>
        <row r="193">
          <cell r="A193">
            <v>192</v>
          </cell>
          <cell r="B193" t="str">
            <v>ja</v>
          </cell>
          <cell r="C193" t="str">
            <v>荘厳なる始祖帝 卑弥呼</v>
          </cell>
        </row>
        <row r="194">
          <cell r="A194">
            <v>193</v>
          </cell>
          <cell r="B194" t="str">
            <v>ja</v>
          </cell>
          <cell r="C194" t="str">
            <v>ロビンフッド</v>
          </cell>
        </row>
        <row r="195">
          <cell r="A195">
            <v>194</v>
          </cell>
          <cell r="B195" t="str">
            <v>ja</v>
          </cell>
          <cell r="C195" t="str">
            <v>スナイパー ロビンフッド</v>
          </cell>
        </row>
        <row r="196">
          <cell r="A196">
            <v>195</v>
          </cell>
          <cell r="B196" t="str">
            <v>ja</v>
          </cell>
          <cell r="C196" t="str">
            <v>グランドハンター ロビンフッド</v>
          </cell>
        </row>
        <row r="197">
          <cell r="A197">
            <v>196</v>
          </cell>
          <cell r="B197" t="str">
            <v>ja</v>
          </cell>
          <cell r="C197" t="str">
            <v>アキレス</v>
          </cell>
        </row>
        <row r="198">
          <cell r="A198">
            <v>197</v>
          </cell>
          <cell r="B198" t="str">
            <v>ja</v>
          </cell>
          <cell r="C198" t="str">
            <v>鉄腕 アキレス</v>
          </cell>
        </row>
        <row r="199">
          <cell r="A199">
            <v>198</v>
          </cell>
          <cell r="B199" t="str">
            <v>ja</v>
          </cell>
          <cell r="C199" t="str">
            <v>砕骨の剛腕 アキレス</v>
          </cell>
        </row>
        <row r="200">
          <cell r="A200">
            <v>199</v>
          </cell>
          <cell r="B200" t="str">
            <v>ja</v>
          </cell>
          <cell r="C200" t="str">
            <v>ジークフリート</v>
          </cell>
        </row>
        <row r="201">
          <cell r="A201">
            <v>200</v>
          </cell>
          <cell r="B201" t="str">
            <v>ja</v>
          </cell>
          <cell r="C201" t="str">
            <v>大剣士 ジークフリート</v>
          </cell>
        </row>
        <row r="202">
          <cell r="A202">
            <v>201</v>
          </cell>
          <cell r="B202" t="str">
            <v>ja</v>
          </cell>
          <cell r="C202" t="str">
            <v>斬空の大破剣 ジークフリート</v>
          </cell>
        </row>
        <row r="203">
          <cell r="A203">
            <v>202</v>
          </cell>
          <cell r="B203" t="str">
            <v>ja</v>
          </cell>
          <cell r="C203" t="str">
            <v>プロメテウス</v>
          </cell>
        </row>
        <row r="204">
          <cell r="A204">
            <v>203</v>
          </cell>
          <cell r="B204" t="str">
            <v>ja</v>
          </cell>
          <cell r="C204" t="str">
            <v>焔神 プロメテウス</v>
          </cell>
        </row>
        <row r="205">
          <cell r="A205">
            <v>204</v>
          </cell>
          <cell r="B205" t="str">
            <v>ja</v>
          </cell>
          <cell r="C205" t="str">
            <v>慟哭の巨焔 プロメテウス</v>
          </cell>
        </row>
        <row r="206">
          <cell r="A206">
            <v>205</v>
          </cell>
          <cell r="B206" t="str">
            <v>ja</v>
          </cell>
          <cell r="C206" t="str">
            <v>アフロディーテ</v>
          </cell>
        </row>
        <row r="207">
          <cell r="A207">
            <v>206</v>
          </cell>
          <cell r="B207" t="str">
            <v>ja</v>
          </cell>
          <cell r="C207" t="str">
            <v>美神 アフロディーテ</v>
          </cell>
        </row>
        <row r="208">
          <cell r="A208">
            <v>207</v>
          </cell>
          <cell r="B208" t="str">
            <v>ja</v>
          </cell>
          <cell r="C208" t="str">
            <v>豊穣の麗神・アフロディーテ</v>
          </cell>
        </row>
        <row r="209">
          <cell r="A209">
            <v>208</v>
          </cell>
          <cell r="B209" t="str">
            <v>ja</v>
          </cell>
          <cell r="C209" t="str">
            <v>テティス</v>
          </cell>
        </row>
        <row r="210">
          <cell r="A210">
            <v>209</v>
          </cell>
          <cell r="B210" t="str">
            <v>ja</v>
          </cell>
          <cell r="C210" t="str">
            <v>孤神 テティス</v>
          </cell>
        </row>
        <row r="211">
          <cell r="A211">
            <v>210</v>
          </cell>
          <cell r="B211" t="str">
            <v>ja</v>
          </cell>
          <cell r="C211" t="str">
            <v>海底の孤高神 テティス</v>
          </cell>
        </row>
        <row r="212">
          <cell r="A212">
            <v>211</v>
          </cell>
          <cell r="B212" t="str">
            <v>ja</v>
          </cell>
          <cell r="C212" t="str">
            <v>アストライアー</v>
          </cell>
        </row>
        <row r="213">
          <cell r="A213">
            <v>212</v>
          </cell>
          <cell r="B213" t="str">
            <v>ja</v>
          </cell>
          <cell r="C213" t="str">
            <v>星神 アストライアー</v>
          </cell>
        </row>
        <row r="214">
          <cell r="A214">
            <v>213</v>
          </cell>
          <cell r="B214" t="str">
            <v>ja</v>
          </cell>
          <cell r="C214" t="str">
            <v>満天の星降神 アストライアー</v>
          </cell>
        </row>
        <row r="215">
          <cell r="A215">
            <v>214</v>
          </cell>
          <cell r="B215" t="str">
            <v>ja</v>
          </cell>
          <cell r="C215" t="str">
            <v>アズラエル</v>
          </cell>
        </row>
        <row r="216">
          <cell r="A216">
            <v>215</v>
          </cell>
          <cell r="B216" t="str">
            <v>ja</v>
          </cell>
          <cell r="C216" t="str">
            <v>死導者 アズラエル</v>
          </cell>
        </row>
        <row r="217">
          <cell r="A217">
            <v>216</v>
          </cell>
          <cell r="B217" t="str">
            <v>ja</v>
          </cell>
          <cell r="C217" t="str">
            <v>百読の死導司書 アズラエル</v>
          </cell>
        </row>
        <row r="218">
          <cell r="A218">
            <v>217</v>
          </cell>
          <cell r="B218" t="str">
            <v>ja</v>
          </cell>
          <cell r="C218" t="str">
            <v>ケツァクアトル</v>
          </cell>
        </row>
        <row r="219">
          <cell r="A219">
            <v>218</v>
          </cell>
          <cell r="B219" t="str">
            <v>ja</v>
          </cell>
          <cell r="C219" t="str">
            <v>聖蛇 ケツァクアトル</v>
          </cell>
        </row>
        <row r="220">
          <cell r="A220">
            <v>219</v>
          </cell>
          <cell r="B220" t="str">
            <v>ja</v>
          </cell>
          <cell r="C220" t="str">
            <v>覇翼の聖蛇竜 ケツァクアトル</v>
          </cell>
        </row>
        <row r="221">
          <cell r="A221">
            <v>220</v>
          </cell>
          <cell r="B221" t="str">
            <v>ja</v>
          </cell>
          <cell r="C221" t="str">
            <v>ルキフグス</v>
          </cell>
        </row>
        <row r="222">
          <cell r="A222">
            <v>221</v>
          </cell>
          <cell r="B222" t="str">
            <v>ja</v>
          </cell>
          <cell r="C222" t="str">
            <v>宰相 ルキフグス</v>
          </cell>
        </row>
        <row r="223">
          <cell r="A223">
            <v>222</v>
          </cell>
          <cell r="B223" t="str">
            <v>ja</v>
          </cell>
          <cell r="C223" t="str">
            <v>避光の鉄鎖宰相 ルキフグス</v>
          </cell>
        </row>
        <row r="224">
          <cell r="A224">
            <v>223</v>
          </cell>
          <cell r="B224" t="str">
            <v>ja</v>
          </cell>
          <cell r="C224" t="str">
            <v>ヘラクレス</v>
          </cell>
        </row>
        <row r="225">
          <cell r="A225">
            <v>224</v>
          </cell>
          <cell r="B225" t="str">
            <v>ja</v>
          </cell>
          <cell r="C225" t="str">
            <v>巨腕 ヘラクレス</v>
          </cell>
        </row>
        <row r="226">
          <cell r="A226">
            <v>225</v>
          </cell>
          <cell r="B226" t="str">
            <v>ja</v>
          </cell>
          <cell r="C226" t="str">
            <v>咆哮の巨獅腕 ヘラクレス</v>
          </cell>
        </row>
        <row r="227">
          <cell r="A227">
            <v>226</v>
          </cell>
          <cell r="B227" t="str">
            <v>ja</v>
          </cell>
          <cell r="C227" t="str">
            <v>アレス</v>
          </cell>
        </row>
        <row r="228">
          <cell r="A228">
            <v>227</v>
          </cell>
          <cell r="B228" t="str">
            <v>ja</v>
          </cell>
          <cell r="C228" t="str">
            <v>滅弾 アレス</v>
          </cell>
        </row>
        <row r="229">
          <cell r="A229">
            <v>228</v>
          </cell>
          <cell r="B229" t="str">
            <v>ja</v>
          </cell>
          <cell r="C229" t="str">
            <v>殲滅の掃射砲 アレス</v>
          </cell>
        </row>
        <row r="230">
          <cell r="A230">
            <v>229</v>
          </cell>
          <cell r="B230" t="str">
            <v>ja</v>
          </cell>
          <cell r="C230" t="str">
            <v>ヨルムンガンド</v>
          </cell>
        </row>
        <row r="231">
          <cell r="A231">
            <v>230</v>
          </cell>
          <cell r="B231" t="str">
            <v>ja</v>
          </cell>
          <cell r="C231" t="str">
            <v>毒銃 ヨルムンガンド</v>
          </cell>
        </row>
        <row r="232">
          <cell r="A232">
            <v>231</v>
          </cell>
          <cell r="B232" t="str">
            <v>ja</v>
          </cell>
          <cell r="C232" t="str">
            <v>必中の咬銃 ヨルムンガンド</v>
          </cell>
        </row>
        <row r="233">
          <cell r="A233">
            <v>232</v>
          </cell>
          <cell r="B233" t="str">
            <v>ja</v>
          </cell>
          <cell r="C233" t="str">
            <v>パーシヴァル</v>
          </cell>
        </row>
        <row r="234">
          <cell r="A234">
            <v>233</v>
          </cell>
          <cell r="B234" t="str">
            <v>ja</v>
          </cell>
          <cell r="C234" t="str">
            <v>遂行 パーシヴァル</v>
          </cell>
        </row>
        <row r="235">
          <cell r="A235">
            <v>234</v>
          </cell>
          <cell r="B235" t="str">
            <v>ja</v>
          </cell>
          <cell r="C235" t="str">
            <v>精密なる照準 パーシヴァル</v>
          </cell>
        </row>
        <row r="236">
          <cell r="A236">
            <v>235</v>
          </cell>
          <cell r="B236" t="str">
            <v>ja</v>
          </cell>
          <cell r="C236" t="str">
            <v>イザナミ</v>
          </cell>
        </row>
        <row r="237">
          <cell r="A237">
            <v>236</v>
          </cell>
          <cell r="B237" t="str">
            <v>ja</v>
          </cell>
          <cell r="C237" t="str">
            <v>神産 イザナミ</v>
          </cell>
        </row>
        <row r="238">
          <cell r="A238">
            <v>237</v>
          </cell>
          <cell r="B238" t="str">
            <v>ja</v>
          </cell>
          <cell r="C238" t="str">
            <v>森羅万象の神母 イザナミ</v>
          </cell>
        </row>
        <row r="239">
          <cell r="A239">
            <v>238</v>
          </cell>
          <cell r="B239" t="str">
            <v>ja</v>
          </cell>
          <cell r="C239" t="str">
            <v>ウリエル</v>
          </cell>
        </row>
        <row r="240">
          <cell r="A240">
            <v>239</v>
          </cell>
          <cell r="B240" t="str">
            <v>ja</v>
          </cell>
          <cell r="C240" t="str">
            <v>豪炎の天使 ウリエル</v>
          </cell>
        </row>
        <row r="241">
          <cell r="A241">
            <v>240</v>
          </cell>
          <cell r="B241" t="str">
            <v>ja</v>
          </cell>
          <cell r="C241" t="str">
            <v>轟炎の天使 ウリエル・スレイヤー</v>
          </cell>
        </row>
        <row r="242">
          <cell r="A242">
            <v>241</v>
          </cell>
          <cell r="B242" t="str">
            <v>ja</v>
          </cell>
          <cell r="C242" t="str">
            <v>ガブリエル</v>
          </cell>
        </row>
        <row r="243">
          <cell r="A243">
            <v>242</v>
          </cell>
          <cell r="B243" t="str">
            <v>ja</v>
          </cell>
          <cell r="C243" t="str">
            <v>百花の天使 ガブリエル</v>
          </cell>
        </row>
        <row r="244">
          <cell r="A244">
            <v>243</v>
          </cell>
          <cell r="B244" t="str">
            <v>ja</v>
          </cell>
          <cell r="C244" t="str">
            <v>万花の天使 ガブリエル・ブルーム</v>
          </cell>
        </row>
        <row r="245">
          <cell r="A245">
            <v>244</v>
          </cell>
          <cell r="B245" t="str">
            <v>ja</v>
          </cell>
          <cell r="C245" t="str">
            <v>ラファエル</v>
          </cell>
        </row>
        <row r="246">
          <cell r="A246">
            <v>245</v>
          </cell>
          <cell r="B246" t="str">
            <v>ja</v>
          </cell>
          <cell r="C246" t="str">
            <v>鎮癒の天使 ラファエル</v>
          </cell>
        </row>
        <row r="247">
          <cell r="A247">
            <v>246</v>
          </cell>
          <cell r="B247" t="str">
            <v>ja</v>
          </cell>
          <cell r="C247" t="str">
            <v>真癒の天使 ラファエル・メディカ</v>
          </cell>
        </row>
        <row r="248">
          <cell r="A248">
            <v>247</v>
          </cell>
          <cell r="B248" t="str">
            <v>ja</v>
          </cell>
          <cell r="C248" t="str">
            <v>ミカエル</v>
          </cell>
        </row>
        <row r="249">
          <cell r="A249">
            <v>248</v>
          </cell>
          <cell r="B249" t="str">
            <v>ja</v>
          </cell>
          <cell r="C249" t="str">
            <v>彩電の天使 ミカエル</v>
          </cell>
        </row>
        <row r="250">
          <cell r="A250">
            <v>249</v>
          </cell>
          <cell r="B250" t="str">
            <v>ja</v>
          </cell>
          <cell r="C250" t="str">
            <v>雷電の天使 ミカエル・ゲイナー</v>
          </cell>
        </row>
        <row r="251">
          <cell r="A251">
            <v>250</v>
          </cell>
          <cell r="B251" t="str">
            <v>ja</v>
          </cell>
          <cell r="C251" t="str">
            <v>マンモン</v>
          </cell>
        </row>
        <row r="252">
          <cell r="A252">
            <v>251</v>
          </cell>
          <cell r="B252" t="str">
            <v>ja</v>
          </cell>
          <cell r="C252" t="str">
            <v>強欲 マンモン</v>
          </cell>
        </row>
        <row r="253">
          <cell r="A253">
            <v>252</v>
          </cell>
          <cell r="B253" t="str">
            <v>ja</v>
          </cell>
          <cell r="C253" t="str">
            <v>強欲の沸騰 マンモン</v>
          </cell>
        </row>
        <row r="254">
          <cell r="A254">
            <v>253</v>
          </cell>
          <cell r="B254" t="str">
            <v>ja</v>
          </cell>
          <cell r="C254" t="str">
            <v>ベルフェゴール</v>
          </cell>
        </row>
        <row r="255">
          <cell r="A255">
            <v>254</v>
          </cell>
          <cell r="B255" t="str">
            <v>ja</v>
          </cell>
          <cell r="C255" t="str">
            <v>怠惰 ベルフェゴール</v>
          </cell>
        </row>
        <row r="256">
          <cell r="A256">
            <v>255</v>
          </cell>
          <cell r="B256" t="str">
            <v>ja</v>
          </cell>
          <cell r="C256" t="str">
            <v>怠惰の頂点 ベルフェゴール</v>
          </cell>
        </row>
        <row r="257">
          <cell r="A257">
            <v>256</v>
          </cell>
          <cell r="B257" t="str">
            <v>ja</v>
          </cell>
          <cell r="C257" t="str">
            <v>アスモデウス</v>
          </cell>
        </row>
        <row r="258">
          <cell r="A258">
            <v>257</v>
          </cell>
          <cell r="B258" t="str">
            <v>ja</v>
          </cell>
          <cell r="C258" t="str">
            <v>色欲 アスモデウス</v>
          </cell>
        </row>
        <row r="259">
          <cell r="A259">
            <v>258</v>
          </cell>
          <cell r="B259" t="str">
            <v>ja</v>
          </cell>
          <cell r="C259" t="str">
            <v>色欲の源流 アスモデウス</v>
          </cell>
        </row>
        <row r="260">
          <cell r="A260">
            <v>259</v>
          </cell>
          <cell r="B260" t="str">
            <v>ja</v>
          </cell>
          <cell r="C260" t="str">
            <v>ウロボロス</v>
          </cell>
        </row>
        <row r="261">
          <cell r="A261">
            <v>260</v>
          </cell>
          <cell r="B261" t="str">
            <v>ja</v>
          </cell>
          <cell r="C261" t="str">
            <v>輪廻 ウロボロス</v>
          </cell>
        </row>
        <row r="262">
          <cell r="A262">
            <v>261</v>
          </cell>
          <cell r="B262" t="str">
            <v>ja</v>
          </cell>
          <cell r="C262" t="str">
            <v>輪廻の蛇龍 ウロボロス</v>
          </cell>
        </row>
        <row r="263">
          <cell r="A263">
            <v>262</v>
          </cell>
          <cell r="B263" t="str">
            <v>ja</v>
          </cell>
          <cell r="C263" t="str">
            <v>アシュリー</v>
          </cell>
        </row>
        <row r="264">
          <cell r="A264">
            <v>263</v>
          </cell>
          <cell r="B264" t="str">
            <v>ja</v>
          </cell>
          <cell r="C264" t="str">
            <v>鉤爪姫 アシュリー</v>
          </cell>
        </row>
        <row r="265">
          <cell r="A265">
            <v>264</v>
          </cell>
          <cell r="B265" t="str">
            <v>ja</v>
          </cell>
          <cell r="C265" t="str">
            <v>ユニコーン</v>
          </cell>
        </row>
        <row r="266">
          <cell r="A266">
            <v>265</v>
          </cell>
          <cell r="B266" t="str">
            <v>ja</v>
          </cell>
          <cell r="C266" t="str">
            <v>翠角馬 ユニコーン</v>
          </cell>
        </row>
        <row r="267">
          <cell r="A267">
            <v>266</v>
          </cell>
          <cell r="B267" t="str">
            <v>ja</v>
          </cell>
          <cell r="C267" t="str">
            <v>リリアンブルー</v>
          </cell>
        </row>
        <row r="268">
          <cell r="A268">
            <v>267</v>
          </cell>
          <cell r="B268" t="str">
            <v>ja</v>
          </cell>
          <cell r="C268" t="str">
            <v>奇術猫 リリアンブルー</v>
          </cell>
        </row>
        <row r="269">
          <cell r="A269">
            <v>268</v>
          </cell>
          <cell r="B269" t="str">
            <v>ja</v>
          </cell>
          <cell r="C269" t="str">
            <v>鵺</v>
          </cell>
        </row>
        <row r="270">
          <cell r="A270">
            <v>269</v>
          </cell>
          <cell r="B270" t="str">
            <v>ja</v>
          </cell>
          <cell r="C270" t="str">
            <v>合雷獣 鵺</v>
          </cell>
        </row>
        <row r="271">
          <cell r="A271">
            <v>270</v>
          </cell>
          <cell r="B271" t="str">
            <v>ja</v>
          </cell>
          <cell r="C271" t="str">
            <v>風爪のミリー</v>
          </cell>
        </row>
        <row r="272">
          <cell r="A272">
            <v>271</v>
          </cell>
          <cell r="B272" t="str">
            <v>ja</v>
          </cell>
          <cell r="C272" t="str">
            <v>疾風五花 ミリー</v>
          </cell>
        </row>
        <row r="273">
          <cell r="A273">
            <v>272</v>
          </cell>
          <cell r="B273" t="str">
            <v>ja</v>
          </cell>
          <cell r="C273" t="str">
            <v>魔札のシルベール</v>
          </cell>
        </row>
        <row r="274">
          <cell r="A274">
            <v>273</v>
          </cell>
          <cell r="B274" t="str">
            <v>ja</v>
          </cell>
          <cell r="C274" t="str">
            <v>円環魔道 シルベール</v>
          </cell>
        </row>
        <row r="275">
          <cell r="A275">
            <v>274</v>
          </cell>
          <cell r="B275" t="str">
            <v>ja</v>
          </cell>
          <cell r="C275" t="str">
            <v>砕棒のガエル</v>
          </cell>
        </row>
        <row r="276">
          <cell r="A276">
            <v>275</v>
          </cell>
          <cell r="B276" t="str">
            <v>ja</v>
          </cell>
          <cell r="C276" t="str">
            <v>轟雷砕棒 ガエル</v>
          </cell>
        </row>
        <row r="277">
          <cell r="A277">
            <v>276</v>
          </cell>
          <cell r="B277" t="str">
            <v>ja</v>
          </cell>
          <cell r="C277" t="str">
            <v>機拳のイリア</v>
          </cell>
        </row>
        <row r="278">
          <cell r="A278">
            <v>277</v>
          </cell>
          <cell r="B278" t="str">
            <v>ja</v>
          </cell>
          <cell r="C278" t="str">
            <v>機拳恐慌 イリア</v>
          </cell>
        </row>
        <row r="279">
          <cell r="A279">
            <v>278</v>
          </cell>
          <cell r="B279" t="str">
            <v>ja</v>
          </cell>
          <cell r="C279" t="str">
            <v>アマテラス</v>
          </cell>
        </row>
        <row r="280">
          <cell r="A280">
            <v>279</v>
          </cell>
          <cell r="B280" t="str">
            <v>ja</v>
          </cell>
          <cell r="C280" t="str">
            <v>統空大神 アマテラス</v>
          </cell>
        </row>
        <row r="281">
          <cell r="A281">
            <v>280</v>
          </cell>
          <cell r="B281" t="str">
            <v>ja</v>
          </cell>
          <cell r="C281" t="str">
            <v>リンドブルム</v>
          </cell>
        </row>
        <row r="282">
          <cell r="A282">
            <v>281</v>
          </cell>
          <cell r="B282" t="str">
            <v>ja</v>
          </cell>
          <cell r="C282" t="str">
            <v>リンドブルム・コンデンス</v>
          </cell>
        </row>
        <row r="283">
          <cell r="A283">
            <v>282</v>
          </cell>
          <cell r="B283" t="str">
            <v>ja</v>
          </cell>
          <cell r="C283" t="str">
            <v>ラーフ</v>
          </cell>
        </row>
        <row r="284">
          <cell r="A284">
            <v>283</v>
          </cell>
          <cell r="B284" t="str">
            <v>ja</v>
          </cell>
          <cell r="C284" t="str">
            <v>ラーフ・メテオ</v>
          </cell>
        </row>
        <row r="285">
          <cell r="A285">
            <v>284</v>
          </cell>
          <cell r="B285" t="str">
            <v>ja</v>
          </cell>
          <cell r="C285" t="str">
            <v>フェルニゲシュ</v>
          </cell>
        </row>
        <row r="286">
          <cell r="A286">
            <v>285</v>
          </cell>
          <cell r="B286" t="str">
            <v>ja</v>
          </cell>
          <cell r="C286" t="str">
            <v>フェルニゲシュ・オーバードライヴ</v>
          </cell>
        </row>
        <row r="287">
          <cell r="A287">
            <v>286</v>
          </cell>
          <cell r="B287" t="str">
            <v>ja</v>
          </cell>
          <cell r="C287" t="str">
            <v>ヒュドラ</v>
          </cell>
        </row>
        <row r="288">
          <cell r="A288">
            <v>287</v>
          </cell>
          <cell r="B288" t="str">
            <v>ja</v>
          </cell>
          <cell r="C288" t="str">
            <v>ヒュドラ・フルオープン</v>
          </cell>
        </row>
        <row r="289">
          <cell r="A289">
            <v>288</v>
          </cell>
          <cell r="B289" t="str">
            <v>ja</v>
          </cell>
          <cell r="C289" t="str">
            <v>ミカド</v>
          </cell>
        </row>
        <row r="290">
          <cell r="A290">
            <v>289</v>
          </cell>
          <cell r="B290" t="str">
            <v>ja</v>
          </cell>
          <cell r="C290" t="str">
            <v>高圧なるミカド</v>
          </cell>
        </row>
        <row r="291">
          <cell r="A291">
            <v>290</v>
          </cell>
          <cell r="B291" t="str">
            <v>ja</v>
          </cell>
          <cell r="C291" t="str">
            <v>ウィッチ・オクトパス</v>
          </cell>
        </row>
        <row r="292">
          <cell r="A292">
            <v>291</v>
          </cell>
          <cell r="B292" t="str">
            <v>ja</v>
          </cell>
          <cell r="C292" t="str">
            <v>魔改造のウィッチ・オクトパス</v>
          </cell>
        </row>
        <row r="293">
          <cell r="A293">
            <v>292</v>
          </cell>
          <cell r="B293" t="str">
            <v>ja</v>
          </cell>
          <cell r="C293" t="str">
            <v>アナスタシア</v>
          </cell>
        </row>
        <row r="294">
          <cell r="A294">
            <v>293</v>
          </cell>
          <cell r="B294" t="str">
            <v>ja</v>
          </cell>
          <cell r="C294" t="str">
            <v>激流拳技を極めし者 アナスタシア</v>
          </cell>
        </row>
        <row r="295">
          <cell r="A295">
            <v>294</v>
          </cell>
          <cell r="B295" t="str">
            <v>ja</v>
          </cell>
          <cell r="C295" t="str">
            <v>ウルフ・ザ・レッドイーター</v>
          </cell>
        </row>
        <row r="296">
          <cell r="A296">
            <v>295</v>
          </cell>
          <cell r="B296" t="str">
            <v>ja</v>
          </cell>
          <cell r="C296" t="str">
            <v>ウルフ・ザ・レッドクラッシャー</v>
          </cell>
        </row>
        <row r="297">
          <cell r="A297">
            <v>296</v>
          </cell>
          <cell r="B297" t="str">
            <v>ja</v>
          </cell>
          <cell r="C297" t="str">
            <v>アザゼル</v>
          </cell>
        </row>
        <row r="298">
          <cell r="A298">
            <v>297</v>
          </cell>
          <cell r="B298" t="str">
            <v>ja</v>
          </cell>
          <cell r="C298" t="str">
            <v>狂靭なる双撃 アザゼル</v>
          </cell>
        </row>
        <row r="299">
          <cell r="A299">
            <v>298</v>
          </cell>
          <cell r="B299" t="str">
            <v>ja</v>
          </cell>
          <cell r="C299" t="str">
            <v>炎殺のミサコ</v>
          </cell>
        </row>
        <row r="300">
          <cell r="A300">
            <v>299</v>
          </cell>
          <cell r="B300" t="str">
            <v>ja</v>
          </cell>
          <cell r="C300" t="str">
            <v>狂気の炎風 ミサコ</v>
          </cell>
        </row>
        <row r="301">
          <cell r="A301">
            <v>300</v>
          </cell>
          <cell r="B301" t="str">
            <v>ja</v>
          </cell>
          <cell r="C301" t="str">
            <v>毒殺のチカ</v>
          </cell>
        </row>
        <row r="302">
          <cell r="A302">
            <v>301</v>
          </cell>
          <cell r="B302" t="str">
            <v>ja</v>
          </cell>
          <cell r="C302" t="str">
            <v>宿痾の葬送 チカ</v>
          </cell>
        </row>
        <row r="303">
          <cell r="A303">
            <v>302</v>
          </cell>
          <cell r="B303" t="str">
            <v>ja</v>
          </cell>
          <cell r="C303" t="str">
            <v>絞殺のリサ</v>
          </cell>
        </row>
        <row r="304">
          <cell r="A304">
            <v>303</v>
          </cell>
          <cell r="B304" t="str">
            <v>ja</v>
          </cell>
          <cell r="C304" t="str">
            <v>哄笑の禁縛 リサ</v>
          </cell>
        </row>
        <row r="305">
          <cell r="A305">
            <v>304</v>
          </cell>
          <cell r="B305" t="str">
            <v>ja</v>
          </cell>
          <cell r="C305" t="str">
            <v>電殺のチエミ</v>
          </cell>
        </row>
        <row r="306">
          <cell r="A306">
            <v>305</v>
          </cell>
          <cell r="B306" t="str">
            <v>ja</v>
          </cell>
          <cell r="C306" t="str">
            <v>螺旋の雷電 チエミ</v>
          </cell>
        </row>
        <row r="307">
          <cell r="A307">
            <v>306</v>
          </cell>
          <cell r="B307" t="str">
            <v>ja</v>
          </cell>
          <cell r="C307" t="str">
            <v>メガロドン</v>
          </cell>
        </row>
        <row r="308">
          <cell r="A308">
            <v>307</v>
          </cell>
          <cell r="B308" t="str">
            <v>ja</v>
          </cell>
          <cell r="C308" t="str">
            <v>古の鋼拳 メガロドン</v>
          </cell>
        </row>
        <row r="309">
          <cell r="A309">
            <v>308</v>
          </cell>
          <cell r="B309" t="str">
            <v>ja</v>
          </cell>
          <cell r="C309" t="str">
            <v>アーケロン</v>
          </cell>
        </row>
        <row r="310">
          <cell r="A310">
            <v>309</v>
          </cell>
          <cell r="B310" t="str">
            <v>ja</v>
          </cell>
          <cell r="C310" t="str">
            <v>古の博学 アーケロン</v>
          </cell>
        </row>
        <row r="311">
          <cell r="A311">
            <v>310</v>
          </cell>
          <cell r="B311" t="str">
            <v>ja</v>
          </cell>
          <cell r="C311" t="str">
            <v>リードシクティス</v>
          </cell>
        </row>
        <row r="312">
          <cell r="A312">
            <v>311</v>
          </cell>
          <cell r="B312" t="str">
            <v>ja</v>
          </cell>
          <cell r="C312" t="str">
            <v>古の暴食 リードシクティス</v>
          </cell>
        </row>
        <row r="313">
          <cell r="A313">
            <v>312</v>
          </cell>
          <cell r="B313" t="str">
            <v>ja</v>
          </cell>
          <cell r="C313" t="str">
            <v>アノマロカリス</v>
          </cell>
        </row>
        <row r="314">
          <cell r="A314">
            <v>313</v>
          </cell>
          <cell r="B314" t="str">
            <v>ja</v>
          </cell>
          <cell r="C314" t="str">
            <v>古の先鋭 アノマロカリス</v>
          </cell>
        </row>
        <row r="315">
          <cell r="A315">
            <v>314</v>
          </cell>
          <cell r="B315" t="str">
            <v>ja</v>
          </cell>
          <cell r="C315" t="str">
            <v>ジャンヌ</v>
          </cell>
        </row>
        <row r="316">
          <cell r="A316">
            <v>315</v>
          </cell>
          <cell r="B316" t="str">
            <v>ja</v>
          </cell>
          <cell r="C316" t="str">
            <v>鉄馬駆る聖女 ジャンヌ</v>
          </cell>
        </row>
        <row r="317">
          <cell r="A317">
            <v>316</v>
          </cell>
          <cell r="B317" t="str">
            <v>ja</v>
          </cell>
          <cell r="C317" t="str">
            <v>テスラ</v>
          </cell>
        </row>
        <row r="318">
          <cell r="A318">
            <v>317</v>
          </cell>
          <cell r="B318" t="str">
            <v>ja</v>
          </cell>
          <cell r="C318" t="str">
            <v>異能の電気師 テスラ</v>
          </cell>
        </row>
        <row r="319">
          <cell r="A319">
            <v>318</v>
          </cell>
          <cell r="B319" t="str">
            <v>ja</v>
          </cell>
          <cell r="C319" t="str">
            <v>シャルル</v>
          </cell>
        </row>
        <row r="320">
          <cell r="A320">
            <v>319</v>
          </cell>
          <cell r="B320" t="str">
            <v>ja</v>
          </cell>
          <cell r="C320" t="str">
            <v>夢想の学士 シャルル</v>
          </cell>
        </row>
        <row r="321">
          <cell r="A321">
            <v>320</v>
          </cell>
          <cell r="B321" t="str">
            <v>ja</v>
          </cell>
          <cell r="C321" t="str">
            <v>烈志士 近藤勇</v>
          </cell>
        </row>
        <row r="322">
          <cell r="A322">
            <v>321</v>
          </cell>
          <cell r="B322" t="str">
            <v>ja</v>
          </cell>
          <cell r="C322" t="str">
            <v>巌鉄の烈志士 近藤勇</v>
          </cell>
        </row>
        <row r="323">
          <cell r="A323">
            <v>322</v>
          </cell>
          <cell r="B323" t="str">
            <v>ja</v>
          </cell>
          <cell r="C323" t="str">
            <v>愛志士 土方歳三</v>
          </cell>
        </row>
        <row r="324">
          <cell r="A324">
            <v>323</v>
          </cell>
          <cell r="B324" t="str">
            <v>ja</v>
          </cell>
          <cell r="C324" t="str">
            <v>流麗の愛志士 土方歳三</v>
          </cell>
        </row>
        <row r="325">
          <cell r="A325">
            <v>324</v>
          </cell>
          <cell r="B325" t="str">
            <v>ja</v>
          </cell>
          <cell r="C325" t="str">
            <v>凛志士 沖田総司</v>
          </cell>
        </row>
        <row r="326">
          <cell r="A326">
            <v>325</v>
          </cell>
          <cell r="B326" t="str">
            <v>ja</v>
          </cell>
          <cell r="C326" t="str">
            <v>天賦の凛志士 沖田総司</v>
          </cell>
        </row>
        <row r="327">
          <cell r="A327">
            <v>326</v>
          </cell>
          <cell r="B327" t="str">
            <v>ja</v>
          </cell>
          <cell r="C327" t="str">
            <v>妖志士 斎藤一</v>
          </cell>
        </row>
        <row r="328">
          <cell r="A328">
            <v>327</v>
          </cell>
          <cell r="B328" t="str">
            <v>ja</v>
          </cell>
          <cell r="C328" t="str">
            <v>千殺の妖志士 斎藤一</v>
          </cell>
        </row>
        <row r="329">
          <cell r="A329">
            <v>328</v>
          </cell>
          <cell r="B329" t="str">
            <v>ja</v>
          </cell>
          <cell r="C329" t="str">
            <v>麒麟クエストアイコンシルエット</v>
          </cell>
        </row>
        <row r="330">
          <cell r="A330">
            <v>329</v>
          </cell>
          <cell r="B330" t="str">
            <v>ja</v>
          </cell>
          <cell r="C330" t="str">
            <v>麒麟クエストアイコンシルエット</v>
          </cell>
        </row>
        <row r="331">
          <cell r="A331">
            <v>330</v>
          </cell>
          <cell r="B331" t="str">
            <v>ja</v>
          </cell>
          <cell r="C331" t="str">
            <v>Usagi-chan</v>
          </cell>
        </row>
        <row r="332">
          <cell r="A332">
            <v>331</v>
          </cell>
          <cell r="B332" t="str">
            <v>ja</v>
          </cell>
          <cell r="C332" t="str">
            <v>オーディンクエストアイコンシルエット</v>
          </cell>
        </row>
        <row r="333">
          <cell r="A333">
            <v>332</v>
          </cell>
          <cell r="B333" t="str">
            <v>ja</v>
          </cell>
          <cell r="C333" t="str">
            <v>炎のメタルピヨピヨ</v>
          </cell>
        </row>
        <row r="334">
          <cell r="A334">
            <v>333</v>
          </cell>
          <cell r="B334" t="str">
            <v>ja</v>
          </cell>
          <cell r="C334" t="str">
            <v>炎のメタルチック</v>
          </cell>
        </row>
        <row r="335">
          <cell r="A335">
            <v>334</v>
          </cell>
          <cell r="B335" t="str">
            <v>ja</v>
          </cell>
          <cell r="C335" t="str">
            <v>炎のメタルダック</v>
          </cell>
        </row>
        <row r="336">
          <cell r="A336">
            <v>335</v>
          </cell>
          <cell r="B336" t="str">
            <v>ja</v>
          </cell>
          <cell r="C336" t="str">
            <v>炎のメタルジェントル</v>
          </cell>
        </row>
        <row r="337">
          <cell r="A337">
            <v>336</v>
          </cell>
          <cell r="B337" t="str">
            <v>ja</v>
          </cell>
          <cell r="C337" t="str">
            <v>森のメタルピヨピヨ</v>
          </cell>
        </row>
        <row r="338">
          <cell r="A338">
            <v>337</v>
          </cell>
          <cell r="B338" t="str">
            <v>ja</v>
          </cell>
          <cell r="C338" t="str">
            <v>森のメタルチック</v>
          </cell>
        </row>
        <row r="339">
          <cell r="A339">
            <v>338</v>
          </cell>
          <cell r="B339" t="str">
            <v>ja</v>
          </cell>
          <cell r="C339" t="str">
            <v>森のメタルダック</v>
          </cell>
        </row>
        <row r="340">
          <cell r="A340">
            <v>339</v>
          </cell>
          <cell r="B340" t="str">
            <v>ja</v>
          </cell>
          <cell r="C340" t="str">
            <v>森のメタルジェントル</v>
          </cell>
        </row>
        <row r="341">
          <cell r="A341">
            <v>340</v>
          </cell>
          <cell r="B341" t="str">
            <v>ja</v>
          </cell>
          <cell r="C341" t="str">
            <v>水のメタルピヨピヨ</v>
          </cell>
        </row>
        <row r="342">
          <cell r="A342">
            <v>341</v>
          </cell>
          <cell r="B342" t="str">
            <v>ja</v>
          </cell>
          <cell r="C342" t="str">
            <v>水のメタルチック</v>
          </cell>
        </row>
        <row r="343">
          <cell r="A343">
            <v>342</v>
          </cell>
          <cell r="B343" t="str">
            <v>ja</v>
          </cell>
          <cell r="C343" t="str">
            <v>水のメタルダック</v>
          </cell>
        </row>
        <row r="344">
          <cell r="A344">
            <v>343</v>
          </cell>
          <cell r="B344" t="str">
            <v>ja</v>
          </cell>
          <cell r="C344" t="str">
            <v>水のメタルジェントル</v>
          </cell>
        </row>
        <row r="345">
          <cell r="A345">
            <v>344</v>
          </cell>
          <cell r="B345" t="str">
            <v>ja</v>
          </cell>
          <cell r="C345" t="str">
            <v>雷のメタルピヨピヨ</v>
          </cell>
        </row>
        <row r="346">
          <cell r="A346">
            <v>345</v>
          </cell>
          <cell r="B346" t="str">
            <v>ja</v>
          </cell>
          <cell r="C346" t="str">
            <v>雷のメタルチック</v>
          </cell>
        </row>
        <row r="347">
          <cell r="A347">
            <v>346</v>
          </cell>
          <cell r="B347" t="str">
            <v>ja</v>
          </cell>
          <cell r="C347" t="str">
            <v>雷のメタルダック</v>
          </cell>
        </row>
        <row r="348">
          <cell r="A348">
            <v>347</v>
          </cell>
          <cell r="B348" t="str">
            <v>ja</v>
          </cell>
          <cell r="C348" t="str">
            <v>雷のメタルジェントル</v>
          </cell>
        </row>
        <row r="349">
          <cell r="A349">
            <v>348</v>
          </cell>
          <cell r="B349" t="str">
            <v>ja</v>
          </cell>
          <cell r="C349" t="str">
            <v>炎のケロケロ</v>
          </cell>
        </row>
        <row r="350">
          <cell r="A350">
            <v>349</v>
          </cell>
          <cell r="B350" t="str">
            <v>ja</v>
          </cell>
          <cell r="C350" t="str">
            <v>炎のメタルフロッグ</v>
          </cell>
        </row>
        <row r="351">
          <cell r="A351">
            <v>350</v>
          </cell>
          <cell r="B351" t="str">
            <v>ja</v>
          </cell>
          <cell r="C351" t="str">
            <v>森のケロケロ</v>
          </cell>
        </row>
        <row r="352">
          <cell r="A352">
            <v>351</v>
          </cell>
          <cell r="B352" t="str">
            <v>ja</v>
          </cell>
          <cell r="C352" t="str">
            <v>森のメタルフロッグ</v>
          </cell>
        </row>
        <row r="353">
          <cell r="A353">
            <v>352</v>
          </cell>
          <cell r="B353" t="str">
            <v>ja</v>
          </cell>
          <cell r="C353" t="str">
            <v>水のケロケロ</v>
          </cell>
        </row>
        <row r="354">
          <cell r="A354">
            <v>353</v>
          </cell>
          <cell r="B354" t="str">
            <v>ja</v>
          </cell>
          <cell r="C354" t="str">
            <v>水のメタルフロッグ</v>
          </cell>
        </row>
        <row r="355">
          <cell r="A355">
            <v>354</v>
          </cell>
          <cell r="B355" t="str">
            <v>ja</v>
          </cell>
          <cell r="C355" t="str">
            <v>雷のケロケロ</v>
          </cell>
        </row>
        <row r="356">
          <cell r="A356">
            <v>355</v>
          </cell>
          <cell r="B356" t="str">
            <v>ja</v>
          </cell>
          <cell r="C356" t="str">
            <v>雷のメタルフロッグ</v>
          </cell>
        </row>
        <row r="357">
          <cell r="A357">
            <v>356</v>
          </cell>
          <cell r="B357" t="str">
            <v>ja</v>
          </cell>
          <cell r="C357" t="str">
            <v>炎上のドードー</v>
          </cell>
        </row>
        <row r="358">
          <cell r="A358">
            <v>357</v>
          </cell>
          <cell r="B358" t="str">
            <v>ja</v>
          </cell>
          <cell r="C358" t="str">
            <v>千風のグリフォン</v>
          </cell>
        </row>
        <row r="359">
          <cell r="A359">
            <v>358</v>
          </cell>
          <cell r="B359" t="str">
            <v>ja</v>
          </cell>
          <cell r="C359" t="str">
            <v>深淵の代用ウミガメ</v>
          </cell>
        </row>
        <row r="360">
          <cell r="A360">
            <v>359</v>
          </cell>
          <cell r="B360" t="str">
            <v>ja</v>
          </cell>
          <cell r="C360" t="str">
            <v>醒電の眠りネズミ</v>
          </cell>
        </row>
        <row r="361">
          <cell r="A361">
            <v>360</v>
          </cell>
          <cell r="B361" t="str">
            <v>ja</v>
          </cell>
          <cell r="C361" t="str">
            <v>ガンテツ</v>
          </cell>
        </row>
        <row r="362">
          <cell r="A362">
            <v>361</v>
          </cell>
          <cell r="B362" t="str">
            <v>ja</v>
          </cell>
          <cell r="C362" t="str">
            <v>灼熱の鉄板 ガンテツ</v>
          </cell>
        </row>
        <row r="363">
          <cell r="A363">
            <v>362</v>
          </cell>
          <cell r="B363" t="str">
            <v>ja</v>
          </cell>
          <cell r="C363" t="str">
            <v>ゆらら</v>
          </cell>
        </row>
        <row r="364">
          <cell r="A364">
            <v>363</v>
          </cell>
          <cell r="B364" t="str">
            <v>ja</v>
          </cell>
          <cell r="C364" t="str">
            <v>花咲く幼精 ゆらら</v>
          </cell>
        </row>
        <row r="365">
          <cell r="A365">
            <v>364</v>
          </cell>
          <cell r="B365" t="str">
            <v>ja</v>
          </cell>
          <cell r="C365" t="str">
            <v>ノエル</v>
          </cell>
        </row>
        <row r="366">
          <cell r="A366">
            <v>365</v>
          </cell>
          <cell r="B366" t="str">
            <v>ja</v>
          </cell>
          <cell r="C366" t="str">
            <v>惨劇の人形 ノエル</v>
          </cell>
        </row>
        <row r="367">
          <cell r="A367">
            <v>366</v>
          </cell>
          <cell r="B367" t="str">
            <v>ja</v>
          </cell>
          <cell r="C367" t="str">
            <v>トト</v>
          </cell>
        </row>
        <row r="368">
          <cell r="A368">
            <v>367</v>
          </cell>
          <cell r="B368" t="str">
            <v>ja</v>
          </cell>
          <cell r="C368" t="str">
            <v>爆進の小兵 トト</v>
          </cell>
        </row>
        <row r="369">
          <cell r="A369">
            <v>368</v>
          </cell>
          <cell r="B369" t="str">
            <v>ja</v>
          </cell>
          <cell r="C369" t="str">
            <v>ボイル</v>
          </cell>
        </row>
        <row r="370">
          <cell r="A370">
            <v>369</v>
          </cell>
          <cell r="B370" t="str">
            <v>ja</v>
          </cell>
          <cell r="C370" t="str">
            <v>赫熱の重腕 ボイル</v>
          </cell>
        </row>
        <row r="371">
          <cell r="A371">
            <v>370</v>
          </cell>
          <cell r="B371" t="str">
            <v>ja</v>
          </cell>
          <cell r="C371" t="str">
            <v>タイチ</v>
          </cell>
        </row>
        <row r="372">
          <cell r="A372">
            <v>371</v>
          </cell>
          <cell r="B372" t="str">
            <v>ja</v>
          </cell>
          <cell r="C372" t="str">
            <v>行灯達磨 タイチ</v>
          </cell>
        </row>
        <row r="373">
          <cell r="A373">
            <v>372</v>
          </cell>
          <cell r="B373" t="str">
            <v>ja</v>
          </cell>
          <cell r="C373" t="str">
            <v>バショー</v>
          </cell>
        </row>
        <row r="374">
          <cell r="A374">
            <v>373</v>
          </cell>
          <cell r="B374" t="str">
            <v>ja</v>
          </cell>
          <cell r="C374" t="str">
            <v>夢幻俳聖 バショー</v>
          </cell>
        </row>
        <row r="375">
          <cell r="A375">
            <v>374</v>
          </cell>
          <cell r="B375" t="str">
            <v>ja</v>
          </cell>
          <cell r="C375" t="str">
            <v>影丸</v>
          </cell>
        </row>
        <row r="376">
          <cell r="A376">
            <v>375</v>
          </cell>
          <cell r="B376" t="str">
            <v>ja</v>
          </cell>
          <cell r="C376" t="str">
            <v>蒼術兎忍 影丸</v>
          </cell>
        </row>
        <row r="377">
          <cell r="A377">
            <v>376</v>
          </cell>
          <cell r="B377" t="str">
            <v>ja</v>
          </cell>
          <cell r="C377" t="str">
            <v>勘兵衛</v>
          </cell>
        </row>
        <row r="378">
          <cell r="A378">
            <v>377</v>
          </cell>
          <cell r="B378" t="str">
            <v>ja</v>
          </cell>
          <cell r="C378" t="str">
            <v>光明鹿剣 勘兵衛</v>
          </cell>
        </row>
        <row r="379">
          <cell r="A379">
            <v>378</v>
          </cell>
          <cell r="B379" t="str">
            <v>ja</v>
          </cell>
          <cell r="C379" t="str">
            <v>オイラー</v>
          </cell>
        </row>
        <row r="380">
          <cell r="A380">
            <v>379</v>
          </cell>
          <cell r="B380" t="str">
            <v>ja</v>
          </cell>
          <cell r="C380" t="str">
            <v>幾何の機刃 オイラー</v>
          </cell>
        </row>
        <row r="381">
          <cell r="A381">
            <v>380</v>
          </cell>
          <cell r="B381" t="str">
            <v>ja</v>
          </cell>
          <cell r="C381" t="str">
            <v>バハムート</v>
          </cell>
        </row>
        <row r="382">
          <cell r="A382">
            <v>381</v>
          </cell>
          <cell r="B382" t="str">
            <v>ja</v>
          </cell>
          <cell r="C382" t="str">
            <v>肉食の恋火 バハムート</v>
          </cell>
        </row>
        <row r="383">
          <cell r="A383">
            <v>382</v>
          </cell>
          <cell r="B383" t="str">
            <v>ja</v>
          </cell>
          <cell r="C383" t="str">
            <v>激情の愛炎 バハムート</v>
          </cell>
        </row>
        <row r="384">
          <cell r="A384">
            <v>383</v>
          </cell>
          <cell r="B384" t="str">
            <v>ja</v>
          </cell>
          <cell r="C384" t="str">
            <v>酒宴の蟒蛇 ヤマタノオロチ</v>
          </cell>
        </row>
        <row r="385">
          <cell r="A385">
            <v>384</v>
          </cell>
          <cell r="B385" t="str">
            <v>ja</v>
          </cell>
          <cell r="C385" t="str">
            <v>破国の呑龍 ヤマタノオロチ</v>
          </cell>
        </row>
        <row r="386">
          <cell r="A386">
            <v>385</v>
          </cell>
          <cell r="B386" t="str">
            <v>ja</v>
          </cell>
          <cell r="C386" t="str">
            <v>波烈の出奔 リヴァイアサン</v>
          </cell>
        </row>
        <row r="387">
          <cell r="A387">
            <v>386</v>
          </cell>
          <cell r="B387" t="str">
            <v>ja</v>
          </cell>
          <cell r="C387" t="str">
            <v>氾乱の海龍 リヴァイアサン</v>
          </cell>
        </row>
        <row r="388">
          <cell r="A388">
            <v>387</v>
          </cell>
          <cell r="B388" t="str">
            <v>ja</v>
          </cell>
          <cell r="C388" t="str">
            <v>スフィンクス</v>
          </cell>
        </row>
        <row r="389">
          <cell r="A389">
            <v>388</v>
          </cell>
          <cell r="B389" t="str">
            <v>ja</v>
          </cell>
          <cell r="C389" t="str">
            <v>神円の恋姫 スフィンクス</v>
          </cell>
        </row>
        <row r="390">
          <cell r="A390">
            <v>389</v>
          </cell>
          <cell r="B390" t="str">
            <v>ja</v>
          </cell>
          <cell r="C390" t="str">
            <v>操神の愛姫 スフィンクス</v>
          </cell>
        </row>
        <row r="391">
          <cell r="A391">
            <v>390</v>
          </cell>
          <cell r="B391" t="str">
            <v>ja</v>
          </cell>
          <cell r="C391" t="str">
            <v>華環の旅客 親指姫</v>
          </cell>
        </row>
        <row r="392">
          <cell r="A392">
            <v>391</v>
          </cell>
          <cell r="B392" t="str">
            <v>ja</v>
          </cell>
          <cell r="C392" t="str">
            <v>燕翼の旅人 親指姫</v>
          </cell>
        </row>
        <row r="393">
          <cell r="A393">
            <v>392</v>
          </cell>
          <cell r="B393" t="str">
            <v>ja</v>
          </cell>
          <cell r="C393" t="str">
            <v>ピーターパン</v>
          </cell>
        </row>
        <row r="394">
          <cell r="A394">
            <v>393</v>
          </cell>
          <cell r="B394" t="str">
            <v>ja</v>
          </cell>
          <cell r="C394" t="str">
            <v>影縫い ピーターパン</v>
          </cell>
        </row>
        <row r="395">
          <cell r="A395">
            <v>394</v>
          </cell>
          <cell r="B395" t="str">
            <v>ja</v>
          </cell>
          <cell r="C395" t="str">
            <v>影求の悪童 ピーターパン</v>
          </cell>
        </row>
        <row r="396">
          <cell r="A396">
            <v>395</v>
          </cell>
          <cell r="B396" t="str">
            <v>ja</v>
          </cell>
          <cell r="C396" t="str">
            <v>乙姫</v>
          </cell>
        </row>
        <row r="397">
          <cell r="A397">
            <v>396</v>
          </cell>
          <cell r="B397" t="str">
            <v>ja</v>
          </cell>
          <cell r="C397" t="str">
            <v>竜宮の水雷 乙姫</v>
          </cell>
        </row>
        <row r="398">
          <cell r="A398">
            <v>397</v>
          </cell>
          <cell r="B398" t="str">
            <v>ja</v>
          </cell>
          <cell r="C398" t="str">
            <v>禁断の追箱 乙姫</v>
          </cell>
        </row>
        <row r="399">
          <cell r="A399">
            <v>398</v>
          </cell>
          <cell r="B399" t="str">
            <v>ja</v>
          </cell>
          <cell r="C399" t="str">
            <v>ヘンゼル＆グレーテル</v>
          </cell>
        </row>
        <row r="400">
          <cell r="A400">
            <v>399</v>
          </cell>
          <cell r="B400" t="str">
            <v>ja</v>
          </cell>
          <cell r="C400" t="str">
            <v>信愛の兄妹 ヘンゼル＆グレーテル</v>
          </cell>
        </row>
        <row r="401">
          <cell r="A401">
            <v>400</v>
          </cell>
          <cell r="B401" t="str">
            <v>ja</v>
          </cell>
          <cell r="C401" t="str">
            <v>フェンリル</v>
          </cell>
        </row>
        <row r="402">
          <cell r="A402">
            <v>401</v>
          </cell>
          <cell r="B402" t="str">
            <v>ja</v>
          </cell>
          <cell r="C402" t="str">
            <v>紅銀の孤狼 フェンリル</v>
          </cell>
        </row>
        <row r="403">
          <cell r="A403">
            <v>402</v>
          </cell>
          <cell r="B403" t="str">
            <v>ja</v>
          </cell>
          <cell r="C403" t="str">
            <v>天災の神狼 フェンリル</v>
          </cell>
        </row>
        <row r="404">
          <cell r="A404">
            <v>403</v>
          </cell>
          <cell r="B404" t="str">
            <v>ja</v>
          </cell>
          <cell r="C404" t="str">
            <v>静撃の翠眼 八咫烏</v>
          </cell>
        </row>
        <row r="405">
          <cell r="A405">
            <v>404</v>
          </cell>
          <cell r="B405" t="str">
            <v>ja</v>
          </cell>
          <cell r="C405" t="str">
            <v>空襲の神眼 八咫烏</v>
          </cell>
        </row>
        <row r="406">
          <cell r="A406">
            <v>405</v>
          </cell>
          <cell r="B406" t="str">
            <v>ja</v>
          </cell>
          <cell r="C406" t="str">
            <v>エキドナ</v>
          </cell>
        </row>
        <row r="407">
          <cell r="A407">
            <v>406</v>
          </cell>
          <cell r="B407" t="str">
            <v>ja</v>
          </cell>
          <cell r="C407" t="str">
            <v>美笑の蒼蛇 エキドナ</v>
          </cell>
        </row>
        <row r="408">
          <cell r="A408">
            <v>407</v>
          </cell>
          <cell r="B408" t="str">
            <v>ja</v>
          </cell>
          <cell r="C408" t="str">
            <v>蠱惑の飛刀 エキドナ</v>
          </cell>
        </row>
        <row r="409">
          <cell r="A409">
            <v>408</v>
          </cell>
          <cell r="B409" t="str">
            <v>ja</v>
          </cell>
          <cell r="C409" t="str">
            <v>皇魔 アスタロト</v>
          </cell>
        </row>
        <row r="410">
          <cell r="A410">
            <v>409</v>
          </cell>
          <cell r="B410" t="str">
            <v>ja</v>
          </cell>
          <cell r="C410" t="str">
            <v>天眼の皇貴魔 アスタロト</v>
          </cell>
        </row>
        <row r="411">
          <cell r="A411">
            <v>410</v>
          </cell>
          <cell r="B411" t="str">
            <v>ja</v>
          </cell>
          <cell r="C411" t="str">
            <v>ファラデー</v>
          </cell>
        </row>
        <row r="412">
          <cell r="A412">
            <v>411</v>
          </cell>
          <cell r="B412" t="str">
            <v>ja</v>
          </cell>
          <cell r="C412" t="str">
            <v>電隷の始祖 ファラデー</v>
          </cell>
        </row>
        <row r="413">
          <cell r="A413">
            <v>412</v>
          </cell>
          <cell r="B413" t="str">
            <v>ja</v>
          </cell>
          <cell r="C413" t="str">
            <v>コウネン</v>
          </cell>
        </row>
        <row r="414">
          <cell r="A414">
            <v>413</v>
          </cell>
          <cell r="B414" t="str">
            <v>ja</v>
          </cell>
          <cell r="C414" t="str">
            <v>狂騒地蔵 コウネン</v>
          </cell>
        </row>
        <row r="415">
          <cell r="A415">
            <v>414</v>
          </cell>
          <cell r="B415" t="str">
            <v>ja</v>
          </cell>
          <cell r="C415" t="str">
            <v>炎のミリオンダック 2</v>
          </cell>
        </row>
        <row r="416">
          <cell r="A416">
            <v>415</v>
          </cell>
          <cell r="B416" t="str">
            <v>ja</v>
          </cell>
          <cell r="C416" t="str">
            <v>森のミリオンダック 2</v>
          </cell>
        </row>
        <row r="417">
          <cell r="A417">
            <v>416</v>
          </cell>
          <cell r="B417" t="str">
            <v>ja</v>
          </cell>
          <cell r="C417" t="str">
            <v>水のミリオンダック 2</v>
          </cell>
        </row>
        <row r="418">
          <cell r="A418">
            <v>417</v>
          </cell>
          <cell r="B418" t="str">
            <v>ja</v>
          </cell>
          <cell r="C418" t="str">
            <v>雷のミリオンダック 2</v>
          </cell>
        </row>
        <row r="419">
          <cell r="A419">
            <v>418</v>
          </cell>
          <cell r="B419" t="str">
            <v>ja</v>
          </cell>
          <cell r="C419" t="str">
            <v>ウラシマ</v>
          </cell>
        </row>
        <row r="420">
          <cell r="A420">
            <v>419</v>
          </cell>
          <cell r="B420" t="str">
            <v>ja</v>
          </cell>
          <cell r="C420" t="str">
            <v>宣戦の解城 ウラシマ</v>
          </cell>
        </row>
        <row r="421">
          <cell r="A421">
            <v>420</v>
          </cell>
          <cell r="B421" t="str">
            <v>ja</v>
          </cell>
          <cell r="C421" t="str">
            <v>カエデ</v>
          </cell>
        </row>
        <row r="422">
          <cell r="A422">
            <v>421</v>
          </cell>
          <cell r="B422" t="str">
            <v>ja</v>
          </cell>
          <cell r="C422" t="str">
            <v>反親の彩壁 カエデ</v>
          </cell>
        </row>
        <row r="423">
          <cell r="A423">
            <v>422</v>
          </cell>
          <cell r="B423" t="str">
            <v>ja</v>
          </cell>
          <cell r="C423" t="str">
            <v>シュガフル</v>
          </cell>
        </row>
        <row r="424">
          <cell r="A424">
            <v>423</v>
          </cell>
          <cell r="B424" t="str">
            <v>ja</v>
          </cell>
          <cell r="C424" t="str">
            <v>甘罠の魔女 シュガフル</v>
          </cell>
        </row>
        <row r="425">
          <cell r="A425">
            <v>424</v>
          </cell>
          <cell r="B425" t="str">
            <v>ja</v>
          </cell>
          <cell r="C425" t="str">
            <v>フック</v>
          </cell>
        </row>
        <row r="426">
          <cell r="A426">
            <v>425</v>
          </cell>
          <cell r="B426" t="str">
            <v>ja</v>
          </cell>
          <cell r="C426" t="str">
            <v>怒髪の海賊 フック</v>
          </cell>
        </row>
        <row r="427">
          <cell r="A427">
            <v>426</v>
          </cell>
          <cell r="B427" t="str">
            <v>ja</v>
          </cell>
          <cell r="C427" t="str">
            <v>宮本武蔵</v>
          </cell>
        </row>
        <row r="428">
          <cell r="A428">
            <v>427</v>
          </cell>
          <cell r="B428" t="str">
            <v>ja</v>
          </cell>
          <cell r="C428" t="str">
            <v>極・剣豪 宮本武蔵</v>
          </cell>
        </row>
        <row r="429">
          <cell r="A429">
            <v>428</v>
          </cell>
          <cell r="B429" t="str">
            <v>ja</v>
          </cell>
          <cell r="C429" t="str">
            <v>レッドダムディ</v>
          </cell>
        </row>
        <row r="430">
          <cell r="A430">
            <v>429</v>
          </cell>
          <cell r="B430" t="str">
            <v>ja</v>
          </cell>
          <cell r="C430" t="str">
            <v>ブルーダムディ</v>
          </cell>
        </row>
        <row r="431">
          <cell r="A431">
            <v>430</v>
          </cell>
          <cell r="B431" t="str">
            <v>ja</v>
          </cell>
          <cell r="C431" t="str">
            <v>グリーンダムディ</v>
          </cell>
        </row>
        <row r="432">
          <cell r="A432">
            <v>431</v>
          </cell>
          <cell r="B432" t="str">
            <v>ja</v>
          </cell>
          <cell r="C432" t="str">
            <v>イエローダムディ</v>
          </cell>
        </row>
        <row r="433">
          <cell r="A433">
            <v>432</v>
          </cell>
          <cell r="B433" t="str">
            <v>ja</v>
          </cell>
          <cell r="C433" t="str">
            <v>麒麟</v>
          </cell>
        </row>
        <row r="434">
          <cell r="A434">
            <v>433</v>
          </cell>
          <cell r="B434" t="str">
            <v>ja</v>
          </cell>
          <cell r="C434" t="str">
            <v>世稀の現獣 麒麟</v>
          </cell>
        </row>
        <row r="435">
          <cell r="A435">
            <v>434</v>
          </cell>
          <cell r="B435" t="str">
            <v>ja</v>
          </cell>
          <cell r="C435" t="str">
            <v>D.R.T.H.</v>
          </cell>
        </row>
        <row r="436">
          <cell r="A436">
            <v>435</v>
          </cell>
          <cell r="B436" t="str">
            <v>ja</v>
          </cell>
          <cell r="C436" t="str">
            <v>曝弾の密偵 D.R.T.H.</v>
          </cell>
        </row>
        <row r="437">
          <cell r="A437">
            <v>436</v>
          </cell>
          <cell r="B437" t="str">
            <v>ja</v>
          </cell>
          <cell r="C437" t="str">
            <v>カカシ</v>
          </cell>
        </row>
        <row r="438">
          <cell r="A438">
            <v>437</v>
          </cell>
          <cell r="B438" t="str">
            <v>ja</v>
          </cell>
          <cell r="C438" t="str">
            <v>忘却者 カカシ</v>
          </cell>
        </row>
        <row r="439">
          <cell r="A439">
            <v>438</v>
          </cell>
          <cell r="B439" t="str">
            <v>ja</v>
          </cell>
          <cell r="C439" t="str">
            <v>記憶の奪還 カカシ</v>
          </cell>
        </row>
        <row r="440">
          <cell r="A440">
            <v>439</v>
          </cell>
          <cell r="B440" t="str">
            <v>ja</v>
          </cell>
          <cell r="C440" t="str">
            <v>ブリキロガー</v>
          </cell>
        </row>
        <row r="441">
          <cell r="A441">
            <v>440</v>
          </cell>
          <cell r="B441" t="str">
            <v>ja</v>
          </cell>
          <cell r="C441" t="str">
            <v>改良型 ブリキロガー</v>
          </cell>
        </row>
        <row r="442">
          <cell r="A442">
            <v>441</v>
          </cell>
          <cell r="B442" t="str">
            <v>ja</v>
          </cell>
          <cell r="C442" t="str">
            <v>求心の錻装 ブリキロガー</v>
          </cell>
        </row>
        <row r="443">
          <cell r="A443">
            <v>442</v>
          </cell>
          <cell r="B443" t="str">
            <v>ja</v>
          </cell>
          <cell r="C443" t="str">
            <v>ブレイブリー・ライオン</v>
          </cell>
        </row>
        <row r="444">
          <cell r="A444">
            <v>443</v>
          </cell>
          <cell r="B444" t="str">
            <v>ja</v>
          </cell>
          <cell r="C444" t="str">
            <v>勇機結集 ブレイブリー・ライオン</v>
          </cell>
        </row>
        <row r="445">
          <cell r="A445">
            <v>444</v>
          </cell>
          <cell r="B445" t="str">
            <v>ja</v>
          </cell>
          <cell r="C445" t="str">
            <v>炎のミリオンダック 4</v>
          </cell>
        </row>
        <row r="446">
          <cell r="A446">
            <v>445</v>
          </cell>
          <cell r="B446" t="str">
            <v>ja</v>
          </cell>
          <cell r="C446" t="str">
            <v>森のミリオンダック 4</v>
          </cell>
        </row>
        <row r="447">
          <cell r="A447">
            <v>446</v>
          </cell>
          <cell r="B447" t="str">
            <v>ja</v>
          </cell>
          <cell r="C447" t="str">
            <v>水のミリオンダック 4</v>
          </cell>
        </row>
        <row r="448">
          <cell r="A448">
            <v>447</v>
          </cell>
          <cell r="B448" t="str">
            <v>ja</v>
          </cell>
          <cell r="C448" t="str">
            <v>雷のミリオンダック 4</v>
          </cell>
        </row>
        <row r="449">
          <cell r="A449">
            <v>448</v>
          </cell>
          <cell r="B449" t="str">
            <v>ja</v>
          </cell>
          <cell r="C449" t="str">
            <v>浮上する夢想学士 シャルル</v>
          </cell>
        </row>
        <row r="450">
          <cell r="A450">
            <v>449</v>
          </cell>
          <cell r="B450" t="str">
            <v>ja</v>
          </cell>
          <cell r="C450" t="str">
            <v>未定</v>
          </cell>
        </row>
        <row r="451">
          <cell r="A451">
            <v>450</v>
          </cell>
          <cell r="B451" t="str">
            <v>ja</v>
          </cell>
          <cell r="C451" t="str">
            <v>イゾルデ</v>
          </cell>
        </row>
        <row r="452">
          <cell r="A452">
            <v>451</v>
          </cell>
          <cell r="B452" t="str">
            <v>ja</v>
          </cell>
          <cell r="C452" t="str">
            <v>シルエットオーディン2</v>
          </cell>
        </row>
        <row r="453">
          <cell r="A453">
            <v>452</v>
          </cell>
          <cell r="B453" t="str">
            <v>ja</v>
          </cell>
          <cell r="C453" t="str">
            <v>猛狐 エゾ</v>
          </cell>
        </row>
        <row r="454">
          <cell r="A454">
            <v>453</v>
          </cell>
          <cell r="B454" t="str">
            <v>ja</v>
          </cell>
          <cell r="C454" t="str">
            <v>急尾の猛狐 エゾ</v>
          </cell>
        </row>
        <row r="455">
          <cell r="A455">
            <v>454</v>
          </cell>
          <cell r="B455" t="str">
            <v>ja</v>
          </cell>
          <cell r="C455" t="str">
            <v>二闘 レッサとギガン</v>
          </cell>
        </row>
        <row r="456">
          <cell r="A456">
            <v>455</v>
          </cell>
          <cell r="B456" t="str">
            <v>ja</v>
          </cell>
          <cell r="C456" t="str">
            <v>廃街の二闘 レッサとギガン</v>
          </cell>
        </row>
        <row r="457">
          <cell r="A457">
            <v>456</v>
          </cell>
          <cell r="B457" t="str">
            <v>ja</v>
          </cell>
          <cell r="C457" t="str">
            <v>射絶 ユヅル</v>
          </cell>
        </row>
        <row r="458">
          <cell r="A458">
            <v>457</v>
          </cell>
          <cell r="B458" t="str">
            <v>ja</v>
          </cell>
          <cell r="C458" t="str">
            <v>京速射絶 ユヅル</v>
          </cell>
        </row>
        <row r="459">
          <cell r="A459">
            <v>458</v>
          </cell>
          <cell r="B459" t="str">
            <v>ja</v>
          </cell>
          <cell r="C459" t="str">
            <v>嵐龍 スガル</v>
          </cell>
        </row>
        <row r="460">
          <cell r="A460">
            <v>459</v>
          </cell>
          <cell r="B460" t="str">
            <v>ja</v>
          </cell>
          <cell r="C460" t="str">
            <v>威喝の嵐龍 スガル</v>
          </cell>
        </row>
        <row r="461">
          <cell r="A461">
            <v>460</v>
          </cell>
          <cell r="B461" t="str">
            <v>ja</v>
          </cell>
          <cell r="C461" t="str">
            <v>オズ</v>
          </cell>
        </row>
        <row r="462">
          <cell r="A462">
            <v>461</v>
          </cell>
          <cell r="B462" t="str">
            <v>ja</v>
          </cell>
          <cell r="C462" t="str">
            <v>大いなる虚像 オズ</v>
          </cell>
        </row>
        <row r="463">
          <cell r="A463">
            <v>462</v>
          </cell>
          <cell r="B463" t="str">
            <v>ja</v>
          </cell>
          <cell r="C463" t="str">
            <v>ガウェイン</v>
          </cell>
        </row>
        <row r="464">
          <cell r="A464">
            <v>463</v>
          </cell>
          <cell r="B464" t="str">
            <v>ja</v>
          </cell>
          <cell r="C464" t="str">
            <v>燻銀 ガウェイン</v>
          </cell>
        </row>
        <row r="465">
          <cell r="A465">
            <v>464</v>
          </cell>
          <cell r="B465" t="str">
            <v>ja</v>
          </cell>
          <cell r="C465" t="str">
            <v>円熟の弾導 ガウェイン</v>
          </cell>
        </row>
        <row r="466">
          <cell r="A466">
            <v>465</v>
          </cell>
          <cell r="B466" t="str">
            <v>ja</v>
          </cell>
          <cell r="C466" t="str">
            <v>真撃 ランスロット</v>
          </cell>
        </row>
        <row r="467">
          <cell r="A467">
            <v>466</v>
          </cell>
          <cell r="B467" t="str">
            <v>ja</v>
          </cell>
          <cell r="C467" t="str">
            <v>真断の勇覇 ランスロット</v>
          </cell>
        </row>
        <row r="468">
          <cell r="A468">
            <v>467</v>
          </cell>
          <cell r="B468" t="str">
            <v>ja</v>
          </cell>
          <cell r="C468" t="str">
            <v>報復 モルドレッド</v>
          </cell>
        </row>
        <row r="469">
          <cell r="A469">
            <v>468</v>
          </cell>
          <cell r="B469" t="str">
            <v>ja</v>
          </cell>
          <cell r="C469" t="str">
            <v>憎愛の尖鋒 モルドレッド</v>
          </cell>
        </row>
        <row r="470">
          <cell r="A470">
            <v>469</v>
          </cell>
          <cell r="B470" t="str">
            <v>ja</v>
          </cell>
          <cell r="C470" t="str">
            <v>トリスタン</v>
          </cell>
        </row>
        <row r="471">
          <cell r="A471">
            <v>470</v>
          </cell>
          <cell r="B471" t="str">
            <v>ja</v>
          </cell>
          <cell r="C471" t="str">
            <v>純心 トリスタン</v>
          </cell>
        </row>
        <row r="472">
          <cell r="A472">
            <v>471</v>
          </cell>
          <cell r="B472" t="str">
            <v>ja</v>
          </cell>
          <cell r="C472" t="str">
            <v>不可避の爆激 トリスタン</v>
          </cell>
        </row>
        <row r="473">
          <cell r="A473">
            <v>472</v>
          </cell>
          <cell r="B473" t="str">
            <v>ja</v>
          </cell>
          <cell r="C473" t="str">
            <v>アーサー</v>
          </cell>
        </row>
        <row r="474">
          <cell r="A474">
            <v>473</v>
          </cell>
          <cell r="B474" t="str">
            <v>ja</v>
          </cell>
          <cell r="C474" t="str">
            <v>凶堅なる正義 アーサー</v>
          </cell>
        </row>
        <row r="475">
          <cell r="A475">
            <v>474</v>
          </cell>
          <cell r="B475" t="str">
            <v>ja</v>
          </cell>
          <cell r="C475" t="str">
            <v>キング・ドライグ</v>
          </cell>
        </row>
        <row r="476">
          <cell r="A476">
            <v>475</v>
          </cell>
          <cell r="B476" t="str">
            <v>ja</v>
          </cell>
          <cell r="C476" t="str">
            <v>緋王 キング・ドライグ</v>
          </cell>
        </row>
        <row r="477">
          <cell r="A477">
            <v>476</v>
          </cell>
          <cell r="B477" t="str">
            <v>ja</v>
          </cell>
          <cell r="C477" t="str">
            <v>ファータ</v>
          </cell>
        </row>
        <row r="478">
          <cell r="A478">
            <v>477</v>
          </cell>
          <cell r="B478" t="str">
            <v>ja</v>
          </cell>
          <cell r="C478" t="str">
            <v>愛羽妖精 ファータ</v>
          </cell>
        </row>
        <row r="479">
          <cell r="A479">
            <v>478</v>
          </cell>
          <cell r="B479" t="str">
            <v>ja</v>
          </cell>
          <cell r="C479" t="str">
            <v>時計仕掛けの愛羽妖精 ファータ</v>
          </cell>
        </row>
        <row r="480">
          <cell r="A480">
            <v>479</v>
          </cell>
          <cell r="B480" t="str">
            <v>ja</v>
          </cell>
          <cell r="C480" t="str">
            <v>フール</v>
          </cell>
        </row>
        <row r="481">
          <cell r="A481">
            <v>480</v>
          </cell>
          <cell r="B481" t="str">
            <v>ja</v>
          </cell>
          <cell r="C481" t="str">
            <v>夢幻の愚者フール</v>
          </cell>
        </row>
        <row r="482">
          <cell r="A482">
            <v>481</v>
          </cell>
          <cell r="B482" t="str">
            <v>ja</v>
          </cell>
          <cell r="C482" t="str">
            <v>沢庵宗彭</v>
          </cell>
        </row>
        <row r="483">
          <cell r="A483">
            <v>482</v>
          </cell>
          <cell r="B483" t="str">
            <v>ja</v>
          </cell>
          <cell r="C483" t="str">
            <v>魁僧 沢庵宗彭</v>
          </cell>
        </row>
        <row r="484">
          <cell r="A484">
            <v>483</v>
          </cell>
          <cell r="B484" t="str">
            <v>ja</v>
          </cell>
          <cell r="C484" t="str">
            <v xml:space="preserve">命経死遂 沢庵宗彭 </v>
          </cell>
        </row>
        <row r="485">
          <cell r="A485">
            <v>484</v>
          </cell>
          <cell r="B485" t="str">
            <v>ja</v>
          </cell>
          <cell r="C485" t="str">
            <v>ラグランジュ</v>
          </cell>
        </row>
        <row r="486">
          <cell r="A486">
            <v>485</v>
          </cell>
          <cell r="B486" t="str">
            <v>ja</v>
          </cell>
          <cell r="C486" t="str">
            <v>超越自我 ラグランジュ</v>
          </cell>
        </row>
        <row r="487">
          <cell r="A487">
            <v>486</v>
          </cell>
          <cell r="B487" t="str">
            <v>ja</v>
          </cell>
          <cell r="C487" t="str">
            <v>重なる世解 シュレディンガー</v>
          </cell>
        </row>
        <row r="488">
          <cell r="A488">
            <v>487</v>
          </cell>
          <cell r="B488" t="str">
            <v>ja</v>
          </cell>
          <cell r="C488" t="str">
            <v>暴創の造物 チューリング</v>
          </cell>
        </row>
        <row r="489">
          <cell r="A489">
            <v>488</v>
          </cell>
          <cell r="B489" t="str">
            <v>ja</v>
          </cell>
          <cell r="C489" t="str">
            <v>直観の異論 ヘンペル</v>
          </cell>
        </row>
        <row r="490">
          <cell r="A490">
            <v>489</v>
          </cell>
          <cell r="B490" t="str">
            <v>ja</v>
          </cell>
          <cell r="C490" t="str">
            <v>宇宙の拡超 ハップル</v>
          </cell>
        </row>
        <row r="491">
          <cell r="A491">
            <v>490</v>
          </cell>
          <cell r="B491" t="str">
            <v>ja</v>
          </cell>
          <cell r="C491" t="str">
            <v>グリム</v>
          </cell>
        </row>
        <row r="492">
          <cell r="A492">
            <v>491</v>
          </cell>
          <cell r="B492" t="str">
            <v>ja</v>
          </cell>
          <cell r="C492" t="str">
            <v>収魂の群影 グリム</v>
          </cell>
        </row>
        <row r="493">
          <cell r="A493">
            <v>492</v>
          </cell>
          <cell r="B493" t="str">
            <v>ja</v>
          </cell>
          <cell r="C493" t="str">
            <v>ブートレグ・ペロー</v>
          </cell>
        </row>
        <row r="494">
          <cell r="A494">
            <v>493</v>
          </cell>
          <cell r="B494" t="str">
            <v>ja</v>
          </cell>
          <cell r="C494" t="str">
            <v>跋扈の機脚 ブートレグ・ペロー</v>
          </cell>
        </row>
        <row r="495">
          <cell r="A495">
            <v>494</v>
          </cell>
          <cell r="B495" t="str">
            <v>ja</v>
          </cell>
          <cell r="C495" t="str">
            <v>ハーメルン</v>
          </cell>
        </row>
        <row r="496">
          <cell r="A496">
            <v>495</v>
          </cell>
          <cell r="B496" t="str">
            <v>ja</v>
          </cell>
          <cell r="C496" t="str">
            <v>鼠災呼ぶ笛音 ハーメルン</v>
          </cell>
        </row>
        <row r="497">
          <cell r="A497">
            <v>496</v>
          </cell>
          <cell r="B497" t="str">
            <v>ja</v>
          </cell>
          <cell r="C497" t="str">
            <v>エスタブ</v>
          </cell>
        </row>
        <row r="498">
          <cell r="A498">
            <v>497</v>
          </cell>
          <cell r="B498" t="str">
            <v>ja</v>
          </cell>
          <cell r="C498" t="str">
            <v>偏愛の野獣 エスタブ</v>
          </cell>
        </row>
        <row r="499">
          <cell r="A499">
            <v>498</v>
          </cell>
          <cell r="B499" t="str">
            <v>ja</v>
          </cell>
          <cell r="C499" t="str">
            <v>自愛の高魔 エスタブ</v>
          </cell>
        </row>
        <row r="500">
          <cell r="A500">
            <v>499</v>
          </cell>
          <cell r="B500" t="str">
            <v>ja</v>
          </cell>
          <cell r="C500" t="str">
            <v>ラプンツェル</v>
          </cell>
        </row>
        <row r="501">
          <cell r="A501">
            <v>500</v>
          </cell>
          <cell r="B501" t="str">
            <v>ja</v>
          </cell>
          <cell r="C501" t="str">
            <v>脈動の禁髪 ラプンツェル</v>
          </cell>
        </row>
        <row r="502">
          <cell r="A502">
            <v>501</v>
          </cell>
          <cell r="B502" t="str">
            <v>ja</v>
          </cell>
          <cell r="C502" t="str">
            <v>ラプンツェルじゃなくなった</v>
          </cell>
        </row>
        <row r="503">
          <cell r="A503">
            <v>502</v>
          </cell>
          <cell r="B503" t="str">
            <v>ja</v>
          </cell>
          <cell r="C503" t="str">
            <v>テラベル</v>
          </cell>
        </row>
        <row r="504">
          <cell r="A504">
            <v>503</v>
          </cell>
          <cell r="B504" t="str">
            <v>ja</v>
          </cell>
          <cell r="C504" t="str">
            <v>破獣の爆姫 テラベル</v>
          </cell>
        </row>
        <row r="505">
          <cell r="A505">
            <v>504</v>
          </cell>
          <cell r="B505" t="str">
            <v>ja</v>
          </cell>
          <cell r="C505" t="str">
            <v>ハイディン・オーガ</v>
          </cell>
        </row>
        <row r="506">
          <cell r="A506">
            <v>505</v>
          </cell>
          <cell r="B506" t="str">
            <v>ja</v>
          </cell>
          <cell r="C506" t="str">
            <v>暴虐の漏洩 ハイディン・オーガ</v>
          </cell>
        </row>
        <row r="507">
          <cell r="A507">
            <v>506</v>
          </cell>
          <cell r="B507" t="str">
            <v>ja</v>
          </cell>
          <cell r="C507" t="str">
            <v>ゴーテル</v>
          </cell>
        </row>
        <row r="508">
          <cell r="A508">
            <v>507</v>
          </cell>
          <cell r="B508" t="str">
            <v>ja</v>
          </cell>
          <cell r="C508" t="str">
            <v>過保護な幽閉者 ゴーテル</v>
          </cell>
        </row>
        <row r="509">
          <cell r="A509">
            <v>508</v>
          </cell>
          <cell r="B509" t="str">
            <v>ja</v>
          </cell>
          <cell r="C509" t="str">
            <v>Gスター・チルドレン</v>
          </cell>
        </row>
        <row r="510">
          <cell r="A510">
            <v>509</v>
          </cell>
          <cell r="B510" t="str">
            <v>ja</v>
          </cell>
          <cell r="C510" t="str">
            <v>純粋悪意 Gスター・チルドレン</v>
          </cell>
        </row>
        <row r="511">
          <cell r="A511">
            <v>510</v>
          </cell>
          <cell r="B511" t="str">
            <v>ja</v>
          </cell>
          <cell r="C511" t="str">
            <v>燃えさかる豪息 ヒュウガ</v>
          </cell>
        </row>
        <row r="512">
          <cell r="A512">
            <v>511</v>
          </cell>
          <cell r="B512" t="str">
            <v>ja</v>
          </cell>
          <cell r="C512" t="str">
            <v>灼き尽くす紅息 ヒュウガ・レアル</v>
          </cell>
        </row>
        <row r="513">
          <cell r="A513">
            <v>512</v>
          </cell>
          <cell r="B513" t="str">
            <v>ja</v>
          </cell>
          <cell r="C513" t="str">
            <v>聖火の逆徒 クリスマス・ベリアル</v>
          </cell>
        </row>
        <row r="514">
          <cell r="A514">
            <v>513</v>
          </cell>
          <cell r="B514" t="str">
            <v>ja</v>
          </cell>
          <cell r="C514" t="str">
            <v>爆進の荷炎 クリスマス・ベリアル</v>
          </cell>
        </row>
        <row r="515">
          <cell r="A515">
            <v>514</v>
          </cell>
          <cell r="B515" t="str">
            <v>ja</v>
          </cell>
          <cell r="C515" t="str">
            <v>祝宴の識徒 サンタクロース・オセ</v>
          </cell>
        </row>
        <row r="516">
          <cell r="A516">
            <v>515</v>
          </cell>
          <cell r="B516" t="str">
            <v>ja</v>
          </cell>
          <cell r="C516" t="str">
            <v>聖夜の贈主 サンタクロース・オセ</v>
          </cell>
        </row>
        <row r="517">
          <cell r="A517">
            <v>516</v>
          </cell>
          <cell r="B517" t="str">
            <v>ja</v>
          </cell>
          <cell r="C517" t="str">
            <v>聖母 マリア</v>
          </cell>
        </row>
        <row r="518">
          <cell r="A518">
            <v>517</v>
          </cell>
          <cell r="B518" t="str">
            <v>ja</v>
          </cell>
          <cell r="C518" t="str">
            <v>真冬の誕生祭 マリア</v>
          </cell>
        </row>
        <row r="519">
          <cell r="A519">
            <v>518</v>
          </cell>
          <cell r="B519" t="str">
            <v>ja</v>
          </cell>
          <cell r="C519" t="str">
            <v>秘来の聖天使 ミカエル</v>
          </cell>
        </row>
        <row r="520">
          <cell r="A520">
            <v>519</v>
          </cell>
          <cell r="B520" t="str">
            <v>ja</v>
          </cell>
          <cell r="C520" t="str">
            <v>夜天の聖天使 ミカエル・ハレルヤ</v>
          </cell>
        </row>
        <row r="521">
          <cell r="A521">
            <v>520</v>
          </cell>
          <cell r="B521" t="str">
            <v>ja</v>
          </cell>
          <cell r="C521" t="str">
            <v>炎のサンタダック</v>
          </cell>
        </row>
        <row r="522">
          <cell r="A522">
            <v>521</v>
          </cell>
          <cell r="B522" t="str">
            <v>ja</v>
          </cell>
          <cell r="C522" t="str">
            <v>森のサンタダック</v>
          </cell>
        </row>
        <row r="523">
          <cell r="A523">
            <v>522</v>
          </cell>
          <cell r="B523" t="str">
            <v>ja</v>
          </cell>
          <cell r="C523" t="str">
            <v>水のサンタダック</v>
          </cell>
        </row>
        <row r="524">
          <cell r="A524">
            <v>523</v>
          </cell>
          <cell r="B524" t="str">
            <v>ja</v>
          </cell>
          <cell r="C524" t="str">
            <v>雷のサンタダック</v>
          </cell>
        </row>
        <row r="525">
          <cell r="A525">
            <v>524</v>
          </cell>
          <cell r="B525" t="str">
            <v>ja</v>
          </cell>
          <cell r="C525" t="str">
            <v>あけおめダック</v>
          </cell>
        </row>
        <row r="526">
          <cell r="A526">
            <v>525</v>
          </cell>
          <cell r="B526" t="str">
            <v>ja</v>
          </cell>
          <cell r="C526" t="str">
            <v>ウィンタースポーツ 雪ミク</v>
          </cell>
        </row>
        <row r="527">
          <cell r="A527">
            <v>526</v>
          </cell>
          <cell r="B527" t="str">
            <v>ja</v>
          </cell>
          <cell r="C527" t="str">
            <v>大滑走 雪ミク&amp;ラビットユキネ</v>
          </cell>
        </row>
        <row r="528">
          <cell r="A528">
            <v>527</v>
          </cell>
          <cell r="B528" t="str">
            <v>ja</v>
          </cell>
          <cell r="C528" t="str">
            <v>初音ミクV3</v>
          </cell>
        </row>
        <row r="529">
          <cell r="A529">
            <v>528</v>
          </cell>
          <cell r="B529" t="str">
            <v>ja</v>
          </cell>
          <cell r="C529" t="str">
            <v>新世の歌姫 初音ミクV3</v>
          </cell>
        </row>
        <row r="530">
          <cell r="A530">
            <v>529</v>
          </cell>
          <cell r="B530" t="str">
            <v>ja</v>
          </cell>
          <cell r="C530" t="str">
            <v>冬服ジェリー</v>
          </cell>
        </row>
        <row r="531">
          <cell r="A531">
            <v>530</v>
          </cell>
          <cell r="B531" t="str">
            <v>ja</v>
          </cell>
          <cell r="C531" t="str">
            <v>冬服ジョー</v>
          </cell>
        </row>
        <row r="532">
          <cell r="A532">
            <v>531</v>
          </cell>
          <cell r="B532" t="str">
            <v>ja</v>
          </cell>
          <cell r="C532" t="str">
            <v>冬服ポチ</v>
          </cell>
        </row>
        <row r="533">
          <cell r="A533">
            <v>532</v>
          </cell>
          <cell r="B533" t="str">
            <v>ja</v>
          </cell>
          <cell r="C533" t="str">
            <v>冬服エレキポット</v>
          </cell>
        </row>
        <row r="534">
          <cell r="A534">
            <v>533</v>
          </cell>
          <cell r="B534" t="str">
            <v>ja</v>
          </cell>
          <cell r="C534" t="str">
            <v>冬服アカネ</v>
          </cell>
        </row>
        <row r="535">
          <cell r="A535">
            <v>534</v>
          </cell>
          <cell r="B535" t="str">
            <v>ja</v>
          </cell>
          <cell r="C535" t="str">
            <v>冬服パトライン</v>
          </cell>
        </row>
        <row r="536">
          <cell r="A536">
            <v>535</v>
          </cell>
          <cell r="B536" t="str">
            <v>ja</v>
          </cell>
          <cell r="C536" t="str">
            <v>冬服リム</v>
          </cell>
        </row>
        <row r="537">
          <cell r="A537">
            <v>536</v>
          </cell>
          <cell r="B537" t="str">
            <v>ja</v>
          </cell>
          <cell r="C537" t="str">
            <v>冬服ミミ</v>
          </cell>
        </row>
        <row r="538">
          <cell r="A538">
            <v>537</v>
          </cell>
          <cell r="B538" t="str">
            <v>ja</v>
          </cell>
          <cell r="C538" t="str">
            <v>冬服ハッピー100</v>
          </cell>
        </row>
        <row r="539">
          <cell r="A539">
            <v>538</v>
          </cell>
          <cell r="B539" t="str">
            <v>ja</v>
          </cell>
          <cell r="C539" t="str">
            <v>冬服ニムダ</v>
          </cell>
        </row>
        <row r="540">
          <cell r="A540">
            <v>539</v>
          </cell>
          <cell r="B540" t="str">
            <v>ja</v>
          </cell>
          <cell r="C540" t="str">
            <v>初音ミク・アペンド</v>
          </cell>
        </row>
        <row r="541">
          <cell r="A541">
            <v>540</v>
          </cell>
          <cell r="B541" t="str">
            <v>ja</v>
          </cell>
          <cell r="C541" t="str">
            <v>来訪の歌姫 初音ミク・アペンド</v>
          </cell>
        </row>
        <row r="542">
          <cell r="A542">
            <v>541</v>
          </cell>
          <cell r="B542" t="str">
            <v>ja</v>
          </cell>
          <cell r="C542" t="str">
            <v>初音ミク</v>
          </cell>
        </row>
        <row r="543">
          <cell r="A543">
            <v>542</v>
          </cell>
          <cell r="B543" t="str">
            <v>ja</v>
          </cell>
          <cell r="C543" t="str">
            <v>革命の音撃 初音ミク</v>
          </cell>
        </row>
        <row r="544">
          <cell r="A544">
            <v>543</v>
          </cell>
          <cell r="B544" t="str">
            <v>ja</v>
          </cell>
          <cell r="C544" t="str">
            <v>鏡音リン</v>
          </cell>
        </row>
        <row r="545">
          <cell r="A545">
            <v>544</v>
          </cell>
          <cell r="B545" t="str">
            <v>ja</v>
          </cell>
          <cell r="C545" t="str">
            <v>反響の凛音 鏡音リン</v>
          </cell>
        </row>
        <row r="546">
          <cell r="A546">
            <v>545</v>
          </cell>
          <cell r="B546" t="str">
            <v>ja</v>
          </cell>
          <cell r="C546" t="str">
            <v>鏡音レン</v>
          </cell>
        </row>
        <row r="547">
          <cell r="A547">
            <v>546</v>
          </cell>
          <cell r="B547" t="str">
            <v>ja</v>
          </cell>
          <cell r="C547" t="str">
            <v>残響の連符 鏡音レン</v>
          </cell>
        </row>
        <row r="548">
          <cell r="A548">
            <v>547</v>
          </cell>
          <cell r="B548" t="str">
            <v>ja</v>
          </cell>
          <cell r="C548" t="str">
            <v>巡音ルカ</v>
          </cell>
        </row>
        <row r="549">
          <cell r="A549">
            <v>548</v>
          </cell>
          <cell r="B549" t="str">
            <v>ja</v>
          </cell>
          <cell r="C549" t="str">
            <v>乱舞の音環 巡音ルカ</v>
          </cell>
        </row>
        <row r="550">
          <cell r="A550">
            <v>549</v>
          </cell>
          <cell r="B550" t="str">
            <v>ja</v>
          </cell>
          <cell r="C550" t="str">
            <v>MEIKO</v>
          </cell>
        </row>
        <row r="551">
          <cell r="A551">
            <v>550</v>
          </cell>
          <cell r="B551" t="str">
            <v>ja</v>
          </cell>
          <cell r="C551" t="str">
            <v>解放の絶唱 MEIKO</v>
          </cell>
        </row>
        <row r="552">
          <cell r="A552">
            <v>551</v>
          </cell>
          <cell r="B552" t="str">
            <v>ja</v>
          </cell>
          <cell r="C552" t="str">
            <v>KAITO</v>
          </cell>
        </row>
        <row r="553">
          <cell r="A553">
            <v>552</v>
          </cell>
          <cell r="B553" t="str">
            <v>ja</v>
          </cell>
          <cell r="C553" t="str">
            <v>愉悦の愛唱 KAITO</v>
          </cell>
        </row>
        <row r="554">
          <cell r="A554">
            <v>553</v>
          </cell>
          <cell r="B554" t="str">
            <v>ja</v>
          </cell>
          <cell r="C554" t="str">
            <v>雪ミク2016</v>
          </cell>
        </row>
        <row r="555">
          <cell r="A555">
            <v>554</v>
          </cell>
          <cell r="B555" t="str">
            <v>ja</v>
          </cell>
          <cell r="C555" t="str">
            <v>雪ミク&amp;ラビット・ユキネ2016</v>
          </cell>
        </row>
        <row r="556">
          <cell r="A556">
            <v>555</v>
          </cell>
          <cell r="B556" t="str">
            <v>ja</v>
          </cell>
          <cell r="C556" t="str">
            <v>雪ミク2014</v>
          </cell>
        </row>
        <row r="557">
          <cell r="A557">
            <v>556</v>
          </cell>
          <cell r="B557" t="str">
            <v>ja</v>
          </cell>
          <cell r="C557" t="str">
            <v>雪ミク&amp;ラビットユキネ2014</v>
          </cell>
        </row>
        <row r="558">
          <cell r="A558">
            <v>557</v>
          </cell>
          <cell r="B558" t="str">
            <v>ja</v>
          </cell>
          <cell r="C558" t="str">
            <v>ラビット・ユキネ</v>
          </cell>
        </row>
        <row r="559">
          <cell r="A559">
            <v>558</v>
          </cell>
          <cell r="B559" t="str">
            <v>ja</v>
          </cell>
          <cell r="C559" t="str">
            <v>雪原の超躍 ラビット・ユキネ</v>
          </cell>
        </row>
        <row r="560">
          <cell r="A560">
            <v>559</v>
          </cell>
          <cell r="B560" t="str">
            <v>ja</v>
          </cell>
          <cell r="C560" t="str">
            <v>白銀の滑光 ラビット・ユキネ</v>
          </cell>
        </row>
        <row r="561">
          <cell r="A561">
            <v>560</v>
          </cell>
          <cell r="B561" t="str">
            <v>ja</v>
          </cell>
          <cell r="C561" t="str">
            <v>暴骨炎舞の狂賢者 ユノ</v>
          </cell>
        </row>
        <row r="562">
          <cell r="A562">
            <v>561</v>
          </cell>
          <cell r="B562" t="str">
            <v>ja</v>
          </cell>
          <cell r="C562" t="str">
            <v>森翠統べる獣姫 アマラ</v>
          </cell>
        </row>
        <row r="563">
          <cell r="A563">
            <v>562</v>
          </cell>
          <cell r="B563" t="str">
            <v>ja</v>
          </cell>
          <cell r="C563" t="str">
            <v>月夜砕く蒼狂狼 ローレンス</v>
          </cell>
        </row>
        <row r="564">
          <cell r="A564">
            <v>563</v>
          </cell>
          <cell r="B564" t="str">
            <v>ja</v>
          </cell>
          <cell r="C564" t="str">
            <v>電翔紫閃の雷刃 ハヤト</v>
          </cell>
        </row>
        <row r="565">
          <cell r="A565">
            <v>564</v>
          </cell>
          <cell r="B565" t="str">
            <v>ja</v>
          </cell>
          <cell r="C565" t="str">
            <v>赤ずきん</v>
          </cell>
        </row>
        <row r="566">
          <cell r="A566">
            <v>565</v>
          </cell>
          <cell r="B566" t="str">
            <v>ja</v>
          </cell>
          <cell r="C566" t="str">
            <v>かぐや</v>
          </cell>
        </row>
        <row r="567">
          <cell r="A567">
            <v>566</v>
          </cell>
          <cell r="B567" t="str">
            <v>ja</v>
          </cell>
          <cell r="C567" t="str">
            <v>遊歩遊泳プリンセス マーメイド</v>
          </cell>
        </row>
        <row r="568">
          <cell r="A568">
            <v>567</v>
          </cell>
          <cell r="B568" t="str">
            <v>ja</v>
          </cell>
          <cell r="C568" t="str">
            <v>紅揚の祭狐宴舞 タマモ</v>
          </cell>
        </row>
        <row r="569">
          <cell r="A569">
            <v>568</v>
          </cell>
          <cell r="B569" t="str">
            <v>ja</v>
          </cell>
          <cell r="C569" t="str">
            <v>空駆ける電能師 テスラ</v>
          </cell>
        </row>
        <row r="570">
          <cell r="A570">
            <v>569</v>
          </cell>
          <cell r="B570" t="str">
            <v>ja</v>
          </cell>
          <cell r="C570" t="str">
            <v>ハッピー102</v>
          </cell>
        </row>
        <row r="571">
          <cell r="A571">
            <v>570</v>
          </cell>
          <cell r="B571" t="str">
            <v>ja</v>
          </cell>
          <cell r="C571" t="str">
            <v>幸響の電心 ハッピー</v>
          </cell>
        </row>
        <row r="572">
          <cell r="A572">
            <v>571</v>
          </cell>
          <cell r="B572" t="str">
            <v>ja</v>
          </cell>
          <cell r="C572" t="str">
            <v>ハッピー バレンタイン</v>
          </cell>
        </row>
        <row r="573">
          <cell r="A573">
            <v>572</v>
          </cell>
          <cell r="B573" t="str">
            <v>ja</v>
          </cell>
          <cell r="C573" t="str">
            <v>恋する果実</v>
          </cell>
        </row>
        <row r="574">
          <cell r="A574">
            <v>573</v>
          </cell>
          <cell r="B574" t="str">
            <v>ja</v>
          </cell>
          <cell r="C574" t="str">
            <v>オーディン</v>
          </cell>
        </row>
        <row r="575">
          <cell r="A575">
            <v>574</v>
          </cell>
          <cell r="B575" t="str">
            <v>ja</v>
          </cell>
          <cell r="C575" t="str">
            <v>世慧の守神 オーディン</v>
          </cell>
        </row>
        <row r="576">
          <cell r="A576">
            <v>575</v>
          </cell>
          <cell r="B576" t="str">
            <v>ja</v>
          </cell>
          <cell r="C576" t="str">
            <v>フレイ</v>
          </cell>
        </row>
        <row r="577">
          <cell r="A577">
            <v>576</v>
          </cell>
          <cell r="B577" t="str">
            <v>ja</v>
          </cell>
          <cell r="C577" t="str">
            <v>統勝の豊穣王神 フレイ</v>
          </cell>
        </row>
        <row r="578">
          <cell r="A578">
            <v>577</v>
          </cell>
          <cell r="B578" t="str">
            <v>ja</v>
          </cell>
          <cell r="C578" t="str">
            <v>ビュグヴィルとベイラ</v>
          </cell>
        </row>
        <row r="579">
          <cell r="A579">
            <v>578</v>
          </cell>
          <cell r="B579" t="str">
            <v>ja</v>
          </cell>
          <cell r="C579" t="str">
            <v>穣神従事 ビュグヴィルとベイラ</v>
          </cell>
        </row>
        <row r="580">
          <cell r="A580">
            <v>579</v>
          </cell>
          <cell r="B580" t="str">
            <v>ja</v>
          </cell>
          <cell r="C580" t="str">
            <v>オーズ</v>
          </cell>
        </row>
        <row r="581">
          <cell r="A581">
            <v>580</v>
          </cell>
          <cell r="B581" t="str">
            <v>ja</v>
          </cell>
          <cell r="C581" t="str">
            <v>愛憐の旅神 オーズ</v>
          </cell>
        </row>
        <row r="582">
          <cell r="A582">
            <v>581</v>
          </cell>
          <cell r="B582" t="str">
            <v>ja</v>
          </cell>
          <cell r="C582" t="str">
            <v>フギンとムニン</v>
          </cell>
        </row>
        <row r="583">
          <cell r="A583">
            <v>582</v>
          </cell>
          <cell r="B583" t="str">
            <v>ja</v>
          </cell>
          <cell r="C583" t="str">
            <v>空を駆る双鴉 フギンとムニン</v>
          </cell>
        </row>
        <row r="584">
          <cell r="A584">
            <v>583</v>
          </cell>
          <cell r="B584" t="str">
            <v>ja</v>
          </cell>
          <cell r="C584" t="str">
            <v>ミョルニル</v>
          </cell>
        </row>
        <row r="585">
          <cell r="A585">
            <v>584</v>
          </cell>
          <cell r="B585" t="str">
            <v>ja</v>
          </cell>
          <cell r="C585" t="str">
            <v>自律する召雷鎚 ミョルニル</v>
          </cell>
        </row>
        <row r="586">
          <cell r="A586">
            <v>585</v>
          </cell>
          <cell r="B586" t="str">
            <v>ja</v>
          </cell>
          <cell r="C586" t="str">
            <v>未定</v>
          </cell>
        </row>
        <row r="587">
          <cell r="A587">
            <v>586</v>
          </cell>
          <cell r="B587" t="str">
            <v>ja</v>
          </cell>
          <cell r="C587" t="str">
            <v>ユミル</v>
          </cell>
        </row>
        <row r="588">
          <cell r="A588">
            <v>587</v>
          </cell>
          <cell r="B588" t="str">
            <v>ja</v>
          </cell>
          <cell r="C588" t="str">
            <v>原初の煉鋼巨刃 ユミル</v>
          </cell>
        </row>
        <row r="589">
          <cell r="A589">
            <v>588</v>
          </cell>
          <cell r="B589" t="str">
            <v>ja</v>
          </cell>
          <cell r="C589" t="str">
            <v>ニーベルゲン</v>
          </cell>
        </row>
        <row r="590">
          <cell r="A590">
            <v>589</v>
          </cell>
          <cell r="B590" t="str">
            <v>ja</v>
          </cell>
          <cell r="C590" t="str">
            <v>不幸の円環 ニーベルゲン</v>
          </cell>
        </row>
        <row r="591">
          <cell r="A591">
            <v>590</v>
          </cell>
          <cell r="B591" t="str">
            <v>ja</v>
          </cell>
          <cell r="C591" t="str">
            <v>永遠を廻る呪い ニーベルゲン</v>
          </cell>
        </row>
        <row r="592">
          <cell r="A592">
            <v>591</v>
          </cell>
          <cell r="B592" t="str">
            <v>ja</v>
          </cell>
          <cell r="C592" t="str">
            <v>ファフニール</v>
          </cell>
        </row>
        <row r="593">
          <cell r="A593">
            <v>592</v>
          </cell>
          <cell r="B593" t="str">
            <v>ja</v>
          </cell>
          <cell r="C593" t="str">
            <v>財宝への執着 ファフニール</v>
          </cell>
        </row>
        <row r="594">
          <cell r="A594">
            <v>593</v>
          </cell>
          <cell r="B594" t="str">
            <v>ja</v>
          </cell>
          <cell r="C594" t="str">
            <v>妄執する邪毒龍 ファフニール</v>
          </cell>
        </row>
        <row r="595">
          <cell r="A595">
            <v>594</v>
          </cell>
          <cell r="B595" t="str">
            <v>ja</v>
          </cell>
          <cell r="C595" t="str">
            <v>アルフヘイム</v>
          </cell>
        </row>
        <row r="596">
          <cell r="A596">
            <v>595</v>
          </cell>
          <cell r="B596" t="str">
            <v>ja</v>
          </cell>
          <cell r="C596" t="str">
            <v>光華なる神域 アルフヘイム</v>
          </cell>
        </row>
        <row r="597">
          <cell r="A597">
            <v>596</v>
          </cell>
          <cell r="B597" t="str">
            <v>ja</v>
          </cell>
          <cell r="C597" t="str">
            <v>ムスペルヘイム</v>
          </cell>
        </row>
        <row r="598">
          <cell r="A598">
            <v>597</v>
          </cell>
          <cell r="B598" t="str">
            <v>ja</v>
          </cell>
          <cell r="C598" t="str">
            <v>灼熱の魂 ムスペルヘイム</v>
          </cell>
        </row>
        <row r="599">
          <cell r="A599">
            <v>598</v>
          </cell>
          <cell r="B599" t="str">
            <v>ja</v>
          </cell>
          <cell r="C599" t="str">
            <v>焼燃の情熱 ムスペルヘイム</v>
          </cell>
        </row>
        <row r="600">
          <cell r="A600">
            <v>599</v>
          </cell>
          <cell r="B600" t="str">
            <v>ja</v>
          </cell>
          <cell r="C600" t="str">
            <v>ニーズヘッグ</v>
          </cell>
        </row>
        <row r="601">
          <cell r="A601">
            <v>600</v>
          </cell>
          <cell r="B601" t="str">
            <v>ja</v>
          </cell>
          <cell r="C601" t="str">
            <v>界下に潜む蛇 ニーズヘッグ</v>
          </cell>
        </row>
        <row r="602">
          <cell r="A602">
            <v>601</v>
          </cell>
          <cell r="B602" t="str">
            <v>ja</v>
          </cell>
          <cell r="C602" t="str">
            <v>界根蝕む悪食 ニーズヘッグ</v>
          </cell>
        </row>
        <row r="603">
          <cell r="A603">
            <v>602</v>
          </cell>
          <cell r="B603" t="str">
            <v>ja</v>
          </cell>
          <cell r="C603" t="str">
            <v>フレイヤ</v>
          </cell>
        </row>
        <row r="604">
          <cell r="A604">
            <v>603</v>
          </cell>
          <cell r="B604" t="str">
            <v>ja</v>
          </cell>
          <cell r="C604" t="str">
            <v>掌愛の豊穣女神 フレイヤ</v>
          </cell>
        </row>
        <row r="605">
          <cell r="A605">
            <v>604</v>
          </cell>
          <cell r="B605" t="str">
            <v>ja</v>
          </cell>
          <cell r="C605" t="str">
            <v>バルドル</v>
          </cell>
        </row>
        <row r="606">
          <cell r="A606">
            <v>605</v>
          </cell>
          <cell r="B606" t="str">
            <v>ja</v>
          </cell>
          <cell r="C606" t="str">
            <v>祝福される光耀 バルドル</v>
          </cell>
        </row>
        <row r="607">
          <cell r="A607">
            <v>606</v>
          </cell>
          <cell r="B607" t="str">
            <v>ja</v>
          </cell>
          <cell r="C607" t="str">
            <v>冀望の光芒 バルドル</v>
          </cell>
        </row>
        <row r="608">
          <cell r="A608">
            <v>607</v>
          </cell>
          <cell r="B608" t="str">
            <v>ja</v>
          </cell>
          <cell r="C608" t="str">
            <v>メガ攻めの果実</v>
          </cell>
        </row>
        <row r="609">
          <cell r="A609">
            <v>608</v>
          </cell>
          <cell r="B609" t="str">
            <v>ja</v>
          </cell>
          <cell r="C609" t="str">
            <v>メガ生命の果実</v>
          </cell>
        </row>
        <row r="610">
          <cell r="A610">
            <v>609</v>
          </cell>
          <cell r="B610" t="str">
            <v>ja</v>
          </cell>
          <cell r="C610" t="str">
            <v>メガ癒しの果実</v>
          </cell>
        </row>
        <row r="611">
          <cell r="A611">
            <v>610</v>
          </cell>
          <cell r="B611" t="str">
            <v>ja</v>
          </cell>
          <cell r="C611" t="str">
            <v>メガ秘術の果実</v>
          </cell>
        </row>
        <row r="612">
          <cell r="A612">
            <v>611</v>
          </cell>
          <cell r="B612" t="str">
            <v>ja</v>
          </cell>
          <cell r="C612" t="str">
            <v>ギガ攻めの果実</v>
          </cell>
        </row>
        <row r="613">
          <cell r="A613">
            <v>612</v>
          </cell>
          <cell r="B613" t="str">
            <v>ja</v>
          </cell>
          <cell r="C613" t="str">
            <v>ギガ生命の果実</v>
          </cell>
        </row>
        <row r="614">
          <cell r="A614">
            <v>613</v>
          </cell>
          <cell r="B614" t="str">
            <v>ja</v>
          </cell>
          <cell r="C614" t="str">
            <v>ギガ癒しの果実</v>
          </cell>
        </row>
        <row r="615">
          <cell r="A615">
            <v>614</v>
          </cell>
          <cell r="B615" t="str">
            <v>ja</v>
          </cell>
          <cell r="C615" t="str">
            <v>ギガ秘術の果実</v>
          </cell>
        </row>
        <row r="616">
          <cell r="A616">
            <v>615</v>
          </cell>
          <cell r="B616" t="str">
            <v>ja</v>
          </cell>
          <cell r="C616" t="str">
            <v>ヒュドラ・コスモブラスト</v>
          </cell>
        </row>
        <row r="617">
          <cell r="A617">
            <v>616</v>
          </cell>
          <cell r="B617" t="str">
            <v>ja</v>
          </cell>
          <cell r="C617" t="str">
            <v>リンドブルム・デルタクラスター</v>
          </cell>
        </row>
        <row r="618">
          <cell r="A618">
            <v>617</v>
          </cell>
          <cell r="B618" t="str">
            <v>ja</v>
          </cell>
          <cell r="C618" t="str">
            <v>ラーフ・アルマゲドン</v>
          </cell>
        </row>
        <row r="619">
          <cell r="A619">
            <v>618</v>
          </cell>
          <cell r="B619" t="str">
            <v>ja</v>
          </cell>
          <cell r="C619" t="str">
            <v>フェルニゲシュ・オメガドライブ</v>
          </cell>
        </row>
        <row r="620">
          <cell r="A620">
            <v>619</v>
          </cell>
          <cell r="B620" t="str">
            <v>ja</v>
          </cell>
          <cell r="C620" t="str">
            <v>メビウス</v>
          </cell>
        </row>
        <row r="621">
          <cell r="A621">
            <v>620</v>
          </cell>
          <cell r="B621" t="str">
            <v>ja</v>
          </cell>
          <cell r="C621" t="str">
            <v>奇跡の調和 メビウス</v>
          </cell>
        </row>
        <row r="622">
          <cell r="A622">
            <v>621</v>
          </cell>
          <cell r="B622" t="str">
            <v>ja</v>
          </cell>
          <cell r="C622" t="str">
            <v>終わりなき奇跡 メビウス</v>
          </cell>
        </row>
        <row r="623">
          <cell r="A623">
            <v>622</v>
          </cell>
          <cell r="B623" t="str">
            <v>ja</v>
          </cell>
          <cell r="C623" t="str">
            <v>未定</v>
          </cell>
        </row>
        <row r="624">
          <cell r="A624">
            <v>623</v>
          </cell>
          <cell r="B624" t="str">
            <v>ja</v>
          </cell>
          <cell r="C624" t="str">
            <v>フェルマー</v>
          </cell>
        </row>
        <row r="625">
          <cell r="A625">
            <v>624</v>
          </cell>
          <cell r="B625" t="str">
            <v>ja</v>
          </cell>
          <cell r="C625" t="str">
            <v>挑発の尖駆者 フェルマー</v>
          </cell>
        </row>
        <row r="626">
          <cell r="A626">
            <v>625</v>
          </cell>
          <cell r="B626" t="str">
            <v>ja</v>
          </cell>
          <cell r="C626" t="str">
            <v>デカルト</v>
          </cell>
        </row>
        <row r="627">
          <cell r="A627">
            <v>626</v>
          </cell>
          <cell r="B627" t="str">
            <v>ja</v>
          </cell>
          <cell r="C627" t="str">
            <v>デカルト</v>
          </cell>
        </row>
        <row r="628">
          <cell r="A628">
            <v>627</v>
          </cell>
          <cell r="B628" t="str">
            <v>ja</v>
          </cell>
          <cell r="C628" t="str">
            <v>メガラニカ</v>
          </cell>
        </row>
        <row r="629">
          <cell r="A629">
            <v>628</v>
          </cell>
          <cell r="B629" t="str">
            <v>ja</v>
          </cell>
          <cell r="C629" t="str">
            <v>玄装の指南隊 メガラニカ</v>
          </cell>
        </row>
        <row r="630">
          <cell r="A630">
            <v>629</v>
          </cell>
          <cell r="B630" t="str">
            <v>ja</v>
          </cell>
          <cell r="C630" t="str">
            <v>チャリオット</v>
          </cell>
        </row>
        <row r="631">
          <cell r="A631">
            <v>630</v>
          </cell>
          <cell r="B631" t="str">
            <v>ja</v>
          </cell>
          <cell r="C631" t="str">
            <v>明快の突戦車 チャリオット</v>
          </cell>
        </row>
        <row r="632">
          <cell r="A632">
            <v>631</v>
          </cell>
          <cell r="B632" t="str">
            <v>ja</v>
          </cell>
          <cell r="C632" t="str">
            <v>華恋なる宮護隊 パレ</v>
          </cell>
        </row>
        <row r="633">
          <cell r="A633">
            <v>632</v>
          </cell>
          <cell r="B633" t="str">
            <v>ja</v>
          </cell>
          <cell r="C633" t="str">
            <v>緋壁の城塞 アーグラ</v>
          </cell>
        </row>
        <row r="634">
          <cell r="A634">
            <v>633</v>
          </cell>
          <cell r="B634" t="str">
            <v>ja</v>
          </cell>
          <cell r="C634" t="str">
            <v>麗邸の遊撃守 エリゼ</v>
          </cell>
        </row>
        <row r="635">
          <cell r="A635">
            <v>634</v>
          </cell>
          <cell r="B635" t="str">
            <v>ja</v>
          </cell>
          <cell r="C635" t="str">
            <v>赤ドラゴン</v>
          </cell>
        </row>
        <row r="636">
          <cell r="A636">
            <v>635</v>
          </cell>
          <cell r="B636" t="str">
            <v>ja</v>
          </cell>
          <cell r="C636" t="str">
            <v>赤ドラゴン</v>
          </cell>
        </row>
        <row r="637">
          <cell r="A637">
            <v>636</v>
          </cell>
          <cell r="B637" t="str">
            <v>ja</v>
          </cell>
          <cell r="C637" t="str">
            <v>ローズR3(旧)</v>
          </cell>
        </row>
        <row r="638">
          <cell r="A638">
            <v>637</v>
          </cell>
          <cell r="B638" t="str">
            <v>ja</v>
          </cell>
          <cell r="C638" t="str">
            <v>ローズR4(旧)</v>
          </cell>
        </row>
        <row r="639">
          <cell r="A639">
            <v>638</v>
          </cell>
          <cell r="B639" t="str">
            <v>ja</v>
          </cell>
          <cell r="C639" t="str">
            <v>神さま</v>
          </cell>
        </row>
        <row r="640">
          <cell r="A640">
            <v>639</v>
          </cell>
          <cell r="B640" t="str">
            <v>ja</v>
          </cell>
          <cell r="C640" t="str">
            <v>看板娘</v>
          </cell>
        </row>
        <row r="641">
          <cell r="A641">
            <v>640</v>
          </cell>
          <cell r="B641" t="str">
            <v>ja</v>
          </cell>
          <cell r="C641" t="str">
            <v>ブラックマ</v>
          </cell>
        </row>
        <row r="642">
          <cell r="A642">
            <v>641</v>
          </cell>
          <cell r="B642" t="str">
            <v>ja</v>
          </cell>
          <cell r="C642" t="str">
            <v>砦</v>
          </cell>
        </row>
        <row r="643">
          <cell r="A643">
            <v>642</v>
          </cell>
          <cell r="B643" t="str">
            <v>ja</v>
          </cell>
          <cell r="C643" t="str">
            <v>カーマ</v>
          </cell>
        </row>
        <row r="644">
          <cell r="A644">
            <v>643</v>
          </cell>
          <cell r="B644" t="str">
            <v>ja</v>
          </cell>
          <cell r="C644" t="str">
            <v>愛花天神 カーマ</v>
          </cell>
        </row>
        <row r="645">
          <cell r="A645">
            <v>644</v>
          </cell>
          <cell r="B645" t="str">
            <v>ja</v>
          </cell>
          <cell r="C645" t="str">
            <v>滑瓢 ショウキ</v>
          </cell>
        </row>
        <row r="646">
          <cell r="A646">
            <v>645</v>
          </cell>
          <cell r="B646" t="str">
            <v>ja</v>
          </cell>
          <cell r="C646" t="str">
            <v>百鬼夜行の創大将 ショウキ</v>
          </cell>
        </row>
        <row r="647">
          <cell r="A647">
            <v>646</v>
          </cell>
          <cell r="B647" t="str">
            <v>ja</v>
          </cell>
          <cell r="C647" t="str">
            <v>雪女 ユキ</v>
          </cell>
        </row>
        <row r="648">
          <cell r="A648">
            <v>647</v>
          </cell>
          <cell r="B648" t="str">
            <v>ja</v>
          </cell>
          <cell r="C648" t="str">
            <v>氷麗の雪化生 ユキ</v>
          </cell>
        </row>
        <row r="649">
          <cell r="A649">
            <v>648</v>
          </cell>
          <cell r="B649" t="str">
            <v>ja</v>
          </cell>
          <cell r="C649" t="str">
            <v>パールヴァティ</v>
          </cell>
        </row>
        <row r="650">
          <cell r="A650">
            <v>649</v>
          </cell>
          <cell r="B650" t="str">
            <v>ja</v>
          </cell>
          <cell r="C650" t="str">
            <v>寄咲く一輪華 パールヴァティ</v>
          </cell>
        </row>
        <row r="651">
          <cell r="A651">
            <v>650</v>
          </cell>
          <cell r="B651" t="str">
            <v>ja</v>
          </cell>
          <cell r="C651" t="str">
            <v>土蜘蛛 ユウヤ</v>
          </cell>
        </row>
        <row r="652">
          <cell r="A652">
            <v>651</v>
          </cell>
          <cell r="B652" t="str">
            <v>ja</v>
          </cell>
          <cell r="C652" t="str">
            <v>八重祟障 ユウヤ</v>
          </cell>
        </row>
        <row r="653">
          <cell r="A653">
            <v>652</v>
          </cell>
          <cell r="B653" t="str">
            <v>ja</v>
          </cell>
          <cell r="C653" t="str">
            <v>アナンタ</v>
          </cell>
        </row>
        <row r="654">
          <cell r="A654">
            <v>653</v>
          </cell>
          <cell r="B654" t="str">
            <v>ja</v>
          </cell>
          <cell r="C654" t="str">
            <v>悠久の狡蛇 アナンタ</v>
          </cell>
        </row>
        <row r="655">
          <cell r="A655">
            <v>654</v>
          </cell>
          <cell r="B655" t="str">
            <v>ja</v>
          </cell>
          <cell r="C655" t="str">
            <v>酒呑童子 ヨミ</v>
          </cell>
        </row>
        <row r="656">
          <cell r="A656">
            <v>655</v>
          </cell>
          <cell r="B656" t="str">
            <v>ja</v>
          </cell>
          <cell r="C656" t="str">
            <v>桜花舞う嵐鬼神 ヨミ</v>
          </cell>
        </row>
        <row r="657">
          <cell r="A657">
            <v>656</v>
          </cell>
          <cell r="B657" t="str">
            <v>ja</v>
          </cell>
          <cell r="C657" t="str">
            <v>シヴァ</v>
          </cell>
        </row>
        <row r="658">
          <cell r="A658">
            <v>657</v>
          </cell>
          <cell r="B658" t="str">
            <v>ja</v>
          </cell>
          <cell r="C658" t="str">
            <v>解滅の裁神 シヴァ</v>
          </cell>
        </row>
        <row r="659">
          <cell r="A659">
            <v>658</v>
          </cell>
          <cell r="B659" t="str">
            <v>ja</v>
          </cell>
          <cell r="C659" t="str">
            <v>猫又 クルミ</v>
          </cell>
        </row>
        <row r="660">
          <cell r="A660">
            <v>659</v>
          </cell>
          <cell r="B660" t="str">
            <v>ja</v>
          </cell>
          <cell r="C660" t="str">
            <v>跳梁する化猫 クルミ</v>
          </cell>
        </row>
        <row r="661">
          <cell r="A661">
            <v>660</v>
          </cell>
          <cell r="B661" t="str">
            <v>ja</v>
          </cell>
          <cell r="C661" t="str">
            <v>烏天狗 フウガ</v>
          </cell>
        </row>
        <row r="662">
          <cell r="A662">
            <v>661</v>
          </cell>
          <cell r="B662" t="str">
            <v>ja</v>
          </cell>
          <cell r="C662" t="str">
            <v>疾風の天狗礫 フウガ</v>
          </cell>
        </row>
        <row r="663">
          <cell r="A663">
            <v>662</v>
          </cell>
          <cell r="B663" t="str">
            <v>ja</v>
          </cell>
          <cell r="C663" t="str">
            <v>ダイダラ</v>
          </cell>
        </row>
        <row r="664">
          <cell r="A664">
            <v>663</v>
          </cell>
          <cell r="B664" t="str">
            <v>ja</v>
          </cell>
          <cell r="C664" t="str">
            <v>都揺らす地響き ダイダラ</v>
          </cell>
        </row>
        <row r="665">
          <cell r="A665">
            <v>664</v>
          </cell>
          <cell r="B665" t="str">
            <v>ja</v>
          </cell>
          <cell r="C665" t="str">
            <v>山掴み国造り ダイダラ</v>
          </cell>
        </row>
        <row r="666">
          <cell r="A666">
            <v>665</v>
          </cell>
          <cell r="B666" t="str">
            <v>ja</v>
          </cell>
          <cell r="C666" t="str">
            <v>座敷童子 テマリ</v>
          </cell>
        </row>
        <row r="667">
          <cell r="A667">
            <v>666</v>
          </cell>
          <cell r="B667" t="str">
            <v>ja</v>
          </cell>
          <cell r="C667" t="str">
            <v>拡散する幸福 テマリ</v>
          </cell>
        </row>
        <row r="668">
          <cell r="A668">
            <v>667</v>
          </cell>
          <cell r="B668" t="str">
            <v>ja</v>
          </cell>
          <cell r="C668" t="str">
            <v>最幸運の妖童 テマリ</v>
          </cell>
        </row>
        <row r="669">
          <cell r="A669">
            <v>668</v>
          </cell>
          <cell r="B669" t="str">
            <v>ja</v>
          </cell>
          <cell r="C669" t="str">
            <v>アグニ</v>
          </cell>
        </row>
        <row r="670">
          <cell r="A670">
            <v>669</v>
          </cell>
          <cell r="B670" t="str">
            <v>ja</v>
          </cell>
          <cell r="C670" t="str">
            <v>天地の仲界 アグニ</v>
          </cell>
        </row>
        <row r="671">
          <cell r="A671">
            <v>670</v>
          </cell>
          <cell r="B671" t="str">
            <v>ja</v>
          </cell>
          <cell r="C671" t="str">
            <v>陽天の噴煙 アグニ</v>
          </cell>
        </row>
        <row r="672">
          <cell r="A672">
            <v>671</v>
          </cell>
          <cell r="B672" t="str">
            <v>ja</v>
          </cell>
          <cell r="C672" t="str">
            <v>ハヌマーン</v>
          </cell>
        </row>
        <row r="673">
          <cell r="A673">
            <v>672</v>
          </cell>
          <cell r="B673" t="str">
            <v>ja</v>
          </cell>
          <cell r="C673" t="str">
            <v>西遊韋駄天 ハヌマーン</v>
          </cell>
        </row>
        <row r="674">
          <cell r="A674">
            <v>673</v>
          </cell>
          <cell r="B674" t="str">
            <v>ja</v>
          </cell>
          <cell r="C674" t="str">
            <v>変幻自在の猿王 ハヌマーン</v>
          </cell>
        </row>
        <row r="675">
          <cell r="A675">
            <v>674</v>
          </cell>
          <cell r="B675" t="str">
            <v>ja</v>
          </cell>
          <cell r="C675" t="str">
            <v>サラスヴァティ</v>
          </cell>
        </row>
        <row r="676">
          <cell r="A676">
            <v>675</v>
          </cell>
          <cell r="B676" t="str">
            <v>ja</v>
          </cell>
          <cell r="C676" t="str">
            <v>芸楽の奔流 サラスヴァティ</v>
          </cell>
        </row>
        <row r="677">
          <cell r="A677">
            <v>676</v>
          </cell>
          <cell r="B677" t="str">
            <v>ja</v>
          </cell>
          <cell r="C677" t="str">
            <v>ヴィシュヌ</v>
          </cell>
        </row>
        <row r="678">
          <cell r="A678">
            <v>677</v>
          </cell>
          <cell r="B678" t="str">
            <v>ja</v>
          </cell>
          <cell r="C678" t="str">
            <v>武遊闊歩 ヴィシュヌ</v>
          </cell>
        </row>
        <row r="679">
          <cell r="A679">
            <v>678</v>
          </cell>
          <cell r="B679" t="str">
            <v>ja</v>
          </cell>
          <cell r="C679" t="str">
            <v>レイヴン</v>
          </cell>
        </row>
        <row r="680">
          <cell r="A680">
            <v>679</v>
          </cell>
          <cell r="B680" t="str">
            <v>ja</v>
          </cell>
          <cell r="C680" t="str">
            <v>孤高の王子 レイヴン</v>
          </cell>
        </row>
        <row r="681">
          <cell r="A681">
            <v>680</v>
          </cell>
          <cell r="B681" t="str">
            <v>ja</v>
          </cell>
          <cell r="C681" t="str">
            <v>炎のプレゼントケロケロ</v>
          </cell>
        </row>
        <row r="682">
          <cell r="A682">
            <v>681</v>
          </cell>
          <cell r="B682" t="str">
            <v>ja</v>
          </cell>
          <cell r="C682" t="str">
            <v>炎のプレゼントフロッグ</v>
          </cell>
        </row>
        <row r="683">
          <cell r="A683">
            <v>682</v>
          </cell>
          <cell r="B683" t="str">
            <v>ja</v>
          </cell>
          <cell r="C683" t="str">
            <v>森のプレゼントケロケロ</v>
          </cell>
        </row>
        <row r="684">
          <cell r="A684">
            <v>683</v>
          </cell>
          <cell r="B684" t="str">
            <v>ja</v>
          </cell>
          <cell r="C684" t="str">
            <v>森のプレゼントフロッグ</v>
          </cell>
        </row>
        <row r="685">
          <cell r="A685">
            <v>684</v>
          </cell>
          <cell r="B685" t="str">
            <v>ja</v>
          </cell>
          <cell r="C685" t="str">
            <v>水のプレゼントケロケロ</v>
          </cell>
        </row>
        <row r="686">
          <cell r="A686">
            <v>685</v>
          </cell>
          <cell r="B686" t="str">
            <v>ja</v>
          </cell>
          <cell r="C686" t="str">
            <v>水のプレゼントフロッグ</v>
          </cell>
        </row>
        <row r="687">
          <cell r="A687">
            <v>686</v>
          </cell>
          <cell r="B687" t="str">
            <v>ja</v>
          </cell>
          <cell r="C687" t="str">
            <v>雷のプレゼントケロケロ</v>
          </cell>
        </row>
        <row r="688">
          <cell r="A688">
            <v>687</v>
          </cell>
          <cell r="B688" t="str">
            <v>ja</v>
          </cell>
          <cell r="C688" t="str">
            <v>雷のプレゼントフロッグ</v>
          </cell>
        </row>
        <row r="689">
          <cell r="A689">
            <v>688</v>
          </cell>
          <cell r="B689" t="str">
            <v>ja</v>
          </cell>
          <cell r="C689" t="str">
            <v>ユークリッド</v>
          </cell>
        </row>
        <row r="690">
          <cell r="A690">
            <v>689</v>
          </cell>
          <cell r="B690" t="str">
            <v>ja</v>
          </cell>
          <cell r="C690" t="str">
            <v>根原論理 ユークリッド</v>
          </cell>
        </row>
        <row r="691">
          <cell r="A691">
            <v>690</v>
          </cell>
          <cell r="B691" t="str">
            <v>ja</v>
          </cell>
          <cell r="C691" t="str">
            <v>不朽の極論 ユークリッド</v>
          </cell>
        </row>
        <row r="692">
          <cell r="A692">
            <v>691</v>
          </cell>
          <cell r="B692" t="str">
            <v>ja</v>
          </cell>
          <cell r="C692" t="str">
            <v>黒沼青葉</v>
          </cell>
        </row>
        <row r="693">
          <cell r="A693">
            <v>692</v>
          </cell>
          <cell r="B693" t="str">
            <v>ja</v>
          </cell>
          <cell r="C693" t="str">
            <v>暗躍する偽帝 黒沼青葉</v>
          </cell>
        </row>
        <row r="694">
          <cell r="A694">
            <v>693</v>
          </cell>
          <cell r="B694" t="str">
            <v>ja</v>
          </cell>
          <cell r="C694" t="str">
            <v>紀田正臣</v>
          </cell>
        </row>
        <row r="695">
          <cell r="A695">
            <v>694</v>
          </cell>
          <cell r="B695" t="str">
            <v>ja</v>
          </cell>
          <cell r="C695" t="str">
            <v>黄巾賊の将軍 紀田正臣</v>
          </cell>
        </row>
        <row r="696">
          <cell r="A696">
            <v>695</v>
          </cell>
          <cell r="B696" t="str">
            <v>ja</v>
          </cell>
          <cell r="C696" t="str">
            <v>セルティ</v>
          </cell>
        </row>
        <row r="697">
          <cell r="A697">
            <v>696</v>
          </cell>
          <cell r="B697" t="str">
            <v>ja</v>
          </cell>
          <cell r="C697" t="str">
            <v>生きる都市伝説 セルティ</v>
          </cell>
        </row>
        <row r="698">
          <cell r="A698">
            <v>697</v>
          </cell>
          <cell r="B698" t="str">
            <v>ja</v>
          </cell>
          <cell r="C698" t="str">
            <v>黒影の首なしライダー セルティ</v>
          </cell>
        </row>
        <row r="699">
          <cell r="A699">
            <v>698</v>
          </cell>
          <cell r="B699" t="str">
            <v>ja</v>
          </cell>
          <cell r="C699" t="str">
            <v>園原杏里</v>
          </cell>
        </row>
        <row r="700">
          <cell r="A700">
            <v>699</v>
          </cell>
          <cell r="B700" t="str">
            <v>ja</v>
          </cell>
          <cell r="C700" t="str">
            <v>依存の母愛　園原杏里</v>
          </cell>
        </row>
        <row r="701">
          <cell r="A701">
            <v>700</v>
          </cell>
          <cell r="B701" t="str">
            <v>ja</v>
          </cell>
          <cell r="C701" t="str">
            <v>折原臨也</v>
          </cell>
        </row>
        <row r="702">
          <cell r="A702">
            <v>701</v>
          </cell>
          <cell r="B702" t="str">
            <v>ja</v>
          </cell>
          <cell r="C702" t="str">
            <v>謀略の情報屋 折原臨也</v>
          </cell>
        </row>
        <row r="703">
          <cell r="A703">
            <v>702</v>
          </cell>
          <cell r="B703" t="str">
            <v>ja</v>
          </cell>
          <cell r="C703" t="str">
            <v>サイモン</v>
          </cell>
        </row>
        <row r="704">
          <cell r="A704">
            <v>703</v>
          </cell>
          <cell r="B704" t="str">
            <v>ja</v>
          </cell>
          <cell r="C704" t="str">
            <v>豪腕静穏な寿司屋 サイモン</v>
          </cell>
        </row>
        <row r="705">
          <cell r="A705">
            <v>704</v>
          </cell>
          <cell r="B705" t="str">
            <v>ja</v>
          </cell>
          <cell r="C705" t="str">
            <v>贄川春奈</v>
          </cell>
        </row>
        <row r="706">
          <cell r="A706">
            <v>705</v>
          </cell>
          <cell r="B706" t="str">
            <v>ja</v>
          </cell>
          <cell r="C706" t="str">
            <v>狂愛なる罪歌の子　贄川春奈</v>
          </cell>
        </row>
        <row r="707">
          <cell r="A707">
            <v>706</v>
          </cell>
          <cell r="B707" t="str">
            <v>ja</v>
          </cell>
          <cell r="C707" t="str">
            <v>岸谷新羅</v>
          </cell>
        </row>
        <row r="708">
          <cell r="A708">
            <v>707</v>
          </cell>
          <cell r="B708" t="str">
            <v>ja</v>
          </cell>
          <cell r="C708" t="str">
            <v>愛月撤灯の闇医者 岸谷新羅</v>
          </cell>
        </row>
        <row r="709">
          <cell r="A709">
            <v>708</v>
          </cell>
          <cell r="B709" t="str">
            <v>ja</v>
          </cell>
          <cell r="C709" t="str">
            <v>門田京平</v>
          </cell>
        </row>
        <row r="710">
          <cell r="A710">
            <v>709</v>
          </cell>
          <cell r="B710" t="str">
            <v>ja</v>
          </cell>
          <cell r="C710" t="str">
            <v>不穢の抑止力　門田京平</v>
          </cell>
        </row>
        <row r="711">
          <cell r="A711">
            <v>710</v>
          </cell>
          <cell r="B711" t="str">
            <v>ja</v>
          </cell>
          <cell r="C711" t="str">
            <v>田中トム</v>
          </cell>
        </row>
        <row r="712">
          <cell r="A712">
            <v>711</v>
          </cell>
          <cell r="B712" t="str">
            <v>ja</v>
          </cell>
          <cell r="C712" t="str">
            <v>平衡調和の取り立て屋　田中トム</v>
          </cell>
        </row>
        <row r="713">
          <cell r="A713">
            <v>712</v>
          </cell>
          <cell r="B713" t="str">
            <v>ja</v>
          </cell>
          <cell r="C713" t="str">
            <v>竜ヶ峰帝人</v>
          </cell>
        </row>
        <row r="714">
          <cell r="A714">
            <v>713</v>
          </cell>
          <cell r="B714" t="str">
            <v>ja</v>
          </cell>
          <cell r="C714" t="str">
            <v>始まりの創始者　竜ヶ峰帝人</v>
          </cell>
        </row>
        <row r="715">
          <cell r="A715">
            <v>714</v>
          </cell>
          <cell r="B715" t="str">
            <v>ja</v>
          </cell>
          <cell r="C715" t="str">
            <v>粟楠茜</v>
          </cell>
        </row>
        <row r="716">
          <cell r="A716">
            <v>715</v>
          </cell>
          <cell r="B716" t="str">
            <v>ja</v>
          </cell>
          <cell r="C716" t="str">
            <v>小さな殺し屋　粟楠茜</v>
          </cell>
        </row>
        <row r="717">
          <cell r="A717">
            <v>716</v>
          </cell>
          <cell r="B717" t="str">
            <v>ja</v>
          </cell>
          <cell r="C717" t="str">
            <v>平和島静雄</v>
          </cell>
        </row>
        <row r="718">
          <cell r="A718">
            <v>717</v>
          </cell>
          <cell r="B718" t="str">
            <v>ja</v>
          </cell>
          <cell r="C718" t="str">
            <v>池袋最強の暴走 平和島静雄</v>
          </cell>
        </row>
        <row r="719">
          <cell r="A719">
            <v>718</v>
          </cell>
          <cell r="B719" t="str">
            <v>ja</v>
          </cell>
          <cell r="C719" t="str">
            <v>ヴァローナ</v>
          </cell>
        </row>
        <row r="720">
          <cell r="A720">
            <v>719</v>
          </cell>
          <cell r="B720" t="str">
            <v>ja</v>
          </cell>
          <cell r="C720" t="str">
            <v>聡明な戦狂女 ヴァローナ</v>
          </cell>
        </row>
        <row r="721">
          <cell r="A721">
            <v>720</v>
          </cell>
          <cell r="B721" t="str">
            <v>ja</v>
          </cell>
          <cell r="C721" t="str">
            <v>直江兼続</v>
          </cell>
        </row>
        <row r="722">
          <cell r="A722">
            <v>721</v>
          </cell>
          <cell r="B722" t="str">
            <v>ja</v>
          </cell>
          <cell r="C722" t="str">
            <v>迎激の愛銃 直江兼続</v>
          </cell>
        </row>
        <row r="723">
          <cell r="A723">
            <v>722</v>
          </cell>
          <cell r="B723" t="str">
            <v>ja</v>
          </cell>
          <cell r="C723" t="str">
            <v>森蘭丸</v>
          </cell>
        </row>
        <row r="724">
          <cell r="A724">
            <v>723</v>
          </cell>
          <cell r="B724" t="str">
            <v>ja</v>
          </cell>
          <cell r="C724" t="str">
            <v>萌芽の密心  森蘭丸</v>
          </cell>
        </row>
        <row r="725">
          <cell r="A725">
            <v>724</v>
          </cell>
          <cell r="B725" t="str">
            <v>ja</v>
          </cell>
          <cell r="C725" t="str">
            <v>武田信玄</v>
          </cell>
        </row>
        <row r="726">
          <cell r="A726">
            <v>725</v>
          </cell>
          <cell r="B726" t="str">
            <v>ja</v>
          </cell>
          <cell r="C726" t="str">
            <v>泰然の暴虎 武田信玄</v>
          </cell>
        </row>
        <row r="727">
          <cell r="A727">
            <v>726</v>
          </cell>
          <cell r="B727" t="str">
            <v>ja</v>
          </cell>
          <cell r="C727" t="str">
            <v>織田信長</v>
          </cell>
        </row>
        <row r="728">
          <cell r="A728">
            <v>727</v>
          </cell>
          <cell r="B728" t="str">
            <v>ja</v>
          </cell>
          <cell r="C728" t="str">
            <v>真鋭の征服者 織田信長</v>
          </cell>
        </row>
        <row r="729">
          <cell r="A729">
            <v>728</v>
          </cell>
          <cell r="B729" t="str">
            <v>ja</v>
          </cell>
          <cell r="C729" t="str">
            <v>井伊直虎</v>
          </cell>
        </row>
        <row r="730">
          <cell r="A730">
            <v>729</v>
          </cell>
          <cell r="B730" t="str">
            <v>ja</v>
          </cell>
          <cell r="C730" t="str">
            <v>暗厄の双刀 井伊直虎</v>
          </cell>
        </row>
        <row r="731">
          <cell r="A731">
            <v>730</v>
          </cell>
          <cell r="B731" t="str">
            <v>ja</v>
          </cell>
          <cell r="C731" t="str">
            <v>ガラシャ</v>
          </cell>
        </row>
        <row r="732">
          <cell r="A732">
            <v>731</v>
          </cell>
          <cell r="B732" t="str">
            <v>ja</v>
          </cell>
          <cell r="C732" t="str">
            <v>敬虔なる追銃 ガラシャ</v>
          </cell>
        </row>
        <row r="733">
          <cell r="A733">
            <v>732</v>
          </cell>
          <cell r="B733" t="str">
            <v>ja</v>
          </cell>
          <cell r="C733" t="str">
            <v>上杉謙信</v>
          </cell>
        </row>
        <row r="734">
          <cell r="A734">
            <v>733</v>
          </cell>
          <cell r="B734" t="str">
            <v>ja</v>
          </cell>
          <cell r="C734" t="str">
            <v>夢幻の千刃 上杉謙信</v>
          </cell>
        </row>
        <row r="735">
          <cell r="A735">
            <v>734</v>
          </cell>
          <cell r="B735" t="str">
            <v>ja</v>
          </cell>
          <cell r="C735" t="str">
            <v>伊達政宗</v>
          </cell>
        </row>
        <row r="736">
          <cell r="A736">
            <v>735</v>
          </cell>
          <cell r="B736" t="str">
            <v>ja</v>
          </cell>
          <cell r="C736" t="str">
            <v>破天の隻眼 伊達政宗</v>
          </cell>
        </row>
        <row r="737">
          <cell r="A737">
            <v>736</v>
          </cell>
          <cell r="B737" t="str">
            <v>ja</v>
          </cell>
          <cell r="C737" t="str">
            <v>オルトロス</v>
          </cell>
        </row>
        <row r="738">
          <cell r="A738">
            <v>737</v>
          </cell>
          <cell r="B738" t="str">
            <v>ja</v>
          </cell>
          <cell r="C738" t="str">
            <v>狂鳴の慟哭 オルトロス</v>
          </cell>
        </row>
        <row r="739">
          <cell r="A739">
            <v>738</v>
          </cell>
          <cell r="B739" t="str">
            <v>ja</v>
          </cell>
          <cell r="C739" t="str">
            <v>ラドン</v>
          </cell>
        </row>
        <row r="740">
          <cell r="A740">
            <v>739</v>
          </cell>
          <cell r="B740" t="str">
            <v>ja</v>
          </cell>
          <cell r="C740" t="str">
            <v>寡言の密使 ラドン</v>
          </cell>
        </row>
        <row r="741">
          <cell r="A741">
            <v>740</v>
          </cell>
          <cell r="B741" t="str">
            <v>ja</v>
          </cell>
          <cell r="C741" t="str">
            <v>テュポーン</v>
          </cell>
        </row>
        <row r="742">
          <cell r="A742">
            <v>741</v>
          </cell>
          <cell r="B742" t="str">
            <v>ja</v>
          </cell>
          <cell r="C742" t="str">
            <v>皆滅の戦鬼 テュポーン</v>
          </cell>
        </row>
        <row r="743">
          <cell r="A743">
            <v>742</v>
          </cell>
          <cell r="B743" t="str">
            <v>ja</v>
          </cell>
          <cell r="C743" t="str">
            <v>アポロン</v>
          </cell>
        </row>
        <row r="744">
          <cell r="A744">
            <v>743</v>
          </cell>
          <cell r="B744" t="str">
            <v>ja</v>
          </cell>
          <cell r="C744" t="str">
            <v>弩級の洸源 アポロン</v>
          </cell>
        </row>
        <row r="745">
          <cell r="A745">
            <v>744</v>
          </cell>
          <cell r="B745" t="str">
            <v>ja</v>
          </cell>
          <cell r="C745" t="str">
            <v>ヘルメス</v>
          </cell>
        </row>
        <row r="746">
          <cell r="A746">
            <v>745</v>
          </cell>
          <cell r="B746" t="str">
            <v>ja</v>
          </cell>
          <cell r="C746" t="str">
            <v>望羅の発神 ヘルメス</v>
          </cell>
        </row>
        <row r="747">
          <cell r="A747">
            <v>746</v>
          </cell>
          <cell r="B747" t="str">
            <v>ja</v>
          </cell>
          <cell r="C747" t="str">
            <v>ノルン</v>
          </cell>
        </row>
        <row r="748">
          <cell r="A748">
            <v>747</v>
          </cell>
          <cell r="B748" t="str">
            <v>ja</v>
          </cell>
          <cell r="C748" t="str">
            <v>潔碧の巡励神 ノルン</v>
          </cell>
        </row>
        <row r="749">
          <cell r="A749">
            <v>748</v>
          </cell>
          <cell r="B749" t="str">
            <v>ja</v>
          </cell>
          <cell r="C749" t="str">
            <v>パーン</v>
          </cell>
        </row>
        <row r="750">
          <cell r="A750">
            <v>749</v>
          </cell>
          <cell r="B750" t="str">
            <v>ja</v>
          </cell>
          <cell r="C750" t="str">
            <v>光喜の牧童 パーン</v>
          </cell>
        </row>
        <row r="751">
          <cell r="A751">
            <v>750</v>
          </cell>
          <cell r="B751" t="str">
            <v>ja</v>
          </cell>
          <cell r="C751" t="str">
            <v>ポアソン</v>
          </cell>
        </row>
        <row r="752">
          <cell r="A752">
            <v>751</v>
          </cell>
          <cell r="B752" t="str">
            <v>ja</v>
          </cell>
          <cell r="C752" t="str">
            <v>交錯の旋匣 ポアソン</v>
          </cell>
        </row>
        <row r="753">
          <cell r="A753">
            <v>752</v>
          </cell>
          <cell r="B753" t="str">
            <v>ja</v>
          </cell>
          <cell r="C753" t="str">
            <v>ムラマサ</v>
          </cell>
        </row>
        <row r="754">
          <cell r="A754">
            <v>753</v>
          </cell>
          <cell r="B754" t="str">
            <v>ja</v>
          </cell>
          <cell r="C754" t="str">
            <v>皆斬の虐器 ムラマサ</v>
          </cell>
        </row>
        <row r="755">
          <cell r="A755">
            <v>754</v>
          </cell>
          <cell r="B755" t="str">
            <v>ja</v>
          </cell>
          <cell r="C755" t="str">
            <v>マサムネ</v>
          </cell>
        </row>
        <row r="756">
          <cell r="A756">
            <v>755</v>
          </cell>
          <cell r="B756" t="str">
            <v>ja</v>
          </cell>
          <cell r="C756" t="str">
            <v>究覇の一剣 マサムネ</v>
          </cell>
        </row>
        <row r="757">
          <cell r="A757">
            <v>756</v>
          </cell>
          <cell r="B757" t="str">
            <v>ja</v>
          </cell>
          <cell r="C757" t="str">
            <v>アメノムラクモ</v>
          </cell>
        </row>
        <row r="758">
          <cell r="A758">
            <v>757</v>
          </cell>
          <cell r="B758" t="str">
            <v>ja</v>
          </cell>
          <cell r="C758" t="str">
            <v>荒龍の復魂 アメノムラクモ</v>
          </cell>
        </row>
        <row r="759">
          <cell r="A759">
            <v>758</v>
          </cell>
          <cell r="B759" t="str">
            <v>ja</v>
          </cell>
          <cell r="C759" t="str">
            <v>雷切</v>
          </cell>
        </row>
        <row r="760">
          <cell r="A760">
            <v>759</v>
          </cell>
          <cell r="B760" t="str">
            <v>ja</v>
          </cell>
          <cell r="C760" t="str">
            <v>超光の鳴鋒 雷切</v>
          </cell>
        </row>
        <row r="761">
          <cell r="A761">
            <v>760</v>
          </cell>
          <cell r="B761" t="str">
            <v>ja</v>
          </cell>
          <cell r="C761" t="str">
            <v>限論顕現 クロネッカー</v>
          </cell>
        </row>
        <row r="762">
          <cell r="A762">
            <v>761</v>
          </cell>
          <cell r="B762" t="str">
            <v>ja</v>
          </cell>
          <cell r="C762" t="str">
            <v>唯限の崇嬢 クロネッカー</v>
          </cell>
        </row>
        <row r="763">
          <cell r="A763">
            <v>762</v>
          </cell>
          <cell r="B763" t="str">
            <v>ja</v>
          </cell>
          <cell r="C763" t="str">
            <v>フィボナッチ</v>
          </cell>
        </row>
        <row r="764">
          <cell r="A764">
            <v>763</v>
          </cell>
          <cell r="B764" t="str">
            <v>ja</v>
          </cell>
          <cell r="C764" t="str">
            <v>螺旋の皇魂比 フィボナッチ</v>
          </cell>
        </row>
        <row r="765">
          <cell r="A765">
            <v>764</v>
          </cell>
          <cell r="B765" t="str">
            <v>ja</v>
          </cell>
          <cell r="C765" t="str">
            <v>ライオネル</v>
          </cell>
        </row>
        <row r="766">
          <cell r="A766">
            <v>765</v>
          </cell>
          <cell r="B766" t="str">
            <v>ja</v>
          </cell>
          <cell r="C766" t="str">
            <v>逆襲獣皇 ライオネル</v>
          </cell>
        </row>
        <row r="767">
          <cell r="A767">
            <v>766</v>
          </cell>
          <cell r="B767" t="str">
            <v>ja</v>
          </cell>
          <cell r="C767" t="str">
            <v>ランドラグ</v>
          </cell>
        </row>
        <row r="768">
          <cell r="A768">
            <v>767</v>
          </cell>
          <cell r="B768" t="str">
            <v>ja</v>
          </cell>
          <cell r="C768" t="str">
            <v>灼炎業竜 ランドラグ</v>
          </cell>
        </row>
        <row r="769">
          <cell r="A769">
            <v>768</v>
          </cell>
          <cell r="B769" t="str">
            <v>ja</v>
          </cell>
          <cell r="C769" t="str">
            <v>ガレス</v>
          </cell>
        </row>
        <row r="770">
          <cell r="A770">
            <v>769</v>
          </cell>
          <cell r="B770" t="str">
            <v>ja</v>
          </cell>
          <cell r="C770" t="str">
            <v>白域・純双剣 ガレス</v>
          </cell>
        </row>
        <row r="771">
          <cell r="A771">
            <v>770</v>
          </cell>
          <cell r="B771" t="str">
            <v>ja</v>
          </cell>
          <cell r="C771" t="str">
            <v>ハヅル</v>
          </cell>
        </row>
        <row r="772">
          <cell r="A772">
            <v>771</v>
          </cell>
          <cell r="B772" t="str">
            <v>ja</v>
          </cell>
          <cell r="C772" t="str">
            <v>天織羽鶴 ハヅル</v>
          </cell>
        </row>
        <row r="773">
          <cell r="A773">
            <v>772</v>
          </cell>
          <cell r="B773" t="str">
            <v>ja</v>
          </cell>
          <cell r="C773" t="str">
            <v>イナバ</v>
          </cell>
        </row>
        <row r="774">
          <cell r="A774">
            <v>773</v>
          </cell>
          <cell r="B774" t="str">
            <v>ja</v>
          </cell>
          <cell r="C774" t="str">
            <v>浮跳天兎 イナバ</v>
          </cell>
        </row>
        <row r="775">
          <cell r="A775">
            <v>774</v>
          </cell>
          <cell r="B775" t="str">
            <v>ja</v>
          </cell>
          <cell r="C775" t="str">
            <v>ミズチ</v>
          </cell>
        </row>
        <row r="776">
          <cell r="A776">
            <v>775</v>
          </cell>
          <cell r="B776" t="str">
            <v>ja</v>
          </cell>
          <cell r="C776" t="str">
            <v>水底霊竜 ミズチ</v>
          </cell>
        </row>
        <row r="777">
          <cell r="A777">
            <v>776</v>
          </cell>
          <cell r="B777" t="str">
            <v>ja</v>
          </cell>
          <cell r="C777" t="str">
            <v>水竜底主 ミズチ</v>
          </cell>
        </row>
        <row r="778">
          <cell r="A778">
            <v>777</v>
          </cell>
          <cell r="B778" t="str">
            <v>ja</v>
          </cell>
          <cell r="C778" t="str">
            <v>ガメック</v>
          </cell>
        </row>
        <row r="779">
          <cell r="A779">
            <v>778</v>
          </cell>
          <cell r="B779" t="str">
            <v>ja</v>
          </cell>
          <cell r="C779" t="str">
            <v>一亀懸明 ガメック</v>
          </cell>
        </row>
        <row r="780">
          <cell r="A780">
            <v>779</v>
          </cell>
          <cell r="B780" t="str">
            <v>ja</v>
          </cell>
          <cell r="C780" t="str">
            <v>頑堅咬亀 ガメック</v>
          </cell>
        </row>
        <row r="781">
          <cell r="A781">
            <v>780</v>
          </cell>
          <cell r="B781" t="str">
            <v>ja</v>
          </cell>
          <cell r="C781" t="str">
            <v>カスケード</v>
          </cell>
        </row>
        <row r="782">
          <cell r="A782">
            <v>781</v>
          </cell>
          <cell r="B782" t="str">
            <v>ja</v>
          </cell>
          <cell r="C782" t="str">
            <v>崩落の大瀑布 カスケード</v>
          </cell>
        </row>
        <row r="783">
          <cell r="A783">
            <v>782</v>
          </cell>
          <cell r="B783" t="str">
            <v>ja</v>
          </cell>
          <cell r="C783" t="str">
            <v>機甲雷天使 ミカエル・グロリアス</v>
          </cell>
        </row>
        <row r="784">
          <cell r="A784">
            <v>783</v>
          </cell>
          <cell r="B784" t="str">
            <v>ja</v>
          </cell>
          <cell r="C784" t="str">
            <v>モールス</v>
          </cell>
        </row>
        <row r="785">
          <cell r="A785">
            <v>784</v>
          </cell>
          <cell r="B785" t="str">
            <v>ja</v>
          </cell>
          <cell r="C785" t="str">
            <v>想心の恋鎖 モールス</v>
          </cell>
        </row>
        <row r="786">
          <cell r="A786">
            <v>785</v>
          </cell>
          <cell r="B786" t="str">
            <v>ja</v>
          </cell>
          <cell r="C786" t="str">
            <v>あけおめダック2017</v>
          </cell>
        </row>
        <row r="787">
          <cell r="A787">
            <v>786</v>
          </cell>
          <cell r="B787" t="str">
            <v>ja</v>
          </cell>
          <cell r="C787" t="str">
            <v>ヘイウェイ</v>
          </cell>
        </row>
        <row r="788">
          <cell r="A788">
            <v>787</v>
          </cell>
          <cell r="B788" t="str">
            <v>ja</v>
          </cell>
          <cell r="C788" t="str">
            <v>極閃描牙 ヘイウェイ</v>
          </cell>
        </row>
        <row r="789">
          <cell r="A789">
            <v>788</v>
          </cell>
          <cell r="B789" t="str">
            <v>ja</v>
          </cell>
          <cell r="C789" t="str">
            <v>アトラス</v>
          </cell>
        </row>
        <row r="790">
          <cell r="A790">
            <v>789</v>
          </cell>
          <cell r="B790" t="str">
            <v>ja</v>
          </cell>
          <cell r="C790" t="str">
            <v>極闘の大鋼腕 アトラス</v>
          </cell>
        </row>
        <row r="791">
          <cell r="A791">
            <v>790</v>
          </cell>
          <cell r="B791" t="str">
            <v>ja</v>
          </cell>
          <cell r="C791" t="str">
            <v>戦略級の才脳 ノイマン</v>
          </cell>
        </row>
        <row r="792">
          <cell r="A792">
            <v>791</v>
          </cell>
          <cell r="B792" t="str">
            <v>ja</v>
          </cell>
          <cell r="C792" t="str">
            <v>無差別求の破者 ノイマン</v>
          </cell>
        </row>
        <row r="793">
          <cell r="A793">
            <v>792</v>
          </cell>
          <cell r="B793" t="str">
            <v>ja</v>
          </cell>
          <cell r="C793" t="str">
            <v>片還の収波 フーリエ</v>
          </cell>
        </row>
        <row r="794">
          <cell r="A794">
            <v>793</v>
          </cell>
          <cell r="B794" t="str">
            <v>ja</v>
          </cell>
          <cell r="C794" t="str">
            <v>熱解する求波導 フーリエ</v>
          </cell>
        </row>
        <row r="795">
          <cell r="A795">
            <v>794</v>
          </cell>
          <cell r="B795" t="str">
            <v>ja</v>
          </cell>
          <cell r="C795" t="str">
            <v>卒業のウィルス ハッピー</v>
          </cell>
        </row>
        <row r="796">
          <cell r="A796">
            <v>795</v>
          </cell>
          <cell r="B796" t="str">
            <v>ja</v>
          </cell>
          <cell r="C796" t="str">
            <v>桜花の果実</v>
          </cell>
        </row>
        <row r="797">
          <cell r="A797">
            <v>796</v>
          </cell>
          <cell r="B797" t="str">
            <v>ja</v>
          </cell>
          <cell r="C797" t="str">
            <v>超越凌駕 ラグランジュ</v>
          </cell>
        </row>
        <row r="798">
          <cell r="A798">
            <v>797</v>
          </cell>
          <cell r="B798" t="str">
            <v>ja</v>
          </cell>
          <cell r="C798" t="str">
            <v>崩烙の世解 シュレディンガー</v>
          </cell>
        </row>
        <row r="799">
          <cell r="A799">
            <v>798</v>
          </cell>
          <cell r="B799" t="str">
            <v>ja</v>
          </cell>
          <cell r="C799" t="str">
            <v>煌式の大機刃 オイラー</v>
          </cell>
        </row>
        <row r="800">
          <cell r="A800">
            <v>799</v>
          </cell>
          <cell r="B800" t="str">
            <v>ja</v>
          </cell>
          <cell r="C800" t="str">
            <v>電讃の魔機 チューリング</v>
          </cell>
        </row>
        <row r="801">
          <cell r="A801">
            <v>800</v>
          </cell>
          <cell r="B801" t="str">
            <v>ja</v>
          </cell>
          <cell r="C801" t="str">
            <v>蒼穹包む命題 ヘンペル</v>
          </cell>
        </row>
        <row r="802">
          <cell r="A802">
            <v>801</v>
          </cell>
          <cell r="B802" t="str">
            <v>ja</v>
          </cell>
          <cell r="C802" t="str">
            <v>覚世の大機神 オーディン</v>
          </cell>
        </row>
        <row r="803">
          <cell r="A803">
            <v>802</v>
          </cell>
          <cell r="B803" t="str">
            <v>ja</v>
          </cell>
          <cell r="C803" t="str">
            <v>四聖結終の超獣 麒麟</v>
          </cell>
        </row>
        <row r="804">
          <cell r="A804">
            <v>803</v>
          </cell>
          <cell r="B804" t="str">
            <v>ja</v>
          </cell>
          <cell r="C804" t="str">
            <v>大宇宙の膨超 ハップル</v>
          </cell>
        </row>
        <row r="805">
          <cell r="A805">
            <v>804</v>
          </cell>
          <cell r="B805" t="str">
            <v>ja</v>
          </cell>
          <cell r="C805" t="str">
            <v>豪電の守護芯 ファラデー</v>
          </cell>
        </row>
        <row r="806">
          <cell r="A806">
            <v>805</v>
          </cell>
          <cell r="B806" t="str">
            <v>ja</v>
          </cell>
          <cell r="C806" t="str">
            <v>熱環の大逆聖 ベリアル</v>
          </cell>
        </row>
        <row r="807">
          <cell r="A807">
            <v>806</v>
          </cell>
          <cell r="B807" t="str">
            <v>ja</v>
          </cell>
          <cell r="C807" t="str">
            <v>全解の預智聖 オセ</v>
          </cell>
        </row>
        <row r="808">
          <cell r="A808">
            <v>807</v>
          </cell>
          <cell r="B808" t="str">
            <v>ja</v>
          </cell>
          <cell r="C808" t="str">
            <v>襲愛の真公爵 フォルネウス</v>
          </cell>
        </row>
        <row r="809">
          <cell r="A809">
            <v>808</v>
          </cell>
          <cell r="B809" t="str">
            <v>ja</v>
          </cell>
          <cell r="C809" t="str">
            <v>天地万物の烈神母 イザナミ</v>
          </cell>
        </row>
        <row r="810">
          <cell r="A810">
            <v>809</v>
          </cell>
          <cell r="B810" t="str">
            <v>ja</v>
          </cell>
          <cell r="C810" t="str">
            <v>天然理心の激凛 沖田総司</v>
          </cell>
        </row>
        <row r="811">
          <cell r="A811">
            <v>810</v>
          </cell>
          <cell r="B811" t="str">
            <v>ja</v>
          </cell>
          <cell r="C811" t="str">
            <v>君臨大御神 アマテラス</v>
          </cell>
        </row>
        <row r="812">
          <cell r="A812">
            <v>811</v>
          </cell>
          <cell r="B812" t="str">
            <v>ja</v>
          </cell>
          <cell r="C812" t="str">
            <v>咲き誇る旅航者 親指姫</v>
          </cell>
        </row>
        <row r="813">
          <cell r="A813">
            <v>812</v>
          </cell>
          <cell r="B813" t="str">
            <v>ja</v>
          </cell>
          <cell r="C813" t="str">
            <v>凶膨なる殲滅 アザゼル</v>
          </cell>
        </row>
        <row r="814">
          <cell r="A814">
            <v>813</v>
          </cell>
          <cell r="B814" t="str">
            <v>ja</v>
          </cell>
          <cell r="C814" t="str">
            <v>絆の大冒険 ヘンゼル＆グレーテル</v>
          </cell>
        </row>
        <row r="815">
          <cell r="A815">
            <v>814</v>
          </cell>
          <cell r="B815" t="str">
            <v>ja</v>
          </cell>
          <cell r="C815" t="str">
            <v>戦場疾駆の鋼蹄 ジャンヌ</v>
          </cell>
        </row>
        <row r="816">
          <cell r="A816">
            <v>815</v>
          </cell>
          <cell r="B816" t="str">
            <v>ja</v>
          </cell>
          <cell r="C816" t="str">
            <v>解砲の鴉眼 八咫烏</v>
          </cell>
        </row>
        <row r="817">
          <cell r="A817">
            <v>816</v>
          </cell>
          <cell r="B817" t="str">
            <v>ja</v>
          </cell>
          <cell r="C817" t="str">
            <v>極・二天一流 宮本武蔵</v>
          </cell>
        </row>
        <row r="818">
          <cell r="A818">
            <v>817</v>
          </cell>
          <cell r="B818" t="str">
            <v>ja</v>
          </cell>
          <cell r="C818" t="str">
            <v>決戦の抗弾 D.R.T.H.</v>
          </cell>
        </row>
        <row r="819">
          <cell r="A819">
            <v>818</v>
          </cell>
          <cell r="B819" t="str">
            <v>ja</v>
          </cell>
          <cell r="C819" t="str">
            <v>虚空を飾る大輪 オズ</v>
          </cell>
        </row>
        <row r="820">
          <cell r="A820">
            <v>819</v>
          </cell>
          <cell r="B820" t="str">
            <v>ja</v>
          </cell>
          <cell r="C820" t="str">
            <v>讐命の我突 モルドレッド</v>
          </cell>
        </row>
        <row r="821">
          <cell r="A821">
            <v>820</v>
          </cell>
          <cell r="B821" t="str">
            <v>ja</v>
          </cell>
          <cell r="C821" t="str">
            <v>凶心者の聖儀 アーサー</v>
          </cell>
        </row>
        <row r="822">
          <cell r="A822">
            <v>821</v>
          </cell>
          <cell r="B822" t="str">
            <v>ja</v>
          </cell>
          <cell r="C822" t="str">
            <v>急蹴の硬機脚 ブートレグ・ペロー</v>
          </cell>
        </row>
        <row r="823">
          <cell r="A823">
            <v>822</v>
          </cell>
          <cell r="B823" t="str">
            <v>ja</v>
          </cell>
          <cell r="C823" t="str">
            <v>操魂の蒐集家 グリム</v>
          </cell>
        </row>
        <row r="824">
          <cell r="A824">
            <v>823</v>
          </cell>
          <cell r="B824" t="str">
            <v>ja</v>
          </cell>
          <cell r="C824" t="str">
            <v>跳鼠の睡奏楽 ハーメルン</v>
          </cell>
        </row>
        <row r="825">
          <cell r="A825">
            <v>824</v>
          </cell>
          <cell r="B825" t="str">
            <v>ja</v>
          </cell>
          <cell r="C825" t="str">
            <v>悪意の団塊  Gスター・チルドレン</v>
          </cell>
        </row>
        <row r="826">
          <cell r="A826">
            <v>825</v>
          </cell>
          <cell r="B826" t="str">
            <v>ja</v>
          </cell>
          <cell r="C826" t="str">
            <v>彩愛なる豊穣妃神 フレイヤ</v>
          </cell>
        </row>
        <row r="827">
          <cell r="A827">
            <v>826</v>
          </cell>
          <cell r="B827" t="str">
            <v>ja</v>
          </cell>
          <cell r="C827" t="str">
            <v>崇紅なる豊穣皇神 フレイ</v>
          </cell>
        </row>
        <row r="828">
          <cell r="A828">
            <v>827</v>
          </cell>
          <cell r="B828" t="str">
            <v>ja</v>
          </cell>
          <cell r="C828" t="str">
            <v>光神しき彩雲龍 アルフヘイム</v>
          </cell>
        </row>
        <row r="829">
          <cell r="A829">
            <v>828</v>
          </cell>
          <cell r="B829" t="str">
            <v>ja</v>
          </cell>
          <cell r="C829" t="str">
            <v>双究の覇翼 フギンとムニン</v>
          </cell>
        </row>
        <row r="830">
          <cell r="A830">
            <v>829</v>
          </cell>
          <cell r="B830" t="str">
            <v>ja</v>
          </cell>
          <cell r="C830" t="str">
            <v>銃刃乱舞の怪猫 クルミ</v>
          </cell>
        </row>
        <row r="831">
          <cell r="A831">
            <v>830</v>
          </cell>
          <cell r="B831" t="str">
            <v>ja</v>
          </cell>
          <cell r="C831" t="str">
            <v>清兆の天狗礫 フウガ</v>
          </cell>
        </row>
        <row r="832">
          <cell r="A832">
            <v>831</v>
          </cell>
          <cell r="B832" t="str">
            <v>ja</v>
          </cell>
          <cell r="C832" t="str">
            <v>万鬼乱襲の大創帥 ショウキ</v>
          </cell>
        </row>
        <row r="833">
          <cell r="A833">
            <v>832</v>
          </cell>
          <cell r="B833" t="str">
            <v>ja</v>
          </cell>
          <cell r="C833" t="str">
            <v>狂花吹雪く旋獄鬼神 ヨミ</v>
          </cell>
        </row>
        <row r="834">
          <cell r="A834">
            <v>833</v>
          </cell>
          <cell r="B834" t="str">
            <v>ja</v>
          </cell>
          <cell r="C834" t="str">
            <v>維界の復世神 ヴィシュヌ</v>
          </cell>
        </row>
        <row r="835">
          <cell r="A835">
            <v>834</v>
          </cell>
          <cell r="B835" t="str">
            <v>ja</v>
          </cell>
          <cell r="C835" t="str">
            <v>破界する裁滅神 シヴァ</v>
          </cell>
        </row>
        <row r="836">
          <cell r="A836">
            <v>835</v>
          </cell>
          <cell r="B836" t="str">
            <v>ja</v>
          </cell>
          <cell r="C836" t="str">
            <v>流奏の鳳楽神 サラスヴァティ</v>
          </cell>
        </row>
        <row r="837">
          <cell r="A837">
            <v>836</v>
          </cell>
          <cell r="B837" t="str">
            <v>ja</v>
          </cell>
          <cell r="C837" t="str">
            <v>射愛の恋華天神 カーマ</v>
          </cell>
        </row>
        <row r="838">
          <cell r="A838">
            <v>837</v>
          </cell>
          <cell r="B838" t="str">
            <v>ja</v>
          </cell>
          <cell r="C838" t="str">
            <v>リトルハンプティ</v>
          </cell>
        </row>
        <row r="839">
          <cell r="A839">
            <v>838</v>
          </cell>
          <cell r="B839" t="str">
            <v>ja</v>
          </cell>
          <cell r="C839" t="str">
            <v>巌鋼の爆烈志士 近藤勇</v>
          </cell>
        </row>
        <row r="840">
          <cell r="A840">
            <v>839</v>
          </cell>
          <cell r="B840" t="str">
            <v>ja</v>
          </cell>
          <cell r="C840" t="str">
            <v>真覇の勇魔剣 ランスロット</v>
          </cell>
        </row>
        <row r="841">
          <cell r="A841">
            <v>840</v>
          </cell>
          <cell r="B841" t="str">
            <v>ja</v>
          </cell>
          <cell r="C841" t="str">
            <v>フェニックス</v>
          </cell>
        </row>
        <row r="842">
          <cell r="A842">
            <v>841</v>
          </cell>
          <cell r="B842" t="str">
            <v>ja</v>
          </cell>
          <cell r="C842" t="str">
            <v>排斥の不死鳥 フェニックス</v>
          </cell>
        </row>
        <row r="843">
          <cell r="A843">
            <v>842</v>
          </cell>
          <cell r="B843" t="str">
            <v>ja</v>
          </cell>
          <cell r="C843" t="str">
            <v>セイレーン</v>
          </cell>
        </row>
        <row r="844">
          <cell r="A844">
            <v>843</v>
          </cell>
          <cell r="B844" t="str">
            <v>ja</v>
          </cell>
          <cell r="C844" t="str">
            <v>荒れ狂う乱歌 セイレーン</v>
          </cell>
        </row>
        <row r="845">
          <cell r="A845">
            <v>844</v>
          </cell>
          <cell r="B845" t="str">
            <v>ja</v>
          </cell>
          <cell r="C845" t="str">
            <v>ベルゼブブ</v>
          </cell>
        </row>
        <row r="846">
          <cell r="A846">
            <v>845</v>
          </cell>
          <cell r="B846" t="str">
            <v>ja</v>
          </cell>
          <cell r="C846" t="str">
            <v>妖艶なる蝿王 ベルゼブブ</v>
          </cell>
        </row>
        <row r="847">
          <cell r="A847">
            <v>846</v>
          </cell>
          <cell r="B847" t="str">
            <v>ja</v>
          </cell>
          <cell r="C847" t="str">
            <v>ルシファー</v>
          </cell>
        </row>
        <row r="848">
          <cell r="A848">
            <v>847</v>
          </cell>
          <cell r="B848" t="str">
            <v>ja</v>
          </cell>
          <cell r="C848" t="str">
            <v>傲慢なる堕天史 ルシファー</v>
          </cell>
        </row>
        <row r="849">
          <cell r="A849">
            <v>848</v>
          </cell>
          <cell r="B849" t="str">
            <v>ja</v>
          </cell>
          <cell r="C849" t="str">
            <v>メタトロン</v>
          </cell>
        </row>
        <row r="850">
          <cell r="A850">
            <v>849</v>
          </cell>
          <cell r="B850" t="str">
            <v>ja</v>
          </cell>
          <cell r="C850" t="str">
            <v>燦然たる天使 メタトロン・ラヴァ</v>
          </cell>
        </row>
        <row r="851">
          <cell r="A851">
            <v>850</v>
          </cell>
          <cell r="B851" t="str">
            <v>ja</v>
          </cell>
          <cell r="C851" t="str">
            <v>バアル</v>
          </cell>
        </row>
        <row r="852">
          <cell r="A852">
            <v>851</v>
          </cell>
          <cell r="B852" t="str">
            <v>ja</v>
          </cell>
          <cell r="C852" t="str">
            <v>寡黙なる凶王 バアル</v>
          </cell>
        </row>
        <row r="853">
          <cell r="A853">
            <v>852</v>
          </cell>
          <cell r="B853" t="str">
            <v>ja</v>
          </cell>
          <cell r="C853" t="str">
            <v>サキエル</v>
          </cell>
        </row>
        <row r="854">
          <cell r="A854">
            <v>853</v>
          </cell>
          <cell r="B854" t="str">
            <v>ja</v>
          </cell>
          <cell r="C854" t="str">
            <v>裂爪の天使 サキエル・ティア</v>
          </cell>
        </row>
        <row r="855">
          <cell r="A855">
            <v>854</v>
          </cell>
          <cell r="B855" t="str">
            <v>ja</v>
          </cell>
          <cell r="C855" t="str">
            <v>フラウロス</v>
          </cell>
        </row>
        <row r="856">
          <cell r="A856">
            <v>855</v>
          </cell>
          <cell r="B856" t="str">
            <v>ja</v>
          </cell>
          <cell r="C856" t="str">
            <v>豹魔の侠客 フラウロス</v>
          </cell>
        </row>
        <row r="857">
          <cell r="A857">
            <v>856</v>
          </cell>
          <cell r="B857" t="str">
            <v>ja</v>
          </cell>
          <cell r="C857" t="str">
            <v>リフレクト＆M.I.R.R.O.R.</v>
          </cell>
        </row>
        <row r="858">
          <cell r="A858">
            <v>857</v>
          </cell>
          <cell r="B858" t="str">
            <v>ja</v>
          </cell>
          <cell r="C858" t="str">
            <v>嫉心のリフレクト＆M.I.R.R.O.R.</v>
          </cell>
        </row>
        <row r="859">
          <cell r="A859">
            <v>858</v>
          </cell>
          <cell r="B859" t="str">
            <v>ja</v>
          </cell>
          <cell r="C859" t="str">
            <v>Mr.ホエール</v>
          </cell>
        </row>
        <row r="860">
          <cell r="A860">
            <v>859</v>
          </cell>
          <cell r="B860" t="str">
            <v>ja</v>
          </cell>
          <cell r="C860" t="str">
            <v>夢鯨大食 Mr.ホエール</v>
          </cell>
        </row>
        <row r="861">
          <cell r="A861">
            <v>860</v>
          </cell>
          <cell r="B861" t="str">
            <v>ja</v>
          </cell>
          <cell r="C861" t="str">
            <v>叶望の幻燈 ジーナ</v>
          </cell>
        </row>
        <row r="862">
          <cell r="A862">
            <v>861</v>
          </cell>
          <cell r="B862" t="str">
            <v>ja</v>
          </cell>
          <cell r="C862" t="str">
            <v>青燈の巨躯 ジーナ</v>
          </cell>
        </row>
        <row r="863">
          <cell r="A863">
            <v>862</v>
          </cell>
          <cell r="B863" t="str">
            <v>ja</v>
          </cell>
          <cell r="C863" t="str">
            <v>ブレーメン</v>
          </cell>
        </row>
        <row r="864">
          <cell r="A864">
            <v>863</v>
          </cell>
          <cell r="B864" t="str">
            <v>ja</v>
          </cell>
          <cell r="C864" t="str">
            <v>歓揮の楽団長 ブレーメン</v>
          </cell>
        </row>
        <row r="865">
          <cell r="A865">
            <v>864</v>
          </cell>
          <cell r="B865" t="str">
            <v>ja</v>
          </cell>
          <cell r="C865" t="str">
            <v>ピノキオ</v>
          </cell>
        </row>
        <row r="866">
          <cell r="A866">
            <v>865</v>
          </cell>
          <cell r="B866" t="str">
            <v>ja</v>
          </cell>
          <cell r="C866" t="str">
            <v>無情の感線 ピノキオ</v>
          </cell>
        </row>
        <row r="867">
          <cell r="A867">
            <v>866</v>
          </cell>
          <cell r="B867" t="str">
            <v>ja</v>
          </cell>
          <cell r="C867" t="str">
            <v>無敗の司令姫 白雪姫</v>
          </cell>
        </row>
        <row r="868">
          <cell r="A868">
            <v>867</v>
          </cell>
          <cell r="B868" t="str">
            <v>ja</v>
          </cell>
          <cell r="C868" t="str">
            <v>華麗なる作戦 白雪姫</v>
          </cell>
        </row>
        <row r="869">
          <cell r="A869">
            <v>868</v>
          </cell>
          <cell r="B869" t="str">
            <v>ja</v>
          </cell>
          <cell r="C869" t="str">
            <v>アラジンと殲滅機兵LAMP</v>
          </cell>
        </row>
        <row r="870">
          <cell r="A870">
            <v>869</v>
          </cell>
          <cell r="B870" t="str">
            <v>ja</v>
          </cell>
          <cell r="C870" t="str">
            <v xml:space="preserve">マスター･アラジンと殲滅機兵LAMP </v>
          </cell>
        </row>
        <row r="871">
          <cell r="A871">
            <v>870</v>
          </cell>
          <cell r="B871" t="str">
            <v>ja</v>
          </cell>
          <cell r="C871" t="str">
            <v>フロイト</v>
          </cell>
        </row>
        <row r="872">
          <cell r="A872">
            <v>871</v>
          </cell>
          <cell r="B872" t="str">
            <v>ja</v>
          </cell>
          <cell r="C872" t="str">
            <v>無我夢中の羊狩り フロイト</v>
          </cell>
        </row>
        <row r="873">
          <cell r="A873">
            <v>872</v>
          </cell>
          <cell r="B873" t="str">
            <v>ja</v>
          </cell>
          <cell r="C873" t="str">
            <v>シュヴァルツシルト</v>
          </cell>
        </row>
        <row r="874">
          <cell r="A874">
            <v>873</v>
          </cell>
          <cell r="B874" t="str">
            <v>ja</v>
          </cell>
          <cell r="C874" t="str">
            <v>時歪の特異天 シュヴァルツシルト</v>
          </cell>
        </row>
        <row r="875">
          <cell r="A875">
            <v>874</v>
          </cell>
          <cell r="B875" t="str">
            <v>ja</v>
          </cell>
          <cell r="C875" t="str">
            <v>フレネル</v>
          </cell>
        </row>
        <row r="876">
          <cell r="A876">
            <v>875</v>
          </cell>
          <cell r="B876" t="str">
            <v>ja</v>
          </cell>
          <cell r="C876" t="str">
            <v>覇導の光跡 フレネル</v>
          </cell>
        </row>
        <row r="877">
          <cell r="A877">
            <v>876</v>
          </cell>
          <cell r="B877" t="str">
            <v>ja</v>
          </cell>
          <cell r="C877" t="str">
            <v>イフリート</v>
          </cell>
        </row>
        <row r="878">
          <cell r="A878">
            <v>877</v>
          </cell>
          <cell r="B878" t="str">
            <v>ja</v>
          </cell>
          <cell r="C878" t="str">
            <v>自律の協炎 イフリート</v>
          </cell>
        </row>
        <row r="879">
          <cell r="A879">
            <v>878</v>
          </cell>
          <cell r="B879" t="str">
            <v>ja</v>
          </cell>
          <cell r="C879" t="str">
            <v>イグニス</v>
          </cell>
        </row>
        <row r="880">
          <cell r="A880">
            <v>879</v>
          </cell>
          <cell r="B880" t="str">
            <v>ja</v>
          </cell>
          <cell r="C880" t="str">
            <v>イグニス・フューリー</v>
          </cell>
        </row>
        <row r="881">
          <cell r="A881">
            <v>880</v>
          </cell>
          <cell r="B881" t="str">
            <v>ja</v>
          </cell>
          <cell r="C881" t="str">
            <v>ハーシェル</v>
          </cell>
        </row>
        <row r="882">
          <cell r="A882">
            <v>881</v>
          </cell>
          <cell r="B882" t="str">
            <v>ja</v>
          </cell>
          <cell r="C882" t="str">
            <v>銀河究星の望観者 ハーシェル</v>
          </cell>
        </row>
        <row r="883">
          <cell r="A883">
            <v>882</v>
          </cell>
          <cell r="B883" t="str">
            <v>ja</v>
          </cell>
          <cell r="C883" t="str">
            <v>歪極する星壊 シュヴァルツシルト</v>
          </cell>
        </row>
        <row r="884">
          <cell r="A884">
            <v>883</v>
          </cell>
          <cell r="B884" t="str">
            <v>ja</v>
          </cell>
          <cell r="C884" t="str">
            <v>灼動する猛巨炎 プロメテウス</v>
          </cell>
        </row>
        <row r="885">
          <cell r="A885">
            <v>884</v>
          </cell>
          <cell r="B885" t="str">
            <v>ja</v>
          </cell>
          <cell r="C885" t="str">
            <v>咲園の爛漫神 アフロディーテ</v>
          </cell>
        </row>
        <row r="886">
          <cell r="A886">
            <v>885</v>
          </cell>
          <cell r="B886" t="str">
            <v>ja</v>
          </cell>
          <cell r="C886" t="str">
            <v>御群の絶海女神 テティス</v>
          </cell>
        </row>
        <row r="887">
          <cell r="A887">
            <v>886</v>
          </cell>
          <cell r="B887" t="str">
            <v>ja</v>
          </cell>
          <cell r="C887" t="str">
            <v>星義司る天聖神 アストライアー</v>
          </cell>
        </row>
        <row r="888">
          <cell r="A888">
            <v>887</v>
          </cell>
          <cell r="B888" t="str">
            <v>ja</v>
          </cell>
          <cell r="C888" t="str">
            <v>エリス</v>
          </cell>
        </row>
        <row r="889">
          <cell r="A889">
            <v>888</v>
          </cell>
          <cell r="B889" t="str">
            <v>ja</v>
          </cell>
          <cell r="C889" t="str">
            <v>禍根の暴送者 エリス</v>
          </cell>
        </row>
        <row r="890">
          <cell r="A890">
            <v>889</v>
          </cell>
          <cell r="B890" t="str">
            <v>ja</v>
          </cell>
          <cell r="C890" t="str">
            <v>未定</v>
          </cell>
        </row>
        <row r="891">
          <cell r="A891">
            <v>890</v>
          </cell>
          <cell r="B891" t="str">
            <v>ja</v>
          </cell>
          <cell r="C891" t="str">
            <v>未定</v>
          </cell>
        </row>
        <row r="892">
          <cell r="A892">
            <v>891</v>
          </cell>
          <cell r="B892" t="str">
            <v>ja</v>
          </cell>
          <cell r="C892" t="str">
            <v>コルキス</v>
          </cell>
        </row>
        <row r="893">
          <cell r="A893">
            <v>892</v>
          </cell>
          <cell r="B893" t="str">
            <v>ja</v>
          </cell>
          <cell r="C893" t="str">
            <v>金碧の羊星 コルキス</v>
          </cell>
        </row>
        <row r="894">
          <cell r="A894">
            <v>893</v>
          </cell>
          <cell r="B894" t="str">
            <v>ja</v>
          </cell>
          <cell r="C894" t="str">
            <v>アテナ</v>
          </cell>
        </row>
        <row r="895">
          <cell r="A895">
            <v>894</v>
          </cell>
          <cell r="B895" t="str">
            <v>ja</v>
          </cell>
          <cell r="C895" t="str">
            <v>聖澄の戦慧神 アテナ</v>
          </cell>
        </row>
        <row r="896">
          <cell r="A896">
            <v>895</v>
          </cell>
          <cell r="B896" t="str">
            <v>ja</v>
          </cell>
          <cell r="C896" t="str">
            <v>滅焼の大神狼 フェンリル</v>
          </cell>
        </row>
        <row r="897">
          <cell r="A897">
            <v>896</v>
          </cell>
          <cell r="B897" t="str">
            <v>ja</v>
          </cell>
          <cell r="C897" t="str">
            <v>天衣紡ぐ麗鶴 ハヅル</v>
          </cell>
        </row>
        <row r="898">
          <cell r="A898">
            <v>897</v>
          </cell>
          <cell r="B898" t="str">
            <v>ja</v>
          </cell>
          <cell r="C898" t="str">
            <v>天跳兎破 イナバ</v>
          </cell>
        </row>
        <row r="899">
          <cell r="A899">
            <v>898</v>
          </cell>
          <cell r="B899" t="str">
            <v>ja</v>
          </cell>
          <cell r="C899" t="str">
            <v>傾神の最愛姫 スフィンクス</v>
          </cell>
        </row>
        <row r="900">
          <cell r="A900">
            <v>899</v>
          </cell>
          <cell r="B900" t="str">
            <v>ja</v>
          </cell>
          <cell r="C900" t="str">
            <v>楽園からの帰還 アザゼル</v>
          </cell>
        </row>
        <row r="901">
          <cell r="A901">
            <v>900</v>
          </cell>
          <cell r="B901" t="str">
            <v>ja</v>
          </cell>
          <cell r="C901" t="str">
            <v>桃源郷での大宴会 アザゼル</v>
          </cell>
        </row>
        <row r="902">
          <cell r="A902">
            <v>901</v>
          </cell>
          <cell r="B902" t="str">
            <v>ja</v>
          </cell>
          <cell r="C902" t="str">
            <v>恩愛性ニムダ</v>
          </cell>
        </row>
        <row r="903">
          <cell r="A903">
            <v>902</v>
          </cell>
          <cell r="B903" t="str">
            <v>ja</v>
          </cell>
          <cell r="C903" t="str">
            <v>集団恩愛性ニムダL</v>
          </cell>
        </row>
        <row r="904">
          <cell r="A904">
            <v>903</v>
          </cell>
          <cell r="B904" t="str">
            <v>ja</v>
          </cell>
          <cell r="C904" t="str">
            <v>ハローキティ</v>
          </cell>
        </row>
        <row r="905">
          <cell r="A905">
            <v>904</v>
          </cell>
          <cell r="B905" t="str">
            <v>ja</v>
          </cell>
          <cell r="C905" t="str">
            <v>りんごの馬車　ハローキティ</v>
          </cell>
        </row>
        <row r="906">
          <cell r="A906">
            <v>905</v>
          </cell>
          <cell r="B906" t="str">
            <v>ja</v>
          </cell>
          <cell r="C906" t="str">
            <v>KIRIMIちゃん.</v>
          </cell>
        </row>
        <row r="907">
          <cell r="A907">
            <v>906</v>
          </cell>
          <cell r="B907" t="str">
            <v>ja</v>
          </cell>
          <cell r="C907" t="str">
            <v>おいしくたべてね KIRIMIちゃん.</v>
          </cell>
        </row>
        <row r="908">
          <cell r="A908">
            <v>907</v>
          </cell>
          <cell r="B908" t="str">
            <v>ja</v>
          </cell>
          <cell r="C908" t="str">
            <v>ハローキティのリボン</v>
          </cell>
        </row>
        <row r="909">
          <cell r="A909">
            <v>908</v>
          </cell>
          <cell r="B909" t="str">
            <v>ja</v>
          </cell>
          <cell r="C909" t="str">
            <v>ママの作ったアップルパイ</v>
          </cell>
        </row>
        <row r="910">
          <cell r="A910">
            <v>909</v>
          </cell>
          <cell r="B910" t="str">
            <v>ja</v>
          </cell>
          <cell r="C910" t="str">
            <v>光愛の弾幕 D.R.T.H.</v>
          </cell>
        </row>
        <row r="911">
          <cell r="A911">
            <v>910</v>
          </cell>
          <cell r="B911" t="str">
            <v>ja</v>
          </cell>
          <cell r="C911" t="str">
            <v>輝愛の大弾幕 D.R.T.H.</v>
          </cell>
        </row>
        <row r="912">
          <cell r="A912">
            <v>911</v>
          </cell>
          <cell r="B912" t="str">
            <v>ja</v>
          </cell>
          <cell r="C912" t="str">
            <v>マイメロディ</v>
          </cell>
        </row>
        <row r="913">
          <cell r="A913">
            <v>912</v>
          </cell>
          <cell r="B913" t="str">
            <v>ja</v>
          </cell>
          <cell r="C913" t="str">
            <v>フラットくんと一緒 マイメロディ</v>
          </cell>
        </row>
        <row r="914">
          <cell r="A914">
            <v>913</v>
          </cell>
          <cell r="B914" t="str">
            <v>ja</v>
          </cell>
          <cell r="C914" t="str">
            <v>幸福の縁廻　ニーベルゲン</v>
          </cell>
        </row>
        <row r="915">
          <cell r="A915">
            <v>914</v>
          </cell>
          <cell r="B915" t="str">
            <v>ja</v>
          </cell>
          <cell r="C915" t="str">
            <v>淡色を廻る倖せ　ニーベルゲン</v>
          </cell>
        </row>
        <row r="916">
          <cell r="A916">
            <v>915</v>
          </cell>
          <cell r="B916" t="str">
            <v>ja</v>
          </cell>
          <cell r="C916" t="str">
            <v>休息者　カカシ</v>
          </cell>
        </row>
        <row r="917">
          <cell r="A917">
            <v>916</v>
          </cell>
          <cell r="B917" t="str">
            <v>ja</v>
          </cell>
          <cell r="C917" t="str">
            <v>翠線譜の音色　カカシ</v>
          </cell>
        </row>
        <row r="918">
          <cell r="A918">
            <v>917</v>
          </cell>
          <cell r="B918" t="str">
            <v>ja</v>
          </cell>
          <cell r="C918" t="str">
            <v>けろけろけろっぴ</v>
          </cell>
        </row>
        <row r="919">
          <cell r="A919">
            <v>918</v>
          </cell>
          <cell r="B919" t="str">
            <v>ja</v>
          </cell>
          <cell r="C919" t="str">
            <v>てるてる天気 けろけろけろっぴ</v>
          </cell>
        </row>
        <row r="920">
          <cell r="A920">
            <v>919</v>
          </cell>
          <cell r="B920" t="str">
            <v>ja</v>
          </cell>
          <cell r="C920" t="str">
            <v>甘美の誘惑 モルドレッド</v>
          </cell>
        </row>
        <row r="921">
          <cell r="A921">
            <v>920</v>
          </cell>
          <cell r="B921" t="str">
            <v>ja</v>
          </cell>
          <cell r="C921" t="str">
            <v>甘美の誘迷 モルドレッド</v>
          </cell>
        </row>
        <row r="922">
          <cell r="A922">
            <v>921</v>
          </cell>
          <cell r="B922" t="str">
            <v>ja</v>
          </cell>
          <cell r="C922" t="str">
            <v>クロミ</v>
          </cell>
        </row>
        <row r="923">
          <cell r="A923">
            <v>922</v>
          </cell>
          <cell r="B923" t="str">
            <v>ja</v>
          </cell>
          <cell r="C923" t="str">
            <v>アタイとバク クロミ</v>
          </cell>
        </row>
        <row r="924">
          <cell r="A924">
            <v>923</v>
          </cell>
          <cell r="B924" t="str">
            <v>ja</v>
          </cell>
          <cell r="C924" t="str">
            <v>バッドばつ丸</v>
          </cell>
        </row>
        <row r="925">
          <cell r="A925">
            <v>924</v>
          </cell>
          <cell r="B925" t="str">
            <v>ja</v>
          </cell>
          <cell r="C925" t="str">
            <v>いたずら大好き　バッドばつ丸</v>
          </cell>
        </row>
        <row r="926">
          <cell r="A926">
            <v>925</v>
          </cell>
          <cell r="B926" t="str">
            <v>ja</v>
          </cell>
          <cell r="C926" t="str">
            <v>シナモロール</v>
          </cell>
        </row>
        <row r="927">
          <cell r="A927">
            <v>926</v>
          </cell>
          <cell r="B927" t="str">
            <v>ja</v>
          </cell>
          <cell r="C927" t="str">
            <v>ふわふわおさんぽ♪ シナモロール</v>
          </cell>
        </row>
        <row r="928">
          <cell r="A928">
            <v>927</v>
          </cell>
          <cell r="B928" t="str">
            <v>ja</v>
          </cell>
          <cell r="C928" t="str">
            <v>ポムポムプリン</v>
          </cell>
        </row>
        <row r="929">
          <cell r="A929">
            <v>928</v>
          </cell>
          <cell r="B929" t="str">
            <v>ja</v>
          </cell>
          <cell r="C929" t="str">
            <v>一緒におでかけ ポムポムプリン</v>
          </cell>
        </row>
        <row r="930">
          <cell r="A930">
            <v>929</v>
          </cell>
          <cell r="B930" t="str">
            <v>ja</v>
          </cell>
          <cell r="C930" t="str">
            <v>ゼウス</v>
          </cell>
        </row>
        <row r="931">
          <cell r="A931">
            <v>930</v>
          </cell>
          <cell r="B931" t="str">
            <v>ja</v>
          </cell>
          <cell r="C931" t="str">
            <v>烙雷の全能神 ゼウス</v>
          </cell>
        </row>
        <row r="932">
          <cell r="A932">
            <v>931</v>
          </cell>
          <cell r="B932" t="str">
            <v>ja</v>
          </cell>
          <cell r="C932" t="str">
            <v>ネルソン</v>
          </cell>
        </row>
        <row r="933">
          <cell r="A933">
            <v>932</v>
          </cell>
          <cell r="B933" t="str">
            <v>ja</v>
          </cell>
          <cell r="C933" t="str">
            <v>隻眼の英堤 ネルソン</v>
          </cell>
        </row>
        <row r="934">
          <cell r="A934">
            <v>933</v>
          </cell>
          <cell r="B934" t="str">
            <v>ja</v>
          </cell>
          <cell r="C934" t="str">
            <v>ヴェルサイユ</v>
          </cell>
        </row>
        <row r="935">
          <cell r="A935">
            <v>934</v>
          </cell>
          <cell r="B935" t="str">
            <v>ja</v>
          </cell>
          <cell r="C935" t="str">
            <v>絢爛たる燈城 ヴェルサイユ</v>
          </cell>
        </row>
        <row r="936">
          <cell r="A936">
            <v>935</v>
          </cell>
          <cell r="B936" t="str">
            <v>ja</v>
          </cell>
          <cell r="C936" t="str">
            <v>ルイ16世</v>
          </cell>
        </row>
        <row r="937">
          <cell r="A937">
            <v>936</v>
          </cell>
          <cell r="B937" t="str">
            <v>ja</v>
          </cell>
          <cell r="C937" t="str">
            <v>憲誓の煉王 ルイ16世</v>
          </cell>
        </row>
        <row r="938">
          <cell r="A938">
            <v>937</v>
          </cell>
          <cell r="B938" t="str">
            <v>ja</v>
          </cell>
          <cell r="C938" t="str">
            <v>ナポレオン</v>
          </cell>
        </row>
        <row r="939">
          <cell r="A939">
            <v>938</v>
          </cell>
          <cell r="B939" t="str">
            <v>ja</v>
          </cell>
          <cell r="C939" t="str">
            <v>炎焔宿す革命皇 ナポレオン</v>
          </cell>
        </row>
        <row r="940">
          <cell r="A940">
            <v>939</v>
          </cell>
          <cell r="B940" t="str">
            <v>ja</v>
          </cell>
          <cell r="C940" t="str">
            <v>バスティーユ</v>
          </cell>
        </row>
        <row r="941">
          <cell r="A941">
            <v>940</v>
          </cell>
          <cell r="B941" t="str">
            <v>ja</v>
          </cell>
          <cell r="C941" t="str">
            <v>不壊の大要塞 バスティーユ</v>
          </cell>
        </row>
        <row r="942">
          <cell r="A942">
            <v>941</v>
          </cell>
          <cell r="B942" t="str">
            <v>ja</v>
          </cell>
          <cell r="C942" t="str">
            <v>アントワネット</v>
          </cell>
        </row>
        <row r="943">
          <cell r="A943">
            <v>942</v>
          </cell>
          <cell r="B943" t="str">
            <v>ja</v>
          </cell>
          <cell r="C943" t="str">
            <v>華戯たる傲妃 アントワネット</v>
          </cell>
        </row>
        <row r="944">
          <cell r="A944">
            <v>943</v>
          </cell>
          <cell r="B944" t="str">
            <v>ja</v>
          </cell>
          <cell r="C944" t="str">
            <v>サンソン</v>
          </cell>
        </row>
        <row r="945">
          <cell r="A945">
            <v>944</v>
          </cell>
          <cell r="B945" t="str">
            <v>ja</v>
          </cell>
          <cell r="C945" t="str">
            <v>王敬の執行者 サンソン</v>
          </cell>
        </row>
        <row r="946">
          <cell r="A946">
            <v>945</v>
          </cell>
          <cell r="B946" t="str">
            <v>ja</v>
          </cell>
          <cell r="C946" t="str">
            <v>ブリューナク</v>
          </cell>
        </row>
        <row r="947">
          <cell r="A947">
            <v>946</v>
          </cell>
          <cell r="B947" t="str">
            <v>ja</v>
          </cell>
          <cell r="C947" t="str">
            <v>ブリューナク</v>
          </cell>
        </row>
        <row r="948">
          <cell r="A948">
            <v>947</v>
          </cell>
          <cell r="B948" t="str">
            <v>ja</v>
          </cell>
          <cell r="C948" t="str">
            <v>ゲイボルグ</v>
          </cell>
        </row>
        <row r="949">
          <cell r="A949">
            <v>948</v>
          </cell>
          <cell r="B949" t="str">
            <v>ja</v>
          </cell>
          <cell r="C949" t="str">
            <v>裂雷の必撃鏃 ゲイボルグ</v>
          </cell>
        </row>
        <row r="950">
          <cell r="A950">
            <v>949</v>
          </cell>
          <cell r="B950" t="str">
            <v>ja</v>
          </cell>
          <cell r="C950" t="str">
            <v>トライデント</v>
          </cell>
        </row>
        <row r="951">
          <cell r="A951">
            <v>950</v>
          </cell>
          <cell r="B951" t="str">
            <v>ja</v>
          </cell>
          <cell r="C951" t="str">
            <v>海洪操る三叉戟 トライデント</v>
          </cell>
        </row>
        <row r="952">
          <cell r="A952">
            <v>951</v>
          </cell>
          <cell r="B952" t="str">
            <v>ja</v>
          </cell>
          <cell r="C952" t="str">
            <v>グングニル</v>
          </cell>
        </row>
        <row r="953">
          <cell r="A953">
            <v>952</v>
          </cell>
          <cell r="B953" t="str">
            <v>ja</v>
          </cell>
          <cell r="C953" t="str">
            <v>勝臨の機鋭槍 グングニル</v>
          </cell>
        </row>
        <row r="954">
          <cell r="A954">
            <v>953</v>
          </cell>
          <cell r="B954" t="str">
            <v>ja</v>
          </cell>
          <cell r="C954" t="str">
            <v>ハイゼンベルク</v>
          </cell>
        </row>
        <row r="955">
          <cell r="A955">
            <v>954</v>
          </cell>
          <cell r="B955" t="str">
            <v>ja</v>
          </cell>
          <cell r="C955" t="str">
            <v>不確の量熔者 ハイゼンベルク</v>
          </cell>
        </row>
        <row r="956">
          <cell r="A956">
            <v>955</v>
          </cell>
          <cell r="B956" t="str">
            <v>ja</v>
          </cell>
          <cell r="C956" t="str">
            <v>マクローリン</v>
          </cell>
        </row>
        <row r="957">
          <cell r="A957">
            <v>956</v>
          </cell>
          <cell r="B957" t="str">
            <v>ja</v>
          </cell>
          <cell r="C957" t="str">
            <v>導環の崇論 マクローリン</v>
          </cell>
        </row>
        <row r="958">
          <cell r="A958">
            <v>957</v>
          </cell>
          <cell r="B958" t="str">
            <v>ja</v>
          </cell>
          <cell r="C958" t="str">
            <v>浮環の流律論 マクローリン</v>
          </cell>
        </row>
        <row r="959">
          <cell r="A959">
            <v>958</v>
          </cell>
          <cell r="B959" t="str">
            <v>ja</v>
          </cell>
          <cell r="C959" t="str">
            <v>ド・モルガン</v>
          </cell>
        </row>
        <row r="960">
          <cell r="A960">
            <v>959</v>
          </cell>
          <cell r="B960" t="str">
            <v>ja</v>
          </cell>
          <cell r="C960" t="str">
            <v>双世の論和 ド・モルガン</v>
          </cell>
        </row>
        <row r="961">
          <cell r="A961">
            <v>960</v>
          </cell>
          <cell r="B961" t="str">
            <v>ja</v>
          </cell>
          <cell r="C961" t="str">
            <v>双対する真偽者 ド・モルガン</v>
          </cell>
        </row>
        <row r="962">
          <cell r="A962">
            <v>961</v>
          </cell>
          <cell r="B962" t="str">
            <v>ja</v>
          </cell>
          <cell r="C962" t="str">
            <v>狂奏・混業剣 ガレス</v>
          </cell>
        </row>
        <row r="963">
          <cell r="A963">
            <v>962</v>
          </cell>
          <cell r="B963" t="str">
            <v>ja</v>
          </cell>
          <cell r="C963" t="str">
            <v>酩酊する大宴龍 ヤマタノオロチ</v>
          </cell>
        </row>
        <row r="964">
          <cell r="A964">
            <v>963</v>
          </cell>
          <cell r="B964" t="str">
            <v>ja</v>
          </cell>
          <cell r="C964" t="str">
            <v>天蛇の閃皇貴魔 アスタロト</v>
          </cell>
        </row>
        <row r="965">
          <cell r="A965">
            <v>964</v>
          </cell>
          <cell r="B965" t="str">
            <v>ja</v>
          </cell>
          <cell r="C965" t="str">
            <v>海破雨散の海龍 リヴァイアサン</v>
          </cell>
        </row>
        <row r="966">
          <cell r="A966">
            <v>965</v>
          </cell>
          <cell r="B966" t="str">
            <v>ja</v>
          </cell>
          <cell r="C966" t="str">
            <v>穿熱の緋龍王 キング・ドライグ</v>
          </cell>
        </row>
        <row r="967">
          <cell r="A967">
            <v>966</v>
          </cell>
          <cell r="B967" t="str">
            <v>ja</v>
          </cell>
          <cell r="C967" t="str">
            <v>麗嵐の颯愛志士 土方歳三</v>
          </cell>
        </row>
        <row r="968">
          <cell r="A968">
            <v>967</v>
          </cell>
          <cell r="B968" t="str">
            <v>ja</v>
          </cell>
          <cell r="C968" t="str">
            <v>討滅の凶妖志士 斎藤一</v>
          </cell>
        </row>
        <row r="969">
          <cell r="A969">
            <v>968</v>
          </cell>
          <cell r="B969" t="str">
            <v>ja</v>
          </cell>
          <cell r="C969" t="str">
            <v>夢謀の愚幻者 フール</v>
          </cell>
        </row>
        <row r="970">
          <cell r="A970">
            <v>969</v>
          </cell>
          <cell r="B970" t="str">
            <v>ja</v>
          </cell>
          <cell r="C970" t="str">
            <v>超排撃の焔砲巨神 ユミル</v>
          </cell>
        </row>
        <row r="971">
          <cell r="A971">
            <v>970</v>
          </cell>
          <cell r="B971" t="str">
            <v>ja</v>
          </cell>
          <cell r="C971" t="str">
            <v>目醒の鋏牙 ラプンツェル</v>
          </cell>
        </row>
        <row r="972">
          <cell r="A972">
            <v>971</v>
          </cell>
          <cell r="B972" t="str">
            <v>ja</v>
          </cell>
          <cell r="C972" t="str">
            <v>機獅蛮勇 ブレイブリー・ライオン</v>
          </cell>
        </row>
        <row r="973">
          <cell r="A973">
            <v>972</v>
          </cell>
          <cell r="B973" t="str">
            <v>ja</v>
          </cell>
          <cell r="C973" t="str">
            <v>コーシー</v>
          </cell>
        </row>
        <row r="974">
          <cell r="A974">
            <v>973</v>
          </cell>
          <cell r="B974" t="str">
            <v>ja</v>
          </cell>
          <cell r="C974" t="str">
            <v>幻蜜なる怪跡 コーシー</v>
          </cell>
        </row>
        <row r="975">
          <cell r="A975">
            <v>974</v>
          </cell>
          <cell r="B975" t="str">
            <v>ja</v>
          </cell>
          <cell r="C975" t="str">
            <v>ブール</v>
          </cell>
        </row>
        <row r="976">
          <cell r="A976">
            <v>975</v>
          </cell>
          <cell r="B976" t="str">
            <v>ja</v>
          </cell>
          <cell r="C976" t="str">
            <v>綺号を巡る輝翼 ブール</v>
          </cell>
        </row>
        <row r="977">
          <cell r="A977">
            <v>976</v>
          </cell>
          <cell r="B977" t="str">
            <v>ja</v>
          </cell>
          <cell r="C977" t="str">
            <v>ウザリーマン</v>
          </cell>
        </row>
        <row r="978">
          <cell r="A978">
            <v>977</v>
          </cell>
          <cell r="B978" t="str">
            <v>ja</v>
          </cell>
          <cell r="C978" t="str">
            <v>リヴァイ お掃除ver</v>
          </cell>
        </row>
        <row r="979">
          <cell r="A979">
            <v>978</v>
          </cell>
          <cell r="B979" t="str">
            <v>ja</v>
          </cell>
          <cell r="C979" t="str">
            <v>潔癖の掃討 リヴァイ お掃除ver</v>
          </cell>
        </row>
        <row r="980">
          <cell r="A980">
            <v>979</v>
          </cell>
          <cell r="B980" t="str">
            <v>ja</v>
          </cell>
          <cell r="C980" t="str">
            <v>超大型巨人</v>
          </cell>
        </row>
        <row r="981">
          <cell r="A981">
            <v>980</v>
          </cell>
          <cell r="B981" t="str">
            <v>ja</v>
          </cell>
          <cell r="C981" t="str">
            <v>猛熱の災厄 超大型巨人</v>
          </cell>
        </row>
        <row r="982">
          <cell r="A982">
            <v>981</v>
          </cell>
          <cell r="B982" t="str">
            <v>ja</v>
          </cell>
          <cell r="C982" t="str">
            <v>女型の巨人</v>
          </cell>
        </row>
        <row r="983">
          <cell r="A983">
            <v>982</v>
          </cell>
          <cell r="B983" t="str">
            <v>ja</v>
          </cell>
          <cell r="C983" t="str">
            <v>柔靭なる剛脚 女型の巨人</v>
          </cell>
        </row>
        <row r="984">
          <cell r="A984">
            <v>983</v>
          </cell>
          <cell r="B984" t="str">
            <v>ja</v>
          </cell>
          <cell r="C984" t="str">
            <v>鎧の巨人</v>
          </cell>
        </row>
        <row r="985">
          <cell r="A985">
            <v>984</v>
          </cell>
          <cell r="B985" t="str">
            <v>ja</v>
          </cell>
          <cell r="C985" t="str">
            <v>破壁の剛弾 鎧の巨人</v>
          </cell>
        </row>
        <row r="986">
          <cell r="A986">
            <v>985</v>
          </cell>
          <cell r="B986" t="str">
            <v>ja</v>
          </cell>
          <cell r="C986" t="str">
            <v>エレン</v>
          </cell>
        </row>
        <row r="987">
          <cell r="A987">
            <v>986</v>
          </cell>
          <cell r="B987" t="str">
            <v>ja</v>
          </cell>
          <cell r="C987" t="str">
            <v>復讐の誓約 エレン</v>
          </cell>
        </row>
        <row r="988">
          <cell r="A988">
            <v>987</v>
          </cell>
          <cell r="B988" t="str">
            <v>ja</v>
          </cell>
          <cell r="C988" t="str">
            <v>撃壊の眼煌 エレン巨人</v>
          </cell>
        </row>
        <row r="989">
          <cell r="A989">
            <v>988</v>
          </cell>
          <cell r="B989" t="str">
            <v>ja</v>
          </cell>
          <cell r="C989" t="str">
            <v>ミカサ</v>
          </cell>
        </row>
        <row r="990">
          <cell r="A990">
            <v>989</v>
          </cell>
          <cell r="B990" t="str">
            <v>ja</v>
          </cell>
          <cell r="C990" t="str">
            <v>稀代の逸材 ミカサ</v>
          </cell>
        </row>
        <row r="991">
          <cell r="A991">
            <v>990</v>
          </cell>
          <cell r="B991" t="str">
            <v>ja</v>
          </cell>
          <cell r="C991" t="str">
            <v>エルヴィン</v>
          </cell>
        </row>
        <row r="992">
          <cell r="A992">
            <v>991</v>
          </cell>
          <cell r="B992" t="str">
            <v>ja</v>
          </cell>
          <cell r="C992" t="str">
            <v>反撃の核心 エルヴィン</v>
          </cell>
        </row>
        <row r="993">
          <cell r="A993">
            <v>992</v>
          </cell>
          <cell r="B993" t="str">
            <v>ja</v>
          </cell>
          <cell r="C993" t="str">
            <v>ハンジ</v>
          </cell>
        </row>
        <row r="994">
          <cell r="A994">
            <v>993</v>
          </cell>
          <cell r="B994" t="str">
            <v>ja</v>
          </cell>
          <cell r="C994" t="str">
            <v>巨躯への執着 ハンジ</v>
          </cell>
        </row>
        <row r="995">
          <cell r="A995">
            <v>994</v>
          </cell>
          <cell r="B995" t="str">
            <v>ja</v>
          </cell>
          <cell r="C995" t="str">
            <v>アルミン</v>
          </cell>
        </row>
        <row r="996">
          <cell r="A996">
            <v>995</v>
          </cell>
          <cell r="B996" t="str">
            <v>ja</v>
          </cell>
          <cell r="C996" t="str">
            <v>疾駆する閃略 アルミン</v>
          </cell>
        </row>
        <row r="997">
          <cell r="A997">
            <v>996</v>
          </cell>
          <cell r="B997" t="str">
            <v>ja</v>
          </cell>
          <cell r="C997" t="str">
            <v>リヴァイ</v>
          </cell>
        </row>
        <row r="998">
          <cell r="A998">
            <v>997</v>
          </cell>
          <cell r="B998" t="str">
            <v>ja</v>
          </cell>
          <cell r="C998" t="str">
            <v>人類最強 リヴァイ</v>
          </cell>
        </row>
        <row r="999">
          <cell r="A999">
            <v>998</v>
          </cell>
          <cell r="B999" t="str">
            <v>ja</v>
          </cell>
          <cell r="C999" t="str">
            <v>サシャ</v>
          </cell>
        </row>
        <row r="1000">
          <cell r="A1000">
            <v>999</v>
          </cell>
          <cell r="B1000" t="str">
            <v>ja</v>
          </cell>
          <cell r="C1000" t="str">
            <v>無尽蔵の食猟 サシャ</v>
          </cell>
        </row>
        <row r="1001">
          <cell r="A1001">
            <v>1000</v>
          </cell>
          <cell r="B1001" t="str">
            <v>ja</v>
          </cell>
          <cell r="C1001" t="str">
            <v>クリスタ</v>
          </cell>
        </row>
        <row r="1002">
          <cell r="A1002">
            <v>1001</v>
          </cell>
          <cell r="B1002" t="str">
            <v>ja</v>
          </cell>
          <cell r="C1002" t="str">
            <v>細愛の女神 クリスタ</v>
          </cell>
        </row>
        <row r="1003">
          <cell r="A1003">
            <v>1002</v>
          </cell>
          <cell r="B1003" t="str">
            <v>ja</v>
          </cell>
          <cell r="C1003" t="str">
            <v>ジャン</v>
          </cell>
        </row>
        <row r="1004">
          <cell r="A1004">
            <v>1003</v>
          </cell>
          <cell r="B1004" t="str">
            <v>ja</v>
          </cell>
          <cell r="C1004" t="str">
            <v>真義の勇抱 ジャン</v>
          </cell>
        </row>
        <row r="1005">
          <cell r="A1005">
            <v>1004</v>
          </cell>
          <cell r="B1005" t="str">
            <v>ja</v>
          </cell>
          <cell r="C1005" t="str">
            <v>アメミット</v>
          </cell>
        </row>
        <row r="1006">
          <cell r="A1006">
            <v>1005</v>
          </cell>
          <cell r="B1006" t="str">
            <v>ja</v>
          </cell>
          <cell r="C1006" t="str">
            <v>恐牙なる魂喰獣 アメミット</v>
          </cell>
        </row>
        <row r="1007">
          <cell r="A1007">
            <v>1006</v>
          </cell>
          <cell r="B1007" t="str">
            <v>ja</v>
          </cell>
          <cell r="C1007" t="str">
            <v>セルケト</v>
          </cell>
        </row>
        <row r="1008">
          <cell r="A1008">
            <v>1007</v>
          </cell>
          <cell r="B1008" t="str">
            <v>ja</v>
          </cell>
          <cell r="C1008" t="str">
            <v>癒命の守蠍神 セルケト</v>
          </cell>
        </row>
        <row r="1009">
          <cell r="A1009">
            <v>1008</v>
          </cell>
          <cell r="B1009" t="str">
            <v>ja</v>
          </cell>
          <cell r="C1009" t="str">
            <v>オシリス</v>
          </cell>
        </row>
        <row r="1010">
          <cell r="A1010">
            <v>1009</v>
          </cell>
          <cell r="B1010" t="str">
            <v>ja</v>
          </cell>
          <cell r="C1010" t="str">
            <v>再醒の冥皇神 オシリス</v>
          </cell>
        </row>
        <row r="1011">
          <cell r="A1011">
            <v>1010</v>
          </cell>
          <cell r="B1011" t="str">
            <v>ja</v>
          </cell>
          <cell r="C1011" t="str">
            <v>セト</v>
          </cell>
        </row>
        <row r="1012">
          <cell r="A1012">
            <v>1011</v>
          </cell>
          <cell r="B1012" t="str">
            <v>ja</v>
          </cell>
          <cell r="C1012" t="str">
            <v>偉獰なる荒嵐神 セト</v>
          </cell>
        </row>
        <row r="1013">
          <cell r="A1013">
            <v>1012</v>
          </cell>
          <cell r="B1013" t="str">
            <v>ja</v>
          </cell>
          <cell r="C1013" t="str">
            <v>ラー</v>
          </cell>
        </row>
        <row r="1014">
          <cell r="A1014">
            <v>1013</v>
          </cell>
          <cell r="B1014" t="str">
            <v>ja</v>
          </cell>
          <cell r="C1014" t="str">
            <v>聖陽昇る緋洸神 ラー</v>
          </cell>
        </row>
        <row r="1015">
          <cell r="A1015">
            <v>1014</v>
          </cell>
          <cell r="B1015" t="str">
            <v>ja</v>
          </cell>
          <cell r="C1015" t="str">
            <v>イシス</v>
          </cell>
        </row>
        <row r="1016">
          <cell r="A1016">
            <v>1015</v>
          </cell>
          <cell r="B1016" t="str">
            <v>ja</v>
          </cell>
          <cell r="C1016" t="str">
            <v>繁翠なる蘇聖神 イシス</v>
          </cell>
        </row>
        <row r="1017">
          <cell r="A1017">
            <v>1016</v>
          </cell>
          <cell r="B1017" t="str">
            <v>ja</v>
          </cell>
          <cell r="C1017" t="str">
            <v>ハトホル</v>
          </cell>
        </row>
        <row r="1018">
          <cell r="A1018">
            <v>1017</v>
          </cell>
          <cell r="B1018" t="str">
            <v>ja</v>
          </cell>
          <cell r="C1018" t="str">
            <v>命瞳の慈母神 ハトホル</v>
          </cell>
        </row>
        <row r="1019">
          <cell r="A1019">
            <v>1018</v>
          </cell>
          <cell r="B1019" t="str">
            <v>ja</v>
          </cell>
          <cell r="C1019" t="str">
            <v>バステト</v>
          </cell>
        </row>
        <row r="1020">
          <cell r="A1020">
            <v>1019</v>
          </cell>
          <cell r="B1020" t="str">
            <v>ja</v>
          </cell>
          <cell r="C1020" t="str">
            <v>愛鈴鳴る寵猫神 バステト</v>
          </cell>
        </row>
        <row r="1021">
          <cell r="A1021">
            <v>1020</v>
          </cell>
          <cell r="B1021" t="str">
            <v>ja</v>
          </cell>
          <cell r="C1021" t="str">
            <v>静御前</v>
          </cell>
        </row>
        <row r="1022">
          <cell r="A1022">
            <v>1021</v>
          </cell>
          <cell r="B1022" t="str">
            <v>ja</v>
          </cell>
          <cell r="C1022" t="str">
            <v>焔耀の舞姫 静御前</v>
          </cell>
        </row>
        <row r="1023">
          <cell r="A1023">
            <v>1022</v>
          </cell>
          <cell r="B1023" t="str">
            <v>ja</v>
          </cell>
          <cell r="C1023" t="str">
            <v>那須与一</v>
          </cell>
        </row>
        <row r="1024">
          <cell r="A1024">
            <v>1023</v>
          </cell>
          <cell r="B1024" t="str">
            <v>ja</v>
          </cell>
          <cell r="C1024" t="str">
            <v>心射抜く投擲者 那須与一</v>
          </cell>
        </row>
        <row r="1025">
          <cell r="A1025">
            <v>1024</v>
          </cell>
          <cell r="B1025" t="str">
            <v>ja</v>
          </cell>
          <cell r="C1025" t="str">
            <v>武蔵坊弁慶</v>
          </cell>
        </row>
        <row r="1026">
          <cell r="A1026">
            <v>1025</v>
          </cell>
          <cell r="B1026" t="str">
            <v>ja</v>
          </cell>
          <cell r="C1026" t="str">
            <v>多重撃の荒法師 武蔵坊弁慶</v>
          </cell>
        </row>
        <row r="1027">
          <cell r="A1027">
            <v>1026</v>
          </cell>
          <cell r="B1027" t="str">
            <v>ja</v>
          </cell>
          <cell r="C1027" t="str">
            <v>蝉丸</v>
          </cell>
        </row>
        <row r="1028">
          <cell r="A1028">
            <v>1027</v>
          </cell>
          <cell r="B1028" t="str">
            <v>ja</v>
          </cell>
          <cell r="C1028" t="str">
            <v>弾丸多重奏 蝉丸</v>
          </cell>
        </row>
        <row r="1029">
          <cell r="A1029">
            <v>1028</v>
          </cell>
          <cell r="B1029" t="str">
            <v>ja</v>
          </cell>
          <cell r="C1029" t="str">
            <v>牛若丸</v>
          </cell>
        </row>
        <row r="1030">
          <cell r="A1030">
            <v>1029</v>
          </cell>
          <cell r="B1030" t="str">
            <v>ja</v>
          </cell>
          <cell r="C1030" t="str">
            <v>天賦の軍才 牛若丸</v>
          </cell>
        </row>
        <row r="1031">
          <cell r="A1031">
            <v>1030</v>
          </cell>
          <cell r="B1031" t="str">
            <v>ja</v>
          </cell>
          <cell r="C1031" t="str">
            <v>百戦錬磨のカリスマ 源義経</v>
          </cell>
        </row>
        <row r="1032">
          <cell r="A1032">
            <v>1031</v>
          </cell>
          <cell r="B1032" t="str">
            <v>ja</v>
          </cell>
          <cell r="C1032" t="str">
            <v>紫式部</v>
          </cell>
        </row>
        <row r="1033">
          <cell r="A1033">
            <v>1032</v>
          </cell>
          <cell r="B1033" t="str">
            <v>ja</v>
          </cell>
          <cell r="C1033" t="str">
            <v>彩気煥発の創作人 紫式部</v>
          </cell>
        </row>
        <row r="1034">
          <cell r="A1034">
            <v>1033</v>
          </cell>
          <cell r="B1034" t="str">
            <v>ja</v>
          </cell>
          <cell r="C1034" t="str">
            <v>清少納言</v>
          </cell>
        </row>
        <row r="1035">
          <cell r="A1035">
            <v>1034</v>
          </cell>
          <cell r="B1035" t="str">
            <v>ja</v>
          </cell>
          <cell r="C1035" t="str">
            <v>爛漫なる随筆家 清少納言</v>
          </cell>
        </row>
        <row r="1036">
          <cell r="A1036">
            <v>1035</v>
          </cell>
          <cell r="B1036" t="str">
            <v>ja</v>
          </cell>
          <cell r="C1036" t="str">
            <v>スカルズ</v>
          </cell>
        </row>
        <row r="1037">
          <cell r="A1037">
            <v>1036</v>
          </cell>
          <cell r="B1037" t="str">
            <v>ja</v>
          </cell>
          <cell r="C1037" t="str">
            <v>復讐の形骸 スカルズ</v>
          </cell>
        </row>
        <row r="1038">
          <cell r="A1038">
            <v>1037</v>
          </cell>
          <cell r="B1038" t="str">
            <v>ja</v>
          </cell>
          <cell r="C1038" t="str">
            <v>ミューズ</v>
          </cell>
        </row>
        <row r="1039">
          <cell r="A1039">
            <v>1038</v>
          </cell>
          <cell r="B1039" t="str">
            <v>ja</v>
          </cell>
          <cell r="C1039" t="str">
            <v>歌音届ける楽愛神 ミューズ</v>
          </cell>
        </row>
        <row r="1040">
          <cell r="A1040">
            <v>1039</v>
          </cell>
          <cell r="B1040" t="str">
            <v>ja</v>
          </cell>
          <cell r="C1040" t="str">
            <v>ディラック</v>
          </cell>
        </row>
        <row r="1041">
          <cell r="A1041">
            <v>1040</v>
          </cell>
          <cell r="B1041" t="str">
            <v>ja</v>
          </cell>
          <cell r="C1041" t="str">
            <v>蒼流の電磁団 ディラック</v>
          </cell>
        </row>
        <row r="1042">
          <cell r="A1042">
            <v>1041</v>
          </cell>
          <cell r="B1042" t="str">
            <v>ja</v>
          </cell>
          <cell r="C1042" t="str">
            <v>織姫</v>
          </cell>
        </row>
        <row r="1043">
          <cell r="A1043">
            <v>1042</v>
          </cell>
          <cell r="B1043" t="str">
            <v>ja</v>
          </cell>
          <cell r="C1043" t="str">
            <v>希紡の天帝姫 織姫</v>
          </cell>
        </row>
        <row r="1044">
          <cell r="A1044">
            <v>1043</v>
          </cell>
          <cell r="B1044" t="str">
            <v>ja</v>
          </cell>
          <cell r="C1044" t="str">
            <v>彦星</v>
          </cell>
        </row>
        <row r="1045">
          <cell r="A1045">
            <v>1044</v>
          </cell>
          <cell r="B1045" t="str">
            <v>ja</v>
          </cell>
          <cell r="C1045" t="str">
            <v>恋狩の色星主  彦星</v>
          </cell>
        </row>
        <row r="1046">
          <cell r="A1046">
            <v>1045</v>
          </cell>
          <cell r="B1046" t="str">
            <v>ja</v>
          </cell>
          <cell r="C1046" t="str">
            <v>漂解の海原 シュレディンガー</v>
          </cell>
        </row>
        <row r="1047">
          <cell r="A1047">
            <v>1046</v>
          </cell>
          <cell r="B1047" t="str">
            <v>ja</v>
          </cell>
          <cell r="C1047" t="str">
            <v>涼求の炎狼 フェンリル</v>
          </cell>
        </row>
        <row r="1048">
          <cell r="A1048">
            <v>1047</v>
          </cell>
          <cell r="B1048" t="str">
            <v>ja</v>
          </cell>
          <cell r="C1048" t="str">
            <v>波浪の夏閃 オイラー</v>
          </cell>
        </row>
        <row r="1049">
          <cell r="A1049">
            <v>1048</v>
          </cell>
          <cell r="B1049" t="str">
            <v>ja</v>
          </cell>
          <cell r="C1049" t="str">
            <v>砂上の城主竜 ケツァクアトル</v>
          </cell>
        </row>
        <row r="1050">
          <cell r="A1050">
            <v>1049</v>
          </cell>
          <cell r="B1050" t="str">
            <v>ja</v>
          </cell>
          <cell r="C1050" t="str">
            <v>深秘の水宙 メビウス</v>
          </cell>
        </row>
        <row r="1051">
          <cell r="A1051">
            <v>1050</v>
          </cell>
          <cell r="B1051" t="str">
            <v>ja</v>
          </cell>
          <cell r="C1051" t="str">
            <v>廻遊の水獣宰相 ルキフグス</v>
          </cell>
        </row>
        <row r="1052">
          <cell r="A1052">
            <v>1051</v>
          </cell>
          <cell r="B1052" t="str">
            <v>ja</v>
          </cell>
          <cell r="C1052" t="str">
            <v>嬌電の飛沫 ファラデー</v>
          </cell>
        </row>
        <row r="1053">
          <cell r="A1053">
            <v>1052</v>
          </cell>
          <cell r="B1053" t="str">
            <v>ja</v>
          </cell>
          <cell r="C1053" t="str">
            <v>戯魚群の潜光 バルドル</v>
          </cell>
        </row>
        <row r="1054">
          <cell r="A1054">
            <v>1053</v>
          </cell>
          <cell r="B1054" t="str">
            <v>ja</v>
          </cell>
          <cell r="C1054" t="str">
            <v>常夏の眩獣 麒麟</v>
          </cell>
        </row>
        <row r="1055">
          <cell r="A1055">
            <v>1054</v>
          </cell>
          <cell r="B1055" t="str">
            <v>ja</v>
          </cell>
          <cell r="C1055" t="str">
            <v>炎陽の臨海 麒麟</v>
          </cell>
        </row>
        <row r="1056">
          <cell r="A1056">
            <v>1055</v>
          </cell>
          <cell r="B1056" t="str">
            <v>ja</v>
          </cell>
          <cell r="C1056" t="str">
            <v>豪焔の轟暴聖 ベリアル</v>
          </cell>
        </row>
        <row r="1057">
          <cell r="A1057">
            <v>1056</v>
          </cell>
          <cell r="B1057" t="str">
            <v>ja</v>
          </cell>
          <cell r="C1057" t="str">
            <v>神解の預欺皇 オセ</v>
          </cell>
        </row>
        <row r="1058">
          <cell r="A1058">
            <v>1057</v>
          </cell>
          <cell r="B1058" t="str">
            <v>ja</v>
          </cell>
          <cell r="C1058" t="str">
            <v>疑愛の永遠公爵 フォルネウス</v>
          </cell>
        </row>
        <row r="1059">
          <cell r="A1059">
            <v>1058</v>
          </cell>
          <cell r="B1059" t="str">
            <v>ja</v>
          </cell>
          <cell r="C1059" t="str">
            <v>黄泉守誘の命神母 イザナミ</v>
          </cell>
        </row>
        <row r="1060">
          <cell r="A1060">
            <v>1059</v>
          </cell>
          <cell r="B1060" t="str">
            <v>ja</v>
          </cell>
          <cell r="C1060" t="str">
            <v>パズズ</v>
          </cell>
        </row>
        <row r="1061">
          <cell r="A1061">
            <v>1060</v>
          </cell>
          <cell r="B1061" t="str">
            <v>ja</v>
          </cell>
          <cell r="C1061" t="str">
            <v>熱扇風の幼魔 パズズ</v>
          </cell>
        </row>
        <row r="1062">
          <cell r="A1062">
            <v>1061</v>
          </cell>
          <cell r="B1062" t="str">
            <v>ja</v>
          </cell>
          <cell r="C1062" t="str">
            <v>フンババ</v>
          </cell>
        </row>
        <row r="1063">
          <cell r="A1063">
            <v>1062</v>
          </cell>
          <cell r="B1063" t="str">
            <v>ja</v>
          </cell>
          <cell r="C1063" t="str">
            <v>停止不能の蛮躯 フンババ</v>
          </cell>
        </row>
        <row r="1064">
          <cell r="A1064">
            <v>1063</v>
          </cell>
          <cell r="B1064" t="str">
            <v>ja</v>
          </cell>
          <cell r="C1064" t="str">
            <v>ティアマト</v>
          </cell>
        </row>
        <row r="1065">
          <cell r="A1065">
            <v>1064</v>
          </cell>
          <cell r="B1065" t="str">
            <v>ja</v>
          </cell>
          <cell r="C1065" t="str">
            <v>混沌の猛飛沫 ティアマト</v>
          </cell>
        </row>
        <row r="1066">
          <cell r="A1066">
            <v>1065</v>
          </cell>
          <cell r="B1066" t="str">
            <v>ja</v>
          </cell>
          <cell r="C1066" t="str">
            <v>ギルガメッシュ</v>
          </cell>
        </row>
        <row r="1067">
          <cell r="A1067">
            <v>1066</v>
          </cell>
          <cell r="B1067" t="str">
            <v>ja</v>
          </cell>
          <cell r="C1067" t="str">
            <v>放縦の序獅子 ギルガメッシュ</v>
          </cell>
        </row>
        <row r="1068">
          <cell r="A1068">
            <v>1067</v>
          </cell>
          <cell r="B1068" t="str">
            <v>ja</v>
          </cell>
          <cell r="C1068" t="str">
            <v>ウシュムガル</v>
          </cell>
        </row>
        <row r="1069">
          <cell r="A1069">
            <v>1068</v>
          </cell>
          <cell r="B1069" t="str">
            <v>ja</v>
          </cell>
          <cell r="C1069" t="str">
            <v>想母の羽龍 ウシュムガル</v>
          </cell>
        </row>
        <row r="1070">
          <cell r="A1070">
            <v>1069</v>
          </cell>
          <cell r="B1070" t="str">
            <v>ja</v>
          </cell>
          <cell r="C1070" t="str">
            <v>イシュタル</v>
          </cell>
        </row>
        <row r="1071">
          <cell r="A1071">
            <v>1070</v>
          </cell>
          <cell r="B1071" t="str">
            <v>ja</v>
          </cell>
          <cell r="C1071" t="str">
            <v>駆脳する造愛 イシュタル</v>
          </cell>
        </row>
        <row r="1072">
          <cell r="A1072">
            <v>1071</v>
          </cell>
          <cell r="B1072" t="str">
            <v>ja</v>
          </cell>
          <cell r="C1072" t="str">
            <v>イシュタル_分岐覚醒</v>
          </cell>
        </row>
        <row r="1073">
          <cell r="A1073">
            <v>1072</v>
          </cell>
          <cell r="B1073" t="str">
            <v>ja</v>
          </cell>
          <cell r="C1073" t="str">
            <v>エンキドゥ</v>
          </cell>
        </row>
        <row r="1074">
          <cell r="A1074">
            <v>1073</v>
          </cell>
          <cell r="B1074" t="str">
            <v>ja</v>
          </cell>
          <cell r="C1074" t="str">
            <v>静穏なる獣勇 エンキドゥ</v>
          </cell>
        </row>
        <row r="1075">
          <cell r="A1075">
            <v>1074</v>
          </cell>
          <cell r="B1075" t="str">
            <v>ja</v>
          </cell>
          <cell r="C1075" t="str">
            <v>マルドゥク</v>
          </cell>
        </row>
        <row r="1076">
          <cell r="A1076">
            <v>1075</v>
          </cell>
          <cell r="B1076" t="str">
            <v>ja</v>
          </cell>
          <cell r="C1076" t="str">
            <v>虚塔の神王 マルドゥク</v>
          </cell>
        </row>
        <row r="1077">
          <cell r="A1077">
            <v>1076</v>
          </cell>
          <cell r="B1077" t="str">
            <v>ja</v>
          </cell>
          <cell r="C1077" t="str">
            <v>パレート</v>
          </cell>
        </row>
        <row r="1078">
          <cell r="A1078">
            <v>1077</v>
          </cell>
          <cell r="B1078" t="str">
            <v>ja</v>
          </cell>
          <cell r="C1078" t="str">
            <v>彩適な幸詠隊 パレート</v>
          </cell>
        </row>
        <row r="1079">
          <cell r="A1079">
            <v>1078</v>
          </cell>
          <cell r="B1079" t="str">
            <v>ja</v>
          </cell>
          <cell r="C1079" t="str">
            <v>合奏の飛論理 パレート</v>
          </cell>
        </row>
        <row r="1080">
          <cell r="A1080">
            <v>1079</v>
          </cell>
          <cell r="B1080" t="str">
            <v>ja</v>
          </cell>
          <cell r="C1080" t="str">
            <v>炎のアニバーサリーダック</v>
          </cell>
        </row>
        <row r="1081">
          <cell r="A1081">
            <v>1080</v>
          </cell>
          <cell r="B1081" t="str">
            <v>ja</v>
          </cell>
          <cell r="C1081" t="str">
            <v>森のアニバーサリーダック</v>
          </cell>
        </row>
        <row r="1082">
          <cell r="A1082">
            <v>1081</v>
          </cell>
          <cell r="B1082" t="str">
            <v>ja</v>
          </cell>
          <cell r="C1082" t="str">
            <v>水のアニバーサリーダック</v>
          </cell>
        </row>
        <row r="1083">
          <cell r="A1083">
            <v>1082</v>
          </cell>
          <cell r="B1083" t="str">
            <v>ja</v>
          </cell>
          <cell r="C1083" t="str">
            <v>雷のアニバーサリーダック</v>
          </cell>
        </row>
        <row r="1084">
          <cell r="A1084">
            <v>1083</v>
          </cell>
          <cell r="B1084" t="str">
            <v>ja</v>
          </cell>
          <cell r="C1084" t="str">
            <v>マジシャン</v>
          </cell>
        </row>
        <row r="1085">
          <cell r="A1085">
            <v>1084</v>
          </cell>
          <cell r="B1085" t="str">
            <v>ja</v>
          </cell>
          <cell r="C1085" t="str">
            <v>驚創する術想師  マジシャン</v>
          </cell>
        </row>
        <row r="1086">
          <cell r="A1086">
            <v>1085</v>
          </cell>
          <cell r="B1086" t="str">
            <v>ja</v>
          </cell>
          <cell r="C1086" t="str">
            <v>ルメートル</v>
          </cell>
        </row>
        <row r="1087">
          <cell r="A1087">
            <v>1086</v>
          </cell>
          <cell r="B1087" t="str">
            <v>ja</v>
          </cell>
          <cell r="C1087" t="str">
            <v>宇宙の線術家 ルメートル</v>
          </cell>
        </row>
        <row r="1088">
          <cell r="A1088">
            <v>1087</v>
          </cell>
          <cell r="B1088" t="str">
            <v>ja</v>
          </cell>
          <cell r="C1088" t="str">
            <v>宇宙線の神業師 ルメートル</v>
          </cell>
        </row>
        <row r="1089">
          <cell r="A1089">
            <v>1088</v>
          </cell>
          <cell r="B1089" t="str">
            <v>ja</v>
          </cell>
          <cell r="C1089" t="str">
            <v>ミケランジェロ</v>
          </cell>
        </row>
        <row r="1090">
          <cell r="A1090">
            <v>1089</v>
          </cell>
          <cell r="B1090" t="str">
            <v>ja</v>
          </cell>
          <cell r="C1090" t="str">
            <v>破壊の発誕 ミケランジェロ</v>
          </cell>
        </row>
        <row r="1091">
          <cell r="A1091">
            <v>1090</v>
          </cell>
          <cell r="B1091" t="str">
            <v>ja</v>
          </cell>
          <cell r="C1091" t="str">
            <v>ラプラス</v>
          </cell>
        </row>
        <row r="1092">
          <cell r="A1092">
            <v>1091</v>
          </cell>
          <cell r="B1092" t="str">
            <v>ja</v>
          </cell>
          <cell r="C1092" t="str">
            <v>予眼する魔姫 ラプラス</v>
          </cell>
        </row>
        <row r="1093">
          <cell r="A1093">
            <v>1092</v>
          </cell>
          <cell r="B1093" t="str">
            <v>ja</v>
          </cell>
          <cell r="C1093" t="str">
            <v>究護の戦王子 レイヴン</v>
          </cell>
        </row>
        <row r="1094">
          <cell r="A1094">
            <v>1093</v>
          </cell>
          <cell r="B1094" t="str">
            <v>ja</v>
          </cell>
          <cell r="C1094" t="str">
            <v>未定</v>
          </cell>
        </row>
        <row r="1095">
          <cell r="A1095">
            <v>1094</v>
          </cell>
          <cell r="B1095" t="str">
            <v>ja</v>
          </cell>
          <cell r="C1095" t="str">
            <v>メルクシャ</v>
          </cell>
        </row>
        <row r="1096">
          <cell r="A1096">
            <v>1095</v>
          </cell>
          <cell r="B1096" t="str">
            <v>ja</v>
          </cell>
          <cell r="C1096" t="str">
            <v>誓愛の絵花 メルクシャ</v>
          </cell>
        </row>
        <row r="1097">
          <cell r="A1097">
            <v>1096</v>
          </cell>
          <cell r="B1097" t="str">
            <v>ja</v>
          </cell>
          <cell r="C1097" t="str">
            <v>ジャ・リダルサ</v>
          </cell>
        </row>
        <row r="1098">
          <cell r="A1098">
            <v>1097</v>
          </cell>
          <cell r="B1098" t="str">
            <v>ja</v>
          </cell>
          <cell r="C1098" t="str">
            <v>超現実才奇 ジャ・リダルサ</v>
          </cell>
        </row>
        <row r="1099">
          <cell r="A1099">
            <v>1098</v>
          </cell>
          <cell r="B1099" t="str">
            <v>ja</v>
          </cell>
          <cell r="C1099" t="str">
            <v>ルピカ</v>
          </cell>
        </row>
        <row r="1100">
          <cell r="A1100">
            <v>1099</v>
          </cell>
          <cell r="B1100" t="str">
            <v>ja</v>
          </cell>
          <cell r="C1100" t="str">
            <v>破築の連創 ルピカ</v>
          </cell>
        </row>
        <row r="1101">
          <cell r="A1101">
            <v>1100</v>
          </cell>
          <cell r="B1101" t="str">
            <v>ja</v>
          </cell>
          <cell r="C1101" t="str">
            <v>北斎</v>
          </cell>
        </row>
        <row r="1102">
          <cell r="A1102">
            <v>1101</v>
          </cell>
          <cell r="B1102" t="str">
            <v>ja</v>
          </cell>
          <cell r="C1102" t="str">
            <v>浮世万物の筆刻者 北斎</v>
          </cell>
        </row>
        <row r="1103">
          <cell r="A1103">
            <v>1102</v>
          </cell>
          <cell r="B1103" t="str">
            <v>ja</v>
          </cell>
          <cell r="C1103" t="str">
            <v>ドガ</v>
          </cell>
        </row>
        <row r="1104">
          <cell r="A1104">
            <v>1103</v>
          </cell>
          <cell r="B1104" t="str">
            <v>ja</v>
          </cell>
          <cell r="C1104" t="str">
            <v>舞台裏の鼠展 ドガ</v>
          </cell>
        </row>
        <row r="1105">
          <cell r="A1105">
            <v>1104</v>
          </cell>
          <cell r="B1105" t="str">
            <v>ja</v>
          </cell>
          <cell r="C1105" t="str">
            <v>クリムト</v>
          </cell>
        </row>
        <row r="1106">
          <cell r="A1106">
            <v>1105</v>
          </cell>
          <cell r="B1106" t="str">
            <v>ja</v>
          </cell>
          <cell r="C1106" t="str">
            <v>甘美なる背徳 クリムト</v>
          </cell>
        </row>
        <row r="1107">
          <cell r="A1107">
            <v>1106</v>
          </cell>
          <cell r="B1107" t="str">
            <v>ja</v>
          </cell>
          <cell r="C1107" t="str">
            <v>ラファエロ</v>
          </cell>
        </row>
        <row r="1108">
          <cell r="A1108">
            <v>1107</v>
          </cell>
          <cell r="B1108" t="str">
            <v>ja</v>
          </cell>
          <cell r="C1108" t="str">
            <v>天浄の鮮風 ラファエロ</v>
          </cell>
        </row>
        <row r="1109">
          <cell r="A1109">
            <v>1108</v>
          </cell>
          <cell r="B1109" t="str">
            <v>ja</v>
          </cell>
          <cell r="C1109" t="str">
            <v>交鏡の光波 フレネル</v>
          </cell>
        </row>
        <row r="1110">
          <cell r="A1110">
            <v>1109</v>
          </cell>
          <cell r="B1110" t="str">
            <v>ja</v>
          </cell>
          <cell r="C1110" t="str">
            <v>セキ</v>
          </cell>
        </row>
        <row r="1111">
          <cell r="A1111">
            <v>1110</v>
          </cell>
          <cell r="B1111" t="str">
            <v>ja</v>
          </cell>
          <cell r="C1111" t="str">
            <v>天竄の炎斬式 セキ</v>
          </cell>
        </row>
        <row r="1112">
          <cell r="A1112">
            <v>1111</v>
          </cell>
          <cell r="B1112" t="str">
            <v>ja</v>
          </cell>
          <cell r="C1112" t="str">
            <v>ウィグナー</v>
          </cell>
        </row>
        <row r="1113">
          <cell r="A1113">
            <v>1112</v>
          </cell>
          <cell r="B1113" t="str">
            <v>ja</v>
          </cell>
          <cell r="C1113" t="str">
            <v>正統なる傑晶 ウィグナー</v>
          </cell>
        </row>
        <row r="1114">
          <cell r="A1114">
            <v>1113</v>
          </cell>
          <cell r="B1114" t="str">
            <v>ja</v>
          </cell>
          <cell r="C1114" t="str">
            <v>聖結たる輝晶獣 ウィグナー</v>
          </cell>
        </row>
        <row r="1115">
          <cell r="A1115">
            <v>1114</v>
          </cell>
          <cell r="B1115" t="str">
            <v>ja</v>
          </cell>
          <cell r="C1115" t="str">
            <v>ボナンザ</v>
          </cell>
        </row>
        <row r="1116">
          <cell r="A1116">
            <v>1115</v>
          </cell>
          <cell r="B1116" t="str">
            <v>ja</v>
          </cell>
          <cell r="C1116" t="str">
            <v>アヴァルシアの女王 ボナンザ</v>
          </cell>
        </row>
        <row r="1117">
          <cell r="A1117">
            <v>1116</v>
          </cell>
          <cell r="B1117" t="str">
            <v>ja</v>
          </cell>
          <cell r="C1117" t="str">
            <v>天檄総氏神 アマテラス</v>
          </cell>
        </row>
        <row r="1118">
          <cell r="A1118">
            <v>1117</v>
          </cell>
          <cell r="B1118" t="str">
            <v>ja</v>
          </cell>
          <cell r="C1118" t="str">
            <v>凶天慟地の覇腕 アザゼル</v>
          </cell>
        </row>
        <row r="1119">
          <cell r="A1119">
            <v>1118</v>
          </cell>
          <cell r="B1119" t="str">
            <v>ja</v>
          </cell>
          <cell r="C1119" t="str">
            <v>超過速路の閃導者 ジャンヌ</v>
          </cell>
        </row>
        <row r="1120">
          <cell r="A1120">
            <v>1119</v>
          </cell>
          <cell r="B1120" t="str">
            <v>ja</v>
          </cell>
          <cell r="C1120" t="str">
            <v>刹・廻天一流 宮本武蔵</v>
          </cell>
        </row>
        <row r="1121">
          <cell r="A1121">
            <v>1120</v>
          </cell>
          <cell r="B1121" t="str">
            <v>ja</v>
          </cell>
          <cell r="C1121" t="str">
            <v>四聖猛煌の皇獣 麒麟</v>
          </cell>
        </row>
        <row r="1122">
          <cell r="A1122">
            <v>1121</v>
          </cell>
          <cell r="B1122" t="str">
            <v>ja</v>
          </cell>
          <cell r="C1122" t="str">
            <v>逆燦の機閃刃 オイラー</v>
          </cell>
        </row>
        <row r="1123">
          <cell r="A1123">
            <v>1122</v>
          </cell>
          <cell r="B1123" t="str">
            <v>ja</v>
          </cell>
          <cell r="C1123" t="str">
            <v>不可能性の現翼 メビウス</v>
          </cell>
        </row>
        <row r="1124">
          <cell r="A1124">
            <v>1123</v>
          </cell>
          <cell r="B1124" t="str">
            <v>ja</v>
          </cell>
          <cell r="C1124" t="str">
            <v>舞降りし綺鏡羽 ブール</v>
          </cell>
        </row>
        <row r="1125">
          <cell r="A1125">
            <v>1124</v>
          </cell>
          <cell r="B1125" t="str">
            <v>ja</v>
          </cell>
          <cell r="C1125" t="str">
            <v>超絶界析 ラグランジュ</v>
          </cell>
        </row>
        <row r="1126">
          <cell r="A1126">
            <v>1125</v>
          </cell>
          <cell r="B1126" t="str">
            <v>ja</v>
          </cell>
          <cell r="C1126" t="str">
            <v>累々たる世解 シュレディンガー</v>
          </cell>
        </row>
        <row r="1127">
          <cell r="A1127">
            <v>1126</v>
          </cell>
          <cell r="B1127" t="str">
            <v>ja</v>
          </cell>
          <cell r="C1127" t="str">
            <v>最終焉算の鋼砲 チューリング</v>
          </cell>
        </row>
        <row r="1128">
          <cell r="A1128">
            <v>1127</v>
          </cell>
          <cell r="B1128" t="str">
            <v>ja</v>
          </cell>
          <cell r="C1128" t="str">
            <v>真蒼導く対偶 ヘンペル</v>
          </cell>
        </row>
        <row r="1129">
          <cell r="A1129">
            <v>1128</v>
          </cell>
          <cell r="B1129" t="str">
            <v>ja</v>
          </cell>
          <cell r="C1129" t="str">
            <v>宇宙天紡の星明 ハップル</v>
          </cell>
        </row>
        <row r="1130">
          <cell r="A1130">
            <v>1129</v>
          </cell>
          <cell r="B1130" t="str">
            <v>ja</v>
          </cell>
          <cell r="C1130" t="str">
            <v>赤兎馬</v>
          </cell>
        </row>
        <row r="1131">
          <cell r="A1131">
            <v>1130</v>
          </cell>
          <cell r="B1131" t="str">
            <v>ja</v>
          </cell>
          <cell r="C1131" t="str">
            <v>紅鋼の疾躁獣 赤兎馬</v>
          </cell>
        </row>
        <row r="1132">
          <cell r="A1132">
            <v>1131</v>
          </cell>
          <cell r="B1132" t="str">
            <v>ja</v>
          </cell>
          <cell r="C1132" t="str">
            <v>董卓</v>
          </cell>
        </row>
        <row r="1133">
          <cell r="A1133">
            <v>1132</v>
          </cell>
          <cell r="B1133" t="str">
            <v>ja</v>
          </cell>
          <cell r="C1133" t="str">
            <v>偏執なる狂騒君 董卓</v>
          </cell>
        </row>
        <row r="1134">
          <cell r="A1134">
            <v>1133</v>
          </cell>
          <cell r="B1134" t="str">
            <v>ja</v>
          </cell>
          <cell r="C1134" t="str">
            <v>貂蝉</v>
          </cell>
        </row>
        <row r="1135">
          <cell r="A1135">
            <v>1134</v>
          </cell>
          <cell r="B1135" t="str">
            <v>ja</v>
          </cell>
          <cell r="C1135" t="str">
            <v>月隠れの美麗酔 貂蝉</v>
          </cell>
        </row>
        <row r="1136">
          <cell r="A1136">
            <v>1135</v>
          </cell>
          <cell r="B1136" t="str">
            <v>ja</v>
          </cell>
          <cell r="C1136" t="str">
            <v>呂布</v>
          </cell>
        </row>
        <row r="1137">
          <cell r="A1137">
            <v>1136</v>
          </cell>
          <cell r="B1137" t="str">
            <v>ja</v>
          </cell>
          <cell r="C1137" t="str">
            <v>豪拳烈創の激将 呂布</v>
          </cell>
        </row>
        <row r="1138">
          <cell r="A1138">
            <v>1137</v>
          </cell>
          <cell r="B1138" t="str">
            <v>ja</v>
          </cell>
          <cell r="C1138" t="str">
            <v>諸葛亮</v>
          </cell>
        </row>
        <row r="1139">
          <cell r="A1139">
            <v>1138</v>
          </cell>
          <cell r="B1139" t="str">
            <v>ja</v>
          </cell>
          <cell r="C1139" t="str">
            <v>神算鬼謀の宰相 諸葛亮</v>
          </cell>
        </row>
        <row r="1140">
          <cell r="A1140">
            <v>1139</v>
          </cell>
          <cell r="B1140" t="str">
            <v>ja</v>
          </cell>
          <cell r="C1140" t="str">
            <v>趙雲</v>
          </cell>
        </row>
        <row r="1141">
          <cell r="A1141">
            <v>1140</v>
          </cell>
          <cell r="B1141" t="str">
            <v>ja</v>
          </cell>
          <cell r="C1141" t="str">
            <v>綱紀粛正の傑璧 趙雲</v>
          </cell>
        </row>
        <row r="1142">
          <cell r="A1142">
            <v>1141</v>
          </cell>
          <cell r="B1142" t="str">
            <v>ja</v>
          </cell>
          <cell r="C1142" t="str">
            <v>月英</v>
          </cell>
        </row>
        <row r="1143">
          <cell r="A1143">
            <v>1142</v>
          </cell>
          <cell r="B1143" t="str">
            <v>ja</v>
          </cell>
          <cell r="C1143" t="str">
            <v>蒼明な機鋼士 月英</v>
          </cell>
        </row>
        <row r="1144">
          <cell r="A1144">
            <v>1143</v>
          </cell>
          <cell r="B1144" t="str">
            <v>ja</v>
          </cell>
          <cell r="C1144" t="str">
            <v>黄忠</v>
          </cell>
        </row>
        <row r="1145">
          <cell r="A1145">
            <v>1144</v>
          </cell>
          <cell r="B1145" t="str">
            <v>ja</v>
          </cell>
          <cell r="C1145" t="str">
            <v>白星を射る老将 黄忠</v>
          </cell>
        </row>
        <row r="1146">
          <cell r="A1146">
            <v>1145</v>
          </cell>
          <cell r="B1146" t="str">
            <v>ja</v>
          </cell>
          <cell r="C1146" t="str">
            <v>ヴリトラ</v>
          </cell>
        </row>
        <row r="1147">
          <cell r="A1147">
            <v>1146</v>
          </cell>
          <cell r="B1147" t="str">
            <v>ja</v>
          </cell>
          <cell r="C1147" t="str">
            <v>宙覆す破魃竜 ヴリトラ</v>
          </cell>
        </row>
        <row r="1148">
          <cell r="A1148">
            <v>1147</v>
          </cell>
          <cell r="B1148" t="str">
            <v>ja</v>
          </cell>
          <cell r="C1148" t="str">
            <v>カーリー</v>
          </cell>
        </row>
        <row r="1149">
          <cell r="A1149">
            <v>1148</v>
          </cell>
          <cell r="B1149" t="str">
            <v>ja</v>
          </cell>
          <cell r="C1149" t="str">
            <v>嫉神の黎き滅意 カーリー</v>
          </cell>
        </row>
        <row r="1150">
          <cell r="A1150">
            <v>1149</v>
          </cell>
          <cell r="B1150" t="str">
            <v>ja</v>
          </cell>
          <cell r="C1150" t="str">
            <v>ブラフマー</v>
          </cell>
        </row>
        <row r="1151">
          <cell r="A1151">
            <v>1150</v>
          </cell>
          <cell r="B1151" t="str">
            <v>ja</v>
          </cell>
          <cell r="C1151" t="str">
            <v>封智の元創神 ブラフマー</v>
          </cell>
        </row>
        <row r="1152">
          <cell r="A1152">
            <v>1151</v>
          </cell>
          <cell r="B1152" t="str">
            <v>ja</v>
          </cell>
          <cell r="C1152" t="str">
            <v>ガネーシャ</v>
          </cell>
        </row>
        <row r="1153">
          <cell r="A1153">
            <v>1152</v>
          </cell>
          <cell r="B1153" t="str">
            <v>ja</v>
          </cell>
          <cell r="C1153" t="str">
            <v>衆知の富益神 ガネーシャ</v>
          </cell>
        </row>
        <row r="1154">
          <cell r="A1154">
            <v>1153</v>
          </cell>
          <cell r="B1154" t="str">
            <v>ja</v>
          </cell>
          <cell r="C1154" t="str">
            <v>ラクシュミー</v>
          </cell>
        </row>
        <row r="1155">
          <cell r="A1155">
            <v>1154</v>
          </cell>
          <cell r="B1155" t="str">
            <v>ja</v>
          </cell>
          <cell r="C1155" t="str">
            <v>幸吹の蓮華粧 ラクシュミー</v>
          </cell>
        </row>
        <row r="1156">
          <cell r="A1156">
            <v>1155</v>
          </cell>
          <cell r="B1156" t="str">
            <v>ja</v>
          </cell>
          <cell r="C1156" t="str">
            <v>ドゥルガー</v>
          </cell>
        </row>
        <row r="1157">
          <cell r="A1157">
            <v>1156</v>
          </cell>
          <cell r="B1157" t="str">
            <v>ja</v>
          </cell>
          <cell r="C1157" t="str">
            <v>麗逆の武操神 ドゥルガー</v>
          </cell>
        </row>
        <row r="1158">
          <cell r="A1158">
            <v>1157</v>
          </cell>
          <cell r="B1158" t="str">
            <v>ja</v>
          </cell>
          <cell r="C1158" t="str">
            <v>インドラ</v>
          </cell>
        </row>
        <row r="1159">
          <cell r="A1159">
            <v>1158</v>
          </cell>
          <cell r="B1159" t="str">
            <v>ja</v>
          </cell>
          <cell r="C1159" t="str">
            <v>天英の雷霆神 インドラ</v>
          </cell>
        </row>
        <row r="1160">
          <cell r="A1160">
            <v>1159</v>
          </cell>
          <cell r="B1160" t="str">
            <v>ja</v>
          </cell>
          <cell r="C1160" t="str">
            <v>ガロア</v>
          </cell>
        </row>
        <row r="1161">
          <cell r="A1161">
            <v>1160</v>
          </cell>
          <cell r="B1161" t="str">
            <v>ja</v>
          </cell>
          <cell r="C1161" t="str">
            <v>拡命の大群論 ガロア</v>
          </cell>
        </row>
        <row r="1162">
          <cell r="A1162">
            <v>1161</v>
          </cell>
          <cell r="B1162" t="str">
            <v>ja</v>
          </cell>
          <cell r="C1162" t="str">
            <v>ヒルベルト</v>
          </cell>
        </row>
        <row r="1163">
          <cell r="A1163">
            <v>1162</v>
          </cell>
          <cell r="B1163" t="str">
            <v>ja</v>
          </cell>
          <cell r="C1163" t="str">
            <v>夢験次元の抽唱 ヒルベルト</v>
          </cell>
        </row>
        <row r="1164">
          <cell r="A1164">
            <v>1163</v>
          </cell>
          <cell r="B1164" t="str">
            <v>ja</v>
          </cell>
          <cell r="C1164" t="str">
            <v>命題唱鳴計画 ヒルベルト</v>
          </cell>
        </row>
        <row r="1165">
          <cell r="A1165">
            <v>1164</v>
          </cell>
          <cell r="B1165" t="str">
            <v>ja</v>
          </cell>
          <cell r="C1165" t="str">
            <v>ガンバンテイン</v>
          </cell>
        </row>
        <row r="1166">
          <cell r="A1166">
            <v>1165</v>
          </cell>
          <cell r="B1166" t="str">
            <v>ja</v>
          </cell>
          <cell r="C1166" t="str">
            <v>夢香華の耀杖 ガンバンテイン</v>
          </cell>
        </row>
        <row r="1167">
          <cell r="A1167">
            <v>1166</v>
          </cell>
          <cell r="B1167" t="str">
            <v>ja</v>
          </cell>
          <cell r="C1167" t="str">
            <v>降魔宝杖</v>
          </cell>
        </row>
        <row r="1168">
          <cell r="A1168">
            <v>1167</v>
          </cell>
          <cell r="B1168" t="str">
            <v>ja</v>
          </cell>
          <cell r="C1168" t="str">
            <v>月河の黄金器 降魔宝杖</v>
          </cell>
        </row>
        <row r="1169">
          <cell r="A1169">
            <v>1168</v>
          </cell>
          <cell r="B1169" t="str">
            <v>ja</v>
          </cell>
          <cell r="C1169" t="str">
            <v>カドゥケウス</v>
          </cell>
        </row>
        <row r="1170">
          <cell r="A1170">
            <v>1169</v>
          </cell>
          <cell r="B1170" t="str">
            <v>ja</v>
          </cell>
          <cell r="C1170" t="str">
            <v>睡醒の令杖 カドゥケウス</v>
          </cell>
        </row>
        <row r="1171">
          <cell r="A1171">
            <v>1170</v>
          </cell>
          <cell r="B1171" t="str">
            <v>ja</v>
          </cell>
          <cell r="C1171" t="str">
            <v>極彩龍筆 ヘイウェイ</v>
          </cell>
        </row>
        <row r="1172">
          <cell r="A1172">
            <v>1171</v>
          </cell>
          <cell r="B1172" t="str">
            <v>ja</v>
          </cell>
          <cell r="C1172" t="str">
            <v>解匣する交率 ポアソン</v>
          </cell>
        </row>
        <row r="1173">
          <cell r="A1173">
            <v>1172</v>
          </cell>
          <cell r="B1173" t="str">
            <v>ja</v>
          </cell>
          <cell r="C1173" t="str">
            <v>極限解析の讃嬢 クロネッカー</v>
          </cell>
        </row>
        <row r="1174">
          <cell r="A1174">
            <v>1173</v>
          </cell>
          <cell r="B1174" t="str">
            <v>ja</v>
          </cell>
          <cell r="C1174" t="str">
            <v>愛を咲かせる春羽妖精 ファータ</v>
          </cell>
        </row>
        <row r="1175">
          <cell r="A1175">
            <v>1174</v>
          </cell>
          <cell r="B1175" t="str">
            <v>ja</v>
          </cell>
          <cell r="C1175" t="str">
            <v>護翼の望詠光 バルドル</v>
          </cell>
        </row>
        <row r="1176">
          <cell r="A1176">
            <v>1175</v>
          </cell>
          <cell r="B1176" t="str">
            <v>ja</v>
          </cell>
          <cell r="C1176" t="str">
            <v>蘇尊の誓聖義 アーサー</v>
          </cell>
        </row>
        <row r="1177">
          <cell r="A1177">
            <v>1176</v>
          </cell>
          <cell r="B1177" t="str">
            <v>ja</v>
          </cell>
          <cell r="C1177" t="str">
            <v>夢二夢斬の遊猟 フロイト</v>
          </cell>
        </row>
        <row r="1178">
          <cell r="A1178">
            <v>1177</v>
          </cell>
          <cell r="B1178" t="str">
            <v>ja</v>
          </cell>
          <cell r="C1178" t="str">
            <v>虚閃を弄する豪輪 オズ</v>
          </cell>
        </row>
        <row r="1179">
          <cell r="A1179">
            <v>1178</v>
          </cell>
          <cell r="B1179" t="str">
            <v>ja</v>
          </cell>
          <cell r="C1179" t="str">
            <v>大蒐集総力戦 グリム</v>
          </cell>
        </row>
        <row r="1180">
          <cell r="A1180">
            <v>1179</v>
          </cell>
          <cell r="B1180" t="str">
            <v>ja</v>
          </cell>
          <cell r="C1180" t="str">
            <v>厳核なる巨大炉 ハイゼンベルク</v>
          </cell>
        </row>
        <row r="1181">
          <cell r="A1181">
            <v>1180</v>
          </cell>
          <cell r="B1181" t="str">
            <v>ja</v>
          </cell>
          <cell r="C1181" t="str">
            <v>毅戦たる蒼機神 オーディン</v>
          </cell>
        </row>
        <row r="1182">
          <cell r="A1182">
            <v>1181</v>
          </cell>
          <cell r="B1182" t="str">
            <v>ja</v>
          </cell>
          <cell r="C1182" t="str">
            <v>永存の究極論 ユークリッド</v>
          </cell>
        </row>
        <row r="1183">
          <cell r="A1183">
            <v>1182</v>
          </cell>
          <cell r="B1183" t="str">
            <v>ja</v>
          </cell>
          <cell r="C1183" t="str">
            <v>黄金螺旋の閃鋼機 フィボナッチ</v>
          </cell>
        </row>
        <row r="1184">
          <cell r="A1184">
            <v>1183</v>
          </cell>
          <cell r="B1184" t="str">
            <v>ja</v>
          </cell>
          <cell r="C1184" t="str">
            <v>世憚の悪害 Gスター・チルドレン</v>
          </cell>
        </row>
        <row r="1185">
          <cell r="A1185">
            <v>1184</v>
          </cell>
          <cell r="B1185" t="str">
            <v>ja</v>
          </cell>
          <cell r="C1185" t="str">
            <v>電装の烙雷芯 ファラデー</v>
          </cell>
        </row>
        <row r="1186">
          <cell r="A1186">
            <v>1185</v>
          </cell>
          <cell r="B1186" t="str">
            <v>ja</v>
          </cell>
          <cell r="C1186" t="str">
            <v>兆銀河団の星観者 ハーシェル</v>
          </cell>
        </row>
        <row r="1187">
          <cell r="A1187">
            <v>1186</v>
          </cell>
          <cell r="B1187" t="str">
            <v>ja</v>
          </cell>
          <cell r="C1187" t="str">
            <v>超疾の最理者 フェルマー</v>
          </cell>
        </row>
        <row r="1188">
          <cell r="A1188">
            <v>1187</v>
          </cell>
          <cell r="B1188" t="str">
            <v>ja</v>
          </cell>
          <cell r="C1188" t="str">
            <v>ハッピーハロウィン ポチ</v>
          </cell>
        </row>
        <row r="1189">
          <cell r="A1189">
            <v>1188</v>
          </cell>
          <cell r="B1189" t="str">
            <v>ja</v>
          </cell>
          <cell r="C1189" t="str">
            <v>ハッピーハロウィン ジョー</v>
          </cell>
        </row>
        <row r="1190">
          <cell r="A1190">
            <v>1189</v>
          </cell>
          <cell r="B1190" t="str">
            <v>ja</v>
          </cell>
          <cell r="C1190" t="str">
            <v>ハッピーハロウィン ジェリー</v>
          </cell>
        </row>
        <row r="1191">
          <cell r="A1191">
            <v>1190</v>
          </cell>
          <cell r="B1191" t="str">
            <v>ja</v>
          </cell>
          <cell r="C1191" t="str">
            <v>ハッピーハロウィン エレキポット</v>
          </cell>
        </row>
        <row r="1192">
          <cell r="A1192">
            <v>1191</v>
          </cell>
          <cell r="B1192" t="str">
            <v>ja</v>
          </cell>
          <cell r="C1192" t="str">
            <v>ドルチェ</v>
          </cell>
        </row>
        <row r="1193">
          <cell r="A1193">
            <v>1192</v>
          </cell>
          <cell r="B1193" t="str">
            <v>ja</v>
          </cell>
          <cell r="C1193" t="str">
            <v>徹宵悪戯の甘美魔 ドルチェ</v>
          </cell>
        </row>
        <row r="1194">
          <cell r="A1194">
            <v>1193</v>
          </cell>
          <cell r="B1194" t="str">
            <v>ja</v>
          </cell>
          <cell r="C1194" t="str">
            <v>血飢なる夜想卿 ランスロット</v>
          </cell>
        </row>
        <row r="1195">
          <cell r="A1195">
            <v>1194</v>
          </cell>
          <cell r="B1195" t="str">
            <v>ja</v>
          </cell>
          <cell r="C1195" t="str">
            <v>ハーヴェスト</v>
          </cell>
        </row>
        <row r="1196">
          <cell r="A1196">
            <v>1195</v>
          </cell>
          <cell r="B1196" t="str">
            <v>ja</v>
          </cell>
          <cell r="C1196" t="str">
            <v>賑夜の幼魔 ハーヴェスト</v>
          </cell>
        </row>
        <row r="1197">
          <cell r="A1197">
            <v>1196</v>
          </cell>
          <cell r="B1197" t="str">
            <v>ja</v>
          </cell>
          <cell r="C1197" t="str">
            <v>華装の闇鋏 ラプンツェル</v>
          </cell>
        </row>
        <row r="1198">
          <cell r="A1198">
            <v>1197</v>
          </cell>
          <cell r="B1198" t="str">
            <v>ja</v>
          </cell>
          <cell r="C1198" t="str">
            <v>冥装の闇黒魔 バフォメット</v>
          </cell>
        </row>
        <row r="1199">
          <cell r="A1199">
            <v>1198</v>
          </cell>
          <cell r="B1199" t="str">
            <v>ja</v>
          </cell>
          <cell r="C1199" t="str">
            <v>幽縛の霊線 ピノキオ</v>
          </cell>
        </row>
        <row r="1200">
          <cell r="A1200">
            <v>1199</v>
          </cell>
          <cell r="B1200" t="str">
            <v>ja</v>
          </cell>
          <cell r="C1200" t="str">
            <v>看装の巡回者 ケルベロス</v>
          </cell>
        </row>
        <row r="1201">
          <cell r="A1201">
            <v>1200</v>
          </cell>
          <cell r="B1201" t="str">
            <v>ja</v>
          </cell>
          <cell r="C1201" t="str">
            <v>サイクロプス</v>
          </cell>
        </row>
        <row r="1202">
          <cell r="A1202">
            <v>1201</v>
          </cell>
          <cell r="B1202" t="str">
            <v>ja</v>
          </cell>
          <cell r="C1202" t="str">
            <v>器装の眼囚徒 サイクロプス</v>
          </cell>
        </row>
        <row r="1203">
          <cell r="A1203">
            <v>1202</v>
          </cell>
          <cell r="B1203" t="str">
            <v>ja</v>
          </cell>
          <cell r="C1203" t="str">
            <v>ウラヌス</v>
          </cell>
        </row>
        <row r="1204">
          <cell r="A1204">
            <v>1203</v>
          </cell>
          <cell r="B1204" t="str">
            <v>ja</v>
          </cell>
          <cell r="C1204" t="str">
            <v>掌星の原天神 ウラヌス</v>
          </cell>
        </row>
        <row r="1205">
          <cell r="A1205">
            <v>1204</v>
          </cell>
          <cell r="B1205" t="str">
            <v>ja</v>
          </cell>
          <cell r="C1205" t="str">
            <v>デルピュネー</v>
          </cell>
        </row>
        <row r="1206">
          <cell r="A1206">
            <v>1205</v>
          </cell>
          <cell r="B1206" t="str">
            <v>ja</v>
          </cell>
          <cell r="C1206" t="str">
            <v>襲奪の竜鱗姫 デルピュネー</v>
          </cell>
        </row>
        <row r="1207">
          <cell r="A1207">
            <v>1206</v>
          </cell>
          <cell r="B1207" t="str">
            <v>ja</v>
          </cell>
          <cell r="C1207" t="str">
            <v>ヘラ</v>
          </cell>
        </row>
        <row r="1208">
          <cell r="A1208">
            <v>1207</v>
          </cell>
          <cell r="B1208" t="str">
            <v>ja</v>
          </cell>
          <cell r="C1208" t="str">
            <v>典麗なる悋気神 ヘラ</v>
          </cell>
        </row>
        <row r="1209">
          <cell r="A1209">
            <v>1208</v>
          </cell>
          <cell r="B1209" t="str">
            <v>ja</v>
          </cell>
          <cell r="C1209" t="str">
            <v>ネメシス</v>
          </cell>
        </row>
        <row r="1210">
          <cell r="A1210">
            <v>1209</v>
          </cell>
          <cell r="B1210" t="str">
            <v>ja</v>
          </cell>
          <cell r="C1210" t="str">
            <v>刹那の過罰神 ネメシス</v>
          </cell>
        </row>
        <row r="1211">
          <cell r="A1211">
            <v>1210</v>
          </cell>
          <cell r="B1211" t="str">
            <v>ja</v>
          </cell>
          <cell r="C1211" t="str">
            <v>ケンタウロス</v>
          </cell>
        </row>
        <row r="1212">
          <cell r="A1212">
            <v>1211</v>
          </cell>
          <cell r="B1212" t="str">
            <v>ja</v>
          </cell>
          <cell r="C1212" t="str">
            <v>奏駆の翻騎 ケンタウロス</v>
          </cell>
        </row>
        <row r="1213">
          <cell r="A1213">
            <v>1212</v>
          </cell>
          <cell r="B1213" t="str">
            <v>ja</v>
          </cell>
          <cell r="C1213" t="str">
            <v>クロノス</v>
          </cell>
        </row>
        <row r="1214">
          <cell r="A1214">
            <v>1213</v>
          </cell>
          <cell r="B1214" t="str">
            <v>ja</v>
          </cell>
          <cell r="C1214" t="str">
            <v>能洪の永地神 クロノス</v>
          </cell>
        </row>
        <row r="1215">
          <cell r="A1215">
            <v>1214</v>
          </cell>
          <cell r="B1215" t="str">
            <v>ja</v>
          </cell>
          <cell r="C1215" t="str">
            <v>アルテミス</v>
          </cell>
        </row>
        <row r="1216">
          <cell r="A1216">
            <v>1215</v>
          </cell>
          <cell r="B1216" t="str">
            <v>ja</v>
          </cell>
          <cell r="C1216" t="str">
            <v>穿潮の雷月神 アルテミス</v>
          </cell>
        </row>
        <row r="1217">
          <cell r="A1217">
            <v>1216</v>
          </cell>
          <cell r="B1217" t="str">
            <v>ja</v>
          </cell>
          <cell r="C1217" t="str">
            <v>梶井基次郎</v>
          </cell>
        </row>
        <row r="1218">
          <cell r="A1218">
            <v>1217</v>
          </cell>
          <cell r="B1218" t="str">
            <v>ja</v>
          </cell>
          <cell r="C1218" t="str">
            <v>鮮彩の鬱情 梶井基次郎</v>
          </cell>
        </row>
        <row r="1219">
          <cell r="A1219">
            <v>1218</v>
          </cell>
          <cell r="B1219" t="str">
            <v>ja</v>
          </cell>
          <cell r="C1219" t="str">
            <v>太宰治</v>
          </cell>
        </row>
        <row r="1220">
          <cell r="A1220">
            <v>1219</v>
          </cell>
          <cell r="B1220" t="str">
            <v>ja</v>
          </cell>
          <cell r="C1220" t="str">
            <v>世絶の失格者 太宰治</v>
          </cell>
        </row>
        <row r="1221">
          <cell r="A1221">
            <v>1220</v>
          </cell>
          <cell r="B1221" t="str">
            <v>ja</v>
          </cell>
          <cell r="C1221" t="str">
            <v>シェイクスピア</v>
          </cell>
        </row>
        <row r="1222">
          <cell r="A1222">
            <v>1221</v>
          </cell>
          <cell r="B1222" t="str">
            <v>ja</v>
          </cell>
          <cell r="C1222" t="str">
            <v>命愛の恋劇家 シェイクスピア</v>
          </cell>
        </row>
        <row r="1223">
          <cell r="A1223">
            <v>1222</v>
          </cell>
          <cell r="B1223" t="str">
            <v>ja</v>
          </cell>
          <cell r="C1223" t="str">
            <v>カフカ</v>
          </cell>
        </row>
        <row r="1224">
          <cell r="A1224">
            <v>1223</v>
          </cell>
          <cell r="B1224" t="str">
            <v>ja</v>
          </cell>
          <cell r="C1224" t="str">
            <v>凌蛾の変身 カフカ</v>
          </cell>
        </row>
        <row r="1225">
          <cell r="A1225">
            <v>1224</v>
          </cell>
          <cell r="B1225" t="str">
            <v>ja</v>
          </cell>
          <cell r="C1225" t="str">
            <v>セルバンテス</v>
          </cell>
        </row>
        <row r="1226">
          <cell r="A1226">
            <v>1225</v>
          </cell>
          <cell r="B1226" t="str">
            <v>ja</v>
          </cell>
          <cell r="C1226" t="str">
            <v>優柔なる風断者 セルバンテス</v>
          </cell>
        </row>
        <row r="1227">
          <cell r="A1227">
            <v>1226</v>
          </cell>
          <cell r="B1227" t="str">
            <v>ja</v>
          </cell>
          <cell r="C1227" t="str">
            <v>トルストイ</v>
          </cell>
        </row>
        <row r="1228">
          <cell r="A1228">
            <v>1227</v>
          </cell>
          <cell r="B1228" t="str">
            <v>ja</v>
          </cell>
          <cell r="C1228" t="str">
            <v>欲望の占猟者 トルストイ</v>
          </cell>
        </row>
        <row r="1229">
          <cell r="A1229">
            <v>1228</v>
          </cell>
          <cell r="B1229" t="str">
            <v>ja</v>
          </cell>
          <cell r="C1229" t="str">
            <v>芥川龍之介</v>
          </cell>
        </row>
        <row r="1230">
          <cell r="A1230">
            <v>1229</v>
          </cell>
          <cell r="B1230" t="str">
            <v>ja</v>
          </cell>
          <cell r="C1230" t="str">
            <v>羅生の鬼我 芥川龍之介</v>
          </cell>
        </row>
        <row r="1231">
          <cell r="A1231">
            <v>1230</v>
          </cell>
          <cell r="B1231" t="str">
            <v>ja</v>
          </cell>
          <cell r="C1231" t="str">
            <v>夏目漱石</v>
          </cell>
        </row>
        <row r="1232">
          <cell r="A1232">
            <v>1231</v>
          </cell>
          <cell r="B1232" t="str">
            <v>ja</v>
          </cell>
          <cell r="C1232" t="str">
            <v>思索する愛猫 夏目漱石</v>
          </cell>
        </row>
        <row r="1233">
          <cell r="A1233">
            <v>1232</v>
          </cell>
          <cell r="B1233" t="str">
            <v>ja</v>
          </cell>
          <cell r="C1233" t="str">
            <v>ケプラー</v>
          </cell>
        </row>
        <row r="1234">
          <cell r="A1234">
            <v>1233</v>
          </cell>
          <cell r="B1234" t="str">
            <v>ja</v>
          </cell>
          <cell r="C1234" t="str">
            <v>天体の大砲速 ケプラー</v>
          </cell>
        </row>
        <row r="1235">
          <cell r="A1235">
            <v>1234</v>
          </cell>
          <cell r="B1235" t="str">
            <v>ja</v>
          </cell>
          <cell r="C1235" t="str">
            <v>ボーア</v>
          </cell>
        </row>
        <row r="1236">
          <cell r="A1236">
            <v>1235</v>
          </cell>
          <cell r="B1236" t="str">
            <v>ja</v>
          </cell>
          <cell r="C1236" t="str">
            <v>哲壁の育護者 ボーア</v>
          </cell>
        </row>
        <row r="1237">
          <cell r="A1237">
            <v>1236</v>
          </cell>
          <cell r="B1237" t="str">
            <v>ja</v>
          </cell>
          <cell r="C1237" t="str">
            <v>千利休</v>
          </cell>
        </row>
        <row r="1238">
          <cell r="A1238">
            <v>1237</v>
          </cell>
          <cell r="B1238" t="str">
            <v>ja</v>
          </cell>
          <cell r="C1238" t="str">
            <v>夢茶の目付役 千利休</v>
          </cell>
        </row>
        <row r="1239">
          <cell r="A1239">
            <v>1238</v>
          </cell>
          <cell r="B1239" t="str">
            <v>ja</v>
          </cell>
          <cell r="C1239" t="str">
            <v>服部半蔵</v>
          </cell>
        </row>
        <row r="1240">
          <cell r="A1240">
            <v>1239</v>
          </cell>
          <cell r="B1240" t="str">
            <v>ja</v>
          </cell>
          <cell r="C1240" t="str">
            <v>音無の機密忍 服部半蔵</v>
          </cell>
        </row>
        <row r="1241">
          <cell r="A1241">
            <v>1240</v>
          </cell>
          <cell r="B1241" t="str">
            <v>ja</v>
          </cell>
          <cell r="C1241" t="str">
            <v>竹中半兵衛</v>
          </cell>
        </row>
        <row r="1242">
          <cell r="A1242">
            <v>1241</v>
          </cell>
          <cell r="B1242" t="str">
            <v>ja</v>
          </cell>
          <cell r="C1242" t="str">
            <v>巧妙なる嬢舌 竹中半兵衛</v>
          </cell>
        </row>
        <row r="1243">
          <cell r="A1243">
            <v>1242</v>
          </cell>
          <cell r="B1243" t="str">
            <v>ja</v>
          </cell>
          <cell r="C1243" t="str">
            <v>豊臣秀吉</v>
          </cell>
        </row>
        <row r="1244">
          <cell r="A1244">
            <v>1243</v>
          </cell>
          <cell r="B1244" t="str">
            <v>ja</v>
          </cell>
          <cell r="C1244" t="str">
            <v>新世覇の昇竜 豊臣秀吉</v>
          </cell>
        </row>
        <row r="1245">
          <cell r="A1245">
            <v>1244</v>
          </cell>
          <cell r="B1245" t="str">
            <v>ja</v>
          </cell>
          <cell r="C1245" t="str">
            <v>猿飛佐助</v>
          </cell>
        </row>
        <row r="1246">
          <cell r="A1246">
            <v>1245</v>
          </cell>
          <cell r="B1246" t="str">
            <v>ja</v>
          </cell>
          <cell r="C1246" t="str">
            <v>甲火の特殊忍 猿飛佐助</v>
          </cell>
        </row>
        <row r="1247">
          <cell r="A1247">
            <v>1246</v>
          </cell>
          <cell r="B1247" t="str">
            <v>ja</v>
          </cell>
          <cell r="C1247" t="str">
            <v>望月千代女</v>
          </cell>
        </row>
        <row r="1248">
          <cell r="A1248">
            <v>1247</v>
          </cell>
          <cell r="B1248" t="str">
            <v>ja</v>
          </cell>
          <cell r="C1248" t="str">
            <v>潜情のくノ一 望月千代女</v>
          </cell>
        </row>
        <row r="1249">
          <cell r="A1249">
            <v>1248</v>
          </cell>
          <cell r="B1249" t="str">
            <v>ja</v>
          </cell>
          <cell r="C1249" t="str">
            <v>寧々</v>
          </cell>
        </row>
        <row r="1250">
          <cell r="A1250">
            <v>1249</v>
          </cell>
          <cell r="B1250" t="str">
            <v>ja</v>
          </cell>
          <cell r="C1250" t="str">
            <v>君臨する姐御様 寧々</v>
          </cell>
        </row>
        <row r="1251">
          <cell r="A1251">
            <v>1250</v>
          </cell>
          <cell r="B1251" t="str">
            <v>ja</v>
          </cell>
          <cell r="C1251" t="str">
            <v>真田幸村</v>
          </cell>
        </row>
        <row r="1252">
          <cell r="A1252">
            <v>1251</v>
          </cell>
          <cell r="B1252" t="str">
            <v>ja</v>
          </cell>
          <cell r="C1252" t="str">
            <v>錯槍の英勇 真田幸村</v>
          </cell>
        </row>
        <row r="1253">
          <cell r="A1253">
            <v>1252</v>
          </cell>
          <cell r="B1253" t="str">
            <v>ja</v>
          </cell>
          <cell r="C1253" t="str">
            <v>ギャラルホルン</v>
          </cell>
        </row>
        <row r="1254">
          <cell r="A1254">
            <v>1253</v>
          </cell>
          <cell r="B1254" t="str">
            <v>ja</v>
          </cell>
          <cell r="C1254" t="str">
            <v>吹聴する廃徊者 ギャラルホルン</v>
          </cell>
        </row>
        <row r="1255">
          <cell r="A1255">
            <v>1254</v>
          </cell>
          <cell r="B1255" t="str">
            <v>ja</v>
          </cell>
          <cell r="C1255" t="str">
            <v>スリュム</v>
          </cell>
        </row>
        <row r="1256">
          <cell r="A1256">
            <v>1255</v>
          </cell>
          <cell r="B1256" t="str">
            <v>ja</v>
          </cell>
          <cell r="C1256" t="str">
            <v>驕奢の神犯 スリュム</v>
          </cell>
        </row>
        <row r="1257">
          <cell r="A1257">
            <v>1256</v>
          </cell>
          <cell r="B1257" t="str">
            <v>ja</v>
          </cell>
          <cell r="C1257" t="str">
            <v>ヘル</v>
          </cell>
        </row>
        <row r="1258">
          <cell r="A1258">
            <v>1257</v>
          </cell>
          <cell r="B1258" t="str">
            <v>ja</v>
          </cell>
          <cell r="C1258" t="str">
            <v>危能の幼魔神 ヘル</v>
          </cell>
        </row>
        <row r="1259">
          <cell r="A1259">
            <v>1258</v>
          </cell>
          <cell r="B1259" t="str">
            <v>ja</v>
          </cell>
          <cell r="C1259" t="str">
            <v>ロキ</v>
          </cell>
        </row>
        <row r="1260">
          <cell r="A1260">
            <v>1259</v>
          </cell>
          <cell r="B1260" t="str">
            <v>ja</v>
          </cell>
          <cell r="C1260" t="str">
            <v>崩世を叫ぶ悪戯 ロキ</v>
          </cell>
        </row>
        <row r="1261">
          <cell r="A1261">
            <v>1260</v>
          </cell>
          <cell r="B1261" t="str">
            <v>ja</v>
          </cell>
          <cell r="C1261" t="str">
            <v>トール</v>
          </cell>
        </row>
        <row r="1262">
          <cell r="A1262">
            <v>1261</v>
          </cell>
          <cell r="B1262" t="str">
            <v>ja</v>
          </cell>
          <cell r="C1262" t="str">
            <v>燃雷の鎚撃 トール</v>
          </cell>
        </row>
        <row r="1263">
          <cell r="A1263">
            <v>1262</v>
          </cell>
          <cell r="B1263" t="str">
            <v>ja</v>
          </cell>
          <cell r="C1263" t="str">
            <v>イズン</v>
          </cell>
        </row>
        <row r="1264">
          <cell r="A1264">
            <v>1263</v>
          </cell>
          <cell r="B1264" t="str">
            <v>ja</v>
          </cell>
          <cell r="C1264" t="str">
            <v>純朴なる檻理人 イズン</v>
          </cell>
        </row>
        <row r="1265">
          <cell r="A1265">
            <v>1264</v>
          </cell>
          <cell r="B1265" t="str">
            <v>ja</v>
          </cell>
          <cell r="C1265" t="str">
            <v>ウルズ</v>
          </cell>
        </row>
        <row r="1266">
          <cell r="A1266">
            <v>1265</v>
          </cell>
          <cell r="B1266" t="str">
            <v>ja</v>
          </cell>
          <cell r="C1266" t="str">
            <v>静観する世限者 ウルズ</v>
          </cell>
        </row>
        <row r="1267">
          <cell r="A1267">
            <v>1266</v>
          </cell>
          <cell r="B1267" t="str">
            <v>ja</v>
          </cell>
          <cell r="C1267" t="str">
            <v>ガルム</v>
          </cell>
        </row>
        <row r="1268">
          <cell r="A1268">
            <v>1267</v>
          </cell>
          <cell r="B1268" t="str">
            <v>ja</v>
          </cell>
          <cell r="C1268" t="str">
            <v>不遜の冥番犬 ガルム</v>
          </cell>
        </row>
        <row r="1269">
          <cell r="A1269">
            <v>1268</v>
          </cell>
          <cell r="B1269" t="str">
            <v>ja</v>
          </cell>
          <cell r="C1269" t="str">
            <v>ローズ</v>
          </cell>
        </row>
        <row r="1270">
          <cell r="A1270">
            <v>1269</v>
          </cell>
          <cell r="B1270" t="str">
            <v>ja</v>
          </cell>
          <cell r="C1270" t="str">
            <v>エルフラムの女王 ローズ</v>
          </cell>
        </row>
        <row r="1271">
          <cell r="A1271">
            <v>1270</v>
          </cell>
          <cell r="B1271" t="str">
            <v>ja</v>
          </cell>
          <cell r="C1271" t="str">
            <v>コードレッド超覚醒</v>
          </cell>
        </row>
        <row r="1272">
          <cell r="A1272">
            <v>1271</v>
          </cell>
          <cell r="B1272" t="str">
            <v>ja</v>
          </cell>
          <cell r="C1272" t="str">
            <v>ローズ(旧)</v>
          </cell>
        </row>
        <row r="1273">
          <cell r="A1273">
            <v>1272</v>
          </cell>
          <cell r="B1273" t="str">
            <v>ja</v>
          </cell>
          <cell r="C1273" t="str">
            <v>エルフラムの女王 ローズ(旧)</v>
          </cell>
        </row>
        <row r="1274">
          <cell r="A1274">
            <v>1273</v>
          </cell>
          <cell r="B1274" t="str">
            <v>ja</v>
          </cell>
          <cell r="C1274" t="str">
            <v>炎影纏う征討者 織田信長</v>
          </cell>
        </row>
        <row r="1275">
          <cell r="A1275">
            <v>1274</v>
          </cell>
          <cell r="B1275" t="str">
            <v>ja</v>
          </cell>
          <cell r="C1275" t="str">
            <v>神雪と戯れる聖母 マリア</v>
          </cell>
        </row>
        <row r="1276">
          <cell r="A1276">
            <v>1275</v>
          </cell>
          <cell r="B1276" t="str">
            <v>ja</v>
          </cell>
          <cell r="C1276" t="str">
            <v>聖進の贈炎 クリスマス・ベリアル</v>
          </cell>
        </row>
        <row r="1277">
          <cell r="A1277">
            <v>1276</v>
          </cell>
          <cell r="B1277" t="str">
            <v>ja</v>
          </cell>
          <cell r="C1277" t="str">
            <v>聖宴の主彩 サンタクロース・オセ</v>
          </cell>
        </row>
        <row r="1278">
          <cell r="A1278">
            <v>1277</v>
          </cell>
          <cell r="B1278" t="str">
            <v>ja</v>
          </cell>
          <cell r="C1278" t="str">
            <v>彩鈴鳴らす聖天使 ミカエル・イヴ</v>
          </cell>
        </row>
        <row r="1279">
          <cell r="A1279">
            <v>1278</v>
          </cell>
          <cell r="B1279" t="str">
            <v>ja</v>
          </cell>
          <cell r="C1279" t="str">
            <v>ラチカ</v>
          </cell>
        </row>
        <row r="1280">
          <cell r="A1280">
            <v>1279</v>
          </cell>
          <cell r="B1280" t="str">
            <v>ja</v>
          </cell>
          <cell r="C1280" t="str">
            <v>霜聖の雪姫 ラチカ</v>
          </cell>
        </row>
        <row r="1281">
          <cell r="A1281">
            <v>1280</v>
          </cell>
          <cell r="B1281" t="str">
            <v>ja</v>
          </cell>
          <cell r="C1281" t="str">
            <v>聖装の始祖帝 クリスマス卑弥呼</v>
          </cell>
        </row>
        <row r="1282">
          <cell r="A1282">
            <v>1281</v>
          </cell>
          <cell r="B1282" t="str">
            <v>ja</v>
          </cell>
          <cell r="C1282" t="str">
            <v>愛贈の白魔 ノエル・エスタブ</v>
          </cell>
        </row>
        <row r="1283">
          <cell r="A1283">
            <v>1282</v>
          </cell>
          <cell r="B1283" t="str">
            <v>ja</v>
          </cell>
          <cell r="C1283" t="str">
            <v>ポーラとダニー</v>
          </cell>
        </row>
        <row r="1284">
          <cell r="A1284">
            <v>1283</v>
          </cell>
          <cell r="B1284" t="str">
            <v>ja</v>
          </cell>
          <cell r="C1284" t="str">
            <v>連極の機関砲 ポーラとダニー</v>
          </cell>
        </row>
        <row r="1285">
          <cell r="A1285">
            <v>1284</v>
          </cell>
          <cell r="B1285" t="str">
            <v>ja</v>
          </cell>
          <cell r="C1285" t="str">
            <v>マシン・シュプール</v>
          </cell>
        </row>
        <row r="1286">
          <cell r="A1286">
            <v>1285</v>
          </cell>
          <cell r="B1286" t="str">
            <v>ja</v>
          </cell>
          <cell r="C1286" t="str">
            <v>災氷の魔導 シュプール</v>
          </cell>
        </row>
        <row r="1287">
          <cell r="A1287">
            <v>1286</v>
          </cell>
          <cell r="B1287" t="str">
            <v>ja</v>
          </cell>
          <cell r="C1287" t="str">
            <v>ニコラ</v>
          </cell>
        </row>
        <row r="1288">
          <cell r="A1288">
            <v>1287</v>
          </cell>
          <cell r="B1288" t="str">
            <v>ja</v>
          </cell>
          <cell r="C1288" t="str">
            <v>奇蹟呼ぶ聖砲 ニコラ</v>
          </cell>
        </row>
        <row r="1289">
          <cell r="A1289">
            <v>1288</v>
          </cell>
          <cell r="B1289" t="str">
            <v>ja</v>
          </cell>
          <cell r="C1289" t="str">
            <v>聖伝の大主教 セント・ニコラ</v>
          </cell>
        </row>
        <row r="1290">
          <cell r="A1290">
            <v>1289</v>
          </cell>
          <cell r="B1290" t="str">
            <v>ja</v>
          </cell>
          <cell r="C1290" t="str">
            <v>聖封の褒装 ベルベット</v>
          </cell>
        </row>
        <row r="1291">
          <cell r="A1291">
            <v>1290</v>
          </cell>
          <cell r="B1291" t="str">
            <v>ja</v>
          </cell>
          <cell r="C1291" t="str">
            <v>想飾の響鐘 リンジー</v>
          </cell>
        </row>
        <row r="1292">
          <cell r="A1292">
            <v>1291</v>
          </cell>
          <cell r="B1292" t="str">
            <v>ja</v>
          </cell>
          <cell r="C1292" t="str">
            <v>望雅の煌明鹿剣 勘兵衛</v>
          </cell>
        </row>
        <row r="1293">
          <cell r="A1293">
            <v>1292</v>
          </cell>
          <cell r="B1293" t="str">
            <v>ja</v>
          </cell>
          <cell r="C1293" t="str">
            <v>風光明媚の雅鹿剣 勘兵衛</v>
          </cell>
        </row>
        <row r="1294">
          <cell r="A1294">
            <v>1293</v>
          </cell>
          <cell r="B1294" t="str">
            <v>ja</v>
          </cell>
          <cell r="C1294" t="str">
            <v>トトリ</v>
          </cell>
        </row>
        <row r="1295">
          <cell r="A1295">
            <v>1294</v>
          </cell>
          <cell r="B1295" t="str">
            <v>ja</v>
          </cell>
          <cell r="C1295" t="str">
            <v>酉賀なる初飛翔 トトリ</v>
          </cell>
        </row>
        <row r="1296">
          <cell r="A1296">
            <v>1295</v>
          </cell>
          <cell r="B1296" t="str">
            <v>ja</v>
          </cell>
          <cell r="C1296" t="str">
            <v>星空の舞奏 ラビット・ユキネ</v>
          </cell>
        </row>
        <row r="1297">
          <cell r="A1297">
            <v>1296</v>
          </cell>
          <cell r="B1297" t="str">
            <v>ja</v>
          </cell>
          <cell r="C1297" t="str">
            <v>星々駆ける乱奏 ラビット・ユキネ</v>
          </cell>
        </row>
        <row r="1298">
          <cell r="A1298">
            <v>1297</v>
          </cell>
          <cell r="B1298" t="str">
            <v>ja</v>
          </cell>
          <cell r="C1298" t="str">
            <v>雪ミク2017</v>
          </cell>
        </row>
        <row r="1299">
          <cell r="A1299">
            <v>1298</v>
          </cell>
          <cell r="B1299" t="str">
            <v>ja</v>
          </cell>
          <cell r="C1299" t="str">
            <v>星空の歌姫 雪ミク2017</v>
          </cell>
        </row>
        <row r="1300">
          <cell r="A1300">
            <v>1299</v>
          </cell>
          <cell r="B1300" t="str">
            <v>ja</v>
          </cell>
          <cell r="C1300" t="str">
            <v>覚世の楽聖姫 初音ミクV3</v>
          </cell>
        </row>
        <row r="1301">
          <cell r="A1301">
            <v>1300</v>
          </cell>
          <cell r="B1301" t="str">
            <v>ja</v>
          </cell>
          <cell r="C1301" t="str">
            <v>歌装の彩唱 紫式部</v>
          </cell>
        </row>
        <row r="1302">
          <cell r="A1302">
            <v>1301</v>
          </cell>
          <cell r="B1302" t="str">
            <v>ja</v>
          </cell>
          <cell r="C1302" t="str">
            <v>歌装の萌響女 紫式部</v>
          </cell>
        </row>
        <row r="1303">
          <cell r="A1303">
            <v>1302</v>
          </cell>
          <cell r="B1303" t="str">
            <v>ja</v>
          </cell>
          <cell r="C1303" t="str">
            <v>超天突符 イナバ</v>
          </cell>
        </row>
        <row r="1304">
          <cell r="A1304">
            <v>1303</v>
          </cell>
          <cell r="B1304" t="str">
            <v>ja</v>
          </cell>
          <cell r="C1304" t="str">
            <v>転調･超天突符 イナバ</v>
          </cell>
        </row>
        <row r="1305">
          <cell r="A1305">
            <v>1304</v>
          </cell>
          <cell r="B1305" t="str">
            <v>ja</v>
          </cell>
          <cell r="C1305" t="str">
            <v>演鼠の響笛音 ハーメルン</v>
          </cell>
        </row>
        <row r="1306">
          <cell r="A1306">
            <v>1305</v>
          </cell>
          <cell r="B1306" t="str">
            <v>ja</v>
          </cell>
          <cell r="C1306" t="str">
            <v>響界廻る睡鼠楽 ハーメルン</v>
          </cell>
        </row>
        <row r="1307">
          <cell r="A1307">
            <v>1306</v>
          </cell>
          <cell r="B1307" t="str">
            <v>ja</v>
          </cell>
          <cell r="C1307" t="str">
            <v>玉響の唱天 ルシファー</v>
          </cell>
        </row>
        <row r="1308">
          <cell r="A1308">
            <v>1307</v>
          </cell>
          <cell r="B1308" t="str">
            <v>ja</v>
          </cell>
          <cell r="C1308" t="str">
            <v>彩翼の唱天史 ルシファー</v>
          </cell>
        </row>
        <row r="1309">
          <cell r="A1309">
            <v>1308</v>
          </cell>
          <cell r="B1309" t="str">
            <v>ja</v>
          </cell>
          <cell r="C1309" t="str">
            <v>革鳴の響奏撃 初音ミク</v>
          </cell>
        </row>
        <row r="1310">
          <cell r="A1310">
            <v>1309</v>
          </cell>
          <cell r="B1310" t="str">
            <v>ja</v>
          </cell>
          <cell r="C1310" t="str">
            <v>虹彩の美唱姫 初音ミク・アペンド</v>
          </cell>
        </row>
        <row r="1311">
          <cell r="A1311">
            <v>1310</v>
          </cell>
          <cell r="B1311" t="str">
            <v>ja</v>
          </cell>
          <cell r="C1311" t="str">
            <v>聖律する歌姫 初音ミク・アペンド</v>
          </cell>
        </row>
        <row r="1312">
          <cell r="A1312">
            <v>1311</v>
          </cell>
          <cell r="B1312" t="str">
            <v>ja</v>
          </cell>
          <cell r="C1312" t="str">
            <v>輪音する大反響 鏡音リン</v>
          </cell>
        </row>
        <row r="1313">
          <cell r="A1313">
            <v>1312</v>
          </cell>
          <cell r="B1313" t="str">
            <v>ja</v>
          </cell>
          <cell r="C1313" t="str">
            <v>連譜する大残響 鏡音レン</v>
          </cell>
        </row>
        <row r="1314">
          <cell r="A1314">
            <v>1313</v>
          </cell>
          <cell r="B1314" t="str">
            <v>ja</v>
          </cell>
          <cell r="C1314" t="str">
            <v>旋律する音廻 巡音ルカ</v>
          </cell>
        </row>
        <row r="1315">
          <cell r="A1315">
            <v>1314</v>
          </cell>
          <cell r="B1315" t="str">
            <v>ja</v>
          </cell>
          <cell r="C1315" t="str">
            <v>救声の唱動 MEIKO</v>
          </cell>
        </row>
        <row r="1316">
          <cell r="A1316">
            <v>1315</v>
          </cell>
          <cell r="B1316" t="str">
            <v>ja</v>
          </cell>
          <cell r="C1316" t="str">
            <v>快響の楽唱歌 KAITO</v>
          </cell>
        </row>
        <row r="1317">
          <cell r="A1317">
            <v>1316</v>
          </cell>
          <cell r="B1317" t="str">
            <v>ja</v>
          </cell>
          <cell r="C1317" t="str">
            <v>初音ミクV4X</v>
          </cell>
        </row>
        <row r="1318">
          <cell r="A1318">
            <v>1317</v>
          </cell>
          <cell r="B1318" t="str">
            <v>ja</v>
          </cell>
          <cell r="C1318" t="str">
            <v>進歌する声域 初音ミクV4X</v>
          </cell>
        </row>
        <row r="1319">
          <cell r="A1319">
            <v>1318</v>
          </cell>
          <cell r="B1319" t="str">
            <v>ja</v>
          </cell>
          <cell r="C1319" t="str">
            <v>鏡音リンV4X</v>
          </cell>
        </row>
        <row r="1320">
          <cell r="A1320">
            <v>1319</v>
          </cell>
          <cell r="B1320" t="str">
            <v>ja</v>
          </cell>
          <cell r="C1320" t="str">
            <v>甘恋の激唱歌 鏡音リンV4X</v>
          </cell>
        </row>
        <row r="1321">
          <cell r="A1321">
            <v>1320</v>
          </cell>
          <cell r="B1321" t="str">
            <v>ja</v>
          </cell>
          <cell r="C1321" t="str">
            <v>鏡音レンV4X</v>
          </cell>
        </row>
        <row r="1322">
          <cell r="A1322">
            <v>1321</v>
          </cell>
          <cell r="B1322" t="str">
            <v>ja</v>
          </cell>
          <cell r="C1322" t="str">
            <v>純凛の柔唱歌 鏡音レンV4X</v>
          </cell>
        </row>
        <row r="1323">
          <cell r="A1323">
            <v>1322</v>
          </cell>
          <cell r="B1323" t="str">
            <v>ja</v>
          </cell>
          <cell r="C1323" t="str">
            <v>巡音ルカV4X</v>
          </cell>
        </row>
        <row r="1324">
          <cell r="A1324">
            <v>1323</v>
          </cell>
          <cell r="B1324" t="str">
            <v>ja</v>
          </cell>
          <cell r="C1324" t="str">
            <v>吐鳴する響惹 巡音ルカV4X</v>
          </cell>
        </row>
        <row r="1325">
          <cell r="A1325">
            <v>1324</v>
          </cell>
          <cell r="B1325" t="str">
            <v>ja</v>
          </cell>
          <cell r="C1325" t="str">
            <v>アウリ</v>
          </cell>
        </row>
        <row r="1326">
          <cell r="A1326">
            <v>1325</v>
          </cell>
          <cell r="B1326" t="str">
            <v>ja</v>
          </cell>
          <cell r="C1326" t="str">
            <v>阿吽の神護犬 アウリ</v>
          </cell>
        </row>
        <row r="1327">
          <cell r="A1327">
            <v>1326</v>
          </cell>
          <cell r="B1327" t="str">
            <v>ja</v>
          </cell>
          <cell r="C1327" t="str">
            <v>ワカヒルメ</v>
          </cell>
        </row>
        <row r="1328">
          <cell r="A1328">
            <v>1327</v>
          </cell>
          <cell r="B1328" t="str">
            <v>ja</v>
          </cell>
          <cell r="C1328" t="str">
            <v>織神衣の幼神 ワカヒルメ</v>
          </cell>
        </row>
        <row r="1329">
          <cell r="A1329">
            <v>1328</v>
          </cell>
          <cell r="B1329" t="str">
            <v>ja</v>
          </cell>
          <cell r="C1329" t="str">
            <v>ヒノカグツチ</v>
          </cell>
        </row>
        <row r="1330">
          <cell r="A1330">
            <v>1329</v>
          </cell>
          <cell r="B1330" t="str">
            <v>ja</v>
          </cell>
          <cell r="C1330" t="str">
            <v>神抗の火産霊 ヒノカグツチ</v>
          </cell>
        </row>
        <row r="1331">
          <cell r="A1331">
            <v>1330</v>
          </cell>
          <cell r="B1331" t="str">
            <v>ja</v>
          </cell>
          <cell r="C1331" t="str">
            <v>スサノオ</v>
          </cell>
        </row>
        <row r="1332">
          <cell r="A1332">
            <v>1331</v>
          </cell>
          <cell r="B1332" t="str">
            <v>ja</v>
          </cell>
          <cell r="C1332" t="str">
            <v>傑戦の大強神 スサノオ</v>
          </cell>
        </row>
        <row r="1333">
          <cell r="A1333">
            <v>1332</v>
          </cell>
          <cell r="B1333" t="str">
            <v>ja</v>
          </cell>
          <cell r="C1333" t="str">
            <v>クシナダヒメ</v>
          </cell>
        </row>
        <row r="1334">
          <cell r="A1334">
            <v>1333</v>
          </cell>
          <cell r="B1334" t="str">
            <v>ja</v>
          </cell>
          <cell r="C1334" t="str">
            <v>神心を射る穂神 クシナダヒメ</v>
          </cell>
        </row>
        <row r="1335">
          <cell r="A1335">
            <v>1334</v>
          </cell>
          <cell r="B1335" t="str">
            <v>ja</v>
          </cell>
          <cell r="C1335" t="str">
            <v>タマヨリヒメ</v>
          </cell>
        </row>
        <row r="1336">
          <cell r="A1336">
            <v>1335</v>
          </cell>
          <cell r="B1336" t="str">
            <v>ja</v>
          </cell>
          <cell r="C1336" t="str">
            <v>霊司の神憑 タマヨリヒメ</v>
          </cell>
        </row>
        <row r="1337">
          <cell r="A1337">
            <v>1336</v>
          </cell>
          <cell r="B1337" t="str">
            <v>ja</v>
          </cell>
          <cell r="C1337" t="str">
            <v>イザナギ</v>
          </cell>
        </row>
        <row r="1338">
          <cell r="A1338">
            <v>1337</v>
          </cell>
          <cell r="B1338" t="str">
            <v>ja</v>
          </cell>
          <cell r="C1338" t="str">
            <v>成命の綜父神 イザナギ</v>
          </cell>
        </row>
        <row r="1339">
          <cell r="A1339">
            <v>1338</v>
          </cell>
          <cell r="B1339" t="str">
            <v>ja</v>
          </cell>
          <cell r="C1339" t="str">
            <v>アメノウズメ</v>
          </cell>
        </row>
        <row r="1340">
          <cell r="A1340">
            <v>1339</v>
          </cell>
          <cell r="B1340" t="str">
            <v>ja</v>
          </cell>
          <cell r="C1340" t="str">
            <v>復古の舞芸神 アメノウズメ</v>
          </cell>
        </row>
        <row r="1341">
          <cell r="A1341">
            <v>1340</v>
          </cell>
          <cell r="B1341" t="str">
            <v>ja</v>
          </cell>
          <cell r="C1341" t="str">
            <v>ハレー</v>
          </cell>
        </row>
        <row r="1342">
          <cell r="A1342">
            <v>1341</v>
          </cell>
          <cell r="B1342" t="str">
            <v>ja</v>
          </cell>
          <cell r="C1342" t="str">
            <v>攻核の翠星機導 ハレー</v>
          </cell>
        </row>
        <row r="1343">
          <cell r="A1343">
            <v>1342</v>
          </cell>
          <cell r="B1343" t="str">
            <v>ja</v>
          </cell>
          <cell r="C1343" t="str">
            <v>ヘルレイザー</v>
          </cell>
        </row>
        <row r="1344">
          <cell r="A1344">
            <v>1343</v>
          </cell>
          <cell r="B1344" t="str">
            <v>ja</v>
          </cell>
          <cell r="C1344" t="str">
            <v>処命する凶掌 ヘルレイザー</v>
          </cell>
        </row>
        <row r="1345">
          <cell r="A1345">
            <v>1344</v>
          </cell>
          <cell r="B1345" t="str">
            <v>ja</v>
          </cell>
          <cell r="C1345" t="str">
            <v>空き</v>
          </cell>
        </row>
        <row r="1346">
          <cell r="A1346">
            <v>1345</v>
          </cell>
          <cell r="B1346" t="str">
            <v>ja</v>
          </cell>
          <cell r="C1346" t="str">
            <v>空き</v>
          </cell>
        </row>
        <row r="1347">
          <cell r="A1347">
            <v>1346</v>
          </cell>
          <cell r="B1347" t="str">
            <v>ja</v>
          </cell>
          <cell r="C1347" t="str">
            <v>セルシウス</v>
          </cell>
        </row>
        <row r="1348">
          <cell r="A1348">
            <v>1347</v>
          </cell>
          <cell r="B1348" t="str">
            <v>ja</v>
          </cell>
          <cell r="C1348" t="str">
            <v>帝冷の剣氏 セルシウス</v>
          </cell>
        </row>
        <row r="1349">
          <cell r="A1349">
            <v>1348</v>
          </cell>
          <cell r="B1349" t="str">
            <v>ja</v>
          </cell>
          <cell r="C1349" t="str">
            <v>パウリ</v>
          </cell>
        </row>
        <row r="1350">
          <cell r="A1350">
            <v>1349</v>
          </cell>
          <cell r="B1350" t="str">
            <v>ja</v>
          </cell>
          <cell r="C1350" t="str">
            <v>機壊の輪旋 パウリ</v>
          </cell>
        </row>
        <row r="1351">
          <cell r="A1351">
            <v>1350</v>
          </cell>
          <cell r="B1351" t="str">
            <v>ja</v>
          </cell>
          <cell r="C1351" t="str">
            <v>ブラウニーR5</v>
          </cell>
        </row>
        <row r="1352">
          <cell r="A1352">
            <v>1351</v>
          </cell>
          <cell r="B1352" t="str">
            <v>ja</v>
          </cell>
          <cell r="C1352" t="str">
            <v>甘頬の魔糖菓 プラリーヌ</v>
          </cell>
        </row>
        <row r="1353">
          <cell r="A1353">
            <v>1352</v>
          </cell>
          <cell r="B1353" t="str">
            <v>ja</v>
          </cell>
          <cell r="C1353" t="str">
            <v>トウカ</v>
          </cell>
        </row>
        <row r="1354">
          <cell r="A1354">
            <v>1353</v>
          </cell>
          <cell r="B1354" t="str">
            <v>ja</v>
          </cell>
          <cell r="C1354" t="str">
            <v>恋待つ帰り道 トウカ</v>
          </cell>
        </row>
        <row r="1355">
          <cell r="A1355">
            <v>1354</v>
          </cell>
          <cell r="B1355" t="str">
            <v>ja</v>
          </cell>
          <cell r="C1355" t="str">
            <v>放課後の恋妃神 フレイヤ</v>
          </cell>
        </row>
        <row r="1356">
          <cell r="A1356">
            <v>1355</v>
          </cell>
          <cell r="B1356" t="str">
            <v>ja</v>
          </cell>
          <cell r="C1356" t="str">
            <v>恋する燦天使 メタトロン・エモ</v>
          </cell>
        </row>
        <row r="1357">
          <cell r="A1357">
            <v>1356</v>
          </cell>
          <cell r="B1357" t="str">
            <v>ja</v>
          </cell>
          <cell r="C1357" t="str">
            <v>恋狐の甘味振舞 タマモ</v>
          </cell>
        </row>
        <row r="1358">
          <cell r="A1358">
            <v>1357</v>
          </cell>
          <cell r="B1358" t="str">
            <v>ja</v>
          </cell>
          <cell r="C1358" t="str">
            <v>甘美なる想導司書 アズラエル</v>
          </cell>
        </row>
        <row r="1359">
          <cell r="A1359">
            <v>1358</v>
          </cell>
          <cell r="B1359" t="str">
            <v>ja</v>
          </cell>
          <cell r="C1359" t="str">
            <v>暴走する恋激火 バハムート</v>
          </cell>
        </row>
        <row r="1360">
          <cell r="A1360">
            <v>1359</v>
          </cell>
          <cell r="B1360" t="str">
            <v>ja</v>
          </cell>
          <cell r="C1360" t="str">
            <v>コルネ</v>
          </cell>
        </row>
        <row r="1361">
          <cell r="A1361">
            <v>1360</v>
          </cell>
          <cell r="B1361" t="str">
            <v>ja</v>
          </cell>
          <cell r="C1361" t="str">
            <v>恋話の散弾 コルネ</v>
          </cell>
        </row>
        <row r="1362">
          <cell r="A1362">
            <v>1361</v>
          </cell>
          <cell r="B1362" t="str">
            <v>ja</v>
          </cell>
          <cell r="C1362" t="str">
            <v>ショコラR6(使用せず)</v>
          </cell>
        </row>
        <row r="1363">
          <cell r="A1363">
            <v>1362</v>
          </cell>
          <cell r="B1363" t="str">
            <v>ja</v>
          </cell>
          <cell r="C1363" t="str">
            <v>刺撃する尖甘槍 フォンデュ</v>
          </cell>
        </row>
        <row r="1364">
          <cell r="A1364">
            <v>1363</v>
          </cell>
          <cell r="B1364" t="str">
            <v>ja</v>
          </cell>
          <cell r="C1364" t="str">
            <v>聖白の夢菓子 ヴァニレ</v>
          </cell>
        </row>
        <row r="1365">
          <cell r="A1365">
            <v>1364</v>
          </cell>
          <cell r="B1365" t="str">
            <v>ja</v>
          </cell>
          <cell r="C1365" t="str">
            <v>百菓の甘味家 パティ</v>
          </cell>
        </row>
        <row r="1366">
          <cell r="A1366">
            <v>1365</v>
          </cell>
          <cell r="B1366" t="str">
            <v>ja</v>
          </cell>
          <cell r="C1366" t="str">
            <v>バリアテスト</v>
          </cell>
        </row>
        <row r="1367">
          <cell r="A1367">
            <v>1366</v>
          </cell>
          <cell r="B1367" t="str">
            <v>ja</v>
          </cell>
          <cell r="C1367" t="str">
            <v>バリアテスト</v>
          </cell>
        </row>
        <row r="1368">
          <cell r="A1368">
            <v>1367</v>
          </cell>
          <cell r="B1368" t="str">
            <v>ja</v>
          </cell>
          <cell r="C1368" t="str">
            <v>ベルヌーイ</v>
          </cell>
        </row>
        <row r="1369">
          <cell r="A1369">
            <v>1368</v>
          </cell>
          <cell r="B1369" t="str">
            <v>ja</v>
          </cell>
          <cell r="C1369" t="str">
            <v>憤流する水鳴砲 ベルヌーイ</v>
          </cell>
        </row>
        <row r="1370">
          <cell r="A1370">
            <v>1369</v>
          </cell>
          <cell r="B1370" t="str">
            <v>ja</v>
          </cell>
          <cell r="C1370" t="str">
            <v>トロイア</v>
          </cell>
        </row>
        <row r="1371">
          <cell r="A1371">
            <v>1370</v>
          </cell>
          <cell r="B1371" t="str">
            <v>ja</v>
          </cell>
          <cell r="C1371" t="str">
            <v>美審なる神争 トロイア</v>
          </cell>
        </row>
        <row r="1372">
          <cell r="A1372">
            <v>1373</v>
          </cell>
          <cell r="B1372" t="str">
            <v>ja</v>
          </cell>
          <cell r="C1372" t="str">
            <v>スリー・ピギーズ</v>
          </cell>
        </row>
        <row r="1373">
          <cell r="A1373">
            <v>1374</v>
          </cell>
          <cell r="B1373" t="str">
            <v>ja</v>
          </cell>
          <cell r="C1373" t="str">
            <v>一級建築兄弟 スリー・ピギーズ</v>
          </cell>
        </row>
        <row r="1374">
          <cell r="A1374">
            <v>1375</v>
          </cell>
          <cell r="B1374" t="str">
            <v>ja</v>
          </cell>
          <cell r="C1374" t="str">
            <v>ジキル&amp;ハイド</v>
          </cell>
        </row>
        <row r="1375">
          <cell r="A1375">
            <v>1376</v>
          </cell>
          <cell r="B1375" t="str">
            <v>ja</v>
          </cell>
          <cell r="C1375" t="str">
            <v>剥離性異常衝動 ジキル&amp;ハイド</v>
          </cell>
        </row>
        <row r="1376">
          <cell r="A1376">
            <v>1377</v>
          </cell>
          <cell r="B1376" t="str">
            <v>ja</v>
          </cell>
          <cell r="C1376" t="str">
            <v>ダンテ・クリスト</v>
          </cell>
        </row>
        <row r="1377">
          <cell r="A1377">
            <v>1378</v>
          </cell>
          <cell r="B1377" t="str">
            <v>ja</v>
          </cell>
          <cell r="C1377" t="str">
            <v>巌窟の魔主 ダンテ・クリスト</v>
          </cell>
        </row>
        <row r="1378">
          <cell r="A1378">
            <v>1379</v>
          </cell>
          <cell r="B1378" t="str">
            <v>ja</v>
          </cell>
          <cell r="C1378" t="str">
            <v>アンデルセン</v>
          </cell>
        </row>
        <row r="1379">
          <cell r="A1379">
            <v>1380</v>
          </cell>
          <cell r="B1379" t="str">
            <v>ja</v>
          </cell>
          <cell r="C1379" t="str">
            <v>詩線上の導話 アンデルセン</v>
          </cell>
        </row>
        <row r="1380">
          <cell r="A1380">
            <v>1381</v>
          </cell>
          <cell r="B1380" t="str">
            <v>ja</v>
          </cell>
          <cell r="C1380" t="str">
            <v>ガリバー</v>
          </cell>
        </row>
        <row r="1381">
          <cell r="A1381">
            <v>1382</v>
          </cell>
          <cell r="B1381" t="str">
            <v>ja</v>
          </cell>
          <cell r="C1381" t="str">
            <v>賢巨なる渡来者 ガリバー</v>
          </cell>
        </row>
        <row r="1382">
          <cell r="A1382">
            <v>1383</v>
          </cell>
          <cell r="B1382" t="str">
            <v>ja</v>
          </cell>
          <cell r="C1382" t="str">
            <v>シンドバッド</v>
          </cell>
        </row>
        <row r="1383">
          <cell r="A1383">
            <v>1384</v>
          </cell>
          <cell r="B1383" t="str">
            <v>ja</v>
          </cell>
          <cell r="C1383" t="str">
            <v>獲宝の航界者 シンドバッド</v>
          </cell>
        </row>
        <row r="1384">
          <cell r="A1384">
            <v>1385</v>
          </cell>
          <cell r="B1384" t="str">
            <v>ja</v>
          </cell>
          <cell r="C1384" t="str">
            <v>いばら姫</v>
          </cell>
        </row>
        <row r="1385">
          <cell r="A1385">
            <v>1386</v>
          </cell>
          <cell r="B1385" t="str">
            <v>ja</v>
          </cell>
          <cell r="C1385" t="str">
            <v>荊棘の覚醒姫 いばら姫</v>
          </cell>
        </row>
        <row r="1386">
          <cell r="A1386">
            <v>1387</v>
          </cell>
          <cell r="B1386" t="str">
            <v>ja</v>
          </cell>
          <cell r="C1386" t="str">
            <v>ダルタニャン</v>
          </cell>
        </row>
        <row r="1387">
          <cell r="A1387">
            <v>1388</v>
          </cell>
          <cell r="B1387" t="str">
            <v>ja</v>
          </cell>
          <cell r="C1387" t="str">
            <v>讃勇の銃士長 ダルタニャン</v>
          </cell>
        </row>
        <row r="1388">
          <cell r="A1388">
            <v>1389</v>
          </cell>
          <cell r="B1388" t="str">
            <v>ja</v>
          </cell>
          <cell r="C1388" t="str">
            <v>ユング</v>
          </cell>
        </row>
        <row r="1389">
          <cell r="A1389">
            <v>1390</v>
          </cell>
          <cell r="B1389" t="str">
            <v>ja</v>
          </cell>
          <cell r="C1389" t="str">
            <v>夢誘心解の蒼翼 ユング</v>
          </cell>
        </row>
        <row r="1390">
          <cell r="A1390">
            <v>1393</v>
          </cell>
          <cell r="B1390" t="str">
            <v>ja</v>
          </cell>
          <cell r="C1390" t="str">
            <v>ライプニッツ</v>
          </cell>
        </row>
        <row r="1391">
          <cell r="A1391">
            <v>1394</v>
          </cell>
          <cell r="B1391" t="str">
            <v>ja</v>
          </cell>
          <cell r="C1391" t="str">
            <v>永普の存在論 ライプニッツ</v>
          </cell>
        </row>
        <row r="1392">
          <cell r="A1392">
            <v>1395</v>
          </cell>
          <cell r="B1392" t="str">
            <v>ja</v>
          </cell>
          <cell r="C1392" t="str">
            <v>神和の表象展開 ライプニッツ</v>
          </cell>
        </row>
        <row r="1393">
          <cell r="A1393">
            <v>1399</v>
          </cell>
          <cell r="B1393" t="str">
            <v>ja</v>
          </cell>
          <cell r="C1393" t="str">
            <v>ラヴァーズ</v>
          </cell>
        </row>
        <row r="1394">
          <cell r="A1394">
            <v>1400</v>
          </cell>
          <cell r="B1394" t="str">
            <v>ja</v>
          </cell>
          <cell r="C1394" t="str">
            <v>奏愛する虜籠 ラヴァーズ</v>
          </cell>
        </row>
        <row r="1395">
          <cell r="A1395">
            <v>1401</v>
          </cell>
          <cell r="B1395" t="str">
            <v>ja</v>
          </cell>
          <cell r="C1395" t="str">
            <v>レムリア</v>
          </cell>
        </row>
        <row r="1396">
          <cell r="A1396">
            <v>1402</v>
          </cell>
          <cell r="B1396" t="str">
            <v>ja</v>
          </cell>
          <cell r="C1396" t="str">
            <v>縞彩の豊嬢 レムリア</v>
          </cell>
        </row>
        <row r="1397">
          <cell r="A1397">
            <v>1403</v>
          </cell>
          <cell r="B1397" t="str">
            <v>ja</v>
          </cell>
          <cell r="C1397" t="str">
            <v>炎帝の守護獣神 朱雀</v>
          </cell>
        </row>
        <row r="1398">
          <cell r="A1398">
            <v>1404</v>
          </cell>
          <cell r="B1398" t="str">
            <v>ja</v>
          </cell>
          <cell r="C1398" t="str">
            <v>玄帝の守護獣神 玄武</v>
          </cell>
        </row>
        <row r="1399">
          <cell r="A1399">
            <v>1405</v>
          </cell>
          <cell r="B1399" t="str">
            <v>ja</v>
          </cell>
          <cell r="C1399" t="str">
            <v>蒼帝の守護獣神 青龍</v>
          </cell>
        </row>
        <row r="1400">
          <cell r="A1400">
            <v>1406</v>
          </cell>
          <cell r="B1400" t="str">
            <v>ja</v>
          </cell>
          <cell r="C1400" t="str">
            <v>白帝の守護獣神 白虎</v>
          </cell>
        </row>
        <row r="1401">
          <cell r="A1401">
            <v>1407</v>
          </cell>
          <cell r="B1401" t="str">
            <v>ja</v>
          </cell>
          <cell r="C1401" t="str">
            <v>グリム・ザ・ダンディ</v>
          </cell>
        </row>
        <row r="1402">
          <cell r="A1402">
            <v>1408</v>
          </cell>
          <cell r="B1402" t="str">
            <v>ja</v>
          </cell>
          <cell r="C1402" t="str">
            <v>爽愛の求魂 グリム・ザ・ダンディ</v>
          </cell>
        </row>
        <row r="1403">
          <cell r="A1403">
            <v>1409</v>
          </cell>
          <cell r="B1403" t="str">
            <v>ja</v>
          </cell>
          <cell r="C1403" t="str">
            <v>マシロ</v>
          </cell>
        </row>
        <row r="1404">
          <cell r="A1404">
            <v>1410</v>
          </cell>
          <cell r="B1404" t="str">
            <v>ja</v>
          </cell>
          <cell r="C1404" t="str">
            <v>浮遊する白恋 マシロ</v>
          </cell>
        </row>
        <row r="1405">
          <cell r="A1405">
            <v>1411</v>
          </cell>
          <cell r="B1405" t="str">
            <v>ja</v>
          </cell>
          <cell r="C1405" t="str">
            <v>ピーターパン・イノセンス</v>
          </cell>
        </row>
        <row r="1406">
          <cell r="A1406">
            <v>1412</v>
          </cell>
          <cell r="B1406" t="str">
            <v>ja</v>
          </cell>
          <cell r="C1406" t="str">
            <v>アレス・パッション</v>
          </cell>
        </row>
        <row r="1407">
          <cell r="A1407">
            <v>1413</v>
          </cell>
          <cell r="B1407" t="str">
            <v>ja</v>
          </cell>
          <cell r="C1407" t="str">
            <v>クリムト・ペリューシド</v>
          </cell>
        </row>
        <row r="1408">
          <cell r="A1408">
            <v>1414</v>
          </cell>
          <cell r="B1408" t="str">
            <v>ja</v>
          </cell>
          <cell r="C1408" t="str">
            <v>炎のミリオンダック 7</v>
          </cell>
        </row>
        <row r="1409">
          <cell r="A1409">
            <v>1415</v>
          </cell>
          <cell r="B1409" t="str">
            <v>ja</v>
          </cell>
          <cell r="C1409" t="str">
            <v>森のミリオンダック 7</v>
          </cell>
        </row>
        <row r="1410">
          <cell r="A1410">
            <v>1416</v>
          </cell>
          <cell r="B1410" t="str">
            <v>ja</v>
          </cell>
          <cell r="C1410" t="str">
            <v>水のミリオンダック 7</v>
          </cell>
        </row>
        <row r="1411">
          <cell r="A1411">
            <v>1417</v>
          </cell>
          <cell r="B1411" t="str">
            <v>ja</v>
          </cell>
          <cell r="C1411" t="str">
            <v>雷のミリオンダック 7</v>
          </cell>
        </row>
        <row r="1412">
          <cell r="A1412">
            <v>1418</v>
          </cell>
          <cell r="B1412" t="str">
            <v>ja</v>
          </cell>
          <cell r="C1412" t="str">
            <v>擬潜送侵型メリッサ2.0</v>
          </cell>
        </row>
        <row r="1413">
          <cell r="A1413">
            <v>1419</v>
          </cell>
          <cell r="B1413" t="str">
            <v>ja</v>
          </cell>
          <cell r="C1413" t="str">
            <v>感潜する侵感 メリッサ</v>
          </cell>
        </row>
        <row r="1414">
          <cell r="A1414">
            <v>1420</v>
          </cell>
          <cell r="B1414" t="str">
            <v>ja</v>
          </cell>
          <cell r="C1414" t="str">
            <v>脆侵増殖型G・モリス</v>
          </cell>
        </row>
        <row r="1415">
          <cell r="A1415">
            <v>1421</v>
          </cell>
          <cell r="B1415" t="str">
            <v>ja</v>
          </cell>
          <cell r="C1415" t="str">
            <v>拡勢する偽増 モリス</v>
          </cell>
        </row>
        <row r="1416">
          <cell r="A1416">
            <v>1422</v>
          </cell>
          <cell r="B1416" t="str">
            <v>ja</v>
          </cell>
          <cell r="C1416" t="str">
            <v>解錠放散性ニムダE</v>
          </cell>
        </row>
        <row r="1417">
          <cell r="A1417">
            <v>1423</v>
          </cell>
          <cell r="B1417" t="str">
            <v>ja</v>
          </cell>
          <cell r="C1417" t="str">
            <v>電播する環染 ニムダ</v>
          </cell>
        </row>
        <row r="1418">
          <cell r="A1418">
            <v>1424</v>
          </cell>
          <cell r="B1418" t="str">
            <v>ja</v>
          </cell>
          <cell r="C1418" t="str">
            <v>波打際の宴麗 フロイト</v>
          </cell>
        </row>
        <row r="1419">
          <cell r="A1419">
            <v>1425</v>
          </cell>
          <cell r="B1419" t="str">
            <v>ja</v>
          </cell>
          <cell r="C1419" t="str">
            <v>ヴォルタ</v>
          </cell>
        </row>
        <row r="1420">
          <cell r="A1420">
            <v>1426</v>
          </cell>
          <cell r="B1420" t="str">
            <v>ja</v>
          </cell>
          <cell r="C1420" t="str">
            <v>灼々たる電花 ヴォルタ</v>
          </cell>
        </row>
        <row r="1421">
          <cell r="A1421">
            <v>1427</v>
          </cell>
          <cell r="B1421" t="str">
            <v>ja</v>
          </cell>
          <cell r="C1421" t="str">
            <v>プラトー</v>
          </cell>
        </row>
        <row r="1422">
          <cell r="A1422">
            <v>1428</v>
          </cell>
          <cell r="B1422" t="str">
            <v>ja</v>
          </cell>
          <cell r="C1422" t="str">
            <v>幻影の泡沫 プラトー</v>
          </cell>
        </row>
        <row r="1423">
          <cell r="A1423">
            <v>1431</v>
          </cell>
          <cell r="B1423" t="str">
            <v>ja</v>
          </cell>
          <cell r="C1423" t="str">
            <v>センコ</v>
          </cell>
        </row>
        <row r="1424">
          <cell r="A1424">
            <v>1432</v>
          </cell>
          <cell r="B1424" t="str">
            <v>ja</v>
          </cell>
          <cell r="C1424" t="str">
            <v>華宴の千年狐 センコ</v>
          </cell>
        </row>
        <row r="1425">
          <cell r="A1425">
            <v>1433</v>
          </cell>
          <cell r="B1425" t="str">
            <v>ja</v>
          </cell>
          <cell r="C1425" t="str">
            <v>超越の果実</v>
          </cell>
        </row>
        <row r="1426">
          <cell r="A1426">
            <v>1434</v>
          </cell>
          <cell r="B1426" t="str">
            <v>ja</v>
          </cell>
          <cell r="C1426" t="str">
            <v>メガ超越の果実</v>
          </cell>
        </row>
        <row r="1427">
          <cell r="A1427">
            <v>1435</v>
          </cell>
          <cell r="B1427" t="str">
            <v>ja</v>
          </cell>
          <cell r="C1427" t="str">
            <v>ギガ超越の果実</v>
          </cell>
        </row>
        <row r="1428">
          <cell r="A1428">
            <v>1436</v>
          </cell>
          <cell r="B1428" t="str">
            <v>ja</v>
          </cell>
          <cell r="C1428" t="str">
            <v>スパルタ</v>
          </cell>
        </row>
        <row r="1429">
          <cell r="A1429">
            <v>1437</v>
          </cell>
          <cell r="B1429" t="str">
            <v>ja</v>
          </cell>
          <cell r="C1429" t="str">
            <v>暴厳の練磨師 スパルタ</v>
          </cell>
        </row>
        <row r="1430">
          <cell r="A1430">
            <v>1438</v>
          </cell>
          <cell r="B1430" t="str">
            <v>ja</v>
          </cell>
          <cell r="C1430" t="str">
            <v>ゼノビア</v>
          </cell>
        </row>
        <row r="1431">
          <cell r="A1431">
            <v>1439</v>
          </cell>
          <cell r="B1431" t="str">
            <v>ja</v>
          </cell>
          <cell r="C1431" t="str">
            <v>狡貴なる女傑 ゼノビア</v>
          </cell>
        </row>
        <row r="1432">
          <cell r="A1432">
            <v>1440</v>
          </cell>
          <cell r="B1432" t="str">
            <v>ja</v>
          </cell>
          <cell r="C1432" t="str">
            <v>ブルータス</v>
          </cell>
        </row>
        <row r="1433">
          <cell r="A1433">
            <v>1441</v>
          </cell>
          <cell r="B1433" t="str">
            <v>ja</v>
          </cell>
          <cell r="C1433" t="str">
            <v>背信の謀剣 ブルータス</v>
          </cell>
        </row>
        <row r="1434">
          <cell r="A1434">
            <v>1442</v>
          </cell>
          <cell r="B1434" t="str">
            <v>ja</v>
          </cell>
          <cell r="C1434" t="str">
            <v>アレキサンダー</v>
          </cell>
        </row>
        <row r="1435">
          <cell r="A1435">
            <v>1443</v>
          </cell>
          <cell r="B1435" t="str">
            <v>ja</v>
          </cell>
          <cell r="C1435" t="str">
            <v>征世の大英雄 アレキサンダー</v>
          </cell>
        </row>
        <row r="1436">
          <cell r="A1436">
            <v>1444</v>
          </cell>
          <cell r="B1436" t="str">
            <v>ja</v>
          </cell>
          <cell r="C1436" t="str">
            <v>クレオパトラ</v>
          </cell>
        </row>
        <row r="1437">
          <cell r="A1437">
            <v>1445</v>
          </cell>
          <cell r="B1437" t="str">
            <v>ja</v>
          </cell>
          <cell r="C1437" t="str">
            <v>絶征の魅女 クレオパトラ</v>
          </cell>
        </row>
        <row r="1438">
          <cell r="A1438">
            <v>1446</v>
          </cell>
          <cell r="B1438" t="str">
            <v>ja</v>
          </cell>
          <cell r="C1438" t="str">
            <v>カエサル</v>
          </cell>
        </row>
        <row r="1439">
          <cell r="A1439">
            <v>1447</v>
          </cell>
          <cell r="B1439" t="str">
            <v>ja</v>
          </cell>
          <cell r="C1439" t="str">
            <v>拓越の軍官 カエサル</v>
          </cell>
        </row>
        <row r="1440">
          <cell r="A1440">
            <v>1448</v>
          </cell>
          <cell r="B1440" t="str">
            <v>ja</v>
          </cell>
          <cell r="C1440" t="str">
            <v>ハンニバル</v>
          </cell>
        </row>
        <row r="1441">
          <cell r="A1441">
            <v>1449</v>
          </cell>
          <cell r="B1441" t="str">
            <v>ja</v>
          </cell>
          <cell r="C1441" t="str">
            <v>天賦の閃術家 ハンニバル</v>
          </cell>
        </row>
        <row r="1442">
          <cell r="A1442">
            <v>1450</v>
          </cell>
          <cell r="B1442" t="str">
            <v>ja</v>
          </cell>
          <cell r="C1442" t="str">
            <v>ブーディカ</v>
          </cell>
        </row>
        <row r="1443">
          <cell r="A1443">
            <v>1451</v>
          </cell>
          <cell r="B1443" t="str">
            <v>ja</v>
          </cell>
          <cell r="C1443" t="str">
            <v>沈黙の禁領 ブーディカ</v>
          </cell>
        </row>
        <row r="1444">
          <cell r="A1444">
            <v>1452</v>
          </cell>
          <cell r="B1444" t="str">
            <v>ja</v>
          </cell>
          <cell r="C1444" t="str">
            <v>メルセンヌ</v>
          </cell>
        </row>
        <row r="1445">
          <cell r="A1445">
            <v>1453</v>
          </cell>
          <cell r="B1445" t="str">
            <v>ja</v>
          </cell>
          <cell r="C1445" t="str">
            <v>数解の自鳴琴 メルセンヌ</v>
          </cell>
        </row>
        <row r="1446">
          <cell r="A1446">
            <v>1454</v>
          </cell>
          <cell r="B1446" t="str">
            <v>ja</v>
          </cell>
          <cell r="C1446" t="str">
            <v>ストレングス</v>
          </cell>
        </row>
        <row r="1447">
          <cell r="A1447">
            <v>1455</v>
          </cell>
          <cell r="B1447" t="str">
            <v>ja</v>
          </cell>
          <cell r="C1447" t="str">
            <v>豪毅なる征獣師 ストレングス</v>
          </cell>
        </row>
        <row r="1448">
          <cell r="A1448">
            <v>1456</v>
          </cell>
          <cell r="B1448" t="str">
            <v>ja</v>
          </cell>
          <cell r="C1448" t="str">
            <v>ネセバル</v>
          </cell>
        </row>
        <row r="1449">
          <cell r="A1449">
            <v>1457</v>
          </cell>
          <cell r="B1449" t="str">
            <v>ja</v>
          </cell>
          <cell r="C1449" t="str">
            <v>碧影の聖跡 ネセバル</v>
          </cell>
        </row>
        <row r="1450">
          <cell r="A1450">
            <v>1458</v>
          </cell>
          <cell r="B1450" t="str">
            <v>ja</v>
          </cell>
          <cell r="C1450" t="str">
            <v>ロイ・マスタング</v>
          </cell>
        </row>
        <row r="1451">
          <cell r="A1451">
            <v>1459</v>
          </cell>
          <cell r="B1451" t="str">
            <v>ja</v>
          </cell>
          <cell r="C1451" t="str">
            <v>焔の錬金術師 ロイ・マスタング</v>
          </cell>
        </row>
        <row r="1452">
          <cell r="A1452">
            <v>1460</v>
          </cell>
          <cell r="B1452" t="str">
            <v>ja</v>
          </cell>
          <cell r="C1452" t="str">
            <v>リザ・ホークアイ</v>
          </cell>
        </row>
        <row r="1453">
          <cell r="A1453">
            <v>1461</v>
          </cell>
          <cell r="B1453" t="str">
            <v>ja</v>
          </cell>
          <cell r="C1453" t="str">
            <v>鷹眼の国軍中尉 リザ・ホークアイ</v>
          </cell>
        </row>
        <row r="1454">
          <cell r="A1454">
            <v>1462</v>
          </cell>
          <cell r="B1454" t="str">
            <v>ja</v>
          </cell>
          <cell r="C1454" t="str">
            <v>エドワード・エルリック</v>
          </cell>
        </row>
        <row r="1455">
          <cell r="A1455">
            <v>1463</v>
          </cell>
          <cell r="B1455" t="str">
            <v>ja</v>
          </cell>
          <cell r="C1455" t="str">
            <v>鋼の錬金術師 エドワード</v>
          </cell>
        </row>
        <row r="1456">
          <cell r="A1456">
            <v>1464</v>
          </cell>
          <cell r="B1456" t="str">
            <v>ja</v>
          </cell>
          <cell r="C1456" t="str">
            <v>アルフォンス・エルリック</v>
          </cell>
        </row>
        <row r="1457">
          <cell r="A1457">
            <v>1465</v>
          </cell>
          <cell r="B1457" t="str">
            <v>ja</v>
          </cell>
          <cell r="C1457" t="str">
            <v>鋼腕なる闘鎧 アルフォンス</v>
          </cell>
        </row>
        <row r="1458">
          <cell r="A1458">
            <v>1466</v>
          </cell>
          <cell r="B1458" t="str">
            <v>ja</v>
          </cell>
          <cell r="C1458" t="str">
            <v>スカー</v>
          </cell>
        </row>
        <row r="1459">
          <cell r="A1459">
            <v>1467</v>
          </cell>
          <cell r="B1459" t="str">
            <v>ja</v>
          </cell>
          <cell r="C1459" t="str">
            <v>十字傷の男 スカー</v>
          </cell>
        </row>
        <row r="1460">
          <cell r="A1460">
            <v>1468</v>
          </cell>
          <cell r="B1460" t="str">
            <v>ja</v>
          </cell>
          <cell r="C1460" t="str">
            <v>嫉妬の猛心 エンヴィー</v>
          </cell>
        </row>
        <row r="1461">
          <cell r="A1461">
            <v>1469</v>
          </cell>
          <cell r="B1461" t="str">
            <v>ja</v>
          </cell>
          <cell r="C1461" t="str">
            <v>憤怒の大総統 ブラッドレイ</v>
          </cell>
        </row>
        <row r="1462">
          <cell r="A1462">
            <v>1470</v>
          </cell>
          <cell r="B1462" t="str">
            <v>ja</v>
          </cell>
          <cell r="C1462" t="str">
            <v>傲慢なる悪鬼 プライド</v>
          </cell>
        </row>
        <row r="1463">
          <cell r="A1463">
            <v>1471</v>
          </cell>
          <cell r="B1463" t="str">
            <v>ja</v>
          </cell>
          <cell r="C1463" t="str">
            <v>エイプリルアーサー</v>
          </cell>
        </row>
        <row r="1464">
          <cell r="A1464">
            <v>1488</v>
          </cell>
          <cell r="B1464" t="str">
            <v>ja</v>
          </cell>
          <cell r="C1464" t="str">
            <v>デカルトR5</v>
          </cell>
        </row>
        <row r="1465">
          <cell r="A1465">
            <v>1489</v>
          </cell>
          <cell r="B1465" t="str">
            <v>ja</v>
          </cell>
          <cell r="C1465" t="str">
            <v>デカルトR6</v>
          </cell>
        </row>
        <row r="1466">
          <cell r="A1466">
            <v>1490</v>
          </cell>
          <cell r="B1466" t="str">
            <v>ja</v>
          </cell>
          <cell r="C1466" t="str">
            <v>パラケルスス</v>
          </cell>
        </row>
        <row r="1467">
          <cell r="A1467">
            <v>1491</v>
          </cell>
          <cell r="B1467" t="str">
            <v>ja</v>
          </cell>
          <cell r="C1467" t="str">
            <v>真緋の紅玉 パラケルスス</v>
          </cell>
        </row>
        <row r="1468">
          <cell r="A1468">
            <v>1495</v>
          </cell>
          <cell r="B1468" t="str">
            <v>ja</v>
          </cell>
          <cell r="C1468" t="str">
            <v>桜乱の武奏術 牛若丸</v>
          </cell>
        </row>
        <row r="1469">
          <cell r="A1469">
            <v>1496</v>
          </cell>
          <cell r="B1469" t="str">
            <v>ja</v>
          </cell>
          <cell r="C1469" t="str">
            <v>晴眼桜花一文字 沖田総司</v>
          </cell>
        </row>
        <row r="1470">
          <cell r="A1470">
            <v>1497</v>
          </cell>
          <cell r="B1470" t="str">
            <v>ja</v>
          </cell>
          <cell r="C1470" t="str">
            <v>ヨシノ</v>
          </cell>
        </row>
        <row r="1471">
          <cell r="A1471">
            <v>1498</v>
          </cell>
          <cell r="B1471" t="str">
            <v>ja</v>
          </cell>
          <cell r="C1471" t="str">
            <v>咲誇る夢見草 ヨシノ</v>
          </cell>
        </row>
        <row r="1472">
          <cell r="A1472">
            <v>1499</v>
          </cell>
          <cell r="B1472" t="str">
            <v>ja</v>
          </cell>
          <cell r="C1472" t="str">
            <v>コノハナサクヤ</v>
          </cell>
        </row>
        <row r="1473">
          <cell r="A1473">
            <v>1500</v>
          </cell>
          <cell r="B1473" t="str">
            <v>ja</v>
          </cell>
          <cell r="C1473" t="str">
            <v>櫻歌する開華 コノハナサクヤ</v>
          </cell>
        </row>
        <row r="1474">
          <cell r="A1474">
            <v>1501</v>
          </cell>
          <cell r="B1474" t="str">
            <v>ja</v>
          </cell>
          <cell r="C1474" t="str">
            <v>晴舞台の桜舞 ドガ</v>
          </cell>
        </row>
        <row r="1475">
          <cell r="A1475">
            <v>1502</v>
          </cell>
          <cell r="B1475" t="str">
            <v>ja</v>
          </cell>
          <cell r="C1475" t="str">
            <v>打咲かす桜花灯 トリスタン</v>
          </cell>
        </row>
        <row r="1476">
          <cell r="A1476">
            <v>1503</v>
          </cell>
          <cell r="B1476" t="str">
            <v>ja</v>
          </cell>
          <cell r="C1476" t="str">
            <v>春纏う蛇撫子 ヨルムンガンド</v>
          </cell>
        </row>
        <row r="1477">
          <cell r="A1477">
            <v>1504</v>
          </cell>
          <cell r="B1477" t="str">
            <v>ja</v>
          </cell>
          <cell r="C1477" t="str">
            <v>ネコ</v>
          </cell>
        </row>
        <row r="1478">
          <cell r="A1478">
            <v>1505</v>
          </cell>
          <cell r="B1478" t="str">
            <v>ja</v>
          </cell>
          <cell r="C1478" t="str">
            <v>タンクネコ</v>
          </cell>
        </row>
        <row r="1479">
          <cell r="A1479">
            <v>1506</v>
          </cell>
          <cell r="B1479" t="str">
            <v>ja</v>
          </cell>
          <cell r="C1479" t="str">
            <v>バトルネコ</v>
          </cell>
        </row>
        <row r="1480">
          <cell r="A1480">
            <v>1507</v>
          </cell>
          <cell r="B1480" t="str">
            <v>ja</v>
          </cell>
          <cell r="C1480" t="str">
            <v>キモネコ</v>
          </cell>
        </row>
        <row r="1481">
          <cell r="A1481">
            <v>1508</v>
          </cell>
          <cell r="B1481" t="str">
            <v>ja</v>
          </cell>
          <cell r="C1481" t="str">
            <v>ネコノトリ</v>
          </cell>
        </row>
        <row r="1482">
          <cell r="A1482">
            <v>1509</v>
          </cell>
          <cell r="B1482" t="str">
            <v>ja</v>
          </cell>
          <cell r="C1482" t="str">
            <v>巨神ネコ</v>
          </cell>
        </row>
        <row r="1483">
          <cell r="A1483">
            <v>1510</v>
          </cell>
          <cell r="B1483" t="str">
            <v>ja</v>
          </cell>
          <cell r="C1483" t="str">
            <v>ネコヴァルキリー</v>
          </cell>
        </row>
        <row r="1484">
          <cell r="A1484">
            <v>1511</v>
          </cell>
          <cell r="B1484" t="str">
            <v>ja</v>
          </cell>
          <cell r="C1484" t="str">
            <v>ネコヴァルキリー･真</v>
          </cell>
        </row>
        <row r="1485">
          <cell r="A1485">
            <v>1512</v>
          </cell>
          <cell r="B1485" t="str">
            <v>ja</v>
          </cell>
          <cell r="C1485" t="str">
            <v>ネコヴァルキリー･聖</v>
          </cell>
        </row>
        <row r="1486">
          <cell r="A1486">
            <v>1513</v>
          </cell>
          <cell r="B1486" t="str">
            <v>ja</v>
          </cell>
          <cell r="C1486" t="str">
            <v>金ネコ</v>
          </cell>
        </row>
        <row r="1487">
          <cell r="A1487">
            <v>1514</v>
          </cell>
          <cell r="B1487" t="str">
            <v>ja</v>
          </cell>
          <cell r="C1487" t="str">
            <v>金ネコビルダー</v>
          </cell>
        </row>
        <row r="1488">
          <cell r="A1488">
            <v>1515</v>
          </cell>
          <cell r="B1488" t="str">
            <v>ja</v>
          </cell>
          <cell r="C1488" t="str">
            <v>赤メタルネコ</v>
          </cell>
        </row>
        <row r="1489">
          <cell r="A1489">
            <v>1516</v>
          </cell>
          <cell r="B1489" t="str">
            <v>ja</v>
          </cell>
          <cell r="C1489" t="str">
            <v>赤メタルネコビルダー</v>
          </cell>
        </row>
        <row r="1490">
          <cell r="A1490">
            <v>1517</v>
          </cell>
          <cell r="B1490" t="str">
            <v>ja</v>
          </cell>
          <cell r="C1490" t="str">
            <v>青メタルネコ</v>
          </cell>
        </row>
        <row r="1491">
          <cell r="A1491">
            <v>1518</v>
          </cell>
          <cell r="B1491" t="str">
            <v>ja</v>
          </cell>
          <cell r="C1491" t="str">
            <v>青メタルネコビルダー</v>
          </cell>
        </row>
        <row r="1492">
          <cell r="A1492">
            <v>1519</v>
          </cell>
          <cell r="B1492" t="str">
            <v>ja</v>
          </cell>
          <cell r="C1492" t="str">
            <v>緑メタルネコ</v>
          </cell>
        </row>
        <row r="1493">
          <cell r="A1493">
            <v>1520</v>
          </cell>
          <cell r="B1493" t="str">
            <v>ja</v>
          </cell>
          <cell r="C1493" t="str">
            <v>緑メタルネコビルダー</v>
          </cell>
        </row>
        <row r="1494">
          <cell r="A1494">
            <v>1521</v>
          </cell>
          <cell r="B1494" t="str">
            <v>ja</v>
          </cell>
          <cell r="C1494" t="str">
            <v>黄メタルネコ</v>
          </cell>
        </row>
        <row r="1495">
          <cell r="A1495">
            <v>1522</v>
          </cell>
          <cell r="B1495" t="str">
            <v>ja</v>
          </cell>
          <cell r="C1495" t="str">
            <v>黄メタルネコビルダー</v>
          </cell>
        </row>
        <row r="1496">
          <cell r="A1496">
            <v>1523</v>
          </cell>
          <cell r="B1496" t="str">
            <v>ja</v>
          </cell>
          <cell r="C1496" t="str">
            <v>ネコムート</v>
          </cell>
        </row>
        <row r="1497">
          <cell r="A1497">
            <v>1524</v>
          </cell>
          <cell r="B1497" t="str">
            <v>ja</v>
          </cell>
          <cell r="C1497" t="str">
            <v>狂乱のネコムート</v>
          </cell>
        </row>
        <row r="1498">
          <cell r="A1498">
            <v>1525</v>
          </cell>
          <cell r="B1498" t="str">
            <v>ja</v>
          </cell>
          <cell r="C1498" t="str">
            <v>狂乱のネコ</v>
          </cell>
        </row>
        <row r="1499">
          <cell r="A1499">
            <v>1526</v>
          </cell>
          <cell r="B1499" t="str">
            <v>ja</v>
          </cell>
          <cell r="C1499" t="str">
            <v>狂乱のネコビルダー</v>
          </cell>
        </row>
        <row r="1500">
          <cell r="A1500">
            <v>1527</v>
          </cell>
          <cell r="B1500" t="str">
            <v>ja</v>
          </cell>
          <cell r="C1500" t="str">
            <v>ネコ魔剣士</v>
          </cell>
        </row>
        <row r="1501">
          <cell r="A1501">
            <v>1528</v>
          </cell>
          <cell r="B1501" t="str">
            <v>ja</v>
          </cell>
          <cell r="C1501" t="str">
            <v>双剣ネコ魔剣士</v>
          </cell>
        </row>
        <row r="1502">
          <cell r="A1502">
            <v>1529</v>
          </cell>
          <cell r="B1502" t="str">
            <v>ja</v>
          </cell>
          <cell r="C1502" t="str">
            <v>ねこ海賊</v>
          </cell>
        </row>
        <row r="1503">
          <cell r="A1503">
            <v>1530</v>
          </cell>
          <cell r="B1503" t="str">
            <v>ja</v>
          </cell>
          <cell r="C1503" t="str">
            <v>ニャーコック船長</v>
          </cell>
        </row>
        <row r="1504">
          <cell r="A1504">
            <v>1531</v>
          </cell>
          <cell r="B1504" t="str">
            <v>ja</v>
          </cell>
          <cell r="C1504" t="str">
            <v>ねこジュラ</v>
          </cell>
        </row>
        <row r="1505">
          <cell r="A1505">
            <v>1532</v>
          </cell>
          <cell r="B1505" t="str">
            <v>ja</v>
          </cell>
          <cell r="C1505" t="str">
            <v>ねこジュラシッター</v>
          </cell>
        </row>
        <row r="1506">
          <cell r="A1506">
            <v>1533</v>
          </cell>
          <cell r="B1506" t="str">
            <v>ja</v>
          </cell>
          <cell r="C1506" t="str">
            <v>ネコエステ</v>
          </cell>
        </row>
        <row r="1507">
          <cell r="A1507">
            <v>1534</v>
          </cell>
          <cell r="B1507" t="str">
            <v>ja</v>
          </cell>
          <cell r="C1507" t="str">
            <v>ネコジェンヌ</v>
          </cell>
        </row>
        <row r="1508">
          <cell r="A1508">
            <v>1535</v>
          </cell>
          <cell r="B1508" t="str">
            <v>ja</v>
          </cell>
          <cell r="C1508" t="str">
            <v>ねこナース</v>
          </cell>
        </row>
        <row r="1509">
          <cell r="A1509">
            <v>1536</v>
          </cell>
          <cell r="B1509" t="str">
            <v>ja</v>
          </cell>
          <cell r="C1509" t="str">
            <v>ハートフルねこナース</v>
          </cell>
        </row>
        <row r="1510">
          <cell r="A1510">
            <v>1537</v>
          </cell>
          <cell r="B1510" t="str">
            <v>ja</v>
          </cell>
          <cell r="C1510" t="str">
            <v>キャットマンダディ</v>
          </cell>
        </row>
        <row r="1511">
          <cell r="A1511">
            <v>1538</v>
          </cell>
          <cell r="B1511" t="str">
            <v>ja</v>
          </cell>
          <cell r="C1511" t="str">
            <v>キャットマンダーク</v>
          </cell>
        </row>
        <row r="1512">
          <cell r="A1512">
            <v>1539</v>
          </cell>
          <cell r="B1512" t="str">
            <v>ja</v>
          </cell>
          <cell r="C1512" t="str">
            <v>雷神のサンディア</v>
          </cell>
        </row>
        <row r="1513">
          <cell r="A1513">
            <v>1540</v>
          </cell>
          <cell r="B1513" t="str">
            <v>ja</v>
          </cell>
          <cell r="C1513" t="str">
            <v>雷神のサンディアβ</v>
          </cell>
        </row>
        <row r="1514">
          <cell r="A1514">
            <v>1541</v>
          </cell>
          <cell r="B1514" t="str">
            <v>ja</v>
          </cell>
          <cell r="C1514" t="str">
            <v>美女神アフロディーテ</v>
          </cell>
        </row>
        <row r="1515">
          <cell r="A1515">
            <v>1542</v>
          </cell>
          <cell r="B1515" t="str">
            <v>ja</v>
          </cell>
          <cell r="C1515" t="str">
            <v>メガロディーテ</v>
          </cell>
        </row>
        <row r="1516">
          <cell r="A1516">
            <v>1543</v>
          </cell>
          <cell r="B1516" t="str">
            <v>ja</v>
          </cell>
          <cell r="C1516" t="str">
            <v>ツルの恩返し</v>
          </cell>
        </row>
        <row r="1517">
          <cell r="A1517">
            <v>1544</v>
          </cell>
          <cell r="B1517" t="str">
            <v>ja</v>
          </cell>
          <cell r="C1517" t="str">
            <v>銀河戦士コスモ</v>
          </cell>
        </row>
        <row r="1518">
          <cell r="A1518">
            <v>1545</v>
          </cell>
          <cell r="B1518" t="str">
            <v>ja</v>
          </cell>
          <cell r="C1518" t="str">
            <v>ネコルガ</v>
          </cell>
        </row>
        <row r="1519">
          <cell r="A1519">
            <v>1546</v>
          </cell>
          <cell r="B1519" t="str">
            <v>ja</v>
          </cell>
          <cell r="C1519" t="str">
            <v>ケサランパサラン</v>
          </cell>
        </row>
        <row r="1520">
          <cell r="A1520">
            <v>1547</v>
          </cell>
          <cell r="B1520" t="str">
            <v>ja</v>
          </cell>
          <cell r="C1520" t="str">
            <v>ネコフラワー</v>
          </cell>
        </row>
        <row r="1521">
          <cell r="A1521">
            <v>1548</v>
          </cell>
          <cell r="B1521" t="str">
            <v>ja</v>
          </cell>
          <cell r="C1521" t="str">
            <v>にゃんこ扇風</v>
          </cell>
        </row>
        <row r="1522">
          <cell r="A1522">
            <v>1549</v>
          </cell>
          <cell r="B1522" t="str">
            <v>ja</v>
          </cell>
          <cell r="C1522" t="str">
            <v>ネコリンゴ</v>
          </cell>
        </row>
        <row r="1523">
          <cell r="A1523">
            <v>1550</v>
          </cell>
          <cell r="B1523" t="str">
            <v>ja</v>
          </cell>
          <cell r="C1523" t="str">
            <v>カオルくん</v>
          </cell>
        </row>
        <row r="1524">
          <cell r="A1524">
            <v>1551</v>
          </cell>
          <cell r="B1524" t="str">
            <v>ja</v>
          </cell>
          <cell r="C1524" t="str">
            <v>Leo01</v>
          </cell>
        </row>
        <row r="1525">
          <cell r="A1525">
            <v>1552</v>
          </cell>
          <cell r="B1525" t="str">
            <v>ja</v>
          </cell>
          <cell r="C1525" t="str">
            <v>Leo02</v>
          </cell>
        </row>
        <row r="1526">
          <cell r="A1526">
            <v>1553</v>
          </cell>
          <cell r="B1526" t="str">
            <v>ja</v>
          </cell>
          <cell r="C1526" t="str">
            <v>Andromeda01</v>
          </cell>
        </row>
        <row r="1527">
          <cell r="A1527">
            <v>1554</v>
          </cell>
          <cell r="B1527" t="str">
            <v>ja</v>
          </cell>
          <cell r="C1527" t="str">
            <v>Andromeda02</v>
          </cell>
        </row>
        <row r="1528">
          <cell r="A1528">
            <v>1555</v>
          </cell>
          <cell r="B1528" t="str">
            <v>ja</v>
          </cell>
          <cell r="C1528" t="str">
            <v>Taurus01</v>
          </cell>
        </row>
        <row r="1529">
          <cell r="A1529">
            <v>1556</v>
          </cell>
          <cell r="B1529" t="str">
            <v>ja</v>
          </cell>
          <cell r="C1529" t="str">
            <v>Capricornus01</v>
          </cell>
        </row>
        <row r="1530">
          <cell r="A1530">
            <v>1557</v>
          </cell>
          <cell r="B1530" t="str">
            <v>ja</v>
          </cell>
          <cell r="C1530" t="str">
            <v>Capricornus02</v>
          </cell>
        </row>
        <row r="1531">
          <cell r="A1531">
            <v>1558</v>
          </cell>
          <cell r="B1531" t="str">
            <v>ja</v>
          </cell>
          <cell r="C1531" t="str">
            <v>Aries01</v>
          </cell>
        </row>
        <row r="1532">
          <cell r="A1532">
            <v>1559</v>
          </cell>
          <cell r="B1532" t="str">
            <v>ja</v>
          </cell>
          <cell r="C1532" t="str">
            <v>Aries02</v>
          </cell>
        </row>
        <row r="1533">
          <cell r="A1533">
            <v>1560</v>
          </cell>
          <cell r="B1533" t="str">
            <v>ja</v>
          </cell>
          <cell r="C1533" t="str">
            <v>Pisces01</v>
          </cell>
        </row>
        <row r="1534">
          <cell r="A1534">
            <v>1561</v>
          </cell>
          <cell r="B1534" t="str">
            <v>ja</v>
          </cell>
          <cell r="C1534" t="str">
            <v>Sagittarius01</v>
          </cell>
        </row>
        <row r="1535">
          <cell r="A1535">
            <v>1562</v>
          </cell>
          <cell r="B1535" t="str">
            <v>ja</v>
          </cell>
          <cell r="C1535" t="str">
            <v>Sagittarius02</v>
          </cell>
        </row>
        <row r="1536">
          <cell r="A1536">
            <v>1563</v>
          </cell>
          <cell r="B1536" t="str">
            <v>ja</v>
          </cell>
          <cell r="C1536" t="str">
            <v>Cassiopeia01</v>
          </cell>
        </row>
        <row r="1537">
          <cell r="A1537">
            <v>1564</v>
          </cell>
          <cell r="B1537" t="str">
            <v>ja</v>
          </cell>
          <cell r="C1537" t="str">
            <v>Cassiopeia02</v>
          </cell>
        </row>
        <row r="1538">
          <cell r="A1538">
            <v>1565</v>
          </cell>
          <cell r="B1538" t="str">
            <v>ja</v>
          </cell>
          <cell r="C1538" t="str">
            <v>Aquila01</v>
          </cell>
        </row>
        <row r="1539">
          <cell r="A1539">
            <v>1566</v>
          </cell>
          <cell r="B1539" t="str">
            <v>ja</v>
          </cell>
          <cell r="C1539" t="str">
            <v>Phoenix01</v>
          </cell>
        </row>
        <row r="1540">
          <cell r="A1540">
            <v>1567</v>
          </cell>
          <cell r="B1540" t="str">
            <v>ja</v>
          </cell>
          <cell r="C1540" t="str">
            <v>Phoenix02</v>
          </cell>
        </row>
        <row r="1541">
          <cell r="A1541">
            <v>1568</v>
          </cell>
          <cell r="B1541" t="str">
            <v>ja</v>
          </cell>
          <cell r="C1541" t="str">
            <v>Orion01</v>
          </cell>
        </row>
        <row r="1542">
          <cell r="A1542">
            <v>1569</v>
          </cell>
          <cell r="B1542" t="str">
            <v>ja</v>
          </cell>
          <cell r="C1542" t="str">
            <v>Orion02</v>
          </cell>
        </row>
        <row r="1543">
          <cell r="A1543">
            <v>1570</v>
          </cell>
          <cell r="B1543" t="str">
            <v>ja</v>
          </cell>
          <cell r="C1543" t="str">
            <v>Centaurus01</v>
          </cell>
        </row>
        <row r="1544">
          <cell r="A1544">
            <v>1571</v>
          </cell>
          <cell r="B1544" t="str">
            <v>ja</v>
          </cell>
          <cell r="C1544" t="str">
            <v>Lupus01</v>
          </cell>
        </row>
        <row r="1545">
          <cell r="A1545">
            <v>1572</v>
          </cell>
          <cell r="B1545" t="str">
            <v>ja</v>
          </cell>
          <cell r="C1545" t="str">
            <v>Lupus02</v>
          </cell>
        </row>
        <row r="1546">
          <cell r="A1546">
            <v>1573</v>
          </cell>
          <cell r="B1546" t="str">
            <v>ja</v>
          </cell>
          <cell r="C1546" t="str">
            <v>Scorpius01</v>
          </cell>
        </row>
        <row r="1547">
          <cell r="A1547">
            <v>1574</v>
          </cell>
          <cell r="B1547" t="str">
            <v>ja</v>
          </cell>
          <cell r="C1547" t="str">
            <v>Cancer01</v>
          </cell>
        </row>
        <row r="1548">
          <cell r="A1548">
            <v>1575</v>
          </cell>
          <cell r="B1548" t="str">
            <v>ja</v>
          </cell>
          <cell r="C1548" t="str">
            <v>Aquarius01</v>
          </cell>
        </row>
        <row r="1549">
          <cell r="A1549">
            <v>1576</v>
          </cell>
          <cell r="B1549" t="str">
            <v>ja</v>
          </cell>
          <cell r="C1549" t="str">
            <v>Aquarius02</v>
          </cell>
        </row>
        <row r="1550">
          <cell r="A1550">
            <v>1577</v>
          </cell>
          <cell r="B1550" t="str">
            <v>ja</v>
          </cell>
          <cell r="C1550" t="str">
            <v>Perseus01</v>
          </cell>
        </row>
        <row r="1551">
          <cell r="A1551">
            <v>1578</v>
          </cell>
          <cell r="B1551" t="str">
            <v>ja</v>
          </cell>
          <cell r="C1551" t="str">
            <v>Hydra01</v>
          </cell>
        </row>
        <row r="1552">
          <cell r="A1552">
            <v>1579</v>
          </cell>
          <cell r="B1552" t="str">
            <v>ja</v>
          </cell>
          <cell r="C1552" t="str">
            <v>Lyra01</v>
          </cell>
        </row>
        <row r="1553">
          <cell r="A1553">
            <v>1580</v>
          </cell>
          <cell r="B1553" t="str">
            <v>ja</v>
          </cell>
          <cell r="C1553" t="str">
            <v>Lyra02</v>
          </cell>
        </row>
        <row r="1554">
          <cell r="A1554">
            <v>1581</v>
          </cell>
          <cell r="B1554" t="str">
            <v>ja</v>
          </cell>
          <cell r="C1554" t="str">
            <v>Gemini01</v>
          </cell>
        </row>
        <row r="1555">
          <cell r="A1555">
            <v>1582</v>
          </cell>
          <cell r="B1555" t="str">
            <v>ja</v>
          </cell>
          <cell r="C1555" t="str">
            <v>Gemini02</v>
          </cell>
        </row>
        <row r="1556">
          <cell r="A1556">
            <v>1583</v>
          </cell>
          <cell r="B1556" t="str">
            <v>ja</v>
          </cell>
          <cell r="C1556" t="str">
            <v>Corvus01</v>
          </cell>
        </row>
        <row r="1557">
          <cell r="A1557">
            <v>1584</v>
          </cell>
          <cell r="B1557" t="str">
            <v>ja</v>
          </cell>
          <cell r="C1557" t="str">
            <v>Sirius01</v>
          </cell>
        </row>
        <row r="1558">
          <cell r="A1558">
            <v>1585</v>
          </cell>
          <cell r="B1558" t="str">
            <v>ja</v>
          </cell>
          <cell r="C1558" t="str">
            <v>Sirius02</v>
          </cell>
        </row>
        <row r="1559">
          <cell r="A1559">
            <v>1586</v>
          </cell>
          <cell r="B1559" t="str">
            <v>ja</v>
          </cell>
          <cell r="C1559" t="str">
            <v>Sirius03</v>
          </cell>
        </row>
        <row r="1560">
          <cell r="A1560">
            <v>1587</v>
          </cell>
          <cell r="B1560" t="str">
            <v>ja</v>
          </cell>
          <cell r="C1560" t="str">
            <v>Virgo01</v>
          </cell>
        </row>
        <row r="1561">
          <cell r="A1561">
            <v>1588</v>
          </cell>
          <cell r="B1561" t="str">
            <v>ja</v>
          </cell>
          <cell r="C1561" t="str">
            <v>Virgo02</v>
          </cell>
        </row>
        <row r="1562">
          <cell r="A1562">
            <v>1603</v>
          </cell>
          <cell r="B1562" t="str">
            <v>ja</v>
          </cell>
          <cell r="C1562" t="str">
            <v>麗貴なる洒落魔 エスタブ</v>
          </cell>
        </row>
        <row r="1563">
          <cell r="A1563">
            <v>1604</v>
          </cell>
          <cell r="B1563" t="str">
            <v>ja</v>
          </cell>
          <cell r="C1563" t="str">
            <v>籠絡する魔戦線 ピノキオ</v>
          </cell>
        </row>
        <row r="1564">
          <cell r="A1564">
            <v>1613</v>
          </cell>
          <cell r="B1564" t="str">
            <v>ja</v>
          </cell>
          <cell r="C1564" t="str">
            <v>ボスA</v>
          </cell>
        </row>
        <row r="1565">
          <cell r="A1565">
            <v>1614</v>
          </cell>
          <cell r="B1565" t="str">
            <v>ja</v>
          </cell>
          <cell r="C1565" t="str">
            <v>ボスB</v>
          </cell>
        </row>
        <row r="1566">
          <cell r="A1566">
            <v>1615</v>
          </cell>
          <cell r="B1566" t="str">
            <v>ja</v>
          </cell>
          <cell r="C1566" t="str">
            <v>ボスC</v>
          </cell>
        </row>
        <row r="1567">
          <cell r="A1567">
            <v>1616</v>
          </cell>
          <cell r="B1567" t="str">
            <v>ja</v>
          </cell>
          <cell r="C1567" t="str">
            <v>空欄</v>
          </cell>
        </row>
        <row r="1568">
          <cell r="A1568">
            <v>1617</v>
          </cell>
          <cell r="B1568" t="str">
            <v>ja</v>
          </cell>
          <cell r="C1568" t="str">
            <v>空欄</v>
          </cell>
        </row>
        <row r="1569">
          <cell r="A1569">
            <v>1618</v>
          </cell>
          <cell r="B1569" t="str">
            <v>ja</v>
          </cell>
          <cell r="C1569" t="str">
            <v>空欄</v>
          </cell>
        </row>
        <row r="1570">
          <cell r="A1570">
            <v>1619</v>
          </cell>
          <cell r="B1570" t="str">
            <v>ja</v>
          </cell>
          <cell r="C1570" t="str">
            <v>空欄</v>
          </cell>
        </row>
        <row r="1571">
          <cell r="A1571">
            <v>1620</v>
          </cell>
          <cell r="B1571" t="str">
            <v>ja</v>
          </cell>
          <cell r="C1571" t="str">
            <v>空欄</v>
          </cell>
        </row>
        <row r="1572">
          <cell r="A1572">
            <v>1621</v>
          </cell>
          <cell r="B1572" t="str">
            <v>ja</v>
          </cell>
          <cell r="C1572" t="str">
            <v>空欄</v>
          </cell>
        </row>
        <row r="1573">
          <cell r="A1573">
            <v>1622</v>
          </cell>
          <cell r="B1573" t="str">
            <v>ja</v>
          </cell>
          <cell r="C1573" t="str">
            <v>空欄</v>
          </cell>
        </row>
        <row r="1574">
          <cell r="A1574">
            <v>1623</v>
          </cell>
          <cell r="B1574" t="str">
            <v>ja</v>
          </cell>
          <cell r="C1574" t="str">
            <v>空欄</v>
          </cell>
        </row>
        <row r="1575">
          <cell r="A1575">
            <v>1624</v>
          </cell>
          <cell r="B1575" t="str">
            <v>ja</v>
          </cell>
          <cell r="C1575" t="str">
            <v>空欄</v>
          </cell>
        </row>
        <row r="1576">
          <cell r="A1576">
            <v>1687</v>
          </cell>
          <cell r="B1576" t="str">
            <v>ja</v>
          </cell>
          <cell r="C1576" t="str">
            <v>ファルネーゼ</v>
          </cell>
        </row>
        <row r="1577">
          <cell r="A1577">
            <v>1688</v>
          </cell>
          <cell r="B1577" t="str">
            <v>ja</v>
          </cell>
          <cell r="C1577" t="str">
            <v>ファルネーゼ・ロッソ</v>
          </cell>
        </row>
        <row r="1578">
          <cell r="A1578">
            <v>1689</v>
          </cell>
          <cell r="B1578" t="str">
            <v>ja</v>
          </cell>
          <cell r="C1578" t="str">
            <v>ファルネーゼ・ヴェルデ</v>
          </cell>
        </row>
        <row r="1579">
          <cell r="A1579">
            <v>1690</v>
          </cell>
          <cell r="B1579" t="str">
            <v>ja</v>
          </cell>
          <cell r="C1579" t="str">
            <v>ファルネーゼ・アズロ</v>
          </cell>
        </row>
        <row r="1580">
          <cell r="A1580">
            <v>1691</v>
          </cell>
          <cell r="B1580" t="str">
            <v>ja</v>
          </cell>
          <cell r="C1580" t="str">
            <v>ファルネーゼ・ジャロ</v>
          </cell>
        </row>
        <row r="1581">
          <cell r="A1581">
            <v>1692</v>
          </cell>
          <cell r="B1581" t="str">
            <v>ja</v>
          </cell>
          <cell r="C1581" t="str">
            <v>ロッソ・ハート</v>
          </cell>
        </row>
        <row r="1582">
          <cell r="A1582">
            <v>1693</v>
          </cell>
          <cell r="B1582" t="str">
            <v>ja</v>
          </cell>
          <cell r="C1582" t="str">
            <v>ヴェルデ・ハート</v>
          </cell>
        </row>
        <row r="1583">
          <cell r="A1583">
            <v>1694</v>
          </cell>
          <cell r="B1583" t="str">
            <v>ja</v>
          </cell>
          <cell r="C1583" t="str">
            <v>アズロ・ハート</v>
          </cell>
        </row>
        <row r="1584">
          <cell r="A1584">
            <v>1695</v>
          </cell>
          <cell r="B1584" t="str">
            <v>ja</v>
          </cell>
          <cell r="C1584" t="str">
            <v>ジャロ・ハート</v>
          </cell>
        </row>
        <row r="1585">
          <cell r="A1585">
            <v>1696</v>
          </cell>
          <cell r="B1585" t="str">
            <v>ja</v>
          </cell>
          <cell r="C1585" t="str">
            <v>ファルネーゼ・コア</v>
          </cell>
        </row>
        <row r="1586">
          <cell r="A1586">
            <v>1697</v>
          </cell>
          <cell r="B1586" t="str">
            <v>ja</v>
          </cell>
          <cell r="C1586" t="str">
            <v>駆動する機会 ガーネット</v>
          </cell>
        </row>
        <row r="1587">
          <cell r="A1587">
            <v>1698</v>
          </cell>
          <cell r="B1587" t="str">
            <v>ja</v>
          </cell>
          <cell r="C1587" t="str">
            <v>炎断の華嫁 ガーネット</v>
          </cell>
        </row>
        <row r="1588">
          <cell r="A1588">
            <v>1699</v>
          </cell>
          <cell r="B1588" t="str">
            <v>ja</v>
          </cell>
          <cell r="C1588" t="str">
            <v>崇高祝言 アマテラス</v>
          </cell>
        </row>
        <row r="1589">
          <cell r="A1589">
            <v>1700</v>
          </cell>
          <cell r="B1589" t="str">
            <v>ja</v>
          </cell>
          <cell r="C1589" t="str">
            <v>大慶総氏神 アマテラス</v>
          </cell>
        </row>
        <row r="1590">
          <cell r="A1590">
            <v>1701</v>
          </cell>
          <cell r="B1590" t="str">
            <v>ja</v>
          </cell>
          <cell r="C1590" t="str">
            <v>蒼嵐の婚戦 フォルトゥナ</v>
          </cell>
        </row>
        <row r="1591">
          <cell r="A1591">
            <v>1702</v>
          </cell>
          <cell r="B1591" t="str">
            <v>ja</v>
          </cell>
          <cell r="C1591" t="str">
            <v>求愛の夢想剣 フォルトゥナ</v>
          </cell>
        </row>
        <row r="1592">
          <cell r="A1592">
            <v>1703</v>
          </cell>
          <cell r="B1592" t="str">
            <v>ja</v>
          </cell>
          <cell r="C1592" t="str">
            <v>可恋なる花乙女 リリィ</v>
          </cell>
        </row>
        <row r="1593">
          <cell r="A1593">
            <v>1704</v>
          </cell>
          <cell r="B1593" t="str">
            <v>ja</v>
          </cell>
          <cell r="C1593" t="str">
            <v>恋焦がす夢乙女 リリィ</v>
          </cell>
        </row>
        <row r="1594">
          <cell r="A1594">
            <v>1705</v>
          </cell>
          <cell r="B1594" t="str">
            <v>ja</v>
          </cell>
          <cell r="C1594" t="str">
            <v>純白の新婦軍 白雪姫</v>
          </cell>
        </row>
        <row r="1595">
          <cell r="A1595">
            <v>1706</v>
          </cell>
          <cell r="B1595" t="str">
            <v>ja</v>
          </cell>
          <cell r="C1595" t="str">
            <v>幸福なる大祝砲 白雪姫</v>
          </cell>
        </row>
        <row r="1596">
          <cell r="A1596">
            <v>1707</v>
          </cell>
          <cell r="B1596" t="str">
            <v>ja</v>
          </cell>
          <cell r="C1596" t="str">
            <v>親愛なる猫嫁神 バステト</v>
          </cell>
        </row>
        <row r="1597">
          <cell r="A1597">
            <v>1708</v>
          </cell>
          <cell r="B1597" t="str">
            <v>ja</v>
          </cell>
          <cell r="C1597" t="str">
            <v>御聖婚の幸猫神 バステト</v>
          </cell>
        </row>
        <row r="1598">
          <cell r="A1598">
            <v>1709</v>
          </cell>
          <cell r="B1598" t="str">
            <v>ja</v>
          </cell>
          <cell r="C1598" t="str">
            <v>情花降る神婦 イズン</v>
          </cell>
        </row>
        <row r="1599">
          <cell r="A1599">
            <v>1710</v>
          </cell>
          <cell r="B1599" t="str">
            <v>ja</v>
          </cell>
          <cell r="C1599" t="str">
            <v>慎愛なる女神の契 イズン</v>
          </cell>
        </row>
        <row r="1600">
          <cell r="A1600">
            <v>1711</v>
          </cell>
          <cell r="B1600" t="str">
            <v>ja</v>
          </cell>
          <cell r="C1600" t="str">
            <v>誓愛求婚の新郎 諸葛亮</v>
          </cell>
        </row>
        <row r="1601">
          <cell r="A1601">
            <v>1712</v>
          </cell>
          <cell r="B1601" t="str">
            <v>ja</v>
          </cell>
          <cell r="C1601" t="str">
            <v>一蓮托生の双環 諸葛亮</v>
          </cell>
        </row>
        <row r="1602">
          <cell r="A1602">
            <v>1713</v>
          </cell>
          <cell r="B1602" t="str">
            <v>ja</v>
          </cell>
          <cell r="C1602" t="str">
            <v>誓約の挙剣 ジークフリート</v>
          </cell>
        </row>
        <row r="1603">
          <cell r="A1603">
            <v>1714</v>
          </cell>
          <cell r="B1603" t="str">
            <v>ja</v>
          </cell>
          <cell r="C1603" t="str">
            <v>仁愛の祝賀剣 ジークフリート</v>
          </cell>
        </row>
        <row r="1604">
          <cell r="A1604">
            <v>1715</v>
          </cell>
          <cell r="B1604" t="str">
            <v>ja</v>
          </cell>
          <cell r="C1604" t="str">
            <v>森歓の祝宴 アマラ</v>
          </cell>
        </row>
        <row r="1605">
          <cell r="A1605">
            <v>1716</v>
          </cell>
          <cell r="B1605" t="str">
            <v>ja</v>
          </cell>
          <cell r="C1605" t="str">
            <v>森婚の祝福祭 アマラ</v>
          </cell>
        </row>
        <row r="1606">
          <cell r="A1606">
            <v>1717</v>
          </cell>
          <cell r="B1606" t="str">
            <v>ja</v>
          </cell>
          <cell r="C1606" t="str">
            <v>ラブリーエンジェル</v>
          </cell>
        </row>
        <row r="1607">
          <cell r="A1607">
            <v>1718</v>
          </cell>
          <cell r="B1607" t="str">
            <v>ja</v>
          </cell>
          <cell r="C1607" t="str">
            <v>マリッジリング</v>
          </cell>
        </row>
        <row r="1608">
          <cell r="A1608">
            <v>1719</v>
          </cell>
          <cell r="B1608" t="str">
            <v>ja</v>
          </cell>
          <cell r="C1608" t="str">
            <v>トゥルー・マリッジリング</v>
          </cell>
        </row>
        <row r="1609">
          <cell r="A1609">
            <v>5001</v>
          </cell>
          <cell r="B1609" t="str">
            <v>ja</v>
          </cell>
          <cell r="C1609" t="str">
            <v>ガルーダ</v>
          </cell>
        </row>
        <row r="1610">
          <cell r="A1610">
            <v>5002</v>
          </cell>
          <cell r="B1610" t="str">
            <v>ja</v>
          </cell>
          <cell r="C1610" t="str">
            <v>光輝する美翼聖鳥 ガルーダ</v>
          </cell>
        </row>
        <row r="1611">
          <cell r="A1611">
            <v>5003</v>
          </cell>
          <cell r="B1611" t="str">
            <v>ja</v>
          </cell>
          <cell r="C1611" t="str">
            <v>ナーガ</v>
          </cell>
        </row>
        <row r="1612">
          <cell r="A1612">
            <v>5004</v>
          </cell>
          <cell r="B1612" t="str">
            <v>ja</v>
          </cell>
          <cell r="C1612" t="str">
            <v>深淵翠緑 ナーガ</v>
          </cell>
        </row>
        <row r="1613">
          <cell r="A1613">
            <v>5005</v>
          </cell>
          <cell r="B1613" t="str">
            <v>ja</v>
          </cell>
          <cell r="C1613" t="str">
            <v>カーミラ</v>
          </cell>
        </row>
        <row r="1614">
          <cell r="A1614">
            <v>5006</v>
          </cell>
          <cell r="B1614" t="str">
            <v>ja</v>
          </cell>
          <cell r="C1614" t="str">
            <v>カーミラ★６</v>
          </cell>
        </row>
        <row r="1615">
          <cell r="A1615">
            <v>5007</v>
          </cell>
          <cell r="B1615" t="str">
            <v>ja</v>
          </cell>
          <cell r="C1615" t="str">
            <v>ヘルシング</v>
          </cell>
        </row>
        <row r="1616">
          <cell r="A1616">
            <v>5008</v>
          </cell>
          <cell r="B1616" t="str">
            <v>ja</v>
          </cell>
          <cell r="C1616" t="str">
            <v>ヘルシング★６</v>
          </cell>
        </row>
        <row r="1617">
          <cell r="A1617">
            <v>5009</v>
          </cell>
          <cell r="B1617" t="str">
            <v>ja</v>
          </cell>
          <cell r="C1617" t="str">
            <v>星の王子様</v>
          </cell>
        </row>
        <row r="1618">
          <cell r="A1618">
            <v>5010</v>
          </cell>
          <cell r="B1618" t="str">
            <v>ja</v>
          </cell>
          <cell r="C1618" t="str">
            <v>星の王子様★６</v>
          </cell>
        </row>
        <row r="1619">
          <cell r="A1619">
            <v>5011</v>
          </cell>
          <cell r="B1619" t="str">
            <v>ja</v>
          </cell>
          <cell r="C1619" t="str">
            <v>サン=テグジュペリ</v>
          </cell>
        </row>
        <row r="1620">
          <cell r="A1620">
            <v>5012</v>
          </cell>
          <cell r="B1620" t="str">
            <v>ja</v>
          </cell>
          <cell r="C1620" t="str">
            <v>サン=テグジュペリ★６</v>
          </cell>
        </row>
        <row r="1621">
          <cell r="A1621">
            <v>6001</v>
          </cell>
          <cell r="B1621" t="str">
            <v>ja</v>
          </cell>
          <cell r="C1621" t="str">
            <v>ジェリー</v>
          </cell>
        </row>
        <row r="1622">
          <cell r="A1622">
            <v>6002</v>
          </cell>
          <cell r="B1622" t="str">
            <v>ja</v>
          </cell>
          <cell r="C1622" t="str">
            <v>ヨシタカ</v>
          </cell>
        </row>
        <row r="1623">
          <cell r="A1623">
            <v>6003</v>
          </cell>
          <cell r="B1623" t="str">
            <v>ja</v>
          </cell>
          <cell r="C1623" t="str">
            <v>朱雀</v>
          </cell>
        </row>
        <row r="1624">
          <cell r="A1624">
            <v>6004</v>
          </cell>
          <cell r="B1624" t="str">
            <v>ja</v>
          </cell>
          <cell r="C1624" t="str">
            <v>ブレット</v>
          </cell>
        </row>
        <row r="1625">
          <cell r="A1625">
            <v>6005</v>
          </cell>
          <cell r="B1625" t="str">
            <v>ja</v>
          </cell>
          <cell r="C1625" t="str">
            <v>孤神 テティス</v>
          </cell>
        </row>
        <row r="1626">
          <cell r="A1626">
            <v>6006</v>
          </cell>
          <cell r="B1626" t="str">
            <v>ja</v>
          </cell>
          <cell r="C1626" t="str">
            <v>海底の孤高神 テティス</v>
          </cell>
        </row>
        <row r="1627">
          <cell r="A1627">
            <v>6007</v>
          </cell>
          <cell r="B1627" t="str">
            <v>ja</v>
          </cell>
          <cell r="C1627" t="str">
            <v>番犬 ケルベロス</v>
          </cell>
        </row>
        <row r="1628">
          <cell r="A1628">
            <v>6008</v>
          </cell>
          <cell r="B1628" t="str">
            <v>ja</v>
          </cell>
          <cell r="C1628" t="str">
            <v>焔神 プロメテウス</v>
          </cell>
        </row>
        <row r="1629">
          <cell r="A1629">
            <v>6009</v>
          </cell>
          <cell r="B1629" t="str">
            <v>ja</v>
          </cell>
          <cell r="C1629" t="str">
            <v>超越自我 ラグランジュ</v>
          </cell>
        </row>
        <row r="1630">
          <cell r="A1630">
            <v>6010</v>
          </cell>
          <cell r="B1630" t="str">
            <v>ja</v>
          </cell>
          <cell r="C1630" t="str">
            <v>超越凌駕 ラグランジュ</v>
          </cell>
        </row>
        <row r="1631">
          <cell r="A1631">
            <v>6011</v>
          </cell>
          <cell r="B1631" t="str">
            <v>ja</v>
          </cell>
          <cell r="C1631" t="str">
            <v>パトドッグリーダー ポチ</v>
          </cell>
        </row>
        <row r="1632">
          <cell r="A1632">
            <v>6012</v>
          </cell>
          <cell r="B1632" t="str">
            <v>ja</v>
          </cell>
          <cell r="C1632" t="str">
            <v>ミミ</v>
          </cell>
        </row>
        <row r="1633">
          <cell r="A1633">
            <v>6013</v>
          </cell>
          <cell r="B1633" t="str">
            <v>ja</v>
          </cell>
          <cell r="C1633" t="str">
            <v>護衛機人 スケアクロウ</v>
          </cell>
        </row>
        <row r="1634">
          <cell r="A1634">
            <v>6014</v>
          </cell>
          <cell r="B1634" t="str">
            <v>ja</v>
          </cell>
          <cell r="C1634" t="str">
            <v>月下の人狼 ローレンス</v>
          </cell>
        </row>
        <row r="1635">
          <cell r="A1635">
            <v>6015</v>
          </cell>
          <cell r="B1635" t="str">
            <v>ja</v>
          </cell>
          <cell r="C1635" t="str">
            <v>フレイヤ</v>
          </cell>
        </row>
        <row r="1636">
          <cell r="A1636">
            <v>6016</v>
          </cell>
          <cell r="B1636" t="str">
            <v>ja</v>
          </cell>
          <cell r="C1636" t="str">
            <v>根原論理 ユークリッド</v>
          </cell>
        </row>
        <row r="1637">
          <cell r="A1637">
            <v>6017</v>
          </cell>
          <cell r="B1637" t="str">
            <v>ja</v>
          </cell>
          <cell r="C1637" t="str">
            <v>不朽の極論 ユークリッド</v>
          </cell>
        </row>
        <row r="1638">
          <cell r="A1638">
            <v>6018</v>
          </cell>
          <cell r="B1638" t="str">
            <v>ja</v>
          </cell>
          <cell r="C1638" t="str">
            <v>ハヅル</v>
          </cell>
        </row>
        <row r="1639">
          <cell r="A1639">
            <v>6019</v>
          </cell>
          <cell r="B1639" t="str">
            <v>ja</v>
          </cell>
          <cell r="C1639" t="str">
            <v>天織羽鶴 ハヅル</v>
          </cell>
        </row>
        <row r="1640">
          <cell r="A1640">
            <v>6020</v>
          </cell>
          <cell r="B1640" t="str">
            <v>ja</v>
          </cell>
          <cell r="C1640" t="str">
            <v>ミズチ</v>
          </cell>
        </row>
        <row r="1641">
          <cell r="A1641">
            <v>8001</v>
          </cell>
          <cell r="B1641" t="str">
            <v>ja</v>
          </cell>
          <cell r="C1641" t="str">
            <v>媽祖</v>
          </cell>
        </row>
        <row r="1642">
          <cell r="A1642">
            <v>8002</v>
          </cell>
          <cell r="B1642" t="str">
            <v>ja</v>
          </cell>
          <cell r="C1642" t="str">
            <v>宣導する天海妃 媽祖</v>
          </cell>
        </row>
        <row r="1643">
          <cell r="A1643">
            <v>8003</v>
          </cell>
          <cell r="B1643" t="str">
            <v>ja</v>
          </cell>
          <cell r="C1643" t="str">
            <v>蛟龍</v>
          </cell>
        </row>
        <row r="1644">
          <cell r="A1644">
            <v>8004</v>
          </cell>
          <cell r="B1644" t="str">
            <v>ja</v>
          </cell>
          <cell r="C1644" t="str">
            <v>呼嵐の蒼棲龍 蛟龍</v>
          </cell>
        </row>
        <row r="1645">
          <cell r="A1645">
            <v>8005</v>
          </cell>
          <cell r="B1645" t="str">
            <v>ja</v>
          </cell>
          <cell r="C1645" t="str">
            <v>三蔵法師</v>
          </cell>
        </row>
        <row r="1646">
          <cell r="A1646">
            <v>8006</v>
          </cell>
          <cell r="B1646" t="str">
            <v>ja</v>
          </cell>
          <cell r="C1646" t="str">
            <v>慈戒の呪封使 三蔵法師</v>
          </cell>
        </row>
        <row r="1647">
          <cell r="A1647">
            <v>8007</v>
          </cell>
          <cell r="B1647" t="str">
            <v>ja</v>
          </cell>
          <cell r="C1647" t="str">
            <v>孫悟空</v>
          </cell>
        </row>
        <row r="1648">
          <cell r="A1648">
            <v>8008</v>
          </cell>
          <cell r="B1648" t="str">
            <v>ja</v>
          </cell>
          <cell r="C1648" t="str">
            <v>花果の天猿仙人 孫悟空</v>
          </cell>
        </row>
        <row r="1649">
          <cell r="A1649">
            <v>8009</v>
          </cell>
          <cell r="B1649" t="str">
            <v>ja</v>
          </cell>
          <cell r="C1649" t="str">
            <v>西王娘娘</v>
          </cell>
        </row>
        <row r="1650">
          <cell r="A1650">
            <v>8010</v>
          </cell>
          <cell r="B1650" t="str">
            <v>ja</v>
          </cell>
          <cell r="C1650" t="str">
            <v>極楽瑶池の聖母 西王娘娘</v>
          </cell>
        </row>
        <row r="1651">
          <cell r="A1651">
            <v>8011</v>
          </cell>
          <cell r="B1651" t="str">
            <v>ja</v>
          </cell>
          <cell r="C1651" t="str">
            <v>月下老人</v>
          </cell>
        </row>
        <row r="1652">
          <cell r="A1652">
            <v>8012</v>
          </cell>
          <cell r="B1652" t="str">
            <v>ja</v>
          </cell>
          <cell r="C1652" t="str">
            <v>破戀斬る縁剣 月下老人</v>
          </cell>
        </row>
        <row r="1653">
          <cell r="A1653">
            <v>8013</v>
          </cell>
          <cell r="B1653" t="str">
            <v>ja</v>
          </cell>
          <cell r="C1653" t="str">
            <v>初音ミクV3</v>
          </cell>
        </row>
        <row r="1654">
          <cell r="A1654">
            <v>8014</v>
          </cell>
          <cell r="B1654" t="str">
            <v>ja</v>
          </cell>
          <cell r="C1654" t="str">
            <v>初音ミクV3</v>
          </cell>
        </row>
        <row r="1655">
          <cell r="A1655">
            <v>8015</v>
          </cell>
          <cell r="B1655" t="str">
            <v>ja</v>
          </cell>
          <cell r="C1655" t="str">
            <v>初音ミク・アペンド</v>
          </cell>
        </row>
        <row r="1656">
          <cell r="A1656">
            <v>8016</v>
          </cell>
          <cell r="B1656" t="str">
            <v>ja</v>
          </cell>
          <cell r="C1656" t="str">
            <v>初音ミク・アペンド</v>
          </cell>
        </row>
        <row r="1657">
          <cell r="A1657">
            <v>8017</v>
          </cell>
          <cell r="B1657" t="str">
            <v>ja</v>
          </cell>
          <cell r="C1657" t="str">
            <v>初音ミク</v>
          </cell>
        </row>
        <row r="1658">
          <cell r="A1658">
            <v>8018</v>
          </cell>
          <cell r="B1658" t="str">
            <v>ja</v>
          </cell>
          <cell r="C1658" t="str">
            <v>初音ミク</v>
          </cell>
        </row>
        <row r="1659">
          <cell r="A1659">
            <v>8019</v>
          </cell>
          <cell r="B1659" t="str">
            <v>ja</v>
          </cell>
          <cell r="C1659" t="str">
            <v>鏡音リン</v>
          </cell>
        </row>
        <row r="1660">
          <cell r="A1660">
            <v>8020</v>
          </cell>
          <cell r="B1660" t="str">
            <v>ja</v>
          </cell>
          <cell r="C1660" t="str">
            <v>鏡音リン</v>
          </cell>
        </row>
        <row r="1661">
          <cell r="A1661">
            <v>8021</v>
          </cell>
          <cell r="B1661" t="str">
            <v>ja</v>
          </cell>
          <cell r="C1661" t="str">
            <v>鏡音レン</v>
          </cell>
        </row>
        <row r="1662">
          <cell r="A1662">
            <v>8022</v>
          </cell>
          <cell r="B1662" t="str">
            <v>ja</v>
          </cell>
          <cell r="C1662" t="str">
            <v>鏡音レン</v>
          </cell>
        </row>
        <row r="1663">
          <cell r="A1663">
            <v>8023</v>
          </cell>
          <cell r="B1663" t="str">
            <v>ja</v>
          </cell>
          <cell r="C1663" t="str">
            <v>巡音ルカ</v>
          </cell>
        </row>
        <row r="1664">
          <cell r="A1664">
            <v>8024</v>
          </cell>
          <cell r="B1664" t="str">
            <v>ja</v>
          </cell>
          <cell r="C1664" t="str">
            <v>巡音ルカ</v>
          </cell>
        </row>
        <row r="1665">
          <cell r="A1665">
            <v>8025</v>
          </cell>
          <cell r="B1665" t="str">
            <v>ja</v>
          </cell>
          <cell r="C1665" t="str">
            <v>MEIKO</v>
          </cell>
        </row>
        <row r="1666">
          <cell r="A1666">
            <v>8026</v>
          </cell>
          <cell r="B1666" t="str">
            <v>ja</v>
          </cell>
          <cell r="C1666" t="str">
            <v>MEIKO</v>
          </cell>
        </row>
        <row r="1667">
          <cell r="A1667">
            <v>8027</v>
          </cell>
          <cell r="B1667" t="str">
            <v>ja</v>
          </cell>
          <cell r="C1667" t="str">
            <v>KAITO</v>
          </cell>
        </row>
        <row r="1668">
          <cell r="A1668">
            <v>8028</v>
          </cell>
          <cell r="B1668" t="str">
            <v>ja</v>
          </cell>
          <cell r="C1668" t="str">
            <v>KAITO</v>
          </cell>
        </row>
        <row r="1669">
          <cell r="A1669">
            <v>8029</v>
          </cell>
          <cell r="B1669" t="str">
            <v>ja</v>
          </cell>
          <cell r="C1669" t="str">
            <v>Expoミク</v>
          </cell>
        </row>
        <row r="1670">
          <cell r="A1670">
            <v>8030</v>
          </cell>
          <cell r="B1670" t="str">
            <v>ja</v>
          </cell>
          <cell r="C1670" t="str">
            <v>Expoミク</v>
          </cell>
        </row>
        <row r="1671">
          <cell r="A1671">
            <v>8031</v>
          </cell>
          <cell r="B1671" t="str">
            <v>ja</v>
          </cell>
          <cell r="C1671" t="str">
            <v>閻羅王</v>
          </cell>
        </row>
        <row r="1672">
          <cell r="A1672">
            <v>8032</v>
          </cell>
          <cell r="B1672" t="str">
            <v>ja</v>
          </cell>
          <cell r="C1672" t="str">
            <v>六道輪廻の絶獄 閻羅王</v>
          </cell>
        </row>
        <row r="1673">
          <cell r="A1673">
            <v>8033</v>
          </cell>
          <cell r="B1673" t="str">
            <v>ja</v>
          </cell>
          <cell r="C1673" t="str">
            <v>牛頭馬面</v>
          </cell>
        </row>
        <row r="1674">
          <cell r="A1674">
            <v>8034</v>
          </cell>
          <cell r="B1674" t="str">
            <v>ja</v>
          </cell>
          <cell r="C1674" t="str">
            <v>冥府狩る魂使 牛頭馬面</v>
          </cell>
        </row>
        <row r="1675">
          <cell r="A1675">
            <v>8035</v>
          </cell>
          <cell r="B1675" t="str">
            <v>ja</v>
          </cell>
          <cell r="C1675" t="str">
            <v>飛衛</v>
          </cell>
        </row>
        <row r="1676">
          <cell r="A1676">
            <v>8036</v>
          </cell>
          <cell r="B1676" t="str">
            <v>ja</v>
          </cell>
          <cell r="C1676" t="str">
            <v>レア６飛衛</v>
          </cell>
        </row>
        <row r="1677">
          <cell r="A1677">
            <v>8037</v>
          </cell>
          <cell r="B1677" t="str">
            <v>ja</v>
          </cell>
          <cell r="C1677" t="str">
            <v>紀昌</v>
          </cell>
        </row>
        <row r="1678">
          <cell r="A1678">
            <v>8038</v>
          </cell>
          <cell r="B1678" t="str">
            <v>ja</v>
          </cell>
          <cell r="C1678" t="str">
            <v>レア６紀昌</v>
          </cell>
        </row>
        <row r="1679">
          <cell r="A1679">
            <v>8039</v>
          </cell>
          <cell r="B1679" t="str">
            <v>ja</v>
          </cell>
          <cell r="C1679" t="str">
            <v>何仙姑</v>
          </cell>
        </row>
        <row r="1680">
          <cell r="A1680">
            <v>8040</v>
          </cell>
          <cell r="B1680" t="str">
            <v>ja</v>
          </cell>
          <cell r="C1680" t="str">
            <v>荷咲く九天 何仙姑</v>
          </cell>
        </row>
        <row r="1681">
          <cell r="A1681">
            <v>8041</v>
          </cell>
          <cell r="B1681" t="str">
            <v>ja</v>
          </cell>
          <cell r="C1681" t="str">
            <v>藍采和</v>
          </cell>
        </row>
        <row r="1682">
          <cell r="A1682">
            <v>8042</v>
          </cell>
          <cell r="B1682" t="str">
            <v>ja</v>
          </cell>
          <cell r="C1682" t="str">
            <v>天真浪漫 藍采和</v>
          </cell>
        </row>
        <row r="1683">
          <cell r="A1683">
            <v>8043</v>
          </cell>
          <cell r="B1683" t="str">
            <v>ja</v>
          </cell>
          <cell r="C1683" t="str">
            <v>サンリオキャラ大集合+アザゼル</v>
          </cell>
        </row>
        <row r="1684">
          <cell r="A1684">
            <v>8044</v>
          </cell>
          <cell r="B1684" t="str">
            <v>ja</v>
          </cell>
          <cell r="C1684" t="str">
            <v>サンリオキャラ大集合+アザゼル</v>
          </cell>
        </row>
        <row r="1685">
          <cell r="A1685">
            <v>8045</v>
          </cell>
          <cell r="B1685" t="str">
            <v>ja</v>
          </cell>
          <cell r="C1685" t="str">
            <v>ニムダ_サンリオキャラ混じり</v>
          </cell>
        </row>
        <row r="1686">
          <cell r="A1686">
            <v>8046</v>
          </cell>
          <cell r="B1686" t="str">
            <v>ja</v>
          </cell>
          <cell r="C1686" t="str">
            <v>ニムダ_サンリオキャラ混じり</v>
          </cell>
        </row>
        <row r="1687">
          <cell r="A1687">
            <v>8047</v>
          </cell>
          <cell r="B1687" t="str">
            <v>ja</v>
          </cell>
          <cell r="C1687" t="str">
            <v>ハローキティ</v>
          </cell>
        </row>
        <row r="1688">
          <cell r="A1688">
            <v>8048</v>
          </cell>
          <cell r="B1688" t="str">
            <v>ja</v>
          </cell>
          <cell r="C1688" t="str">
            <v>ハローキティ</v>
          </cell>
        </row>
        <row r="1689">
          <cell r="A1689">
            <v>8049</v>
          </cell>
          <cell r="B1689" t="str">
            <v>ja</v>
          </cell>
          <cell r="C1689" t="str">
            <v>KIRIMIちゃん</v>
          </cell>
        </row>
        <row r="1690">
          <cell r="A1690">
            <v>8050</v>
          </cell>
          <cell r="B1690" t="str">
            <v>ja</v>
          </cell>
          <cell r="C1690" t="str">
            <v>KIRIMIちゃん</v>
          </cell>
        </row>
        <row r="1691">
          <cell r="A1691">
            <v>8051</v>
          </cell>
          <cell r="B1691" t="str">
            <v>ja</v>
          </cell>
          <cell r="C1691" t="str">
            <v>ハローキティのリボン</v>
          </cell>
        </row>
        <row r="1692">
          <cell r="A1692">
            <v>8052</v>
          </cell>
          <cell r="B1692" t="str">
            <v>ja</v>
          </cell>
          <cell r="C1692" t="str">
            <v>ママの作ったアップルパイ</v>
          </cell>
        </row>
        <row r="1693">
          <cell r="A1693">
            <v>8053</v>
          </cell>
          <cell r="B1693" t="str">
            <v>ja</v>
          </cell>
          <cell r="C1693" t="str">
            <v>D.R.T.H__キティコスプレ</v>
          </cell>
        </row>
        <row r="1694">
          <cell r="A1694">
            <v>8054</v>
          </cell>
          <cell r="B1694" t="str">
            <v>ja</v>
          </cell>
          <cell r="C1694" t="str">
            <v>D.R.T.H__キティコスプレ</v>
          </cell>
        </row>
        <row r="1695">
          <cell r="A1695">
            <v>8055</v>
          </cell>
          <cell r="B1695" t="str">
            <v>ja</v>
          </cell>
          <cell r="C1695" t="str">
            <v>マイメロディ</v>
          </cell>
        </row>
        <row r="1696">
          <cell r="A1696">
            <v>8056</v>
          </cell>
          <cell r="B1696" t="str">
            <v>ja</v>
          </cell>
          <cell r="C1696" t="str">
            <v>マイメロディ</v>
          </cell>
        </row>
        <row r="1697">
          <cell r="A1697">
            <v>8057</v>
          </cell>
          <cell r="B1697" t="str">
            <v>ja</v>
          </cell>
          <cell r="C1697" t="str">
            <v>ニーベルゲン_シナモロールコスプレ</v>
          </cell>
        </row>
        <row r="1698">
          <cell r="A1698">
            <v>8058</v>
          </cell>
          <cell r="B1698" t="str">
            <v>ja</v>
          </cell>
          <cell r="C1698" t="str">
            <v>ニーベルゲン_シナモロールコスプレ</v>
          </cell>
        </row>
        <row r="1699">
          <cell r="A1699">
            <v>8059</v>
          </cell>
          <cell r="B1699" t="str">
            <v>ja</v>
          </cell>
          <cell r="C1699" t="str">
            <v>カカシ_マイメロディコスプレ</v>
          </cell>
        </row>
        <row r="1700">
          <cell r="A1700">
            <v>8060</v>
          </cell>
          <cell r="B1700" t="str">
            <v>ja</v>
          </cell>
          <cell r="C1700" t="str">
            <v>カカシ_マイメロディコスプレ</v>
          </cell>
        </row>
        <row r="1701">
          <cell r="A1701">
            <v>8061</v>
          </cell>
          <cell r="B1701" t="str">
            <v>ja</v>
          </cell>
          <cell r="C1701" t="str">
            <v>ケロケロけろっぴ</v>
          </cell>
        </row>
        <row r="1702">
          <cell r="A1702">
            <v>8062</v>
          </cell>
          <cell r="B1702" t="str">
            <v>ja</v>
          </cell>
          <cell r="C1702" t="str">
            <v>ケロケロけろっぴ</v>
          </cell>
        </row>
        <row r="1703">
          <cell r="A1703">
            <v>8063</v>
          </cell>
          <cell r="B1703" t="str">
            <v>ja</v>
          </cell>
          <cell r="C1703" t="str">
            <v>モルドレッド_ポムポムプリンコスプレ</v>
          </cell>
        </row>
        <row r="1704">
          <cell r="A1704">
            <v>8064</v>
          </cell>
          <cell r="B1704" t="str">
            <v>ja</v>
          </cell>
          <cell r="C1704" t="str">
            <v>モルドレッド_ポムポムプリンコスプレ</v>
          </cell>
        </row>
        <row r="1705">
          <cell r="A1705">
            <v>8065</v>
          </cell>
          <cell r="B1705" t="str">
            <v>ja</v>
          </cell>
          <cell r="C1705" t="str">
            <v>クロミ</v>
          </cell>
        </row>
        <row r="1706">
          <cell r="A1706">
            <v>8066</v>
          </cell>
          <cell r="B1706" t="str">
            <v>ja</v>
          </cell>
          <cell r="C1706" t="str">
            <v>クロミ</v>
          </cell>
        </row>
        <row r="1707">
          <cell r="A1707">
            <v>8067</v>
          </cell>
          <cell r="B1707" t="str">
            <v>ja</v>
          </cell>
          <cell r="C1707" t="str">
            <v>バッドばつ丸</v>
          </cell>
        </row>
        <row r="1708">
          <cell r="A1708">
            <v>8068</v>
          </cell>
          <cell r="B1708" t="str">
            <v>ja</v>
          </cell>
          <cell r="C1708" t="str">
            <v>バッドばつ丸</v>
          </cell>
        </row>
        <row r="1709">
          <cell r="A1709">
            <v>8069</v>
          </cell>
          <cell r="B1709" t="str">
            <v>ja</v>
          </cell>
          <cell r="C1709" t="str">
            <v>シナモロール</v>
          </cell>
        </row>
        <row r="1710">
          <cell r="A1710">
            <v>8070</v>
          </cell>
          <cell r="B1710" t="str">
            <v>ja</v>
          </cell>
          <cell r="C1710" t="str">
            <v>シナモロール</v>
          </cell>
        </row>
        <row r="1711">
          <cell r="A1711">
            <v>8071</v>
          </cell>
          <cell r="B1711" t="str">
            <v>ja</v>
          </cell>
          <cell r="C1711" t="str">
            <v>ポムポムプリン</v>
          </cell>
        </row>
        <row r="1712">
          <cell r="A1712">
            <v>8072</v>
          </cell>
          <cell r="B1712" t="str">
            <v>ja</v>
          </cell>
          <cell r="C1712" t="str">
            <v>ポムポムプリン</v>
          </cell>
        </row>
        <row r="1713">
          <cell r="A1713">
            <v>8073</v>
          </cell>
          <cell r="B1713" t="str">
            <v>ja</v>
          </cell>
          <cell r="C1713" t="str">
            <v>星海祈る天光妃 媽祖</v>
          </cell>
        </row>
        <row r="1714">
          <cell r="A1714">
            <v>8074</v>
          </cell>
          <cell r="B1714" t="str">
            <v>ja</v>
          </cell>
          <cell r="C1714" t="str">
            <v>海戀の絶龍姫 蛟龍</v>
          </cell>
        </row>
        <row r="1715">
          <cell r="A1715">
            <v>8075</v>
          </cell>
          <cell r="B1715" t="str">
            <v>ja</v>
          </cell>
          <cell r="C1715" t="str">
            <v>解脱天の知徳 三蔵法師</v>
          </cell>
        </row>
        <row r="1716">
          <cell r="A1716">
            <v>8076</v>
          </cell>
          <cell r="B1716" t="str">
            <v>ja</v>
          </cell>
          <cell r="C1716" t="str">
            <v>天暴の斉天大聖 孫悟空</v>
          </cell>
        </row>
        <row r="1717">
          <cell r="A1717">
            <v>8077</v>
          </cell>
          <cell r="B1717" t="str">
            <v>ja</v>
          </cell>
          <cell r="C1717" t="str">
            <v>鄭成功</v>
          </cell>
        </row>
        <row r="1718">
          <cell r="A1718">
            <v>8078</v>
          </cell>
          <cell r="B1718" t="str">
            <v>ja</v>
          </cell>
          <cell r="C1718" t="str">
            <v>レア６鄭成功</v>
          </cell>
        </row>
        <row r="1719">
          <cell r="A1719">
            <v>8079</v>
          </cell>
          <cell r="B1719" t="str">
            <v>ja</v>
          </cell>
          <cell r="C1719" t="str">
            <v>赤鬼</v>
          </cell>
        </row>
        <row r="1720">
          <cell r="A1720">
            <v>8080</v>
          </cell>
          <cell r="B1720" t="str">
            <v>ja</v>
          </cell>
          <cell r="C1720" t="str">
            <v>レア６赤鬼</v>
          </cell>
        </row>
        <row r="1721">
          <cell r="A1721">
            <v>8081</v>
          </cell>
          <cell r="B1721" t="str">
            <v>ja</v>
          </cell>
          <cell r="C1721" t="str">
            <v>関羽</v>
          </cell>
        </row>
        <row r="1722">
          <cell r="A1722">
            <v>8082</v>
          </cell>
          <cell r="B1722" t="str">
            <v>ja</v>
          </cell>
          <cell r="C1722" t="str">
            <v>千里突撃 関羽</v>
          </cell>
        </row>
        <row r="1723">
          <cell r="A1723">
            <v>8083</v>
          </cell>
          <cell r="B1723" t="str">
            <v>ja</v>
          </cell>
          <cell r="C1723" t="str">
            <v>曹操</v>
          </cell>
        </row>
        <row r="1724">
          <cell r="A1724">
            <v>8084</v>
          </cell>
          <cell r="B1724" t="str">
            <v>ja</v>
          </cell>
          <cell r="C1724" t="str">
            <v>混沌の覇道行者 曹操</v>
          </cell>
        </row>
        <row r="1725">
          <cell r="A1725">
            <v>8085</v>
          </cell>
          <cell r="B1725" t="str">
            <v>ja</v>
          </cell>
          <cell r="C1725" t="str">
            <v>九霊無上の聖母 西王娘娘</v>
          </cell>
        </row>
        <row r="1726">
          <cell r="A1726">
            <v>8086</v>
          </cell>
          <cell r="B1726" t="str">
            <v>ja</v>
          </cell>
          <cell r="C1726" t="str">
            <v>砕縁の情滅剣 月下老人</v>
          </cell>
        </row>
        <row r="1727">
          <cell r="A1727">
            <v>8087</v>
          </cell>
          <cell r="B1727" t="str">
            <v>ja</v>
          </cell>
          <cell r="C1727" t="str">
            <v>財神</v>
          </cell>
        </row>
        <row r="1728">
          <cell r="A1728">
            <v>8088</v>
          </cell>
          <cell r="B1728" t="str">
            <v>ja</v>
          </cell>
          <cell r="C1728" t="str">
            <v>★６財神</v>
          </cell>
        </row>
        <row r="1729">
          <cell r="A1729">
            <v>8089</v>
          </cell>
          <cell r="B1729" t="str">
            <v>ja</v>
          </cell>
          <cell r="C1729" t="str">
            <v>年獣</v>
          </cell>
        </row>
        <row r="1730">
          <cell r="A1730">
            <v>8090</v>
          </cell>
          <cell r="B1730" t="str">
            <v>ja</v>
          </cell>
          <cell r="C1730" t="str">
            <v>★６年獣</v>
          </cell>
        </row>
        <row r="1731">
          <cell r="A1731">
            <v>8095</v>
          </cell>
          <cell r="B1731" t="str">
            <v>ja</v>
          </cell>
          <cell r="C1731" t="str">
            <v>バハムートダック赤</v>
          </cell>
        </row>
        <row r="1732">
          <cell r="A1732">
            <v>8096</v>
          </cell>
          <cell r="B1732" t="str">
            <v>ja</v>
          </cell>
          <cell r="C1732" t="str">
            <v>バハムートダック緑</v>
          </cell>
        </row>
        <row r="1733">
          <cell r="A1733">
            <v>8097</v>
          </cell>
          <cell r="B1733" t="str">
            <v>ja</v>
          </cell>
          <cell r="C1733" t="str">
            <v>バハムートダック青</v>
          </cell>
        </row>
        <row r="1734">
          <cell r="A1734">
            <v>8098</v>
          </cell>
          <cell r="B1734" t="str">
            <v>ja</v>
          </cell>
          <cell r="C1734" t="str">
            <v>バハムートダック黄</v>
          </cell>
        </row>
        <row r="1735">
          <cell r="A1735">
            <v>8099</v>
          </cell>
          <cell r="B1735" t="str">
            <v>ja</v>
          </cell>
          <cell r="C1735" t="str">
            <v>韓湘子</v>
          </cell>
        </row>
        <row r="1736">
          <cell r="A1736">
            <v>8100</v>
          </cell>
          <cell r="B1736" t="str">
            <v>ja</v>
          </cell>
          <cell r="C1736" t="str">
            <v>韓湘子★６</v>
          </cell>
        </row>
        <row r="1737">
          <cell r="A1737">
            <v>8101</v>
          </cell>
          <cell r="B1737" t="str">
            <v>ja</v>
          </cell>
          <cell r="C1737" t="str">
            <v>張果老</v>
          </cell>
        </row>
        <row r="1738">
          <cell r="A1738">
            <v>8102</v>
          </cell>
          <cell r="B1738" t="str">
            <v>ja</v>
          </cell>
          <cell r="C1738" t="str">
            <v>張果老★６</v>
          </cell>
        </row>
        <row r="1739">
          <cell r="A1739">
            <v>8103</v>
          </cell>
          <cell r="B1739" t="str">
            <v>ja</v>
          </cell>
          <cell r="C1739" t="str">
            <v>李鐵拐</v>
          </cell>
        </row>
        <row r="1740">
          <cell r="A1740">
            <v>8104</v>
          </cell>
          <cell r="B1740" t="str">
            <v>ja</v>
          </cell>
          <cell r="C1740" t="str">
            <v>李鐵拐★６</v>
          </cell>
        </row>
        <row r="1741">
          <cell r="A1741">
            <v>8105</v>
          </cell>
          <cell r="B1741" t="str">
            <v>ja</v>
          </cell>
          <cell r="C1741" t="str">
            <v>曹國舅</v>
          </cell>
        </row>
        <row r="1742">
          <cell r="A1742">
            <v>8106</v>
          </cell>
          <cell r="B1742" t="str">
            <v>ja</v>
          </cell>
          <cell r="C1742" t="str">
            <v>曹國舅★６</v>
          </cell>
        </row>
        <row r="1743">
          <cell r="A1743">
            <v>8111</v>
          </cell>
          <cell r="B1743" t="str">
            <v>ja</v>
          </cell>
          <cell r="C1743" t="str">
            <v>福德正神</v>
          </cell>
        </row>
        <row r="1744">
          <cell r="A1744">
            <v>8112</v>
          </cell>
          <cell r="B1744" t="str">
            <v>ja</v>
          </cell>
          <cell r="C1744" t="str">
            <v>福德正神★６</v>
          </cell>
        </row>
        <row r="1745">
          <cell r="A1745">
            <v>8113</v>
          </cell>
          <cell r="B1745" t="str">
            <v>ja</v>
          </cell>
          <cell r="C1745" t="str">
            <v>孔子</v>
          </cell>
        </row>
        <row r="1746">
          <cell r="A1746">
            <v>8114</v>
          </cell>
          <cell r="B1746" t="str">
            <v>ja</v>
          </cell>
          <cell r="C1746" t="str">
            <v>孔子★６</v>
          </cell>
        </row>
        <row r="1747">
          <cell r="A1747">
            <v>8115</v>
          </cell>
          <cell r="B1747" t="str">
            <v>ja</v>
          </cell>
          <cell r="C1747" t="str">
            <v>贏政</v>
          </cell>
        </row>
        <row r="1748">
          <cell r="A1748">
            <v>8116</v>
          </cell>
          <cell r="B1748" t="str">
            <v>ja</v>
          </cell>
          <cell r="C1748" t="str">
            <v>贏政★６</v>
          </cell>
        </row>
        <row r="1749">
          <cell r="A1749">
            <v>8117</v>
          </cell>
          <cell r="B1749" t="str">
            <v>ja</v>
          </cell>
          <cell r="C1749" t="str">
            <v>白娘子</v>
          </cell>
        </row>
        <row r="1750">
          <cell r="A1750">
            <v>8118</v>
          </cell>
          <cell r="B1750" t="str">
            <v>ja</v>
          </cell>
          <cell r="C1750" t="str">
            <v>白娘子★６</v>
          </cell>
        </row>
        <row r="1751">
          <cell r="A1751">
            <v>8119</v>
          </cell>
          <cell r="B1751" t="str">
            <v>ja</v>
          </cell>
          <cell r="C1751" t="str">
            <v>小青</v>
          </cell>
        </row>
        <row r="1752">
          <cell r="A1752">
            <v>8120</v>
          </cell>
          <cell r="B1752" t="str">
            <v>ja</v>
          </cell>
          <cell r="C1752" t="str">
            <v>小青★６</v>
          </cell>
        </row>
        <row r="1753">
          <cell r="A1753">
            <v>8121</v>
          </cell>
          <cell r="B1753" t="str">
            <v>ja</v>
          </cell>
          <cell r="C1753" t="str">
            <v>法海</v>
          </cell>
        </row>
        <row r="1754">
          <cell r="A1754">
            <v>8122</v>
          </cell>
          <cell r="B1754" t="str">
            <v>ja</v>
          </cell>
          <cell r="C1754" t="str">
            <v>法海★６</v>
          </cell>
        </row>
        <row r="1755">
          <cell r="A1755">
            <v>8123</v>
          </cell>
          <cell r="B1755" t="str">
            <v>ja</v>
          </cell>
          <cell r="C1755" t="str">
            <v>哪吒</v>
          </cell>
        </row>
        <row r="1756">
          <cell r="A1756">
            <v>8124</v>
          </cell>
          <cell r="B1756" t="str">
            <v>ja</v>
          </cell>
          <cell r="C1756" t="str">
            <v>★6哪吒</v>
          </cell>
        </row>
        <row r="1757">
          <cell r="A1757">
            <v>8125</v>
          </cell>
          <cell r="B1757" t="str">
            <v>ja</v>
          </cell>
          <cell r="C1757" t="str">
            <v>東海龍王</v>
          </cell>
        </row>
        <row r="1758">
          <cell r="A1758">
            <v>8126</v>
          </cell>
          <cell r="B1758" t="str">
            <v>ja</v>
          </cell>
          <cell r="C1758" t="str">
            <v>★6東海龍王</v>
          </cell>
        </row>
        <row r="1759">
          <cell r="A1759">
            <v>8127</v>
          </cell>
          <cell r="B1759" t="str">
            <v>ja</v>
          </cell>
          <cell r="C1759" t="str">
            <v>鐵扇公主 ‧ 羅剎女</v>
          </cell>
        </row>
        <row r="1760">
          <cell r="A1760">
            <v>8128</v>
          </cell>
          <cell r="B1760" t="str">
            <v>ja</v>
          </cell>
          <cell r="C1760" t="str">
            <v>聖賢哲者 ‧ 唐三藏</v>
          </cell>
        </row>
        <row r="1761">
          <cell r="A1761">
            <v>8129</v>
          </cell>
          <cell r="B1761" t="str">
            <v>ja</v>
          </cell>
          <cell r="C1761" t="str">
            <v>放任孽魔 ‧ 撒旦</v>
          </cell>
        </row>
        <row r="1762">
          <cell r="A1762">
            <v>8130</v>
          </cell>
          <cell r="B1762" t="str">
            <v>ja</v>
          </cell>
          <cell r="C1762" t="str">
            <v>變臉火術 ‧ 切西亞</v>
          </cell>
        </row>
        <row r="1763">
          <cell r="A1763">
            <v>8131</v>
          </cell>
          <cell r="B1763" t="str">
            <v>ja</v>
          </cell>
          <cell r="C1763" t="str">
            <v>預知者之歷劫 ‧ 卡珊德拉</v>
          </cell>
        </row>
        <row r="1764">
          <cell r="A1764">
            <v>8132</v>
          </cell>
          <cell r="B1764" t="str">
            <v>ja</v>
          </cell>
          <cell r="C1764" t="str">
            <v>罪與責之承諾 ‧ 美狄亞</v>
          </cell>
        </row>
        <row r="1765">
          <cell r="A1765">
            <v>8133</v>
          </cell>
          <cell r="B1765" t="str">
            <v>ja</v>
          </cell>
          <cell r="C1765" t="str">
            <v>大魔導士 ‧ 莫莉</v>
          </cell>
        </row>
        <row r="1766">
          <cell r="A1766">
            <v>8134</v>
          </cell>
          <cell r="B1766" t="str">
            <v>ja</v>
          </cell>
          <cell r="C1766" t="str">
            <v>龍焰騎士 ‧ 肖恩</v>
          </cell>
        </row>
        <row r="1767">
          <cell r="A1767">
            <v>8135</v>
          </cell>
          <cell r="B1767" t="str">
            <v>ja</v>
          </cell>
          <cell r="C1767" t="str">
            <v>混沌之翼 ‧ 路西法</v>
          </cell>
        </row>
        <row r="1768">
          <cell r="A1768">
            <v>8136</v>
          </cell>
          <cell r="B1768" t="str">
            <v>ja</v>
          </cell>
          <cell r="C1768" t="str">
            <v>混沌之翼 ‧ 路西法★6</v>
          </cell>
        </row>
        <row r="1769">
          <cell r="A1769">
            <v>8137</v>
          </cell>
          <cell r="B1769" t="str">
            <v>ja</v>
          </cell>
          <cell r="C1769" t="str">
            <v>黑巫術之疚惡 ‧ 喀耳刻</v>
          </cell>
        </row>
        <row r="1770">
          <cell r="A1770">
            <v>8138</v>
          </cell>
          <cell r="B1770" t="str">
            <v>ja</v>
          </cell>
          <cell r="C1770" t="str">
            <v>死靈魔導 ‧ 安多</v>
          </cell>
        </row>
        <row r="1771">
          <cell r="A1771">
            <v>9001</v>
          </cell>
          <cell r="B1771" t="str">
            <v>ja</v>
          </cell>
          <cell r="C1771" t="str">
            <v>春香</v>
          </cell>
        </row>
        <row r="1772">
          <cell r="A1772">
            <v>9002</v>
          </cell>
          <cell r="B1772" t="str">
            <v>ja</v>
          </cell>
          <cell r="C1772" t="str">
            <v>春香★６</v>
          </cell>
        </row>
        <row r="1773">
          <cell r="A1773">
            <v>9003</v>
          </cell>
          <cell r="B1773" t="str">
            <v>ja</v>
          </cell>
          <cell r="C1773" t="str">
            <v>夢龍</v>
          </cell>
        </row>
        <row r="1774">
          <cell r="A1774">
            <v>9004</v>
          </cell>
          <cell r="B1774" t="str">
            <v>ja</v>
          </cell>
          <cell r="C1774" t="str">
            <v>夢龍★６</v>
          </cell>
        </row>
        <row r="1775">
          <cell r="A1775">
            <v>9005</v>
          </cell>
          <cell r="B1775" t="str">
            <v>ja</v>
          </cell>
          <cell r="C1775" t="str">
            <v>降臨</v>
          </cell>
        </row>
        <row r="1776">
          <cell r="A1776">
            <v>9006</v>
          </cell>
          <cell r="B1776" t="str">
            <v>ja</v>
          </cell>
          <cell r="C1776" t="str">
            <v>降臨★６</v>
          </cell>
        </row>
        <row r="1777">
          <cell r="A1777">
            <v>9007</v>
          </cell>
          <cell r="B1777" t="str">
            <v>ja</v>
          </cell>
          <cell r="C1777" t="str">
            <v>田禹治</v>
          </cell>
        </row>
        <row r="1778">
          <cell r="A1778">
            <v>9008</v>
          </cell>
          <cell r="B1778" t="str">
            <v>ja</v>
          </cell>
          <cell r="C1778" t="str">
            <v>田禹治★６</v>
          </cell>
        </row>
        <row r="1779">
          <cell r="A1779">
            <v>9009</v>
          </cell>
          <cell r="B1779" t="str">
            <v>ja</v>
          </cell>
          <cell r="C1779" t="str">
            <v>薔花</v>
          </cell>
        </row>
        <row r="1780">
          <cell r="A1780">
            <v>9010</v>
          </cell>
          <cell r="B1780" t="str">
            <v>ja</v>
          </cell>
          <cell r="C1780" t="str">
            <v>薔花★６</v>
          </cell>
        </row>
        <row r="1781">
          <cell r="A1781">
            <v>9011</v>
          </cell>
          <cell r="B1781" t="str">
            <v>ja</v>
          </cell>
          <cell r="C1781" t="str">
            <v>紅蓮</v>
          </cell>
        </row>
        <row r="1782">
          <cell r="A1782">
            <v>9012</v>
          </cell>
          <cell r="B1782" t="str">
            <v>ja</v>
          </cell>
          <cell r="C1782" t="str">
            <v>紅蓮★６</v>
          </cell>
        </row>
        <row r="1783">
          <cell r="A1783">
            <v>10001</v>
          </cell>
          <cell r="B1783" t="str">
            <v>ja</v>
          </cell>
          <cell r="C1783" t="str">
            <v>テストユニット01</v>
          </cell>
        </row>
        <row r="1784">
          <cell r="A1784">
            <v>10002</v>
          </cell>
          <cell r="B1784" t="str">
            <v>ja</v>
          </cell>
          <cell r="C1784" t="str">
            <v>テストユニット02</v>
          </cell>
        </row>
        <row r="1785">
          <cell r="A1785">
            <v>10003</v>
          </cell>
          <cell r="B1785" t="str">
            <v>ja</v>
          </cell>
          <cell r="C1785" t="str">
            <v>テストユニット03</v>
          </cell>
        </row>
        <row r="1786">
          <cell r="A1786">
            <v>10004</v>
          </cell>
          <cell r="B1786" t="str">
            <v>ja</v>
          </cell>
          <cell r="C1786" t="str">
            <v>テストユニット04</v>
          </cell>
        </row>
        <row r="1787">
          <cell r="A1787">
            <v>10005</v>
          </cell>
          <cell r="B1787" t="str">
            <v>ja</v>
          </cell>
          <cell r="C1787" t="str">
            <v>テストユニット05</v>
          </cell>
        </row>
        <row r="1788">
          <cell r="A1788">
            <v>10006</v>
          </cell>
          <cell r="B1788" t="str">
            <v>ja</v>
          </cell>
          <cell r="C1788" t="str">
            <v>テストユニット06</v>
          </cell>
        </row>
        <row r="1789">
          <cell r="A1789">
            <v>10007</v>
          </cell>
          <cell r="B1789" t="str">
            <v>ja</v>
          </cell>
          <cell r="C1789" t="str">
            <v>テストユニット07</v>
          </cell>
        </row>
        <row r="1790">
          <cell r="A1790">
            <v>10008</v>
          </cell>
          <cell r="B1790" t="str">
            <v>ja</v>
          </cell>
          <cell r="C1790" t="str">
            <v>テストユニット08</v>
          </cell>
        </row>
        <row r="1791">
          <cell r="A1791">
            <v>10009</v>
          </cell>
          <cell r="B1791" t="str">
            <v>ja</v>
          </cell>
          <cell r="C1791" t="str">
            <v>青テスト01</v>
          </cell>
        </row>
        <row r="1792">
          <cell r="A1792">
            <v>10010</v>
          </cell>
          <cell r="B1792" t="str">
            <v>ja</v>
          </cell>
          <cell r="C1792" t="str">
            <v>赤テスト01</v>
          </cell>
        </row>
        <row r="1793">
          <cell r="A1793">
            <v>10011</v>
          </cell>
          <cell r="B1793" t="str">
            <v>ja</v>
          </cell>
          <cell r="C1793" t="str">
            <v>テストユニット11</v>
          </cell>
        </row>
        <row r="1794">
          <cell r="A1794">
            <v>10012</v>
          </cell>
          <cell r="B1794" t="str">
            <v>ja</v>
          </cell>
          <cell r="C1794" t="str">
            <v>レイドテストユニット青</v>
          </cell>
        </row>
        <row r="1795">
          <cell r="A1795">
            <v>10013</v>
          </cell>
          <cell r="B1795" t="str">
            <v>ja</v>
          </cell>
          <cell r="C1795" t="str">
            <v>テストユニット13</v>
          </cell>
        </row>
        <row r="1796">
          <cell r="A1796">
            <v>10014</v>
          </cell>
          <cell r="B1796" t="str">
            <v>ja</v>
          </cell>
          <cell r="C1796" t="str">
            <v>テストユニット14</v>
          </cell>
        </row>
        <row r="1797">
          <cell r="A1797">
            <v>10015</v>
          </cell>
          <cell r="B1797" t="str">
            <v>ja</v>
          </cell>
          <cell r="C1797" t="str">
            <v>テストユニット15</v>
          </cell>
        </row>
        <row r="1798">
          <cell r="A1798">
            <v>10016</v>
          </cell>
          <cell r="B1798" t="str">
            <v>ja</v>
          </cell>
          <cell r="C1798" t="str">
            <v>テストユニット16</v>
          </cell>
        </row>
        <row r="1799">
          <cell r="A1799">
            <v>10017</v>
          </cell>
          <cell r="B1799" t="str">
            <v>ja</v>
          </cell>
          <cell r="C1799" t="str">
            <v>テストユニット17</v>
          </cell>
        </row>
        <row r="1800">
          <cell r="A1800">
            <v>10018</v>
          </cell>
          <cell r="B1800" t="str">
            <v>ja</v>
          </cell>
          <cell r="C1800" t="str">
            <v>テストユニット18</v>
          </cell>
        </row>
        <row r="1801">
          <cell r="A1801">
            <v>10019</v>
          </cell>
          <cell r="B1801" t="str">
            <v>ja</v>
          </cell>
          <cell r="C1801" t="str">
            <v>テストユニット19</v>
          </cell>
        </row>
        <row r="1802">
          <cell r="A1802">
            <v>10020</v>
          </cell>
          <cell r="B1802" t="str">
            <v>ja</v>
          </cell>
          <cell r="C1802" t="str">
            <v>テストユニット20</v>
          </cell>
        </row>
        <row r="1803">
          <cell r="A1803">
            <v>10021</v>
          </cell>
          <cell r="B1803" t="str">
            <v>ja</v>
          </cell>
          <cell r="C1803" t="str">
            <v>テストユニット21</v>
          </cell>
        </row>
        <row r="1804">
          <cell r="A1804">
            <v>10022</v>
          </cell>
          <cell r="B1804" t="str">
            <v>ja</v>
          </cell>
          <cell r="C1804" t="str">
            <v>テストユニット22</v>
          </cell>
        </row>
        <row r="1805">
          <cell r="A1805">
            <v>10023</v>
          </cell>
          <cell r="B1805" t="str">
            <v>ja</v>
          </cell>
          <cell r="C1805" t="str">
            <v>テストユニット23</v>
          </cell>
        </row>
        <row r="1806">
          <cell r="A1806">
            <v>10024</v>
          </cell>
          <cell r="B1806" t="str">
            <v>ja</v>
          </cell>
          <cell r="C1806" t="str">
            <v>テストユニット24</v>
          </cell>
        </row>
        <row r="1807">
          <cell r="A1807">
            <v>10025</v>
          </cell>
          <cell r="B1807" t="str">
            <v>ja</v>
          </cell>
          <cell r="C1807" t="str">
            <v>テストユニット25</v>
          </cell>
        </row>
        <row r="1808">
          <cell r="A1808">
            <v>10026</v>
          </cell>
          <cell r="B1808" t="str">
            <v>ja</v>
          </cell>
          <cell r="C1808" t="str">
            <v>テストユニット26</v>
          </cell>
        </row>
        <row r="1809">
          <cell r="A1809">
            <v>10027</v>
          </cell>
          <cell r="B1809" t="str">
            <v>ja</v>
          </cell>
          <cell r="C1809" t="str">
            <v>テストユニット27</v>
          </cell>
        </row>
        <row r="1810">
          <cell r="A1810">
            <v>10028</v>
          </cell>
          <cell r="B1810" t="str">
            <v>ja</v>
          </cell>
          <cell r="C1810" t="str">
            <v>テストユニット28</v>
          </cell>
        </row>
        <row r="1811">
          <cell r="A1811">
            <v>10029</v>
          </cell>
          <cell r="B1811" t="str">
            <v>ja</v>
          </cell>
          <cell r="C1811" t="str">
            <v>テストユニット29</v>
          </cell>
        </row>
        <row r="1812">
          <cell r="A1812">
            <v>10030</v>
          </cell>
          <cell r="B1812" t="str">
            <v>ja</v>
          </cell>
          <cell r="C1812" t="str">
            <v>テストユニット30</v>
          </cell>
        </row>
        <row r="1813">
          <cell r="A1813">
            <v>10031</v>
          </cell>
          <cell r="B1813" t="str">
            <v>ja</v>
          </cell>
          <cell r="C1813" t="str">
            <v>テストユニット31</v>
          </cell>
        </row>
        <row r="1814">
          <cell r="A1814">
            <v>10032</v>
          </cell>
          <cell r="B1814" t="str">
            <v>ja</v>
          </cell>
          <cell r="C1814" t="str">
            <v>テストユニット32</v>
          </cell>
        </row>
        <row r="1815">
          <cell r="A1815">
            <v>10033</v>
          </cell>
          <cell r="B1815" t="str">
            <v>ja</v>
          </cell>
          <cell r="C1815" t="str">
            <v>テストユニット33</v>
          </cell>
        </row>
        <row r="1816">
          <cell r="A1816">
            <v>10034</v>
          </cell>
          <cell r="B1816" t="str">
            <v>ja</v>
          </cell>
          <cell r="C1816" t="str">
            <v>テストユニット34</v>
          </cell>
        </row>
        <row r="1817">
          <cell r="A1817">
            <v>10035</v>
          </cell>
          <cell r="B1817" t="str">
            <v>ja</v>
          </cell>
          <cell r="C1817" t="str">
            <v>テストユニット35</v>
          </cell>
        </row>
        <row r="1818">
          <cell r="A1818">
            <v>10036</v>
          </cell>
          <cell r="B1818" t="str">
            <v>ja</v>
          </cell>
          <cell r="C1818" t="str">
            <v>テストユニット36</v>
          </cell>
        </row>
        <row r="1819">
          <cell r="A1819">
            <v>10037</v>
          </cell>
          <cell r="B1819" t="str">
            <v>ja</v>
          </cell>
          <cell r="C1819" t="str">
            <v>テストユニット37</v>
          </cell>
        </row>
        <row r="1820">
          <cell r="A1820">
            <v>10038</v>
          </cell>
          <cell r="B1820" t="str">
            <v>ja</v>
          </cell>
          <cell r="C1820" t="str">
            <v>テストユニット38</v>
          </cell>
        </row>
        <row r="1821">
          <cell r="A1821">
            <v>10039</v>
          </cell>
          <cell r="B1821" t="str">
            <v>ja</v>
          </cell>
          <cell r="C1821" t="str">
            <v>テストユニット39</v>
          </cell>
        </row>
        <row r="1822">
          <cell r="A1822">
            <v>10040</v>
          </cell>
          <cell r="B1822" t="str">
            <v>ja</v>
          </cell>
          <cell r="C1822" t="str">
            <v>テストユニット40</v>
          </cell>
        </row>
        <row r="1823">
          <cell r="A1823">
            <v>10041</v>
          </cell>
          <cell r="B1823" t="str">
            <v>ja</v>
          </cell>
          <cell r="C1823" t="str">
            <v>テストユニット41</v>
          </cell>
        </row>
        <row r="1824">
          <cell r="A1824">
            <v>10042</v>
          </cell>
          <cell r="B1824" t="str">
            <v>ja</v>
          </cell>
          <cell r="C1824" t="str">
            <v>テストユニット42</v>
          </cell>
        </row>
        <row r="1825">
          <cell r="A1825">
            <v>10043</v>
          </cell>
          <cell r="B1825" t="str">
            <v>ja</v>
          </cell>
          <cell r="C1825" t="str">
            <v>テストユニット43</v>
          </cell>
        </row>
        <row r="1826">
          <cell r="A1826">
            <v>10044</v>
          </cell>
          <cell r="B1826" t="str">
            <v>ja</v>
          </cell>
          <cell r="C1826" t="str">
            <v>テストユニット44</v>
          </cell>
        </row>
        <row r="1827">
          <cell r="A1827">
            <v>10045</v>
          </cell>
          <cell r="B1827" t="str">
            <v>ja</v>
          </cell>
          <cell r="C1827" t="str">
            <v>テストユニット45</v>
          </cell>
        </row>
        <row r="1828">
          <cell r="A1828">
            <v>10046</v>
          </cell>
          <cell r="B1828" t="str">
            <v>ja</v>
          </cell>
          <cell r="C1828" t="str">
            <v>テストユニット46</v>
          </cell>
        </row>
        <row r="1829">
          <cell r="A1829">
            <v>10047</v>
          </cell>
          <cell r="B1829" t="str">
            <v>ja</v>
          </cell>
          <cell r="C1829" t="str">
            <v>テストユニット47</v>
          </cell>
        </row>
        <row r="1830">
          <cell r="A1830">
            <v>10048</v>
          </cell>
          <cell r="B1830" t="str">
            <v>ja</v>
          </cell>
          <cell r="C1830" t="str">
            <v>テストユニット48</v>
          </cell>
        </row>
        <row r="1831">
          <cell r="A1831">
            <v>10049</v>
          </cell>
          <cell r="B1831" t="str">
            <v>ja</v>
          </cell>
          <cell r="C1831" t="str">
            <v>テストユニット49</v>
          </cell>
        </row>
        <row r="1832">
          <cell r="A1832">
            <v>10050</v>
          </cell>
          <cell r="B1832" t="str">
            <v>ja</v>
          </cell>
          <cell r="C1832" t="str">
            <v>テストユニット50</v>
          </cell>
        </row>
        <row r="1833">
          <cell r="A1833">
            <v>10051</v>
          </cell>
          <cell r="B1833" t="str">
            <v>ja</v>
          </cell>
          <cell r="C1833" t="str">
            <v>テストユニット51</v>
          </cell>
        </row>
        <row r="1834">
          <cell r="A1834">
            <v>10052</v>
          </cell>
          <cell r="B1834" t="str">
            <v>ja</v>
          </cell>
          <cell r="C1834" t="str">
            <v>テストユニット52</v>
          </cell>
        </row>
        <row r="1835">
          <cell r="A1835">
            <v>10053</v>
          </cell>
          <cell r="B1835" t="str">
            <v>ja</v>
          </cell>
          <cell r="C1835" t="str">
            <v>テストユニット53</v>
          </cell>
        </row>
        <row r="1836">
          <cell r="A1836">
            <v>10054</v>
          </cell>
          <cell r="B1836" t="str">
            <v>ja</v>
          </cell>
          <cell r="C1836" t="str">
            <v>テストユニット54</v>
          </cell>
        </row>
        <row r="1837">
          <cell r="A1837">
            <v>10055</v>
          </cell>
          <cell r="B1837" t="str">
            <v>ja</v>
          </cell>
          <cell r="C1837" t="str">
            <v>テストユニット55</v>
          </cell>
        </row>
        <row r="1838">
          <cell r="A1838">
            <v>10056</v>
          </cell>
          <cell r="B1838" t="str">
            <v>ja</v>
          </cell>
          <cell r="C1838" t="str">
            <v>テストユニット56</v>
          </cell>
        </row>
        <row r="1839">
          <cell r="A1839">
            <v>10057</v>
          </cell>
          <cell r="B1839" t="str">
            <v>ja</v>
          </cell>
          <cell r="C1839" t="str">
            <v>テストユニット57</v>
          </cell>
        </row>
        <row r="1840">
          <cell r="A1840">
            <v>10058</v>
          </cell>
          <cell r="B1840" t="str">
            <v>ja</v>
          </cell>
          <cell r="C1840" t="str">
            <v>テストユニット58</v>
          </cell>
        </row>
        <row r="1841">
          <cell r="A1841">
            <v>10059</v>
          </cell>
          <cell r="B1841" t="str">
            <v>ja</v>
          </cell>
          <cell r="C1841" t="str">
            <v>テストユニット59</v>
          </cell>
        </row>
        <row r="1842">
          <cell r="A1842">
            <v>10060</v>
          </cell>
          <cell r="B1842" t="str">
            <v>ja</v>
          </cell>
          <cell r="C1842" t="str">
            <v>テストユニット60</v>
          </cell>
        </row>
        <row r="1843">
          <cell r="A1843">
            <v>10061</v>
          </cell>
          <cell r="B1843" t="str">
            <v>ja</v>
          </cell>
          <cell r="C1843" t="str">
            <v>テストユニット61</v>
          </cell>
        </row>
        <row r="1844">
          <cell r="A1844">
            <v>10062</v>
          </cell>
          <cell r="B1844" t="str">
            <v>ja</v>
          </cell>
          <cell r="C1844" t="str">
            <v>テストユニット62</v>
          </cell>
        </row>
        <row r="1845">
          <cell r="A1845">
            <v>10063</v>
          </cell>
          <cell r="B1845" t="str">
            <v>ja</v>
          </cell>
          <cell r="C1845" t="str">
            <v>テストユニット63</v>
          </cell>
        </row>
        <row r="1846">
          <cell r="A1846">
            <v>10064</v>
          </cell>
          <cell r="B1846" t="str">
            <v>ja</v>
          </cell>
          <cell r="C1846" t="str">
            <v>テストユニット64</v>
          </cell>
        </row>
        <row r="1847">
          <cell r="A1847">
            <v>10065</v>
          </cell>
          <cell r="B1847" t="str">
            <v>ja</v>
          </cell>
          <cell r="C1847" t="str">
            <v>テストユニット65</v>
          </cell>
        </row>
        <row r="1848">
          <cell r="A1848">
            <v>10066</v>
          </cell>
          <cell r="B1848" t="str">
            <v>ja</v>
          </cell>
          <cell r="C1848" t="str">
            <v>テストユニット66</v>
          </cell>
        </row>
        <row r="1849">
          <cell r="A1849">
            <v>10067</v>
          </cell>
          <cell r="B1849" t="str">
            <v>ja</v>
          </cell>
          <cell r="C1849" t="str">
            <v>テストユニット67</v>
          </cell>
        </row>
        <row r="1850">
          <cell r="A1850">
            <v>10068</v>
          </cell>
          <cell r="B1850" t="str">
            <v>ja</v>
          </cell>
          <cell r="C1850" t="str">
            <v>テストユニット68</v>
          </cell>
        </row>
        <row r="1851">
          <cell r="A1851">
            <v>10069</v>
          </cell>
          <cell r="B1851" t="str">
            <v>ja</v>
          </cell>
          <cell r="C1851" t="str">
            <v>テストユニット69</v>
          </cell>
        </row>
        <row r="1852">
          <cell r="A1852">
            <v>10070</v>
          </cell>
          <cell r="B1852" t="str">
            <v>ja</v>
          </cell>
          <cell r="C1852" t="str">
            <v>テストユニット70</v>
          </cell>
        </row>
        <row r="1853">
          <cell r="A1853">
            <v>10071</v>
          </cell>
          <cell r="B1853" t="str">
            <v>ja</v>
          </cell>
          <cell r="C1853" t="str">
            <v>テストユニット71</v>
          </cell>
        </row>
        <row r="1854">
          <cell r="A1854">
            <v>10072</v>
          </cell>
          <cell r="B1854" t="str">
            <v>ja</v>
          </cell>
          <cell r="C1854" t="str">
            <v>テストユニット72</v>
          </cell>
        </row>
        <row r="1855">
          <cell r="A1855">
            <v>10073</v>
          </cell>
          <cell r="B1855" t="str">
            <v>ja</v>
          </cell>
          <cell r="C1855" t="str">
            <v>テストユニット73</v>
          </cell>
        </row>
        <row r="1856">
          <cell r="A1856">
            <v>10074</v>
          </cell>
          <cell r="B1856" t="str">
            <v>ja</v>
          </cell>
          <cell r="C1856" t="str">
            <v>テストユニット74</v>
          </cell>
        </row>
        <row r="1857">
          <cell r="A1857">
            <v>10075</v>
          </cell>
          <cell r="B1857" t="str">
            <v>ja</v>
          </cell>
          <cell r="C1857" t="str">
            <v>テストユニット75</v>
          </cell>
        </row>
        <row r="1858">
          <cell r="A1858">
            <v>10076</v>
          </cell>
          <cell r="B1858" t="str">
            <v>ja</v>
          </cell>
          <cell r="C1858" t="str">
            <v>テストユニット76</v>
          </cell>
        </row>
        <row r="1859">
          <cell r="A1859">
            <v>10077</v>
          </cell>
          <cell r="B1859" t="str">
            <v>ja</v>
          </cell>
          <cell r="C1859" t="str">
            <v>テストユニット77</v>
          </cell>
        </row>
        <row r="1860">
          <cell r="A1860">
            <v>10078</v>
          </cell>
          <cell r="B1860" t="str">
            <v>ja</v>
          </cell>
          <cell r="C1860" t="str">
            <v>テストユニット78</v>
          </cell>
        </row>
        <row r="1861">
          <cell r="A1861">
            <v>10079</v>
          </cell>
          <cell r="B1861" t="str">
            <v>ja</v>
          </cell>
          <cell r="C1861" t="str">
            <v>テストユニット79</v>
          </cell>
        </row>
        <row r="1862">
          <cell r="A1862">
            <v>10080</v>
          </cell>
          <cell r="B1862" t="str">
            <v>ja</v>
          </cell>
          <cell r="C1862" t="str">
            <v>テストユニット80</v>
          </cell>
        </row>
        <row r="1863">
          <cell r="A1863">
            <v>10081</v>
          </cell>
          <cell r="B1863" t="str">
            <v>ja</v>
          </cell>
          <cell r="C1863" t="str">
            <v>テストユニット81</v>
          </cell>
        </row>
        <row r="1864">
          <cell r="A1864">
            <v>10082</v>
          </cell>
          <cell r="B1864" t="str">
            <v>ja</v>
          </cell>
          <cell r="C1864" t="str">
            <v>テストユニット82</v>
          </cell>
        </row>
        <row r="1865">
          <cell r="A1865">
            <v>10083</v>
          </cell>
          <cell r="B1865" t="str">
            <v>ja</v>
          </cell>
          <cell r="C1865" t="str">
            <v>テストユニット83</v>
          </cell>
        </row>
        <row r="1866">
          <cell r="A1866">
            <v>10084</v>
          </cell>
          <cell r="B1866" t="str">
            <v>ja</v>
          </cell>
          <cell r="C1866" t="str">
            <v>テストユニット84</v>
          </cell>
        </row>
        <row r="1867">
          <cell r="A1867">
            <v>10085</v>
          </cell>
          <cell r="B1867" t="str">
            <v>ja</v>
          </cell>
          <cell r="C1867" t="str">
            <v>テストユニット85</v>
          </cell>
        </row>
        <row r="1868">
          <cell r="A1868">
            <v>10086</v>
          </cell>
          <cell r="B1868" t="str">
            <v>ja</v>
          </cell>
          <cell r="C1868" t="str">
            <v>テストユニット86</v>
          </cell>
        </row>
        <row r="1869">
          <cell r="A1869">
            <v>10087</v>
          </cell>
          <cell r="B1869" t="str">
            <v>ja</v>
          </cell>
          <cell r="C1869" t="str">
            <v>テストユニット87</v>
          </cell>
        </row>
        <row r="1870">
          <cell r="A1870">
            <v>10088</v>
          </cell>
          <cell r="B1870" t="str">
            <v>ja</v>
          </cell>
          <cell r="C1870" t="str">
            <v>テストユニット88</v>
          </cell>
        </row>
        <row r="1871">
          <cell r="A1871">
            <v>10089</v>
          </cell>
          <cell r="B1871" t="str">
            <v>ja</v>
          </cell>
          <cell r="C1871" t="str">
            <v>テストユニット89</v>
          </cell>
        </row>
        <row r="1872">
          <cell r="A1872">
            <v>10090</v>
          </cell>
          <cell r="B1872" t="str">
            <v>ja</v>
          </cell>
          <cell r="C1872" t="str">
            <v>テストユニット90</v>
          </cell>
        </row>
        <row r="1873">
          <cell r="A1873">
            <v>10101</v>
          </cell>
          <cell r="B1873" t="str">
            <v>ja</v>
          </cell>
          <cell r="C1873" t="str">
            <v>Usagi-kun</v>
          </cell>
        </row>
        <row r="1874">
          <cell r="A1874">
            <v>10102</v>
          </cell>
          <cell r="B1874" t="str">
            <v>ja</v>
          </cell>
          <cell r="C1874" t="str">
            <v>ローズ</v>
          </cell>
        </row>
        <row r="1875">
          <cell r="A1875">
            <v>10103</v>
          </cell>
          <cell r="B1875" t="str">
            <v>ja</v>
          </cell>
          <cell r="C1875" t="str">
            <v>ローズ</v>
          </cell>
        </row>
      </sheetData>
      <sheetData sheetId="4">
        <row r="1">
          <cell r="A1" t="str">
            <v>character_type_id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タイプなし</v>
          </cell>
          <cell r="D2">
            <v>0</v>
          </cell>
          <cell r="E2">
            <v>0</v>
          </cell>
          <cell r="F2">
            <v>0</v>
          </cell>
          <cell r="G2">
            <v>0</v>
          </cell>
          <cell r="H2">
            <v>0</v>
          </cell>
        </row>
        <row r="3">
          <cell r="A3" t="str">
            <v>attack</v>
          </cell>
          <cell r="B3" t="str">
            <v>ja</v>
          </cell>
          <cell r="C3" t="str">
            <v>攻撃タイプ</v>
          </cell>
          <cell r="D3">
            <v>1</v>
          </cell>
          <cell r="E3">
            <v>1.33</v>
          </cell>
          <cell r="F3">
            <v>1</v>
          </cell>
          <cell r="G3">
            <v>0.67</v>
          </cell>
          <cell r="H3">
            <v>3</v>
          </cell>
        </row>
        <row r="4">
          <cell r="A4" t="str">
            <v>balance</v>
          </cell>
          <cell r="B4" t="str">
            <v>ja</v>
          </cell>
          <cell r="C4" t="str">
            <v>バランスタイプ</v>
          </cell>
          <cell r="D4">
            <v>1</v>
          </cell>
          <cell r="E4">
            <v>1</v>
          </cell>
          <cell r="F4">
            <v>1</v>
          </cell>
          <cell r="G4">
            <v>1</v>
          </cell>
          <cell r="H4">
            <v>3</v>
          </cell>
        </row>
        <row r="5">
          <cell r="A5" t="str">
            <v>hp</v>
          </cell>
          <cell r="B5" t="str">
            <v>ja</v>
          </cell>
          <cell r="C5" t="str">
            <v>体力タイプ</v>
          </cell>
          <cell r="D5">
            <v>1.45</v>
          </cell>
          <cell r="E5">
            <v>0.85</v>
          </cell>
          <cell r="F5">
            <v>1</v>
          </cell>
          <cell r="G5">
            <v>0.7</v>
          </cell>
          <cell r="H5">
            <v>3</v>
          </cell>
        </row>
        <row r="6">
          <cell r="A6" t="str">
            <v>technical</v>
          </cell>
          <cell r="B6" t="str">
            <v>ja</v>
          </cell>
          <cell r="C6" t="str">
            <v>テクニカルタイプ</v>
          </cell>
          <cell r="D6">
            <v>0.9</v>
          </cell>
          <cell r="E6">
            <v>0.9</v>
          </cell>
          <cell r="F6">
            <v>1</v>
          </cell>
          <cell r="G6">
            <v>0.9</v>
          </cell>
          <cell r="H6">
            <v>2.7</v>
          </cell>
        </row>
        <row r="7">
          <cell r="A7" t="str">
            <v>heal</v>
          </cell>
          <cell r="B7" t="str">
            <v>ja</v>
          </cell>
          <cell r="C7" t="str">
            <v>回復タイプ</v>
          </cell>
          <cell r="D7">
            <v>0.8</v>
          </cell>
          <cell r="E7">
            <v>0.78</v>
          </cell>
          <cell r="F7">
            <v>1</v>
          </cell>
          <cell r="G7">
            <v>1.42</v>
          </cell>
          <cell r="H7">
            <v>3</v>
          </cell>
        </row>
        <row r="8">
          <cell r="A8" t="str">
            <v>exp</v>
          </cell>
          <cell r="B8" t="str">
            <v>ja</v>
          </cell>
          <cell r="C8" t="str">
            <v>強化素材タイプ</v>
          </cell>
          <cell r="D8">
            <v>0.1</v>
          </cell>
          <cell r="E8">
            <v>0.05</v>
          </cell>
          <cell r="F8">
            <v>1</v>
          </cell>
          <cell r="G8">
            <v>0.05</v>
          </cell>
          <cell r="H8">
            <v>0.2</v>
          </cell>
        </row>
        <row r="9">
          <cell r="A9" t="str">
            <v>evolution</v>
          </cell>
          <cell r="B9" t="str">
            <v>ja</v>
          </cell>
          <cell r="C9" t="str">
            <v>覚醒素材タイプ</v>
          </cell>
          <cell r="D9">
            <v>0.1</v>
          </cell>
          <cell r="E9">
            <v>0.05</v>
          </cell>
          <cell r="F9">
            <v>1</v>
          </cell>
          <cell r="G9">
            <v>0.05</v>
          </cell>
          <cell r="H9">
            <v>0.2</v>
          </cell>
        </row>
        <row r="10">
          <cell r="A10" t="str">
            <v>coin</v>
          </cell>
          <cell r="B10" t="str">
            <v>ja</v>
          </cell>
          <cell r="C10" t="str">
            <v>コインタイプ</v>
          </cell>
          <cell r="D10">
            <v>0.1</v>
          </cell>
          <cell r="E10">
            <v>0.05</v>
          </cell>
          <cell r="F10">
            <v>1</v>
          </cell>
          <cell r="G10">
            <v>0.05</v>
          </cell>
          <cell r="H10">
            <v>0.2</v>
          </cell>
        </row>
        <row r="11">
          <cell r="A11" t="str">
            <v>limitbreak</v>
          </cell>
          <cell r="B11" t="str">
            <v>ja</v>
          </cell>
          <cell r="C11" t="str">
            <v>限界突破素材</v>
          </cell>
          <cell r="D11">
            <v>0.1</v>
          </cell>
          <cell r="E11">
            <v>0.05</v>
          </cell>
          <cell r="F11">
            <v>1</v>
          </cell>
          <cell r="G11">
            <v>0.05</v>
          </cell>
          <cell r="H11">
            <v>0.2</v>
          </cell>
        </row>
        <row r="12">
          <cell r="A12" t="str">
            <v>skilllevel</v>
          </cell>
          <cell r="B12" t="str">
            <v>ja</v>
          </cell>
          <cell r="C12" t="str">
            <v>スキルレベル素材</v>
          </cell>
          <cell r="D12">
            <v>0.1</v>
          </cell>
          <cell r="E12">
            <v>0.05</v>
          </cell>
          <cell r="F12">
            <v>1</v>
          </cell>
          <cell r="G12">
            <v>0.05</v>
          </cell>
          <cell r="H12">
            <v>0.2</v>
          </cell>
        </row>
        <row r="13">
          <cell r="A13" t="str">
            <v>dr</v>
          </cell>
          <cell r="B13" t="str">
            <v>ja</v>
          </cell>
          <cell r="C13" t="str">
            <v>デュラララ!!</v>
          </cell>
          <cell r="D13">
            <v>1</v>
          </cell>
          <cell r="E13">
            <v>1</v>
          </cell>
          <cell r="F13">
            <v>1</v>
          </cell>
          <cell r="G13">
            <v>1</v>
          </cell>
          <cell r="H13">
            <v>3</v>
          </cell>
        </row>
        <row r="14">
          <cell r="A14" t="str">
            <v>ra</v>
          </cell>
          <cell r="B14" t="str">
            <v>ja</v>
          </cell>
          <cell r="C14" t="str">
            <v>ラグランジュチャレンジ</v>
          </cell>
          <cell r="D14">
            <v>1</v>
          </cell>
          <cell r="E14">
            <v>1</v>
          </cell>
          <cell r="F14">
            <v>1</v>
          </cell>
          <cell r="G14">
            <v>1</v>
          </cell>
          <cell r="H14">
            <v>3</v>
          </cell>
        </row>
        <row r="15">
          <cell r="A15" t="str">
            <v>ra002</v>
          </cell>
          <cell r="B15" t="str">
            <v>ja</v>
          </cell>
          <cell r="C15" t="str">
            <v>ユークリッドチャレンジ</v>
          </cell>
          <cell r="D15">
            <v>1</v>
          </cell>
          <cell r="E15">
            <v>1</v>
          </cell>
          <cell r="F15">
            <v>1</v>
          </cell>
          <cell r="G15">
            <v>1</v>
          </cell>
          <cell r="H15">
            <v>3</v>
          </cell>
        </row>
      </sheetData>
      <sheetData sheetId="5">
        <row r="1">
          <cell r="A1" t="str">
            <v>character_tribe_id</v>
          </cell>
          <cell r="B1" t="str">
            <v>language</v>
          </cell>
          <cell r="C1" t="str">
            <v>name</v>
          </cell>
          <cell r="D1" t="str">
            <v>HP係数</v>
          </cell>
          <cell r="E1" t="str">
            <v>攻撃係数</v>
          </cell>
          <cell r="F1" t="str">
            <v>防御係数</v>
          </cell>
          <cell r="G1" t="str">
            <v>回復係数</v>
          </cell>
          <cell r="H1" t="str">
            <v>重み付け評価</v>
          </cell>
        </row>
        <row r="2">
          <cell r="A2" t="str">
            <v>none</v>
          </cell>
          <cell r="B2" t="str">
            <v>ja</v>
          </cell>
          <cell r="C2" t="str">
            <v>種族なし</v>
          </cell>
          <cell r="D2">
            <v>0</v>
          </cell>
          <cell r="E2">
            <v>0</v>
          </cell>
          <cell r="F2">
            <v>0</v>
          </cell>
          <cell r="G2">
            <v>0</v>
          </cell>
          <cell r="H2">
            <v>0</v>
          </cell>
        </row>
        <row r="3">
          <cell r="A3" t="str">
            <v>human</v>
          </cell>
          <cell r="B3" t="str">
            <v>ja</v>
          </cell>
          <cell r="C3" t="str">
            <v>ヒューマン</v>
          </cell>
          <cell r="D3">
            <v>0.94</v>
          </cell>
          <cell r="E3">
            <v>0.99</v>
          </cell>
          <cell r="F3">
            <v>1</v>
          </cell>
          <cell r="G3">
            <v>1.07</v>
          </cell>
          <cell r="H3">
            <v>3</v>
          </cell>
        </row>
        <row r="4">
          <cell r="A4" t="str">
            <v>animal</v>
          </cell>
          <cell r="B4" t="str">
            <v>ja</v>
          </cell>
          <cell r="C4" t="str">
            <v>アニマル</v>
          </cell>
          <cell r="D4">
            <v>1</v>
          </cell>
          <cell r="E4">
            <v>1.1000000000000001</v>
          </cell>
          <cell r="F4">
            <v>1</v>
          </cell>
          <cell r="G4">
            <v>0.9</v>
          </cell>
          <cell r="H4">
            <v>3</v>
          </cell>
        </row>
        <row r="5">
          <cell r="A5" t="str">
            <v>dragon</v>
          </cell>
          <cell r="B5" t="str">
            <v>ja</v>
          </cell>
          <cell r="C5" t="str">
            <v>ドラゴン</v>
          </cell>
          <cell r="D5">
            <v>1.1499999999999999</v>
          </cell>
          <cell r="E5">
            <v>1.1000000000000001</v>
          </cell>
          <cell r="F5">
            <v>1</v>
          </cell>
          <cell r="G5">
            <v>0.75</v>
          </cell>
          <cell r="H5">
            <v>3</v>
          </cell>
        </row>
        <row r="6">
          <cell r="A6" t="str">
            <v>machine</v>
          </cell>
          <cell r="B6" t="str">
            <v>ja</v>
          </cell>
          <cell r="C6" t="str">
            <v>マシン</v>
          </cell>
          <cell r="D6">
            <v>1</v>
          </cell>
          <cell r="E6">
            <v>1</v>
          </cell>
          <cell r="F6">
            <v>1</v>
          </cell>
          <cell r="G6">
            <v>1</v>
          </cell>
          <cell r="H6">
            <v>3</v>
          </cell>
        </row>
        <row r="7">
          <cell r="A7" t="str">
            <v>god</v>
          </cell>
          <cell r="B7" t="str">
            <v>ja</v>
          </cell>
          <cell r="C7" t="str">
            <v>ゴッド</v>
          </cell>
          <cell r="D7">
            <v>0.96</v>
          </cell>
          <cell r="E7">
            <v>1.02</v>
          </cell>
          <cell r="F7">
            <v>1</v>
          </cell>
          <cell r="G7">
            <v>1.02</v>
          </cell>
          <cell r="H7">
            <v>3</v>
          </cell>
        </row>
        <row r="8">
          <cell r="A8" t="str">
            <v>unknown</v>
          </cell>
          <cell r="B8" t="str">
            <v>ja</v>
          </cell>
          <cell r="C8" t="str">
            <v>Unknown</v>
          </cell>
          <cell r="D8">
            <v>1</v>
          </cell>
          <cell r="E8">
            <v>1</v>
          </cell>
          <cell r="F8">
            <v>1</v>
          </cell>
          <cell r="G8">
            <v>1</v>
          </cell>
          <cell r="H8">
            <v>3</v>
          </cell>
        </row>
        <row r="9">
          <cell r="A9" t="str">
            <v>samurai</v>
          </cell>
          <cell r="B9" t="str">
            <v>ja</v>
          </cell>
          <cell r="C9" t="str">
            <v>サムライ</v>
          </cell>
          <cell r="D9">
            <v>1</v>
          </cell>
          <cell r="E9">
            <v>1</v>
          </cell>
          <cell r="F9">
            <v>1</v>
          </cell>
          <cell r="G9">
            <v>1</v>
          </cell>
          <cell r="H9">
            <v>3</v>
          </cell>
        </row>
        <row r="10">
          <cell r="A10" t="str">
            <v>academia</v>
          </cell>
          <cell r="B10" t="str">
            <v>ja</v>
          </cell>
          <cell r="C10" t="str">
            <v>アカデミア</v>
          </cell>
          <cell r="D10">
            <v>1</v>
          </cell>
          <cell r="E10">
            <v>1</v>
          </cell>
          <cell r="F10">
            <v>1</v>
          </cell>
          <cell r="G10">
            <v>1</v>
          </cell>
          <cell r="H10">
            <v>3</v>
          </cell>
        </row>
        <row r="11">
          <cell r="A11" t="str">
            <v>insect</v>
          </cell>
          <cell r="B11" t="str">
            <v>ja</v>
          </cell>
          <cell r="C11" t="str">
            <v>インセクト</v>
          </cell>
          <cell r="D11">
            <v>1</v>
          </cell>
          <cell r="E11">
            <v>1</v>
          </cell>
          <cell r="F11">
            <v>1</v>
          </cell>
          <cell r="G11">
            <v>1</v>
          </cell>
          <cell r="H11">
            <v>3</v>
          </cell>
        </row>
        <row r="12">
          <cell r="A12" t="str">
            <v>weapon</v>
          </cell>
          <cell r="B12" t="str">
            <v>ja</v>
          </cell>
          <cell r="C12" t="str">
            <v>ウェポン</v>
          </cell>
          <cell r="D12">
            <v>1</v>
          </cell>
          <cell r="E12">
            <v>1</v>
          </cell>
          <cell r="F12">
            <v>1</v>
          </cell>
          <cell r="G12">
            <v>1</v>
          </cell>
          <cell r="H12">
            <v>3</v>
          </cell>
        </row>
        <row r="13">
          <cell r="A13" t="str">
            <v>ti</v>
          </cell>
          <cell r="B13" t="str">
            <v>ja</v>
          </cell>
          <cell r="C13" t="str">
            <v>t</v>
          </cell>
          <cell r="D13">
            <v>1</v>
          </cell>
          <cell r="E13">
            <v>1</v>
          </cell>
          <cell r="F13">
            <v>1</v>
          </cell>
          <cell r="G13">
            <v>1</v>
          </cell>
          <cell r="H13">
            <v>3</v>
          </cell>
        </row>
        <row r="14">
          <cell r="A14" t="str">
            <v>ss</v>
          </cell>
          <cell r="B14" t="str">
            <v>ja</v>
          </cell>
          <cell r="C14" t="str">
            <v>サンリオキャラクターズ</v>
          </cell>
          <cell r="D14">
            <v>1</v>
          </cell>
          <cell r="E14">
            <v>1</v>
          </cell>
          <cell r="F14">
            <v>1</v>
          </cell>
          <cell r="G14">
            <v>1</v>
          </cell>
          <cell r="H14">
            <v>3</v>
          </cell>
        </row>
        <row r="15">
          <cell r="A15" t="str">
            <v>hero</v>
          </cell>
          <cell r="B15" t="str">
            <v>ja</v>
          </cell>
          <cell r="C15" t="str">
            <v>ヒーロー</v>
          </cell>
          <cell r="D15">
            <v>1</v>
          </cell>
          <cell r="E15">
            <v>1</v>
          </cell>
          <cell r="F15">
            <v>1</v>
          </cell>
          <cell r="G15">
            <v>1</v>
          </cell>
          <cell r="H15">
            <v>3</v>
          </cell>
        </row>
        <row r="16">
          <cell r="A16" t="str">
            <v>demon</v>
          </cell>
          <cell r="B16" t="str">
            <v>ja</v>
          </cell>
          <cell r="C16" t="str">
            <v>デーモン</v>
          </cell>
          <cell r="D16">
            <v>1</v>
          </cell>
          <cell r="E16">
            <v>1</v>
          </cell>
          <cell r="F16">
            <v>1</v>
          </cell>
          <cell r="G16">
            <v>1</v>
          </cell>
          <cell r="H16">
            <v>3</v>
          </cell>
        </row>
        <row r="17">
          <cell r="A17" t="str">
            <v>queen</v>
          </cell>
          <cell r="B17" t="str">
            <v>ja</v>
          </cell>
          <cell r="C17" t="str">
            <v>QUEEN</v>
          </cell>
          <cell r="D17">
            <v>1</v>
          </cell>
          <cell r="E17">
            <v>1</v>
          </cell>
          <cell r="F17">
            <v>1</v>
          </cell>
          <cell r="G17">
            <v>1</v>
          </cell>
          <cell r="H17">
            <v>3</v>
          </cell>
        </row>
        <row r="18">
          <cell r="A18" t="str">
            <v>fantasy</v>
          </cell>
          <cell r="B18" t="str">
            <v>ja</v>
          </cell>
          <cell r="C18" t="str">
            <v>ファンタジー</v>
          </cell>
          <cell r="D18">
            <v>1</v>
          </cell>
          <cell r="E18">
            <v>1</v>
          </cell>
          <cell r="F18">
            <v>1</v>
          </cell>
          <cell r="G18">
            <v>1</v>
          </cell>
          <cell r="H18">
            <v>3</v>
          </cell>
        </row>
        <row r="19">
          <cell r="A19" t="str">
            <v>orochi</v>
          </cell>
          <cell r="B19" t="str">
            <v>ja</v>
          </cell>
          <cell r="C19" t="str">
            <v>オロチ一族</v>
          </cell>
          <cell r="D19">
            <v>1</v>
          </cell>
          <cell r="E19">
            <v>1</v>
          </cell>
          <cell r="F19">
            <v>1</v>
          </cell>
          <cell r="G19">
            <v>1</v>
          </cell>
          <cell r="H19">
            <v>3</v>
          </cell>
        </row>
      </sheetData>
      <sheetData sheetId="6"/>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ステータス理論値幅"/>
      <sheetName val="fork_awake_units"/>
      <sheetName val="fork_awake_materials"/>
      <sheetName val="awake_material_habitats"/>
      <sheetName val="awake_material_habitats_manual"/>
      <sheetName val="ビット"/>
    </sheetNames>
    <sheetDataSet>
      <sheetData sheetId="0"/>
      <sheetData sheetId="1"/>
      <sheetData sheetId="2">
        <row r="1">
          <cell r="A1" t="str">
            <v>character_id</v>
          </cell>
        </row>
      </sheetData>
      <sheetData sheetId="3"/>
      <sheetData sheetId="4"/>
      <sheetData sheetId="5"/>
      <sheetData sheetId="6">
        <row r="2">
          <cell r="A2" t="str">
            <v>レアレリティ</v>
          </cell>
          <cell r="B2" t="str">
            <v>金額</v>
          </cell>
        </row>
        <row r="3">
          <cell r="A3">
            <v>1</v>
          </cell>
          <cell r="B3">
            <v>5000</v>
          </cell>
        </row>
        <row r="4">
          <cell r="A4">
            <v>2</v>
          </cell>
          <cell r="B4">
            <v>10000</v>
          </cell>
        </row>
        <row r="5">
          <cell r="A5">
            <v>3</v>
          </cell>
          <cell r="B5">
            <v>20000</v>
          </cell>
        </row>
        <row r="6">
          <cell r="A6">
            <v>4</v>
          </cell>
          <cell r="B6">
            <v>50000</v>
          </cell>
        </row>
        <row r="7">
          <cell r="A7">
            <v>5</v>
          </cell>
          <cell r="B7">
            <v>200000</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abilities"/>
      <sheetName val="ability_基礎設計"/>
      <sheetName val="unit_abilities"/>
      <sheetName val="文言管理シート"/>
      <sheetName val="Sheet1"/>
      <sheetName val="アビリティ分類分け"/>
    </sheetNames>
    <sheetDataSet>
      <sheetData sheetId="0"/>
      <sheetData sheetId="1">
        <row r="1">
          <cell r="A1" t="str">
            <v>ability_id</v>
          </cell>
          <cell r="B1" t="str">
            <v>language</v>
          </cell>
          <cell r="C1" t="str">
            <v>name</v>
          </cell>
          <cell r="D1" t="str">
            <v>comment</v>
          </cell>
        </row>
        <row r="2">
          <cell r="A2">
            <v>100</v>
          </cell>
          <cell r="B2" t="str">
            <v>ja</v>
          </cell>
          <cell r="C2" t="str">
            <v>プロテクトブレイク</v>
          </cell>
          <cell r="D2" t="str">
            <v>自身が先頭の時、プロテクトを無視してパネル破壊できる</v>
          </cell>
        </row>
        <row r="3">
          <cell r="A3">
            <v>101</v>
          </cell>
          <cell r="B3" t="str">
            <v>ja</v>
          </cell>
          <cell r="C3" t="str">
            <v>プロテクトブレイクS(仮)</v>
          </cell>
          <cell r="D3" t="str">
            <v>自身が先頭の時、プロテクトを無視してパネル破壊できる</v>
          </cell>
        </row>
        <row r="4">
          <cell r="A4">
            <v>102</v>
          </cell>
          <cell r="B4" t="str">
            <v>ja</v>
          </cell>
          <cell r="C4" t="str">
            <v>プロテクトブレイク</v>
          </cell>
          <cell r="D4" t="str">
            <v>自身が先頭の時、プロテクトを無視してパネル破壊できる</v>
          </cell>
        </row>
        <row r="5">
          <cell r="A5">
            <v>103</v>
          </cell>
          <cell r="B5" t="str">
            <v>ja</v>
          </cell>
          <cell r="C5" t="str">
            <v>お邪魔ブレイク</v>
          </cell>
          <cell r="D5" t="str">
            <v>自身が先頭の時、お邪魔パネルを破壊できる</v>
          </cell>
        </row>
        <row r="6">
          <cell r="A6">
            <v>104</v>
          </cell>
          <cell r="B6" t="str">
            <v>ja</v>
          </cell>
          <cell r="C6" t="str">
            <v>お邪魔ブレイク</v>
          </cell>
          <cell r="D6" t="str">
            <v>自身が先頭の時、お邪魔パネルを破壊できる</v>
          </cell>
        </row>
        <row r="7">
          <cell r="A7">
            <v>105</v>
          </cell>
          <cell r="B7" t="str">
            <v>ja</v>
          </cell>
          <cell r="C7" t="str">
            <v>お邪魔ブレイク</v>
          </cell>
          <cell r="D7" t="str">
            <v>自身が先頭の時、お邪魔パネルを破壊できる</v>
          </cell>
        </row>
        <row r="8">
          <cell r="A8">
            <v>106</v>
          </cell>
          <cell r="B8" t="str">
            <v>ja</v>
          </cell>
          <cell r="C8" t="str">
            <v>時限式ブレイク</v>
          </cell>
          <cell r="D8" t="str">
            <v>自身が先頭の時、時限式ダメージパネルを直接破壊できる</v>
          </cell>
        </row>
        <row r="9">
          <cell r="A9">
            <v>107</v>
          </cell>
          <cell r="B9" t="str">
            <v>ja</v>
          </cell>
          <cell r="C9" t="str">
            <v>時限式ブレイク</v>
          </cell>
          <cell r="D9" t="str">
            <v>自身が先頭の時、時限式ダメージパネルを直接破壊できる</v>
          </cell>
        </row>
        <row r="10">
          <cell r="A10">
            <v>108</v>
          </cell>
          <cell r="B10" t="str">
            <v>ja</v>
          </cell>
          <cell r="C10" t="str">
            <v>時限式ブレイク</v>
          </cell>
          <cell r="D10" t="str">
            <v>自身が先頭の時、時限式ダメージパネルを直接破壊できる</v>
          </cell>
        </row>
        <row r="11">
          <cell r="A11">
            <v>109</v>
          </cell>
          <cell r="B11" t="str">
            <v>ja</v>
          </cell>
          <cell r="C11" t="str">
            <v>ダメージパネルブレイク</v>
          </cell>
          <cell r="D11" t="str">
            <v>自身が先頭の時、ダメージを受けずにダメージパネルを破壊できる</v>
          </cell>
        </row>
        <row r="12">
          <cell r="A12">
            <v>150</v>
          </cell>
          <cell r="B12" t="str">
            <v>ja</v>
          </cell>
          <cell r="C12" t="str">
            <v>フィーバー90 プロテクトブレイク</v>
          </cell>
          <cell r="D12" t="str">
            <v>自身が先頭でフィーバーゲージが90％以上の時、プロテクトを無視してパネル破壊できる</v>
          </cell>
        </row>
        <row r="13">
          <cell r="A13">
            <v>151</v>
          </cell>
          <cell r="B13" t="str">
            <v>ja</v>
          </cell>
          <cell r="C13" t="str">
            <v>フィーバー20以下 お邪魔ブレイク</v>
          </cell>
          <cell r="D13" t="str">
            <v>自身が先頭でフィーバーゲージが20％以下の時、お邪魔パネルを破壊できる</v>
          </cell>
        </row>
        <row r="14">
          <cell r="A14">
            <v>152</v>
          </cell>
          <cell r="B14" t="str">
            <v>ja</v>
          </cell>
          <cell r="C14" t="str">
            <v>HP50%以上 お邪魔ブレイク</v>
          </cell>
          <cell r="D14" t="str">
            <v>自身が先頭の時、残りHPが50%以上でお邪魔パネルを破壊できる</v>
          </cell>
        </row>
        <row r="15">
          <cell r="A15">
            <v>200</v>
          </cell>
          <cell r="B15" t="str">
            <v>ja</v>
          </cell>
          <cell r="C15" t="str">
            <v>ウィルス無効</v>
          </cell>
          <cell r="D15" t="str">
            <v>自身にかかるウィルスを無効化する</v>
          </cell>
        </row>
        <row r="16">
          <cell r="A16">
            <v>201</v>
          </cell>
          <cell r="B16" t="str">
            <v>ja</v>
          </cell>
          <cell r="C16" t="str">
            <v>スキルバインド無効</v>
          </cell>
          <cell r="D16" t="str">
            <v>自身にかかるスキルバインドを無効化する</v>
          </cell>
        </row>
        <row r="17">
          <cell r="A17">
            <v>202</v>
          </cell>
          <cell r="B17" t="str">
            <v>ja</v>
          </cell>
          <cell r="C17" t="str">
            <v>スリープ無効</v>
          </cell>
          <cell r="D17" t="str">
            <v>自身にかかるスリープを無効化する</v>
          </cell>
        </row>
        <row r="18">
          <cell r="A18">
            <v>203</v>
          </cell>
          <cell r="B18" t="str">
            <v>ja</v>
          </cell>
          <cell r="C18" t="str">
            <v>爆風軽減無効</v>
          </cell>
          <cell r="D18" t="str">
            <v>自身が先頭の時、爆風軽減を無効化する</v>
          </cell>
        </row>
        <row r="19">
          <cell r="A19">
            <v>204</v>
          </cell>
          <cell r="B19" t="str">
            <v>ja</v>
          </cell>
          <cell r="C19" t="str">
            <v>爆風強化</v>
          </cell>
          <cell r="D19" t="str">
            <v>自身が先頭の時、ボムの爆風を強化する</v>
          </cell>
        </row>
        <row r="20">
          <cell r="A20">
            <v>205</v>
          </cell>
          <cell r="B20" t="str">
            <v>ja</v>
          </cell>
          <cell r="C20" t="str">
            <v>ハート無効化耐性</v>
          </cell>
          <cell r="D20" t="str">
            <v>自身が先頭の時、ハート無効化の影響を受けない</v>
          </cell>
        </row>
        <row r="21">
          <cell r="A21">
            <v>206</v>
          </cell>
          <cell r="B21" t="str">
            <v>ja</v>
          </cell>
          <cell r="C21" t="str">
            <v>赤・緑パネル無効化耐性</v>
          </cell>
          <cell r="D21" t="str">
            <v>自身が先頭の時、赤・緑パネル無効化の影響を受けない</v>
          </cell>
        </row>
        <row r="22">
          <cell r="A22">
            <v>207</v>
          </cell>
          <cell r="B22" t="str">
            <v>ja</v>
          </cell>
          <cell r="C22" t="str">
            <v>赤・青パネル無効化耐性</v>
          </cell>
          <cell r="D22" t="str">
            <v>自身が先頭の時、赤・青パネル無効化の影響を受けない</v>
          </cell>
        </row>
        <row r="23">
          <cell r="A23">
            <v>208</v>
          </cell>
          <cell r="B23" t="str">
            <v>ja</v>
          </cell>
          <cell r="C23" t="str">
            <v>黄・緑パネル無効化耐性</v>
          </cell>
          <cell r="D23" t="str">
            <v>自身が先頭の時、黄・緑パネル無効化の影響を受けない</v>
          </cell>
        </row>
        <row r="24">
          <cell r="A24">
            <v>209</v>
          </cell>
          <cell r="B24" t="str">
            <v>ja</v>
          </cell>
          <cell r="C24" t="str">
            <v>黄・ハートパネル無効化耐性</v>
          </cell>
          <cell r="D24" t="str">
            <v>自身が先頭の時、黄・ハートパネル無効化の影響を受けない</v>
          </cell>
        </row>
        <row r="25">
          <cell r="A25">
            <v>210</v>
          </cell>
          <cell r="B25" t="str">
            <v>ja</v>
          </cell>
          <cell r="C25" t="str">
            <v>緑・赤・青・黄パネル無効化耐性</v>
          </cell>
          <cell r="D25" t="str">
            <v>自身が先頭の時、緑・赤・青・黄パネル無効化の影響を受けない</v>
          </cell>
        </row>
        <row r="26">
          <cell r="A26">
            <v>211</v>
          </cell>
          <cell r="B26" t="str">
            <v>ja</v>
          </cell>
          <cell r="C26" t="str">
            <v>全パネル無効化耐性</v>
          </cell>
          <cell r="D26" t="str">
            <v>自身が先頭の時、全てのパネル無効化の影響を受けない</v>
          </cell>
        </row>
        <row r="27">
          <cell r="A27">
            <v>300</v>
          </cell>
          <cell r="B27" t="str">
            <v>ja</v>
          </cell>
          <cell r="C27" t="str">
            <v>対ゴッド ダメージUP</v>
          </cell>
          <cell r="D27" t="str">
            <v>自身の攻撃対象が種族ゴッドの場合全ての攻撃の威力をUP</v>
          </cell>
        </row>
        <row r="28">
          <cell r="A28">
            <v>301</v>
          </cell>
          <cell r="B28" t="str">
            <v>ja</v>
          </cell>
          <cell r="C28" t="str">
            <v>対ゴッド ダメージ大UP</v>
          </cell>
          <cell r="D28" t="str">
            <v>自身の攻撃対象が種族ゴッドの場合全ての攻撃の威力をUP</v>
          </cell>
        </row>
        <row r="29">
          <cell r="A29">
            <v>302</v>
          </cell>
          <cell r="B29" t="str">
            <v>ja</v>
          </cell>
          <cell r="C29" t="str">
            <v>対ゴッド ダメージ特大UP</v>
          </cell>
          <cell r="D29" t="str">
            <v>自身の攻撃対象が種族ゴッドの場合全ての攻撃の威力をUP</v>
          </cell>
        </row>
        <row r="30">
          <cell r="A30">
            <v>303</v>
          </cell>
          <cell r="B30" t="str">
            <v>ja</v>
          </cell>
          <cell r="C30" t="str">
            <v>対ゴッド ダメージ超大UP</v>
          </cell>
          <cell r="D30" t="str">
            <v>自身の攻撃対象が種族ゴッドの場合全ての攻撃の威力をUP</v>
          </cell>
        </row>
        <row r="31">
          <cell r="A31">
            <v>304</v>
          </cell>
          <cell r="B31" t="str">
            <v>ja</v>
          </cell>
          <cell r="C31" t="str">
            <v>対ヒューマン ダメージUP</v>
          </cell>
          <cell r="D31" t="str">
            <v>自身の攻撃対象が種族ヒューマンの場合全ての攻撃の威力をUP</v>
          </cell>
        </row>
        <row r="32">
          <cell r="A32">
            <v>305</v>
          </cell>
          <cell r="B32" t="str">
            <v>ja</v>
          </cell>
          <cell r="C32" t="str">
            <v>対ヒューマン ダメージUP</v>
          </cell>
          <cell r="D32" t="str">
            <v>自身の攻撃対象が種族ヒューマンの場合全ての攻撃の威力をUP</v>
          </cell>
        </row>
        <row r="33">
          <cell r="A33">
            <v>306</v>
          </cell>
          <cell r="B33" t="str">
            <v>ja</v>
          </cell>
          <cell r="C33" t="str">
            <v>対ヒューマン ダメージUP</v>
          </cell>
          <cell r="D33" t="str">
            <v>自身の攻撃対象が種族ヒューマンの場合全ての攻撃の威力をUP</v>
          </cell>
        </row>
        <row r="34">
          <cell r="A34">
            <v>307</v>
          </cell>
          <cell r="B34" t="str">
            <v>ja</v>
          </cell>
          <cell r="C34" t="str">
            <v>対ヒューマン ダメージUP</v>
          </cell>
          <cell r="D34" t="str">
            <v>自身の攻撃対象が種族ヒューマンの場合全ての攻撃の威力をUP</v>
          </cell>
        </row>
        <row r="35">
          <cell r="A35">
            <v>308</v>
          </cell>
          <cell r="B35" t="str">
            <v>ja</v>
          </cell>
          <cell r="C35" t="str">
            <v>対アニマル ダメージUP</v>
          </cell>
          <cell r="D35" t="str">
            <v>自身の攻撃対象が種族アニマルの場合全ての攻撃の威力をUP</v>
          </cell>
        </row>
        <row r="36">
          <cell r="A36">
            <v>309</v>
          </cell>
          <cell r="B36" t="str">
            <v>ja</v>
          </cell>
          <cell r="C36" t="str">
            <v>対アニマル ダメージUP</v>
          </cell>
          <cell r="D36" t="str">
            <v>自身の攻撃対象が種族アニマルの場合全ての攻撃の威力をUP</v>
          </cell>
        </row>
        <row r="37">
          <cell r="A37">
            <v>310</v>
          </cell>
          <cell r="B37" t="str">
            <v>ja</v>
          </cell>
          <cell r="C37" t="str">
            <v>対アニマル ダメージUP</v>
          </cell>
          <cell r="D37" t="str">
            <v>自身の攻撃対象が種族アニマルの場合全ての攻撃の威力をUP</v>
          </cell>
        </row>
        <row r="38">
          <cell r="A38">
            <v>311</v>
          </cell>
          <cell r="B38" t="str">
            <v>ja</v>
          </cell>
          <cell r="C38" t="str">
            <v>対アニマル ダメージUP</v>
          </cell>
          <cell r="D38" t="str">
            <v>自身の攻撃対象が種族アニマルの場合全ての攻撃の威力をUP</v>
          </cell>
        </row>
        <row r="39">
          <cell r="A39">
            <v>312</v>
          </cell>
          <cell r="B39" t="str">
            <v>ja</v>
          </cell>
          <cell r="C39" t="str">
            <v>対ドラゴン ダメージUP</v>
          </cell>
          <cell r="D39" t="str">
            <v>自身の攻撃対象が種族ドラゴンの場合全ての攻撃の威力をUP</v>
          </cell>
        </row>
        <row r="40">
          <cell r="A40">
            <v>313</v>
          </cell>
          <cell r="B40" t="str">
            <v>ja</v>
          </cell>
          <cell r="C40" t="str">
            <v>対ドラゴン ダメージUP</v>
          </cell>
          <cell r="D40" t="str">
            <v>自身の攻撃対象が種族ドラゴンの場合全ての攻撃の威力をUP</v>
          </cell>
        </row>
        <row r="41">
          <cell r="A41">
            <v>314</v>
          </cell>
          <cell r="B41" t="str">
            <v>ja</v>
          </cell>
          <cell r="C41" t="str">
            <v>対ドラゴン ダメージUP</v>
          </cell>
          <cell r="D41" t="str">
            <v>自身の攻撃対象が種族ドラゴンの場合全ての攻撃の威力をUP</v>
          </cell>
        </row>
        <row r="42">
          <cell r="A42">
            <v>315</v>
          </cell>
          <cell r="B42" t="str">
            <v>ja</v>
          </cell>
          <cell r="C42" t="str">
            <v>対ドラゴン ダメージUP</v>
          </cell>
          <cell r="D42" t="str">
            <v>自身の攻撃対象が種族ドラゴンの場合全ての攻撃の威力をUP</v>
          </cell>
        </row>
        <row r="43">
          <cell r="A43">
            <v>316</v>
          </cell>
          <cell r="B43" t="str">
            <v>ja</v>
          </cell>
          <cell r="C43" t="str">
            <v>対Unknown ダメージUP</v>
          </cell>
          <cell r="D43" t="str">
            <v>自身の攻撃対象が種族Unknownの場合全ての攻撃の威力をUP</v>
          </cell>
        </row>
        <row r="44">
          <cell r="A44">
            <v>317</v>
          </cell>
          <cell r="B44" t="str">
            <v>ja</v>
          </cell>
          <cell r="C44" t="str">
            <v>対Unknown ダメージUP</v>
          </cell>
          <cell r="D44" t="str">
            <v>自身の攻撃対象が種族Unknownの場合全ての攻撃の威力をUP</v>
          </cell>
        </row>
        <row r="45">
          <cell r="A45">
            <v>318</v>
          </cell>
          <cell r="B45" t="str">
            <v>ja</v>
          </cell>
          <cell r="C45" t="str">
            <v>対Unknown ダメージUP</v>
          </cell>
          <cell r="D45" t="str">
            <v>自身の攻撃対象が種族Unknownの場合全ての攻撃の威力をUP</v>
          </cell>
        </row>
        <row r="46">
          <cell r="A46">
            <v>319</v>
          </cell>
          <cell r="B46" t="str">
            <v>ja</v>
          </cell>
          <cell r="C46" t="str">
            <v>対Unknown ダメージUP</v>
          </cell>
          <cell r="D46" t="str">
            <v>自身の攻撃対象が種族Unknownの場合全ての攻撃の威力をUP</v>
          </cell>
        </row>
        <row r="47">
          <cell r="A47">
            <v>320</v>
          </cell>
          <cell r="B47" t="str">
            <v>ja</v>
          </cell>
          <cell r="C47" t="str">
            <v>対サムライ ダメージUP</v>
          </cell>
          <cell r="D47" t="str">
            <v>自身の攻撃対象が種族サムライの場合全ての攻撃の威力をUP</v>
          </cell>
        </row>
        <row r="48">
          <cell r="A48">
            <v>321</v>
          </cell>
          <cell r="B48" t="str">
            <v>ja</v>
          </cell>
          <cell r="C48" t="str">
            <v>対サムライ ダメージUP</v>
          </cell>
          <cell r="D48" t="str">
            <v>自身の攻撃対象が種族サムライの場合全ての攻撃の威力をUP</v>
          </cell>
        </row>
        <row r="49">
          <cell r="A49">
            <v>322</v>
          </cell>
          <cell r="B49" t="str">
            <v>ja</v>
          </cell>
          <cell r="C49" t="str">
            <v>対サムライ ダメージUP</v>
          </cell>
          <cell r="D49" t="str">
            <v>自身の攻撃対象が種族サムライの場合全ての攻撃の威力をUP</v>
          </cell>
        </row>
        <row r="50">
          <cell r="A50">
            <v>323</v>
          </cell>
          <cell r="B50" t="str">
            <v>ja</v>
          </cell>
          <cell r="C50" t="str">
            <v>対サムライ ダメージUP</v>
          </cell>
          <cell r="D50" t="str">
            <v>自身の攻撃対象が種族サムライの場合全ての攻撃の威力をUP</v>
          </cell>
        </row>
        <row r="51">
          <cell r="A51">
            <v>324</v>
          </cell>
          <cell r="B51" t="str">
            <v>ja</v>
          </cell>
          <cell r="C51" t="str">
            <v>対ウェポン ダメージUP</v>
          </cell>
          <cell r="D51" t="str">
            <v>自身の攻撃対象が種族ウェポンの場合全ての攻撃の威力をUP</v>
          </cell>
        </row>
        <row r="52">
          <cell r="A52">
            <v>325</v>
          </cell>
          <cell r="B52" t="str">
            <v>ja</v>
          </cell>
          <cell r="C52" t="str">
            <v>対ウェポン ダメージUP</v>
          </cell>
          <cell r="D52" t="str">
            <v>自身の攻撃対象が種族ウェポンの場合全ての攻撃の威力をUP</v>
          </cell>
        </row>
        <row r="53">
          <cell r="A53">
            <v>326</v>
          </cell>
          <cell r="B53" t="str">
            <v>ja</v>
          </cell>
          <cell r="C53" t="str">
            <v>対ウェポン ダメージUP</v>
          </cell>
          <cell r="D53" t="str">
            <v>自身の攻撃対象が種族ウェポンの場合全ての攻撃の威力をUP</v>
          </cell>
        </row>
        <row r="54">
          <cell r="A54">
            <v>327</v>
          </cell>
          <cell r="B54" t="str">
            <v>ja</v>
          </cell>
          <cell r="C54" t="str">
            <v>対ウェポン ダメージUP</v>
          </cell>
          <cell r="D54" t="str">
            <v>自身の攻撃対象が種族ウェポンの場合全ての攻撃の威力をUP</v>
          </cell>
        </row>
        <row r="55">
          <cell r="A55">
            <v>328</v>
          </cell>
          <cell r="B55" t="str">
            <v>ja</v>
          </cell>
          <cell r="C55" t="str">
            <v>対アカデミア ダメージUP</v>
          </cell>
          <cell r="D55" t="str">
            <v>自身の攻撃対象が種族アカデミアの場合全ての攻撃の威力をUP</v>
          </cell>
        </row>
        <row r="56">
          <cell r="A56">
            <v>329</v>
          </cell>
          <cell r="B56" t="str">
            <v>ja</v>
          </cell>
          <cell r="C56" t="str">
            <v>対アカデミア ダメージUP</v>
          </cell>
          <cell r="D56" t="str">
            <v>自身の攻撃対象が種族アカデミアの場合全ての攻撃の威力をUP</v>
          </cell>
        </row>
        <row r="57">
          <cell r="A57">
            <v>330</v>
          </cell>
          <cell r="B57" t="str">
            <v>ja</v>
          </cell>
          <cell r="C57" t="str">
            <v>対アカデミア ダメージUP</v>
          </cell>
          <cell r="D57" t="str">
            <v>自身の攻撃対象が種族アカデミアの場合全ての攻撃の威力をUP</v>
          </cell>
        </row>
        <row r="58">
          <cell r="A58">
            <v>331</v>
          </cell>
          <cell r="B58" t="str">
            <v>ja</v>
          </cell>
          <cell r="C58" t="str">
            <v>対アカデミア ダメージUP</v>
          </cell>
          <cell r="D58" t="str">
            <v>自身の攻撃対象が種族アカデミアの場合全ての攻撃の威力をUP</v>
          </cell>
        </row>
        <row r="59">
          <cell r="A59">
            <v>332</v>
          </cell>
          <cell r="B59" t="str">
            <v>ja</v>
          </cell>
          <cell r="C59" t="str">
            <v>対タイタン ダメージUP</v>
          </cell>
          <cell r="D59" t="str">
            <v>自身の攻撃対象が種族タイタンの場合全ての攻撃の威力をUP</v>
          </cell>
        </row>
        <row r="60">
          <cell r="A60">
            <v>333</v>
          </cell>
          <cell r="B60" t="str">
            <v>ja</v>
          </cell>
          <cell r="C60" t="str">
            <v>対タイタン ダメージUP</v>
          </cell>
          <cell r="D60" t="str">
            <v>自身の攻撃対象が種族タイタンの場合全ての攻撃の威力をUP</v>
          </cell>
        </row>
        <row r="61">
          <cell r="A61">
            <v>334</v>
          </cell>
          <cell r="B61" t="str">
            <v>ja</v>
          </cell>
          <cell r="C61" t="str">
            <v>対タイタン ダメージUP</v>
          </cell>
          <cell r="D61" t="str">
            <v>自身の攻撃対象が種族タイタンの場合全ての攻撃の威力をUP</v>
          </cell>
        </row>
        <row r="62">
          <cell r="A62">
            <v>335</v>
          </cell>
          <cell r="B62" t="str">
            <v>ja</v>
          </cell>
          <cell r="C62" t="str">
            <v>対タイタン ダメージUP</v>
          </cell>
          <cell r="D62" t="str">
            <v>自身の攻撃対象が種族タイタンの場合全ての攻撃の威力をUP</v>
          </cell>
        </row>
        <row r="63">
          <cell r="A63">
            <v>336</v>
          </cell>
          <cell r="B63" t="str">
            <v>ja</v>
          </cell>
          <cell r="C63" t="str">
            <v>対マシン ダメージUP</v>
          </cell>
          <cell r="D63" t="str">
            <v>自身の攻撃対象が種族マシンの場合全ての攻撃の威力をUP</v>
          </cell>
        </row>
        <row r="64">
          <cell r="A64">
            <v>337</v>
          </cell>
          <cell r="B64" t="str">
            <v>ja</v>
          </cell>
          <cell r="C64" t="str">
            <v>対マシン ダメージUP</v>
          </cell>
          <cell r="D64" t="str">
            <v>自身の攻撃対象が種族マシンの場合全ての攻撃の威力をUP</v>
          </cell>
        </row>
        <row r="65">
          <cell r="A65">
            <v>338</v>
          </cell>
          <cell r="B65" t="str">
            <v>ja</v>
          </cell>
          <cell r="C65" t="str">
            <v>対マシン ダメージUP</v>
          </cell>
          <cell r="D65" t="str">
            <v>自身の攻撃対象が種族マシンの場合全ての攻撃の威力をUP</v>
          </cell>
        </row>
        <row r="66">
          <cell r="A66">
            <v>339</v>
          </cell>
          <cell r="B66" t="str">
            <v>ja</v>
          </cell>
          <cell r="C66" t="str">
            <v>対マシン ダメージUP</v>
          </cell>
          <cell r="D66" t="str">
            <v>自身の攻撃対象が種族マシンの場合全ての攻撃の威力をUP</v>
          </cell>
        </row>
        <row r="67">
          <cell r="A67">
            <v>340</v>
          </cell>
          <cell r="B67" t="str">
            <v>ja</v>
          </cell>
          <cell r="C67" t="str">
            <v>対ドラゴン&amp;アニマルダメージUP</v>
          </cell>
          <cell r="D67" t="str">
            <v>自身の攻撃対象が種族ドラゴン、アニマルの場合全ての攻撃の威力をUP</v>
          </cell>
        </row>
        <row r="68">
          <cell r="A68">
            <v>341</v>
          </cell>
          <cell r="B68" t="str">
            <v>ja</v>
          </cell>
          <cell r="C68" t="str">
            <v>対アニマル&amp;ヒューマンダメージUP</v>
          </cell>
          <cell r="D68" t="str">
            <v>自身の攻撃対象が種族アニマル、ヒューマンの場合全ての攻撃の威力をUP</v>
          </cell>
        </row>
        <row r="69">
          <cell r="A69">
            <v>342</v>
          </cell>
          <cell r="B69" t="str">
            <v>ja</v>
          </cell>
          <cell r="C69" t="str">
            <v>対八神チーム ダメージUP</v>
          </cell>
          <cell r="D69" t="str">
            <v>庵襲来内のマチュア、バイス、庵に対してダメージUP</v>
          </cell>
        </row>
        <row r="70">
          <cell r="A70">
            <v>400</v>
          </cell>
          <cell r="B70" t="str">
            <v>ja</v>
          </cell>
          <cell r="C70" t="str">
            <v>攻撃タイプキラー</v>
          </cell>
          <cell r="D70" t="str">
            <v>攻撃対象が攻撃タイプの場合威力UP</v>
          </cell>
        </row>
        <row r="71">
          <cell r="A71">
            <v>401</v>
          </cell>
          <cell r="B71" t="str">
            <v>ja</v>
          </cell>
          <cell r="C71" t="str">
            <v>攻撃タイプキラー</v>
          </cell>
          <cell r="D71" t="str">
            <v>攻撃対象が攻撃タイプの場合威力UP</v>
          </cell>
        </row>
        <row r="72">
          <cell r="A72">
            <v>402</v>
          </cell>
          <cell r="B72" t="str">
            <v>ja</v>
          </cell>
          <cell r="C72" t="str">
            <v>攻撃タイプキラー</v>
          </cell>
          <cell r="D72" t="str">
            <v>攻撃対象が攻撃タイプの場合威力UP</v>
          </cell>
        </row>
        <row r="73">
          <cell r="A73">
            <v>403</v>
          </cell>
          <cell r="B73" t="str">
            <v>ja</v>
          </cell>
          <cell r="C73" t="str">
            <v>攻撃タイプキラー</v>
          </cell>
          <cell r="D73" t="str">
            <v>攻撃対象が攻撃タイプの場合威力UP</v>
          </cell>
        </row>
        <row r="74">
          <cell r="A74">
            <v>404</v>
          </cell>
          <cell r="B74" t="str">
            <v>ja</v>
          </cell>
          <cell r="C74" t="str">
            <v>バランスタイプキラー</v>
          </cell>
          <cell r="D74" t="str">
            <v>攻撃対象が攻撃タイプの場合威力UP</v>
          </cell>
        </row>
        <row r="75">
          <cell r="A75">
            <v>405</v>
          </cell>
          <cell r="B75" t="str">
            <v>ja</v>
          </cell>
          <cell r="C75" t="str">
            <v>バランスタイプキラー</v>
          </cell>
          <cell r="D75" t="str">
            <v>攻撃対象が攻撃タイプの場合威力UP</v>
          </cell>
        </row>
        <row r="76">
          <cell r="A76">
            <v>406</v>
          </cell>
          <cell r="B76" t="str">
            <v>ja</v>
          </cell>
          <cell r="C76" t="str">
            <v>バランスタイプキラー</v>
          </cell>
          <cell r="D76" t="str">
            <v>攻撃対象が攻撃タイプの場合威力UP</v>
          </cell>
        </row>
        <row r="77">
          <cell r="A77">
            <v>407</v>
          </cell>
          <cell r="B77" t="str">
            <v>ja</v>
          </cell>
          <cell r="C77" t="str">
            <v>バランスタイプキラー</v>
          </cell>
          <cell r="D77" t="str">
            <v>攻撃対象が攻撃タイプの場合威力UP</v>
          </cell>
        </row>
        <row r="78">
          <cell r="A78">
            <v>408</v>
          </cell>
          <cell r="B78" t="str">
            <v>ja</v>
          </cell>
          <cell r="C78" t="str">
            <v>体力タイプキラー</v>
          </cell>
          <cell r="D78" t="str">
            <v>攻撃対象が攻撃タイプの場合威力UP</v>
          </cell>
        </row>
        <row r="79">
          <cell r="A79">
            <v>409</v>
          </cell>
          <cell r="B79" t="str">
            <v>ja</v>
          </cell>
          <cell r="C79" t="str">
            <v>体力タイプキラー</v>
          </cell>
          <cell r="D79" t="str">
            <v>攻撃対象が攻撃タイプの場合威力UP</v>
          </cell>
        </row>
        <row r="80">
          <cell r="A80">
            <v>410</v>
          </cell>
          <cell r="B80" t="str">
            <v>ja</v>
          </cell>
          <cell r="C80" t="str">
            <v>体力タイプキラー</v>
          </cell>
          <cell r="D80" t="str">
            <v>攻撃対象が攻撃タイプの場合威力UP</v>
          </cell>
        </row>
        <row r="81">
          <cell r="A81">
            <v>411</v>
          </cell>
          <cell r="B81" t="str">
            <v>ja</v>
          </cell>
          <cell r="C81" t="str">
            <v>体力タイプキラー</v>
          </cell>
          <cell r="D81" t="str">
            <v>攻撃対象が攻撃タイプの場合威力UP</v>
          </cell>
        </row>
        <row r="82">
          <cell r="A82">
            <v>412</v>
          </cell>
          <cell r="B82" t="str">
            <v>ja</v>
          </cell>
          <cell r="C82" t="str">
            <v>テクニカルタイプキラー</v>
          </cell>
          <cell r="D82" t="str">
            <v>攻撃対象が攻撃タイプの場合威力UP</v>
          </cell>
        </row>
        <row r="83">
          <cell r="A83">
            <v>413</v>
          </cell>
          <cell r="B83" t="str">
            <v>ja</v>
          </cell>
          <cell r="C83" t="str">
            <v>テクニカルタイプキラー</v>
          </cell>
          <cell r="D83" t="str">
            <v>攻撃対象が攻撃タイプの場合威力UP</v>
          </cell>
        </row>
        <row r="84">
          <cell r="A84">
            <v>414</v>
          </cell>
          <cell r="B84" t="str">
            <v>ja</v>
          </cell>
          <cell r="C84" t="str">
            <v>テクニカルタイプキラー</v>
          </cell>
          <cell r="D84" t="str">
            <v>攻撃対象が攻撃タイプの場合威力UP</v>
          </cell>
        </row>
        <row r="85">
          <cell r="A85">
            <v>415</v>
          </cell>
          <cell r="B85" t="str">
            <v>ja</v>
          </cell>
          <cell r="C85" t="str">
            <v>テクニカルタイプキラー</v>
          </cell>
          <cell r="D85" t="str">
            <v>攻撃対象が攻撃タイプの場合威力UP</v>
          </cell>
        </row>
        <row r="86">
          <cell r="A86">
            <v>416</v>
          </cell>
          <cell r="B86" t="str">
            <v>ja</v>
          </cell>
          <cell r="C86" t="str">
            <v>回復タイプキラー</v>
          </cell>
          <cell r="D86" t="str">
            <v>攻撃対象が攻撃タイプの場合威力UP</v>
          </cell>
        </row>
        <row r="87">
          <cell r="A87">
            <v>417</v>
          </cell>
          <cell r="B87" t="str">
            <v>ja</v>
          </cell>
          <cell r="C87" t="str">
            <v>回復タイプキラー</v>
          </cell>
          <cell r="D87" t="str">
            <v>攻撃対象が攻撃タイプの場合威力UP</v>
          </cell>
        </row>
        <row r="88">
          <cell r="A88">
            <v>418</v>
          </cell>
          <cell r="B88" t="str">
            <v>ja</v>
          </cell>
          <cell r="C88" t="str">
            <v>回復タイプキラー</v>
          </cell>
          <cell r="D88" t="str">
            <v>攻撃対象が攻撃タイプの場合威力UP</v>
          </cell>
        </row>
        <row r="89">
          <cell r="A89">
            <v>419</v>
          </cell>
          <cell r="B89" t="str">
            <v>ja</v>
          </cell>
          <cell r="C89" t="str">
            <v>回復タイプキラー</v>
          </cell>
          <cell r="D89" t="str">
            <v>攻撃対象が攻撃タイプの場合威力UP</v>
          </cell>
        </row>
        <row r="90">
          <cell r="A90">
            <v>420</v>
          </cell>
          <cell r="B90" t="str">
            <v>ja</v>
          </cell>
          <cell r="C90" t="str">
            <v>強化素材タイプキラー</v>
          </cell>
          <cell r="D90" t="str">
            <v>攻撃対象が攻撃タイプの場合威力UP</v>
          </cell>
        </row>
        <row r="91">
          <cell r="A91">
            <v>421</v>
          </cell>
          <cell r="B91" t="str">
            <v>ja</v>
          </cell>
          <cell r="C91" t="str">
            <v>強化素材タイプキラー</v>
          </cell>
          <cell r="D91" t="str">
            <v>攻撃対象が攻撃タイプの場合威力UP</v>
          </cell>
        </row>
        <row r="92">
          <cell r="A92">
            <v>422</v>
          </cell>
          <cell r="B92" t="str">
            <v>ja</v>
          </cell>
          <cell r="C92" t="str">
            <v>強化素材タイプキラー</v>
          </cell>
          <cell r="D92" t="str">
            <v>攻撃対象が攻撃タイプの場合威力UP</v>
          </cell>
        </row>
        <row r="93">
          <cell r="A93">
            <v>423</v>
          </cell>
          <cell r="B93" t="str">
            <v>ja</v>
          </cell>
          <cell r="C93" t="str">
            <v>強化素材タイプキラー</v>
          </cell>
          <cell r="D93" t="str">
            <v>攻撃対象が攻撃タイプの場合威力UP</v>
          </cell>
        </row>
        <row r="94">
          <cell r="A94">
            <v>424</v>
          </cell>
          <cell r="B94" t="str">
            <v>ja</v>
          </cell>
          <cell r="C94" t="str">
            <v>コインタイプキラー</v>
          </cell>
          <cell r="D94" t="str">
            <v>攻撃対象が攻撃タイプの場合威力UP</v>
          </cell>
        </row>
        <row r="95">
          <cell r="A95">
            <v>425</v>
          </cell>
          <cell r="B95" t="str">
            <v>ja</v>
          </cell>
          <cell r="C95" t="str">
            <v>コインタイプキラー</v>
          </cell>
          <cell r="D95" t="str">
            <v>攻撃対象が攻撃タイプの場合威力UP</v>
          </cell>
        </row>
        <row r="96">
          <cell r="A96">
            <v>426</v>
          </cell>
          <cell r="B96" t="str">
            <v>ja</v>
          </cell>
          <cell r="C96" t="str">
            <v>コインタイプキラー</v>
          </cell>
          <cell r="D96" t="str">
            <v>攻撃対象が攻撃タイプの場合威力UP</v>
          </cell>
        </row>
        <row r="97">
          <cell r="A97">
            <v>427</v>
          </cell>
          <cell r="B97" t="str">
            <v>ja</v>
          </cell>
          <cell r="C97" t="str">
            <v>コインタイプキラー</v>
          </cell>
          <cell r="D97" t="str">
            <v>攻撃対象が攻撃タイプの場合威力UP</v>
          </cell>
        </row>
        <row r="98">
          <cell r="A98">
            <v>428</v>
          </cell>
          <cell r="B98" t="str">
            <v>ja</v>
          </cell>
          <cell r="C98" t="str">
            <v>限界突破素材タイプキラー</v>
          </cell>
          <cell r="D98" t="str">
            <v>攻撃対象が攻撃タイプの場合威力UP</v>
          </cell>
        </row>
        <row r="99">
          <cell r="A99">
            <v>429</v>
          </cell>
          <cell r="B99" t="str">
            <v>ja</v>
          </cell>
          <cell r="C99" t="str">
            <v>限界突破素材タイプキラー</v>
          </cell>
          <cell r="D99" t="str">
            <v>攻撃対象が攻撃タイプの場合威力UP</v>
          </cell>
        </row>
        <row r="100">
          <cell r="A100">
            <v>430</v>
          </cell>
          <cell r="B100" t="str">
            <v>ja</v>
          </cell>
          <cell r="C100" t="str">
            <v>限界突破素材タイプキラー</v>
          </cell>
          <cell r="D100" t="str">
            <v>攻撃対象が攻撃タイプの場合威力UP</v>
          </cell>
        </row>
        <row r="101">
          <cell r="A101">
            <v>431</v>
          </cell>
          <cell r="B101" t="str">
            <v>ja</v>
          </cell>
          <cell r="C101" t="str">
            <v>限界突破素材タイプキラー</v>
          </cell>
          <cell r="D101" t="str">
            <v>攻撃対象が攻撃タイプの場合威力UP</v>
          </cell>
        </row>
        <row r="102">
          <cell r="A102">
            <v>432</v>
          </cell>
          <cell r="B102" t="str">
            <v>ja</v>
          </cell>
          <cell r="C102" t="str">
            <v>スキルレベル素材タイプキラー</v>
          </cell>
          <cell r="D102" t="str">
            <v>攻撃対象が攻撃タイプの場合威力UP</v>
          </cell>
        </row>
        <row r="103">
          <cell r="A103">
            <v>433</v>
          </cell>
          <cell r="B103" t="str">
            <v>ja</v>
          </cell>
          <cell r="C103" t="str">
            <v>スキルレベル素材タイプキラー</v>
          </cell>
          <cell r="D103" t="str">
            <v>攻撃対象が攻撃タイプの場合威力UP</v>
          </cell>
        </row>
        <row r="104">
          <cell r="A104">
            <v>434</v>
          </cell>
          <cell r="B104" t="str">
            <v>ja</v>
          </cell>
          <cell r="C104" t="str">
            <v>スキルレベル素材タイプキラー</v>
          </cell>
          <cell r="D104" t="str">
            <v>攻撃対象が攻撃タイプの場合威力UP</v>
          </cell>
        </row>
        <row r="105">
          <cell r="A105">
            <v>435</v>
          </cell>
          <cell r="B105" t="str">
            <v>ja</v>
          </cell>
          <cell r="C105" t="str">
            <v>スキルレベル素材タイプキラー</v>
          </cell>
          <cell r="D105" t="str">
            <v>攻撃対象が攻撃タイプの場合威力UP</v>
          </cell>
        </row>
        <row r="106">
          <cell r="A106">
            <v>436</v>
          </cell>
          <cell r="B106" t="str">
            <v>ja</v>
          </cell>
          <cell r="C106" t="str">
            <v>対ゴッド&amp;ヒーロー ダメージUP</v>
          </cell>
          <cell r="D106" t="str">
            <v>自身の攻撃対象が種族ゴッド、ヒーローの場合全ての攻撃の威力をUP</v>
          </cell>
        </row>
        <row r="107">
          <cell r="A107">
            <v>437</v>
          </cell>
          <cell r="B107" t="str">
            <v>ja</v>
          </cell>
          <cell r="C107" t="str">
            <v>対サムライ&amp;ドラゴン ダメージUP</v>
          </cell>
          <cell r="D107" t="str">
            <v>自身の攻撃対象が種族サムライ、ドラゴンの場合全ての攻撃の威力をUP</v>
          </cell>
        </row>
        <row r="108">
          <cell r="A108">
            <v>500</v>
          </cell>
          <cell r="B108" t="str">
            <v>ja</v>
          </cell>
          <cell r="C108" t="str">
            <v>青属性キラー</v>
          </cell>
          <cell r="D108" t="str">
            <v>攻撃対象が青属性の場合威力UP</v>
          </cell>
        </row>
        <row r="109">
          <cell r="A109">
            <v>600</v>
          </cell>
          <cell r="B109" t="str">
            <v>ja</v>
          </cell>
          <cell r="C109" t="str">
            <v>赤属性耐性25</v>
          </cell>
          <cell r="D109" t="str">
            <v>自身に対する赤属性の敵からの攻撃を25％軽減</v>
          </cell>
        </row>
        <row r="110">
          <cell r="A110">
            <v>601</v>
          </cell>
          <cell r="B110" t="str">
            <v>ja</v>
          </cell>
          <cell r="C110" t="str">
            <v>赤属性耐性25</v>
          </cell>
          <cell r="D110" t="str">
            <v>自身に対する赤属性の敵からの攻撃を25％軽減</v>
          </cell>
        </row>
        <row r="111">
          <cell r="A111">
            <v>602</v>
          </cell>
          <cell r="B111" t="str">
            <v>ja</v>
          </cell>
          <cell r="C111" t="str">
            <v>赤属性耐性25</v>
          </cell>
          <cell r="D111" t="str">
            <v>自身に対する赤属性の敵からの攻撃を25％軽減</v>
          </cell>
        </row>
        <row r="112">
          <cell r="A112">
            <v>603</v>
          </cell>
          <cell r="B112" t="str">
            <v>ja</v>
          </cell>
          <cell r="C112" t="str">
            <v>青属性耐性25</v>
          </cell>
          <cell r="D112" t="str">
            <v>自身に対する青属性の敵からの攻撃を25％軽減</v>
          </cell>
        </row>
        <row r="113">
          <cell r="A113">
            <v>604</v>
          </cell>
          <cell r="B113" t="str">
            <v>ja</v>
          </cell>
          <cell r="C113" t="str">
            <v>青属性耐性25</v>
          </cell>
          <cell r="D113" t="str">
            <v>自身に対する青属性の敵からの攻撃を25％軽減</v>
          </cell>
        </row>
        <row r="114">
          <cell r="A114">
            <v>605</v>
          </cell>
          <cell r="B114" t="str">
            <v>ja</v>
          </cell>
          <cell r="C114" t="str">
            <v>青属性耐性25</v>
          </cell>
          <cell r="D114" t="str">
            <v>自身に対する青属性の敵からの攻撃を25％軽減</v>
          </cell>
        </row>
        <row r="115">
          <cell r="A115">
            <v>606</v>
          </cell>
          <cell r="B115" t="str">
            <v>ja</v>
          </cell>
          <cell r="C115" t="str">
            <v>緑属性耐性25</v>
          </cell>
          <cell r="D115" t="str">
            <v>自身に対する緑属性の敵からの攻撃を25％軽減</v>
          </cell>
        </row>
        <row r="116">
          <cell r="A116">
            <v>607</v>
          </cell>
          <cell r="B116" t="str">
            <v>ja</v>
          </cell>
          <cell r="C116" t="str">
            <v>緑属性耐性25</v>
          </cell>
          <cell r="D116" t="str">
            <v>自身に対する緑属性の敵からの攻撃を25％軽減</v>
          </cell>
        </row>
        <row r="117">
          <cell r="A117">
            <v>608</v>
          </cell>
          <cell r="B117" t="str">
            <v>ja</v>
          </cell>
          <cell r="C117" t="str">
            <v>緑属性耐性25</v>
          </cell>
          <cell r="D117" t="str">
            <v>自身に対する緑属性の敵からの攻撃を25％軽減</v>
          </cell>
        </row>
        <row r="118">
          <cell r="A118">
            <v>609</v>
          </cell>
          <cell r="B118" t="str">
            <v>ja</v>
          </cell>
          <cell r="C118" t="str">
            <v>黄属性耐性25</v>
          </cell>
          <cell r="D118" t="str">
            <v>自身に対する黄属性の敵からの攻撃を25％軽減</v>
          </cell>
        </row>
        <row r="119">
          <cell r="A119">
            <v>610</v>
          </cell>
          <cell r="B119" t="str">
            <v>ja</v>
          </cell>
          <cell r="C119" t="str">
            <v>黄属性耐性25</v>
          </cell>
          <cell r="D119" t="str">
            <v>自身に対する黄属性の敵からの攻撃を25％軽減</v>
          </cell>
        </row>
        <row r="120">
          <cell r="A120">
            <v>611</v>
          </cell>
          <cell r="B120" t="str">
            <v>ja</v>
          </cell>
          <cell r="C120" t="str">
            <v>黄属性耐性25</v>
          </cell>
          <cell r="D120" t="str">
            <v>自身に対する黄属性の敵からの攻撃を25％軽減</v>
          </cell>
        </row>
        <row r="121">
          <cell r="A121">
            <v>612</v>
          </cell>
          <cell r="B121" t="str">
            <v>ja</v>
          </cell>
          <cell r="C121" t="str">
            <v>全属性耐性10</v>
          </cell>
          <cell r="D121" t="str">
            <v>自身に対する全属性の敵からの攻撃を10％軽減</v>
          </cell>
        </row>
        <row r="122">
          <cell r="A122">
            <v>613</v>
          </cell>
          <cell r="B122" t="str">
            <v>ja</v>
          </cell>
          <cell r="C122" t="str">
            <v>赤属性耐性10</v>
          </cell>
          <cell r="D122" t="str">
            <v>自身に対する赤属性の敵からの攻撃を10％軽減</v>
          </cell>
        </row>
        <row r="123">
          <cell r="A123">
            <v>614</v>
          </cell>
          <cell r="B123" t="str">
            <v>ja</v>
          </cell>
          <cell r="C123" t="str">
            <v>青属性耐性10</v>
          </cell>
          <cell r="D123" t="str">
            <v>自身に対する青属性の敵からの攻撃を10％軽減</v>
          </cell>
        </row>
        <row r="124">
          <cell r="A124">
            <v>615</v>
          </cell>
          <cell r="B124" t="str">
            <v>ja</v>
          </cell>
          <cell r="C124" t="str">
            <v>緑属性耐性10</v>
          </cell>
          <cell r="D124" t="str">
            <v>自身に対する緑属性の敵からの攻撃を10％軽減</v>
          </cell>
        </row>
        <row r="125">
          <cell r="A125">
            <v>616</v>
          </cell>
          <cell r="B125" t="str">
            <v>ja</v>
          </cell>
          <cell r="C125" t="str">
            <v>黄属性耐性10</v>
          </cell>
          <cell r="D125" t="str">
            <v>自身に対する黄属性の敵からの攻撃を10％軽減</v>
          </cell>
        </row>
        <row r="126">
          <cell r="A126">
            <v>617</v>
          </cell>
          <cell r="B126" t="str">
            <v>ja</v>
          </cell>
          <cell r="C126" t="str">
            <v>ゴッド種族耐性10</v>
          </cell>
          <cell r="D126" t="str">
            <v>自身に対するゴッド種族の敵からの攻撃を25％軽減</v>
          </cell>
        </row>
        <row r="127">
          <cell r="A127">
            <v>618</v>
          </cell>
          <cell r="B127" t="str">
            <v>ja</v>
          </cell>
          <cell r="C127" t="str">
            <v>赤属性耐性8</v>
          </cell>
          <cell r="D127" t="str">
            <v>自身に対する赤属性の敵からの攻撃を8%軽減</v>
          </cell>
        </row>
        <row r="128">
          <cell r="A128">
            <v>619</v>
          </cell>
          <cell r="B128" t="str">
            <v>ja</v>
          </cell>
          <cell r="C128" t="str">
            <v>青属性耐性8</v>
          </cell>
          <cell r="D128" t="str">
            <v>自身に対する青属性の敵からの攻撃を8%軽減</v>
          </cell>
        </row>
        <row r="129">
          <cell r="A129">
            <v>620</v>
          </cell>
          <cell r="B129" t="str">
            <v>ja</v>
          </cell>
          <cell r="C129" t="str">
            <v>緑属性耐性8</v>
          </cell>
          <cell r="D129" t="str">
            <v>自身に対する緑属性の敵からの攻撃を8%軽減</v>
          </cell>
        </row>
        <row r="130">
          <cell r="A130">
            <v>621</v>
          </cell>
          <cell r="B130" t="str">
            <v>ja</v>
          </cell>
          <cell r="C130" t="str">
            <v>黄属性耐性8</v>
          </cell>
          <cell r="D130" t="str">
            <v>自身に対する黄属性の敵からの攻撃を8%軽減</v>
          </cell>
        </row>
        <row r="131">
          <cell r="A131">
            <v>622</v>
          </cell>
          <cell r="B131" t="str">
            <v>ja</v>
          </cell>
          <cell r="C131" t="str">
            <v>赤・青属性耐性15</v>
          </cell>
          <cell r="D131" t="str">
            <v>自身に対する赤・青属性の敵からの攻撃を15%軽減</v>
          </cell>
        </row>
        <row r="132">
          <cell r="A132">
            <v>623</v>
          </cell>
          <cell r="B132" t="str">
            <v>ja</v>
          </cell>
          <cell r="C132" t="str">
            <v>ターン赤・緑属性耐性20</v>
          </cell>
          <cell r="D132" t="str">
            <v>最初の1ターン目と、その後4ターン毎に自身に対する赤・緑属性の敵からの攻撃を20%軽減</v>
          </cell>
        </row>
        <row r="133">
          <cell r="A133">
            <v>624</v>
          </cell>
          <cell r="B133" t="str">
            <v>ja</v>
          </cell>
          <cell r="C133" t="str">
            <v>ゴッド種族耐性10</v>
          </cell>
          <cell r="D133" t="str">
            <v>自身に対するゴッド種族の敵からの攻撃を10％軽減</v>
          </cell>
        </row>
        <row r="134">
          <cell r="A134">
            <v>700</v>
          </cell>
          <cell r="B134" t="str">
            <v>ja</v>
          </cell>
          <cell r="C134" t="str">
            <v>フロア 回復</v>
          </cell>
          <cell r="D134" t="str">
            <v>全フロアの1ターン目終了時にパーティの合計HPの20％を回復する</v>
          </cell>
        </row>
        <row r="135">
          <cell r="A135">
            <v>701</v>
          </cell>
          <cell r="B135" t="str">
            <v>ja</v>
          </cell>
          <cell r="C135" t="str">
            <v>フロア 防御力アップ</v>
          </cell>
          <cell r="D135" t="str">
            <v>全フロアの1ターン目終了時に全ユニットの防御力を1ターン400UP</v>
          </cell>
        </row>
        <row r="136">
          <cell r="A136">
            <v>702</v>
          </cell>
          <cell r="B136" t="str">
            <v>ja</v>
          </cell>
          <cell r="C136" t="str">
            <v>最終フロア時 HP回復</v>
          </cell>
          <cell r="D136" t="str">
            <v>最終フロア到達時にHPを100%回復する</v>
          </cell>
        </row>
        <row r="137">
          <cell r="A137">
            <v>800</v>
          </cell>
          <cell r="B137" t="str">
            <v>ja</v>
          </cell>
          <cell r="C137" t="str">
            <v>パネルブレイク30 攻撃力UP</v>
          </cell>
          <cell r="D137" t="str">
            <v>自身が先頭の時、1ターンの間に合計30個以上パネルを破壊した場合に攻撃力UP</v>
          </cell>
        </row>
        <row r="138">
          <cell r="A138">
            <v>801</v>
          </cell>
          <cell r="B138" t="str">
            <v>ja</v>
          </cell>
          <cell r="C138" t="str">
            <v>パネルブレイク30 回復力UP</v>
          </cell>
          <cell r="D138" t="str">
            <v>自身が先頭の時、1ターンの間に合計30個以上パネルを破壊した場合に回復力UP</v>
          </cell>
        </row>
        <row r="139">
          <cell r="A139">
            <v>802</v>
          </cell>
          <cell r="B139" t="str">
            <v>ja</v>
          </cell>
          <cell r="C139" t="str">
            <v>パネルブレイク30 防御力小UP</v>
          </cell>
          <cell r="D139" t="str">
            <v>自身が先頭の時、1ターンの間に合計30個以上パネルを破壊した場合に防御力小UP</v>
          </cell>
        </row>
        <row r="140">
          <cell r="A140">
            <v>803</v>
          </cell>
          <cell r="B140" t="str">
            <v>ja</v>
          </cell>
          <cell r="C140" t="str">
            <v>パネルブレイク30 防御力UP</v>
          </cell>
          <cell r="D140" t="str">
            <v>自身が先頭の時、1ターンの間に合計30個以上パネルを破壊した場合に防御力UP</v>
          </cell>
        </row>
        <row r="141">
          <cell r="A141">
            <v>804</v>
          </cell>
          <cell r="B141" t="str">
            <v>ja</v>
          </cell>
          <cell r="C141" t="str">
            <v>パネルブレイク30 防御力大UP</v>
          </cell>
          <cell r="D141" t="str">
            <v>自身が先頭の時、1ターンの間に合計30個以上パネルを破壊した場合に防御力大UP</v>
          </cell>
        </row>
        <row r="142">
          <cell r="A142">
            <v>805</v>
          </cell>
          <cell r="B142" t="str">
            <v>ja</v>
          </cell>
          <cell r="C142" t="str">
            <v>パネルブレイク30 防御力特大UP</v>
          </cell>
          <cell r="D142" t="str">
            <v>自身が先頭の時、1ターンの間に合計30個以上パネルを破壊した場合に防御力特大UP</v>
          </cell>
        </row>
        <row r="143">
          <cell r="A143">
            <v>806</v>
          </cell>
          <cell r="B143" t="str">
            <v>ja</v>
          </cell>
          <cell r="C143" t="str">
            <v>ボムブレイク10 防御力UP</v>
          </cell>
          <cell r="D143" t="str">
            <v>自身または味方が1ターンの間に合計10個以上ボムパネルを破壊した場合に防御力UP</v>
          </cell>
        </row>
        <row r="144">
          <cell r="A144">
            <v>807</v>
          </cell>
          <cell r="B144" t="str">
            <v>ja</v>
          </cell>
          <cell r="C144" t="str">
            <v>パネル18 破壊フィーバーゲージ上昇</v>
          </cell>
          <cell r="D144" t="str">
            <v>自身が先頭の時、1ターンの間に合計18個以上パネルを破壊した場合にフィーバーゲージ上昇</v>
          </cell>
        </row>
        <row r="145">
          <cell r="A145">
            <v>808</v>
          </cell>
          <cell r="B145" t="str">
            <v>ja</v>
          </cell>
          <cell r="C145" t="str">
            <v>パネルブレイク40 防御力UP</v>
          </cell>
          <cell r="D145" t="str">
            <v>自身が先頭の時、1ターンの間に合計40個以上パネルを破壊した場合に青属性ユニットの防御力を400UP</v>
          </cell>
        </row>
        <row r="146">
          <cell r="A146">
            <v>809</v>
          </cell>
          <cell r="B146" t="str">
            <v>ja</v>
          </cell>
          <cell r="C146" t="str">
            <v>パネルブレイク40 攻撃力UP</v>
          </cell>
          <cell r="D146" t="str">
            <v>自身が先頭の時、1ターンの間に合計40個以上パネルを破壊した場合に攻撃力UP</v>
          </cell>
        </row>
        <row r="147">
          <cell r="A147">
            <v>810</v>
          </cell>
          <cell r="B147" t="str">
            <v>ja</v>
          </cell>
          <cell r="C147" t="str">
            <v>パネルブレイク40 攻撃力小UP</v>
          </cell>
          <cell r="D147" t="str">
            <v>自身が先頭の時、1ターンの間に合計40個以上パネルを破壊した場合に攻撃力小UP</v>
          </cell>
        </row>
        <row r="148">
          <cell r="A148">
            <v>811</v>
          </cell>
          <cell r="B148" t="str">
            <v>ja</v>
          </cell>
          <cell r="C148" t="str">
            <v>パネルブレイク30 攻撃力小UP</v>
          </cell>
          <cell r="D148" t="str">
            <v>自身が先頭の時、1ターンの間に合計30個以上パネルを破壊した場合に攻撃力小UP</v>
          </cell>
        </row>
        <row r="149">
          <cell r="A149">
            <v>812</v>
          </cell>
          <cell r="B149" t="str">
            <v>ja</v>
          </cell>
          <cell r="C149" t="str">
            <v>パネルブレイク40 HP小回復</v>
          </cell>
          <cell r="D149" t="str">
            <v>自身が先頭の時、1ターンの間に合計40個以上パネルを破壊した場合にターン終了時HP小回復</v>
          </cell>
        </row>
        <row r="150">
          <cell r="A150">
            <v>813</v>
          </cell>
          <cell r="B150" t="str">
            <v>ja</v>
          </cell>
          <cell r="C150" t="str">
            <v>パネルブレイク100 攻撃力UP</v>
          </cell>
          <cell r="D150" t="str">
            <v>自身が先頭の時、1ターンの間に合計100個以上パネルを破壊した場合に攻撃力2140UP</v>
          </cell>
        </row>
        <row r="151">
          <cell r="A151">
            <v>814</v>
          </cell>
          <cell r="B151" t="str">
            <v>ja</v>
          </cell>
          <cell r="C151" t="str">
            <v>パネルブレイク50 タップ回数UP</v>
          </cell>
          <cell r="D151" t="str">
            <v>自身が先頭の時、1ターンの間に合計50個以上パネルを破壊した場合にタップ回数を1回増やす</v>
          </cell>
        </row>
        <row r="152">
          <cell r="A152">
            <v>815</v>
          </cell>
          <cell r="B152" t="str">
            <v>ja</v>
          </cell>
          <cell r="C152" t="str">
            <v>パネルブレイク50 HP回復</v>
          </cell>
          <cell r="D152" t="str">
            <v>自身が先頭の時、1ターンの間に合計50個以上パネルを破壊した場合にターン終了時HP回復</v>
          </cell>
        </row>
        <row r="153">
          <cell r="A153">
            <v>816</v>
          </cell>
          <cell r="B153" t="str">
            <v>ja</v>
          </cell>
          <cell r="C153" t="str">
            <v>ボムブレイク10 黄属性攻撃力UP</v>
          </cell>
          <cell r="D153" t="str">
            <v>自身または味方が1ターンの間に合計10個以上ボムパネルを破壊した場合に黄属性ユニットの攻撃力UP</v>
          </cell>
        </row>
        <row r="154">
          <cell r="A154">
            <v>817</v>
          </cell>
          <cell r="B154" t="str">
            <v>ja</v>
          </cell>
          <cell r="C154" t="str">
            <v>パネルブレイク50 生成短縮激烈</v>
          </cell>
          <cell r="D154" t="str">
            <v>自身が先頭の時、1ターンの間に合計50個以上パネルを破壊した場合にCパネル生成に必要なチェイン数を12短縮する</v>
          </cell>
        </row>
        <row r="155">
          <cell r="A155">
            <v>818</v>
          </cell>
          <cell r="B155" t="str">
            <v>ja</v>
          </cell>
          <cell r="C155" t="str">
            <v>パネルブレイク33 赤･緑属性防御UP</v>
          </cell>
          <cell r="D155" t="str">
            <v>自身が先頭の時、1ターンの間に合計33個以上パネルを破壊した場合に赤・緑属性の防御力を330UP</v>
          </cell>
        </row>
        <row r="156">
          <cell r="A156">
            <v>819</v>
          </cell>
          <cell r="B156" t="str">
            <v>ja</v>
          </cell>
          <cell r="C156" t="str">
            <v>パネルブレイク25 回復力UP</v>
          </cell>
          <cell r="D156" t="str">
            <v>自身が先頭の時、1ターンの間に合計25個以上パネルを破壊した場合に回復力UP</v>
          </cell>
        </row>
        <row r="157">
          <cell r="A157">
            <v>820</v>
          </cell>
          <cell r="B157" t="str">
            <v>ja</v>
          </cell>
          <cell r="C157" t="str">
            <v>パネルブレイク90 タップ回数UP</v>
          </cell>
          <cell r="D157" t="str">
            <v>自身が先頭の時、1ターンの間に合計90個以上パネルを破壊した場合にタップ回数を1回増やす</v>
          </cell>
        </row>
        <row r="158">
          <cell r="A158">
            <v>821</v>
          </cell>
          <cell r="B158" t="str">
            <v>ja</v>
          </cell>
          <cell r="C158" t="str">
            <v>パネルブレイク80 攻撃力特大UP</v>
          </cell>
          <cell r="D158" t="str">
            <v>自身が先頭の時、1ターンの間に合計80個以上パネルを破壊した場合に攻撃力特大UP</v>
          </cell>
        </row>
        <row r="159">
          <cell r="A159">
            <v>822</v>
          </cell>
          <cell r="B159" t="str">
            <v>ja</v>
          </cell>
          <cell r="C159" t="str">
            <v>パネルブレイク35 CP生成短縮(特大)</v>
          </cell>
          <cell r="D159" t="str">
            <v>自身または、味方が1ターンの間に合計35個以上パネルを破壊した場合に先頭ユニットのCパネル生成短縮(効果特大)(1ターンに1度だけ発動)</v>
          </cell>
        </row>
        <row r="160">
          <cell r="A160">
            <v>823</v>
          </cell>
          <cell r="B160" t="str">
            <v>ja</v>
          </cell>
          <cell r="C160" t="str">
            <v>パネルブレイク100 タップ回数UP</v>
          </cell>
          <cell r="D160" t="str">
            <v>自身が先頭の時、1ターンの間に合計100個以上パネルを破壊した場合にタップ回数を1回増やす</v>
          </cell>
        </row>
        <row r="161">
          <cell r="A161">
            <v>824</v>
          </cell>
          <cell r="B161" t="str">
            <v>ja</v>
          </cell>
          <cell r="C161" t="str">
            <v>パネルブレイク40 CP生成短縮(特大)</v>
          </cell>
          <cell r="D161" t="str">
            <v>自身または、味方が1ターンの間に合計40個以上パネル破壊した場合に先頭ユニットのCP生成短縮(特大)(1ターンに1度だけ発動)</v>
          </cell>
        </row>
        <row r="162">
          <cell r="A162">
            <v>825</v>
          </cell>
          <cell r="B162" t="str">
            <v>ja</v>
          </cell>
          <cell r="C162" t="str">
            <v>パネルブレイク60 HP回復</v>
          </cell>
          <cell r="D162" t="str">
            <v>自身が先頭の時、1ターンの間に合計60個以上パネルを破壊した場合にターン終了時、HP5000回復</v>
          </cell>
        </row>
        <row r="163">
          <cell r="A163">
            <v>826</v>
          </cell>
          <cell r="B163" t="str">
            <v>ja</v>
          </cell>
          <cell r="C163" t="str">
            <v>パネルブレイク60 HP回復</v>
          </cell>
          <cell r="D163" t="str">
            <v>自身が先頭の時、1ターンの間に合計60個以上パネルを破壊した場合にターン終了時HP4000回復</v>
          </cell>
        </row>
        <row r="164">
          <cell r="A164">
            <v>830</v>
          </cell>
          <cell r="B164" t="str">
            <v>ja</v>
          </cell>
          <cell r="C164" t="str">
            <v>パネルブレイク40 ウィルス解除</v>
          </cell>
          <cell r="D164" t="str">
            <v>自身または、味方が1ターンの間に合計40個以上パネル破壊した場合に全ユニットウィルス解除(1ターンに1度だけ発動)</v>
          </cell>
        </row>
        <row r="165">
          <cell r="A165">
            <v>831</v>
          </cell>
          <cell r="B165" t="str">
            <v>ja</v>
          </cell>
          <cell r="C165" t="str">
            <v>ボムブレイク10 赤属性防御力UP</v>
          </cell>
          <cell r="D165" t="str">
            <v>自身または味方が1ターンの間に合計10個以上ボムパネルを破壊した場合に赤属性ユニットの防御力UP</v>
          </cell>
        </row>
        <row r="166">
          <cell r="A166">
            <v>832</v>
          </cell>
          <cell r="B166" t="str">
            <v>ja</v>
          </cell>
          <cell r="C166" t="str">
            <v>パネルブレイク30 種族ヒューマン攻撃力UP</v>
          </cell>
          <cell r="D166" t="str">
            <v>自身が先頭の時、1ターンの間に合計30個以上パネルを破壊した場合に種族ヒューマンの攻撃力UP</v>
          </cell>
        </row>
        <row r="167">
          <cell r="A167">
            <v>833</v>
          </cell>
          <cell r="B167" t="str">
            <v>ja</v>
          </cell>
          <cell r="C167" t="str">
            <v>ボムブレイク12 HP回復</v>
          </cell>
          <cell r="D167" t="str">
            <v>自身または味方が1ターンの間に合計12個以上ボムパネルを破壊した場合にHP1200回復</v>
          </cell>
        </row>
        <row r="168">
          <cell r="A168">
            <v>834</v>
          </cell>
          <cell r="B168" t="str">
            <v>ja</v>
          </cell>
          <cell r="C168" t="str">
            <v>Cパネルブレイク12 タップ回数UP</v>
          </cell>
          <cell r="D168" t="str">
            <v>自身が先頭の時、1ターンの間に合計12個以上Cパネルを破壊した場合にタップ回数を1回増やす</v>
          </cell>
        </row>
        <row r="169">
          <cell r="A169">
            <v>835</v>
          </cell>
          <cell r="B169" t="str">
            <v>ja</v>
          </cell>
          <cell r="C169" t="str">
            <v>パネルブレイク60 防御力2000UP</v>
          </cell>
          <cell r="D169" t="str">
            <v>自身が先頭の時、1ターンの間に合計60個以上パネルを破壊した場合に防御力を2000UP</v>
          </cell>
        </row>
        <row r="170">
          <cell r="A170">
            <v>836</v>
          </cell>
          <cell r="B170" t="str">
            <v>ja</v>
          </cell>
          <cell r="C170" t="str">
            <v>ボムパネルブレイク15 タップ回数UP</v>
          </cell>
          <cell r="D170" t="str">
            <v>自身が先頭の時、1ターンの間に合計15個以上ボムパネルを破壊した場合にタップ回数を1回増やす</v>
          </cell>
        </row>
        <row r="171">
          <cell r="A171">
            <v>900</v>
          </cell>
          <cell r="B171" t="str">
            <v>ja</v>
          </cell>
          <cell r="C171" t="str">
            <v>チェイン12 攻撃力UP</v>
          </cell>
          <cell r="D171" t="str">
            <v>自身が先頭の時、1タップで12個以上パネルを繋げた場合に攻撃力UP(1ターンに1度だけ発動)</v>
          </cell>
        </row>
        <row r="172">
          <cell r="A172">
            <v>901</v>
          </cell>
          <cell r="B172" t="str">
            <v>ja</v>
          </cell>
          <cell r="C172" t="str">
            <v>チェイン12 回復力UP</v>
          </cell>
          <cell r="D172" t="str">
            <v>自身が先頭の時、1タップで12個以上パネルを繋げた場合に回復力UP(1ターンに1度だけ発動)</v>
          </cell>
        </row>
        <row r="173">
          <cell r="A173">
            <v>902</v>
          </cell>
          <cell r="B173" t="str">
            <v>ja</v>
          </cell>
          <cell r="C173" t="str">
            <v>チェイン12 タップ回数UP</v>
          </cell>
          <cell r="D173" t="str">
            <v>自身が先頭の時、1タップで12個以上パネルを繋げた場合にタップ回数を1回増やす(1ターンに1度だけ発動)</v>
          </cell>
        </row>
        <row r="174">
          <cell r="A174">
            <v>903</v>
          </cell>
          <cell r="B174" t="str">
            <v>ja</v>
          </cell>
          <cell r="C174" t="str">
            <v>チェイン18 スキルターン短縮</v>
          </cell>
          <cell r="D174" t="str">
            <v>自身が先頭の時、1タップで18個以上パネルを繋げた場合に自身のスキルターンを1短縮(1ターンに1度だけ発動)</v>
          </cell>
        </row>
        <row r="175">
          <cell r="A175">
            <v>904</v>
          </cell>
          <cell r="B175" t="str">
            <v>ja</v>
          </cell>
          <cell r="C175" t="str">
            <v>チェイン17 回復力UP</v>
          </cell>
          <cell r="D175" t="str">
            <v>自身が先頭の時、1タップで17個以上パネルを繋げた場合に自身の回復力を2017UP(1ターンに1度だけ発動)</v>
          </cell>
        </row>
        <row r="176">
          <cell r="A176">
            <v>905</v>
          </cell>
          <cell r="B176" t="str">
            <v>ja</v>
          </cell>
          <cell r="C176" t="str">
            <v>チェイン12 攻撃力小UP</v>
          </cell>
          <cell r="D176" t="str">
            <v>自身が先頭の時、1タップで12個以上パネルを繋げた場合に攻撃力小UP(1ターンに1度だけ発動)</v>
          </cell>
        </row>
        <row r="177">
          <cell r="A177">
            <v>906</v>
          </cell>
          <cell r="B177" t="str">
            <v>ja</v>
          </cell>
          <cell r="C177" t="str">
            <v>チェイン14 回復力小UP</v>
          </cell>
          <cell r="D177" t="str">
            <v>自身が先頭の時、1タップで14個以上パネルを繋げた場合に回復力小UP(1ターンに1度だけ発動)</v>
          </cell>
        </row>
        <row r="178">
          <cell r="A178">
            <v>907</v>
          </cell>
          <cell r="B178" t="str">
            <v>ja</v>
          </cell>
          <cell r="C178" t="str">
            <v>チェイン14 攻撃力UP</v>
          </cell>
          <cell r="D178" t="str">
            <v>自身が先頭の時、1タップで14個以上パネルを繋げた場合に攻撃力UP(1ターンに1度だけ発動)</v>
          </cell>
        </row>
        <row r="179">
          <cell r="A179">
            <v>908</v>
          </cell>
          <cell r="B179" t="str">
            <v>ja</v>
          </cell>
          <cell r="C179" t="str">
            <v>チェイン16 黄属性防御力UP</v>
          </cell>
          <cell r="D179" t="str">
            <v>自身が先頭の時、1タップで16個以上パネルを繋げた場合に黄属性ユニットの防御力UP(1ターンに1度だけ発動)</v>
          </cell>
        </row>
        <row r="180">
          <cell r="A180">
            <v>909</v>
          </cell>
          <cell r="B180" t="str">
            <v>ja</v>
          </cell>
          <cell r="C180" t="str">
            <v>チェイン30 Cパネル生成短縮(激烈)</v>
          </cell>
          <cell r="D180" t="str">
            <v>自身が先頭の時、1タップで30個以上パネルを繋げた場合にCパネル生成短縮(効果激烈)(1ターンに1度だけ発動)</v>
          </cell>
        </row>
        <row r="181">
          <cell r="A181">
            <v>910</v>
          </cell>
          <cell r="B181" t="str">
            <v>ja</v>
          </cell>
          <cell r="C181" t="str">
            <v>チェイン18 HP回復</v>
          </cell>
          <cell r="D181" t="str">
            <v>自身が先頭の時、1タップで18個以上パネルを繋げた場合にHPを2500回復(1ターンに1度だけ発動)</v>
          </cell>
        </row>
        <row r="182">
          <cell r="A182">
            <v>911</v>
          </cell>
          <cell r="B182" t="str">
            <v>ja</v>
          </cell>
          <cell r="C182" t="str">
            <v>チェイン24 ダメージ軽減</v>
          </cell>
          <cell r="D182" t="str">
            <v>自身が先頭の時、1タップで24個以上パネルを繋げた場合に敵からのダメージを15％軽減(1ターンに1度だけ発動)</v>
          </cell>
        </row>
        <row r="183">
          <cell r="A183">
            <v>912</v>
          </cell>
          <cell r="B183" t="str">
            <v>ja</v>
          </cell>
          <cell r="C183" t="str">
            <v>チェイン22 スキルターン短縮</v>
          </cell>
          <cell r="D183" t="str">
            <v>自身が先頭の時、1タップで22個以上パネルを繋げた場合に自身のスキルターンを1短縮(1ターンに1度だけ発動)</v>
          </cell>
        </row>
        <row r="184">
          <cell r="A184">
            <v>913</v>
          </cell>
          <cell r="B184" t="str">
            <v>ja</v>
          </cell>
          <cell r="C184" t="str">
            <v>チェイン26 Cパネル生成短縮(特大)</v>
          </cell>
          <cell r="D184" t="str">
            <v>自身または、味方が1タップで26個以上パネルを繋げた場合に先頭ユニットのCパネル生成短縮(効果特大)(1ターンに1度だけ発動)</v>
          </cell>
        </row>
        <row r="185">
          <cell r="A185">
            <v>914</v>
          </cell>
          <cell r="B185" t="str">
            <v>ja</v>
          </cell>
          <cell r="C185" t="str">
            <v>チェイン14 スキルバインド解除</v>
          </cell>
          <cell r="D185" t="str">
            <v>自身が先頭の時、1タップで14個以上パネルを繋げた場合にスキルバインドを解除する</v>
          </cell>
        </row>
        <row r="186">
          <cell r="A186">
            <v>915</v>
          </cell>
          <cell r="B186" t="str">
            <v>ja</v>
          </cell>
          <cell r="C186" t="str">
            <v>チェイン16 スキルターン短縮</v>
          </cell>
          <cell r="D186" t="str">
            <v>自身が先頭の時、1タップで16個以上パネルを繋げた場合に自身のスキルターンを1短縮する(1ターンに1度だけ発動)</v>
          </cell>
        </row>
        <row r="187">
          <cell r="A187">
            <v>916</v>
          </cell>
          <cell r="B187" t="str">
            <v>ja</v>
          </cell>
          <cell r="C187" t="str">
            <v>チェイン14 黄属性防御力UP</v>
          </cell>
          <cell r="D187" t="str">
            <v>自身が先頭の時、1タップで14個以上パネルを繋げた場合に黄属性ユニットの防御力UP(1ターンに1度だけ発動)</v>
          </cell>
        </row>
        <row r="188">
          <cell r="A188">
            <v>917</v>
          </cell>
          <cell r="B188" t="str">
            <v>ja</v>
          </cell>
          <cell r="C188" t="str">
            <v>チェイン18 HP回復</v>
          </cell>
          <cell r="D188" t="str">
            <v>自身が先頭の時、1タップで18個以上パネルを繋げた場合にHPを1500回復(1ターンに1度だけ発動)</v>
          </cell>
        </row>
        <row r="189">
          <cell r="A189">
            <v>918</v>
          </cell>
          <cell r="B189" t="str">
            <v>ja</v>
          </cell>
          <cell r="C189" t="str">
            <v>チェイン18 HP回復</v>
          </cell>
          <cell r="D189" t="str">
            <v>自身が先頭の時、1タップで18個以上パネルを繋げた場合にHPを1500回復(1ターンに1度だけ発動)</v>
          </cell>
        </row>
        <row r="190">
          <cell r="A190">
            <v>919</v>
          </cell>
          <cell r="B190" t="str">
            <v>ja</v>
          </cell>
          <cell r="C190" t="str">
            <v>チェイン16 攻撃力特大UP</v>
          </cell>
          <cell r="D190" t="str">
            <v>自身が先頭の時、1タップで16個以上パネルを繋げた場合に攻撃力特大UP(1ターンに1度だけ発動)</v>
          </cell>
        </row>
        <row r="191">
          <cell r="A191">
            <v>1000</v>
          </cell>
          <cell r="B191" t="str">
            <v>ja</v>
          </cell>
          <cell r="C191" t="str">
            <v>対種族ヒューマン 超大カウンター</v>
          </cell>
          <cell r="D191" t="str">
            <v>敵に種族ヒューマンがいる場合、自身に超大カウンター</v>
          </cell>
        </row>
        <row r="192">
          <cell r="A192">
            <v>1100</v>
          </cell>
          <cell r="B192" t="str">
            <v>ja</v>
          </cell>
          <cell r="C192" t="str">
            <v>Cパネル生成短縮</v>
          </cell>
          <cell r="D192" t="str">
            <v>自身が先頭の時、Cパネル生成に必要なチェイン数を1短縮する</v>
          </cell>
        </row>
        <row r="193">
          <cell r="A193">
            <v>1101</v>
          </cell>
          <cell r="B193" t="str">
            <v>ja</v>
          </cell>
          <cell r="C193" t="str">
            <v>Cパネル生成短縮(大)</v>
          </cell>
          <cell r="D193" t="str">
            <v>自身が先頭の時、Cパネル生成に必要なチェイン数を2短縮する</v>
          </cell>
        </row>
        <row r="194">
          <cell r="A194">
            <v>1200</v>
          </cell>
          <cell r="B194" t="str">
            <v>ja</v>
          </cell>
          <cell r="C194" t="str">
            <v>フィーバー攻撃UP</v>
          </cell>
          <cell r="D194" t="str">
            <v>自身が先頭の時、フィーバー発動時に緑属性の攻撃力と回復力UP</v>
          </cell>
        </row>
        <row r="195">
          <cell r="A195">
            <v>1300</v>
          </cell>
          <cell r="B195" t="str">
            <v>ja</v>
          </cell>
          <cell r="C195" t="str">
            <v>チェイン12 HP回復</v>
          </cell>
          <cell r="D195" t="str">
            <v>自身が先頭の時、1タップで12個以上パネルを繋げた場合にHPを2000回復(1ターンに1度だけ発動)</v>
          </cell>
        </row>
        <row r="196">
          <cell r="A196">
            <v>1400</v>
          </cell>
          <cell r="B196" t="str">
            <v>ja</v>
          </cell>
          <cell r="C196" t="str">
            <v>カウンター威力UP</v>
          </cell>
          <cell r="D196" t="str">
            <v>4ターン毎に自身のカウンタースキルの威力が1ターンの間UP</v>
          </cell>
        </row>
        <row r="197">
          <cell r="A197">
            <v>1500</v>
          </cell>
          <cell r="B197" t="str">
            <v>ja</v>
          </cell>
          <cell r="C197" t="str">
            <v>バリア15000</v>
          </cell>
          <cell r="D197" t="str">
            <v>戦闘開始時に、自身への直接ダメージを15000まで防ぐバリアを一度だけ展開(バリアは破壊されると復活しない)</v>
          </cell>
        </row>
        <row r="198">
          <cell r="A198">
            <v>1501</v>
          </cell>
          <cell r="B198" t="str">
            <v>ja</v>
          </cell>
          <cell r="C198" t="str">
            <v>バリア</v>
          </cell>
          <cell r="D198" t="str">
            <v>戦闘開始時に、ダメージを25000まで防ぐバリアを一度だけ展開</v>
          </cell>
        </row>
        <row r="199">
          <cell r="A199">
            <v>1502</v>
          </cell>
          <cell r="B199" t="str">
            <v>ja</v>
          </cell>
          <cell r="C199" t="str">
            <v>バリア</v>
          </cell>
          <cell r="D199" t="str">
            <v>戦闘開始時に、ダメージを50000まで防ぐバリアを一度だけ展開</v>
          </cell>
        </row>
        <row r="200">
          <cell r="A200">
            <v>1503</v>
          </cell>
          <cell r="B200" t="str">
            <v>ja</v>
          </cell>
          <cell r="C200" t="str">
            <v>バリア8000</v>
          </cell>
          <cell r="D200" t="str">
            <v>戦闘開始時に、自身への直接ダメージを8000まで防ぐバリアを一度だけ展開(バリアは破壊されると復活しない)</v>
          </cell>
        </row>
        <row r="201">
          <cell r="A201">
            <v>1504</v>
          </cell>
          <cell r="B201" t="str">
            <v>ja</v>
          </cell>
          <cell r="C201" t="str">
            <v>バリア10000</v>
          </cell>
          <cell r="D201" t="str">
            <v>戦闘開始時に、自身への直接ダメージを10000まで防ぐバリアを一度だけ展開(バリアは破壊されると復活しない)</v>
          </cell>
        </row>
        <row r="202">
          <cell r="A202">
            <v>1505</v>
          </cell>
          <cell r="B202" t="str">
            <v>ja</v>
          </cell>
          <cell r="C202" t="str">
            <v>バリア3939</v>
          </cell>
          <cell r="D202" t="str">
            <v>戦闘開始時に、自身への直接ダメージを3939まで防ぐバリアを一度だけ展開(バリアは破壊されると復活しない)</v>
          </cell>
        </row>
        <row r="203">
          <cell r="A203">
            <v>1506</v>
          </cell>
          <cell r="B203" t="str">
            <v>ja</v>
          </cell>
          <cell r="C203" t="str">
            <v>バリア5000</v>
          </cell>
          <cell r="D203" t="str">
            <v>戦闘開始時に、自身への直接ダメージを5000まで防ぐバリアを一度だけ展開(バリアは破壊されると復活しない)</v>
          </cell>
        </row>
        <row r="204">
          <cell r="A204">
            <v>1507</v>
          </cell>
          <cell r="B204" t="str">
            <v>ja</v>
          </cell>
          <cell r="C204" t="str">
            <v>バリア3500</v>
          </cell>
          <cell r="D204" t="str">
            <v>戦闘開始時に、自身への直接ダメージを3500まで防ぐバリアを一度だけ展開(バリアは破壊されると復活しない)</v>
          </cell>
        </row>
        <row r="205">
          <cell r="A205">
            <v>1600</v>
          </cell>
          <cell r="B205" t="str">
            <v>ja</v>
          </cell>
          <cell r="C205" t="str">
            <v>攻撃力・回復力UP</v>
          </cell>
          <cell r="D205" t="str">
            <v>自身の攻撃力と回復力をUP</v>
          </cell>
        </row>
        <row r="206">
          <cell r="A206">
            <v>1601</v>
          </cell>
          <cell r="B206" t="str">
            <v>ja</v>
          </cell>
          <cell r="C206" t="str">
            <v>隣接ユニット 回復力UP</v>
          </cell>
          <cell r="D206" t="str">
            <v>右隣のユニットの回復力を1000UPする</v>
          </cell>
        </row>
        <row r="207">
          <cell r="A207">
            <v>1602</v>
          </cell>
          <cell r="B207" t="str">
            <v>ja</v>
          </cell>
          <cell r="C207" t="str">
            <v>テクニカルタイプ攻撃力UP</v>
          </cell>
          <cell r="D207" t="str">
            <v>テクニカルタイプの攻撃力を700UP</v>
          </cell>
        </row>
        <row r="208">
          <cell r="A208">
            <v>1603</v>
          </cell>
          <cell r="B208" t="str">
            <v>ja</v>
          </cell>
          <cell r="C208" t="str">
            <v>3種族 攻撃力UP</v>
          </cell>
          <cell r="D208" t="str">
            <v>種族アニマル・ファンタジー・ヒーローユニットの攻撃力を800UP</v>
          </cell>
        </row>
        <row r="209">
          <cell r="A209">
            <v>1604</v>
          </cell>
          <cell r="B209" t="str">
            <v>ja</v>
          </cell>
          <cell r="C209" t="str">
            <v>2種族 6ターン毎、タップ回数UP</v>
          </cell>
          <cell r="D209" t="str">
            <v>最初の1ターン目と、その後6ターン毎にヒューマン・ファンタジーユニットのタップ回数1増加</v>
          </cell>
        </row>
        <row r="210">
          <cell r="A210">
            <v>1605</v>
          </cell>
          <cell r="B210" t="str">
            <v>ja</v>
          </cell>
          <cell r="C210" t="str">
            <v>タイプ 攻撃力UP</v>
          </cell>
          <cell r="D210" t="str">
            <v>パーティーに体力かテクニカルタイプいる場合、全ユニット攻撃力500UP</v>
          </cell>
        </row>
        <row r="211">
          <cell r="A211">
            <v>1700</v>
          </cell>
          <cell r="B211" t="str">
            <v>ja</v>
          </cell>
          <cell r="C211" t="str">
            <v>パネルブレイク30 ターンHP小回復</v>
          </cell>
          <cell r="D211" t="str">
            <v>自身が先頭の時、1ターンの間に合計30個以上パネルを破壊した場合に1ターン HP小回復</v>
          </cell>
        </row>
        <row r="212">
          <cell r="A212">
            <v>1701</v>
          </cell>
          <cell r="B212" t="str">
            <v>ja</v>
          </cell>
          <cell r="C212" t="str">
            <v>5ターン毎、HP回復</v>
          </cell>
          <cell r="D212" t="str">
            <v>最初の1ターン目と、その後5ターン毎のターン終了時、HPを2500回復する</v>
          </cell>
        </row>
        <row r="213">
          <cell r="A213">
            <v>1702</v>
          </cell>
          <cell r="B213" t="str">
            <v>ja</v>
          </cell>
          <cell r="C213" t="str">
            <v>ターン経過攻撃力UP</v>
          </cell>
          <cell r="D213" t="str">
            <v>最初の1ターン目と、その後6ターン毎に1ターン種族ドラゴン・ファンタジー・アニマルの攻撃力を1000UP</v>
          </cell>
        </row>
        <row r="214">
          <cell r="A214">
            <v>1703</v>
          </cell>
          <cell r="B214" t="str">
            <v>ja</v>
          </cell>
          <cell r="C214" t="str">
            <v>8ターン毎、右隣スキルターン1短縮</v>
          </cell>
          <cell r="D214" t="str">
            <v>最初の1ターン目と、その後8ターン毎に右隣のユニットのスキルターンを1短縮</v>
          </cell>
        </row>
        <row r="215">
          <cell r="A215">
            <v>1704</v>
          </cell>
          <cell r="B215" t="str">
            <v>ja</v>
          </cell>
          <cell r="C215" t="str">
            <v>ターン経過回復力UP</v>
          </cell>
          <cell r="D215" t="str">
            <v>最初の1ターン目と、その後6ターン毎に1ターン自身と右隣のユニットの回復力を1500UP</v>
          </cell>
        </row>
        <row r="216">
          <cell r="A216">
            <v>1800</v>
          </cell>
          <cell r="B216" t="str">
            <v>ja</v>
          </cell>
          <cell r="C216" t="str">
            <v>フィーバー強化</v>
          </cell>
          <cell r="D216" t="str">
            <v>フィーバー時自身の攻撃力、回復力を特大UP</v>
          </cell>
        </row>
        <row r="217">
          <cell r="A217">
            <v>1900</v>
          </cell>
          <cell r="B217" t="str">
            <v>ja</v>
          </cell>
          <cell r="C217" t="str">
            <v>ハート出現率UP</v>
          </cell>
          <cell r="D217" t="str">
            <v>自身が先頭の時、ハートパネルの出現率UP</v>
          </cell>
        </row>
        <row r="218">
          <cell r="A218">
            <v>2000</v>
          </cell>
          <cell r="B218" t="str">
            <v>ja</v>
          </cell>
          <cell r="C218" t="str">
            <v>赤パネル出現率UP</v>
          </cell>
          <cell r="D218" t="str">
            <v>自身が先頭の時、赤パネルの出現率UP</v>
          </cell>
        </row>
        <row r="219">
          <cell r="A219">
            <v>2100</v>
          </cell>
          <cell r="B219" t="str">
            <v>ja</v>
          </cell>
          <cell r="C219" t="str">
            <v>緑パネル出現率UP</v>
          </cell>
          <cell r="D219" t="str">
            <v>自身が先頭の時、緑パネルの出現率UP</v>
          </cell>
        </row>
        <row r="220">
          <cell r="A220">
            <v>2101</v>
          </cell>
          <cell r="B220" t="str">
            <v>ja</v>
          </cell>
          <cell r="C220" t="str">
            <v>緑パネル出現率UP</v>
          </cell>
          <cell r="D220" t="str">
            <v>自身が先頭の時、緑パネルの出現率UP</v>
          </cell>
        </row>
        <row r="221">
          <cell r="A221">
            <v>2200</v>
          </cell>
          <cell r="B221" t="str">
            <v>ja</v>
          </cell>
          <cell r="C221" t="str">
            <v>青パネル出現率UP</v>
          </cell>
          <cell r="D221" t="str">
            <v>自身が先頭の時、青パネルの出現率UP</v>
          </cell>
        </row>
        <row r="222">
          <cell r="A222">
            <v>2201</v>
          </cell>
          <cell r="B222" t="str">
            <v>ja</v>
          </cell>
          <cell r="C222" t="str">
            <v>青パネル出現率UP</v>
          </cell>
          <cell r="D222" t="str">
            <v>自身が先頭の時、青パネルの出現率UP</v>
          </cell>
        </row>
        <row r="223">
          <cell r="A223">
            <v>2300</v>
          </cell>
          <cell r="B223" t="str">
            <v>ja</v>
          </cell>
          <cell r="C223" t="str">
            <v>黄パネル出現率UP</v>
          </cell>
          <cell r="D223" t="str">
            <v>自身が先頭の時、黄パネルの出現率UP</v>
          </cell>
        </row>
        <row r="224">
          <cell r="A224">
            <v>2400</v>
          </cell>
          <cell r="B224" t="str">
            <v>ja</v>
          </cell>
          <cell r="C224" t="str">
            <v>ハートボムパネルドロップ</v>
          </cell>
          <cell r="D224" t="str">
            <v>自身が先頭の時、ハートパネルを確率でハートボムパネルに変換しドロップ</v>
          </cell>
        </row>
        <row r="225">
          <cell r="A225">
            <v>2401</v>
          </cell>
          <cell r="B225" t="str">
            <v>ja</v>
          </cell>
          <cell r="C225" t="str">
            <v>赤ボムパネルドロップ</v>
          </cell>
          <cell r="D225" t="str">
            <v>自身が先頭の時、赤パネルを低確率で赤ボムパネルに変換しドロップ</v>
          </cell>
        </row>
        <row r="226">
          <cell r="A226">
            <v>2402</v>
          </cell>
          <cell r="B226" t="str">
            <v>ja</v>
          </cell>
          <cell r="C226" t="str">
            <v>緑ボムパネルドロップ</v>
          </cell>
          <cell r="D226" t="str">
            <v>自身が先頭の時、緑パネルを低確率で緑ボムパネルに変換しドロップ</v>
          </cell>
        </row>
        <row r="227">
          <cell r="A227">
            <v>2403</v>
          </cell>
          <cell r="B227" t="str">
            <v>ja</v>
          </cell>
          <cell r="C227" t="str">
            <v>青ボムパネルドロップ</v>
          </cell>
          <cell r="D227" t="str">
            <v>自身が先頭の時、青パネルを確率で青ボムパネルに変換しドロップ</v>
          </cell>
        </row>
        <row r="228">
          <cell r="A228">
            <v>2500</v>
          </cell>
          <cell r="B228" t="str">
            <v>ja</v>
          </cell>
          <cell r="C228" t="str">
            <v>青パネルドロップ</v>
          </cell>
          <cell r="D228" t="str">
            <v>自身が先頭の時、緑パネルを確率で青パネルに変換しドロップ</v>
          </cell>
        </row>
        <row r="229">
          <cell r="A229">
            <v>2501</v>
          </cell>
          <cell r="B229" t="str">
            <v>ja</v>
          </cell>
          <cell r="C229" t="str">
            <v>黄パネルドロップ</v>
          </cell>
          <cell r="D229" t="str">
            <v>自身が先頭の時、青パネルを確率で黄パネルに変換しドロップ</v>
          </cell>
        </row>
        <row r="230">
          <cell r="A230">
            <v>2502</v>
          </cell>
          <cell r="B230" t="str">
            <v>ja</v>
          </cell>
          <cell r="C230" t="str">
            <v>赤パネルドロップ</v>
          </cell>
          <cell r="D230" t="str">
            <v>自身が先頭の時、黄パネルを確率で赤パネルに変換しドロップ</v>
          </cell>
        </row>
        <row r="231">
          <cell r="A231">
            <v>2503</v>
          </cell>
          <cell r="B231" t="str">
            <v>ja</v>
          </cell>
          <cell r="C231" t="str">
            <v>黄パネルドロップ</v>
          </cell>
          <cell r="D231" t="str">
            <v>自身が先頭の時、赤パネルを確率で黄パネルに変換しドロップ</v>
          </cell>
        </row>
        <row r="232">
          <cell r="A232">
            <v>2504</v>
          </cell>
          <cell r="B232" t="str">
            <v>ja</v>
          </cell>
          <cell r="C232" t="str">
            <v>SCパネルドロップ</v>
          </cell>
          <cell r="D232" t="str">
            <v>自身が先頭の時、緑パネルを確率でSCパネルに変換しドロップ</v>
          </cell>
        </row>
        <row r="233">
          <cell r="A233">
            <v>2505</v>
          </cell>
          <cell r="B233" t="str">
            <v>ja</v>
          </cell>
          <cell r="C233" t="str">
            <v>緑ボムパネル(大)ドロップ</v>
          </cell>
          <cell r="D233" t="str">
            <v>自身が先頭の時、低確率で緑ボムパネル(大)をドロップ</v>
          </cell>
        </row>
        <row r="234">
          <cell r="A234">
            <v>2506</v>
          </cell>
          <cell r="B234" t="str">
            <v>ja</v>
          </cell>
          <cell r="C234" t="str">
            <v>ハートボムパネル(大)ドロップ</v>
          </cell>
          <cell r="D234" t="str">
            <v>自身が先頭の時、低確率でハートボムパネル(大)をドロップ</v>
          </cell>
        </row>
        <row r="235">
          <cell r="A235">
            <v>2507</v>
          </cell>
          <cell r="B235" t="str">
            <v>ja</v>
          </cell>
          <cell r="C235" t="str">
            <v>Cパネルドロップ</v>
          </cell>
          <cell r="D235" t="str">
            <v>自身が先頭の時、低確率でCパネルをドロップ</v>
          </cell>
        </row>
        <row r="236">
          <cell r="A236">
            <v>2508</v>
          </cell>
          <cell r="B236" t="str">
            <v>ja</v>
          </cell>
          <cell r="C236" t="str">
            <v>黄パネルドロップ</v>
          </cell>
          <cell r="D236" t="str">
            <v>自身が先頭の時、緑パネルを確率で黄パネルに変換しドロップ</v>
          </cell>
        </row>
        <row r="237">
          <cell r="A237">
            <v>2509</v>
          </cell>
          <cell r="B237" t="str">
            <v>ja</v>
          </cell>
          <cell r="C237" t="str">
            <v>赤ボムパネル(大)ドロップ</v>
          </cell>
          <cell r="D237" t="str">
            <v>自身が先頭の時、低確率で赤ボムパネル(大)をドロップ</v>
          </cell>
        </row>
        <row r="238">
          <cell r="A238">
            <v>2510</v>
          </cell>
          <cell r="B238" t="str">
            <v>ja</v>
          </cell>
          <cell r="C238" t="str">
            <v>青ボムパネル(大)ドロップ</v>
          </cell>
          <cell r="D238" t="str">
            <v>自身が先頭の時、低確率で青ボムパネル(大)をドロップ</v>
          </cell>
        </row>
        <row r="239">
          <cell r="A239">
            <v>2511</v>
          </cell>
          <cell r="B239" t="str">
            <v>ja</v>
          </cell>
          <cell r="C239" t="str">
            <v>緑ボムパネルドロップ</v>
          </cell>
          <cell r="D239" t="str">
            <v>自身が先頭の時、ハートパネルを確率で緑ボムパネルに変換しドロップ</v>
          </cell>
        </row>
        <row r="240">
          <cell r="A240">
            <v>2512</v>
          </cell>
          <cell r="B240" t="str">
            <v>ja</v>
          </cell>
          <cell r="C240" t="str">
            <v>ハートボムパネル(大)ドロップ</v>
          </cell>
          <cell r="D240" t="str">
            <v>自身が先頭の時、低確率でハートボムパネル(大)をドロップ</v>
          </cell>
        </row>
        <row r="241">
          <cell r="A241">
            <v>2513</v>
          </cell>
          <cell r="B241" t="str">
            <v>ja</v>
          </cell>
          <cell r="C241" t="str">
            <v>緑ボムパネル(大)ドロップ</v>
          </cell>
          <cell r="D241" t="str">
            <v>自身が先頭の時、低確率で緑ボムパネル(大)をドロップ</v>
          </cell>
        </row>
        <row r="242">
          <cell r="A242">
            <v>2514</v>
          </cell>
          <cell r="B242" t="str">
            <v>ja</v>
          </cell>
          <cell r="C242" t="str">
            <v>赤ボムパネルドロップ</v>
          </cell>
          <cell r="D242" t="str">
            <v>自身が先頭の時、青パネルを低確率で赤ボムパネルに変換しドロップ</v>
          </cell>
        </row>
        <row r="243">
          <cell r="A243">
            <v>2515</v>
          </cell>
          <cell r="B243" t="str">
            <v>ja</v>
          </cell>
          <cell r="C243" t="str">
            <v>テクニカル Cパネ降り（仮）</v>
          </cell>
          <cell r="D243" t="str">
            <v>テクニカルが先頭の時、低確率でCパネルをドロップ</v>
          </cell>
        </row>
        <row r="244">
          <cell r="A244">
            <v>2600</v>
          </cell>
          <cell r="B244" t="str">
            <v>ja</v>
          </cell>
          <cell r="C244" t="str">
            <v>回復力400UP</v>
          </cell>
          <cell r="D244" t="str">
            <v>自身の回復力を400UP</v>
          </cell>
        </row>
        <row r="245">
          <cell r="A245">
            <v>2601</v>
          </cell>
          <cell r="B245" t="str">
            <v>ja</v>
          </cell>
          <cell r="C245" t="str">
            <v>回復力300UP</v>
          </cell>
          <cell r="D245" t="str">
            <v>自身の回復力を300UP</v>
          </cell>
        </row>
        <row r="246">
          <cell r="A246">
            <v>2700</v>
          </cell>
          <cell r="B246" t="str">
            <v>ja</v>
          </cell>
          <cell r="C246" t="str">
            <v>攻撃力UP</v>
          </cell>
          <cell r="D246" t="str">
            <v>自身の攻撃力を300UP</v>
          </cell>
        </row>
        <row r="247">
          <cell r="A247">
            <v>2701</v>
          </cell>
          <cell r="B247" t="str">
            <v>ja</v>
          </cell>
          <cell r="C247" t="str">
            <v>攻撃力UP</v>
          </cell>
          <cell r="D247" t="str">
            <v>自身の攻撃力を500UP</v>
          </cell>
        </row>
        <row r="248">
          <cell r="A248">
            <v>2800</v>
          </cell>
          <cell r="B248" t="str">
            <v>ja</v>
          </cell>
          <cell r="C248" t="str">
            <v>防御力UP</v>
          </cell>
          <cell r="D248" t="str">
            <v>自身の防御力を250UP</v>
          </cell>
        </row>
        <row r="249">
          <cell r="A249">
            <v>2801</v>
          </cell>
          <cell r="B249" t="str">
            <v>ja</v>
          </cell>
          <cell r="C249" t="str">
            <v>防御力UP</v>
          </cell>
          <cell r="D249" t="str">
            <v>自身の防御力を350UP</v>
          </cell>
        </row>
        <row r="250">
          <cell r="A250">
            <v>2802</v>
          </cell>
          <cell r="B250" t="str">
            <v>ja</v>
          </cell>
          <cell r="C250" t="str">
            <v>防御力UP</v>
          </cell>
          <cell r="D250" t="str">
            <v>自身の防御力を300UP</v>
          </cell>
        </row>
        <row r="251">
          <cell r="A251">
            <v>2803</v>
          </cell>
          <cell r="B251" t="str">
            <v>ja</v>
          </cell>
          <cell r="C251" t="str">
            <v>防御力UP</v>
          </cell>
          <cell r="D251" t="str">
            <v>自身の防御力を400UP</v>
          </cell>
        </row>
        <row r="252">
          <cell r="A252">
            <v>2804</v>
          </cell>
          <cell r="B252" t="str">
            <v>ja</v>
          </cell>
          <cell r="C252" t="str">
            <v>防御力UP</v>
          </cell>
          <cell r="D252" t="str">
            <v>自身の防御力を280UP</v>
          </cell>
        </row>
        <row r="253">
          <cell r="A253">
            <v>2805</v>
          </cell>
          <cell r="B253" t="str">
            <v>ja</v>
          </cell>
          <cell r="C253" t="str">
            <v>3ターン毎、防御力UP</v>
          </cell>
          <cell r="D253" t="str">
            <v>最初の1ターン目と、その後3ターン毎に1ターン緑属性ユニットの防御力を500UP</v>
          </cell>
        </row>
        <row r="254">
          <cell r="A254">
            <v>2900</v>
          </cell>
          <cell r="B254" t="str">
            <v>ja</v>
          </cell>
          <cell r="C254" t="str">
            <v>フィーバー50 攻撃力小UP</v>
          </cell>
          <cell r="D254" t="str">
            <v>フィーバーゲージが50％以上の時、自身の攻撃力小UP</v>
          </cell>
        </row>
        <row r="255">
          <cell r="A255">
            <v>2901</v>
          </cell>
          <cell r="B255" t="str">
            <v>ja</v>
          </cell>
          <cell r="C255" t="str">
            <v>フィーバー40 攻撃力UP</v>
          </cell>
          <cell r="D255" t="str">
            <v>フィーバーゲージが40％以上の時、自身の攻撃力UP</v>
          </cell>
        </row>
        <row r="256">
          <cell r="A256">
            <v>2902</v>
          </cell>
          <cell r="B256" t="str">
            <v>ja</v>
          </cell>
          <cell r="C256" t="str">
            <v>フィーバー80 攻撃力大UP</v>
          </cell>
          <cell r="D256" t="str">
            <v>フィーバーゲージが80％以上の時、自身の攻撃力大UP</v>
          </cell>
        </row>
        <row r="257">
          <cell r="A257">
            <v>2903</v>
          </cell>
          <cell r="B257" t="str">
            <v>ja</v>
          </cell>
          <cell r="C257" t="str">
            <v>フィーバー100 攻撃参加</v>
          </cell>
          <cell r="D257" t="str">
            <v>フィーバーゲージが100％の時、自身が先頭以外でも通常攻撃に参加する</v>
          </cell>
        </row>
        <row r="258">
          <cell r="A258">
            <v>2904</v>
          </cell>
          <cell r="B258" t="str">
            <v>ja</v>
          </cell>
          <cell r="C258" t="str">
            <v>フィーバー70 HP回復</v>
          </cell>
          <cell r="D258" t="str">
            <v>フィーバーゲージが70%以上の時、毎ターン終了時、HPを1500回復する</v>
          </cell>
        </row>
        <row r="259">
          <cell r="A259">
            <v>2905</v>
          </cell>
          <cell r="B259" t="str">
            <v>ja</v>
          </cell>
          <cell r="C259" t="str">
            <v>フィーバー100 Cパネル生成短縮</v>
          </cell>
          <cell r="D259" t="str">
            <v>フィーバーゲージが100％の時、全ユニットのCパネル生成に必要なチェイン数を1短縮する</v>
          </cell>
        </row>
        <row r="260">
          <cell r="A260">
            <v>2906</v>
          </cell>
          <cell r="B260" t="str">
            <v>ja</v>
          </cell>
          <cell r="C260" t="str">
            <v>フィーバー100 HP1000回復</v>
          </cell>
          <cell r="D260" t="str">
            <v>フィーバーゲージが100%以上の時、毎ターン終了時、HPを1000回復する</v>
          </cell>
        </row>
        <row r="261">
          <cell r="A261">
            <v>2907</v>
          </cell>
          <cell r="B261" t="str">
            <v>ja</v>
          </cell>
          <cell r="C261" t="str">
            <v>フィーバー100 タップ回数UP</v>
          </cell>
          <cell r="D261" t="str">
            <v>フィーバーゲージが100％以上の時、自身のタップ回数を1増加</v>
          </cell>
        </row>
        <row r="262">
          <cell r="A262">
            <v>3000</v>
          </cell>
          <cell r="B262" t="str">
            <v>ja</v>
          </cell>
          <cell r="C262" t="str">
            <v>7ターン毎、攻撃参加</v>
          </cell>
          <cell r="D262" t="str">
            <v>最初の1ターン目と、その後7ターン毎に自身が先頭以外でも通常攻撃に参加する</v>
          </cell>
        </row>
        <row r="263">
          <cell r="A263">
            <v>3001</v>
          </cell>
          <cell r="B263" t="str">
            <v>ja</v>
          </cell>
          <cell r="C263" t="str">
            <v>6ターン毎、攻撃参加</v>
          </cell>
          <cell r="D263" t="str">
            <v>最初の1ターン目と、その後6ターン毎に自身が先頭以外でも通常攻撃に参加する</v>
          </cell>
        </row>
        <row r="264">
          <cell r="A264">
            <v>3002</v>
          </cell>
          <cell r="B264" t="str">
            <v>ja</v>
          </cell>
          <cell r="C264" t="str">
            <v>9ターン毎、攻撃参加</v>
          </cell>
          <cell r="D264" t="str">
            <v>最初の1ターン目と、その後9ターン毎に自身が先頭以外でも通常攻撃に参加する</v>
          </cell>
        </row>
        <row r="265">
          <cell r="A265">
            <v>3100</v>
          </cell>
          <cell r="B265" t="str">
            <v>ja</v>
          </cell>
          <cell r="C265" t="str">
            <v>最終フロア Cパネル生成短縮(特大)</v>
          </cell>
          <cell r="D265" t="str">
            <v>最終フロア内で自身が先頭の時、Cパネル生成に必要なチェイン数を4短縮する</v>
          </cell>
        </row>
        <row r="266">
          <cell r="A266">
            <v>3101</v>
          </cell>
          <cell r="B266" t="str">
            <v>ja</v>
          </cell>
          <cell r="C266" t="str">
            <v>最終フロア バリア3000</v>
          </cell>
          <cell r="D266" t="str">
            <v>最終フロア到達時に自身への直接ダメージを3000まで防ぐバリアを一度だけ展開(バリアは破壊されると復活しない)</v>
          </cell>
        </row>
        <row r="267">
          <cell r="A267">
            <v>3102</v>
          </cell>
          <cell r="B267" t="str">
            <v>ja</v>
          </cell>
          <cell r="C267" t="str">
            <v>最終フロア時 Cスキル威力UP</v>
          </cell>
          <cell r="D267" t="str">
            <v>最終フロアの1ターン目終了時に自身のCスキルの威力をUP</v>
          </cell>
        </row>
        <row r="268">
          <cell r="A268">
            <v>3103</v>
          </cell>
          <cell r="B268" t="str">
            <v>ja</v>
          </cell>
          <cell r="C268" t="str">
            <v>最終フロア 攻撃力UP</v>
          </cell>
          <cell r="D268" t="str">
            <v>最終フロア内で自身の攻撃力を700UP</v>
          </cell>
        </row>
        <row r="269">
          <cell r="A269">
            <v>3104</v>
          </cell>
          <cell r="B269" t="str">
            <v>ja</v>
          </cell>
          <cell r="C269" t="str">
            <v>最終フロア時 バリア5000</v>
          </cell>
          <cell r="D269" t="str">
            <v>最終フロア到達時に自身への直接ダメージを5000まで防ぐバリアを一度だけ展開(バリアは破壊されると復活しない)</v>
          </cell>
        </row>
        <row r="270">
          <cell r="A270">
            <v>3105</v>
          </cell>
          <cell r="B270" t="str">
            <v>ja</v>
          </cell>
          <cell r="C270" t="str">
            <v>最終フロア時 バリア7000</v>
          </cell>
          <cell r="D270" t="str">
            <v>最終フロア到達時に自身への直接ダメージを7000まで防ぐバリアを一度だけ展開(バリアは破壊されると復活しない)</v>
          </cell>
        </row>
        <row r="271">
          <cell r="A271">
            <v>3106</v>
          </cell>
          <cell r="B271" t="str">
            <v>ja</v>
          </cell>
          <cell r="C271" t="str">
            <v>最終フロア HP回復</v>
          </cell>
          <cell r="D271" t="str">
            <v>最終フロアの毎ターン終了時、パーティの合計HPの5%を回復</v>
          </cell>
        </row>
        <row r="272">
          <cell r="A272">
            <v>3107</v>
          </cell>
          <cell r="B272" t="str">
            <v>ja</v>
          </cell>
          <cell r="C272" t="str">
            <v>各フロア タップ回数UP</v>
          </cell>
          <cell r="D272" t="str">
            <v>各フロアの開始時、1ターン全ユニットのタップ回数1増加</v>
          </cell>
        </row>
        <row r="273">
          <cell r="A273">
            <v>3108</v>
          </cell>
          <cell r="B273" t="str">
            <v>ja</v>
          </cell>
          <cell r="C273" t="str">
            <v>最終フロア時 バリア10000</v>
          </cell>
          <cell r="D273" t="str">
            <v>最終フロア到達時に自身への直接ダメージを10000まで防ぐバリアを一度だけ展開(バリアは破壊されると復活しない)</v>
          </cell>
        </row>
        <row r="274">
          <cell r="A274">
            <v>3109</v>
          </cell>
          <cell r="B274" t="str">
            <v>ja</v>
          </cell>
          <cell r="C274" t="str">
            <v>最終フロア 赤ボムパネルドロップ</v>
          </cell>
          <cell r="D274" t="str">
            <v>最終フロア内で青パネルを低確率で赤ボムパネルに変換しドロップ</v>
          </cell>
        </row>
        <row r="275">
          <cell r="A275">
            <v>3200</v>
          </cell>
          <cell r="B275" t="str">
            <v>ja</v>
          </cell>
          <cell r="C275" t="str">
            <v>HP33%以下 攻撃力UP</v>
          </cell>
          <cell r="D275" t="str">
            <v>自身が先頭の時、残りHPが33%以下で攻撃力特大UP</v>
          </cell>
        </row>
        <row r="276">
          <cell r="A276">
            <v>3201</v>
          </cell>
          <cell r="B276" t="str">
            <v>ja</v>
          </cell>
          <cell r="C276" t="str">
            <v>HP35%以下 回復力UP</v>
          </cell>
          <cell r="D276" t="str">
            <v>自身が先頭の時、残りHPが35%以下で回復力40%UP</v>
          </cell>
        </row>
        <row r="277">
          <cell r="A277">
            <v>3202</v>
          </cell>
          <cell r="B277" t="str">
            <v>ja</v>
          </cell>
          <cell r="C277" t="str">
            <v>HP90%以上 全属性耐性15</v>
          </cell>
          <cell r="D277" t="str">
            <v>自身が先頭の時、残りHPが90%以上で全ユニットに対する全属性の敵からの攻撃を15％軽減</v>
          </cell>
        </row>
        <row r="278">
          <cell r="A278">
            <v>3203</v>
          </cell>
          <cell r="B278" t="str">
            <v>ja</v>
          </cell>
          <cell r="C278" t="str">
            <v>HP50%以下 防御力UP</v>
          </cell>
          <cell r="D278" t="str">
            <v>自身が先頭の時、残りHPが50%以下で防御力398UP</v>
          </cell>
        </row>
        <row r="279">
          <cell r="A279">
            <v>3204</v>
          </cell>
          <cell r="B279" t="str">
            <v>ja</v>
          </cell>
          <cell r="C279" t="str">
            <v>HP30%以下 攻撃力大UP</v>
          </cell>
          <cell r="D279" t="str">
            <v>自身が先頭の時、残りHPが30%以下で攻撃力大UP</v>
          </cell>
        </row>
        <row r="280">
          <cell r="A280">
            <v>3205</v>
          </cell>
          <cell r="B280" t="str">
            <v>ja</v>
          </cell>
          <cell r="C280" t="str">
            <v>HP90%以上 ダメージ軽減</v>
          </cell>
          <cell r="D280" t="str">
            <v>残りHPが90%以上の時、全ユニットが敵からの攻撃を15％軽減</v>
          </cell>
        </row>
        <row r="281">
          <cell r="A281">
            <v>3206</v>
          </cell>
          <cell r="B281" t="str">
            <v>ja</v>
          </cell>
          <cell r="C281" t="str">
            <v>HP30%以下 回復力UP</v>
          </cell>
          <cell r="D281" t="str">
            <v>残りHPが30%以下の時、全ユニットの回復力20%UP</v>
          </cell>
        </row>
        <row r="282">
          <cell r="A282">
            <v>3207</v>
          </cell>
          <cell r="B282" t="str">
            <v>ja</v>
          </cell>
          <cell r="C282" t="str">
            <v>HP50%以下 回復力UP</v>
          </cell>
          <cell r="D282" t="str">
            <v>残りHPが50%以下の時、全ユニットの回復力365UP</v>
          </cell>
        </row>
        <row r="283">
          <cell r="A283">
            <v>3208</v>
          </cell>
          <cell r="B283" t="str">
            <v>ja</v>
          </cell>
          <cell r="C283" t="str">
            <v>HP35%以下 防御力UP</v>
          </cell>
          <cell r="D283" t="str">
            <v>残りHPが35%以下の時、自身の防御力800UP</v>
          </cell>
        </row>
        <row r="284">
          <cell r="A284">
            <v>3209</v>
          </cell>
          <cell r="B284" t="str">
            <v>ja</v>
          </cell>
          <cell r="C284" t="str">
            <v>HP80%以下 攻撃力大UP</v>
          </cell>
          <cell r="D284" t="str">
            <v>残りHPが80%以下の時、自身の攻撃力大UP</v>
          </cell>
        </row>
        <row r="285">
          <cell r="A285">
            <v>3210</v>
          </cell>
          <cell r="B285" t="str">
            <v>ja</v>
          </cell>
          <cell r="C285" t="str">
            <v>HP75%以下 Cパネル生成短縮</v>
          </cell>
          <cell r="D285" t="str">
            <v>残りHPが75%以下の時、自身の攻撃力大UP</v>
          </cell>
        </row>
        <row r="286">
          <cell r="A286">
            <v>4000</v>
          </cell>
          <cell r="B286" t="str">
            <v>ja</v>
          </cell>
          <cell r="C286" t="str">
            <v>被ダメージ時 HP回復</v>
          </cell>
          <cell r="D286" t="str">
            <v>自身が攻撃を受けた場合、次のターンの開始時にHP500回復する</v>
          </cell>
        </row>
        <row r="287">
          <cell r="A287">
            <v>5000</v>
          </cell>
          <cell r="B287" t="str">
            <v>ja</v>
          </cell>
          <cell r="C287" t="str">
            <v>パーティー内ゴッド 攻撃力UP</v>
          </cell>
          <cell r="D287" t="str">
            <v>パーティー内に種族ゴッドがいる時、全ユニットの攻撃力を500UP</v>
          </cell>
        </row>
        <row r="288">
          <cell r="A288">
            <v>5001</v>
          </cell>
          <cell r="B288" t="str">
            <v>ja</v>
          </cell>
          <cell r="C288" t="str">
            <v>パーティー内バランス 回復力UP</v>
          </cell>
          <cell r="D288" t="str">
            <v>パーティー内にバランスタイプがいる時、全ユニットの回復力を500UP</v>
          </cell>
        </row>
        <row r="289">
          <cell r="A289">
            <v>5002</v>
          </cell>
          <cell r="B289" t="str">
            <v>ja</v>
          </cell>
          <cell r="C289" t="str">
            <v>パーティー内青属性 攻撃力UP</v>
          </cell>
          <cell r="D289" t="str">
            <v>パーティー内に青属性ユニットがいる時、全ユニットの攻撃力を700UP</v>
          </cell>
        </row>
        <row r="290">
          <cell r="A290">
            <v>5003</v>
          </cell>
          <cell r="B290" t="str">
            <v>ja</v>
          </cell>
          <cell r="C290" t="str">
            <v>パーティー内赤属性 自身攻撃力UP</v>
          </cell>
          <cell r="D290" t="str">
            <v>パーティー内に赤属性ユニットがいる時、自身の攻撃力を1500UP</v>
          </cell>
        </row>
        <row r="291">
          <cell r="A291">
            <v>8000</v>
          </cell>
          <cell r="B291" t="str">
            <v>ja</v>
          </cell>
          <cell r="C291" t="str">
            <v>ユニットが一番右にいるとき 攻撃力UP</v>
          </cell>
          <cell r="D291" t="str">
            <v>自身が一番右にいる場合、全ユニットの攻撃力UP</v>
          </cell>
        </row>
        <row r="292">
          <cell r="A292">
            <v>8001</v>
          </cell>
          <cell r="B292" t="str">
            <v>ja</v>
          </cell>
          <cell r="C292" t="str">
            <v>敵に青属性がいる場合 小カウンター</v>
          </cell>
          <cell r="D292" t="str">
            <v>敵に青属性がいる場合、小カウンター</v>
          </cell>
        </row>
        <row r="293">
          <cell r="A293">
            <v>8002</v>
          </cell>
          <cell r="B293" t="str">
            <v>ja</v>
          </cell>
          <cell r="C293" t="str">
            <v>テスト</v>
          </cell>
          <cell r="D293" t="str">
            <v>フロアスタート時、1ターン全ユニットの攻撃力UP</v>
          </cell>
        </row>
        <row r="294">
          <cell r="A294">
            <v>8003</v>
          </cell>
          <cell r="B294" t="str">
            <v>ja</v>
          </cell>
          <cell r="C294" t="str">
            <v>HP70%以上 ウィルス無効</v>
          </cell>
          <cell r="D294" t="str">
            <v>残りHPが70%以上で自身にかかるウィルスを無効化する</v>
          </cell>
        </row>
        <row r="295">
          <cell r="A295">
            <v>8004</v>
          </cell>
          <cell r="B295" t="str">
            <v>ja</v>
          </cell>
          <cell r="C295" t="str">
            <v>フロアスタート時 スキルブースト</v>
          </cell>
          <cell r="D295" t="str">
            <v>フロアスタート時、1ターンスキルブースト</v>
          </cell>
        </row>
        <row r="296">
          <cell r="A296">
            <v>8005</v>
          </cell>
          <cell r="B296" t="str">
            <v>ja</v>
          </cell>
          <cell r="C296" t="str">
            <v>ハートがハートボム大</v>
          </cell>
          <cell r="D296" t="str">
            <v>ハートがハートボム大</v>
          </cell>
        </row>
        <row r="297">
          <cell r="A297">
            <v>8006</v>
          </cell>
          <cell r="B297" t="str">
            <v>ja</v>
          </cell>
          <cell r="C297" t="str">
            <v>攻撃、回復、体力のCP短縮1</v>
          </cell>
          <cell r="D297" t="str">
            <v>攻撃、回復、体力のCP短縮1</v>
          </cell>
        </row>
        <row r="298">
          <cell r="A298">
            <v>8007</v>
          </cell>
          <cell r="B298" t="str">
            <v>ja</v>
          </cell>
          <cell r="C298" t="str">
            <v>自身の左ユニットが攻撃参加</v>
          </cell>
          <cell r="D298" t="str">
            <v>自身の左ユニットが攻撃参加</v>
          </cell>
        </row>
        <row r="299">
          <cell r="A299">
            <v>8008</v>
          </cell>
          <cell r="B299" t="str">
            <v>ja</v>
          </cell>
          <cell r="C299" t="str">
            <v>ターン経過回復力UP</v>
          </cell>
          <cell r="D299" t="str">
            <v>最初の1ターン目と、その後4ターン毎に2ターン全ユニットの回復力を1500UP</v>
          </cell>
        </row>
        <row r="300">
          <cell r="A300">
            <v>8009</v>
          </cell>
          <cell r="B300" t="str">
            <v>ja</v>
          </cell>
          <cell r="C300" t="str">
            <v>最終フロア Cパネル生成短縮(特大)</v>
          </cell>
          <cell r="D300" t="str">
            <v>最終フロア内で自身が先頭の時、Cパネル生成に必要なチェイン数を4短縮する</v>
          </cell>
        </row>
        <row r="301">
          <cell r="A301">
            <v>8010</v>
          </cell>
          <cell r="B301" t="str">
            <v>ja</v>
          </cell>
          <cell r="C301" t="str">
            <v>対Unknown&amp;青属性 ダメージUP</v>
          </cell>
          <cell r="D301" t="str">
            <v>自身の攻撃対象が種族Unknownで、青属性の場合全ての攻撃の威力をUP</v>
          </cell>
        </row>
        <row r="302">
          <cell r="A302">
            <v>8011</v>
          </cell>
          <cell r="B302" t="str">
            <v>ja</v>
          </cell>
          <cell r="C302" t="str">
            <v>対青属性 スリープ付与</v>
          </cell>
          <cell r="D302" t="str">
            <v>青属性を攻撃するとき、確率で1ターンスリープ付与</v>
          </cell>
        </row>
        <row r="303">
          <cell r="A303">
            <v>9000</v>
          </cell>
          <cell r="B303" t="str">
            <v>ja</v>
          </cell>
          <cell r="C303" t="str">
            <v>ハップルチャレンジ ダメージUP</v>
          </cell>
          <cell r="D303" t="str">
            <v>ハップルチャレンジ内で自身の全ての攻撃の威力をUP</v>
          </cell>
        </row>
        <row r="304">
          <cell r="A304">
            <v>9001</v>
          </cell>
          <cell r="B304" t="str">
            <v>ja</v>
          </cell>
          <cell r="C304" t="str">
            <v>クロネッカーチャレンジ ダメージUP</v>
          </cell>
          <cell r="D304" t="str">
            <v>クロネッカーチャレンジ内で自身の全ての攻撃の威力をUP</v>
          </cell>
        </row>
        <row r="305">
          <cell r="A305">
            <v>9002</v>
          </cell>
          <cell r="B305" t="str">
            <v>ja</v>
          </cell>
          <cell r="C305" t="str">
            <v>クロネッカーチャレンジ ダメージUP</v>
          </cell>
          <cell r="D305" t="str">
            <v>クロネッカーチャレンジ内で自身の全ての攻撃+カウンターの威力をUP</v>
          </cell>
        </row>
        <row r="306">
          <cell r="A306">
            <v>9003</v>
          </cell>
          <cell r="B306" t="str">
            <v>ja</v>
          </cell>
          <cell r="C306" t="str">
            <v>オイラーチャレンジ ダメージUP</v>
          </cell>
          <cell r="D306" t="str">
            <v>オイラーチャレンジ内で自身の全ての攻撃の威力をUP</v>
          </cell>
        </row>
        <row r="307">
          <cell r="A307">
            <v>9004</v>
          </cell>
          <cell r="B307" t="str">
            <v>ja</v>
          </cell>
          <cell r="C307" t="str">
            <v>オイラーチャレンジ ダメージ究極UP</v>
          </cell>
          <cell r="D307" t="str">
            <v>オイラーチャレンジ内で自身の全ての攻撃の威力を究極UP</v>
          </cell>
        </row>
        <row r="308">
          <cell r="A308">
            <v>9005</v>
          </cell>
          <cell r="B308" t="str">
            <v>ja</v>
          </cell>
          <cell r="C308" t="str">
            <v>ヘンペルチャレンジ ダメージUP</v>
          </cell>
          <cell r="D308" t="str">
            <v>ヘンペルチャレンジ内で自身の全ての攻撃の威力をUP</v>
          </cell>
        </row>
        <row r="309">
          <cell r="A309">
            <v>9006</v>
          </cell>
          <cell r="B309" t="str">
            <v>ja</v>
          </cell>
          <cell r="C309" t="str">
            <v>ヘンペルチャレンジ ダメージUP</v>
          </cell>
          <cell r="D309" t="str">
            <v>ヘンペルチャレンジ内で自身の全ての攻撃+カウンターの威力をUP</v>
          </cell>
        </row>
        <row r="310">
          <cell r="A310">
            <v>9007</v>
          </cell>
          <cell r="B310" t="str">
            <v>ja</v>
          </cell>
          <cell r="C310" t="str">
            <v>フロイトチャレンジ ダメージ究極UP</v>
          </cell>
          <cell r="D310" t="str">
            <v>フロイトチャレンジ内で自身の全ての攻撃の威力を究極UP</v>
          </cell>
        </row>
        <row r="311">
          <cell r="A311">
            <v>9008</v>
          </cell>
          <cell r="B311" t="str">
            <v>ja</v>
          </cell>
          <cell r="C311" t="str">
            <v>フロイトチャレンジ ダメージUP</v>
          </cell>
          <cell r="D311" t="str">
            <v>フロイトチャレンジ内で自身の全ての攻撃の威力をUP</v>
          </cell>
        </row>
        <row r="312">
          <cell r="A312">
            <v>9009</v>
          </cell>
          <cell r="B312" t="str">
            <v>ja</v>
          </cell>
          <cell r="C312" t="str">
            <v>フロイトチャレンジ ダメージUP</v>
          </cell>
          <cell r="D312" t="str">
            <v>フロイトチャレンジ内で自身の全ての攻撃+カウンターの威力をUP</v>
          </cell>
        </row>
        <row r="313">
          <cell r="A313">
            <v>9010</v>
          </cell>
          <cell r="B313" t="str">
            <v>ja</v>
          </cell>
          <cell r="C313" t="str">
            <v>ウエディングクエスト ダメージUP</v>
          </cell>
          <cell r="D313" t="str">
            <v>ウエディングクエスト内で自身の全ての攻撃の威力をUP</v>
          </cell>
        </row>
        <row r="314">
          <cell r="A314">
            <v>9011</v>
          </cell>
          <cell r="B314" t="str">
            <v>ja</v>
          </cell>
          <cell r="C314" t="str">
            <v>クリスマスクエストダメージ究極UP</v>
          </cell>
          <cell r="D314" t="str">
            <v>クリスマスクエスト内で自身の全ての攻撃の威力を究極UP</v>
          </cell>
        </row>
        <row r="315">
          <cell r="A315">
            <v>9012</v>
          </cell>
          <cell r="B315" t="str">
            <v>ja</v>
          </cell>
          <cell r="C315" t="str">
            <v>ウエディングクエスト ダメージ大UP</v>
          </cell>
          <cell r="D315" t="str">
            <v>ウエディングクエスト内で自身の全ての攻撃の威力を大UP</v>
          </cell>
        </row>
        <row r="316">
          <cell r="A316">
            <v>9013</v>
          </cell>
          <cell r="B316" t="str">
            <v>ja</v>
          </cell>
          <cell r="C316" t="str">
            <v>ラグランジュチャレンジ ダメージUP</v>
          </cell>
          <cell r="D316" t="str">
            <v>ラグランジュチャレンジ内で自身の全ての攻撃の威力をUP</v>
          </cell>
        </row>
        <row r="317">
          <cell r="A317">
            <v>9014</v>
          </cell>
          <cell r="B317" t="str">
            <v>ja</v>
          </cell>
          <cell r="C317" t="str">
            <v>ラグランジュチャレンジ ダメージ究極UP</v>
          </cell>
          <cell r="D317" t="str">
            <v>ラグランジュチャレンジ内で自身の全ての攻撃の威力を究極UP</v>
          </cell>
        </row>
        <row r="318">
          <cell r="A318">
            <v>9015</v>
          </cell>
          <cell r="B318" t="str">
            <v>ja</v>
          </cell>
          <cell r="C318" t="str">
            <v>ラグランジュチャレンジ ダメージUP</v>
          </cell>
          <cell r="D318" t="str">
            <v>ラグランジュチャレンジ内で自身の全ての攻撃+カウンターの威力をUP</v>
          </cell>
        </row>
        <row r="319">
          <cell r="A319">
            <v>119402</v>
          </cell>
          <cell r="B319" t="str">
            <v>ja</v>
          </cell>
          <cell r="C319" t="str">
            <v>ハロウィンナイトパニック！ 威力UP</v>
          </cell>
          <cell r="D319" t="str">
            <v>ハロウィンナイトパニック！内で自身の全ての攻撃の威力を究極UP</v>
          </cell>
        </row>
        <row r="320">
          <cell r="A320">
            <v>500801</v>
          </cell>
          <cell r="B320" t="str">
            <v>ja</v>
          </cell>
          <cell r="C320" t="str">
            <v>パネルブレイク35 攻撃力小UP</v>
          </cell>
          <cell r="D320" t="str">
            <v>自身が先頭の時、1ターンの間に合計35個以上パネルを破壊した場合に攻撃力小UP</v>
          </cell>
        </row>
        <row r="321">
          <cell r="A321">
            <v>808082</v>
          </cell>
          <cell r="B321" t="str">
            <v>ja</v>
          </cell>
          <cell r="C321" t="str">
            <v>Cパネルドロップ</v>
          </cell>
          <cell r="D321" t="str">
            <v>自身が先頭の時、低確率でCパネルをドロップ</v>
          </cell>
        </row>
        <row r="322">
          <cell r="A322">
            <v>900000</v>
          </cell>
          <cell r="B322" t="str">
            <v>ja</v>
          </cell>
          <cell r="C322" t="str">
            <v>フィーバー100 プロテクトブレイク</v>
          </cell>
          <cell r="D322" t="str">
            <v>フィーバーゲージが100％以上の時、1ターンプロテクトブレイク</v>
          </cell>
        </row>
        <row r="323">
          <cell r="A323">
            <v>900001</v>
          </cell>
          <cell r="B323" t="str">
            <v>ja</v>
          </cell>
          <cell r="C323" t="str">
            <v>フィーバー100 お邪魔ブレイク</v>
          </cell>
          <cell r="D323" t="str">
            <v>フィーバーゲージが100％以上の時、1ターンお邪魔ブレイク</v>
          </cell>
        </row>
        <row r="324">
          <cell r="A324">
            <v>900402</v>
          </cell>
          <cell r="B324" t="str">
            <v>ja</v>
          </cell>
          <cell r="C324" t="str">
            <v>バリア3500</v>
          </cell>
          <cell r="D324" t="str">
            <v>戦闘開始時に、自身への直接ダメージを3500まで防ぐバリアを一度だけ展開(バリアは破壊されると復活しない)</v>
          </cell>
        </row>
        <row r="325">
          <cell r="A325">
            <v>810202</v>
          </cell>
          <cell r="B325" t="str">
            <v>ja</v>
          </cell>
          <cell r="C325" t="str">
            <v>パネルブレイク50 ダメージ軽減</v>
          </cell>
          <cell r="D325" t="str">
            <v>自身が先頭の時、1ターンの間に合計50個以上パネルを破壊した場合敵からのダメージを15%軽減（1ターンに1度だけ発動）</v>
          </cell>
        </row>
        <row r="326">
          <cell r="A326">
            <v>811802</v>
          </cell>
          <cell r="B326" t="str">
            <v>ja</v>
          </cell>
          <cell r="C326" t="str">
            <v>ターン攻撃力UP</v>
          </cell>
          <cell r="D326" t="str">
            <v>最初の1ターン目と、その後6ターン毎に1ターン種族ドラゴン・ファンタジー・アニマルの攻撃力1000UP</v>
          </cell>
        </row>
        <row r="327">
          <cell r="A327">
            <v>812002</v>
          </cell>
          <cell r="B327" t="str">
            <v>ja</v>
          </cell>
          <cell r="C327" t="str">
            <v>ターンタップ増加</v>
          </cell>
          <cell r="D327" t="str">
            <v>最初の1ターン目と、その後6ターン毎に1ターン種族ドラゴン・ファンタジー・アニマルのタップ数1増加</v>
          </cell>
        </row>
        <row r="328">
          <cell r="A328">
            <v>811803</v>
          </cell>
          <cell r="B328" t="str">
            <v>ja</v>
          </cell>
          <cell r="C328" t="str">
            <v>端午クエスト ダメージUP</v>
          </cell>
          <cell r="D328" t="str">
            <v>端午クエスト内で自身の全ての攻撃の威力をUP</v>
          </cell>
        </row>
        <row r="329">
          <cell r="A329">
            <v>900802</v>
          </cell>
          <cell r="B329" t="str">
            <v>ja</v>
          </cell>
          <cell r="C329" t="str">
            <v>ターン攻撃力UP</v>
          </cell>
          <cell r="D329" t="str">
            <v>最初の1ターン目と、その後7ターン毎に1ターン赤属性の攻撃力777UP</v>
          </cell>
        </row>
      </sheetData>
      <sheetData sheetId="2"/>
      <sheetData sheetId="3"/>
      <sheetData sheetId="4"/>
      <sheetData sheetId="5"/>
      <sheetData sheetId="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utput"/>
      <sheetName val="units"/>
      <sheetName val="unit_skills"/>
      <sheetName val="crash_skills"/>
      <sheetName val="unit_serifs"/>
      <sheetName val="fork_awake_units"/>
      <sheetName val="awake_materials"/>
      <sheetName val="abilities"/>
      <sheetName val="unit_abilities"/>
      <sheetName val="→base値"/>
      <sheetName val="コスト"/>
      <sheetName val="レベル"/>
      <sheetName val="経験値"/>
      <sheetName val="RC6SV"/>
      <sheetName val="ビット"/>
      <sheetName val="チェックシート"/>
    </sheetNames>
    <sheetDataSet>
      <sheetData sheetId="0"/>
      <sheetData sheetId="1"/>
      <sheetData sheetId="2"/>
      <sheetData sheetId="3"/>
      <sheetData sheetId="4"/>
      <sheetData sheetId="5"/>
      <sheetData sheetId="6"/>
      <sheetData sheetId="7">
        <row r="1">
          <cell r="A1" t="str">
            <v>ability_id</v>
          </cell>
          <cell r="B1" t="str">
            <v>language</v>
          </cell>
          <cell r="C1" t="str">
            <v>name</v>
          </cell>
          <cell r="D1" t="str">
            <v>comment</v>
          </cell>
        </row>
        <row r="2">
          <cell r="A2">
            <v>0</v>
          </cell>
          <cell r="B2" t="str">
            <v>ja</v>
          </cell>
          <cell r="C2" t="str">
            <v>テスト</v>
          </cell>
          <cell r="D2" t="str">
            <v>テスト</v>
          </cell>
        </row>
      </sheetData>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ホワイ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FF"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 xmlns:a14="http://schemas.microsoft.com/office/drawing/2010/main">
              <a:effectLst>
                <a:outerShdw blurRad="63500" dist="38099" dir="2700000" algn="ctr" rotWithShape="0">
                  <a:srgbClr val="000000">
                    <a:alpha val="74998"/>
                  </a:srgbClr>
                </a:outerShdw>
              </a:effectLst>
            </a14:hiddenEffects>
          </a:ext>
        </a:extLst>
      </a:spPr>
      <a:bodyPr vertOverflow="clip" wrap="square" lIns="18288" tIns="0" rIns="0" bIns="0" upright="1"/>
      <a:lstStyle/>
    </a:lnDef>
  </a:objectDefaults>
  <a:extraClrScheme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W15"/>
  <sheetViews>
    <sheetView workbookViewId="0">
      <selection activeCell="B16" sqref="B16"/>
    </sheetView>
  </sheetViews>
  <sheetFormatPr baseColWidth="12" defaultRowHeight="15" x14ac:dyDescent="0.15"/>
  <cols>
    <col min="2" max="2" width="14.83203125" bestFit="1" customWidth="1"/>
    <col min="5" max="5" width="17.6640625" bestFit="1" customWidth="1"/>
    <col min="6" max="6" width="22.1640625" bestFit="1" customWidth="1"/>
  </cols>
  <sheetData>
    <row r="1" spans="1:23" x14ac:dyDescent="0.15">
      <c r="A1" s="106" t="s">
        <v>107</v>
      </c>
      <c r="B1" s="106" t="s">
        <v>99</v>
      </c>
      <c r="C1" s="106" t="s">
        <v>100</v>
      </c>
      <c r="D1" s="106" t="s">
        <v>101</v>
      </c>
      <c r="E1" s="106" t="s">
        <v>102</v>
      </c>
      <c r="F1" s="106" t="s">
        <v>103</v>
      </c>
      <c r="G1" s="106" t="s">
        <v>104</v>
      </c>
      <c r="H1" s="106"/>
      <c r="I1" s="106"/>
      <c r="J1" s="106"/>
      <c r="K1" s="106"/>
      <c r="L1" s="107"/>
      <c r="M1" s="107"/>
      <c r="N1" s="107"/>
      <c r="O1" s="107"/>
      <c r="P1" s="107"/>
      <c r="Q1" s="107"/>
      <c r="R1" s="107"/>
      <c r="S1" s="107"/>
      <c r="T1" s="107"/>
      <c r="U1" s="107"/>
      <c r="V1" s="107"/>
      <c r="W1" s="107"/>
    </row>
    <row r="2" spans="1:23" x14ac:dyDescent="0.15">
      <c r="A2" s="108" t="s">
        <v>305</v>
      </c>
      <c r="B2" s="108" t="s">
        <v>263</v>
      </c>
      <c r="C2" s="164" t="s">
        <v>304</v>
      </c>
      <c r="D2" s="108" t="s">
        <v>230</v>
      </c>
      <c r="E2" s="107" t="str">
        <f>B2&amp;C2&amp;D2</f>
        <v>units_heian01.tmp</v>
      </c>
      <c r="F2" s="108" t="s">
        <v>264</v>
      </c>
      <c r="G2" s="63" t="s">
        <v>17</v>
      </c>
      <c r="H2" s="64" t="s">
        <v>40</v>
      </c>
      <c r="I2" s="64" t="s">
        <v>1</v>
      </c>
      <c r="J2" s="64" t="s">
        <v>3</v>
      </c>
      <c r="K2" s="64" t="s">
        <v>2</v>
      </c>
      <c r="L2" s="64" t="s">
        <v>265</v>
      </c>
      <c r="M2" s="64" t="s">
        <v>20</v>
      </c>
      <c r="N2" s="64" t="s">
        <v>266</v>
      </c>
      <c r="O2" s="64" t="s">
        <v>220</v>
      </c>
      <c r="P2" s="64" t="s">
        <v>267</v>
      </c>
      <c r="Q2" s="64" t="s">
        <v>222</v>
      </c>
      <c r="R2" s="108" t="s">
        <v>418</v>
      </c>
      <c r="S2" s="108"/>
      <c r="T2" s="108"/>
      <c r="U2" s="108"/>
      <c r="V2" s="108"/>
      <c r="W2" s="108"/>
    </row>
    <row r="3" spans="1:23" x14ac:dyDescent="0.15">
      <c r="A3" s="108" t="s">
        <v>305</v>
      </c>
      <c r="B3" s="108" t="s">
        <v>229</v>
      </c>
      <c r="C3" s="164" t="str">
        <f>C2</f>
        <v>heian01</v>
      </c>
      <c r="D3" s="108" t="s">
        <v>230</v>
      </c>
      <c r="E3" s="107" t="str">
        <f>B3&amp;C3&amp;D3</f>
        <v>fork_awake_units_heian01.tmp</v>
      </c>
      <c r="F3" s="108" t="s">
        <v>231</v>
      </c>
      <c r="G3" s="63" t="s">
        <v>17</v>
      </c>
      <c r="H3" s="64" t="s">
        <v>220</v>
      </c>
      <c r="I3" s="64" t="s">
        <v>223</v>
      </c>
      <c r="J3" s="64" t="s">
        <v>219</v>
      </c>
      <c r="K3" s="109"/>
      <c r="L3" s="109"/>
      <c r="M3" s="109"/>
      <c r="N3" s="109"/>
      <c r="O3" s="109"/>
      <c r="P3" s="109"/>
      <c r="Q3" s="109"/>
      <c r="R3" s="109"/>
      <c r="S3" s="109"/>
      <c r="T3" s="109"/>
      <c r="U3" s="109"/>
      <c r="V3" s="109"/>
      <c r="W3" s="109"/>
    </row>
    <row r="4" spans="1:23" x14ac:dyDescent="0.15">
      <c r="A4" s="108" t="s">
        <v>239</v>
      </c>
      <c r="B4" s="108" t="s">
        <v>233</v>
      </c>
      <c r="C4" s="164" t="str">
        <f>C3</f>
        <v>heian01</v>
      </c>
      <c r="D4" s="108" t="s">
        <v>230</v>
      </c>
      <c r="E4" s="107" t="str">
        <f>B4&amp;C4&amp;D4</f>
        <v>awake_materials_heian01.tmp</v>
      </c>
      <c r="F4" s="108" t="s">
        <v>106</v>
      </c>
      <c r="G4" s="190" t="s">
        <v>268</v>
      </c>
      <c r="H4" s="191" t="s">
        <v>36</v>
      </c>
      <c r="I4" s="191" t="s">
        <v>37</v>
      </c>
      <c r="J4" s="110" t="s">
        <v>234</v>
      </c>
      <c r="K4" s="109"/>
      <c r="L4" s="109"/>
      <c r="M4" s="109"/>
      <c r="N4" s="109"/>
      <c r="O4" s="109"/>
      <c r="P4" s="109"/>
      <c r="Q4" s="109"/>
      <c r="R4" s="109"/>
      <c r="S4" s="109"/>
      <c r="T4" s="109"/>
      <c r="U4" s="109"/>
      <c r="V4" s="109"/>
      <c r="W4" s="109"/>
    </row>
    <row r="5" spans="1:23" x14ac:dyDescent="0.15">
      <c r="A5" s="108" t="s">
        <v>305</v>
      </c>
      <c r="B5" s="108" t="s">
        <v>235</v>
      </c>
      <c r="C5" s="164" t="str">
        <f>C4</f>
        <v>heian01</v>
      </c>
      <c r="D5" s="108" t="s">
        <v>230</v>
      </c>
      <c r="E5" s="107" t="str">
        <f>B5&amp;C5&amp;D5</f>
        <v>fork_awake_materials_heian01.tmp</v>
      </c>
      <c r="F5" s="108" t="s">
        <v>106</v>
      </c>
      <c r="G5" s="192" t="s">
        <v>144</v>
      </c>
      <c r="H5" s="192" t="s">
        <v>232</v>
      </c>
      <c r="I5" s="192" t="s">
        <v>36</v>
      </c>
      <c r="J5" s="192" t="s">
        <v>37</v>
      </c>
      <c r="K5" s="192" t="s">
        <v>269</v>
      </c>
      <c r="L5" s="192" t="s">
        <v>236</v>
      </c>
      <c r="M5" s="109"/>
      <c r="N5" s="109"/>
      <c r="O5" s="109"/>
      <c r="P5" s="109"/>
      <c r="Q5" s="109"/>
      <c r="R5" s="109"/>
      <c r="S5" s="109"/>
      <c r="T5" s="109"/>
      <c r="U5" s="109"/>
      <c r="V5" s="109"/>
      <c r="W5" s="109"/>
    </row>
    <row r="6" spans="1:23" x14ac:dyDescent="0.15">
      <c r="A6" s="108" t="s">
        <v>305</v>
      </c>
      <c r="B6" s="108" t="s">
        <v>270</v>
      </c>
      <c r="C6" s="164" t="str">
        <f>C5</f>
        <v>heian01</v>
      </c>
      <c r="D6" s="108" t="s">
        <v>230</v>
      </c>
      <c r="E6" s="107" t="str">
        <f t="shared" ref="E6" si="0">B6&amp;C6&amp;D6</f>
        <v>unit_levels_calc_heian01.tmp</v>
      </c>
      <c r="F6" s="108" t="s">
        <v>105</v>
      </c>
      <c r="G6" s="59" t="s">
        <v>17</v>
      </c>
      <c r="H6" s="60" t="s">
        <v>2</v>
      </c>
      <c r="I6" s="61" t="s">
        <v>271</v>
      </c>
      <c r="J6" s="61" t="s">
        <v>272</v>
      </c>
      <c r="K6" s="61" t="s">
        <v>61</v>
      </c>
      <c r="L6" s="61" t="s">
        <v>273</v>
      </c>
      <c r="M6" s="61" t="s">
        <v>76</v>
      </c>
      <c r="N6" s="61" t="s">
        <v>77</v>
      </c>
      <c r="O6" s="61" t="s">
        <v>78</v>
      </c>
      <c r="P6" s="61" t="s">
        <v>79</v>
      </c>
      <c r="Q6" s="61" t="s">
        <v>80</v>
      </c>
      <c r="R6" s="61" t="s">
        <v>274</v>
      </c>
      <c r="S6" s="61" t="s">
        <v>81</v>
      </c>
      <c r="T6" s="61" t="s">
        <v>82</v>
      </c>
      <c r="U6" s="61" t="s">
        <v>275</v>
      </c>
      <c r="V6" s="61" t="s">
        <v>276</v>
      </c>
      <c r="W6" s="61" t="s">
        <v>75</v>
      </c>
    </row>
    <row r="7" spans="1:23" x14ac:dyDescent="0.15">
      <c r="A7" s="108" t="s">
        <v>305</v>
      </c>
      <c r="B7" s="108" t="s">
        <v>277</v>
      </c>
      <c r="C7" s="164" t="str">
        <f t="shared" ref="C7:C15" si="1">C6</f>
        <v>heian01</v>
      </c>
      <c r="D7" s="108" t="s">
        <v>230</v>
      </c>
      <c r="E7" s="107" t="str">
        <f>B7&amp;C7&amp;D7</f>
        <v>unit_skills_data_heian01.tmp</v>
      </c>
      <c r="F7" s="108" t="s">
        <v>111</v>
      </c>
      <c r="G7" s="114" t="s">
        <v>20</v>
      </c>
      <c r="H7" s="114" t="s">
        <v>112</v>
      </c>
      <c r="I7" s="114" t="s">
        <v>2</v>
      </c>
      <c r="J7" s="114" t="s">
        <v>113</v>
      </c>
      <c r="K7" s="114" t="s">
        <v>114</v>
      </c>
      <c r="L7" s="114" t="s">
        <v>4</v>
      </c>
      <c r="M7" s="61"/>
      <c r="N7" s="61"/>
      <c r="O7" s="61"/>
      <c r="P7" s="61"/>
      <c r="Q7" s="61"/>
      <c r="R7" s="61"/>
      <c r="S7" s="61"/>
      <c r="T7" s="61"/>
      <c r="U7" s="61"/>
      <c r="V7" s="61"/>
      <c r="W7" s="61"/>
    </row>
    <row r="8" spans="1:23" x14ac:dyDescent="0.15">
      <c r="A8" s="108" t="s">
        <v>305</v>
      </c>
      <c r="B8" s="108" t="s">
        <v>278</v>
      </c>
      <c r="C8" s="164" t="str">
        <f t="shared" si="1"/>
        <v>heian01</v>
      </c>
      <c r="D8" s="108" t="s">
        <v>230</v>
      </c>
      <c r="E8" s="107" t="str">
        <f>B8&amp;C8&amp;D8</f>
        <v>unit_skills_i18n_heian01.tmp</v>
      </c>
      <c r="F8" s="108" t="s">
        <v>111</v>
      </c>
      <c r="G8" s="114" t="s">
        <v>279</v>
      </c>
      <c r="H8" s="114" t="s">
        <v>150</v>
      </c>
      <c r="I8" s="114" t="s">
        <v>145</v>
      </c>
      <c r="J8" s="114" t="s">
        <v>280</v>
      </c>
      <c r="K8" s="109"/>
      <c r="L8" s="109"/>
      <c r="M8" s="61"/>
      <c r="N8" s="61"/>
      <c r="O8" s="61"/>
      <c r="P8" s="61"/>
      <c r="Q8" s="61"/>
      <c r="R8" s="61"/>
      <c r="S8" s="61"/>
      <c r="T8" s="61"/>
      <c r="U8" s="61"/>
      <c r="V8" s="61"/>
      <c r="W8" s="61"/>
    </row>
    <row r="9" spans="1:23" x14ac:dyDescent="0.15">
      <c r="A9" s="108" t="s">
        <v>305</v>
      </c>
      <c r="B9" s="108" t="s">
        <v>281</v>
      </c>
      <c r="C9" s="164" t="str">
        <f t="shared" si="1"/>
        <v>heian01</v>
      </c>
      <c r="D9" s="108" t="s">
        <v>230</v>
      </c>
      <c r="E9" s="107" t="str">
        <f>B9&amp;C9&amp;D9</f>
        <v>crash_skills_data_heian01.tmp</v>
      </c>
      <c r="F9" s="108" t="s">
        <v>115</v>
      </c>
      <c r="G9" s="114" t="s">
        <v>282</v>
      </c>
      <c r="H9" s="114" t="s">
        <v>114</v>
      </c>
      <c r="I9" s="114" t="s">
        <v>4</v>
      </c>
      <c r="J9" s="109"/>
      <c r="K9" s="109"/>
      <c r="L9" s="109"/>
      <c r="M9" s="61"/>
      <c r="N9" s="61"/>
      <c r="O9" s="61"/>
      <c r="P9" s="61"/>
      <c r="Q9" s="61"/>
      <c r="R9" s="61"/>
      <c r="S9" s="61"/>
      <c r="T9" s="61"/>
      <c r="U9" s="61"/>
      <c r="V9" s="61"/>
      <c r="W9" s="61"/>
    </row>
    <row r="10" spans="1:23" x14ac:dyDescent="0.15">
      <c r="A10" s="108" t="s">
        <v>305</v>
      </c>
      <c r="B10" s="108" t="s">
        <v>116</v>
      </c>
      <c r="C10" s="164" t="str">
        <f t="shared" si="1"/>
        <v>heian01</v>
      </c>
      <c r="D10" s="108" t="s">
        <v>230</v>
      </c>
      <c r="E10" s="107" t="str">
        <f t="shared" ref="E10:E12" si="2">B10&amp;C10&amp;D10</f>
        <v>crash_skills_i18n_heian01.tmp</v>
      </c>
      <c r="F10" s="108" t="s">
        <v>115</v>
      </c>
      <c r="G10" s="114" t="s">
        <v>282</v>
      </c>
      <c r="H10" s="114" t="s">
        <v>117</v>
      </c>
      <c r="I10" s="114" t="s">
        <v>118</v>
      </c>
      <c r="J10" s="114" t="s">
        <v>119</v>
      </c>
      <c r="K10" s="115"/>
      <c r="L10" s="115"/>
      <c r="M10" s="61"/>
      <c r="N10" s="61"/>
      <c r="O10" s="61"/>
      <c r="P10" s="61"/>
      <c r="Q10" s="61"/>
      <c r="R10" s="61"/>
      <c r="S10" s="61"/>
      <c r="T10" s="61"/>
      <c r="U10" s="61"/>
      <c r="V10" s="61"/>
      <c r="W10" s="61"/>
    </row>
    <row r="11" spans="1:23" x14ac:dyDescent="0.15">
      <c r="A11" s="108" t="s">
        <v>305</v>
      </c>
      <c r="B11" s="109" t="s">
        <v>283</v>
      </c>
      <c r="C11" s="164" t="str">
        <f t="shared" si="1"/>
        <v>heian01</v>
      </c>
      <c r="D11" s="108" t="s">
        <v>230</v>
      </c>
      <c r="E11" s="107" t="str">
        <f t="shared" si="2"/>
        <v>unit_serifs_data_heian01.tmp</v>
      </c>
      <c r="F11" s="109" t="s">
        <v>284</v>
      </c>
      <c r="G11" s="113" t="s">
        <v>144</v>
      </c>
      <c r="H11" s="114" t="s">
        <v>110</v>
      </c>
      <c r="I11" s="114" t="s">
        <v>108</v>
      </c>
      <c r="J11" s="112" t="s">
        <v>147</v>
      </c>
      <c r="K11" s="108"/>
      <c r="L11" s="108"/>
      <c r="M11" s="108"/>
      <c r="N11" s="108"/>
      <c r="O11" s="108"/>
      <c r="P11" s="108"/>
      <c r="Q11" s="108"/>
      <c r="R11" s="108"/>
      <c r="S11" s="108"/>
      <c r="T11" s="108"/>
      <c r="U11" s="108"/>
      <c r="V11" s="108"/>
      <c r="W11" s="108"/>
    </row>
    <row r="12" spans="1:23" x14ac:dyDescent="0.15">
      <c r="A12" s="108" t="s">
        <v>305</v>
      </c>
      <c r="B12" s="109" t="s">
        <v>285</v>
      </c>
      <c r="C12" s="164" t="str">
        <f t="shared" si="1"/>
        <v>heian01</v>
      </c>
      <c r="D12" s="108" t="s">
        <v>230</v>
      </c>
      <c r="E12" s="107" t="str">
        <f t="shared" si="2"/>
        <v>unit_serifs_i18n_heian01.tmp</v>
      </c>
      <c r="F12" s="109" t="s">
        <v>284</v>
      </c>
      <c r="G12" s="113" t="s">
        <v>110</v>
      </c>
      <c r="H12" s="114" t="s">
        <v>150</v>
      </c>
      <c r="I12" s="114" t="s">
        <v>151</v>
      </c>
      <c r="J12" s="108"/>
      <c r="K12" s="108"/>
      <c r="L12" s="108"/>
      <c r="M12" s="108"/>
      <c r="N12" s="108"/>
      <c r="O12" s="108"/>
      <c r="P12" s="108"/>
      <c r="Q12" s="108"/>
      <c r="R12" s="108"/>
      <c r="S12" s="108"/>
      <c r="T12" s="108"/>
      <c r="U12" s="108"/>
      <c r="V12" s="108"/>
      <c r="W12" s="108"/>
    </row>
    <row r="13" spans="1:23" x14ac:dyDescent="0.15">
      <c r="A13" s="108" t="s">
        <v>305</v>
      </c>
      <c r="B13" s="108" t="s">
        <v>286</v>
      </c>
      <c r="C13" s="164" t="str">
        <f t="shared" si="1"/>
        <v>heian01</v>
      </c>
      <c r="D13" s="108" t="s">
        <v>287</v>
      </c>
      <c r="E13" s="107" t="str">
        <f>B13&amp;C13&amp;D13</f>
        <v>abilities_heian01.tmp</v>
      </c>
      <c r="F13" s="108" t="s">
        <v>288</v>
      </c>
      <c r="G13" s="193" t="s">
        <v>240</v>
      </c>
      <c r="H13" s="193" t="s">
        <v>241</v>
      </c>
      <c r="I13" s="193" t="s">
        <v>242</v>
      </c>
      <c r="J13" s="193"/>
      <c r="K13" s="194"/>
      <c r="L13" s="108"/>
      <c r="M13" s="108"/>
      <c r="N13" s="108"/>
      <c r="O13" s="108"/>
      <c r="P13" s="108"/>
      <c r="Q13" s="108"/>
      <c r="R13" s="108"/>
      <c r="S13" s="108"/>
      <c r="T13" s="108"/>
      <c r="U13" s="108"/>
      <c r="V13" s="108"/>
      <c r="W13" s="108"/>
    </row>
    <row r="14" spans="1:23" x14ac:dyDescent="0.15">
      <c r="A14" s="108" t="s">
        <v>305</v>
      </c>
      <c r="B14" s="108" t="s">
        <v>289</v>
      </c>
      <c r="C14" s="164" t="str">
        <f t="shared" si="1"/>
        <v>heian01</v>
      </c>
      <c r="D14" s="108" t="s">
        <v>290</v>
      </c>
      <c r="E14" s="107" t="str">
        <f>B14&amp;C14&amp;D14</f>
        <v>abilities_i18n_heian01.tmp</v>
      </c>
      <c r="F14" s="108" t="s">
        <v>291</v>
      </c>
      <c r="G14" s="193" t="s">
        <v>292</v>
      </c>
      <c r="H14" s="193" t="s">
        <v>293</v>
      </c>
      <c r="I14" s="193" t="s">
        <v>294</v>
      </c>
      <c r="J14" s="193" t="s">
        <v>295</v>
      </c>
      <c r="K14" s="221" t="s">
        <v>439</v>
      </c>
      <c r="L14" s="108"/>
      <c r="M14" s="108"/>
      <c r="N14" s="108"/>
      <c r="O14" s="108"/>
      <c r="P14" s="108"/>
      <c r="Q14" s="108"/>
      <c r="R14" s="108"/>
      <c r="S14" s="108"/>
      <c r="T14" s="108"/>
      <c r="U14" s="108"/>
      <c r="V14" s="108"/>
      <c r="W14" s="108"/>
    </row>
    <row r="15" spans="1:23" x14ac:dyDescent="0.15">
      <c r="A15" s="108" t="s">
        <v>305</v>
      </c>
      <c r="B15" s="108" t="s">
        <v>296</v>
      </c>
      <c r="C15" s="164" t="str">
        <f t="shared" si="1"/>
        <v>heian01</v>
      </c>
      <c r="D15" s="108" t="s">
        <v>297</v>
      </c>
      <c r="E15" s="107" t="str">
        <f>B15&amp;C15&amp;D15</f>
        <v>unit_abilities_heian01.tmp</v>
      </c>
      <c r="F15" s="108" t="s">
        <v>298</v>
      </c>
      <c r="G15" s="193" t="s">
        <v>299</v>
      </c>
      <c r="H15" s="195" t="s">
        <v>300</v>
      </c>
      <c r="I15" s="195" t="s">
        <v>301</v>
      </c>
      <c r="J15" s="196" t="s">
        <v>302</v>
      </c>
      <c r="K15" s="193" t="s">
        <v>303</v>
      </c>
      <c r="L15" s="108"/>
      <c r="M15" s="108"/>
      <c r="N15" s="108"/>
      <c r="O15" s="108"/>
      <c r="P15" s="108"/>
      <c r="Q15" s="108"/>
      <c r="R15" s="108"/>
      <c r="S15" s="108"/>
      <c r="T15" s="108"/>
      <c r="U15" s="108"/>
      <c r="V15" s="108"/>
      <c r="W15" s="108"/>
    </row>
  </sheetData>
  <phoneticPr fontId="21"/>
  <dataValidations count="1">
    <dataValidation type="list" allowBlank="1" showInputMessage="1" showErrorMessage="1" sqref="A2:A15">
      <formula1>"old,new,skip,both"</formula1>
    </dataValidation>
  </dataValidations>
  <pageMargins left="0.7" right="0.7" top="0.75" bottom="0.75" header="0.3" footer="0.3"/>
  <pageSetup paperSize="9" orientation="portrait" horizontalDpi="4294967292" verticalDpi="42949672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enableFormatConditionsCalculation="0">
    <tabColor rgb="FFFF0000"/>
    <outlinePr summaryBelow="0" summaryRight="0"/>
  </sheetPr>
  <dimension ref="A1:BR15"/>
  <sheetViews>
    <sheetView showGridLines="0" workbookViewId="0">
      <pane xSplit="9" ySplit="1" topLeftCell="N2" activePane="bottomRight" state="frozen"/>
      <selection pane="topRight" activeCell="J1" sqref="J1"/>
      <selection pane="bottomLeft" activeCell="A3" sqref="A3"/>
      <selection pane="bottomRight" activeCell="BR13" sqref="BR13"/>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59.5" style="13" hidden="1" customWidth="1" outlineLevel="1"/>
    <col min="11" max="13" width="13.6640625" style="13" hidden="1" customWidth="1" outlineLevel="1"/>
    <col min="14" max="14" width="10" style="13" bestFit="1" customWidth="1"/>
    <col min="15" max="15" width="13.5" style="13" bestFit="1" customWidth="1"/>
    <col min="16" max="16" width="13.5" style="13" customWidth="1"/>
    <col min="17" max="17" width="18.83203125" style="13" bestFit="1" customWidth="1"/>
    <col min="18" max="18" width="14.1640625" style="13" customWidth="1"/>
    <col min="19" max="19" width="12.33203125" style="13" customWidth="1" outlineLevel="1"/>
    <col min="20" max="22" width="13.6640625" style="13" customWidth="1" outlineLevel="1"/>
    <col min="23" max="23" width="22.83203125" style="12" bestFit="1" customWidth="1"/>
    <col min="24" max="24" width="14.1640625" style="13" customWidth="1"/>
    <col min="25" max="25" width="22" style="13" customWidth="1" outlineLevel="1"/>
    <col min="26" max="26" width="14.1640625" style="13" customWidth="1" outlineLevel="1"/>
    <col min="27" max="27" width="12.33203125" style="13" customWidth="1" outlineLevel="1"/>
    <col min="28" max="30" width="13.6640625" style="13" customWidth="1" outlineLevel="1"/>
    <col min="31" max="31" width="20.1640625" style="12" bestFit="1" customWidth="1"/>
    <col min="32" max="32" width="18.83203125" style="13" bestFit="1" customWidth="1"/>
    <col min="33" max="34" width="18.83203125" style="13" customWidth="1"/>
    <col min="35" max="35" width="15.1640625" style="13" customWidth="1"/>
    <col min="36" max="36" width="13.1640625" style="12" customWidth="1"/>
    <col min="37" max="37" width="15.33203125" style="13" bestFit="1" customWidth="1"/>
    <col min="38" max="38" width="13.33203125" style="13" bestFit="1" customWidth="1"/>
    <col min="39" max="39" width="15.33203125" style="14" bestFit="1" customWidth="1"/>
    <col min="40" max="40" width="14" style="14" bestFit="1" customWidth="1"/>
    <col min="41" max="41" width="16" style="46" bestFit="1" customWidth="1"/>
    <col min="42" max="42" width="11.5" style="15" customWidth="1"/>
    <col min="43" max="43" width="23.1640625" style="13" customWidth="1" collapsed="1"/>
    <col min="44" max="44" width="80.6640625" style="13" hidden="1" customWidth="1" outlineLevel="1"/>
    <col min="45" max="45" width="6.83203125" style="13" customWidth="1"/>
    <col min="46" max="46" width="12.5" style="12" customWidth="1"/>
    <col min="47" max="47" width="25" style="13" customWidth="1" collapsed="1"/>
    <col min="48" max="48" width="43.6640625" style="13" hidden="1" customWidth="1" outlineLevel="1"/>
    <col min="49" max="49" width="6.83203125" style="13" customWidth="1"/>
    <col min="50" max="50" width="11.33203125" style="13" bestFit="1" customWidth="1"/>
    <col min="51" max="54" width="8.33203125" style="12" customWidth="1"/>
    <col min="55" max="55" width="12" style="13" bestFit="1" customWidth="1"/>
    <col min="56" max="56" width="12" style="13" bestFit="1" customWidth="1" collapsed="1"/>
    <col min="57" max="57" width="14.33203125" style="13" hidden="1" customWidth="1" outlineLevel="1"/>
    <col min="58" max="58" width="16.1640625" style="13" hidden="1" customWidth="1" outlineLevel="1"/>
    <col min="59" max="62" width="11.83203125" style="13" customWidth="1"/>
    <col min="63" max="66" width="11.83203125" style="12" customWidth="1"/>
    <col min="67" max="67" width="12.83203125" style="12" bestFit="1" customWidth="1"/>
    <col min="68" max="68" width="12.6640625" style="12" bestFit="1" customWidth="1"/>
    <col min="69" max="69" width="13.5" style="12" bestFit="1" customWidth="1"/>
    <col min="70" max="16384" width="8.83203125" style="12"/>
  </cols>
  <sheetData>
    <row r="1" spans="1:70" ht="21" customHeight="1" x14ac:dyDescent="0.15">
      <c r="A1" s="80" t="s">
        <v>91</v>
      </c>
      <c r="B1" s="82" t="s">
        <v>41</v>
      </c>
      <c r="C1" s="85" t="s">
        <v>27</v>
      </c>
      <c r="D1" s="85" t="s">
        <v>30</v>
      </c>
      <c r="E1" s="85" t="s">
        <v>28</v>
      </c>
      <c r="F1" s="85" t="s">
        <v>29</v>
      </c>
      <c r="G1" s="80" t="s">
        <v>1</v>
      </c>
      <c r="H1" s="83" t="s">
        <v>19</v>
      </c>
      <c r="I1" s="84" t="s">
        <v>0</v>
      </c>
      <c r="J1" s="86" t="s">
        <v>46</v>
      </c>
      <c r="K1" s="86" t="s">
        <v>45</v>
      </c>
      <c r="L1" s="86" t="s">
        <v>47</v>
      </c>
      <c r="M1" s="86" t="s">
        <v>48</v>
      </c>
      <c r="N1" s="80" t="s">
        <v>3</v>
      </c>
      <c r="O1" s="87" t="s">
        <v>2</v>
      </c>
      <c r="P1" s="80" t="s">
        <v>84</v>
      </c>
      <c r="Q1" s="88" t="s">
        <v>18</v>
      </c>
      <c r="R1" s="79" t="s">
        <v>49</v>
      </c>
      <c r="S1" s="89" t="s">
        <v>23</v>
      </c>
      <c r="T1" s="89" t="s">
        <v>24</v>
      </c>
      <c r="U1" s="89" t="s">
        <v>26</v>
      </c>
      <c r="V1" s="89" t="s">
        <v>25</v>
      </c>
      <c r="W1" s="84" t="s">
        <v>32</v>
      </c>
      <c r="X1" s="85" t="s">
        <v>50</v>
      </c>
      <c r="Y1" s="84" t="s">
        <v>33</v>
      </c>
      <c r="Z1" s="85" t="s">
        <v>50</v>
      </c>
      <c r="AA1" s="86" t="s">
        <v>23</v>
      </c>
      <c r="AB1" s="86" t="s">
        <v>24</v>
      </c>
      <c r="AC1" s="86" t="s">
        <v>26</v>
      </c>
      <c r="AD1" s="86" t="s">
        <v>25</v>
      </c>
      <c r="AE1" s="90" t="s">
        <v>85</v>
      </c>
      <c r="AF1" s="79" t="s">
        <v>42</v>
      </c>
      <c r="AG1" s="91" t="s">
        <v>54</v>
      </c>
      <c r="AH1" s="79" t="s">
        <v>42</v>
      </c>
      <c r="AI1" s="91" t="s">
        <v>43</v>
      </c>
      <c r="AJ1" s="81" t="s">
        <v>63</v>
      </c>
      <c r="AK1" s="79" t="s">
        <v>21</v>
      </c>
      <c r="AL1" s="92" t="s">
        <v>64</v>
      </c>
      <c r="AM1" s="93" t="s">
        <v>62</v>
      </c>
      <c r="AN1" s="93" t="s">
        <v>65</v>
      </c>
      <c r="AO1" s="94" t="s">
        <v>31</v>
      </c>
      <c r="AP1" s="90" t="s">
        <v>20</v>
      </c>
      <c r="AQ1" s="95" t="s">
        <v>96</v>
      </c>
      <c r="AR1" s="95" t="s">
        <v>90</v>
      </c>
      <c r="AS1" s="79" t="s">
        <v>87</v>
      </c>
      <c r="AT1" s="90" t="s">
        <v>86</v>
      </c>
      <c r="AU1" s="79" t="s">
        <v>93</v>
      </c>
      <c r="AV1" s="95" t="s">
        <v>90</v>
      </c>
      <c r="AW1" s="79" t="s">
        <v>87</v>
      </c>
      <c r="AX1" s="85" t="s">
        <v>4</v>
      </c>
      <c r="AY1" s="96" t="s">
        <v>51</v>
      </c>
      <c r="AZ1" s="96" t="s">
        <v>52</v>
      </c>
      <c r="BA1" s="96" t="s">
        <v>97</v>
      </c>
      <c r="BB1" s="96" t="s">
        <v>53</v>
      </c>
      <c r="BC1" s="5" t="s">
        <v>22</v>
      </c>
      <c r="BD1" s="99" t="s">
        <v>34</v>
      </c>
      <c r="BE1" s="97" t="s">
        <v>5</v>
      </c>
      <c r="BF1" s="98" t="s">
        <v>6</v>
      </c>
      <c r="BG1" s="100" t="s">
        <v>66</v>
      </c>
      <c r="BH1" s="100" t="s">
        <v>67</v>
      </c>
      <c r="BI1" s="100" t="s">
        <v>68</v>
      </c>
      <c r="BJ1" s="100" t="s">
        <v>69</v>
      </c>
      <c r="BK1" s="101" t="s">
        <v>70</v>
      </c>
      <c r="BL1" s="101" t="s">
        <v>83</v>
      </c>
      <c r="BM1" s="101" t="s">
        <v>71</v>
      </c>
      <c r="BN1" s="101" t="s">
        <v>72</v>
      </c>
      <c r="BO1" s="102" t="s">
        <v>73</v>
      </c>
      <c r="BP1" s="103" t="s">
        <v>74</v>
      </c>
      <c r="BQ1" s="103" t="s">
        <v>75</v>
      </c>
      <c r="BR1" s="10" t="s">
        <v>417</v>
      </c>
    </row>
    <row r="2" spans="1:70" ht="26" customHeight="1" x14ac:dyDescent="0.15">
      <c r="A2" s="12">
        <v>1020</v>
      </c>
      <c r="B2" s="57" t="str">
        <f ca="1">VLOOKUP($A2,OFFSET([1]characters!$A$1,0,0,COUNTA([1]characters!$A:$A),MATCH(B$1,[1]characters!$1:$1,0)-MATCH($A$1,[1]characters!$1:$1,0)+1),MATCH(B$1,[1]characters!$1:$1,0)-MATCH($A$1,[1]characters!$1:$1,0)+1,FALSE)</f>
        <v>静御前</v>
      </c>
      <c r="C2" s="57" t="str">
        <f ca="1">VLOOKUP($A2,OFFSET([1]characters!$A$1,0,0,COUNTA([1]characters!$A:$A),MATCH(C$1,[1]characters!$1:$1,0)-MATCH($A$1,[1]characters!$1:$1,0)+1),MATCH(C$1,[1]characters!$1:$1,0)-MATCH($A$1,[1]characters!$1:$1,0)+1,FALSE)</f>
        <v>静御前</v>
      </c>
      <c r="D2" s="57" t="str">
        <f ca="1">VLOOKUP($A2,OFFSET([1]characters!$A$1,0,0,COUNTA([1]characters!$A:$A),MATCH(D$1,[1]characters!$1:$1,0)-MATCH($A$1,[1]characters!$1:$1,0)+1),MATCH(D$1,[1]characters!$1:$1,0)-MATCH($A$1,[1]characters!$1:$1,0)+1,FALSE)</f>
        <v>執行者</v>
      </c>
      <c r="E2" s="57" t="str">
        <f ca="1">VLOOKUP($A2,OFFSET([1]characters!$A$1,0,0,COUNTA([1]characters!$A:$A),MATCH(E$1,[1]characters!$1:$1,0)-MATCH($A$1,[1]characters!$1:$1,0)+1),MATCH(E$1,[1]characters!$1:$1,0)-MATCH($A$1,[1]characters!$1:$1,0)+1,FALSE)</f>
        <v>格好いい</v>
      </c>
      <c r="F2" s="57" t="str">
        <f ca="1">VLOOKUP($A2,OFFSET([1]characters!$A$1,0,0,COUNTA([1]characters!$A:$A),MATCH(F$1,[1]characters!$1:$1,0)-MATCH($A$1,[1]characters!$1:$1,0)+1),MATCH(F$1,[1]characters!$1:$1,0)-MATCH($A$1,[1]characters!$1:$1,0)+1,FALSE)</f>
        <v>男性</v>
      </c>
      <c r="G2" s="57">
        <f ca="1">VLOOKUP($A2,OFFSET([1]characters!$A$1,0,0,COUNTA([1]characters!$A:$A),MATCH(G$1,[1]characters!$1:$1,0)-MATCH($A$1,[1]characters!$1:$1,0)+1),MATCH(G$1,[1]characters!$1:$1,0)-MATCH($A$1,[1]characters!$1:$1,0)+1,FALSE)</f>
        <v>4</v>
      </c>
      <c r="H2" s="57" t="str">
        <f ca="1">VLOOKUP($A2,OFFSET([1]characters!$A$1,0,0,COUNTA([1]characters!$A:$A),MATCH(H$1,[1]characters!$1:$1,0)-MATCH($A$1,[1]characters!$1:$1,0)+1),MATCH(H$1,[1]characters!$1:$1,0)-MATCH($A$1,[1]characters!$1:$1,0)+1,FALSE)</f>
        <v>Drop2N</v>
      </c>
      <c r="I2" s="57" t="str">
        <f ca="1">VLOOKUP($A2,OFFSET([1]characters!$A$1,0,0,COUNTA([1]characters!$A:$A),MATCH(I$1,[1]characters!$1:$1,0)-MATCH($A$1,[1]characters!$1:$1,0)+1),MATCH(I$1,[1]characters!$1:$1,0)-MATCH($A$1,[1]characters!$1:$1,0)+1,FALSE)</f>
        <v>red</v>
      </c>
      <c r="J2" s="11">
        <f ca="1">VLOOKUP(I2,[1]属性!$A:$E,2,FALSE)</f>
        <v>1</v>
      </c>
      <c r="K2" s="11">
        <f ca="1">VLOOKUP(I2,[1]属性!$A:$E,3,FALSE)</f>
        <v>1.02</v>
      </c>
      <c r="L2" s="11">
        <f ca="1">VLOOKUP(I2,[1]属性!$A:$E,4,FALSE)</f>
        <v>1</v>
      </c>
      <c r="M2" s="11">
        <f ca="1">VLOOKUP(I2,[1]属性!$A:$E,5,FALSE)</f>
        <v>0.98</v>
      </c>
      <c r="N2" s="11">
        <f ca="1">INDEX(コスト!$A$1:$I$20,MATCH(H2,コスト!$A$1:$A$20,FALSE),MATCH(G2,コスト!$A$1:$I$1,FALSE))</f>
        <v>17</v>
      </c>
      <c r="O2" s="11">
        <f ca="1">INDEX(レベル!$A$1:$I$21,MATCH(H2,レベル!$A$1:$A$21,FALSE),MATCH(G2,レベル!$A$1:$I$1,FALSE))</f>
        <v>60</v>
      </c>
      <c r="P2" s="48">
        <f ca="1">IF(G2 &gt;= 6, 99,G2*15)</f>
        <v>60</v>
      </c>
      <c r="Q2" s="57" t="str">
        <f ca="1">VLOOKUP($A2,OFFSET([1]characters!$A$1,0,0,COUNTA([1]characters!$A:$A),MATCH(Q$1,[1]characters!$1:$1,0)-MATCH($A$1,[1]characters!$1:$1,0)+1),MATCH(Q$1,[1]characters!$1:$1,0)-MATCH($A$1,[1]characters!$1:$1,0)+1,FALSE)</f>
        <v>technical</v>
      </c>
      <c r="R2" s="5" t="str">
        <f ca="1">VLOOKUP(Q2,[1]character_type_i18n!$A:$H,3,FALSE)</f>
        <v>テクニカルタイプ</v>
      </c>
      <c r="S2" s="11">
        <f ca="1">VLOOKUP(Q2,[1]character_type_i18n!$A:$H,4,FALSE)</f>
        <v>0.9</v>
      </c>
      <c r="T2" s="11">
        <f ca="1">VLOOKUP(Q2,[1]character_type_i18n!$A:$H,5,FALSE)</f>
        <v>0.9</v>
      </c>
      <c r="U2" s="11">
        <f ca="1">VLOOKUP(Q2,[1]character_type_i18n!$A:$H,6,FALSE)</f>
        <v>1</v>
      </c>
      <c r="V2" s="11">
        <f ca="1">VLOOKUP(Q2,[1]character_type_i18n!$A:$H,7,FALSE)</f>
        <v>0.9</v>
      </c>
      <c r="W2" s="57" t="str">
        <f ca="1">VLOOKUP($A2,OFFSET([1]characters!$A$1,0,0,COUNTA([1]characters!$A:$A),MATCH(W$1,[1]characters!$1:$1,0)-MATCH($A$1,[1]characters!$1:$1,0)+1),MATCH(W$1,[1]characters!$1:$1,0)-MATCH($A$1,[1]characters!$1:$1,0)+1,FALSE)</f>
        <v>human</v>
      </c>
      <c r="X2" s="5" t="str">
        <f ca="1">VLOOKUP(W2,[1]character_tribe_i18n!$A:$H,3,FALSE)</f>
        <v>ヒューマン</v>
      </c>
      <c r="Y2" s="57" t="str">
        <f ca="1">VLOOKUP($A2,OFFSET([1]characters!$A$1,0,0,COUNTA([1]characters!$A:$A),MATCH(Y$1,[1]characters!$1:$1,0)-MATCH($A$1,[1]characters!$1:$1,0)+1),MATCH(Y$1,[1]characters!$1:$1,0)-MATCH($A$1,[1]characters!$1:$1,0)+1,FALSE)</f>
        <v>none</v>
      </c>
      <c r="Z2" s="5" t="str">
        <f ca="1">VLOOKUP(Y2,[1]character_tribe_i18n!$A:$H,3,FALSE)</f>
        <v>種族なし</v>
      </c>
      <c r="AA2" s="11">
        <f ca="1">VLOOKUP(W2,[1]character_tribe_i18n!$A:$H,4,FALSE)</f>
        <v>0.94</v>
      </c>
      <c r="AB2" s="11">
        <f ca="1">VLOOKUP(W2,[1]character_tribe_i18n!$A:$H,5,FALSE)</f>
        <v>0.99</v>
      </c>
      <c r="AC2" s="11">
        <f ca="1">VLOOKUP(W2,[1]character_tribe_i18n!$A:$H,6,FALSE)</f>
        <v>1</v>
      </c>
      <c r="AD2" s="11">
        <f ca="1">VLOOKUP(W2,[1]character_tribe_i18n!$A:$H,7,FALSE)</f>
        <v>1.07</v>
      </c>
      <c r="AE2" s="9">
        <v>1021</v>
      </c>
      <c r="AF2" s="62" t="str">
        <f ca="1">IF(AE2="NULL","",VLOOKUP($AE2,OFFSET([1]characters!$A$1,0,0,COUNTA([1]characters!$A:$A),MATCH(AF$1,[1]characters!$1:$1,0)-MATCH($A$1,[1]characters!$1:$1,0)+1),MATCH(AF$1,[1]characters!$1:$1,0)-MATCH($A$1,[1]characters!$1:$1,0)+1,FALSE))</f>
        <v>焔耀の舞姫 静御前</v>
      </c>
      <c r="AG2" s="5">
        <f t="shared" ref="AG2:AG15" ca="1" si="0">IF(ISNA(MATCH(A2,AE:AE,0)),A2,INDIRECT(ADDRESS(MATCH(A2,AE:AE,0),COLUMN())))</f>
        <v>1020</v>
      </c>
      <c r="AH2" s="62" t="str">
        <f ca="1">VLOOKUP($AG2,OFFSET([1]characters!$A$1,0,0,COUNTA([1]characters!$A:$A),MATCH(AH$1,[1]characters!$1:$1,0)-MATCH($A$1,[1]characters!$1:$1,0)+1),MATCH(AH$1,[1]characters!$1:$1,0)-MATCH($A$1,[1]characters!$1:$1,0)+1,FALSE)</f>
        <v>静御前</v>
      </c>
      <c r="AI2" s="11">
        <f ca="1">IF(AE2="NULL","NULL",VLOOKUP(G2,ビット!$A$2:$B$7,2))</f>
        <v>50000</v>
      </c>
      <c r="AJ2" s="6">
        <v>2</v>
      </c>
      <c r="AK2" s="7" t="str">
        <f t="shared" ref="AK2:AK3" si="1">IF(AJ2=1,"早熟",IF(AJ2=2,"普通",IF(AJ2=3,"晩成","")))</f>
        <v>普通</v>
      </c>
      <c r="AL2" s="11" t="str">
        <f ca="1">INDEX(経験値!$A$1:$I$20,MATCH(H2,経験値!$A$1:$A$20,FALSE),MATCH(G2,経験値!$A$1:$I$1,FALSE))</f>
        <v>required_exp_200</v>
      </c>
      <c r="AM2" s="8">
        <f ca="1">VLOOKUP(G2,経験値!$A$27:$B$31,2)</f>
        <v>3400</v>
      </c>
      <c r="AN2" s="17">
        <f ca="1">VLOOKUP(G2,ビット!$G$2:$H$7,2)</f>
        <v>600</v>
      </c>
      <c r="AO2" s="45"/>
      <c r="AP2" s="166">
        <v>1020</v>
      </c>
      <c r="AQ2" s="165" t="str">
        <f ca="1">VLOOKUP($AP2,OFFSET(unit_skills!$A$1,0,0,COUNTA(unit_skills!$A:$A),MATCH(AQ$1,unit_skills!$1:$1,0)-MATCH($AP$1,unit_skills!$1:$1,0)+1),MATCH(AQ$1,unit_skills!$1:$1,0)-MATCH($AP$1,unit_skills!$1:$1,0)+1,FALSE)</f>
        <v>煌炎の神楽</v>
      </c>
      <c r="AR2" s="57" t="str">
        <f ca="1">VLOOKUP($AP2,OFFSET(unit_skills!$A$1,0,0,COUNTA(unit_skills!$A:$A),MATCH(AR$1,unit_skills!$1:$1,0)-MATCH($AP$1,unit_skills!$1:$1,0)+1),MATCH(AR$1,unit_skills!$1:$1,0)-MATCH($AP$1,unit_skills!$1:$1,0)+1,FALSE)</f>
        <v>お邪魔パネルと緑パネルを赤パネルに変換</v>
      </c>
      <c r="AS2" s="57">
        <f ca="1">VLOOKUP($AP2,OFFSET(unit_skills!$A$1,0,0,COUNTA(unit_skills!$A:$A),MATCH(AS$1,unit_skills!$1:$1,0)-MATCH($AP$1,unit_skills!$1:$1,0)+1),MATCH(AS$1,unit_skills!$1:$1,0)-MATCH($AP$1,unit_skills!$1:$1,0)+1,FALSE)</f>
        <v>0</v>
      </c>
      <c r="AT2" s="166">
        <v>1020</v>
      </c>
      <c r="AU2" s="57" t="str">
        <f ca="1">VLOOKUP($AT2,OFFSET(crash_skills!$A$1,0,0,COUNTA(crash_skills!$A:$A),MATCH(AU$1,crash_skills!$1:$1,0)-MATCH($AT$1,crash_skills!$1:$1,0)+1),MATCH(AU$1,crash_skills!$1:$1,0)-MATCH($AT$1,crash_skills!$1:$1,0)+1,FALSE)</f>
        <v>燃焼の舞</v>
      </c>
      <c r="AV2" s="57" t="str">
        <f ca="1">VLOOKUP($AT2,OFFSET(crash_skills!$A$1,0,0,COUNTA(crash_skills!$A:$A),MATCH(AV$1,crash_skills!$1:$1,0)-MATCH($AT$1,crash_skills!$1:$1,0)+1),MATCH(AV$1,crash_skills!$1:$1,0)-MATCH($AT$1,crash_skills!$1:$1,0)+1,FALSE)</f>
        <v>1体に中ダメージ+_x000D_2ターン赤属性の回復力を小UP</v>
      </c>
      <c r="AW2" s="57">
        <f ca="1">VLOOKUP($AT2,OFFSET(crash_skills!$A$1,0,0,COUNTA(crash_skills!$A:$A),MATCH(AW$1,crash_skills!$1:$1,0)-MATCH($AT$1,crash_skills!$1:$1,0)+1),MATCH(AW$1,crash_skills!$1:$1,0)-MATCH($AT$1,crash_skills!$1:$1,0)+1,FALSE)</f>
        <v>0</v>
      </c>
      <c r="AX2" s="58">
        <f ca="1">VLOOKUP($A2,OFFSET([1]characters!$A$1,0,0,COUNTA([1]characters!$A:$A),MATCH(AX$1,[1]characters!$1:$1,0)-MATCH($A$1,[1]characters!$1:$1,0)+1),MATCH(AX$1,[1]characters!$1:$1,0)-MATCH($A$1,[1]characters!$1:$1,0)+1,FALSE)</f>
        <v>3</v>
      </c>
      <c r="AY2" s="67">
        <v>1.06</v>
      </c>
      <c r="AZ2" s="67">
        <v>1.36</v>
      </c>
      <c r="BA2" s="67">
        <v>0</v>
      </c>
      <c r="BB2" s="67">
        <v>1.1000000000000001</v>
      </c>
      <c r="BC2" s="11">
        <f ca="1">INDEX('RC6SV'!$A$1:$G$20,MATCH(H2,'RC6SV'!$A$1:$A$20,FALSE),MATCH(G2,'RC6SV'!$A$1:$G$1,FALSE))</f>
        <v>5800</v>
      </c>
      <c r="BD2" s="48">
        <f t="shared" ref="BD2:BD3" ca="1" si="2">ROUND(BC2*IF(AJ2=1,0.95,IF(AJ2=2,1,IF(AJ2,1.05,0))),0)</f>
        <v>5800</v>
      </c>
      <c r="BE2" s="11">
        <f t="shared" ref="BE2:BE15" ca="1" si="3">ROUND(IFERROR(INDIRECT(ADDRESS(MATCH($A2,$AE:$AE,0),MATCH($BC$1,$1:$1,0))),0),0)</f>
        <v>0</v>
      </c>
      <c r="BF2" s="11">
        <f t="shared" ref="BF2:BF15" ca="1" si="4">ROUND(IFERROR(INDIRECT(ADDRESS(MATCH($A2,$AE:$AE,0),10)),INDIRECT(ADDRESS(MATCH($A2,$A:$A,0),10))),0)</f>
        <v>1</v>
      </c>
      <c r="BG2" s="16">
        <f ca="1">IF($BE2&lt;=0,ROUND(BK2*0.5,0), ROUND($BE2*S2*AA2*J2*AY2*0.8*[1]ステータス!$B$2,0))</f>
        <v>1301</v>
      </c>
      <c r="BH2" s="16">
        <f ca="1">IF($BE2&lt;=0,ROUND(BL2*0.5,0), ROUND($BE2*T2*AB2*K2*AZ2*0.8*[1]ステータス!$C$2,0))</f>
        <v>1076</v>
      </c>
      <c r="BI2" s="16">
        <f ca="1">IF($BE2&lt;=0,ROUND(BM2*0.5,0), ROUND($BE2*U2*AC2*L2*BA2*0.8*[1]ステータス!$D$2,0))</f>
        <v>0</v>
      </c>
      <c r="BJ2" s="16">
        <f ca="1">IF($BE2&lt;=0,ROUND(BN2*0.5,0), ROUND($BE2*V2*AD2*M2*BB2*0.8*[1]ステータス!$E$2,0))</f>
        <v>753</v>
      </c>
      <c r="BK2" s="11">
        <f ca="1">ROUND(BD2*S2*AA2*J2*AY2*[1]ステータス!$B$2,0)</f>
        <v>2601</v>
      </c>
      <c r="BL2" s="11">
        <f ca="1">ROUND(BD2*T2*AB2*K2*AZ2*[1]ステータス!$C$2,0)</f>
        <v>2151</v>
      </c>
      <c r="BM2" s="11">
        <f ca="1">ROUND(BD2*U2*AC2*L2*BA2*[1]ステータス!$D$2,0)</f>
        <v>0</v>
      </c>
      <c r="BN2" s="11">
        <f ca="1">ROUND(BD2*V2*AD2*M2*BB2*[1]ステータス!$E$2,0)</f>
        <v>1505</v>
      </c>
      <c r="BO2" s="10">
        <v>0</v>
      </c>
      <c r="BP2" s="10">
        <v>1</v>
      </c>
      <c r="BQ2" s="39" t="s">
        <v>44</v>
      </c>
      <c r="BR2" s="10">
        <f ca="1">VLOOKUP(H2,ghosts_label!$A$2:$B$19,2,FALSE)</f>
        <v>1</v>
      </c>
    </row>
    <row r="3" spans="1:70" ht="26" customHeight="1" x14ac:dyDescent="0.15">
      <c r="A3" s="12">
        <v>1021</v>
      </c>
      <c r="B3" s="57" t="str">
        <f ca="1">VLOOKUP($A3,OFFSET([1]characters!$A$1,0,0,COUNTA([1]characters!$A:$A),MATCH(B$1,[1]characters!$1:$1,0)-MATCH($A$1,[1]characters!$1:$1,0)+1),MATCH(B$1,[1]characters!$1:$1,0)-MATCH($A$1,[1]characters!$1:$1,0)+1,FALSE)</f>
        <v>焔耀の舞姫 静御前</v>
      </c>
      <c r="C3" s="57" t="str">
        <f ca="1">VLOOKUP($A3,OFFSET([1]characters!$A$1,0,0,COUNTA([1]characters!$A:$A),MATCH(C$1,[1]characters!$1:$1,0)-MATCH($A$1,[1]characters!$1:$1,0)+1),MATCH(C$1,[1]characters!$1:$1,0)-MATCH($A$1,[1]characters!$1:$1,0)+1,FALSE)</f>
        <v>静御前</v>
      </c>
      <c r="D3" s="57" t="str">
        <f ca="1">VLOOKUP($A3,OFFSET([1]characters!$A$1,0,0,COUNTA([1]characters!$A:$A),MATCH(D$1,[1]characters!$1:$1,0)-MATCH($A$1,[1]characters!$1:$1,0)+1),MATCH(D$1,[1]characters!$1:$1,0)-MATCH($A$1,[1]characters!$1:$1,0)+1,FALSE)</f>
        <v>執行者</v>
      </c>
      <c r="E3" s="57" t="str">
        <f ca="1">VLOOKUP($A3,OFFSET([1]characters!$A$1,0,0,COUNTA([1]characters!$A:$A),MATCH(E$1,[1]characters!$1:$1,0)-MATCH($A$1,[1]characters!$1:$1,0)+1),MATCH(E$1,[1]characters!$1:$1,0)-MATCH($A$1,[1]characters!$1:$1,0)+1,FALSE)</f>
        <v>格好いい</v>
      </c>
      <c r="F3" s="57" t="str">
        <f ca="1">VLOOKUP($A3,OFFSET([1]characters!$A$1,0,0,COUNTA([1]characters!$A:$A),MATCH(F$1,[1]characters!$1:$1,0)-MATCH($A$1,[1]characters!$1:$1,0)+1),MATCH(F$1,[1]characters!$1:$1,0)-MATCH($A$1,[1]characters!$1:$1,0)+1,FALSE)</f>
        <v>男性</v>
      </c>
      <c r="G3" s="57">
        <f ca="1">VLOOKUP($A3,OFFSET([1]characters!$A$1,0,0,COUNTA([1]characters!$A:$A),MATCH(G$1,[1]characters!$1:$1,0)-MATCH($A$1,[1]characters!$1:$1,0)+1),MATCH(G$1,[1]characters!$1:$1,0)-MATCH($A$1,[1]characters!$1:$1,0)+1,FALSE)</f>
        <v>5</v>
      </c>
      <c r="H3" s="57" t="str">
        <f ca="1">VLOOKUP($A3,OFFSET([1]characters!$A$1,0,0,COUNTA([1]characters!$A:$A),MATCH(H$1,[1]characters!$1:$1,0)-MATCH($A$1,[1]characters!$1:$1,0)+1),MATCH(H$1,[1]characters!$1:$1,0)-MATCH($A$1,[1]characters!$1:$1,0)+1,FALSE)</f>
        <v>Drop2N</v>
      </c>
      <c r="I3" s="57" t="str">
        <f ca="1">VLOOKUP($A3,OFFSET([1]characters!$A$1,0,0,COUNTA([1]characters!$A:$A),MATCH(I$1,[1]characters!$1:$1,0)-MATCH($A$1,[1]characters!$1:$1,0)+1),MATCH(I$1,[1]characters!$1:$1,0)-MATCH($A$1,[1]characters!$1:$1,0)+1,FALSE)</f>
        <v>red</v>
      </c>
      <c r="J3" s="11">
        <f ca="1">VLOOKUP(I3,[1]属性!$A:$E,2,FALSE)</f>
        <v>1</v>
      </c>
      <c r="K3" s="11">
        <f ca="1">VLOOKUP(I3,[1]属性!$A:$E,3,FALSE)</f>
        <v>1.02</v>
      </c>
      <c r="L3" s="11">
        <f ca="1">VLOOKUP(I3,[1]属性!$A:$E,4,FALSE)</f>
        <v>1</v>
      </c>
      <c r="M3" s="11">
        <f ca="1">VLOOKUP(I3,[1]属性!$A:$E,5,FALSE)</f>
        <v>0.98</v>
      </c>
      <c r="N3" s="11">
        <f ca="1">INDEX(コスト!$A$1:$I$20,MATCH(H3,コスト!$A$1:$A$20,FALSE),MATCH(G3,コスト!$A$1:$I$1,FALSE))</f>
        <v>26</v>
      </c>
      <c r="O3" s="11">
        <f ca="1">INDEX(レベル!$A$1:$I$21,MATCH(H3,レベル!$A$1:$A$21,FALSE),MATCH(G3,レベル!$A$1:$I$1,FALSE))</f>
        <v>80</v>
      </c>
      <c r="P3" s="48">
        <f t="shared" ref="P3:P4" ca="1" si="5">IF(G3 &gt;= 6, 99,G3*15)</f>
        <v>75</v>
      </c>
      <c r="Q3" s="57" t="str">
        <f ca="1">VLOOKUP($A3,OFFSET([1]characters!$A$1,0,0,COUNTA([1]characters!$A:$A),MATCH(Q$1,[1]characters!$1:$1,0)-MATCH($A$1,[1]characters!$1:$1,0)+1),MATCH(Q$1,[1]characters!$1:$1,0)-MATCH($A$1,[1]characters!$1:$1,0)+1,FALSE)</f>
        <v>technical</v>
      </c>
      <c r="R3" s="5" t="str">
        <f ca="1">VLOOKUP(Q3,[1]character_type_i18n!$A:$H,3,FALSE)</f>
        <v>テクニカルタイプ</v>
      </c>
      <c r="S3" s="11">
        <f ca="1">VLOOKUP(Q3,[1]character_type_i18n!$A:$H,4,FALSE)</f>
        <v>0.9</v>
      </c>
      <c r="T3" s="11">
        <f ca="1">VLOOKUP(Q3,[1]character_type_i18n!$A:$H,5,FALSE)</f>
        <v>0.9</v>
      </c>
      <c r="U3" s="11">
        <f ca="1">VLOOKUP(Q3,[1]character_type_i18n!$A:$H,6,FALSE)</f>
        <v>1</v>
      </c>
      <c r="V3" s="11">
        <f ca="1">VLOOKUP(Q3,[1]character_type_i18n!$A:$H,7,FALSE)</f>
        <v>0.9</v>
      </c>
      <c r="W3" s="57" t="str">
        <f ca="1">VLOOKUP($A3,OFFSET([1]characters!$A$1,0,0,COUNTA([1]characters!$A:$A),MATCH(W$1,[1]characters!$1:$1,0)-MATCH($A$1,[1]characters!$1:$1,0)+1),MATCH(W$1,[1]characters!$1:$1,0)-MATCH($A$1,[1]characters!$1:$1,0)+1,FALSE)</f>
        <v>human</v>
      </c>
      <c r="X3" s="5" t="str">
        <f ca="1">VLOOKUP(W3,[1]character_tribe_i18n!$A:$H,3,FALSE)</f>
        <v>ヒューマン</v>
      </c>
      <c r="Y3" s="57" t="str">
        <f ca="1">VLOOKUP($A3,OFFSET([1]characters!$A$1,0,0,COUNTA([1]characters!$A:$A),MATCH(Y$1,[1]characters!$1:$1,0)-MATCH($A$1,[1]characters!$1:$1,0)+1),MATCH(Y$1,[1]characters!$1:$1,0)-MATCH($A$1,[1]characters!$1:$1,0)+1,FALSE)</f>
        <v>none</v>
      </c>
      <c r="Z3" s="5" t="str">
        <f ca="1">VLOOKUP(Y3,[1]character_tribe_i18n!$A:$H,3,FALSE)</f>
        <v>種族なし</v>
      </c>
      <c r="AA3" s="11">
        <f ca="1">VLOOKUP(W3,[1]character_tribe_i18n!$A:$H,4,FALSE)</f>
        <v>0.94</v>
      </c>
      <c r="AB3" s="11">
        <f ca="1">VLOOKUP(W3,[1]character_tribe_i18n!$A:$H,5,FALSE)</f>
        <v>0.99</v>
      </c>
      <c r="AC3" s="11">
        <f ca="1">VLOOKUP(W3,[1]character_tribe_i18n!$A:$H,6,FALSE)</f>
        <v>1</v>
      </c>
      <c r="AD3" s="11">
        <f ca="1">VLOOKUP(W3,[1]character_tribe_i18n!$A:$H,7,FALSE)</f>
        <v>1.07</v>
      </c>
      <c r="AE3" s="9" t="s">
        <v>140</v>
      </c>
      <c r="AF3" s="62" t="str">
        <f ca="1">IF(AE3="NULL","",VLOOKUP($AE3,OFFSET([1]characters!$A$1,0,0,COUNTA([1]characters!$A:$A),MATCH(AF$1,[1]characters!$1:$1,0)-MATCH($A$1,[1]characters!$1:$1,0)+1),MATCH(AF$1,[1]characters!$1:$1,0)-MATCH($A$1,[1]characters!$1:$1,0)+1,FALSE))</f>
        <v/>
      </c>
      <c r="AG3" s="5">
        <f t="shared" ca="1" si="0"/>
        <v>1020</v>
      </c>
      <c r="AH3" s="62" t="str">
        <f ca="1">VLOOKUP($AG3,OFFSET([1]characters!$A$1,0,0,COUNTA([1]characters!$A:$A),MATCH(AH$1,[1]characters!$1:$1,0)-MATCH($A$1,[1]characters!$1:$1,0)+1),MATCH(AH$1,[1]characters!$1:$1,0)-MATCH($A$1,[1]characters!$1:$1,0)+1,FALSE)</f>
        <v>静御前</v>
      </c>
      <c r="AI3" s="11" t="str">
        <f>IF(AE3="NULL","NULL",VLOOKUP(G3,ビット!$A$2:$B$7,2))</f>
        <v>NULL</v>
      </c>
      <c r="AJ3" s="6">
        <v>2</v>
      </c>
      <c r="AK3" s="7" t="str">
        <f t="shared" si="1"/>
        <v>普通</v>
      </c>
      <c r="AL3" s="11" t="str">
        <f ca="1">INDEX(経験値!$A$1:$I$20,MATCH(H3,経験値!$A$1:$A$20,FALSE),MATCH(G3,経験値!$A$1:$I$1,FALSE))</f>
        <v>required_exp_200</v>
      </c>
      <c r="AM3" s="8">
        <f ca="1">VLOOKUP(G3,経験値!$A$27:$B$31,2)</f>
        <v>6400</v>
      </c>
      <c r="AN3" s="17">
        <f ca="1">VLOOKUP(G3,ビット!$G$2:$H$7,2)</f>
        <v>900</v>
      </c>
      <c r="AO3" s="45"/>
      <c r="AP3" s="166">
        <v>1021</v>
      </c>
      <c r="AQ3" s="165" t="str">
        <f ca="1">VLOOKUP($AP3,OFFSET(unit_skills!$A$1,0,0,COUNTA(unit_skills!$A:$A),MATCH(AQ$1,unit_skills!$1:$1,0)-MATCH($AP$1,unit_skills!$1:$1,0)+1),MATCH(AQ$1,unit_skills!$1:$1,0)-MATCH($AP$1,unit_skills!$1:$1,0)+1,FALSE)</f>
        <v>煌炎の神楽</v>
      </c>
      <c r="AR3" s="57" t="str">
        <f ca="1">VLOOKUP($AP3,OFFSET(unit_skills!$A$1,0,0,COUNTA(unit_skills!$A:$A),MATCH(AR$1,unit_skills!$1:$1,0)-MATCH($AP$1,unit_skills!$1:$1,0)+1),MATCH(AR$1,unit_skills!$1:$1,0)-MATCH($AP$1,unit_skills!$1:$1,0)+1,FALSE)</f>
        <v>お邪魔パネルと緑パネルを赤パネルに変換</v>
      </c>
      <c r="AS3" s="57">
        <f ca="1">VLOOKUP($AP3,OFFSET(unit_skills!$A$1,0,0,COUNTA(unit_skills!$A:$A),MATCH(AS$1,unit_skills!$1:$1,0)-MATCH($AP$1,unit_skills!$1:$1,0)+1),MATCH(AS$1,unit_skills!$1:$1,0)-MATCH($AP$1,unit_skills!$1:$1,0)+1,FALSE)</f>
        <v>0</v>
      </c>
      <c r="AT3" s="166">
        <v>1021</v>
      </c>
      <c r="AU3" s="57" t="str">
        <f ca="1">VLOOKUP($AT3,OFFSET(crash_skills!$A$1,0,0,COUNTA(crash_skills!$A:$A),MATCH(AU$1,crash_skills!$1:$1,0)-MATCH($AT$1,crash_skills!$1:$1,0)+1),MATCH(AU$1,crash_skills!$1:$1,0)-MATCH($AT$1,crash_skills!$1:$1,0)+1,FALSE)</f>
        <v>燃焼の舞</v>
      </c>
      <c r="AV3" s="57" t="str">
        <f ca="1">VLOOKUP($AT3,OFFSET(crash_skills!$A$1,0,0,COUNTA(crash_skills!$A:$A),MATCH(AV$1,crash_skills!$1:$1,0)-MATCH($AT$1,crash_skills!$1:$1,0)+1),MATCH(AV$1,crash_skills!$1:$1,0)-MATCH($AT$1,crash_skills!$1:$1,0)+1,FALSE)</f>
        <v>1体に中ダメージ+_x000D_2ターン赤属性の回復力を小UP</v>
      </c>
      <c r="AW3" s="57">
        <f ca="1">VLOOKUP($AT3,OFFSET(crash_skills!$A$1,0,0,COUNTA(crash_skills!$A:$A),MATCH(AW$1,crash_skills!$1:$1,0)-MATCH($AT$1,crash_skills!$1:$1,0)+1),MATCH(AW$1,crash_skills!$1:$1,0)-MATCH($AT$1,crash_skills!$1:$1,0)+1,FALSE)</f>
        <v>0</v>
      </c>
      <c r="AX3" s="58">
        <f ca="1">VLOOKUP($A3,OFFSET([1]characters!$A$1,0,0,COUNTA([1]characters!$A:$A),MATCH(AX$1,[1]characters!$1:$1,0)-MATCH($A$1,[1]characters!$1:$1,0)+1),MATCH(AX$1,[1]characters!$1:$1,0)-MATCH($A$1,[1]characters!$1:$1,0)+1,FALSE)</f>
        <v>3</v>
      </c>
      <c r="AY3" s="67">
        <v>1.06</v>
      </c>
      <c r="AZ3" s="67">
        <v>1.36</v>
      </c>
      <c r="BA3" s="67">
        <v>0</v>
      </c>
      <c r="BB3" s="67">
        <v>1.1000000000000001</v>
      </c>
      <c r="BC3" s="11">
        <f ca="1">INDEX('RC6SV'!$A$1:$G$20,MATCH(H3,'RC6SV'!$A$1:$A$20,FALSE),MATCH(G3,'RC6SV'!$A$1:$G$1,FALSE))</f>
        <v>7600</v>
      </c>
      <c r="BD3" s="48">
        <f t="shared" ca="1" si="2"/>
        <v>7600</v>
      </c>
      <c r="BE3" s="11">
        <f t="shared" ca="1" si="3"/>
        <v>5800</v>
      </c>
      <c r="BF3" s="11">
        <f t="shared" ca="1" si="4"/>
        <v>1</v>
      </c>
      <c r="BG3" s="16">
        <f ca="1">IF($BE3&lt;=0,ROUND(BK3*0.5,0), ROUND($BE3*S3*AA3*J3*AY3*0.8*[1]ステータス!$B$2,0))</f>
        <v>2080</v>
      </c>
      <c r="BH3" s="16">
        <f ca="1">IF($BE3&lt;=0,ROUND(BL3*0.5,0), ROUND($BE3*T3*AB3*K3*AZ3*0.8*[1]ステータス!$C$2,0))</f>
        <v>1721</v>
      </c>
      <c r="BI3" s="16">
        <f ca="1">IF($BE3&lt;=0,ROUND(BM3*0.5,0), ROUND($BE3*U3*AC3*L3*BA3*0.8*[1]ステータス!$D$2,0))</f>
        <v>0</v>
      </c>
      <c r="BJ3" s="16">
        <f ca="1">IF($BE3&lt;=0,ROUND(BN3*0.5,0), ROUND($BE3*V3*AD3*M3*BB3*0.8*[1]ステータス!$E$2,0))</f>
        <v>1204</v>
      </c>
      <c r="BK3" s="11">
        <f ca="1">ROUND(BD3*S3*AA3*J3*AY3*[1]ステータス!$B$2,0)</f>
        <v>3408</v>
      </c>
      <c r="BL3" s="11">
        <f ca="1">ROUND(BD3*T3*AB3*K3*AZ3*[1]ステータス!$C$2,0)</f>
        <v>2818</v>
      </c>
      <c r="BM3" s="11">
        <f ca="1">ROUND(BD3*U3*AC3*L3*BA3*[1]ステータス!$D$2,0)</f>
        <v>0</v>
      </c>
      <c r="BN3" s="11">
        <f ca="1">ROUND(BD3*V3*AD3*M3*BB3*[1]ステータス!$E$2,0)</f>
        <v>1972</v>
      </c>
      <c r="BO3" s="10">
        <v>0</v>
      </c>
      <c r="BP3" s="10">
        <v>1</v>
      </c>
      <c r="BQ3" s="39" t="s">
        <v>44</v>
      </c>
      <c r="BR3" s="10">
        <f ca="1">VLOOKUP(H3,ghosts_label!$A$2:$B$19,2,FALSE)</f>
        <v>1</v>
      </c>
    </row>
    <row r="4" spans="1:70" ht="26" customHeight="1" x14ac:dyDescent="0.15">
      <c r="A4" s="12">
        <v>1022</v>
      </c>
      <c r="B4" s="57" t="str">
        <f ca="1">VLOOKUP($A4,OFFSET([1]characters!$A$1,0,0,COUNTA([1]characters!$A:$A),MATCH(B$1,[1]characters!$1:$1,0)-MATCH($A$1,[1]characters!$1:$1,0)+1),MATCH(B$1,[1]characters!$1:$1,0)-MATCH($A$1,[1]characters!$1:$1,0)+1,FALSE)</f>
        <v>那須与一</v>
      </c>
      <c r="C4" s="57" t="str">
        <f ca="1">VLOOKUP($A4,OFFSET([1]characters!$A$1,0,0,COUNTA([1]characters!$A:$A),MATCH(C$1,[1]characters!$1:$1,0)-MATCH($A$1,[1]characters!$1:$1,0)+1),MATCH(C$1,[1]characters!$1:$1,0)-MATCH($A$1,[1]characters!$1:$1,0)+1,FALSE)</f>
        <v>那須与一</v>
      </c>
      <c r="D4" s="57" t="str">
        <f ca="1">VLOOKUP($A4,OFFSET([1]characters!$A$1,0,0,COUNTA([1]characters!$A:$A),MATCH(D$1,[1]characters!$1:$1,0)-MATCH($A$1,[1]characters!$1:$1,0)+1),MATCH(D$1,[1]characters!$1:$1,0)-MATCH($A$1,[1]characters!$1:$1,0)+1,FALSE)</f>
        <v>執行者</v>
      </c>
      <c r="E4" s="57" t="str">
        <f ca="1">VLOOKUP($A4,OFFSET([1]characters!$A$1,0,0,COUNTA([1]characters!$A:$A),MATCH(E$1,[1]characters!$1:$1,0)-MATCH($A$1,[1]characters!$1:$1,0)+1),MATCH(E$1,[1]characters!$1:$1,0)-MATCH($A$1,[1]characters!$1:$1,0)+1,FALSE)</f>
        <v>格好いい</v>
      </c>
      <c r="F4" s="57" t="str">
        <f ca="1">VLOOKUP($A4,OFFSET([1]characters!$A$1,0,0,COUNTA([1]characters!$A:$A),MATCH(F$1,[1]characters!$1:$1,0)-MATCH($A$1,[1]characters!$1:$1,0)+1),MATCH(F$1,[1]characters!$1:$1,0)-MATCH($A$1,[1]characters!$1:$1,0)+1,FALSE)</f>
        <v>男性</v>
      </c>
      <c r="G4" s="57">
        <f ca="1">VLOOKUP($A4,OFFSET([1]characters!$A$1,0,0,COUNTA([1]characters!$A:$A),MATCH(G$1,[1]characters!$1:$1,0)-MATCH($A$1,[1]characters!$1:$1,0)+1),MATCH(G$1,[1]characters!$1:$1,0)-MATCH($A$1,[1]characters!$1:$1,0)+1,FALSE)</f>
        <v>4</v>
      </c>
      <c r="H4" s="57" t="str">
        <f ca="1">VLOOKUP($A4,OFFSET([1]characters!$A$1,0,0,COUNTA([1]characters!$A:$A),MATCH(H$1,[1]characters!$1:$1,0)-MATCH($A$1,[1]characters!$1:$1,0)+1),MATCH(H$1,[1]characters!$1:$1,0)-MATCH($A$1,[1]characters!$1:$1,0)+1,FALSE)</f>
        <v>Drop2N</v>
      </c>
      <c r="I4" s="57" t="str">
        <f ca="1">VLOOKUP($A4,OFFSET([1]characters!$A$1,0,0,COUNTA([1]characters!$A:$A),MATCH(I$1,[1]characters!$1:$1,0)-MATCH($A$1,[1]characters!$1:$1,0)+1),MATCH(I$1,[1]characters!$1:$1,0)-MATCH($A$1,[1]characters!$1:$1,0)+1,FALSE)</f>
        <v>green</v>
      </c>
      <c r="J4" s="11">
        <f ca="1">VLOOKUP(I4,[1]属性!$A:$E,2,FALSE)</f>
        <v>1.02</v>
      </c>
      <c r="K4" s="11">
        <f ca="1">VLOOKUP(I4,[1]属性!$A:$E,3,FALSE)</f>
        <v>0.98</v>
      </c>
      <c r="L4" s="11">
        <f ca="1">VLOOKUP(I4,[1]属性!$A:$E,4,FALSE)</f>
        <v>1</v>
      </c>
      <c r="M4" s="11">
        <f ca="1">VLOOKUP(I4,[1]属性!$A:$E,5,FALSE)</f>
        <v>1</v>
      </c>
      <c r="N4" s="11">
        <f ca="1">INDEX(コスト!$A$1:$I$20,MATCH(H4,コスト!$A$1:$A$20,FALSE),MATCH(G4,コスト!$A$1:$I$1,FALSE))</f>
        <v>17</v>
      </c>
      <c r="O4" s="11">
        <f ca="1">INDEX(レベル!$A$1:$I$21,MATCH(H4,レベル!$A$1:$A$21,FALSE),MATCH(G4,レベル!$A$1:$I$1,FALSE))</f>
        <v>60</v>
      </c>
      <c r="P4" s="48">
        <f t="shared" ca="1" si="5"/>
        <v>60</v>
      </c>
      <c r="Q4" s="57" t="str">
        <f ca="1">VLOOKUP($A4,OFFSET([1]characters!$A$1,0,0,COUNTA([1]characters!$A:$A),MATCH(Q$1,[1]characters!$1:$1,0)-MATCH($A$1,[1]characters!$1:$1,0)+1),MATCH(Q$1,[1]characters!$1:$1,0)-MATCH($A$1,[1]characters!$1:$1,0)+1,FALSE)</f>
        <v>technical</v>
      </c>
      <c r="R4" s="5" t="str">
        <f ca="1">VLOOKUP(Q4,[1]character_type_i18n!$A:$H,3,FALSE)</f>
        <v>テクニカルタイプ</v>
      </c>
      <c r="S4" s="11">
        <f ca="1">VLOOKUP(Q4,[1]character_type_i18n!$A:$H,4,FALSE)</f>
        <v>0.9</v>
      </c>
      <c r="T4" s="11">
        <f ca="1">VLOOKUP(Q4,[1]character_type_i18n!$A:$H,5,FALSE)</f>
        <v>0.9</v>
      </c>
      <c r="U4" s="11">
        <f ca="1">VLOOKUP(Q4,[1]character_type_i18n!$A:$H,6,FALSE)</f>
        <v>1</v>
      </c>
      <c r="V4" s="11">
        <f ca="1">VLOOKUP(Q4,[1]character_type_i18n!$A:$H,7,FALSE)</f>
        <v>0.9</v>
      </c>
      <c r="W4" s="57" t="str">
        <f ca="1">VLOOKUP($A4,OFFSET([1]characters!$A$1,0,0,COUNTA([1]characters!$A:$A),MATCH(W$1,[1]characters!$1:$1,0)-MATCH($A$1,[1]characters!$1:$1,0)+1),MATCH(W$1,[1]characters!$1:$1,0)-MATCH($A$1,[1]characters!$1:$1,0)+1,FALSE)</f>
        <v>human</v>
      </c>
      <c r="X4" s="5" t="str">
        <f ca="1">VLOOKUP(W4,[1]character_tribe_i18n!$A:$H,3,FALSE)</f>
        <v>ヒューマン</v>
      </c>
      <c r="Y4" s="57" t="str">
        <f ca="1">VLOOKUP($A4,OFFSET([1]characters!$A$1,0,0,COUNTA([1]characters!$A:$A),MATCH(Y$1,[1]characters!$1:$1,0)-MATCH($A$1,[1]characters!$1:$1,0)+1),MATCH(Y$1,[1]characters!$1:$1,0)-MATCH($A$1,[1]characters!$1:$1,0)+1,FALSE)</f>
        <v>samurai</v>
      </c>
      <c r="Z4" s="5" t="str">
        <f ca="1">VLOOKUP(Y4,[1]character_tribe_i18n!$A:$H,3,FALSE)</f>
        <v>サムライ</v>
      </c>
      <c r="AA4" s="11">
        <f ca="1">VLOOKUP(W4,[1]character_tribe_i18n!$A:$H,4,FALSE)</f>
        <v>0.94</v>
      </c>
      <c r="AB4" s="11">
        <f ca="1">VLOOKUP(W4,[1]character_tribe_i18n!$A:$H,5,FALSE)</f>
        <v>0.99</v>
      </c>
      <c r="AC4" s="11">
        <f ca="1">VLOOKUP(W4,[1]character_tribe_i18n!$A:$H,6,FALSE)</f>
        <v>1</v>
      </c>
      <c r="AD4" s="11">
        <f ca="1">VLOOKUP(W4,[1]character_tribe_i18n!$A:$H,7,FALSE)</f>
        <v>1.07</v>
      </c>
      <c r="AE4" s="9">
        <v>1023</v>
      </c>
      <c r="AF4" s="62" t="str">
        <f ca="1">IF(AE4="NULL","",VLOOKUP($AE4,OFFSET([1]characters!$A$1,0,0,COUNTA([1]characters!$A:$A),MATCH(AF$1,[1]characters!$1:$1,0)-MATCH($A$1,[1]characters!$1:$1,0)+1),MATCH(AF$1,[1]characters!$1:$1,0)-MATCH($A$1,[1]characters!$1:$1,0)+1,FALSE))</f>
        <v>心射抜く投擲者 那須与一</v>
      </c>
      <c r="AG4" s="5">
        <f t="shared" ca="1" si="0"/>
        <v>1022</v>
      </c>
      <c r="AH4" s="62" t="str">
        <f ca="1">VLOOKUP($AG4,OFFSET([1]characters!$A$1,0,0,COUNTA([1]characters!$A:$A),MATCH(AH$1,[1]characters!$1:$1,0)-MATCH($A$1,[1]characters!$1:$1,0)+1),MATCH(AH$1,[1]characters!$1:$1,0)-MATCH($A$1,[1]characters!$1:$1,0)+1,FALSE)</f>
        <v>那須与一</v>
      </c>
      <c r="AI4" s="11">
        <f ca="1">IF(AE4="NULL","NULL",VLOOKUP(G4,ビット!$A$2:$B$7,2))</f>
        <v>50000</v>
      </c>
      <c r="AJ4" s="6">
        <v>2</v>
      </c>
      <c r="AK4" s="7" t="str">
        <f t="shared" ref="AK4:AK14" si="6">IF(AJ4=1,"早熟",IF(AJ4=2,"普通",IF(AJ4=3,"晩成","")))</f>
        <v>普通</v>
      </c>
      <c r="AL4" s="11" t="str">
        <f ca="1">INDEX(経験値!$A$1:$I$20,MATCH(H4,経験値!$A$1:$A$20,FALSE),MATCH(G4,経験値!$A$1:$I$1,FALSE))</f>
        <v>required_exp_200</v>
      </c>
      <c r="AM4" s="8">
        <f ca="1">VLOOKUP(G4,経験値!$A$27:$B$31,2)</f>
        <v>3400</v>
      </c>
      <c r="AN4" s="17">
        <f ca="1">VLOOKUP(G4,ビット!$G$2:$H$7,2)</f>
        <v>600</v>
      </c>
      <c r="AO4" s="45"/>
      <c r="AP4" s="166">
        <v>1022</v>
      </c>
      <c r="AQ4" s="165" t="str">
        <f ca="1">VLOOKUP($AP4,OFFSET(unit_skills!$A$1,0,0,COUNTA(unit_skills!$A:$A),MATCH(AQ$1,unit_skills!$1:$1,0)-MATCH($AP$1,unit_skills!$1:$1,0)+1),MATCH(AQ$1,unit_skills!$1:$1,0)-MATCH($AP$1,unit_skills!$1:$1,0)+1,FALSE)</f>
        <v>スリー・イン・ザ・ブラック</v>
      </c>
      <c r="AR4" s="57" t="str">
        <f ca="1">VLOOKUP($AP4,OFFSET(unit_skills!$A$1,0,0,COUNTA(unit_skills!$A:$A),MATCH(AR$1,unit_skills!$1:$1,0)-MATCH($AP$1,unit_skills!$1:$1,0)+1),MATCH(AR$1,unit_skills!$1:$1,0)-MATCH($AP$1,unit_skills!$1:$1,0)+1,FALSE)</f>
        <v>黄パネルを5個Cパネルに変換+2ターン緑属性の攻撃力と防御力を大アップ</v>
      </c>
      <c r="AS4" s="57">
        <f ca="1">VLOOKUP($AP4,OFFSET(unit_skills!$A$1,0,0,COUNTA(unit_skills!$A:$A),MATCH(AS$1,unit_skills!$1:$1,0)-MATCH($AP$1,unit_skills!$1:$1,0)+1),MATCH(AS$1,unit_skills!$1:$1,0)-MATCH($AP$1,unit_skills!$1:$1,0)+1,FALSE)</f>
        <v>0</v>
      </c>
      <c r="AT4" s="166">
        <v>1022</v>
      </c>
      <c r="AU4" s="57" t="str">
        <f ca="1">VLOOKUP($AT4,OFFSET(crash_skills!$A$1,0,0,COUNTA(crash_skills!$A:$A),MATCH(AU$1,crash_skills!$1:$1,0)-MATCH($AT$1,crash_skills!$1:$1,0)+1),MATCH(AU$1,crash_skills!$1:$1,0)-MATCH($AT$1,crash_skills!$1:$1,0)+1,FALSE)</f>
        <v>瞬撃のインナーブル</v>
      </c>
      <c r="AV4" s="57" t="str">
        <f ca="1">VLOOKUP($AT4,OFFSET(crash_skills!$A$1,0,0,COUNTA(crash_skills!$A:$A),MATCH(AV$1,crash_skills!$1:$1,0)-MATCH($AT$1,crash_skills!$1:$1,0)+1),MATCH(AV$1,crash_skills!$1:$1,0)-MATCH($AT$1,crash_skills!$1:$1,0)+1,FALSE)</f>
        <v>1体に大ダメージ+_x000D_防御力を無視した固定威力ダメージ</v>
      </c>
      <c r="AW4" s="57">
        <f ca="1">VLOOKUP($AT4,OFFSET(crash_skills!$A$1,0,0,COUNTA(crash_skills!$A:$A),MATCH(AW$1,crash_skills!$1:$1,0)-MATCH($AT$1,crash_skills!$1:$1,0)+1),MATCH(AW$1,crash_skills!$1:$1,0)-MATCH($AT$1,crash_skills!$1:$1,0)+1,FALSE)</f>
        <v>0</v>
      </c>
      <c r="AX4" s="58">
        <f ca="1">VLOOKUP($A4,OFFSET([1]characters!$A$1,0,0,COUNTA([1]characters!$A:$A),MATCH(AX$1,[1]characters!$1:$1,0)-MATCH($A$1,[1]characters!$1:$1,0)+1),MATCH(AX$1,[1]characters!$1:$1,0)-MATCH($A$1,[1]characters!$1:$1,0)+1,FALSE)</f>
        <v>3</v>
      </c>
      <c r="AY4" s="67">
        <v>1.19</v>
      </c>
      <c r="AZ4" s="67">
        <v>1.41</v>
      </c>
      <c r="BA4" s="67">
        <v>0</v>
      </c>
      <c r="BB4" s="67">
        <v>1</v>
      </c>
      <c r="BC4" s="11">
        <f ca="1">INDEX('RC6SV'!$A$1:$G$20,MATCH(H4,'RC6SV'!$A$1:$A$20,FALSE),MATCH(G4,'RC6SV'!$A$1:$G$1,FALSE))</f>
        <v>5800</v>
      </c>
      <c r="BD4" s="48">
        <f t="shared" ref="BD4:BD14" ca="1" si="7">ROUND(BC4*IF(AJ4=1,0.95,IF(AJ4=2,1,IF(AJ4,1.05,0))),0)</f>
        <v>5800</v>
      </c>
      <c r="BE4" s="11">
        <f t="shared" ca="1" si="3"/>
        <v>0</v>
      </c>
      <c r="BF4" s="11">
        <f t="shared" ca="1" si="4"/>
        <v>1</v>
      </c>
      <c r="BG4" s="16">
        <f ca="1">IF($BE4&lt;=0,ROUND(BK4*0.5,0), ROUND($BE4*S4*AA4*J4*AY4*0.8*[1]ステータス!$B$2,0))</f>
        <v>1489</v>
      </c>
      <c r="BH4" s="16">
        <f ca="1">IF($BE4&lt;=0,ROUND(BL4*0.5,0), ROUND($BE4*T4*AB4*K4*AZ4*0.8*[1]ステータス!$C$2,0))</f>
        <v>1071</v>
      </c>
      <c r="BI4" s="16">
        <f ca="1">IF($BE4&lt;=0,ROUND(BM4*0.5,0), ROUND($BE4*U4*AC4*L4*BA4*0.8*[1]ステータス!$D$2,0))</f>
        <v>0</v>
      </c>
      <c r="BJ4" s="16">
        <f ca="1">IF($BE4&lt;=0,ROUND(BN4*0.5,0), ROUND($BE4*V4*AD4*M4*BB4*0.8*[1]ステータス!$E$2,0))</f>
        <v>698</v>
      </c>
      <c r="BK4" s="11">
        <f ca="1">ROUND(BD4*S4*AA4*J4*AY4*[1]ステータス!$B$2,0)</f>
        <v>2978</v>
      </c>
      <c r="BL4" s="11">
        <f ca="1">ROUND(BD4*T4*AB4*K4*AZ4*[1]ステータス!$C$2,0)</f>
        <v>2142</v>
      </c>
      <c r="BM4" s="11">
        <f ca="1">ROUND(BD4*U4*AC4*L4*BA4*[1]ステータス!$D$2,0)</f>
        <v>0</v>
      </c>
      <c r="BN4" s="11">
        <f ca="1">ROUND(BD4*V4*AD4*M4*BB4*[1]ステータス!$E$2,0)</f>
        <v>1396</v>
      </c>
      <c r="BO4" s="10">
        <v>0</v>
      </c>
      <c r="BP4" s="10">
        <v>1</v>
      </c>
      <c r="BQ4" s="39" t="s">
        <v>44</v>
      </c>
      <c r="BR4" s="10">
        <f ca="1">VLOOKUP(H4,ghosts_label!$A$2:$B$19,2,FALSE)</f>
        <v>1</v>
      </c>
    </row>
    <row r="5" spans="1:70" ht="26" customHeight="1" x14ac:dyDescent="0.15">
      <c r="A5" s="12">
        <v>1023</v>
      </c>
      <c r="B5" s="57" t="str">
        <f ca="1">VLOOKUP($A5,OFFSET([1]characters!$A$1,0,0,COUNTA([1]characters!$A:$A),MATCH(B$1,[1]characters!$1:$1,0)-MATCH($A$1,[1]characters!$1:$1,0)+1),MATCH(B$1,[1]characters!$1:$1,0)-MATCH($A$1,[1]characters!$1:$1,0)+1,FALSE)</f>
        <v>心射抜く投擲者 那須与一</v>
      </c>
      <c r="C5" s="57" t="str">
        <f ca="1">VLOOKUP($A5,OFFSET([1]characters!$A$1,0,0,COUNTA([1]characters!$A:$A),MATCH(C$1,[1]characters!$1:$1,0)-MATCH($A$1,[1]characters!$1:$1,0)+1),MATCH(C$1,[1]characters!$1:$1,0)-MATCH($A$1,[1]characters!$1:$1,0)+1,FALSE)</f>
        <v>那須与一</v>
      </c>
      <c r="D5" s="57" t="str">
        <f ca="1">VLOOKUP($A5,OFFSET([1]characters!$A$1,0,0,COUNTA([1]characters!$A:$A),MATCH(D$1,[1]characters!$1:$1,0)-MATCH($A$1,[1]characters!$1:$1,0)+1),MATCH(D$1,[1]characters!$1:$1,0)-MATCH($A$1,[1]characters!$1:$1,0)+1,FALSE)</f>
        <v>執行者</v>
      </c>
      <c r="E5" s="57" t="str">
        <f ca="1">VLOOKUP($A5,OFFSET([1]characters!$A$1,0,0,COUNTA([1]characters!$A:$A),MATCH(E$1,[1]characters!$1:$1,0)-MATCH($A$1,[1]characters!$1:$1,0)+1),MATCH(E$1,[1]characters!$1:$1,0)-MATCH($A$1,[1]characters!$1:$1,0)+1,FALSE)</f>
        <v>格好いい</v>
      </c>
      <c r="F5" s="57" t="str">
        <f ca="1">VLOOKUP($A5,OFFSET([1]characters!$A$1,0,0,COUNTA([1]characters!$A:$A),MATCH(F$1,[1]characters!$1:$1,0)-MATCH($A$1,[1]characters!$1:$1,0)+1),MATCH(F$1,[1]characters!$1:$1,0)-MATCH($A$1,[1]characters!$1:$1,0)+1,FALSE)</f>
        <v>男性</v>
      </c>
      <c r="G5" s="57">
        <f ca="1">VLOOKUP($A5,OFFSET([1]characters!$A$1,0,0,COUNTA([1]characters!$A:$A),MATCH(G$1,[1]characters!$1:$1,0)-MATCH($A$1,[1]characters!$1:$1,0)+1),MATCH(G$1,[1]characters!$1:$1,0)-MATCH($A$1,[1]characters!$1:$1,0)+1,FALSE)</f>
        <v>5</v>
      </c>
      <c r="H5" s="57" t="str">
        <f ca="1">VLOOKUP($A5,OFFSET([1]characters!$A$1,0,0,COUNTA([1]characters!$A:$A),MATCH(H$1,[1]characters!$1:$1,0)-MATCH($A$1,[1]characters!$1:$1,0)+1),MATCH(H$1,[1]characters!$1:$1,0)-MATCH($A$1,[1]characters!$1:$1,0)+1,FALSE)</f>
        <v>Drop2N</v>
      </c>
      <c r="I5" s="57" t="str">
        <f ca="1">VLOOKUP($A5,OFFSET([1]characters!$A$1,0,0,COUNTA([1]characters!$A:$A),MATCH(I$1,[1]characters!$1:$1,0)-MATCH($A$1,[1]characters!$1:$1,0)+1),MATCH(I$1,[1]characters!$1:$1,0)-MATCH($A$1,[1]characters!$1:$1,0)+1,FALSE)</f>
        <v>green</v>
      </c>
      <c r="J5" s="11">
        <f ca="1">VLOOKUP(I5,[1]属性!$A:$E,2,FALSE)</f>
        <v>1.02</v>
      </c>
      <c r="K5" s="11">
        <f ca="1">VLOOKUP(I5,[1]属性!$A:$E,3,FALSE)</f>
        <v>0.98</v>
      </c>
      <c r="L5" s="11">
        <f ca="1">VLOOKUP(I5,[1]属性!$A:$E,4,FALSE)</f>
        <v>1</v>
      </c>
      <c r="M5" s="11">
        <f ca="1">VLOOKUP(I5,[1]属性!$A:$E,5,FALSE)</f>
        <v>1</v>
      </c>
      <c r="N5" s="11">
        <f ca="1">INDEX(コスト!$A$1:$I$20,MATCH(H5,コスト!$A$1:$A$20,FALSE),MATCH(G5,コスト!$A$1:$I$1,FALSE))</f>
        <v>26</v>
      </c>
      <c r="O5" s="11">
        <f ca="1">INDEX(レベル!$A$1:$I$21,MATCH(H5,レベル!$A$1:$A$21,FALSE),MATCH(G5,レベル!$A$1:$I$1,FALSE))</f>
        <v>80</v>
      </c>
      <c r="P5" s="48">
        <f t="shared" ref="P5:P14" ca="1" si="8">IF(G5 &gt;= 6, 99,G5*15)</f>
        <v>75</v>
      </c>
      <c r="Q5" s="57" t="str">
        <f ca="1">VLOOKUP($A5,OFFSET([1]characters!$A$1,0,0,COUNTA([1]characters!$A:$A),MATCH(Q$1,[1]characters!$1:$1,0)-MATCH($A$1,[1]characters!$1:$1,0)+1),MATCH(Q$1,[1]characters!$1:$1,0)-MATCH($A$1,[1]characters!$1:$1,0)+1,FALSE)</f>
        <v>technical</v>
      </c>
      <c r="R5" s="5" t="str">
        <f ca="1">VLOOKUP(Q5,[1]character_type_i18n!$A:$H,3,FALSE)</f>
        <v>テクニカルタイプ</v>
      </c>
      <c r="S5" s="11">
        <f ca="1">VLOOKUP(Q5,[1]character_type_i18n!$A:$H,4,FALSE)</f>
        <v>0.9</v>
      </c>
      <c r="T5" s="11">
        <f ca="1">VLOOKUP(Q5,[1]character_type_i18n!$A:$H,5,FALSE)</f>
        <v>0.9</v>
      </c>
      <c r="U5" s="11">
        <f ca="1">VLOOKUP(Q5,[1]character_type_i18n!$A:$H,6,FALSE)</f>
        <v>1</v>
      </c>
      <c r="V5" s="11">
        <f ca="1">VLOOKUP(Q5,[1]character_type_i18n!$A:$H,7,FALSE)</f>
        <v>0.9</v>
      </c>
      <c r="W5" s="57" t="str">
        <f ca="1">VLOOKUP($A5,OFFSET([1]characters!$A$1,0,0,COUNTA([1]characters!$A:$A),MATCH(W$1,[1]characters!$1:$1,0)-MATCH($A$1,[1]characters!$1:$1,0)+1),MATCH(W$1,[1]characters!$1:$1,0)-MATCH($A$1,[1]characters!$1:$1,0)+1,FALSE)</f>
        <v>human</v>
      </c>
      <c r="X5" s="5" t="str">
        <f ca="1">VLOOKUP(W5,[1]character_tribe_i18n!$A:$H,3,FALSE)</f>
        <v>ヒューマン</v>
      </c>
      <c r="Y5" s="57" t="str">
        <f ca="1">VLOOKUP($A5,OFFSET([1]characters!$A$1,0,0,COUNTA([1]characters!$A:$A),MATCH(Y$1,[1]characters!$1:$1,0)-MATCH($A$1,[1]characters!$1:$1,0)+1),MATCH(Y$1,[1]characters!$1:$1,0)-MATCH($A$1,[1]characters!$1:$1,0)+1,FALSE)</f>
        <v>samurai</v>
      </c>
      <c r="Z5" s="5" t="str">
        <f ca="1">VLOOKUP(Y5,[1]character_tribe_i18n!$A:$H,3,FALSE)</f>
        <v>サムライ</v>
      </c>
      <c r="AA5" s="11">
        <f ca="1">VLOOKUP(W5,[1]character_tribe_i18n!$A:$H,4,FALSE)</f>
        <v>0.94</v>
      </c>
      <c r="AB5" s="11">
        <f ca="1">VLOOKUP(W5,[1]character_tribe_i18n!$A:$H,5,FALSE)</f>
        <v>0.99</v>
      </c>
      <c r="AC5" s="11">
        <f ca="1">VLOOKUP(W5,[1]character_tribe_i18n!$A:$H,6,FALSE)</f>
        <v>1</v>
      </c>
      <c r="AD5" s="11">
        <f ca="1">VLOOKUP(W5,[1]character_tribe_i18n!$A:$H,7,FALSE)</f>
        <v>1.07</v>
      </c>
      <c r="AE5" s="9" t="s">
        <v>140</v>
      </c>
      <c r="AF5" s="62" t="str">
        <f ca="1">IF(AE5="NULL","",VLOOKUP($AE5,OFFSET([1]characters!$A$1,0,0,COUNTA([1]characters!$A:$A),MATCH(AF$1,[1]characters!$1:$1,0)-MATCH($A$1,[1]characters!$1:$1,0)+1),MATCH(AF$1,[1]characters!$1:$1,0)-MATCH($A$1,[1]characters!$1:$1,0)+1,FALSE))</f>
        <v/>
      </c>
      <c r="AG5" s="5">
        <f t="shared" ca="1" si="0"/>
        <v>1022</v>
      </c>
      <c r="AH5" s="62" t="str">
        <f ca="1">VLOOKUP($AG5,OFFSET([1]characters!$A$1,0,0,COUNTA([1]characters!$A:$A),MATCH(AH$1,[1]characters!$1:$1,0)-MATCH($A$1,[1]characters!$1:$1,0)+1),MATCH(AH$1,[1]characters!$1:$1,0)-MATCH($A$1,[1]characters!$1:$1,0)+1,FALSE)</f>
        <v>那須与一</v>
      </c>
      <c r="AI5" s="11" t="str">
        <f>IF(AE5="NULL","NULL",VLOOKUP(G5,ビット!$A$2:$B$7,2))</f>
        <v>NULL</v>
      </c>
      <c r="AJ5" s="6">
        <v>2</v>
      </c>
      <c r="AK5" s="7" t="str">
        <f t="shared" si="6"/>
        <v>普通</v>
      </c>
      <c r="AL5" s="11" t="str">
        <f ca="1">INDEX(経験値!$A$1:$I$20,MATCH(H5,経験値!$A$1:$A$20,FALSE),MATCH(G5,経験値!$A$1:$I$1,FALSE))</f>
        <v>required_exp_200</v>
      </c>
      <c r="AM5" s="8">
        <f ca="1">VLOOKUP(G5,経験値!$A$27:$B$31,2)</f>
        <v>6400</v>
      </c>
      <c r="AN5" s="17">
        <f ca="1">VLOOKUP(G5,ビット!$G$2:$H$7,2)</f>
        <v>900</v>
      </c>
      <c r="AO5" s="45"/>
      <c r="AP5" s="166">
        <v>1023</v>
      </c>
      <c r="AQ5" s="165" t="str">
        <f ca="1">VLOOKUP($AP5,OFFSET(unit_skills!$A$1,0,0,COUNTA(unit_skills!$A:$A),MATCH(AQ$1,unit_skills!$1:$1,0)-MATCH($AP$1,unit_skills!$1:$1,0)+1),MATCH(AQ$1,unit_skills!$1:$1,0)-MATCH($AP$1,unit_skills!$1:$1,0)+1,FALSE)</f>
        <v>スリー・イン・ザ・ブラック</v>
      </c>
      <c r="AR5" s="57" t="str">
        <f ca="1">VLOOKUP($AP5,OFFSET(unit_skills!$A$1,0,0,COUNTA(unit_skills!$A:$A),MATCH(AR$1,unit_skills!$1:$1,0)-MATCH($AP$1,unit_skills!$1:$1,0)+1),MATCH(AR$1,unit_skills!$1:$1,0)-MATCH($AP$1,unit_skills!$1:$1,0)+1,FALSE)</f>
        <v>黄パネルを5個Cパネルに変換+2ターン緑属性の攻撃力と防御力を大アップ</v>
      </c>
      <c r="AS5" s="57">
        <f ca="1">VLOOKUP($AP5,OFFSET(unit_skills!$A$1,0,0,COUNTA(unit_skills!$A:$A),MATCH(AS$1,unit_skills!$1:$1,0)-MATCH($AP$1,unit_skills!$1:$1,0)+1),MATCH(AS$1,unit_skills!$1:$1,0)-MATCH($AP$1,unit_skills!$1:$1,0)+1,FALSE)</f>
        <v>0</v>
      </c>
      <c r="AT5" s="166">
        <v>1023</v>
      </c>
      <c r="AU5" s="57" t="str">
        <f ca="1">VLOOKUP($AT5,OFFSET(crash_skills!$A$1,0,0,COUNTA(crash_skills!$A:$A),MATCH(AU$1,crash_skills!$1:$1,0)-MATCH($AT$1,crash_skills!$1:$1,0)+1),MATCH(AU$1,crash_skills!$1:$1,0)-MATCH($AT$1,crash_skills!$1:$1,0)+1,FALSE)</f>
        <v>瞬撃のインナーブル</v>
      </c>
      <c r="AV5" s="57" t="str">
        <f ca="1">VLOOKUP($AT5,OFFSET(crash_skills!$A$1,0,0,COUNTA(crash_skills!$A:$A),MATCH(AV$1,crash_skills!$1:$1,0)-MATCH($AT$1,crash_skills!$1:$1,0)+1),MATCH(AV$1,crash_skills!$1:$1,0)-MATCH($AT$1,crash_skills!$1:$1,0)+1,FALSE)</f>
        <v>1体に大ダメージ+_x000D_防御力を無視した固定威力ダメージ</v>
      </c>
      <c r="AW5" s="57">
        <f ca="1">VLOOKUP($AT5,OFFSET(crash_skills!$A$1,0,0,COUNTA(crash_skills!$A:$A),MATCH(AW$1,crash_skills!$1:$1,0)-MATCH($AT$1,crash_skills!$1:$1,0)+1),MATCH(AW$1,crash_skills!$1:$1,0)-MATCH($AT$1,crash_skills!$1:$1,0)+1,FALSE)</f>
        <v>0</v>
      </c>
      <c r="AX5" s="58">
        <f ca="1">VLOOKUP($A5,OFFSET([1]characters!$A$1,0,0,COUNTA([1]characters!$A:$A),MATCH(AX$1,[1]characters!$1:$1,0)-MATCH($A$1,[1]characters!$1:$1,0)+1),MATCH(AX$1,[1]characters!$1:$1,0)-MATCH($A$1,[1]characters!$1:$1,0)+1,FALSE)</f>
        <v>3</v>
      </c>
      <c r="AY5" s="67">
        <v>1.19</v>
      </c>
      <c r="AZ5" s="67">
        <v>1.41</v>
      </c>
      <c r="BA5" s="67">
        <v>0</v>
      </c>
      <c r="BB5" s="67">
        <v>1</v>
      </c>
      <c r="BC5" s="11">
        <f ca="1">INDEX('RC6SV'!$A$1:$G$20,MATCH(H5,'RC6SV'!$A$1:$A$20,FALSE),MATCH(G5,'RC6SV'!$A$1:$G$1,FALSE))</f>
        <v>7600</v>
      </c>
      <c r="BD5" s="48">
        <f t="shared" ca="1" si="7"/>
        <v>7600</v>
      </c>
      <c r="BE5" s="11">
        <f t="shared" ca="1" si="3"/>
        <v>5800</v>
      </c>
      <c r="BF5" s="11">
        <f t="shared" ca="1" si="4"/>
        <v>1</v>
      </c>
      <c r="BG5" s="16">
        <f ca="1">IF($BE5&lt;=0,ROUND(BK5*0.5,0), ROUND($BE5*S5*AA5*J5*AY5*0.8*[1]ステータス!$B$2,0))</f>
        <v>2382</v>
      </c>
      <c r="BH5" s="16">
        <f ca="1">IF($BE5&lt;=0,ROUND(BL5*0.5,0), ROUND($BE5*T5*AB5*K5*AZ5*0.8*[1]ステータス!$C$2,0))</f>
        <v>1714</v>
      </c>
      <c r="BI5" s="16">
        <f ca="1">IF($BE5&lt;=0,ROUND(BM5*0.5,0), ROUND($BE5*U5*AC5*L5*BA5*0.8*[1]ステータス!$D$2,0))</f>
        <v>0</v>
      </c>
      <c r="BJ5" s="16">
        <f ca="1">IF($BE5&lt;=0,ROUND(BN5*0.5,0), ROUND($BE5*V5*AD5*M5*BB5*0.8*[1]ステータス!$E$2,0))</f>
        <v>1117</v>
      </c>
      <c r="BK5" s="11">
        <f ca="1">ROUND(BD5*S5*AA5*J5*AY5*[1]ステータス!$B$2,0)</f>
        <v>3902</v>
      </c>
      <c r="BL5" s="11">
        <f ca="1">ROUND(BD5*T5*AB5*K5*AZ5*[1]ステータス!$C$2,0)</f>
        <v>2807</v>
      </c>
      <c r="BM5" s="11">
        <f ca="1">ROUND(BD5*U5*AC5*L5*BA5*[1]ステータス!$D$2,0)</f>
        <v>0</v>
      </c>
      <c r="BN5" s="11">
        <f ca="1">ROUND(BD5*V5*AD5*M5*BB5*[1]ステータス!$E$2,0)</f>
        <v>1830</v>
      </c>
      <c r="BO5" s="10">
        <v>0</v>
      </c>
      <c r="BP5" s="10">
        <v>1</v>
      </c>
      <c r="BQ5" s="39" t="s">
        <v>44</v>
      </c>
      <c r="BR5" s="10">
        <f ca="1">VLOOKUP(H5,ghosts_label!$A$2:$B$19,2,FALSE)</f>
        <v>1</v>
      </c>
    </row>
    <row r="6" spans="1:70" ht="26" customHeight="1" x14ac:dyDescent="0.15">
      <c r="A6" s="12">
        <v>1024</v>
      </c>
      <c r="B6" s="57" t="str">
        <f ca="1">VLOOKUP($A6,OFFSET([1]characters!$A$1,0,0,COUNTA([1]characters!$A:$A),MATCH(B$1,[1]characters!$1:$1,0)-MATCH($A$1,[1]characters!$1:$1,0)+1),MATCH(B$1,[1]characters!$1:$1,0)-MATCH($A$1,[1]characters!$1:$1,0)+1,FALSE)</f>
        <v>武蔵坊弁慶</v>
      </c>
      <c r="C6" s="57" t="str">
        <f ca="1">VLOOKUP($A6,OFFSET([1]characters!$A$1,0,0,COUNTA([1]characters!$A:$A),MATCH(C$1,[1]characters!$1:$1,0)-MATCH($A$1,[1]characters!$1:$1,0)+1),MATCH(C$1,[1]characters!$1:$1,0)-MATCH($A$1,[1]characters!$1:$1,0)+1,FALSE)</f>
        <v>武蔵坊弁慶</v>
      </c>
      <c r="D6" s="57" t="str">
        <f ca="1">VLOOKUP($A6,OFFSET([1]characters!$A$1,0,0,COUNTA([1]characters!$A:$A),MATCH(D$1,[1]characters!$1:$1,0)-MATCH($A$1,[1]characters!$1:$1,0)+1),MATCH(D$1,[1]characters!$1:$1,0)-MATCH($A$1,[1]characters!$1:$1,0)+1,FALSE)</f>
        <v>執行者</v>
      </c>
      <c r="E6" s="57" t="str">
        <f ca="1">VLOOKUP($A6,OFFSET([1]characters!$A$1,0,0,COUNTA([1]characters!$A:$A),MATCH(E$1,[1]characters!$1:$1,0)-MATCH($A$1,[1]characters!$1:$1,0)+1),MATCH(E$1,[1]characters!$1:$1,0)-MATCH($A$1,[1]characters!$1:$1,0)+1,FALSE)</f>
        <v>格好いい</v>
      </c>
      <c r="F6" s="57" t="str">
        <f ca="1">VLOOKUP($A6,OFFSET([1]characters!$A$1,0,0,COUNTA([1]characters!$A:$A),MATCH(F$1,[1]characters!$1:$1,0)-MATCH($A$1,[1]characters!$1:$1,0)+1),MATCH(F$1,[1]characters!$1:$1,0)-MATCH($A$1,[1]characters!$1:$1,0)+1,FALSE)</f>
        <v>男性</v>
      </c>
      <c r="G6" s="57">
        <f ca="1">VLOOKUP($A6,OFFSET([1]characters!$A$1,0,0,COUNTA([1]characters!$A:$A),MATCH(G$1,[1]characters!$1:$1,0)-MATCH($A$1,[1]characters!$1:$1,0)+1),MATCH(G$1,[1]characters!$1:$1,0)-MATCH($A$1,[1]characters!$1:$1,0)+1,FALSE)</f>
        <v>5</v>
      </c>
      <c r="H6" s="57" t="str">
        <f ca="1">VLOOKUP($A6,OFFSET([1]characters!$A$1,0,0,COUNTA([1]characters!$A:$A),MATCH(H$1,[1]characters!$1:$1,0)-MATCH($A$1,[1]characters!$1:$1,0)+1),MATCH(H$1,[1]characters!$1:$1,0)-MATCH($A$1,[1]characters!$1:$1,0)+1,FALSE)</f>
        <v>DropWizS</v>
      </c>
      <c r="I6" s="57" t="str">
        <f ca="1">VLOOKUP($A6,OFFSET([1]characters!$A$1,0,0,COUNTA([1]characters!$A:$A),MATCH(I$1,[1]characters!$1:$1,0)-MATCH($A$1,[1]characters!$1:$1,0)+1),MATCH(I$1,[1]characters!$1:$1,0)-MATCH($A$1,[1]characters!$1:$1,0)+1,FALSE)</f>
        <v>yellow</v>
      </c>
      <c r="J6" s="11">
        <f ca="1">VLOOKUP(I6,[1]属性!$A:$E,2,FALSE)</f>
        <v>0.98</v>
      </c>
      <c r="K6" s="11">
        <f ca="1">VLOOKUP(I6,[1]属性!$A:$E,3,FALSE)</f>
        <v>1.01</v>
      </c>
      <c r="L6" s="11">
        <f ca="1">VLOOKUP(I6,[1]属性!$A:$E,4,FALSE)</f>
        <v>1</v>
      </c>
      <c r="M6" s="11">
        <f ca="1">VLOOKUP(I6,[1]属性!$A:$E,5,FALSE)</f>
        <v>1.01</v>
      </c>
      <c r="N6" s="11">
        <f ca="1">INDEX(コスト!$A$1:$I$20,MATCH(H6,コスト!$A$1:$A$20,FALSE),MATCH(G6,コスト!$A$1:$I$1,FALSE))</f>
        <v>30</v>
      </c>
      <c r="O6" s="11">
        <f ca="1">INDEX(レベル!$A$1:$I$21,MATCH(H6,レベル!$A$1:$A$21,FALSE),MATCH(G6,レベル!$A$1:$I$1,FALSE))</f>
        <v>80</v>
      </c>
      <c r="P6" s="48">
        <f t="shared" ca="1" si="8"/>
        <v>75</v>
      </c>
      <c r="Q6" s="57" t="str">
        <f ca="1">VLOOKUP($A6,OFFSET([1]characters!$A$1,0,0,COUNTA([1]characters!$A:$A),MATCH(Q$1,[1]characters!$1:$1,0)-MATCH($A$1,[1]characters!$1:$1,0)+1),MATCH(Q$1,[1]characters!$1:$1,0)-MATCH($A$1,[1]characters!$1:$1,0)+1,FALSE)</f>
        <v>attack</v>
      </c>
      <c r="R6" s="5" t="str">
        <f ca="1">VLOOKUP(Q6,[1]character_type_i18n!$A:$H,3,FALSE)</f>
        <v>攻撃タイプ</v>
      </c>
      <c r="S6" s="11">
        <f ca="1">VLOOKUP(Q6,[1]character_type_i18n!$A:$H,4,FALSE)</f>
        <v>1</v>
      </c>
      <c r="T6" s="11">
        <f ca="1">VLOOKUP(Q6,[1]character_type_i18n!$A:$H,5,FALSE)</f>
        <v>1.33</v>
      </c>
      <c r="U6" s="11">
        <f ca="1">VLOOKUP(Q6,[1]character_type_i18n!$A:$H,6,FALSE)</f>
        <v>1</v>
      </c>
      <c r="V6" s="11">
        <f ca="1">VLOOKUP(Q6,[1]character_type_i18n!$A:$H,7,FALSE)</f>
        <v>0.67</v>
      </c>
      <c r="W6" s="57" t="str">
        <f ca="1">VLOOKUP($A6,OFFSET([1]characters!$A$1,0,0,COUNTA([1]characters!$A:$A),MATCH(W$1,[1]characters!$1:$1,0)-MATCH($A$1,[1]characters!$1:$1,0)+1),MATCH(W$1,[1]characters!$1:$1,0)-MATCH($A$1,[1]characters!$1:$1,0)+1,FALSE)</f>
        <v>human</v>
      </c>
      <c r="X6" s="5" t="str">
        <f ca="1">VLOOKUP(W6,[1]character_tribe_i18n!$A:$H,3,FALSE)</f>
        <v>ヒューマン</v>
      </c>
      <c r="Y6" s="57" t="str">
        <f ca="1">VLOOKUP($A6,OFFSET([1]characters!$A$1,0,0,COUNTA([1]characters!$A:$A),MATCH(Y$1,[1]characters!$1:$1,0)-MATCH($A$1,[1]characters!$1:$1,0)+1),MATCH(Y$1,[1]characters!$1:$1,0)-MATCH($A$1,[1]characters!$1:$1,0)+1,FALSE)</f>
        <v>samurai</v>
      </c>
      <c r="Z6" s="5" t="str">
        <f ca="1">VLOOKUP(Y6,[1]character_tribe_i18n!$A:$H,3,FALSE)</f>
        <v>サムライ</v>
      </c>
      <c r="AA6" s="11">
        <f ca="1">VLOOKUP(W6,[1]character_tribe_i18n!$A:$H,4,FALSE)</f>
        <v>0.94</v>
      </c>
      <c r="AB6" s="11">
        <f ca="1">VLOOKUP(W6,[1]character_tribe_i18n!$A:$H,5,FALSE)</f>
        <v>0.99</v>
      </c>
      <c r="AC6" s="11">
        <f ca="1">VLOOKUP(W6,[1]character_tribe_i18n!$A:$H,6,FALSE)</f>
        <v>1</v>
      </c>
      <c r="AD6" s="11">
        <f ca="1">VLOOKUP(W6,[1]character_tribe_i18n!$A:$H,7,FALSE)</f>
        <v>1.07</v>
      </c>
      <c r="AE6" s="9">
        <v>1025</v>
      </c>
      <c r="AF6" s="62" t="str">
        <f ca="1">IF(AE6="NULL","",VLOOKUP($AE6,OFFSET([1]characters!$A$1,0,0,COUNTA([1]characters!$A:$A),MATCH(AF$1,[1]characters!$1:$1,0)-MATCH($A$1,[1]characters!$1:$1,0)+1),MATCH(AF$1,[1]characters!$1:$1,0)-MATCH($A$1,[1]characters!$1:$1,0)+1,FALSE))</f>
        <v>多重撃の荒法師 武蔵坊弁慶</v>
      </c>
      <c r="AG6" s="5">
        <f t="shared" ca="1" si="0"/>
        <v>1024</v>
      </c>
      <c r="AH6" s="62" t="str">
        <f ca="1">VLOOKUP($AG6,OFFSET([1]characters!$A$1,0,0,COUNTA([1]characters!$A:$A),MATCH(AH$1,[1]characters!$1:$1,0)-MATCH($A$1,[1]characters!$1:$1,0)+1),MATCH(AH$1,[1]characters!$1:$1,0)-MATCH($A$1,[1]characters!$1:$1,0)+1,FALSE)</f>
        <v>武蔵坊弁慶</v>
      </c>
      <c r="AI6" s="11">
        <f ca="1">IF(AE6="NULL","NULL",VLOOKUP(G6,ビット!$A$2:$B$7,2))</f>
        <v>200000</v>
      </c>
      <c r="AJ6" s="6">
        <v>2</v>
      </c>
      <c r="AK6" s="7" t="str">
        <f t="shared" si="6"/>
        <v>普通</v>
      </c>
      <c r="AL6" s="11" t="str">
        <f ca="1">INDEX(経験値!$A$1:$I$20,MATCH(H6,経験値!$A$1:$A$20,FALSE),MATCH(G6,経験値!$A$1:$I$1,FALSE))</f>
        <v>required_exp_200</v>
      </c>
      <c r="AM6" s="8">
        <f ca="1">VLOOKUP(G6,経験値!$A$27:$B$31,2)</f>
        <v>6400</v>
      </c>
      <c r="AN6" s="17">
        <f ca="1">VLOOKUP(G6,ビット!$G$2:$H$7,2)</f>
        <v>900</v>
      </c>
      <c r="AO6" s="45"/>
      <c r="AP6" s="166">
        <v>1024</v>
      </c>
      <c r="AQ6" s="165" t="str">
        <f ca="1">VLOOKUP($AP6,OFFSET(unit_skills!$A$1,0,0,COUNTA(unit_skills!$A:$A),MATCH(AQ$1,unit_skills!$1:$1,0)-MATCH($AP$1,unit_skills!$1:$1,0)+1),MATCH(AQ$1,unit_skills!$1:$1,0)-MATCH($AP$1,unit_skills!$1:$1,0)+1,FALSE)</f>
        <v>剛僧の乱</v>
      </c>
      <c r="AR6" s="57" t="str">
        <f ca="1">VLOOKUP($AP6,OFFSET(unit_skills!$A$1,0,0,COUNTA(unit_skills!$A:$A),MATCH(AR$1,unit_skills!$1:$1,0)-MATCH($AP$1,unit_skills!$1:$1,0)+1),MATCH(AR$1,unit_skills!$1:$1,0)-MATCH($AP$1,unit_skills!$1:$1,0)+1,FALSE)</f>
        <v>ランダムで1つ黄ボムパネル(大)に変換+1ターン黄属性の攻撃力と防御力を特大UP</v>
      </c>
      <c r="AS6" s="57">
        <f ca="1">VLOOKUP($AP6,OFFSET(unit_skills!$A$1,0,0,COUNTA(unit_skills!$A:$A),MATCH(AS$1,unit_skills!$1:$1,0)-MATCH($AP$1,unit_skills!$1:$1,0)+1),MATCH(AS$1,unit_skills!$1:$1,0)-MATCH($AP$1,unit_skills!$1:$1,0)+1,FALSE)</f>
        <v>0</v>
      </c>
      <c r="AT6" s="166">
        <v>1024</v>
      </c>
      <c r="AU6" s="57" t="str">
        <f ca="1">VLOOKUP($AT6,OFFSET(crash_skills!$A$1,0,0,COUNTA(crash_skills!$A:$A),MATCH(AU$1,crash_skills!$1:$1,0)-MATCH($AT$1,crash_skills!$1:$1,0)+1),MATCH(AU$1,crash_skills!$1:$1,0)-MATCH($AT$1,crash_skills!$1:$1,0)+1,FALSE)</f>
        <v>豪傑の振撃</v>
      </c>
      <c r="AV6" s="57" t="str">
        <f ca="1">VLOOKUP($AT6,OFFSET(crash_skills!$A$1,0,0,COUNTA(crash_skills!$A:$A),MATCH(AV$1,crash_skills!$1:$1,0)-MATCH($AT$1,crash_skills!$1:$1,0)+1),MATCH(AV$1,crash_skills!$1:$1,0)-MATCH($AT$1,crash_skills!$1:$1,0)+1,FALSE)</f>
        <v>１体に大ダメージ_x000D_ゴッドに効果特大</v>
      </c>
      <c r="AW6" s="57">
        <f ca="1">VLOOKUP($AT6,OFFSET(crash_skills!$A$1,0,0,COUNTA(crash_skills!$A:$A),MATCH(AW$1,crash_skills!$1:$1,0)-MATCH($AT$1,crash_skills!$1:$1,0)+1),MATCH(AW$1,crash_skills!$1:$1,0)-MATCH($AT$1,crash_skills!$1:$1,0)+1,FALSE)</f>
        <v>0</v>
      </c>
      <c r="AX6" s="58">
        <f ca="1">VLOOKUP($A6,OFFSET([1]characters!$A$1,0,0,COUNTA([1]characters!$A:$A),MATCH(AX$1,[1]characters!$1:$1,0)-MATCH($A$1,[1]characters!$1:$1,0)+1),MATCH(AX$1,[1]characters!$1:$1,0)-MATCH($A$1,[1]characters!$1:$1,0)+1,FALSE)</f>
        <v>3</v>
      </c>
      <c r="AY6" s="67">
        <v>1.1599999999999999</v>
      </c>
      <c r="AZ6" s="67">
        <v>1.1499999999999999</v>
      </c>
      <c r="BA6" s="67">
        <v>0</v>
      </c>
      <c r="BB6" s="67">
        <v>0.6</v>
      </c>
      <c r="BC6" s="11">
        <f ca="1">INDEX('RC6SV'!$A$1:$G$20,MATCH(H6,'RC6SV'!$A$1:$A$20,FALSE),MATCH(G6,'RC6SV'!$A$1:$G$1,FALSE))</f>
        <v>9000</v>
      </c>
      <c r="BD6" s="48">
        <f t="shared" ca="1" si="7"/>
        <v>9000</v>
      </c>
      <c r="BE6" s="11">
        <f t="shared" ca="1" si="3"/>
        <v>0</v>
      </c>
      <c r="BF6" s="11">
        <f t="shared" ca="1" si="4"/>
        <v>1</v>
      </c>
      <c r="BG6" s="16">
        <f ca="1">IF($BE6&lt;=0,ROUND(BK6*0.5,0), ROUND($BE6*S6*AA6*J6*AY6*0.8*[1]ステータス!$B$2,0))</f>
        <v>2405</v>
      </c>
      <c r="BH6" s="16">
        <f ca="1">IF($BE6&lt;=0,ROUND(BL6*0.5,0), ROUND($BE6*T6*AB6*K6*AZ6*0.8*[1]ステータス!$C$2,0))</f>
        <v>2065</v>
      </c>
      <c r="BI6" s="16">
        <f ca="1">IF($BE6&lt;=0,ROUND(BM6*0.5,0), ROUND($BE6*U6*AC6*L6*BA6*0.8*[1]ステータス!$D$2,0))</f>
        <v>0</v>
      </c>
      <c r="BJ6" s="16">
        <f ca="1">IF($BE6&lt;=0,ROUND(BN6*0.5,0), ROUND($BE6*V6*AD6*M6*BB6*0.8*[1]ステータス!$E$2,0))</f>
        <v>489</v>
      </c>
      <c r="BK6" s="11">
        <f ca="1">ROUND(BD6*S6*AA6*J6*AY6*[1]ステータス!$B$2,0)</f>
        <v>4809</v>
      </c>
      <c r="BL6" s="11">
        <f ca="1">ROUND(BD6*T6*AB6*K6*AZ6*[1]ステータス!$C$2,0)</f>
        <v>4129</v>
      </c>
      <c r="BM6" s="11">
        <f ca="1">ROUND(BD6*U6*AC6*L6*BA6*[1]ステータス!$D$2,0)</f>
        <v>0</v>
      </c>
      <c r="BN6" s="11">
        <f ca="1">ROUND(BD6*V6*AD6*M6*BB6*[1]ステータス!$E$2,0)</f>
        <v>977</v>
      </c>
      <c r="BO6" s="10">
        <v>0</v>
      </c>
      <c r="BP6" s="10">
        <v>1</v>
      </c>
      <c r="BQ6" s="39" t="s">
        <v>44</v>
      </c>
      <c r="BR6" s="10">
        <f ca="1">VLOOKUP(H6,ghosts_label!$A$2:$B$19,2,FALSE)</f>
        <v>1</v>
      </c>
    </row>
    <row r="7" spans="1:70" ht="26" customHeight="1" x14ac:dyDescent="0.15">
      <c r="A7" s="12">
        <v>1025</v>
      </c>
      <c r="B7" s="57" t="str">
        <f ca="1">VLOOKUP($A7,OFFSET([1]characters!$A$1,0,0,COUNTA([1]characters!$A:$A),MATCH(B$1,[1]characters!$1:$1,0)-MATCH($A$1,[1]characters!$1:$1,0)+1),MATCH(B$1,[1]characters!$1:$1,0)-MATCH($A$1,[1]characters!$1:$1,0)+1,FALSE)</f>
        <v>多重撃の荒法師 武蔵坊弁慶</v>
      </c>
      <c r="C7" s="57" t="str">
        <f ca="1">VLOOKUP($A7,OFFSET([1]characters!$A$1,0,0,COUNTA([1]characters!$A:$A),MATCH(C$1,[1]characters!$1:$1,0)-MATCH($A$1,[1]characters!$1:$1,0)+1),MATCH(C$1,[1]characters!$1:$1,0)-MATCH($A$1,[1]characters!$1:$1,0)+1,FALSE)</f>
        <v>武蔵坊弁慶</v>
      </c>
      <c r="D7" s="57" t="str">
        <f ca="1">VLOOKUP($A7,OFFSET([1]characters!$A$1,0,0,COUNTA([1]characters!$A:$A),MATCH(D$1,[1]characters!$1:$1,0)-MATCH($A$1,[1]characters!$1:$1,0)+1),MATCH(D$1,[1]characters!$1:$1,0)-MATCH($A$1,[1]characters!$1:$1,0)+1,FALSE)</f>
        <v>執行者</v>
      </c>
      <c r="E7" s="57" t="str">
        <f ca="1">VLOOKUP($A7,OFFSET([1]characters!$A$1,0,0,COUNTA([1]characters!$A:$A),MATCH(E$1,[1]characters!$1:$1,0)-MATCH($A$1,[1]characters!$1:$1,0)+1),MATCH(E$1,[1]characters!$1:$1,0)-MATCH($A$1,[1]characters!$1:$1,0)+1,FALSE)</f>
        <v>格好いい</v>
      </c>
      <c r="F7" s="57" t="str">
        <f ca="1">VLOOKUP($A7,OFFSET([1]characters!$A$1,0,0,COUNTA([1]characters!$A:$A),MATCH(F$1,[1]characters!$1:$1,0)-MATCH($A$1,[1]characters!$1:$1,0)+1),MATCH(F$1,[1]characters!$1:$1,0)-MATCH($A$1,[1]characters!$1:$1,0)+1,FALSE)</f>
        <v>男性</v>
      </c>
      <c r="G7" s="57">
        <f ca="1">VLOOKUP($A7,OFFSET([1]characters!$A$1,0,0,COUNTA([1]characters!$A:$A),MATCH(G$1,[1]characters!$1:$1,0)-MATCH($A$1,[1]characters!$1:$1,0)+1),MATCH(G$1,[1]characters!$1:$1,0)-MATCH($A$1,[1]characters!$1:$1,0)+1,FALSE)</f>
        <v>6</v>
      </c>
      <c r="H7" s="57" t="str">
        <f ca="1">VLOOKUP($A7,OFFSET([1]characters!$A$1,0,0,COUNTA([1]characters!$A:$A),MATCH(H$1,[1]characters!$1:$1,0)-MATCH($A$1,[1]characters!$1:$1,0)+1),MATCH(H$1,[1]characters!$1:$1,0)-MATCH($A$1,[1]characters!$1:$1,0)+1,FALSE)</f>
        <v>DropWizS</v>
      </c>
      <c r="I7" s="57" t="str">
        <f ca="1">VLOOKUP($A7,OFFSET([1]characters!$A$1,0,0,COUNTA([1]characters!$A:$A),MATCH(I$1,[1]characters!$1:$1,0)-MATCH($A$1,[1]characters!$1:$1,0)+1),MATCH(I$1,[1]characters!$1:$1,0)-MATCH($A$1,[1]characters!$1:$1,0)+1,FALSE)</f>
        <v>yellow</v>
      </c>
      <c r="J7" s="11">
        <f ca="1">VLOOKUP(I7,[1]属性!$A:$E,2,FALSE)</f>
        <v>0.98</v>
      </c>
      <c r="K7" s="11">
        <f ca="1">VLOOKUP(I7,[1]属性!$A:$E,3,FALSE)</f>
        <v>1.01</v>
      </c>
      <c r="L7" s="11">
        <f ca="1">VLOOKUP(I7,[1]属性!$A:$E,4,FALSE)</f>
        <v>1</v>
      </c>
      <c r="M7" s="11">
        <f ca="1">VLOOKUP(I7,[1]属性!$A:$E,5,FALSE)</f>
        <v>1.01</v>
      </c>
      <c r="N7" s="11">
        <f ca="1">INDEX(コスト!$A$1:$I$20,MATCH(H7,コスト!$A$1:$A$20,FALSE),MATCH(G7,コスト!$A$1:$I$1,FALSE))</f>
        <v>45</v>
      </c>
      <c r="O7" s="11">
        <f ca="1">INDEX(レベル!$A$1:$I$21,MATCH(H7,レベル!$A$1:$A$21,FALSE),MATCH(G7,レベル!$A$1:$I$1,FALSE))</f>
        <v>99</v>
      </c>
      <c r="P7" s="48">
        <f t="shared" ca="1" si="8"/>
        <v>99</v>
      </c>
      <c r="Q7" s="57" t="str">
        <f ca="1">VLOOKUP($A7,OFFSET([1]characters!$A$1,0,0,COUNTA([1]characters!$A:$A),MATCH(Q$1,[1]characters!$1:$1,0)-MATCH($A$1,[1]characters!$1:$1,0)+1),MATCH(Q$1,[1]characters!$1:$1,0)-MATCH($A$1,[1]characters!$1:$1,0)+1,FALSE)</f>
        <v>attack</v>
      </c>
      <c r="R7" s="5" t="str">
        <f ca="1">VLOOKUP(Q7,[1]character_type_i18n!$A:$H,3,FALSE)</f>
        <v>攻撃タイプ</v>
      </c>
      <c r="S7" s="11">
        <f ca="1">VLOOKUP(Q7,[1]character_type_i18n!$A:$H,4,FALSE)</f>
        <v>1</v>
      </c>
      <c r="T7" s="11">
        <f ca="1">VLOOKUP(Q7,[1]character_type_i18n!$A:$H,5,FALSE)</f>
        <v>1.33</v>
      </c>
      <c r="U7" s="11">
        <f ca="1">VLOOKUP(Q7,[1]character_type_i18n!$A:$H,6,FALSE)</f>
        <v>1</v>
      </c>
      <c r="V7" s="11">
        <f ca="1">VLOOKUP(Q7,[1]character_type_i18n!$A:$H,7,FALSE)</f>
        <v>0.67</v>
      </c>
      <c r="W7" s="57" t="str">
        <f ca="1">VLOOKUP($A7,OFFSET([1]characters!$A$1,0,0,COUNTA([1]characters!$A:$A),MATCH(W$1,[1]characters!$1:$1,0)-MATCH($A$1,[1]characters!$1:$1,0)+1),MATCH(W$1,[1]characters!$1:$1,0)-MATCH($A$1,[1]characters!$1:$1,0)+1,FALSE)</f>
        <v>human</v>
      </c>
      <c r="X7" s="5" t="str">
        <f ca="1">VLOOKUP(W7,[1]character_tribe_i18n!$A:$H,3,FALSE)</f>
        <v>ヒューマン</v>
      </c>
      <c r="Y7" s="57" t="str">
        <f ca="1">VLOOKUP($A7,OFFSET([1]characters!$A$1,0,0,COUNTA([1]characters!$A:$A),MATCH(Y$1,[1]characters!$1:$1,0)-MATCH($A$1,[1]characters!$1:$1,0)+1),MATCH(Y$1,[1]characters!$1:$1,0)-MATCH($A$1,[1]characters!$1:$1,0)+1,FALSE)</f>
        <v>samurai</v>
      </c>
      <c r="Z7" s="5" t="str">
        <f ca="1">VLOOKUP(Y7,[1]character_tribe_i18n!$A:$H,3,FALSE)</f>
        <v>サムライ</v>
      </c>
      <c r="AA7" s="11">
        <f ca="1">VLOOKUP(W7,[1]character_tribe_i18n!$A:$H,4,FALSE)</f>
        <v>0.94</v>
      </c>
      <c r="AB7" s="11">
        <f ca="1">VLOOKUP(W7,[1]character_tribe_i18n!$A:$H,5,FALSE)</f>
        <v>0.99</v>
      </c>
      <c r="AC7" s="11">
        <f ca="1">VLOOKUP(W7,[1]character_tribe_i18n!$A:$H,6,FALSE)</f>
        <v>1</v>
      </c>
      <c r="AD7" s="11">
        <f ca="1">VLOOKUP(W7,[1]character_tribe_i18n!$A:$H,7,FALSE)</f>
        <v>1.07</v>
      </c>
      <c r="AE7" s="9" t="s">
        <v>140</v>
      </c>
      <c r="AF7" s="62" t="str">
        <f ca="1">IF(AE7="NULL","",VLOOKUP($AE7,OFFSET([1]characters!$A$1,0,0,COUNTA([1]characters!$A:$A),MATCH(AF$1,[1]characters!$1:$1,0)-MATCH($A$1,[1]characters!$1:$1,0)+1),MATCH(AF$1,[1]characters!$1:$1,0)-MATCH($A$1,[1]characters!$1:$1,0)+1,FALSE))</f>
        <v/>
      </c>
      <c r="AG7" s="5">
        <f t="shared" ca="1" si="0"/>
        <v>1024</v>
      </c>
      <c r="AH7" s="62" t="str">
        <f ca="1">VLOOKUP($AG7,OFFSET([1]characters!$A$1,0,0,COUNTA([1]characters!$A:$A),MATCH(AH$1,[1]characters!$1:$1,0)-MATCH($A$1,[1]characters!$1:$1,0)+1),MATCH(AH$1,[1]characters!$1:$1,0)-MATCH($A$1,[1]characters!$1:$1,0)+1,FALSE)</f>
        <v>武蔵坊弁慶</v>
      </c>
      <c r="AI7" s="11" t="str">
        <f>IF(AE7="NULL","NULL",VLOOKUP(G7,ビット!$A$2:$B$7,2))</f>
        <v>NULL</v>
      </c>
      <c r="AJ7" s="6">
        <v>2</v>
      </c>
      <c r="AK7" s="7" t="str">
        <f t="shared" si="6"/>
        <v>普通</v>
      </c>
      <c r="AL7" s="11" t="str">
        <f ca="1">INDEX(経験値!$A$1:$I$20,MATCH(H7,経験値!$A$1:$A$20,FALSE),MATCH(G7,経験値!$A$1:$I$1,FALSE))</f>
        <v>required_exp_250</v>
      </c>
      <c r="AM7" s="8">
        <f ca="1">VLOOKUP(G7,経験値!$A$27:$B$31,2)</f>
        <v>6400</v>
      </c>
      <c r="AN7" s="17">
        <f ca="1">VLOOKUP(G7,ビット!$G$2:$H$7,2)</f>
        <v>900</v>
      </c>
      <c r="AO7" s="45"/>
      <c r="AP7" s="166">
        <v>1025</v>
      </c>
      <c r="AQ7" s="165" t="str">
        <f ca="1">VLOOKUP($AP7,OFFSET(unit_skills!$A$1,0,0,COUNTA(unit_skills!$A:$A),MATCH(AQ$1,unit_skills!$1:$1,0)-MATCH($AP$1,unit_skills!$1:$1,0)+1),MATCH(AQ$1,unit_skills!$1:$1,0)-MATCH($AP$1,unit_skills!$1:$1,0)+1,FALSE)</f>
        <v>重武僧の乱舞</v>
      </c>
      <c r="AR7" s="57" t="str">
        <f ca="1">VLOOKUP($AP7,OFFSET(unit_skills!$A$1,0,0,COUNTA(unit_skills!$A:$A),MATCH(AR$1,unit_skills!$1:$1,0)-MATCH($AP$1,unit_skills!$1:$1,0)+1),MATCH(AR$1,unit_skills!$1:$1,0)-MATCH($AP$1,unit_skills!$1:$1,0)+1,FALSE)</f>
        <v>ランダムで1つ黄ボムパネル(大)に変換+2ターン黄属性の攻撃力と防御力を特大UP</v>
      </c>
      <c r="AS7" s="57">
        <f ca="1">VLOOKUP($AP7,OFFSET(unit_skills!$A$1,0,0,COUNTA(unit_skills!$A:$A),MATCH(AS$1,unit_skills!$1:$1,0)-MATCH($AP$1,unit_skills!$1:$1,0)+1),MATCH(AS$1,unit_skills!$1:$1,0)-MATCH($AP$1,unit_skills!$1:$1,0)+1,FALSE)</f>
        <v>0</v>
      </c>
      <c r="AT7" s="166">
        <v>1025</v>
      </c>
      <c r="AU7" s="57" t="str">
        <f ca="1">VLOOKUP($AT7,OFFSET(crash_skills!$A$1,0,0,COUNTA(crash_skills!$A:$A),MATCH(AU$1,crash_skills!$1:$1,0)-MATCH($AT$1,crash_skills!$1:$1,0)+1),MATCH(AU$1,crash_skills!$1:$1,0)-MATCH($AT$1,crash_skills!$1:$1,0)+1,FALSE)</f>
        <v>豪傑の振撃</v>
      </c>
      <c r="AV7" s="57" t="str">
        <f ca="1">VLOOKUP($AT7,OFFSET(crash_skills!$A$1,0,0,COUNTA(crash_skills!$A:$A),MATCH(AV$1,crash_skills!$1:$1,0)-MATCH($AT$1,crash_skills!$1:$1,0)+1),MATCH(AV$1,crash_skills!$1:$1,0)-MATCH($AT$1,crash_skills!$1:$1,0)+1,FALSE)</f>
        <v>１体に大ダメージ_x000D_ゴッドに効果特大</v>
      </c>
      <c r="AW7" s="57">
        <f ca="1">VLOOKUP($AT7,OFFSET(crash_skills!$A$1,0,0,COUNTA(crash_skills!$A:$A),MATCH(AW$1,crash_skills!$1:$1,0)-MATCH($AT$1,crash_skills!$1:$1,0)+1),MATCH(AW$1,crash_skills!$1:$1,0)-MATCH($AT$1,crash_skills!$1:$1,0)+1,FALSE)</f>
        <v>0</v>
      </c>
      <c r="AX7" s="58">
        <f ca="1">VLOOKUP($A7,OFFSET([1]characters!$A$1,0,0,COUNTA([1]characters!$A:$A),MATCH(AX$1,[1]characters!$1:$1,0)-MATCH($A$1,[1]characters!$1:$1,0)+1),MATCH(AX$1,[1]characters!$1:$1,0)-MATCH($A$1,[1]characters!$1:$1,0)+1,FALSE)</f>
        <v>3</v>
      </c>
      <c r="AY7" s="67">
        <v>1.1599999999999999</v>
      </c>
      <c r="AZ7" s="67">
        <v>1.1499999999999999</v>
      </c>
      <c r="BA7" s="67">
        <v>0</v>
      </c>
      <c r="BB7" s="67">
        <v>0.6</v>
      </c>
      <c r="BC7" s="11">
        <f ca="1">INDEX('RC6SV'!$A$1:$G$20,MATCH(H7,'RC6SV'!$A$1:$A$20,FALSE),MATCH(G7,'RC6SV'!$A$1:$G$1,FALSE))</f>
        <v>12000</v>
      </c>
      <c r="BD7" s="48">
        <f t="shared" ca="1" si="7"/>
        <v>12000</v>
      </c>
      <c r="BE7" s="11">
        <f t="shared" ca="1" si="3"/>
        <v>9000</v>
      </c>
      <c r="BF7" s="11">
        <f t="shared" ca="1" si="4"/>
        <v>1</v>
      </c>
      <c r="BG7" s="16">
        <f ca="1">IF($BE7&lt;=0,ROUND(BK7*0.5,0), ROUND($BE7*S7*AA7*J7*AY7*0.8*[1]ステータス!$B$2,0))</f>
        <v>3847</v>
      </c>
      <c r="BH7" s="16">
        <f ca="1">IF($BE7&lt;=0,ROUND(BL7*0.5,0), ROUND($BE7*T7*AB7*K7*AZ7*0.8*[1]ステータス!$C$2,0))</f>
        <v>3303</v>
      </c>
      <c r="BI7" s="16">
        <f ca="1">IF($BE7&lt;=0,ROUND(BM7*0.5,0), ROUND($BE7*U7*AC7*L7*BA7*0.8*[1]ステータス!$D$2,0))</f>
        <v>0</v>
      </c>
      <c r="BJ7" s="16">
        <f ca="1">IF($BE7&lt;=0,ROUND(BN7*0.5,0), ROUND($BE7*V7*AD7*M7*BB7*0.8*[1]ステータス!$E$2,0))</f>
        <v>782</v>
      </c>
      <c r="BK7" s="11">
        <f ca="1">ROUND(BD7*S7*AA7*J7*AY7*[1]ステータス!$B$2,0)</f>
        <v>6412</v>
      </c>
      <c r="BL7" s="11">
        <f ca="1">ROUND(BD7*T7*AB7*K7*AZ7*[1]ステータス!$C$2,0)</f>
        <v>5506</v>
      </c>
      <c r="BM7" s="11">
        <f ca="1">ROUND(BD7*U7*AC7*L7*BA7*[1]ステータス!$D$2,0)</f>
        <v>0</v>
      </c>
      <c r="BN7" s="11">
        <f ca="1">ROUND(BD7*V7*AD7*M7*BB7*[1]ステータス!$E$2,0)</f>
        <v>1303</v>
      </c>
      <c r="BO7" s="10">
        <v>0</v>
      </c>
      <c r="BP7" s="10">
        <v>1</v>
      </c>
      <c r="BQ7" s="39" t="s">
        <v>44</v>
      </c>
      <c r="BR7" s="10">
        <f ca="1">VLOOKUP(H7,ghosts_label!$A$2:$B$19,2,FALSE)</f>
        <v>1</v>
      </c>
    </row>
    <row r="8" spans="1:70" ht="26" customHeight="1" x14ac:dyDescent="0.15">
      <c r="A8" s="12">
        <v>1026</v>
      </c>
      <c r="B8" s="57" t="str">
        <f ca="1">VLOOKUP($A8,OFFSET([1]characters!$A$1,0,0,COUNTA([1]characters!$A:$A),MATCH(B$1,[1]characters!$1:$1,0)-MATCH($A$1,[1]characters!$1:$1,0)+1),MATCH(B$1,[1]characters!$1:$1,0)-MATCH($A$1,[1]characters!$1:$1,0)+1,FALSE)</f>
        <v>蝉丸</v>
      </c>
      <c r="C8" s="57" t="str">
        <f ca="1">VLOOKUP($A8,OFFSET([1]characters!$A$1,0,0,COUNTA([1]characters!$A:$A),MATCH(C$1,[1]characters!$1:$1,0)-MATCH($A$1,[1]characters!$1:$1,0)+1),MATCH(C$1,[1]characters!$1:$1,0)-MATCH($A$1,[1]characters!$1:$1,0)+1,FALSE)</f>
        <v>蝉丸</v>
      </c>
      <c r="D8" s="57" t="str">
        <f ca="1">VLOOKUP($A8,OFFSET([1]characters!$A$1,0,0,COUNTA([1]characters!$A:$A),MATCH(D$1,[1]characters!$1:$1,0)-MATCH($A$1,[1]characters!$1:$1,0)+1),MATCH(D$1,[1]characters!$1:$1,0)-MATCH($A$1,[1]characters!$1:$1,0)+1,FALSE)</f>
        <v>執行者</v>
      </c>
      <c r="E8" s="57" t="str">
        <f ca="1">VLOOKUP($A8,OFFSET([1]characters!$A$1,0,0,COUNTA([1]characters!$A:$A),MATCH(E$1,[1]characters!$1:$1,0)-MATCH($A$1,[1]characters!$1:$1,0)+1),MATCH(E$1,[1]characters!$1:$1,0)-MATCH($A$1,[1]characters!$1:$1,0)+1,FALSE)</f>
        <v>格好いい</v>
      </c>
      <c r="F8" s="57" t="str">
        <f ca="1">VLOOKUP($A8,OFFSET([1]characters!$A$1,0,0,COUNTA([1]characters!$A:$A),MATCH(F$1,[1]characters!$1:$1,0)-MATCH($A$1,[1]characters!$1:$1,0)+1),MATCH(F$1,[1]characters!$1:$1,0)-MATCH($A$1,[1]characters!$1:$1,0)+1,FALSE)</f>
        <v>男性</v>
      </c>
      <c r="G8" s="57">
        <f ca="1">VLOOKUP($A8,OFFSET([1]characters!$A$1,0,0,COUNTA([1]characters!$A:$A),MATCH(G$1,[1]characters!$1:$1,0)-MATCH($A$1,[1]characters!$1:$1,0)+1),MATCH(G$1,[1]characters!$1:$1,0)-MATCH($A$1,[1]characters!$1:$1,0)+1,FALSE)</f>
        <v>4</v>
      </c>
      <c r="H8" s="57" t="str">
        <f ca="1">VLOOKUP($A8,OFFSET([1]characters!$A$1,0,0,COUNTA([1]characters!$A:$A),MATCH(H$1,[1]characters!$1:$1,0)-MATCH($A$1,[1]characters!$1:$1,0)+1),MATCH(H$1,[1]characters!$1:$1,0)-MATCH($A$1,[1]characters!$1:$1,0)+1,FALSE)</f>
        <v>PremiumS</v>
      </c>
      <c r="I8" s="57" t="str">
        <f ca="1">VLOOKUP($A8,OFFSET([1]characters!$A$1,0,0,COUNTA([1]characters!$A:$A),MATCH(I$1,[1]characters!$1:$1,0)-MATCH($A$1,[1]characters!$1:$1,0)+1),MATCH(I$1,[1]characters!$1:$1,0)-MATCH($A$1,[1]characters!$1:$1,0)+1,FALSE)</f>
        <v>red</v>
      </c>
      <c r="J8" s="11">
        <f ca="1">VLOOKUP(I8,[1]属性!$A:$E,2,FALSE)</f>
        <v>1</v>
      </c>
      <c r="K8" s="11">
        <f ca="1">VLOOKUP(I8,[1]属性!$A:$E,3,FALSE)</f>
        <v>1.02</v>
      </c>
      <c r="L8" s="11">
        <f ca="1">VLOOKUP(I8,[1]属性!$A:$E,4,FALSE)</f>
        <v>1</v>
      </c>
      <c r="M8" s="11">
        <f ca="1">VLOOKUP(I8,[1]属性!$A:$E,5,FALSE)</f>
        <v>0.98</v>
      </c>
      <c r="N8" s="11">
        <f ca="1">INDEX(コスト!$A$1:$I$20,MATCH(H8,コスト!$A$1:$A$20,FALSE),MATCH(G8,コスト!$A$1:$I$1,FALSE))</f>
        <v>20</v>
      </c>
      <c r="O8" s="11">
        <f ca="1">INDEX(レベル!$A$1:$I$21,MATCH(H8,レベル!$A$1:$A$21,FALSE),MATCH(G8,レベル!$A$1:$I$1,FALSE))</f>
        <v>60</v>
      </c>
      <c r="P8" s="48">
        <f t="shared" ca="1" si="8"/>
        <v>60</v>
      </c>
      <c r="Q8" s="57" t="str">
        <f ca="1">VLOOKUP($A8,OFFSET([1]characters!$A$1,0,0,COUNTA([1]characters!$A:$A),MATCH(Q$1,[1]characters!$1:$1,0)-MATCH($A$1,[1]characters!$1:$1,0)+1),MATCH(Q$1,[1]characters!$1:$1,0)-MATCH($A$1,[1]characters!$1:$1,0)+1,FALSE)</f>
        <v>attack</v>
      </c>
      <c r="R8" s="5" t="str">
        <f ca="1">VLOOKUP(Q8,[1]character_type_i18n!$A:$H,3,FALSE)</f>
        <v>攻撃タイプ</v>
      </c>
      <c r="S8" s="11">
        <f ca="1">VLOOKUP(Q8,[1]character_type_i18n!$A:$H,4,FALSE)</f>
        <v>1</v>
      </c>
      <c r="T8" s="11">
        <f ca="1">VLOOKUP(Q8,[1]character_type_i18n!$A:$H,5,FALSE)</f>
        <v>1.33</v>
      </c>
      <c r="U8" s="11">
        <f ca="1">VLOOKUP(Q8,[1]character_type_i18n!$A:$H,6,FALSE)</f>
        <v>1</v>
      </c>
      <c r="V8" s="11">
        <f ca="1">VLOOKUP(Q8,[1]character_type_i18n!$A:$H,7,FALSE)</f>
        <v>0.67</v>
      </c>
      <c r="W8" s="57" t="s">
        <v>237</v>
      </c>
      <c r="X8" s="5" t="str">
        <f>VLOOKUP(W8,[1]character_tribe_i18n!$A:$H,3,FALSE)</f>
        <v>ヒーロー</v>
      </c>
      <c r="Y8" s="57" t="str">
        <f ca="1">VLOOKUP($A8,OFFSET([1]characters!$A$1,0,0,COUNTA([1]characters!$A:$A),MATCH(Y$1,[1]characters!$1:$1,0)-MATCH($A$1,[1]characters!$1:$1,0)+1),MATCH(Y$1,[1]characters!$1:$1,0)-MATCH($A$1,[1]characters!$1:$1,0)+1,FALSE)</f>
        <v>none</v>
      </c>
      <c r="Z8" s="5" t="str">
        <f ca="1">VLOOKUP(Y8,[1]character_tribe_i18n!$A:$H,3,FALSE)</f>
        <v>種族なし</v>
      </c>
      <c r="AA8" s="11">
        <v>1</v>
      </c>
      <c r="AB8" s="11">
        <v>1</v>
      </c>
      <c r="AC8" s="11">
        <v>1</v>
      </c>
      <c r="AD8" s="11">
        <v>1</v>
      </c>
      <c r="AE8" s="9">
        <v>1027</v>
      </c>
      <c r="AF8" s="62" t="str">
        <f ca="1">IF(AE8="NULL","",VLOOKUP($AE8,OFFSET([1]characters!$A$1,0,0,COUNTA([1]characters!$A:$A),MATCH(AF$1,[1]characters!$1:$1,0)-MATCH($A$1,[1]characters!$1:$1,0)+1),MATCH(AF$1,[1]characters!$1:$1,0)-MATCH($A$1,[1]characters!$1:$1,0)+1,FALSE))</f>
        <v>弾丸多重奏 蝉丸</v>
      </c>
      <c r="AG8" s="5">
        <f t="shared" ca="1" si="0"/>
        <v>1026</v>
      </c>
      <c r="AH8" s="62" t="str">
        <f ca="1">VLOOKUP($AG8,OFFSET([1]characters!$A$1,0,0,COUNTA([1]characters!$A:$A),MATCH(AH$1,[1]characters!$1:$1,0)-MATCH($A$1,[1]characters!$1:$1,0)+1),MATCH(AH$1,[1]characters!$1:$1,0)-MATCH($A$1,[1]characters!$1:$1,0)+1,FALSE)</f>
        <v>蝉丸</v>
      </c>
      <c r="AI8" s="11">
        <f ca="1">IF(AE8="NULL","NULL",VLOOKUP(G8,ビット!$A$2:$B$7,2))</f>
        <v>50000</v>
      </c>
      <c r="AJ8" s="6">
        <v>2</v>
      </c>
      <c r="AK8" s="7" t="str">
        <f t="shared" si="6"/>
        <v>普通</v>
      </c>
      <c r="AL8" s="11" t="str">
        <f ca="1">INDEX(経験値!$A$1:$I$20,MATCH(H8,経験値!$A$1:$A$20,FALSE),MATCH(G8,経験値!$A$1:$I$1,FALSE))</f>
        <v>required_exp_200</v>
      </c>
      <c r="AM8" s="8">
        <f ca="1">VLOOKUP(G8,経験値!$A$27:$B$31,2)</f>
        <v>3400</v>
      </c>
      <c r="AN8" s="17">
        <f ca="1">VLOOKUP(G8,ビット!$G$2:$H$7,2)</f>
        <v>600</v>
      </c>
      <c r="AO8" s="45"/>
      <c r="AP8" s="166">
        <v>1026</v>
      </c>
      <c r="AQ8" s="165" t="str">
        <f ca="1">VLOOKUP($AP8,OFFSET(unit_skills!$A$1,0,0,COUNTA(unit_skills!$A:$A),MATCH(AQ$1,unit_skills!$1:$1,0)-MATCH($AP$1,unit_skills!$1:$1,0)+1),MATCH(AQ$1,unit_skills!$1:$1,0)-MATCH($AP$1,unit_skills!$1:$1,0)+1,FALSE)</f>
        <v>弾丸リミックス</v>
      </c>
      <c r="AR8" s="57" t="str">
        <f ca="1">VLOOKUP($AP8,OFFSET(unit_skills!$A$1,0,0,COUNTA(unit_skills!$A:$A),MATCH(AR$1,unit_skills!$1:$1,0)-MATCH($AP$1,unit_skills!$1:$1,0)+1),MATCH(AR$1,unit_skills!$1:$1,0)-MATCH($AP$1,unit_skills!$1:$1,0)+1,FALSE)</f>
        <v>ランダムで4つ赤ボムパネル(小)に変換+1ターン赤パネルの出現率UP</v>
      </c>
      <c r="AS8" s="57">
        <f ca="1">VLOOKUP($AP8,OFFSET(unit_skills!$A$1,0,0,COUNTA(unit_skills!$A:$A),MATCH(AS$1,unit_skills!$1:$1,0)-MATCH($AP$1,unit_skills!$1:$1,0)+1),MATCH(AS$1,unit_skills!$1:$1,0)-MATCH($AP$1,unit_skills!$1:$1,0)+1,FALSE)</f>
        <v>0</v>
      </c>
      <c r="AT8" s="166">
        <v>1026</v>
      </c>
      <c r="AU8" s="57" t="str">
        <f ca="1">VLOOKUP($AT8,OFFSET(crash_skills!$A$1,0,0,COUNTA(crash_skills!$A:$A),MATCH(AU$1,crash_skills!$1:$1,0)-MATCH($AT$1,crash_skills!$1:$1,0)+1),MATCH(AU$1,crash_skills!$1:$1,0)-MATCH($AT$1,crash_skills!$1:$1,0)+1,FALSE)</f>
        <v>必殺の火炎弾</v>
      </c>
      <c r="AV8" s="57" t="str">
        <f ca="1">VLOOKUP($AT8,OFFSET(crash_skills!$A$1,0,0,COUNTA(crash_skills!$A:$A),MATCH(AV$1,crash_skills!$1:$1,0)-MATCH($AT$1,crash_skills!$1:$1,0)+1),MATCH(AV$1,crash_skills!$1:$1,0)-MATCH($AT$1,crash_skills!$1:$1,0)+1,FALSE)</f>
        <v>1体に大ダメージ_x000D_サムライに効果特大</v>
      </c>
      <c r="AW8" s="57">
        <f ca="1">VLOOKUP($AT8,OFFSET(crash_skills!$A$1,0,0,COUNTA(crash_skills!$A:$A),MATCH(AW$1,crash_skills!$1:$1,0)-MATCH($AT$1,crash_skills!$1:$1,0)+1),MATCH(AW$1,crash_skills!$1:$1,0)-MATCH($AT$1,crash_skills!$1:$1,0)+1,FALSE)</f>
        <v>0</v>
      </c>
      <c r="AX8" s="58">
        <f ca="1">VLOOKUP($A8,OFFSET([1]characters!$A$1,0,0,COUNTA([1]characters!$A:$A),MATCH(AX$1,[1]characters!$1:$1,0)-MATCH($A$1,[1]characters!$1:$1,0)+1),MATCH(AX$1,[1]characters!$1:$1,0)-MATCH($A$1,[1]characters!$1:$1,0)+1,FALSE)</f>
        <v>3</v>
      </c>
      <c r="AY8" s="67">
        <v>0.93</v>
      </c>
      <c r="AZ8" s="67">
        <v>1.1000000000000001</v>
      </c>
      <c r="BA8" s="67">
        <v>0</v>
      </c>
      <c r="BB8" s="67">
        <v>1</v>
      </c>
      <c r="BC8" s="11">
        <f ca="1">INDEX('RC6SV'!$A$1:$G$20,MATCH(H8,'RC6SV'!$A$1:$A$20,FALSE),MATCH(G8,'RC6SV'!$A$1:$G$1,FALSE))</f>
        <v>7000</v>
      </c>
      <c r="BD8" s="48">
        <f t="shared" ca="1" si="7"/>
        <v>7000</v>
      </c>
      <c r="BE8" s="11">
        <f t="shared" ca="1" si="3"/>
        <v>0</v>
      </c>
      <c r="BF8" s="11">
        <f t="shared" ca="1" si="4"/>
        <v>1</v>
      </c>
      <c r="BG8" s="16">
        <f ca="1">IF($BE8&lt;=0,ROUND(BK8*0.5,0), ROUND($BE8*S8*AA8*J8*AY8*0.8*[1]ステータス!$B$2,0))</f>
        <v>1628</v>
      </c>
      <c r="BH8" s="16">
        <f ca="1">IF($BE8&lt;=0,ROUND(BL8*0.5,0), ROUND($BE8*T8*AB8*K8*AZ8*0.8*[1]ステータス!$C$2,0))</f>
        <v>1567</v>
      </c>
      <c r="BI8" s="16">
        <f ca="1">IF($BE8&lt;=0,ROUND(BM8*0.5,0), ROUND($BE8*U8*AC8*L8*BA8*0.8*[1]ステータス!$D$2,0))</f>
        <v>0</v>
      </c>
      <c r="BJ8" s="16">
        <f ca="1">IF($BE8&lt;=0,ROUND(BN8*0.5,0), ROUND($BE8*V8*AD8*M8*BB8*0.8*[1]ステータス!$E$2,0))</f>
        <v>575</v>
      </c>
      <c r="BK8" s="11">
        <f ca="1">ROUND(BD8*S8*AA8*J8*AY8*[1]ステータス!$B$2,0)</f>
        <v>3255</v>
      </c>
      <c r="BL8" s="11">
        <f ca="1">ROUND(BD8*T8*AB8*K8*AZ8*[1]ステータス!$C$2,0)</f>
        <v>3134</v>
      </c>
      <c r="BM8" s="11">
        <f ca="1">ROUND(BD8*U8*AC8*L8*BA8*[1]ステータス!$D$2,0)</f>
        <v>0</v>
      </c>
      <c r="BN8" s="11">
        <f ca="1">ROUND(BD8*V8*AD8*M8*BB8*[1]ステータス!$E$2,0)</f>
        <v>1149</v>
      </c>
      <c r="BO8" s="10">
        <v>0</v>
      </c>
      <c r="BP8" s="10">
        <v>1</v>
      </c>
      <c r="BQ8" s="39" t="s">
        <v>44</v>
      </c>
      <c r="BR8" s="10">
        <f ca="1">VLOOKUP(H8,ghosts_label!$A$2:$B$19,2,FALSE)</f>
        <v>700</v>
      </c>
    </row>
    <row r="9" spans="1:70" ht="26" customHeight="1" x14ac:dyDescent="0.15">
      <c r="A9" s="12">
        <v>1027</v>
      </c>
      <c r="B9" s="57" t="str">
        <f ca="1">VLOOKUP($A9,OFFSET([1]characters!$A$1,0,0,COUNTA([1]characters!$A:$A),MATCH(B$1,[1]characters!$1:$1,0)-MATCH($A$1,[1]characters!$1:$1,0)+1),MATCH(B$1,[1]characters!$1:$1,0)-MATCH($A$1,[1]characters!$1:$1,0)+1,FALSE)</f>
        <v>弾丸多重奏 蝉丸</v>
      </c>
      <c r="C9" s="57" t="str">
        <f ca="1">VLOOKUP($A9,OFFSET([1]characters!$A$1,0,0,COUNTA([1]characters!$A:$A),MATCH(C$1,[1]characters!$1:$1,0)-MATCH($A$1,[1]characters!$1:$1,0)+1),MATCH(C$1,[1]characters!$1:$1,0)-MATCH($A$1,[1]characters!$1:$1,0)+1,FALSE)</f>
        <v>蝉丸</v>
      </c>
      <c r="D9" s="57" t="str">
        <f ca="1">VLOOKUP($A9,OFFSET([1]characters!$A$1,0,0,COUNTA([1]characters!$A:$A),MATCH(D$1,[1]characters!$1:$1,0)-MATCH($A$1,[1]characters!$1:$1,0)+1),MATCH(D$1,[1]characters!$1:$1,0)-MATCH($A$1,[1]characters!$1:$1,0)+1,FALSE)</f>
        <v>執行者</v>
      </c>
      <c r="E9" s="57" t="str">
        <f ca="1">VLOOKUP($A9,OFFSET([1]characters!$A$1,0,0,COUNTA([1]characters!$A:$A),MATCH(E$1,[1]characters!$1:$1,0)-MATCH($A$1,[1]characters!$1:$1,0)+1),MATCH(E$1,[1]characters!$1:$1,0)-MATCH($A$1,[1]characters!$1:$1,0)+1,FALSE)</f>
        <v>格好いい</v>
      </c>
      <c r="F9" s="57" t="str">
        <f ca="1">VLOOKUP($A9,OFFSET([1]characters!$A$1,0,0,COUNTA([1]characters!$A:$A),MATCH(F$1,[1]characters!$1:$1,0)-MATCH($A$1,[1]characters!$1:$1,0)+1),MATCH(F$1,[1]characters!$1:$1,0)-MATCH($A$1,[1]characters!$1:$1,0)+1,FALSE)</f>
        <v>男性</v>
      </c>
      <c r="G9" s="57">
        <f ca="1">VLOOKUP($A9,OFFSET([1]characters!$A$1,0,0,COUNTA([1]characters!$A:$A),MATCH(G$1,[1]characters!$1:$1,0)-MATCH($A$1,[1]characters!$1:$1,0)+1),MATCH(G$1,[1]characters!$1:$1,0)-MATCH($A$1,[1]characters!$1:$1,0)+1,FALSE)</f>
        <v>5</v>
      </c>
      <c r="H9" s="57" t="str">
        <f ca="1">VLOOKUP($A9,OFFSET([1]characters!$A$1,0,0,COUNTA([1]characters!$A:$A),MATCH(H$1,[1]characters!$1:$1,0)-MATCH($A$1,[1]characters!$1:$1,0)+1),MATCH(H$1,[1]characters!$1:$1,0)-MATCH($A$1,[1]characters!$1:$1,0)+1,FALSE)</f>
        <v>PremiumS</v>
      </c>
      <c r="I9" s="57" t="str">
        <f ca="1">VLOOKUP($A9,OFFSET([1]characters!$A$1,0,0,COUNTA([1]characters!$A:$A),MATCH(I$1,[1]characters!$1:$1,0)-MATCH($A$1,[1]characters!$1:$1,0)+1),MATCH(I$1,[1]characters!$1:$1,0)-MATCH($A$1,[1]characters!$1:$1,0)+1,FALSE)</f>
        <v>red</v>
      </c>
      <c r="J9" s="11">
        <f ca="1">VLOOKUP(I9,[1]属性!$A:$E,2,FALSE)</f>
        <v>1</v>
      </c>
      <c r="K9" s="11">
        <f ca="1">VLOOKUP(I9,[1]属性!$A:$E,3,FALSE)</f>
        <v>1.02</v>
      </c>
      <c r="L9" s="11">
        <f ca="1">VLOOKUP(I9,[1]属性!$A:$E,4,FALSE)</f>
        <v>1</v>
      </c>
      <c r="M9" s="11">
        <f ca="1">VLOOKUP(I9,[1]属性!$A:$E,5,FALSE)</f>
        <v>0.98</v>
      </c>
      <c r="N9" s="11">
        <f ca="1">INDEX(コスト!$A$1:$I$20,MATCH(H9,コスト!$A$1:$A$20,FALSE),MATCH(G9,コスト!$A$1:$I$1,FALSE))</f>
        <v>30</v>
      </c>
      <c r="O9" s="11">
        <f ca="1">INDEX(レベル!$A$1:$I$21,MATCH(H9,レベル!$A$1:$A$21,FALSE),MATCH(G9,レベル!$A$1:$I$1,FALSE))</f>
        <v>80</v>
      </c>
      <c r="P9" s="48">
        <f t="shared" ca="1" si="8"/>
        <v>75</v>
      </c>
      <c r="Q9" s="57" t="str">
        <f ca="1">VLOOKUP($A9,OFFSET([1]characters!$A$1,0,0,COUNTA([1]characters!$A:$A),MATCH(Q$1,[1]characters!$1:$1,0)-MATCH($A$1,[1]characters!$1:$1,0)+1),MATCH(Q$1,[1]characters!$1:$1,0)-MATCH($A$1,[1]characters!$1:$1,0)+1,FALSE)</f>
        <v>attack</v>
      </c>
      <c r="R9" s="5" t="str">
        <f ca="1">VLOOKUP(Q9,[1]character_type_i18n!$A:$H,3,FALSE)</f>
        <v>攻撃タイプ</v>
      </c>
      <c r="S9" s="11">
        <f ca="1">VLOOKUP(Q9,[1]character_type_i18n!$A:$H,4,FALSE)</f>
        <v>1</v>
      </c>
      <c r="T9" s="11">
        <f ca="1">VLOOKUP(Q9,[1]character_type_i18n!$A:$H,5,FALSE)</f>
        <v>1.33</v>
      </c>
      <c r="U9" s="11">
        <f ca="1">VLOOKUP(Q9,[1]character_type_i18n!$A:$H,6,FALSE)</f>
        <v>1</v>
      </c>
      <c r="V9" s="11">
        <f ca="1">VLOOKUP(Q9,[1]character_type_i18n!$A:$H,7,FALSE)</f>
        <v>0.67</v>
      </c>
      <c r="W9" s="57" t="s">
        <v>238</v>
      </c>
      <c r="X9" s="5" t="str">
        <f>VLOOKUP(W9,[1]character_tribe_i18n!$A:$H,3,FALSE)</f>
        <v>ヒーロー</v>
      </c>
      <c r="Y9" s="57" t="str">
        <f ca="1">VLOOKUP($A9,OFFSET([1]characters!$A$1,0,0,COUNTA([1]characters!$A:$A),MATCH(Y$1,[1]characters!$1:$1,0)-MATCH($A$1,[1]characters!$1:$1,0)+1),MATCH(Y$1,[1]characters!$1:$1,0)-MATCH($A$1,[1]characters!$1:$1,0)+1,FALSE)</f>
        <v>none</v>
      </c>
      <c r="Z9" s="5" t="str">
        <f ca="1">VLOOKUP(Y9,[1]character_tribe_i18n!$A:$H,3,FALSE)</f>
        <v>種族なし</v>
      </c>
      <c r="AA9" s="11">
        <v>1</v>
      </c>
      <c r="AB9" s="11">
        <v>1</v>
      </c>
      <c r="AC9" s="11">
        <v>1</v>
      </c>
      <c r="AD9" s="11">
        <v>1</v>
      </c>
      <c r="AE9" s="9" t="s">
        <v>140</v>
      </c>
      <c r="AF9" s="62" t="str">
        <f ca="1">IF(AE9="NULL","",VLOOKUP($AE9,OFFSET([1]characters!$A$1,0,0,COUNTA([1]characters!$A:$A),MATCH(AF$1,[1]characters!$1:$1,0)-MATCH($A$1,[1]characters!$1:$1,0)+1),MATCH(AF$1,[1]characters!$1:$1,0)-MATCH($A$1,[1]characters!$1:$1,0)+1,FALSE))</f>
        <v/>
      </c>
      <c r="AG9" s="5">
        <f t="shared" ca="1" si="0"/>
        <v>1026</v>
      </c>
      <c r="AH9" s="62" t="str">
        <f ca="1">VLOOKUP($AG9,OFFSET([1]characters!$A$1,0,0,COUNTA([1]characters!$A:$A),MATCH(AH$1,[1]characters!$1:$1,0)-MATCH($A$1,[1]characters!$1:$1,0)+1),MATCH(AH$1,[1]characters!$1:$1,0)-MATCH($A$1,[1]characters!$1:$1,0)+1,FALSE)</f>
        <v>蝉丸</v>
      </c>
      <c r="AI9" s="11" t="str">
        <f>IF(AE9="NULL","NULL",VLOOKUP(G9,ビット!$A$2:$B$7,2))</f>
        <v>NULL</v>
      </c>
      <c r="AJ9" s="6">
        <v>2</v>
      </c>
      <c r="AK9" s="7" t="str">
        <f t="shared" si="6"/>
        <v>普通</v>
      </c>
      <c r="AL9" s="11" t="str">
        <f ca="1">INDEX(経験値!$A$1:$I$20,MATCH(H9,経験値!$A$1:$A$20,FALSE),MATCH(G9,経験値!$A$1:$I$1,FALSE))</f>
        <v>required_exp_200</v>
      </c>
      <c r="AM9" s="8">
        <f ca="1">VLOOKUP(G9,経験値!$A$27:$B$31,2)</f>
        <v>6400</v>
      </c>
      <c r="AN9" s="17">
        <f ca="1">VLOOKUP(G9,ビット!$G$2:$H$7,2)</f>
        <v>900</v>
      </c>
      <c r="AO9" s="45"/>
      <c r="AP9" s="166">
        <v>1027</v>
      </c>
      <c r="AQ9" s="165" t="str">
        <f ca="1">VLOOKUP($AP9,OFFSET(unit_skills!$A$1,0,0,COUNTA(unit_skills!$A:$A),MATCH(AQ$1,unit_skills!$1:$1,0)-MATCH($AP$1,unit_skills!$1:$1,0)+1),MATCH(AQ$1,unit_skills!$1:$1,0)-MATCH($AP$1,unit_skills!$1:$1,0)+1,FALSE)</f>
        <v>弾丸ビートボックス</v>
      </c>
      <c r="AR9" s="57" t="str">
        <f ca="1">VLOOKUP($AP9,OFFSET(unit_skills!$A$1,0,0,COUNTA(unit_skills!$A:$A),MATCH(AR$1,unit_skills!$1:$1,0)-MATCH($AP$1,unit_skills!$1:$1,0)+1),MATCH(AR$1,unit_skills!$1:$1,0)-MATCH($AP$1,unit_skills!$1:$1,0)+1,FALSE)</f>
        <v>ランダムで8つ赤ボムパネル(小)に変換+1ターン赤パネルの出現率UP</v>
      </c>
      <c r="AS9" s="57">
        <f ca="1">VLOOKUP($AP9,OFFSET(unit_skills!$A$1,0,0,COUNTA(unit_skills!$A:$A),MATCH(AS$1,unit_skills!$1:$1,0)-MATCH($AP$1,unit_skills!$1:$1,0)+1),MATCH(AS$1,unit_skills!$1:$1,0)-MATCH($AP$1,unit_skills!$1:$1,0)+1,FALSE)</f>
        <v>0</v>
      </c>
      <c r="AT9" s="166">
        <v>1027</v>
      </c>
      <c r="AU9" s="57" t="str">
        <f ca="1">VLOOKUP($AT9,OFFSET(crash_skills!$A$1,0,0,COUNTA(crash_skills!$A:$A),MATCH(AU$1,crash_skills!$1:$1,0)-MATCH($AT$1,crash_skills!$1:$1,0)+1),MATCH(AU$1,crash_skills!$1:$1,0)-MATCH($AT$1,crash_skills!$1:$1,0)+1,FALSE)</f>
        <v>必殺の火炎弾</v>
      </c>
      <c r="AV9" s="57" t="str">
        <f ca="1">VLOOKUP($AT9,OFFSET(crash_skills!$A$1,0,0,COUNTA(crash_skills!$A:$A),MATCH(AV$1,crash_skills!$1:$1,0)-MATCH($AT$1,crash_skills!$1:$1,0)+1),MATCH(AV$1,crash_skills!$1:$1,0)-MATCH($AT$1,crash_skills!$1:$1,0)+1,FALSE)</f>
        <v>1体に大ダメージ_x000D_サムライに効果特大</v>
      </c>
      <c r="AW9" s="57">
        <f ca="1">VLOOKUP($AT9,OFFSET(crash_skills!$A$1,0,0,COUNTA(crash_skills!$A:$A),MATCH(AW$1,crash_skills!$1:$1,0)-MATCH($AT$1,crash_skills!$1:$1,0)+1),MATCH(AW$1,crash_skills!$1:$1,0)-MATCH($AT$1,crash_skills!$1:$1,0)+1,FALSE)</f>
        <v>0</v>
      </c>
      <c r="AX9" s="58">
        <f ca="1">VLOOKUP($A9,OFFSET([1]characters!$A$1,0,0,COUNTA([1]characters!$A:$A),MATCH(AX$1,[1]characters!$1:$1,0)-MATCH($A$1,[1]characters!$1:$1,0)+1),MATCH(AX$1,[1]characters!$1:$1,0)-MATCH($A$1,[1]characters!$1:$1,0)+1,FALSE)</f>
        <v>3</v>
      </c>
      <c r="AY9" s="67">
        <v>0.89</v>
      </c>
      <c r="AZ9" s="67">
        <v>1.1000000000000001</v>
      </c>
      <c r="BA9" s="67">
        <v>0</v>
      </c>
      <c r="BB9" s="67">
        <v>1</v>
      </c>
      <c r="BC9" s="11">
        <f ca="1">INDEX('RC6SV'!$A$1:$G$20,MATCH(H9,'RC6SV'!$A$1:$A$20,FALSE),MATCH(G9,'RC6SV'!$A$1:$G$1,FALSE))</f>
        <v>9000</v>
      </c>
      <c r="BD9" s="48">
        <f t="shared" ca="1" si="7"/>
        <v>9000</v>
      </c>
      <c r="BE9" s="11">
        <f t="shared" ca="1" si="3"/>
        <v>7000</v>
      </c>
      <c r="BF9" s="11">
        <f t="shared" ca="1" si="4"/>
        <v>1</v>
      </c>
      <c r="BG9" s="16">
        <f ca="1">IF($BE9&lt;=0,ROUND(BK9*0.5,0), ROUND($BE9*S9*AA9*J9*AY9*0.8*[1]ステータス!$B$2,0))</f>
        <v>2492</v>
      </c>
      <c r="BH9" s="16">
        <f ca="1">IF($BE9&lt;=0,ROUND(BL9*0.5,0), ROUND($BE9*T9*AB9*K9*AZ9*0.8*[1]ステータス!$C$2,0))</f>
        <v>2507</v>
      </c>
      <c r="BI9" s="16">
        <f ca="1">IF($BE9&lt;=0,ROUND(BM9*0.5,0), ROUND($BE9*U9*AC9*L9*BA9*0.8*[1]ステータス!$D$2,0))</f>
        <v>0</v>
      </c>
      <c r="BJ9" s="16">
        <f ca="1">IF($BE9&lt;=0,ROUND(BN9*0.5,0), ROUND($BE9*V9*AD9*M9*BB9*0.8*[1]ステータス!$E$2,0))</f>
        <v>919</v>
      </c>
      <c r="BK9" s="11">
        <f ca="1">ROUND(BD9*S9*AA9*J9*AY9*[1]ステータス!$B$2,0)</f>
        <v>4005</v>
      </c>
      <c r="BL9" s="11">
        <f ca="1">ROUND(BD9*T9*AB9*K9*AZ9*[1]ステータス!$C$2,0)</f>
        <v>4029</v>
      </c>
      <c r="BM9" s="11">
        <f ca="1">ROUND(BD9*U9*AC9*L9*BA9*[1]ステータス!$D$2,0)</f>
        <v>0</v>
      </c>
      <c r="BN9" s="11">
        <f ca="1">ROUND(BD9*V9*AD9*M9*BB9*[1]ステータス!$E$2,0)</f>
        <v>1477</v>
      </c>
      <c r="BO9" s="10">
        <v>0</v>
      </c>
      <c r="BP9" s="10">
        <v>1</v>
      </c>
      <c r="BQ9" s="39" t="s">
        <v>44</v>
      </c>
      <c r="BR9" s="10">
        <f ca="1">VLOOKUP(H9,ghosts_label!$A$2:$B$19,2,FALSE)</f>
        <v>700</v>
      </c>
    </row>
    <row r="10" spans="1:70" ht="26" customHeight="1" x14ac:dyDescent="0.15">
      <c r="A10" s="198">
        <v>1028</v>
      </c>
      <c r="B10" s="57" t="str">
        <f ca="1">VLOOKUP($A10,OFFSET([1]characters!$A$1,0,0,COUNTA([1]characters!$A:$A),MATCH(B$1,[1]characters!$1:$1,0)-MATCH($A$1,[1]characters!$1:$1,0)+1),MATCH(B$1,[1]characters!$1:$1,0)-MATCH($A$1,[1]characters!$1:$1,0)+1,FALSE)</f>
        <v>牛若丸</v>
      </c>
      <c r="C10" s="57" t="str">
        <f ca="1">VLOOKUP($A10,OFFSET([1]characters!$A$1,0,0,COUNTA([1]characters!$A:$A),MATCH(C$1,[1]characters!$1:$1,0)-MATCH($A$1,[1]characters!$1:$1,0)+1),MATCH(C$1,[1]characters!$1:$1,0)-MATCH($A$1,[1]characters!$1:$1,0)+1,FALSE)</f>
        <v>源義経（牛若丸）</v>
      </c>
      <c r="D10" s="57" t="str">
        <f ca="1">VLOOKUP($A10,OFFSET([1]characters!$A$1,0,0,COUNTA([1]characters!$A:$A),MATCH(D$1,[1]characters!$1:$1,0)-MATCH($A$1,[1]characters!$1:$1,0)+1),MATCH(D$1,[1]characters!$1:$1,0)-MATCH($A$1,[1]characters!$1:$1,0)+1,FALSE)</f>
        <v>執行者</v>
      </c>
      <c r="E10" s="57" t="str">
        <f ca="1">VLOOKUP($A10,OFFSET([1]characters!$A$1,0,0,COUNTA([1]characters!$A:$A),MATCH(E$1,[1]characters!$1:$1,0)-MATCH($A$1,[1]characters!$1:$1,0)+1),MATCH(E$1,[1]characters!$1:$1,0)-MATCH($A$1,[1]characters!$1:$1,0)+1,FALSE)</f>
        <v>格好いい</v>
      </c>
      <c r="F10" s="57" t="str">
        <f ca="1">VLOOKUP($A10,OFFSET([1]characters!$A$1,0,0,COUNTA([1]characters!$A:$A),MATCH(F$1,[1]characters!$1:$1,0)-MATCH($A$1,[1]characters!$1:$1,0)+1),MATCH(F$1,[1]characters!$1:$1,0)-MATCH($A$1,[1]characters!$1:$1,0)+1,FALSE)</f>
        <v>男性</v>
      </c>
      <c r="G10" s="57">
        <f ca="1">VLOOKUP($A10,OFFSET([1]characters!$A$1,0,0,COUNTA([1]characters!$A:$A),MATCH(G$1,[1]characters!$1:$1,0)-MATCH($A$1,[1]characters!$1:$1,0)+1),MATCH(G$1,[1]characters!$1:$1,0)-MATCH($A$1,[1]characters!$1:$1,0)+1,FALSE)</f>
        <v>5</v>
      </c>
      <c r="H10" s="57" t="str">
        <f ca="1">VLOOKUP($A10,OFFSET([1]characters!$A$1,0,0,COUNTA([1]characters!$A:$A),MATCH(H$1,[1]characters!$1:$1,0)-MATCH($A$1,[1]characters!$1:$1,0)+1),MATCH(H$1,[1]characters!$1:$1,0)-MATCH($A$1,[1]characters!$1:$1,0)+1,FALSE)</f>
        <v>PremiumSS</v>
      </c>
      <c r="I10" s="57" t="str">
        <f ca="1">VLOOKUP($A10,OFFSET([1]characters!$A$1,0,0,COUNTA([1]characters!$A:$A),MATCH(I$1,[1]characters!$1:$1,0)-MATCH($A$1,[1]characters!$1:$1,0)+1),MATCH(I$1,[1]characters!$1:$1,0)-MATCH($A$1,[1]characters!$1:$1,0)+1,FALSE)</f>
        <v>green</v>
      </c>
      <c r="J10" s="11">
        <f ca="1">VLOOKUP(I10,[1]属性!$A:$E,2,FALSE)</f>
        <v>1.02</v>
      </c>
      <c r="K10" s="11">
        <f ca="1">VLOOKUP(I10,[1]属性!$A:$E,3,FALSE)</f>
        <v>0.98</v>
      </c>
      <c r="L10" s="11">
        <f ca="1">VLOOKUP(I10,[1]属性!$A:$E,4,FALSE)</f>
        <v>1</v>
      </c>
      <c r="M10" s="11">
        <f ca="1">VLOOKUP(I10,[1]属性!$A:$E,5,FALSE)</f>
        <v>1</v>
      </c>
      <c r="N10" s="11">
        <f ca="1">INDEX(コスト!$A$1:$I$20,MATCH(H10,コスト!$A$1:$A$20,FALSE),MATCH(G10,コスト!$A$1:$I$1,FALSE))</f>
        <v>35</v>
      </c>
      <c r="O10" s="11">
        <f ca="1">INDEX(レベル!$A$1:$I$21,MATCH(H10,レベル!$A$1:$A$21,FALSE),MATCH(G10,レベル!$A$1:$I$1,FALSE))</f>
        <v>80</v>
      </c>
      <c r="P10" s="48">
        <f t="shared" ca="1" si="8"/>
        <v>75</v>
      </c>
      <c r="Q10" s="57" t="str">
        <f ca="1">VLOOKUP($A10,OFFSET([1]characters!$A$1,0,0,COUNTA([1]characters!$A:$A),MATCH(Q$1,[1]characters!$1:$1,0)-MATCH($A$1,[1]characters!$1:$1,0)+1),MATCH(Q$1,[1]characters!$1:$1,0)-MATCH($A$1,[1]characters!$1:$1,0)+1,FALSE)</f>
        <v>balance</v>
      </c>
      <c r="R10" s="5" t="str">
        <f ca="1">VLOOKUP(Q10,[1]character_type_i18n!$A:$H,3,FALSE)</f>
        <v>バランスタイプ</v>
      </c>
      <c r="S10" s="11">
        <f ca="1">VLOOKUP(Q10,[1]character_type_i18n!$A:$H,4,FALSE)</f>
        <v>1</v>
      </c>
      <c r="T10" s="11">
        <f ca="1">VLOOKUP(Q10,[1]character_type_i18n!$A:$H,5,FALSE)</f>
        <v>1</v>
      </c>
      <c r="U10" s="11">
        <f ca="1">VLOOKUP(Q10,[1]character_type_i18n!$A:$H,6,FALSE)</f>
        <v>1</v>
      </c>
      <c r="V10" s="11">
        <f ca="1">VLOOKUP(Q10,[1]character_type_i18n!$A:$H,7,FALSE)</f>
        <v>1</v>
      </c>
      <c r="W10" s="57" t="str">
        <f ca="1">VLOOKUP($A10,OFFSET([1]characters!$A$1,0,0,COUNTA([1]characters!$A:$A),MATCH(W$1,[1]characters!$1:$1,0)-MATCH($A$1,[1]characters!$1:$1,0)+1),MATCH(W$1,[1]characters!$1:$1,0)-MATCH($A$1,[1]characters!$1:$1,0)+1,FALSE)</f>
        <v>human</v>
      </c>
      <c r="X10" s="5" t="str">
        <f ca="1">VLOOKUP(W10,[1]character_tribe_i18n!$A:$H,3,FALSE)</f>
        <v>ヒューマン</v>
      </c>
      <c r="Y10" s="57" t="str">
        <f ca="1">VLOOKUP($A10,OFFSET([1]characters!$A$1,0,0,COUNTA([1]characters!$A:$A),MATCH(Y$1,[1]characters!$1:$1,0)-MATCH($A$1,[1]characters!$1:$1,0)+1),MATCH(Y$1,[1]characters!$1:$1,0)-MATCH($A$1,[1]characters!$1:$1,0)+1,FALSE)</f>
        <v>samurai</v>
      </c>
      <c r="Z10" s="5" t="str">
        <f ca="1">VLOOKUP(Y10,[1]character_tribe_i18n!$A:$H,3,FALSE)</f>
        <v>サムライ</v>
      </c>
      <c r="AA10" s="11">
        <f ca="1">VLOOKUP(W10,[1]character_tribe_i18n!$A:$H,4,FALSE)</f>
        <v>0.94</v>
      </c>
      <c r="AB10" s="11">
        <f ca="1">VLOOKUP(W10,[1]character_tribe_i18n!$A:$H,5,FALSE)</f>
        <v>0.99</v>
      </c>
      <c r="AC10" s="11">
        <f ca="1">VLOOKUP(W10,[1]character_tribe_i18n!$A:$H,6,FALSE)</f>
        <v>1</v>
      </c>
      <c r="AD10" s="11">
        <f ca="1">VLOOKUP(W10,[1]character_tribe_i18n!$A:$H,7,FALSE)</f>
        <v>1.07</v>
      </c>
      <c r="AE10" s="9">
        <v>1029</v>
      </c>
      <c r="AF10" s="62" t="str">
        <f ca="1">IF(AE10="NULL","",VLOOKUP($AE10,OFFSET([1]characters!$A$1,0,0,COUNTA([1]characters!$A:$A),MATCH(AF$1,[1]characters!$1:$1,0)-MATCH($A$1,[1]characters!$1:$1,0)+1),MATCH(AF$1,[1]characters!$1:$1,0)-MATCH($A$1,[1]characters!$1:$1,0)+1,FALSE))</f>
        <v>天賦の軍才 牛若丸</v>
      </c>
      <c r="AG10" s="5">
        <f t="shared" ca="1" si="0"/>
        <v>1028</v>
      </c>
      <c r="AH10" s="62" t="str">
        <f ca="1">VLOOKUP($AG10,OFFSET([1]characters!$A$1,0,0,COUNTA([1]characters!$A:$A),MATCH(AH$1,[1]characters!$1:$1,0)-MATCH($A$1,[1]characters!$1:$1,0)+1),MATCH(AH$1,[1]characters!$1:$1,0)-MATCH($A$1,[1]characters!$1:$1,0)+1,FALSE)</f>
        <v>牛若丸</v>
      </c>
      <c r="AI10" s="11">
        <f ca="1">IF(AE10="NULL","NULL",VLOOKUP(G10,ビット!$A$2:$B$7,2))</f>
        <v>200000</v>
      </c>
      <c r="AJ10" s="6">
        <v>2</v>
      </c>
      <c r="AK10" s="7" t="str">
        <f t="shared" si="6"/>
        <v>普通</v>
      </c>
      <c r="AL10" s="11" t="str">
        <f ca="1">INDEX(経験値!$A$1:$I$20,MATCH(H10,経験値!$A$1:$A$20,FALSE),MATCH(G10,経験値!$A$1:$I$1,FALSE))</f>
        <v>required_exp_200</v>
      </c>
      <c r="AM10" s="8">
        <f ca="1">VLOOKUP(G10,経験値!$A$27:$B$31,2)</f>
        <v>6400</v>
      </c>
      <c r="AN10" s="17">
        <f ca="1">VLOOKUP(G10,ビット!$G$2:$H$7,2)</f>
        <v>900</v>
      </c>
      <c r="AO10" s="45"/>
      <c r="AP10" s="166">
        <v>1028</v>
      </c>
      <c r="AQ10" s="165" t="str">
        <f ca="1">VLOOKUP($AP10,OFFSET(unit_skills!$A$1,0,0,COUNTA(unit_skills!$A:$A),MATCH(AQ$1,unit_skills!$1:$1,0)-MATCH($AP$1,unit_skills!$1:$1,0)+1),MATCH(AQ$1,unit_skills!$1:$1,0)-MATCH($AP$1,unit_skills!$1:$1,0)+1,FALSE)</f>
        <v>虎韜の采配</v>
      </c>
      <c r="AR10" s="57" t="str">
        <f ca="1">VLOOKUP($AP10,OFFSET(unit_skills!$A$1,0,0,COUNTA(unit_skills!$A:$A),MATCH(AR$1,unit_skills!$1:$1,0)-MATCH($AP$1,unit_skills!$1:$1,0)+1),MATCH(AR$1,unit_skills!$1:$1,0)-MATCH($AP$1,unit_skills!$1:$1,0)+1,FALSE)</f>
        <v>ハートパネル無効解除+2ターン緑属性ユニットのCパネル生成短縮(効果超大)+緑属性の攻撃UP(青パネル吸収して効果UP)</v>
      </c>
      <c r="AS10" s="57">
        <f ca="1">VLOOKUP($AP10,OFFSET(unit_skills!$A$1,0,0,COUNTA(unit_skills!$A:$A),MATCH(AS$1,unit_skills!$1:$1,0)-MATCH($AP$1,unit_skills!$1:$1,0)+1),MATCH(AS$1,unit_skills!$1:$1,0)-MATCH($AP$1,unit_skills!$1:$1,0)+1,FALSE)</f>
        <v>0</v>
      </c>
      <c r="AT10" s="166">
        <v>1028</v>
      </c>
      <c r="AU10" s="57" t="str">
        <f ca="1">VLOOKUP($AT10,OFFSET(crash_skills!$A$1,0,0,COUNTA(crash_skills!$A:$A),MATCH(AU$1,crash_skills!$1:$1,0)-MATCH($AT$1,crash_skills!$1:$1,0)+1),MATCH(AU$1,crash_skills!$1:$1,0)-MATCH($AT$1,crash_skills!$1:$1,0)+1,FALSE)</f>
        <v>天狗の構え</v>
      </c>
      <c r="AV10" s="57" t="str">
        <f ca="1">VLOOKUP($AT10,OFFSET(crash_skills!$A$1,0,0,COUNTA(crash_skills!$A:$A),MATCH(AV$1,crash_skills!$1:$1,0)-MATCH($AT$1,crash_skills!$1:$1,0)+1),MATCH(AV$1,crash_skills!$1:$1,0)-MATCH($AT$1,crash_skills!$1:$1,0)+1,FALSE)</f>
        <v>1体に大ダメージ_x000D_サムライに効果特大</v>
      </c>
      <c r="AW10" s="57">
        <f ca="1">VLOOKUP($AT10,OFFSET(crash_skills!$A$1,0,0,COUNTA(crash_skills!$A:$A),MATCH(AW$1,crash_skills!$1:$1,0)-MATCH($AT$1,crash_skills!$1:$1,0)+1),MATCH(AW$1,crash_skills!$1:$1,0)-MATCH($AT$1,crash_skills!$1:$1,0)+1,FALSE)</f>
        <v>0</v>
      </c>
      <c r="AX10" s="58">
        <f ca="1">VLOOKUP($A10,OFFSET([1]characters!$A$1,0,0,COUNTA([1]characters!$A:$A),MATCH(AX$1,[1]characters!$1:$1,0)-MATCH($A$1,[1]characters!$1:$1,0)+1),MATCH(AX$1,[1]characters!$1:$1,0)-MATCH($A$1,[1]characters!$1:$1,0)+1,FALSE)</f>
        <v>3</v>
      </c>
      <c r="AY10" s="67">
        <v>0.98</v>
      </c>
      <c r="AZ10" s="67">
        <v>1.2</v>
      </c>
      <c r="BA10" s="67">
        <v>0</v>
      </c>
      <c r="BB10" s="67">
        <v>0.9</v>
      </c>
      <c r="BC10" s="11">
        <f ca="1">INDEX('RC6SV'!$A$1:$G$20,MATCH(H10,'RC6SV'!$A$1:$A$20,FALSE),MATCH(G10,'RC6SV'!$A$1:$G$1,FALSE))</f>
        <v>9500</v>
      </c>
      <c r="BD10" s="48">
        <f t="shared" ca="1" si="7"/>
        <v>9500</v>
      </c>
      <c r="BE10" s="11">
        <f t="shared" ca="1" si="3"/>
        <v>0</v>
      </c>
      <c r="BF10" s="11">
        <f t="shared" ca="1" si="4"/>
        <v>1</v>
      </c>
      <c r="BG10" s="16">
        <f ca="1">IF($BE10&lt;=0,ROUND(BK10*0.5,0), ROUND($BE10*S10*AA10*J10*AY10*0.8*[1]ステータス!$B$2,0))</f>
        <v>2232</v>
      </c>
      <c r="BH10" s="16">
        <f ca="1">IF($BE10&lt;=0,ROUND(BL10*0.5,0), ROUND($BE10*T10*AB10*K10*AZ10*0.8*[1]ステータス!$C$2,0))</f>
        <v>1659</v>
      </c>
      <c r="BI10" s="16">
        <f ca="1">IF($BE10&lt;=0,ROUND(BM10*0.5,0), ROUND($BE10*U10*AC10*L10*BA10*0.8*[1]ステータス!$D$2,0))</f>
        <v>0</v>
      </c>
      <c r="BJ10" s="16">
        <f ca="1">IF($BE10&lt;=0,ROUND(BN10*0.5,0), ROUND($BE10*V10*AD10*M10*BB10*0.8*[1]ステータス!$E$2,0))</f>
        <v>1144</v>
      </c>
      <c r="BK10" s="11">
        <f ca="1">ROUND(BD10*S10*AA10*J10*AY10*[1]ステータス!$B$2,0)</f>
        <v>4463</v>
      </c>
      <c r="BL10" s="11">
        <f ca="1">ROUND(BD10*T10*AB10*K10*AZ10*[1]ステータス!$C$2,0)</f>
        <v>3318</v>
      </c>
      <c r="BM10" s="11">
        <f ca="1">ROUND(BD10*U10*AC10*L10*BA10*[1]ステータス!$D$2,0)</f>
        <v>0</v>
      </c>
      <c r="BN10" s="11">
        <f ca="1">ROUND(BD10*V10*AD10*M10*BB10*[1]ステータス!$E$2,0)</f>
        <v>2287</v>
      </c>
      <c r="BO10" s="10">
        <v>0</v>
      </c>
      <c r="BP10" s="10">
        <v>1</v>
      </c>
      <c r="BQ10" s="39" t="s">
        <v>44</v>
      </c>
      <c r="BR10" s="10">
        <f ca="1">VLOOKUP(H10,ghosts_label!$A$2:$B$19,2,FALSE)</f>
        <v>5500</v>
      </c>
    </row>
    <row r="11" spans="1:70" ht="26" customHeight="1" x14ac:dyDescent="0.15">
      <c r="A11" s="198">
        <v>1029</v>
      </c>
      <c r="B11" s="57" t="str">
        <f ca="1">VLOOKUP($A11,OFFSET([1]characters!$A$1,0,0,COUNTA([1]characters!$A:$A),MATCH(B$1,[1]characters!$1:$1,0)-MATCH($A$1,[1]characters!$1:$1,0)+1),MATCH(B$1,[1]characters!$1:$1,0)-MATCH($A$1,[1]characters!$1:$1,0)+1,FALSE)</f>
        <v>天賦の軍才 牛若丸</v>
      </c>
      <c r="C11" s="57" t="str">
        <f ca="1">VLOOKUP($A11,OFFSET([1]characters!$A$1,0,0,COUNTA([1]characters!$A:$A),MATCH(C$1,[1]characters!$1:$1,0)-MATCH($A$1,[1]characters!$1:$1,0)+1),MATCH(C$1,[1]characters!$1:$1,0)-MATCH($A$1,[1]characters!$1:$1,0)+1,FALSE)</f>
        <v>源義経（牛若丸）</v>
      </c>
      <c r="D11" s="57" t="str">
        <f ca="1">VLOOKUP($A11,OFFSET([1]characters!$A$1,0,0,COUNTA([1]characters!$A:$A),MATCH(D$1,[1]characters!$1:$1,0)-MATCH($A$1,[1]characters!$1:$1,0)+1),MATCH(D$1,[1]characters!$1:$1,0)-MATCH($A$1,[1]characters!$1:$1,0)+1,FALSE)</f>
        <v>執行者</v>
      </c>
      <c r="E11" s="57" t="str">
        <f ca="1">VLOOKUP($A11,OFFSET([1]characters!$A$1,0,0,COUNTA([1]characters!$A:$A),MATCH(E$1,[1]characters!$1:$1,0)-MATCH($A$1,[1]characters!$1:$1,0)+1),MATCH(E$1,[1]characters!$1:$1,0)-MATCH($A$1,[1]characters!$1:$1,0)+1,FALSE)</f>
        <v>格好いい</v>
      </c>
      <c r="F11" s="57" t="str">
        <f ca="1">VLOOKUP($A11,OFFSET([1]characters!$A$1,0,0,COUNTA([1]characters!$A:$A),MATCH(F$1,[1]characters!$1:$1,0)-MATCH($A$1,[1]characters!$1:$1,0)+1),MATCH(F$1,[1]characters!$1:$1,0)-MATCH($A$1,[1]characters!$1:$1,0)+1,FALSE)</f>
        <v>男性</v>
      </c>
      <c r="G11" s="57">
        <f ca="1">VLOOKUP($A11,OFFSET([1]characters!$A$1,0,0,COUNTA([1]characters!$A:$A),MATCH(G$1,[1]characters!$1:$1,0)-MATCH($A$1,[1]characters!$1:$1,0)+1),MATCH(G$1,[1]characters!$1:$1,0)-MATCH($A$1,[1]characters!$1:$1,0)+1,FALSE)</f>
        <v>6</v>
      </c>
      <c r="H11" s="57" t="str">
        <f ca="1">VLOOKUP($A11,OFFSET([1]characters!$A$1,0,0,COUNTA([1]characters!$A:$A),MATCH(H$1,[1]characters!$1:$1,0)-MATCH($A$1,[1]characters!$1:$1,0)+1),MATCH(H$1,[1]characters!$1:$1,0)-MATCH($A$1,[1]characters!$1:$1,0)+1,FALSE)</f>
        <v>PremiumSS</v>
      </c>
      <c r="I11" s="57" t="str">
        <f ca="1">VLOOKUP($A11,OFFSET([1]characters!$A$1,0,0,COUNTA([1]characters!$A:$A),MATCH(I$1,[1]characters!$1:$1,0)-MATCH($A$1,[1]characters!$1:$1,0)+1),MATCH(I$1,[1]characters!$1:$1,0)-MATCH($A$1,[1]characters!$1:$1,0)+1,FALSE)</f>
        <v>green</v>
      </c>
      <c r="J11" s="11">
        <f ca="1">VLOOKUP(I11,[1]属性!$A:$E,2,FALSE)</f>
        <v>1.02</v>
      </c>
      <c r="K11" s="11">
        <f ca="1">VLOOKUP(I11,[1]属性!$A:$E,3,FALSE)</f>
        <v>0.98</v>
      </c>
      <c r="L11" s="11">
        <f ca="1">VLOOKUP(I11,[1]属性!$A:$E,4,FALSE)</f>
        <v>1</v>
      </c>
      <c r="M11" s="11">
        <f ca="1">VLOOKUP(I11,[1]属性!$A:$E,5,FALSE)</f>
        <v>1</v>
      </c>
      <c r="N11" s="11">
        <f ca="1">INDEX(コスト!$A$1:$I$20,MATCH(H11,コスト!$A$1:$A$20,FALSE),MATCH(G11,コスト!$A$1:$I$1,FALSE))</f>
        <v>50</v>
      </c>
      <c r="O11" s="11">
        <f ca="1">INDEX(レベル!$A$1:$I$21,MATCH(H11,レベル!$A$1:$A$21,FALSE),MATCH(G11,レベル!$A$1:$I$1,FALSE))</f>
        <v>99</v>
      </c>
      <c r="P11" s="48">
        <f t="shared" ca="1" si="8"/>
        <v>99</v>
      </c>
      <c r="Q11" s="57" t="str">
        <f ca="1">VLOOKUP($A11,OFFSET([1]characters!$A$1,0,0,COUNTA([1]characters!$A:$A),MATCH(Q$1,[1]characters!$1:$1,0)-MATCH($A$1,[1]characters!$1:$1,0)+1),MATCH(Q$1,[1]characters!$1:$1,0)-MATCH($A$1,[1]characters!$1:$1,0)+1,FALSE)</f>
        <v>balance</v>
      </c>
      <c r="R11" s="5" t="str">
        <f ca="1">VLOOKUP(Q11,[1]character_type_i18n!$A:$H,3,FALSE)</f>
        <v>バランスタイプ</v>
      </c>
      <c r="S11" s="11">
        <f ca="1">VLOOKUP(Q11,[1]character_type_i18n!$A:$H,4,FALSE)</f>
        <v>1</v>
      </c>
      <c r="T11" s="11">
        <f ca="1">VLOOKUP(Q11,[1]character_type_i18n!$A:$H,5,FALSE)</f>
        <v>1</v>
      </c>
      <c r="U11" s="11">
        <f ca="1">VLOOKUP(Q11,[1]character_type_i18n!$A:$H,6,FALSE)</f>
        <v>1</v>
      </c>
      <c r="V11" s="11">
        <f ca="1">VLOOKUP(Q11,[1]character_type_i18n!$A:$H,7,FALSE)</f>
        <v>1</v>
      </c>
      <c r="W11" s="57" t="str">
        <f ca="1">VLOOKUP($A11,OFFSET([1]characters!$A$1,0,0,COUNTA([1]characters!$A:$A),MATCH(W$1,[1]characters!$1:$1,0)-MATCH($A$1,[1]characters!$1:$1,0)+1),MATCH(W$1,[1]characters!$1:$1,0)-MATCH($A$1,[1]characters!$1:$1,0)+1,FALSE)</f>
        <v>human</v>
      </c>
      <c r="X11" s="5" t="str">
        <f ca="1">VLOOKUP(W11,[1]character_tribe_i18n!$A:$H,3,FALSE)</f>
        <v>ヒューマン</v>
      </c>
      <c r="Y11" s="57" t="str">
        <f ca="1">VLOOKUP($A11,OFFSET([1]characters!$A$1,0,0,COUNTA([1]characters!$A:$A),MATCH(Y$1,[1]characters!$1:$1,0)-MATCH($A$1,[1]characters!$1:$1,0)+1),MATCH(Y$1,[1]characters!$1:$1,0)-MATCH($A$1,[1]characters!$1:$1,0)+1,FALSE)</f>
        <v>samurai</v>
      </c>
      <c r="Z11" s="5" t="str">
        <f ca="1">VLOOKUP(Y11,[1]character_tribe_i18n!$A:$H,3,FALSE)</f>
        <v>サムライ</v>
      </c>
      <c r="AA11" s="11">
        <f ca="1">VLOOKUP(W11,[1]character_tribe_i18n!$A:$H,4,FALSE)</f>
        <v>0.94</v>
      </c>
      <c r="AB11" s="11">
        <f ca="1">VLOOKUP(W11,[1]character_tribe_i18n!$A:$H,5,FALSE)</f>
        <v>0.99</v>
      </c>
      <c r="AC11" s="11">
        <f ca="1">VLOOKUP(W11,[1]character_tribe_i18n!$A:$H,6,FALSE)</f>
        <v>1</v>
      </c>
      <c r="AD11" s="11">
        <f ca="1">VLOOKUP(W11,[1]character_tribe_i18n!$A:$H,7,FALSE)</f>
        <v>1.07</v>
      </c>
      <c r="AE11" s="9" t="s">
        <v>140</v>
      </c>
      <c r="AF11" s="62" t="str">
        <f ca="1">IF(AE11="NULL","",VLOOKUP($AE11,OFFSET([1]characters!$A$1,0,0,COUNTA([1]characters!$A:$A),MATCH(AF$1,[1]characters!$1:$1,0)-MATCH($A$1,[1]characters!$1:$1,0)+1),MATCH(AF$1,[1]characters!$1:$1,0)-MATCH($A$1,[1]characters!$1:$1,0)+1,FALSE))</f>
        <v/>
      </c>
      <c r="AG11" s="5">
        <f t="shared" ca="1" si="0"/>
        <v>1028</v>
      </c>
      <c r="AH11" s="62" t="str">
        <f ca="1">VLOOKUP($AG11,OFFSET([1]characters!$A$1,0,0,COUNTA([1]characters!$A:$A),MATCH(AH$1,[1]characters!$1:$1,0)-MATCH($A$1,[1]characters!$1:$1,0)+1),MATCH(AH$1,[1]characters!$1:$1,0)-MATCH($A$1,[1]characters!$1:$1,0)+1,FALSE)</f>
        <v>牛若丸</v>
      </c>
      <c r="AI11" s="11" t="str">
        <f>IF(AE11="NULL","NULL",VLOOKUP(G11,ビット!$A$2:$B$7,2))</f>
        <v>NULL</v>
      </c>
      <c r="AJ11" s="6">
        <v>2</v>
      </c>
      <c r="AK11" s="7" t="str">
        <f t="shared" si="6"/>
        <v>普通</v>
      </c>
      <c r="AL11" s="11" t="str">
        <f ca="1">INDEX(経験値!$A$1:$I$20,MATCH(H11,経験値!$A$1:$A$20,FALSE),MATCH(G11,経験値!$A$1:$I$1,FALSE))</f>
        <v>required_exp_250</v>
      </c>
      <c r="AM11" s="8">
        <f ca="1">VLOOKUP(G11,経験値!$A$27:$B$31,2)</f>
        <v>6400</v>
      </c>
      <c r="AN11" s="17">
        <f ca="1">VLOOKUP(G11,ビット!$G$2:$H$7,2)</f>
        <v>900</v>
      </c>
      <c r="AO11" s="45"/>
      <c r="AP11" s="166">
        <v>1029</v>
      </c>
      <c r="AQ11" s="165" t="str">
        <f ca="1">VLOOKUP($AP11,OFFSET(unit_skills!$A$1,0,0,COUNTA(unit_skills!$A:$A),MATCH(AQ$1,unit_skills!$1:$1,0)-MATCH($AP$1,unit_skills!$1:$1,0)+1),MATCH(AQ$1,unit_skills!$1:$1,0)-MATCH($AP$1,unit_skills!$1:$1,0)+1,FALSE)</f>
        <v>虎韜の采配</v>
      </c>
      <c r="AR11" s="57" t="str">
        <f ca="1">VLOOKUP($AP11,OFFSET(unit_skills!$A$1,0,0,COUNTA(unit_skills!$A:$A),MATCH(AR$1,unit_skills!$1:$1,0)-MATCH($AP$1,unit_skills!$1:$1,0)+1),MATCH(AR$1,unit_skills!$1:$1,0)-MATCH($AP$1,unit_skills!$1:$1,0)+1,FALSE)</f>
        <v>ハートパネル無効解除+2ターン緑属性ユニットのCパネル生成短縮(効果超大)+緑属性の攻撃UP(青パネル吸収して効果UP)</v>
      </c>
      <c r="AS11" s="57">
        <f ca="1">VLOOKUP($AP11,OFFSET(unit_skills!$A$1,0,0,COUNTA(unit_skills!$A:$A),MATCH(AS$1,unit_skills!$1:$1,0)-MATCH($AP$1,unit_skills!$1:$1,0)+1),MATCH(AS$1,unit_skills!$1:$1,0)-MATCH($AP$1,unit_skills!$1:$1,0)+1,FALSE)</f>
        <v>0</v>
      </c>
      <c r="AT11" s="166">
        <v>1029</v>
      </c>
      <c r="AU11" s="57" t="str">
        <f ca="1">VLOOKUP($AT11,OFFSET(crash_skills!$A$1,0,0,COUNTA(crash_skills!$A:$A),MATCH(AU$1,crash_skills!$1:$1,0)-MATCH($AT$1,crash_skills!$1:$1,0)+1),MATCH(AU$1,crash_skills!$1:$1,0)-MATCH($AT$1,crash_skills!$1:$1,0)+1,FALSE)</f>
        <v>鞍馬伝承の奇襲</v>
      </c>
      <c r="AV11" s="57" t="str">
        <f ca="1">VLOOKUP($AT11,OFFSET(crash_skills!$A$1,0,0,COUNTA(crash_skills!$A:$A),MATCH(AV$1,crash_skills!$1:$1,0)-MATCH($AT$1,crash_skills!$1:$1,0)+1),MATCH(AV$1,crash_skills!$1:$1,0)-MATCH($AT$1,crash_skills!$1:$1,0)+1,FALSE)</f>
        <v>1体に特大ダメージ_x000D_サムライに効果超大</v>
      </c>
      <c r="AW11" s="57">
        <f ca="1">VLOOKUP($AT11,OFFSET(crash_skills!$A$1,0,0,COUNTA(crash_skills!$A:$A),MATCH(AW$1,crash_skills!$1:$1,0)-MATCH($AT$1,crash_skills!$1:$1,0)+1),MATCH(AW$1,crash_skills!$1:$1,0)-MATCH($AT$1,crash_skills!$1:$1,0)+1,FALSE)</f>
        <v>0</v>
      </c>
      <c r="AX11" s="58">
        <f ca="1">VLOOKUP($A11,OFFSET([1]characters!$A$1,0,0,COUNTA([1]characters!$A:$A),MATCH(AX$1,[1]characters!$1:$1,0)-MATCH($A$1,[1]characters!$1:$1,0)+1),MATCH(AX$1,[1]characters!$1:$1,0)-MATCH($A$1,[1]characters!$1:$1,0)+1,FALSE)</f>
        <v>3</v>
      </c>
      <c r="AY11" s="67">
        <v>0.98</v>
      </c>
      <c r="AZ11" s="67">
        <v>1.2</v>
      </c>
      <c r="BA11" s="67">
        <v>0</v>
      </c>
      <c r="BB11" s="67">
        <v>0.9</v>
      </c>
      <c r="BC11" s="11">
        <f ca="1">INDEX('RC6SV'!$A$1:$G$20,MATCH(H11,'RC6SV'!$A$1:$A$20,FALSE),MATCH(G11,'RC6SV'!$A$1:$G$1,FALSE))</f>
        <v>13000</v>
      </c>
      <c r="BD11" s="48">
        <f t="shared" ca="1" si="7"/>
        <v>13000</v>
      </c>
      <c r="BE11" s="11">
        <f t="shared" ca="1" si="3"/>
        <v>9500</v>
      </c>
      <c r="BF11" s="11">
        <f t="shared" ca="1" si="4"/>
        <v>1</v>
      </c>
      <c r="BG11" s="16">
        <f ca="1">IF($BE11&lt;=0,ROUND(BK11*0.5,0), ROUND($BE11*S11*AA11*J11*AY11*0.8*[1]ステータス!$B$2,0))</f>
        <v>3571</v>
      </c>
      <c r="BH11" s="16">
        <f ca="1">IF($BE11&lt;=0,ROUND(BL11*0.5,0), ROUND($BE11*T11*AB11*K11*AZ11*0.8*[1]ステータス!$C$2,0))</f>
        <v>2654</v>
      </c>
      <c r="BI11" s="16">
        <f ca="1">IF($BE11&lt;=0,ROUND(BM11*0.5,0), ROUND($BE11*U11*AC11*L11*BA11*0.8*[1]ステータス!$D$2,0))</f>
        <v>0</v>
      </c>
      <c r="BJ11" s="16">
        <f ca="1">IF($BE11&lt;=0,ROUND(BN11*0.5,0), ROUND($BE11*V11*AD11*M11*BB11*0.8*[1]ステータス!$E$2,0))</f>
        <v>1830</v>
      </c>
      <c r="BK11" s="11">
        <f ca="1">ROUND(BD11*S11*AA11*J11*AY11*[1]ステータス!$B$2,0)</f>
        <v>6108</v>
      </c>
      <c r="BL11" s="11">
        <f ca="1">ROUND(BD11*T11*AB11*K11*AZ11*[1]ステータス!$C$2,0)</f>
        <v>4541</v>
      </c>
      <c r="BM11" s="11">
        <f ca="1">ROUND(BD11*U11*AC11*L11*BA11*[1]ステータス!$D$2,0)</f>
        <v>0</v>
      </c>
      <c r="BN11" s="11">
        <f ca="1">ROUND(BD11*V11*AD11*M11*BB11*[1]ステータス!$E$2,0)</f>
        <v>3130</v>
      </c>
      <c r="BO11" s="10">
        <v>0</v>
      </c>
      <c r="BP11" s="10">
        <v>1</v>
      </c>
      <c r="BQ11" s="39" t="s">
        <v>44</v>
      </c>
      <c r="BR11" s="10">
        <f ca="1">VLOOKUP(H11,ghosts_label!$A$2:$B$19,2,FALSE)</f>
        <v>5500</v>
      </c>
    </row>
    <row r="12" spans="1:70" ht="26" customHeight="1" x14ac:dyDescent="0.15">
      <c r="A12" s="12">
        <v>1031</v>
      </c>
      <c r="B12" s="57" t="str">
        <f ca="1">VLOOKUP($A12,OFFSET([1]characters!$A$1,0,0,COUNTA([1]characters!$A:$A),MATCH(B$1,[1]characters!$1:$1,0)-MATCH($A$1,[1]characters!$1:$1,0)+1),MATCH(B$1,[1]characters!$1:$1,0)-MATCH($A$1,[1]characters!$1:$1,0)+1,FALSE)</f>
        <v>紫式部</v>
      </c>
      <c r="C12" s="57" t="str">
        <f ca="1">VLOOKUP($A12,OFFSET([1]characters!$A$1,0,0,COUNTA([1]characters!$A:$A),MATCH(C$1,[1]characters!$1:$1,0)-MATCH($A$1,[1]characters!$1:$1,0)+1),MATCH(C$1,[1]characters!$1:$1,0)-MATCH($A$1,[1]characters!$1:$1,0)+1,FALSE)</f>
        <v>紫式部</v>
      </c>
      <c r="D12" s="57" t="str">
        <f ca="1">VLOOKUP($A12,OFFSET([1]characters!$A$1,0,0,COUNTA([1]characters!$A:$A),MATCH(D$1,[1]characters!$1:$1,0)-MATCH($A$1,[1]characters!$1:$1,0)+1),MATCH(D$1,[1]characters!$1:$1,0)-MATCH($A$1,[1]characters!$1:$1,0)+1,FALSE)</f>
        <v>執行者</v>
      </c>
      <c r="E12" s="57" t="str">
        <f ca="1">VLOOKUP($A12,OFFSET([1]characters!$A$1,0,0,COUNTA([1]characters!$A:$A),MATCH(E$1,[1]characters!$1:$1,0)-MATCH($A$1,[1]characters!$1:$1,0)+1),MATCH(E$1,[1]characters!$1:$1,0)-MATCH($A$1,[1]characters!$1:$1,0)+1,FALSE)</f>
        <v>格好いい</v>
      </c>
      <c r="F12" s="57" t="str">
        <f ca="1">VLOOKUP($A12,OFFSET([1]characters!$A$1,0,0,COUNTA([1]characters!$A:$A),MATCH(F$1,[1]characters!$1:$1,0)-MATCH($A$1,[1]characters!$1:$1,0)+1),MATCH(F$1,[1]characters!$1:$1,0)-MATCH($A$1,[1]characters!$1:$1,0)+1,FALSE)</f>
        <v>男性</v>
      </c>
      <c r="G12" s="57">
        <f ca="1">VLOOKUP($A12,OFFSET([1]characters!$A$1,0,0,COUNTA([1]characters!$A:$A),MATCH(G$1,[1]characters!$1:$1,0)-MATCH($A$1,[1]characters!$1:$1,0)+1),MATCH(G$1,[1]characters!$1:$1,0)-MATCH($A$1,[1]characters!$1:$1,0)+1,FALSE)</f>
        <v>5</v>
      </c>
      <c r="H12" s="57" t="str">
        <f ca="1">VLOOKUP($A12,OFFSET([1]characters!$A$1,0,0,COUNTA([1]characters!$A:$A),MATCH(H$1,[1]characters!$1:$1,0)-MATCH($A$1,[1]characters!$1:$1,0)+1),MATCH(H$1,[1]characters!$1:$1,0)-MATCH($A$1,[1]characters!$1:$1,0)+1,FALSE)</f>
        <v>PremiumSS</v>
      </c>
      <c r="I12" s="57" t="str">
        <f ca="1">VLOOKUP($A12,OFFSET([1]characters!$A$1,0,0,COUNTA([1]characters!$A:$A),MATCH(I$1,[1]characters!$1:$1,0)-MATCH($A$1,[1]characters!$1:$1,0)+1),MATCH(I$1,[1]characters!$1:$1,0)-MATCH($A$1,[1]characters!$1:$1,0)+1,FALSE)</f>
        <v>blue</v>
      </c>
      <c r="J12" s="11">
        <f ca="1">VLOOKUP(I12,[1]属性!$A:$E,2,FALSE)</f>
        <v>1</v>
      </c>
      <c r="K12" s="11">
        <f ca="1">VLOOKUP(I12,[1]属性!$A:$E,3,FALSE)</f>
        <v>0.98</v>
      </c>
      <c r="L12" s="11">
        <f ca="1">VLOOKUP(I12,[1]属性!$A:$E,4,FALSE)</f>
        <v>1</v>
      </c>
      <c r="M12" s="11">
        <f ca="1">VLOOKUP(I12,[1]属性!$A:$E,5,FALSE)</f>
        <v>1.02</v>
      </c>
      <c r="N12" s="11">
        <f ca="1">INDEX(コスト!$A$1:$I$20,MATCH(H12,コスト!$A$1:$A$20,FALSE),MATCH(G12,コスト!$A$1:$I$1,FALSE))</f>
        <v>35</v>
      </c>
      <c r="O12" s="11">
        <f ca="1">INDEX(レベル!$A$1:$I$21,MATCH(H12,レベル!$A$1:$A$21,FALSE),MATCH(G12,レベル!$A$1:$I$1,FALSE))</f>
        <v>80</v>
      </c>
      <c r="P12" s="48">
        <f t="shared" ca="1" si="8"/>
        <v>75</v>
      </c>
      <c r="Q12" s="57" t="str">
        <f ca="1">VLOOKUP($A12,OFFSET([1]characters!$A$1,0,0,COUNTA([1]characters!$A:$A),MATCH(Q$1,[1]characters!$1:$1,0)-MATCH($A$1,[1]characters!$1:$1,0)+1),MATCH(Q$1,[1]characters!$1:$1,0)-MATCH($A$1,[1]characters!$1:$1,0)+1,FALSE)</f>
        <v>technical</v>
      </c>
      <c r="R12" s="5" t="str">
        <f ca="1">VLOOKUP(Q12,[1]character_type_i18n!$A:$H,3,FALSE)</f>
        <v>テクニカルタイプ</v>
      </c>
      <c r="S12" s="11">
        <f ca="1">VLOOKUP(Q12,[1]character_type_i18n!$A:$H,4,FALSE)</f>
        <v>0.9</v>
      </c>
      <c r="T12" s="11">
        <f ca="1">VLOOKUP(Q12,[1]character_type_i18n!$A:$H,5,FALSE)</f>
        <v>0.9</v>
      </c>
      <c r="U12" s="11">
        <f ca="1">VLOOKUP(Q12,[1]character_type_i18n!$A:$H,6,FALSE)</f>
        <v>1</v>
      </c>
      <c r="V12" s="11">
        <f ca="1">VLOOKUP(Q12,[1]character_type_i18n!$A:$H,7,FALSE)</f>
        <v>0.9</v>
      </c>
      <c r="W12" s="57" t="str">
        <f ca="1">VLOOKUP($A12,OFFSET([1]characters!$A$1,0,0,COUNTA([1]characters!$A:$A),MATCH(W$1,[1]characters!$1:$1,0)-MATCH($A$1,[1]characters!$1:$1,0)+1),MATCH(W$1,[1]characters!$1:$1,0)-MATCH($A$1,[1]characters!$1:$1,0)+1,FALSE)</f>
        <v>human</v>
      </c>
      <c r="X12" s="5" t="str">
        <f ca="1">VLOOKUP(W12,[1]character_tribe_i18n!$A:$H,3,FALSE)</f>
        <v>ヒューマン</v>
      </c>
      <c r="Y12" s="57" t="str">
        <f ca="1">VLOOKUP($A12,OFFSET([1]characters!$A$1,0,0,COUNTA([1]characters!$A:$A),MATCH(Y$1,[1]characters!$1:$1,0)-MATCH($A$1,[1]characters!$1:$1,0)+1),MATCH(Y$1,[1]characters!$1:$1,0)-MATCH($A$1,[1]characters!$1:$1,0)+1,FALSE)</f>
        <v>none</v>
      </c>
      <c r="Z12" s="5" t="str">
        <f ca="1">VLOOKUP(Y12,[1]character_tribe_i18n!$A:$H,3,FALSE)</f>
        <v>種族なし</v>
      </c>
      <c r="AA12" s="11">
        <f ca="1">VLOOKUP(W12,[1]character_tribe_i18n!$A:$H,4,FALSE)</f>
        <v>0.94</v>
      </c>
      <c r="AB12" s="11">
        <f ca="1">VLOOKUP(W12,[1]character_tribe_i18n!$A:$H,5,FALSE)</f>
        <v>0.99</v>
      </c>
      <c r="AC12" s="11">
        <f ca="1">VLOOKUP(W12,[1]character_tribe_i18n!$A:$H,6,FALSE)</f>
        <v>1</v>
      </c>
      <c r="AD12" s="11">
        <f ca="1">VLOOKUP(W12,[1]character_tribe_i18n!$A:$H,7,FALSE)</f>
        <v>1.07</v>
      </c>
      <c r="AE12" s="9">
        <v>1032</v>
      </c>
      <c r="AF12" s="62" t="str">
        <f ca="1">IF(AE12="NULL","",VLOOKUP($AE12,OFFSET([1]characters!$A$1,0,0,COUNTA([1]characters!$A:$A),MATCH(AF$1,[1]characters!$1:$1,0)-MATCH($A$1,[1]characters!$1:$1,0)+1),MATCH(AF$1,[1]characters!$1:$1,0)-MATCH($A$1,[1]characters!$1:$1,0)+1,FALSE))</f>
        <v>彩気煥発の創作人 紫式部</v>
      </c>
      <c r="AG12" s="5">
        <f t="shared" ca="1" si="0"/>
        <v>1031</v>
      </c>
      <c r="AH12" s="62" t="str">
        <f ca="1">VLOOKUP($AG12,OFFSET([1]characters!$A$1,0,0,COUNTA([1]characters!$A:$A),MATCH(AH$1,[1]characters!$1:$1,0)-MATCH($A$1,[1]characters!$1:$1,0)+1),MATCH(AH$1,[1]characters!$1:$1,0)-MATCH($A$1,[1]characters!$1:$1,0)+1,FALSE)</f>
        <v>紫式部</v>
      </c>
      <c r="AI12" s="11">
        <f ca="1">IF(AE12="NULL","NULL",VLOOKUP(G12,ビット!$A$2:$B$7,2))</f>
        <v>200000</v>
      </c>
      <c r="AJ12" s="6">
        <v>2</v>
      </c>
      <c r="AK12" s="7" t="str">
        <f t="shared" si="6"/>
        <v>普通</v>
      </c>
      <c r="AL12" s="11" t="str">
        <f ca="1">INDEX(経験値!$A$1:$I$20,MATCH(H12,経験値!$A$1:$A$20,FALSE),MATCH(G12,経験値!$A$1:$I$1,FALSE))</f>
        <v>required_exp_200</v>
      </c>
      <c r="AM12" s="8">
        <f ca="1">VLOOKUP(G12,経験値!$A$27:$B$31,2)</f>
        <v>6400</v>
      </c>
      <c r="AN12" s="17">
        <f ca="1">VLOOKUP(G12,ビット!$G$2:$H$7,2)</f>
        <v>900</v>
      </c>
      <c r="AO12" s="45"/>
      <c r="AP12" s="166">
        <v>1031</v>
      </c>
      <c r="AQ12" s="165" t="str">
        <f ca="1">VLOOKUP($AP12,OFFSET(unit_skills!$A$1,0,0,COUNTA(unit_skills!$A:$A),MATCH(AQ$1,unit_skills!$1:$1,0)-MATCH($AP$1,unit_skills!$1:$1,0)+1),MATCH(AQ$1,unit_skills!$1:$1,0)-MATCH($AP$1,unit_skills!$1:$1,0)+1,FALSE)</f>
        <v>溢れ出す妄想</v>
      </c>
      <c r="AR12" s="57" t="str">
        <f ca="1">VLOOKUP($AP12,OFFSET(unit_skills!$A$1,0,0,COUNTA(unit_skills!$A:$A),MATCH(AR$1,unit_skills!$1:$1,0)-MATCH($AP$1,unit_skills!$1:$1,0)+1),MATCH(AR$1,unit_skills!$1:$1,0)-MATCH($AP$1,unit_skills!$1:$1,0)+1,FALSE)</f>
        <v>ランダムで1つSCパネル(大)に変換+3ターン青属性のタップ回数を1増やす</v>
      </c>
      <c r="AS12" s="57">
        <f ca="1">VLOOKUP($AP12,OFFSET(unit_skills!$A$1,0,0,COUNTA(unit_skills!$A:$A),MATCH(AS$1,unit_skills!$1:$1,0)-MATCH($AP$1,unit_skills!$1:$1,0)+1),MATCH(AS$1,unit_skills!$1:$1,0)-MATCH($AP$1,unit_skills!$1:$1,0)+1,FALSE)</f>
        <v>0</v>
      </c>
      <c r="AT12" s="166">
        <v>1031</v>
      </c>
      <c r="AU12" s="57" t="str">
        <f ca="1">VLOOKUP($AT12,OFFSET(crash_skills!$A$1,0,0,COUNTA(crash_skills!$A:$A),MATCH(AU$1,crash_skills!$1:$1,0)-MATCH($AT$1,crash_skills!$1:$1,0)+1),MATCH(AU$1,crash_skills!$1:$1,0)-MATCH($AT$1,crash_skills!$1:$1,0)+1,FALSE)</f>
        <v>猛創トランス</v>
      </c>
      <c r="AV12" s="57" t="str">
        <f ca="1">VLOOKUP($AT12,OFFSET(crash_skills!$A$1,0,0,COUNTA(crash_skills!$A:$A),MATCH(AV$1,crash_skills!$1:$1,0)-MATCH($AT$1,crash_skills!$1:$1,0)+1),MATCH(AV$1,crash_skills!$1:$1,0)-MATCH($AT$1,crash_skills!$1:$1,0)+1,FALSE)</f>
        <v>1体に特大ダメージ+_x000D_1ターン青属性の攻撃力UP</v>
      </c>
      <c r="AW12" s="57">
        <f ca="1">VLOOKUP($AT12,OFFSET(crash_skills!$A$1,0,0,COUNTA(crash_skills!$A:$A),MATCH(AW$1,crash_skills!$1:$1,0)-MATCH($AT$1,crash_skills!$1:$1,0)+1),MATCH(AW$1,crash_skills!$1:$1,0)-MATCH($AT$1,crash_skills!$1:$1,0)+1,FALSE)</f>
        <v>0</v>
      </c>
      <c r="AX12" s="58">
        <f ca="1">VLOOKUP($A12,OFFSET([1]characters!$A$1,0,0,COUNTA([1]characters!$A:$A),MATCH(AX$1,[1]characters!$1:$1,0)-MATCH($A$1,[1]characters!$1:$1,0)+1),MATCH(AX$1,[1]characters!$1:$1,0)-MATCH($A$1,[1]characters!$1:$1,0)+1,FALSE)</f>
        <v>3</v>
      </c>
      <c r="AY12" s="67">
        <v>1.1499999999999999</v>
      </c>
      <c r="AZ12" s="67">
        <v>1.1499999999999999</v>
      </c>
      <c r="BA12" s="67">
        <v>0</v>
      </c>
      <c r="BB12" s="67">
        <v>0.95</v>
      </c>
      <c r="BC12" s="11">
        <f ca="1">INDEX('RC6SV'!$A$1:$G$20,MATCH(H12,'RC6SV'!$A$1:$A$20,FALSE),MATCH(G12,'RC6SV'!$A$1:$G$1,FALSE))</f>
        <v>9500</v>
      </c>
      <c r="BD12" s="48">
        <f t="shared" ca="1" si="7"/>
        <v>9500</v>
      </c>
      <c r="BE12" s="11">
        <f t="shared" ca="1" si="3"/>
        <v>0</v>
      </c>
      <c r="BF12" s="11">
        <f t="shared" ca="1" si="4"/>
        <v>1</v>
      </c>
      <c r="BG12" s="16">
        <f ca="1">IF($BE12&lt;=0,ROUND(BK12*0.5,0), ROUND($BE12*S12*AA12*J12*AY12*0.8*[1]ステータス!$B$2,0))</f>
        <v>2311</v>
      </c>
      <c r="BH12" s="16">
        <f ca="1">IF($BE12&lt;=0,ROUND(BL12*0.5,0), ROUND($BE12*T12*AB12*K12*AZ12*0.8*[1]ステータス!$C$2,0))</f>
        <v>1431</v>
      </c>
      <c r="BI12" s="16">
        <f ca="1">IF($BE12&lt;=0,ROUND(BM12*0.5,0), ROUND($BE12*U12*AC12*L12*BA12*0.8*[1]ステータス!$D$2,0))</f>
        <v>0</v>
      </c>
      <c r="BJ12" s="16">
        <f ca="1">IF($BE12&lt;=0,ROUND(BN12*0.5,0), ROUND($BE12*V12*AD12*M12*BB12*0.8*[1]ステータス!$E$2,0))</f>
        <v>1108</v>
      </c>
      <c r="BK12" s="11">
        <f ca="1">ROUND(BD12*S12*AA12*J12*AY12*[1]ステータス!$B$2,0)</f>
        <v>4621</v>
      </c>
      <c r="BL12" s="11">
        <f ca="1">ROUND(BD12*T12*AB12*K12*AZ12*[1]ステータス!$C$2,0)</f>
        <v>2862</v>
      </c>
      <c r="BM12" s="11">
        <f ca="1">ROUND(BD12*U12*AC12*L12*BA12*[1]ステータス!$D$2,0)</f>
        <v>0</v>
      </c>
      <c r="BN12" s="11">
        <f ca="1">ROUND(BD12*V12*AD12*M12*BB12*[1]ステータス!$E$2,0)</f>
        <v>2216</v>
      </c>
      <c r="BO12" s="10">
        <v>0</v>
      </c>
      <c r="BP12" s="10">
        <v>1</v>
      </c>
      <c r="BQ12" s="39" t="s">
        <v>44</v>
      </c>
      <c r="BR12" s="10">
        <f ca="1">VLOOKUP(H12,ghosts_label!$A$2:$B$19,2,FALSE)</f>
        <v>5500</v>
      </c>
    </row>
    <row r="13" spans="1:70" ht="26" customHeight="1" x14ac:dyDescent="0.15">
      <c r="A13" s="12">
        <v>1032</v>
      </c>
      <c r="B13" s="57" t="str">
        <f ca="1">VLOOKUP($A13,OFFSET([1]characters!$A$1,0,0,COUNTA([1]characters!$A:$A),MATCH(B$1,[1]characters!$1:$1,0)-MATCH($A$1,[1]characters!$1:$1,0)+1),MATCH(B$1,[1]characters!$1:$1,0)-MATCH($A$1,[1]characters!$1:$1,0)+1,FALSE)</f>
        <v>彩気煥発の創作人 紫式部</v>
      </c>
      <c r="C13" s="57" t="str">
        <f ca="1">VLOOKUP($A13,OFFSET([1]characters!$A$1,0,0,COUNTA([1]characters!$A:$A),MATCH(C$1,[1]characters!$1:$1,0)-MATCH($A$1,[1]characters!$1:$1,0)+1),MATCH(C$1,[1]characters!$1:$1,0)-MATCH($A$1,[1]characters!$1:$1,0)+1,FALSE)</f>
        <v>紫式部</v>
      </c>
      <c r="D13" s="57" t="str">
        <f ca="1">VLOOKUP($A13,OFFSET([1]characters!$A$1,0,0,COUNTA([1]characters!$A:$A),MATCH(D$1,[1]characters!$1:$1,0)-MATCH($A$1,[1]characters!$1:$1,0)+1),MATCH(D$1,[1]characters!$1:$1,0)-MATCH($A$1,[1]characters!$1:$1,0)+1,FALSE)</f>
        <v>執行者</v>
      </c>
      <c r="E13" s="57" t="str">
        <f ca="1">VLOOKUP($A13,OFFSET([1]characters!$A$1,0,0,COUNTA([1]characters!$A:$A),MATCH(E$1,[1]characters!$1:$1,0)-MATCH($A$1,[1]characters!$1:$1,0)+1),MATCH(E$1,[1]characters!$1:$1,0)-MATCH($A$1,[1]characters!$1:$1,0)+1,FALSE)</f>
        <v>格好いい</v>
      </c>
      <c r="F13" s="57" t="str">
        <f ca="1">VLOOKUP($A13,OFFSET([1]characters!$A$1,0,0,COUNTA([1]characters!$A:$A),MATCH(F$1,[1]characters!$1:$1,0)-MATCH($A$1,[1]characters!$1:$1,0)+1),MATCH(F$1,[1]characters!$1:$1,0)-MATCH($A$1,[1]characters!$1:$1,0)+1,FALSE)</f>
        <v>男性</v>
      </c>
      <c r="G13" s="57">
        <f ca="1">VLOOKUP($A13,OFFSET([1]characters!$A$1,0,0,COUNTA([1]characters!$A:$A),MATCH(G$1,[1]characters!$1:$1,0)-MATCH($A$1,[1]characters!$1:$1,0)+1),MATCH(G$1,[1]characters!$1:$1,0)-MATCH($A$1,[1]characters!$1:$1,0)+1,FALSE)</f>
        <v>6</v>
      </c>
      <c r="H13" s="57" t="str">
        <f ca="1">VLOOKUP($A13,OFFSET([1]characters!$A$1,0,0,COUNTA([1]characters!$A:$A),MATCH(H$1,[1]characters!$1:$1,0)-MATCH($A$1,[1]characters!$1:$1,0)+1),MATCH(H$1,[1]characters!$1:$1,0)-MATCH($A$1,[1]characters!$1:$1,0)+1,FALSE)</f>
        <v>PremiumSS</v>
      </c>
      <c r="I13" s="57" t="str">
        <f ca="1">VLOOKUP($A13,OFFSET([1]characters!$A$1,0,0,COUNTA([1]characters!$A:$A),MATCH(I$1,[1]characters!$1:$1,0)-MATCH($A$1,[1]characters!$1:$1,0)+1),MATCH(I$1,[1]characters!$1:$1,0)-MATCH($A$1,[1]characters!$1:$1,0)+1,FALSE)</f>
        <v>blue</v>
      </c>
      <c r="J13" s="11">
        <f ca="1">VLOOKUP(I13,[1]属性!$A:$E,2,FALSE)</f>
        <v>1</v>
      </c>
      <c r="K13" s="11">
        <f ca="1">VLOOKUP(I13,[1]属性!$A:$E,3,FALSE)</f>
        <v>0.98</v>
      </c>
      <c r="L13" s="11">
        <f ca="1">VLOOKUP(I13,[1]属性!$A:$E,4,FALSE)</f>
        <v>1</v>
      </c>
      <c r="M13" s="11">
        <f ca="1">VLOOKUP(I13,[1]属性!$A:$E,5,FALSE)</f>
        <v>1.02</v>
      </c>
      <c r="N13" s="11">
        <f ca="1">INDEX(コスト!$A$1:$I$20,MATCH(H13,コスト!$A$1:$A$20,FALSE),MATCH(G13,コスト!$A$1:$I$1,FALSE))</f>
        <v>50</v>
      </c>
      <c r="O13" s="11">
        <f ca="1">INDEX(レベル!$A$1:$I$21,MATCH(H13,レベル!$A$1:$A$21,FALSE),MATCH(G13,レベル!$A$1:$I$1,FALSE))</f>
        <v>99</v>
      </c>
      <c r="P13" s="48">
        <f t="shared" ca="1" si="8"/>
        <v>99</v>
      </c>
      <c r="Q13" s="57" t="str">
        <f ca="1">VLOOKUP($A13,OFFSET([1]characters!$A$1,0,0,COUNTA([1]characters!$A:$A),MATCH(Q$1,[1]characters!$1:$1,0)-MATCH($A$1,[1]characters!$1:$1,0)+1),MATCH(Q$1,[1]characters!$1:$1,0)-MATCH($A$1,[1]characters!$1:$1,0)+1,FALSE)</f>
        <v>technical</v>
      </c>
      <c r="R13" s="5" t="str">
        <f ca="1">VLOOKUP(Q13,[1]character_type_i18n!$A:$H,3,FALSE)</f>
        <v>テクニカルタイプ</v>
      </c>
      <c r="S13" s="11">
        <f ca="1">VLOOKUP(Q13,[1]character_type_i18n!$A:$H,4,FALSE)</f>
        <v>0.9</v>
      </c>
      <c r="T13" s="11">
        <f ca="1">VLOOKUP(Q13,[1]character_type_i18n!$A:$H,5,FALSE)</f>
        <v>0.9</v>
      </c>
      <c r="U13" s="11">
        <f ca="1">VLOOKUP(Q13,[1]character_type_i18n!$A:$H,6,FALSE)</f>
        <v>1</v>
      </c>
      <c r="V13" s="11">
        <f ca="1">VLOOKUP(Q13,[1]character_type_i18n!$A:$H,7,FALSE)</f>
        <v>0.9</v>
      </c>
      <c r="W13" s="57" t="str">
        <f ca="1">VLOOKUP($A13,OFFSET([1]characters!$A$1,0,0,COUNTA([1]characters!$A:$A),MATCH(W$1,[1]characters!$1:$1,0)-MATCH($A$1,[1]characters!$1:$1,0)+1),MATCH(W$1,[1]characters!$1:$1,0)-MATCH($A$1,[1]characters!$1:$1,0)+1,FALSE)</f>
        <v>human</v>
      </c>
      <c r="X13" s="5" t="str">
        <f ca="1">VLOOKUP(W13,[1]character_tribe_i18n!$A:$H,3,FALSE)</f>
        <v>ヒューマン</v>
      </c>
      <c r="Y13" s="57" t="str">
        <f ca="1">VLOOKUP($A13,OFFSET([1]characters!$A$1,0,0,COUNTA([1]characters!$A:$A),MATCH(Y$1,[1]characters!$1:$1,0)-MATCH($A$1,[1]characters!$1:$1,0)+1),MATCH(Y$1,[1]characters!$1:$1,0)-MATCH($A$1,[1]characters!$1:$1,0)+1,FALSE)</f>
        <v>none</v>
      </c>
      <c r="Z13" s="5" t="str">
        <f ca="1">VLOOKUP(Y13,[1]character_tribe_i18n!$A:$H,3,FALSE)</f>
        <v>種族なし</v>
      </c>
      <c r="AA13" s="11">
        <f ca="1">VLOOKUP(W13,[1]character_tribe_i18n!$A:$H,4,FALSE)</f>
        <v>0.94</v>
      </c>
      <c r="AB13" s="11">
        <f ca="1">VLOOKUP(W13,[1]character_tribe_i18n!$A:$H,5,FALSE)</f>
        <v>0.99</v>
      </c>
      <c r="AC13" s="11">
        <f ca="1">VLOOKUP(W13,[1]character_tribe_i18n!$A:$H,6,FALSE)</f>
        <v>1</v>
      </c>
      <c r="AD13" s="11">
        <f ca="1">VLOOKUP(W13,[1]character_tribe_i18n!$A:$H,7,FALSE)</f>
        <v>1.07</v>
      </c>
      <c r="AE13" s="9" t="s">
        <v>140</v>
      </c>
      <c r="AF13" s="62" t="str">
        <f ca="1">IF(AE13="NULL","",VLOOKUP($AE13,OFFSET([1]characters!$A$1,0,0,COUNTA([1]characters!$A:$A),MATCH(AF$1,[1]characters!$1:$1,0)-MATCH($A$1,[1]characters!$1:$1,0)+1),MATCH(AF$1,[1]characters!$1:$1,0)-MATCH($A$1,[1]characters!$1:$1,0)+1,FALSE))</f>
        <v/>
      </c>
      <c r="AG13" s="5">
        <f t="shared" ca="1" si="0"/>
        <v>1031</v>
      </c>
      <c r="AH13" s="62" t="str">
        <f ca="1">VLOOKUP($AG13,OFFSET([1]characters!$A$1,0,0,COUNTA([1]characters!$A:$A),MATCH(AH$1,[1]characters!$1:$1,0)-MATCH($A$1,[1]characters!$1:$1,0)+1),MATCH(AH$1,[1]characters!$1:$1,0)-MATCH($A$1,[1]characters!$1:$1,0)+1,FALSE)</f>
        <v>紫式部</v>
      </c>
      <c r="AI13" s="11" t="str">
        <f>IF(AE13="NULL","NULL",VLOOKUP(G13,ビット!$A$2:$B$7,2))</f>
        <v>NULL</v>
      </c>
      <c r="AJ13" s="6">
        <v>2</v>
      </c>
      <c r="AK13" s="7" t="str">
        <f t="shared" si="6"/>
        <v>普通</v>
      </c>
      <c r="AL13" s="11" t="str">
        <f ca="1">INDEX(経験値!$A$1:$I$20,MATCH(H13,経験値!$A$1:$A$20,FALSE),MATCH(G13,経験値!$A$1:$I$1,FALSE))</f>
        <v>required_exp_250</v>
      </c>
      <c r="AM13" s="8">
        <f ca="1">VLOOKUP(G13,経験値!$A$27:$B$31,2)</f>
        <v>6400</v>
      </c>
      <c r="AN13" s="17">
        <f ca="1">VLOOKUP(G13,ビット!$G$2:$H$7,2)</f>
        <v>900</v>
      </c>
      <c r="AO13" s="45"/>
      <c r="AP13" s="166">
        <v>1032</v>
      </c>
      <c r="AQ13" s="165" t="str">
        <f ca="1">VLOOKUP($AP13,OFFSET(unit_skills!$A$1,0,0,COUNTA(unit_skills!$A:$A),MATCH(AQ$1,unit_skills!$1:$1,0)-MATCH($AP$1,unit_skills!$1:$1,0)+1),MATCH(AQ$1,unit_skills!$1:$1,0)-MATCH($AP$1,unit_skills!$1:$1,0)+1,FALSE)</f>
        <v>膨れ上がる妄想世界</v>
      </c>
      <c r="AR13" s="57" t="str">
        <f ca="1">VLOOKUP($AP13,OFFSET(unit_skills!$A$1,0,0,COUNTA(unit_skills!$A:$A),MATCH(AR$1,unit_skills!$1:$1,0)-MATCH($AP$1,unit_skills!$1:$1,0)+1),MATCH(AR$1,unit_skills!$1:$1,0)-MATCH($AP$1,unit_skills!$1:$1,0)+1,FALSE)</f>
        <v>ランダムで2つSCパネル(大)に変換+3ターン青属性のタップ回数を2増やす</v>
      </c>
      <c r="AS13" s="57">
        <f ca="1">VLOOKUP($AP13,OFFSET(unit_skills!$A$1,0,0,COUNTA(unit_skills!$A:$A),MATCH(AS$1,unit_skills!$1:$1,0)-MATCH($AP$1,unit_skills!$1:$1,0)+1),MATCH(AS$1,unit_skills!$1:$1,0)-MATCH($AP$1,unit_skills!$1:$1,0)+1,FALSE)</f>
        <v>0</v>
      </c>
      <c r="AT13" s="166">
        <v>1032</v>
      </c>
      <c r="AU13" s="57" t="str">
        <f ca="1">VLOOKUP($AT13,OFFSET(crash_skills!$A$1,0,0,COUNTA(crash_skills!$A:$A),MATCH(AU$1,crash_skills!$1:$1,0)-MATCH($AT$1,crash_skills!$1:$1,0)+1),MATCH(AU$1,crash_skills!$1:$1,0)-MATCH($AT$1,crash_skills!$1:$1,0)+1,FALSE)</f>
        <v>激烈猛創トランス</v>
      </c>
      <c r="AV13" s="57" t="str">
        <f ca="1">VLOOKUP($AT13,OFFSET(crash_skills!$A$1,0,0,COUNTA(crash_skills!$A:$A),MATCH(AV$1,crash_skills!$1:$1,0)-MATCH($AT$1,crash_skills!$1:$1,0)+1),MATCH(AV$1,crash_skills!$1:$1,0)-MATCH($AT$1,crash_skills!$1:$1,0)+1,FALSE)</f>
        <v>1体に超大ダメージ+_x000D_1ターン青属性の攻撃力UP</v>
      </c>
      <c r="AW13" s="57">
        <f ca="1">VLOOKUP($AT13,OFFSET(crash_skills!$A$1,0,0,COUNTA(crash_skills!$A:$A),MATCH(AW$1,crash_skills!$1:$1,0)-MATCH($AT$1,crash_skills!$1:$1,0)+1),MATCH(AW$1,crash_skills!$1:$1,0)-MATCH($AT$1,crash_skills!$1:$1,0)+1,FALSE)</f>
        <v>0</v>
      </c>
      <c r="AX13" s="58">
        <f ca="1">VLOOKUP($A13,OFFSET([1]characters!$A$1,0,0,COUNTA([1]characters!$A:$A),MATCH(AX$1,[1]characters!$1:$1,0)-MATCH($A$1,[1]characters!$1:$1,0)+1),MATCH(AX$1,[1]characters!$1:$1,0)-MATCH($A$1,[1]characters!$1:$1,0)+1,FALSE)</f>
        <v>3</v>
      </c>
      <c r="AY13" s="67">
        <v>1.1499999999999999</v>
      </c>
      <c r="AZ13" s="67">
        <v>1.1499999999999999</v>
      </c>
      <c r="BA13" s="67">
        <v>0</v>
      </c>
      <c r="BB13" s="67">
        <v>0.95</v>
      </c>
      <c r="BC13" s="11">
        <f ca="1">INDEX('RC6SV'!$A$1:$G$20,MATCH(H13,'RC6SV'!$A$1:$A$20,FALSE),MATCH(G13,'RC6SV'!$A$1:$G$1,FALSE))</f>
        <v>13000</v>
      </c>
      <c r="BD13" s="48">
        <f t="shared" ca="1" si="7"/>
        <v>13000</v>
      </c>
      <c r="BE13" s="11">
        <f t="shared" ca="1" si="3"/>
        <v>9500</v>
      </c>
      <c r="BF13" s="11">
        <f t="shared" ca="1" si="4"/>
        <v>1</v>
      </c>
      <c r="BG13" s="16">
        <f ca="1">IF($BE13&lt;=0,ROUND(BK13*0.5,0), ROUND($BE13*S13*AA13*J13*AY13*0.8*[1]ステータス!$B$2,0))</f>
        <v>3697</v>
      </c>
      <c r="BH13" s="16">
        <f ca="1">IF($BE13&lt;=0,ROUND(BL13*0.5,0), ROUND($BE13*T13*AB13*K13*AZ13*0.8*[1]ステータス!$C$2,0))</f>
        <v>2289</v>
      </c>
      <c r="BI13" s="16">
        <f ca="1">IF($BE13&lt;=0,ROUND(BM13*0.5,0), ROUND($BE13*U13*AC13*L13*BA13*0.8*[1]ステータス!$D$2,0))</f>
        <v>0</v>
      </c>
      <c r="BJ13" s="16">
        <f ca="1">IF($BE13&lt;=0,ROUND(BN13*0.5,0), ROUND($BE13*V13*AD13*M13*BB13*0.8*[1]ステータス!$E$2,0))</f>
        <v>1773</v>
      </c>
      <c r="BK13" s="11">
        <f ca="1">ROUND(BD13*S13*AA13*J13*AY13*[1]ステータス!$B$2,0)</f>
        <v>6324</v>
      </c>
      <c r="BL13" s="11">
        <f ca="1">ROUND(BD13*T13*AB13*K13*AZ13*[1]ステータス!$C$2,0)</f>
        <v>3916</v>
      </c>
      <c r="BM13" s="11">
        <f ca="1">ROUND(BD13*U13*AC13*L13*BA13*[1]ステータス!$D$2,0)</f>
        <v>0</v>
      </c>
      <c r="BN13" s="11">
        <f ca="1">ROUND(BD13*V13*AD13*M13*BB13*[1]ステータス!$E$2,0)</f>
        <v>3033</v>
      </c>
      <c r="BO13" s="10">
        <v>0</v>
      </c>
      <c r="BP13" s="10">
        <v>1</v>
      </c>
      <c r="BQ13" s="39" t="s">
        <v>44</v>
      </c>
      <c r="BR13" s="10">
        <f ca="1">VLOOKUP(H13,ghosts_label!$A$2:$B$19,2,FALSE)</f>
        <v>5500</v>
      </c>
    </row>
    <row r="14" spans="1:70" ht="26" customHeight="1" x14ac:dyDescent="0.15">
      <c r="A14" s="12">
        <v>1033</v>
      </c>
      <c r="B14" s="57" t="str">
        <f ca="1">VLOOKUP($A14,OFFSET([1]characters!$A$1,0,0,COUNTA([1]characters!$A:$A),MATCH(B$1,[1]characters!$1:$1,0)-MATCH($A$1,[1]characters!$1:$1,0)+1),MATCH(B$1,[1]characters!$1:$1,0)-MATCH($A$1,[1]characters!$1:$1,0)+1,FALSE)</f>
        <v>清少納言</v>
      </c>
      <c r="C14" s="57" t="str">
        <f ca="1">VLOOKUP($A14,OFFSET([1]characters!$A$1,0,0,COUNTA([1]characters!$A:$A),MATCH(C$1,[1]characters!$1:$1,0)-MATCH($A$1,[1]characters!$1:$1,0)+1),MATCH(C$1,[1]characters!$1:$1,0)-MATCH($A$1,[1]characters!$1:$1,0)+1,FALSE)</f>
        <v>清少納言</v>
      </c>
      <c r="D14" s="57" t="str">
        <f ca="1">VLOOKUP($A14,OFFSET([1]characters!$A$1,0,0,COUNTA([1]characters!$A:$A),MATCH(D$1,[1]characters!$1:$1,0)-MATCH($A$1,[1]characters!$1:$1,0)+1),MATCH(D$1,[1]characters!$1:$1,0)-MATCH($A$1,[1]characters!$1:$1,0)+1,FALSE)</f>
        <v>執行者</v>
      </c>
      <c r="E14" s="57" t="str">
        <f ca="1">VLOOKUP($A14,OFFSET([1]characters!$A$1,0,0,COUNTA([1]characters!$A:$A),MATCH(E$1,[1]characters!$1:$1,0)-MATCH($A$1,[1]characters!$1:$1,0)+1),MATCH(E$1,[1]characters!$1:$1,0)-MATCH($A$1,[1]characters!$1:$1,0)+1,FALSE)</f>
        <v>格好いい</v>
      </c>
      <c r="F14" s="57" t="str">
        <f ca="1">VLOOKUP($A14,OFFSET([1]characters!$A$1,0,0,COUNTA([1]characters!$A:$A),MATCH(F$1,[1]characters!$1:$1,0)-MATCH($A$1,[1]characters!$1:$1,0)+1),MATCH(F$1,[1]characters!$1:$1,0)-MATCH($A$1,[1]characters!$1:$1,0)+1,FALSE)</f>
        <v>男性</v>
      </c>
      <c r="G14" s="57">
        <f ca="1">VLOOKUP($A14,OFFSET([1]characters!$A$1,0,0,COUNTA([1]characters!$A:$A),MATCH(G$1,[1]characters!$1:$1,0)-MATCH($A$1,[1]characters!$1:$1,0)+1),MATCH(G$1,[1]characters!$1:$1,0)-MATCH($A$1,[1]characters!$1:$1,0)+1,FALSE)</f>
        <v>5</v>
      </c>
      <c r="H14" s="57" t="str">
        <f ca="1">VLOOKUP($A14,OFFSET([1]characters!$A$1,0,0,COUNTA([1]characters!$A:$A),MATCH(H$1,[1]characters!$1:$1,0)-MATCH($A$1,[1]characters!$1:$1,0)+1),MATCH(H$1,[1]characters!$1:$1,0)-MATCH($A$1,[1]characters!$1:$1,0)+1,FALSE)</f>
        <v>PremiumSS</v>
      </c>
      <c r="I14" s="57" t="str">
        <f ca="1">VLOOKUP($A14,OFFSET([1]characters!$A$1,0,0,COUNTA([1]characters!$A:$A),MATCH(I$1,[1]characters!$1:$1,0)-MATCH($A$1,[1]characters!$1:$1,0)+1),MATCH(I$1,[1]characters!$1:$1,0)-MATCH($A$1,[1]characters!$1:$1,0)+1,FALSE)</f>
        <v>yellow</v>
      </c>
      <c r="J14" s="11">
        <f ca="1">VLOOKUP(I14,[1]属性!$A:$E,2,FALSE)</f>
        <v>0.98</v>
      </c>
      <c r="K14" s="11">
        <f ca="1">VLOOKUP(I14,[1]属性!$A:$E,3,FALSE)</f>
        <v>1.01</v>
      </c>
      <c r="L14" s="11">
        <f ca="1">VLOOKUP(I14,[1]属性!$A:$E,4,FALSE)</f>
        <v>1</v>
      </c>
      <c r="M14" s="11">
        <f ca="1">VLOOKUP(I14,[1]属性!$A:$E,5,FALSE)</f>
        <v>1.01</v>
      </c>
      <c r="N14" s="11">
        <f ca="1">INDEX(コスト!$A$1:$I$20,MATCH(H14,コスト!$A$1:$A$20,FALSE),MATCH(G14,コスト!$A$1:$I$1,FALSE))</f>
        <v>35</v>
      </c>
      <c r="O14" s="11">
        <f ca="1">INDEX(レベル!$A$1:$I$21,MATCH(H14,レベル!$A$1:$A$21,FALSE),MATCH(G14,レベル!$A$1:$I$1,FALSE))</f>
        <v>80</v>
      </c>
      <c r="P14" s="48">
        <f t="shared" ca="1" si="8"/>
        <v>75</v>
      </c>
      <c r="Q14" s="57" t="str">
        <f ca="1">VLOOKUP($A14,OFFSET([1]characters!$A$1,0,0,COUNTA([1]characters!$A:$A),MATCH(Q$1,[1]characters!$1:$1,0)-MATCH($A$1,[1]characters!$1:$1,0)+1),MATCH(Q$1,[1]characters!$1:$1,0)-MATCH($A$1,[1]characters!$1:$1,0)+1,FALSE)</f>
        <v>heal</v>
      </c>
      <c r="R14" s="5" t="str">
        <f ca="1">VLOOKUP(Q14,[1]character_type_i18n!$A:$H,3,FALSE)</f>
        <v>回復タイプ</v>
      </c>
      <c r="S14" s="11">
        <f ca="1">VLOOKUP(Q14,[1]character_type_i18n!$A:$H,4,FALSE)</f>
        <v>0.8</v>
      </c>
      <c r="T14" s="11">
        <f ca="1">VLOOKUP(Q14,[1]character_type_i18n!$A:$H,5,FALSE)</f>
        <v>0.78</v>
      </c>
      <c r="U14" s="11">
        <f ca="1">VLOOKUP(Q14,[1]character_type_i18n!$A:$H,6,FALSE)</f>
        <v>1</v>
      </c>
      <c r="V14" s="11">
        <f ca="1">VLOOKUP(Q14,[1]character_type_i18n!$A:$H,7,FALSE)</f>
        <v>1.42</v>
      </c>
      <c r="W14" s="57" t="str">
        <f ca="1">VLOOKUP($A14,OFFSET([1]characters!$A$1,0,0,COUNTA([1]characters!$A:$A),MATCH(W$1,[1]characters!$1:$1,0)-MATCH($A$1,[1]characters!$1:$1,0)+1),MATCH(W$1,[1]characters!$1:$1,0)-MATCH($A$1,[1]characters!$1:$1,0)+1,FALSE)</f>
        <v>human</v>
      </c>
      <c r="X14" s="5" t="str">
        <f ca="1">VLOOKUP(W14,[1]character_tribe_i18n!$A:$H,3,FALSE)</f>
        <v>ヒューマン</v>
      </c>
      <c r="Y14" s="57" t="str">
        <f ca="1">VLOOKUP($A14,OFFSET([1]characters!$A$1,0,0,COUNTA([1]characters!$A:$A),MATCH(Y$1,[1]characters!$1:$1,0)-MATCH($A$1,[1]characters!$1:$1,0)+1),MATCH(Y$1,[1]characters!$1:$1,0)-MATCH($A$1,[1]characters!$1:$1,0)+1,FALSE)</f>
        <v>none</v>
      </c>
      <c r="Z14" s="5" t="str">
        <f ca="1">VLOOKUP(Y14,[1]character_tribe_i18n!$A:$H,3,FALSE)</f>
        <v>種族なし</v>
      </c>
      <c r="AA14" s="11">
        <f ca="1">VLOOKUP(W14,[1]character_tribe_i18n!$A:$H,4,FALSE)</f>
        <v>0.94</v>
      </c>
      <c r="AB14" s="11">
        <f ca="1">VLOOKUP(W14,[1]character_tribe_i18n!$A:$H,5,FALSE)</f>
        <v>0.99</v>
      </c>
      <c r="AC14" s="11">
        <f ca="1">VLOOKUP(W14,[1]character_tribe_i18n!$A:$H,6,FALSE)</f>
        <v>1</v>
      </c>
      <c r="AD14" s="11">
        <f ca="1">VLOOKUP(W14,[1]character_tribe_i18n!$A:$H,7,FALSE)</f>
        <v>1.07</v>
      </c>
      <c r="AE14" s="9">
        <v>1034</v>
      </c>
      <c r="AF14" s="62" t="str">
        <f ca="1">IF(AE14="NULL","",VLOOKUP($AE14,OFFSET([1]characters!$A$1,0,0,COUNTA([1]characters!$A:$A),MATCH(AF$1,[1]characters!$1:$1,0)-MATCH($A$1,[1]characters!$1:$1,0)+1),MATCH(AF$1,[1]characters!$1:$1,0)-MATCH($A$1,[1]characters!$1:$1,0)+1,FALSE))</f>
        <v>爛漫なる随筆家 清少納言</v>
      </c>
      <c r="AG14" s="5">
        <f t="shared" ca="1" si="0"/>
        <v>1033</v>
      </c>
      <c r="AH14" s="62" t="str">
        <f ca="1">VLOOKUP($AG14,OFFSET([1]characters!$A$1,0,0,COUNTA([1]characters!$A:$A),MATCH(AH$1,[1]characters!$1:$1,0)-MATCH($A$1,[1]characters!$1:$1,0)+1),MATCH(AH$1,[1]characters!$1:$1,0)-MATCH($A$1,[1]characters!$1:$1,0)+1,FALSE)</f>
        <v>清少納言</v>
      </c>
      <c r="AI14" s="11">
        <f ca="1">IF(AE14="NULL","NULL",VLOOKUP(G14,ビット!$A$2:$B$7,2))</f>
        <v>200000</v>
      </c>
      <c r="AJ14" s="6">
        <v>2</v>
      </c>
      <c r="AK14" s="7" t="str">
        <f t="shared" si="6"/>
        <v>普通</v>
      </c>
      <c r="AL14" s="11" t="str">
        <f ca="1">INDEX(経験値!$A$1:$I$20,MATCH(H14,経験値!$A$1:$A$20,FALSE),MATCH(G14,経験値!$A$1:$I$1,FALSE))</f>
        <v>required_exp_200</v>
      </c>
      <c r="AM14" s="8">
        <f ca="1">VLOOKUP(G14,経験値!$A$27:$B$31,2)</f>
        <v>6400</v>
      </c>
      <c r="AN14" s="17">
        <f ca="1">VLOOKUP(G14,ビット!$G$2:$H$7,2)</f>
        <v>900</v>
      </c>
      <c r="AO14" s="45"/>
      <c r="AP14" s="166">
        <v>1033</v>
      </c>
      <c r="AQ14" s="165" t="str">
        <f ca="1">VLOOKUP($AP14,OFFSET(unit_skills!$A$1,0,0,COUNTA(unit_skills!$A:$A),MATCH(AQ$1,unit_skills!$1:$1,0)-MATCH($AP$1,unit_skills!$1:$1,0)+1),MATCH(AQ$1,unit_skills!$1:$1,0)-MATCH($AP$1,unit_skills!$1:$1,0)+1,FALSE)</f>
        <v>絢爛なる筆乱舞</v>
      </c>
      <c r="AR14" s="57" t="str">
        <f ca="1">VLOOKUP($AP14,OFFSET(unit_skills!$A$1,0,0,COUNTA(unit_skills!$A:$A),MATCH(AR$1,unit_skills!$1:$1,0)-MATCH($AP$1,unit_skills!$1:$1,0)+1),MATCH(AR$1,unit_skills!$1:$1,0)-MATCH($AP$1,unit_skills!$1:$1,0)+1,FALSE)</f>
        <v>青をハートに変換+HP2500回復(ダメージパネル1つ吸収する毎に800回復)+3ターンハート出現率UP、黄属性の防御力を特大UP</v>
      </c>
      <c r="AS14" s="57">
        <f ca="1">VLOOKUP($AP14,OFFSET(unit_skills!$A$1,0,0,COUNTA(unit_skills!$A:$A),MATCH(AS$1,unit_skills!$1:$1,0)-MATCH($AP$1,unit_skills!$1:$1,0)+1),MATCH(AS$1,unit_skills!$1:$1,0)-MATCH($AP$1,unit_skills!$1:$1,0)+1,FALSE)</f>
        <v>0</v>
      </c>
      <c r="AT14" s="166">
        <v>1033</v>
      </c>
      <c r="AU14" s="57" t="str">
        <f ca="1">VLOOKUP($AT14,OFFSET(crash_skills!$A$1,0,0,COUNTA(crash_skills!$A:$A),MATCH(AU$1,crash_skills!$1:$1,0)-MATCH($AT$1,crash_skills!$1:$1,0)+1),MATCH(AU$1,crash_skills!$1:$1,0)-MATCH($AT$1,crash_skills!$1:$1,0)+1,FALSE)</f>
        <v>健やかなる詩</v>
      </c>
      <c r="AV14" s="57" t="str">
        <f ca="1">VLOOKUP($AT14,OFFSET(crash_skills!$A$1,0,0,COUNTA(crash_skills!$A:$A),MATCH(AV$1,crash_skills!$1:$1,0)-MATCH($AT$1,crash_skills!$1:$1,0)+1),MATCH(AV$1,crash_skills!$1:$1,0)-MATCH($AT$1,crash_skills!$1:$1,0)+1,FALSE)</f>
        <v>HP大回復+_x000D_2ターン全ユニットの回復力小UP</v>
      </c>
      <c r="AW14" s="57">
        <f ca="1">VLOOKUP($AT14,OFFSET(crash_skills!$A$1,0,0,COUNTA(crash_skills!$A:$A),MATCH(AW$1,crash_skills!$1:$1,0)-MATCH($AT$1,crash_skills!$1:$1,0)+1),MATCH(AW$1,crash_skills!$1:$1,0)-MATCH($AT$1,crash_skills!$1:$1,0)+1,FALSE)</f>
        <v>0</v>
      </c>
      <c r="AX14" s="58">
        <f ca="1">VLOOKUP($A14,OFFSET([1]characters!$A$1,0,0,COUNTA([1]characters!$A:$A),MATCH(AX$1,[1]characters!$1:$1,0)-MATCH($A$1,[1]characters!$1:$1,0)+1),MATCH(AX$1,[1]characters!$1:$1,0)-MATCH($A$1,[1]characters!$1:$1,0)+1,FALSE)</f>
        <v>3</v>
      </c>
      <c r="AY14" s="67">
        <v>1.03</v>
      </c>
      <c r="AZ14" s="67">
        <v>0.9</v>
      </c>
      <c r="BA14" s="67">
        <v>0</v>
      </c>
      <c r="BB14" s="67">
        <v>0.97</v>
      </c>
      <c r="BC14" s="11">
        <f ca="1">INDEX('RC6SV'!$A$1:$G$20,MATCH(H14,'RC6SV'!$A$1:$A$20,FALSE),MATCH(G14,'RC6SV'!$A$1:$G$1,FALSE))</f>
        <v>9500</v>
      </c>
      <c r="BD14" s="48">
        <f t="shared" ca="1" si="7"/>
        <v>9500</v>
      </c>
      <c r="BE14" s="11">
        <f t="shared" ca="1" si="3"/>
        <v>0</v>
      </c>
      <c r="BF14" s="11">
        <f t="shared" ca="1" si="4"/>
        <v>1</v>
      </c>
      <c r="BG14" s="16">
        <f ca="1">IF($BE14&lt;=0,ROUND(BK14*0.5,0), ROUND($BE14*S14*AA14*J14*AY14*0.8*[1]ステータス!$B$2,0))</f>
        <v>1803</v>
      </c>
      <c r="BH14" s="16">
        <f ca="1">IF($BE14&lt;=0,ROUND(BL14*0.5,0), ROUND($BE14*T14*AB14*K14*AZ14*0.8*[1]ステータス!$C$2,0))</f>
        <v>1000</v>
      </c>
      <c r="BI14" s="16">
        <f ca="1">IF($BE14&lt;=0,ROUND(BM14*0.5,0), ROUND($BE14*U14*AC14*L14*BA14*0.8*[1]ステータス!$D$2,0))</f>
        <v>0</v>
      </c>
      <c r="BJ14" s="16">
        <f ca="1">IF($BE14&lt;=0,ROUND(BN14*0.5,0), ROUND($BE14*V14*AD14*M14*BB14*0.8*[1]ステータス!$E$2,0))</f>
        <v>1768</v>
      </c>
      <c r="BK14" s="11">
        <f ca="1">ROUND(BD14*S14*AA14*J14*AY14*[1]ステータス!$B$2,0)</f>
        <v>3606</v>
      </c>
      <c r="BL14" s="11">
        <f ca="1">ROUND(BD14*T14*AB14*K14*AZ14*[1]ステータス!$C$2,0)</f>
        <v>2000</v>
      </c>
      <c r="BM14" s="11">
        <f ca="1">ROUND(BD14*U14*AC14*L14*BA14*[1]ステータス!$D$2,0)</f>
        <v>0</v>
      </c>
      <c r="BN14" s="11">
        <f ca="1">ROUND(BD14*V14*AD14*M14*BB14*[1]ステータス!$E$2,0)</f>
        <v>3535</v>
      </c>
      <c r="BO14" s="10">
        <v>0</v>
      </c>
      <c r="BP14" s="10">
        <v>1</v>
      </c>
      <c r="BQ14" s="39" t="s">
        <v>44</v>
      </c>
      <c r="BR14" s="10">
        <f ca="1">VLOOKUP(H14,ghosts_label!$A$2:$B$19,2,FALSE)</f>
        <v>5500</v>
      </c>
    </row>
    <row r="15" spans="1:70" ht="26" customHeight="1" x14ac:dyDescent="0.15">
      <c r="A15" s="12">
        <v>1034</v>
      </c>
      <c r="B15" s="57" t="str">
        <f ca="1">VLOOKUP($A15,OFFSET([1]characters!$A$1,0,0,COUNTA([1]characters!$A:$A),MATCH(B$1,[1]characters!$1:$1,0)-MATCH($A$1,[1]characters!$1:$1,0)+1),MATCH(B$1,[1]characters!$1:$1,0)-MATCH($A$1,[1]characters!$1:$1,0)+1,FALSE)</f>
        <v>爛漫なる随筆家 清少納言</v>
      </c>
      <c r="C15" s="57" t="str">
        <f ca="1">VLOOKUP($A15,OFFSET([1]characters!$A$1,0,0,COUNTA([1]characters!$A:$A),MATCH(C$1,[1]characters!$1:$1,0)-MATCH($A$1,[1]characters!$1:$1,0)+1),MATCH(C$1,[1]characters!$1:$1,0)-MATCH($A$1,[1]characters!$1:$1,0)+1,FALSE)</f>
        <v>清少納言</v>
      </c>
      <c r="D15" s="57" t="str">
        <f ca="1">VLOOKUP($A15,OFFSET([1]characters!$A$1,0,0,COUNTA([1]characters!$A:$A),MATCH(D$1,[1]characters!$1:$1,0)-MATCH($A$1,[1]characters!$1:$1,0)+1),MATCH(D$1,[1]characters!$1:$1,0)-MATCH($A$1,[1]characters!$1:$1,0)+1,FALSE)</f>
        <v>執行者</v>
      </c>
      <c r="E15" s="57" t="str">
        <f ca="1">VLOOKUP($A15,OFFSET([1]characters!$A$1,0,0,COUNTA([1]characters!$A:$A),MATCH(E$1,[1]characters!$1:$1,0)-MATCH($A$1,[1]characters!$1:$1,0)+1),MATCH(E$1,[1]characters!$1:$1,0)-MATCH($A$1,[1]characters!$1:$1,0)+1,FALSE)</f>
        <v>格好いい</v>
      </c>
      <c r="F15" s="57" t="str">
        <f ca="1">VLOOKUP($A15,OFFSET([1]characters!$A$1,0,0,COUNTA([1]characters!$A:$A),MATCH(F$1,[1]characters!$1:$1,0)-MATCH($A$1,[1]characters!$1:$1,0)+1),MATCH(F$1,[1]characters!$1:$1,0)-MATCH($A$1,[1]characters!$1:$1,0)+1,FALSE)</f>
        <v>男性</v>
      </c>
      <c r="G15" s="57">
        <f ca="1">VLOOKUP($A15,OFFSET([1]characters!$A$1,0,0,COUNTA([1]characters!$A:$A),MATCH(G$1,[1]characters!$1:$1,0)-MATCH($A$1,[1]characters!$1:$1,0)+1),MATCH(G$1,[1]characters!$1:$1,0)-MATCH($A$1,[1]characters!$1:$1,0)+1,FALSE)</f>
        <v>6</v>
      </c>
      <c r="H15" s="57" t="str">
        <f ca="1">VLOOKUP($A15,OFFSET([1]characters!$A$1,0,0,COUNTA([1]characters!$A:$A),MATCH(H$1,[1]characters!$1:$1,0)-MATCH($A$1,[1]characters!$1:$1,0)+1),MATCH(H$1,[1]characters!$1:$1,0)-MATCH($A$1,[1]characters!$1:$1,0)+1,FALSE)</f>
        <v>PremiumSS</v>
      </c>
      <c r="I15" s="57" t="str">
        <f ca="1">VLOOKUP($A15,OFFSET([1]characters!$A$1,0,0,COUNTA([1]characters!$A:$A),MATCH(I$1,[1]characters!$1:$1,0)-MATCH($A$1,[1]characters!$1:$1,0)+1),MATCH(I$1,[1]characters!$1:$1,0)-MATCH($A$1,[1]characters!$1:$1,0)+1,FALSE)</f>
        <v>yellow</v>
      </c>
      <c r="J15" s="11">
        <f ca="1">VLOOKUP(I15,[1]属性!$A:$E,2,FALSE)</f>
        <v>0.98</v>
      </c>
      <c r="K15" s="11">
        <f ca="1">VLOOKUP(I15,[1]属性!$A:$E,3,FALSE)</f>
        <v>1.01</v>
      </c>
      <c r="L15" s="11">
        <f ca="1">VLOOKUP(I15,[1]属性!$A:$E,4,FALSE)</f>
        <v>1</v>
      </c>
      <c r="M15" s="11">
        <f ca="1">VLOOKUP(I15,[1]属性!$A:$E,5,FALSE)</f>
        <v>1.01</v>
      </c>
      <c r="N15" s="11">
        <f ca="1">INDEX(コスト!$A$1:$I$20,MATCH(H15,コスト!$A$1:$A$20,FALSE),MATCH(G15,コスト!$A$1:$I$1,FALSE))</f>
        <v>50</v>
      </c>
      <c r="O15" s="11">
        <f ca="1">INDEX(レベル!$A$1:$I$21,MATCH(H15,レベル!$A$1:$A$21,FALSE),MATCH(G15,レベル!$A$1:$I$1,FALSE))</f>
        <v>99</v>
      </c>
      <c r="P15" s="48">
        <f t="shared" ref="P15" ca="1" si="9">IF(G15 &gt;= 6, 99,G15*15)</f>
        <v>99</v>
      </c>
      <c r="Q15" s="57" t="str">
        <f ca="1">VLOOKUP($A15,OFFSET([1]characters!$A$1,0,0,COUNTA([1]characters!$A:$A),MATCH(Q$1,[1]characters!$1:$1,0)-MATCH($A$1,[1]characters!$1:$1,0)+1),MATCH(Q$1,[1]characters!$1:$1,0)-MATCH($A$1,[1]characters!$1:$1,0)+1,FALSE)</f>
        <v>heal</v>
      </c>
      <c r="R15" s="5" t="str">
        <f ca="1">VLOOKUP(Q15,[1]character_type_i18n!$A:$H,3,FALSE)</f>
        <v>回復タイプ</v>
      </c>
      <c r="S15" s="11">
        <f ca="1">VLOOKUP(Q15,[1]character_type_i18n!$A:$H,4,FALSE)</f>
        <v>0.8</v>
      </c>
      <c r="T15" s="11">
        <f ca="1">VLOOKUP(Q15,[1]character_type_i18n!$A:$H,5,FALSE)</f>
        <v>0.78</v>
      </c>
      <c r="U15" s="11">
        <f ca="1">VLOOKUP(Q15,[1]character_type_i18n!$A:$H,6,FALSE)</f>
        <v>1</v>
      </c>
      <c r="V15" s="11">
        <f ca="1">VLOOKUP(Q15,[1]character_type_i18n!$A:$H,7,FALSE)</f>
        <v>1.42</v>
      </c>
      <c r="W15" s="57" t="str">
        <f ca="1">VLOOKUP($A15,OFFSET([1]characters!$A$1,0,0,COUNTA([1]characters!$A:$A),MATCH(W$1,[1]characters!$1:$1,0)-MATCH($A$1,[1]characters!$1:$1,0)+1),MATCH(W$1,[1]characters!$1:$1,0)-MATCH($A$1,[1]characters!$1:$1,0)+1,FALSE)</f>
        <v>human</v>
      </c>
      <c r="X15" s="5" t="str">
        <f ca="1">VLOOKUP(W15,[1]character_tribe_i18n!$A:$H,3,FALSE)</f>
        <v>ヒューマン</v>
      </c>
      <c r="Y15" s="57" t="str">
        <f ca="1">VLOOKUP($A15,OFFSET([1]characters!$A$1,0,0,COUNTA([1]characters!$A:$A),MATCH(Y$1,[1]characters!$1:$1,0)-MATCH($A$1,[1]characters!$1:$1,0)+1),MATCH(Y$1,[1]characters!$1:$1,0)-MATCH($A$1,[1]characters!$1:$1,0)+1,FALSE)</f>
        <v>none</v>
      </c>
      <c r="Z15" s="5" t="str">
        <f ca="1">VLOOKUP(Y15,[1]character_tribe_i18n!$A:$H,3,FALSE)</f>
        <v>種族なし</v>
      </c>
      <c r="AA15" s="11">
        <f ca="1">VLOOKUP(W15,[1]character_tribe_i18n!$A:$H,4,FALSE)</f>
        <v>0.94</v>
      </c>
      <c r="AB15" s="11">
        <f ca="1">VLOOKUP(W15,[1]character_tribe_i18n!$A:$H,5,FALSE)</f>
        <v>0.99</v>
      </c>
      <c r="AC15" s="11">
        <f ca="1">VLOOKUP(W15,[1]character_tribe_i18n!$A:$H,6,FALSE)</f>
        <v>1</v>
      </c>
      <c r="AD15" s="11">
        <f ca="1">VLOOKUP(W15,[1]character_tribe_i18n!$A:$H,7,FALSE)</f>
        <v>1.07</v>
      </c>
      <c r="AE15" s="9" t="s">
        <v>140</v>
      </c>
      <c r="AF15" s="62" t="str">
        <f ca="1">IF(AE15="NULL","",VLOOKUP($AE15,OFFSET([1]characters!$A$1,0,0,COUNTA([1]characters!$A:$A),MATCH(AF$1,[1]characters!$1:$1,0)-MATCH($A$1,[1]characters!$1:$1,0)+1),MATCH(AF$1,[1]characters!$1:$1,0)-MATCH($A$1,[1]characters!$1:$1,0)+1,FALSE))</f>
        <v/>
      </c>
      <c r="AG15" s="5">
        <f t="shared" ca="1" si="0"/>
        <v>1033</v>
      </c>
      <c r="AH15" s="62" t="str">
        <f ca="1">VLOOKUP($AG15,OFFSET([1]characters!$A$1,0,0,COUNTA([1]characters!$A:$A),MATCH(AH$1,[1]characters!$1:$1,0)-MATCH($A$1,[1]characters!$1:$1,0)+1),MATCH(AH$1,[1]characters!$1:$1,0)-MATCH($A$1,[1]characters!$1:$1,0)+1,FALSE)</f>
        <v>清少納言</v>
      </c>
      <c r="AI15" s="11" t="str">
        <f>IF(AE15="NULL","NULL",VLOOKUP(G15,ビット!$A$2:$B$7,2))</f>
        <v>NULL</v>
      </c>
      <c r="AJ15" s="6">
        <v>2</v>
      </c>
      <c r="AK15" s="7" t="str">
        <f t="shared" ref="AK15" si="10">IF(AJ15=1,"早熟",IF(AJ15=2,"普通",IF(AJ15=3,"晩成","")))</f>
        <v>普通</v>
      </c>
      <c r="AL15" s="11" t="str">
        <f ca="1">INDEX(経験値!$A$1:$I$20,MATCH(H15,経験値!$A$1:$A$20,FALSE),MATCH(G15,経験値!$A$1:$I$1,FALSE))</f>
        <v>required_exp_250</v>
      </c>
      <c r="AM15" s="8">
        <f ca="1">VLOOKUP(G15,経験値!$A$27:$B$31,2)</f>
        <v>6400</v>
      </c>
      <c r="AN15" s="17">
        <f ca="1">VLOOKUP(G15,ビット!$G$2:$H$7,2)</f>
        <v>900</v>
      </c>
      <c r="AO15" s="45"/>
      <c r="AP15" s="166">
        <v>1034</v>
      </c>
      <c r="AQ15" s="165" t="str">
        <f ca="1">VLOOKUP($AP15,OFFSET(unit_skills!$A$1,0,0,COUNTA(unit_skills!$A:$A),MATCH(AQ$1,unit_skills!$1:$1,0)-MATCH($AP$1,unit_skills!$1:$1,0)+1),MATCH(AQ$1,unit_skills!$1:$1,0)-MATCH($AP$1,unit_skills!$1:$1,0)+1,FALSE)</f>
        <v>絢爛なる筆乱舞</v>
      </c>
      <c r="AR15" s="57" t="str">
        <f ca="1">VLOOKUP($AP15,OFFSET(unit_skills!$A$1,0,0,COUNTA(unit_skills!$A:$A),MATCH(AR$1,unit_skills!$1:$1,0)-MATCH($AP$1,unit_skills!$1:$1,0)+1),MATCH(AR$1,unit_skills!$1:$1,0)-MATCH($AP$1,unit_skills!$1:$1,0)+1,FALSE)</f>
        <v>青をハートに変換+HP2500回復(ダメージパネル1つ吸収する毎に800回復)+3ターンハート出現率UP、黄属性の防御力を特大UP</v>
      </c>
      <c r="AS15" s="57">
        <f ca="1">VLOOKUP($AP15,OFFSET(unit_skills!$A$1,0,0,COUNTA(unit_skills!$A:$A),MATCH(AS$1,unit_skills!$1:$1,0)-MATCH($AP$1,unit_skills!$1:$1,0)+1),MATCH(AS$1,unit_skills!$1:$1,0)-MATCH($AP$1,unit_skills!$1:$1,0)+1,FALSE)</f>
        <v>0</v>
      </c>
      <c r="AT15" s="166">
        <v>1034</v>
      </c>
      <c r="AU15" s="57" t="str">
        <f ca="1">VLOOKUP($AT15,OFFSET(crash_skills!$A$1,0,0,COUNTA(crash_skills!$A:$A),MATCH(AU$1,crash_skills!$1:$1,0)-MATCH($AT$1,crash_skills!$1:$1,0)+1),MATCH(AU$1,crash_skills!$1:$1,0)-MATCH($AT$1,crash_skills!$1:$1,0)+1,FALSE)</f>
        <v>健やかなる詩</v>
      </c>
      <c r="AV15" s="57" t="str">
        <f ca="1">VLOOKUP($AT15,OFFSET(crash_skills!$A$1,0,0,COUNTA(crash_skills!$A:$A),MATCH(AV$1,crash_skills!$1:$1,0)-MATCH($AT$1,crash_skills!$1:$1,0)+1),MATCH(AV$1,crash_skills!$1:$1,0)-MATCH($AT$1,crash_skills!$1:$1,0)+1,FALSE)</f>
        <v>HP大回復+_x000D_2ターン全ユニットの回復力小UP</v>
      </c>
      <c r="AW15" s="57">
        <f ca="1">VLOOKUP($AT15,OFFSET(crash_skills!$A$1,0,0,COUNTA(crash_skills!$A:$A),MATCH(AW$1,crash_skills!$1:$1,0)-MATCH($AT$1,crash_skills!$1:$1,0)+1),MATCH(AW$1,crash_skills!$1:$1,0)-MATCH($AT$1,crash_skills!$1:$1,0)+1,FALSE)</f>
        <v>0</v>
      </c>
      <c r="AX15" s="58">
        <f ca="1">VLOOKUP($A15,OFFSET([1]characters!$A$1,0,0,COUNTA([1]characters!$A:$A),MATCH(AX$1,[1]characters!$1:$1,0)-MATCH($A$1,[1]characters!$1:$1,0)+1),MATCH(AX$1,[1]characters!$1:$1,0)-MATCH($A$1,[1]characters!$1:$1,0)+1,FALSE)</f>
        <v>3</v>
      </c>
      <c r="AY15" s="67">
        <v>1.03</v>
      </c>
      <c r="AZ15" s="67">
        <v>0.9</v>
      </c>
      <c r="BA15" s="67">
        <v>0</v>
      </c>
      <c r="BB15" s="67">
        <v>0.97</v>
      </c>
      <c r="BC15" s="11">
        <f ca="1">INDEX('RC6SV'!$A$1:$G$20,MATCH(H15,'RC6SV'!$A$1:$A$20,FALSE),MATCH(G15,'RC6SV'!$A$1:$G$1,FALSE))</f>
        <v>13000</v>
      </c>
      <c r="BD15" s="48">
        <f t="shared" ref="BD15" ca="1" si="11">ROUND(BC15*IF(AJ15=1,0.95,IF(AJ15=2,1,IF(AJ15,1.05,0))),0)</f>
        <v>13000</v>
      </c>
      <c r="BE15" s="11">
        <f t="shared" ca="1" si="3"/>
        <v>9500</v>
      </c>
      <c r="BF15" s="11">
        <f t="shared" ca="1" si="4"/>
        <v>1</v>
      </c>
      <c r="BG15" s="16">
        <f ca="1">IF($BE15&lt;=0,ROUND(BK15*0.5,0), ROUND($BE15*S15*AA15*J15*AY15*0.8*[1]ステータス!$B$2,0))</f>
        <v>2884</v>
      </c>
      <c r="BH15" s="16">
        <f ca="1">IF($BE15&lt;=0,ROUND(BL15*0.5,0), ROUND($BE15*T15*AB15*K15*AZ15*0.8*[1]ステータス!$C$2,0))</f>
        <v>1600</v>
      </c>
      <c r="BI15" s="16">
        <f ca="1">IF($BE15&lt;=0,ROUND(BM15*0.5,0), ROUND($BE15*U15*AC15*L15*BA15*0.8*[1]ステータス!$D$2,0))</f>
        <v>0</v>
      </c>
      <c r="BJ15" s="16">
        <f ca="1">IF($BE15&lt;=0,ROUND(BN15*0.5,0), ROUND($BE15*V15*AD15*M15*BB15*0.8*[1]ステータス!$E$2,0))</f>
        <v>2828</v>
      </c>
      <c r="BK15" s="11">
        <f ca="1">ROUND(BD15*S15*AA15*J15*AY15*[1]ステータス!$B$2,0)</f>
        <v>4934</v>
      </c>
      <c r="BL15" s="11">
        <f ca="1">ROUND(BD15*T15*AB15*K15*AZ15*[1]ステータス!$C$2,0)</f>
        <v>2738</v>
      </c>
      <c r="BM15" s="11">
        <f ca="1">ROUND(BD15*U15*AC15*L15*BA15*[1]ステータス!$D$2,0)</f>
        <v>0</v>
      </c>
      <c r="BN15" s="11">
        <f ca="1">ROUND(BD15*V15*AD15*M15*BB15*[1]ステータス!$E$2,0)</f>
        <v>4838</v>
      </c>
      <c r="BO15" s="10">
        <v>0</v>
      </c>
      <c r="BP15" s="10">
        <v>1</v>
      </c>
      <c r="BQ15" s="10" t="s">
        <v>44</v>
      </c>
      <c r="BR15" s="10">
        <f ca="1">VLOOKUP(H15,ghosts_label!$A$2:$B$19,2,FALSE)</f>
        <v>5500</v>
      </c>
    </row>
  </sheetData>
  <autoFilter ref="A1:BQ1"/>
  <phoneticPr fontId="10"/>
  <conditionalFormatting sqref="BO1">
    <cfRule type="cellIs" dxfId="38" priority="120" stopIfTrue="1" operator="equal">
      <formula>1</formula>
    </cfRule>
  </conditionalFormatting>
  <conditionalFormatting sqref="BQ1">
    <cfRule type="cellIs" dxfId="37" priority="119" stopIfTrue="1" operator="equal">
      <formula>1</formula>
    </cfRule>
  </conditionalFormatting>
  <pageMargins left="0.75" right="0.75" top="1" bottom="1" header="0.3" footer="0.3"/>
  <pageSetup paperSize="9" orientation="portrait" horizontalDpi="4294967292" verticalDpi="429496729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indexed="12"/>
  </sheetPr>
  <dimension ref="A1:S18"/>
  <sheetViews>
    <sheetView showGridLines="0" zoomScale="110" workbookViewId="0">
      <pane xSplit="4" ySplit="1" topLeftCell="G12" activePane="bottomRight" state="frozen"/>
      <selection pane="topRight" activeCell="D1" sqref="D1"/>
      <selection pane="bottomLeft" activeCell="A2" sqref="A2"/>
      <selection pane="bottomRight" activeCell="D21" sqref="D21"/>
    </sheetView>
  </sheetViews>
  <sheetFormatPr baseColWidth="12" defaultColWidth="13" defaultRowHeight="21" customHeight="1" outlineLevelCol="1" x14ac:dyDescent="0.15"/>
  <cols>
    <col min="1" max="1" width="16.1640625" style="128" bestFit="1" customWidth="1"/>
    <col min="2" max="2" width="13" style="128" bestFit="1" customWidth="1"/>
    <col min="3" max="3" width="21.83203125" style="128" customWidth="1"/>
    <col min="4" max="4" width="41.83203125" style="128" customWidth="1"/>
    <col min="5" max="5" width="9" style="128" customWidth="1"/>
    <col min="6" max="6" width="7.83203125" style="128" bestFit="1" customWidth="1"/>
    <col min="7" max="7" width="8.1640625" style="128" bestFit="1" customWidth="1"/>
    <col min="8" max="8" width="13.6640625" style="128" bestFit="1" customWidth="1"/>
    <col min="9" max="9" width="64.33203125" style="128" customWidth="1"/>
    <col min="10" max="10" width="51.6640625" style="128" customWidth="1"/>
    <col min="11" max="11" width="10.83203125" style="128" customWidth="1" outlineLevel="1"/>
    <col min="12" max="17" width="9.5" style="127" customWidth="1" outlineLevel="1"/>
    <col min="18" max="18" width="20.33203125" style="128" customWidth="1" outlineLevel="1"/>
    <col min="19" max="19" width="10.33203125" style="128" bestFit="1" customWidth="1"/>
    <col min="20" max="16384" width="13" style="128"/>
  </cols>
  <sheetData>
    <row r="1" spans="1:19" s="127" customFormat="1" ht="21" customHeight="1" x14ac:dyDescent="0.15">
      <c r="A1" s="116" t="s">
        <v>20</v>
      </c>
      <c r="B1" s="117" t="s">
        <v>109</v>
      </c>
      <c r="C1" s="118" t="s">
        <v>38</v>
      </c>
      <c r="D1" s="119" t="s">
        <v>120</v>
      </c>
      <c r="E1" s="119" t="s">
        <v>121</v>
      </c>
      <c r="F1" s="116" t="s">
        <v>112</v>
      </c>
      <c r="G1" s="120" t="s">
        <v>2</v>
      </c>
      <c r="H1" s="120" t="s">
        <v>122</v>
      </c>
      <c r="I1" s="120" t="s">
        <v>123</v>
      </c>
      <c r="J1" s="121" t="s">
        <v>141</v>
      </c>
      <c r="K1" s="120" t="s">
        <v>4</v>
      </c>
      <c r="L1" s="122" t="s">
        <v>124</v>
      </c>
      <c r="M1" s="123" t="s">
        <v>125</v>
      </c>
      <c r="N1" s="123" t="s">
        <v>126</v>
      </c>
      <c r="O1" s="123" t="s">
        <v>127</v>
      </c>
      <c r="P1" s="123" t="s">
        <v>128</v>
      </c>
      <c r="Q1" s="124" t="s">
        <v>129</v>
      </c>
      <c r="R1" s="125" t="s">
        <v>130</v>
      </c>
      <c r="S1" s="126" t="s">
        <v>131</v>
      </c>
    </row>
    <row r="2" spans="1:19" ht="56" customHeight="1" x14ac:dyDescent="0.15">
      <c r="A2" s="12">
        <v>1020</v>
      </c>
      <c r="B2" s="131" t="s">
        <v>142</v>
      </c>
      <c r="C2" s="132" t="s">
        <v>348</v>
      </c>
      <c r="D2" s="199" t="s">
        <v>309</v>
      </c>
      <c r="E2" s="133">
        <v>10</v>
      </c>
      <c r="F2" s="115">
        <v>12</v>
      </c>
      <c r="G2" s="115">
        <v>5</v>
      </c>
      <c r="H2" s="134">
        <f>2001</f>
        <v>2001</v>
      </c>
      <c r="I2" s="200" t="s">
        <v>382</v>
      </c>
      <c r="J2" s="57" t="str">
        <f ca="1">VLOOKUP($A2,OFFSET([1]characters!$A$1,0,0,COUNTA([1]characters!$A:$A),MATCH("name",[1]characters!$1:$1,0)-MATCH("character_id",[1]characters!$1:$1,0)+1),MATCH("name",[1]characters!$1:$1,0)-MATCH("character_id",[1]characters!$1:$1,0)+1,FALSE)</f>
        <v>静御前</v>
      </c>
      <c r="K2" s="135">
        <v>3</v>
      </c>
      <c r="L2" s="136"/>
      <c r="M2" s="137"/>
      <c r="N2" s="137"/>
      <c r="O2" s="137"/>
      <c r="P2" s="137"/>
      <c r="Q2" s="137"/>
      <c r="R2" s="132"/>
      <c r="S2" s="138"/>
    </row>
    <row r="3" spans="1:19" ht="56" customHeight="1" x14ac:dyDescent="0.15">
      <c r="A3" s="12">
        <v>1021</v>
      </c>
      <c r="B3" s="131" t="s">
        <v>142</v>
      </c>
      <c r="C3" s="132" t="s">
        <v>348</v>
      </c>
      <c r="D3" s="199" t="s">
        <v>309</v>
      </c>
      <c r="E3" s="133">
        <v>10</v>
      </c>
      <c r="F3" s="115">
        <v>12</v>
      </c>
      <c r="G3" s="115">
        <v>5</v>
      </c>
      <c r="H3" s="134">
        <f>2001</f>
        <v>2001</v>
      </c>
      <c r="I3" s="200" t="s">
        <v>382</v>
      </c>
      <c r="J3" s="57" t="str">
        <f ca="1">VLOOKUP($A3,OFFSET([1]characters!$A$1,0,0,COUNTA([1]characters!$A:$A),MATCH("name",[1]characters!$1:$1,0)-MATCH("character_id",[1]characters!$1:$1,0)+1),MATCH("name",[1]characters!$1:$1,0)-MATCH("character_id",[1]characters!$1:$1,0)+1,FALSE)</f>
        <v>焔耀の舞姫 静御前</v>
      </c>
      <c r="K3" s="135">
        <v>3</v>
      </c>
      <c r="L3" s="136"/>
      <c r="M3" s="137"/>
      <c r="N3" s="137"/>
      <c r="O3" s="137"/>
      <c r="P3" s="137"/>
      <c r="Q3" s="137"/>
      <c r="R3" s="132"/>
      <c r="S3" s="138"/>
    </row>
    <row r="4" spans="1:19" ht="85" customHeight="1" x14ac:dyDescent="0.15">
      <c r="A4" s="12">
        <v>1022</v>
      </c>
      <c r="B4" s="131" t="s">
        <v>142</v>
      </c>
      <c r="C4" s="132" t="s">
        <v>347</v>
      </c>
      <c r="D4" s="199" t="s">
        <v>318</v>
      </c>
      <c r="E4" s="133">
        <f t="shared" ref="E4:E12" si="0">LEN(D4)</f>
        <v>35</v>
      </c>
      <c r="F4" s="115">
        <v>11</v>
      </c>
      <c r="G4" s="115">
        <v>5</v>
      </c>
      <c r="H4" s="134">
        <f>2001</f>
        <v>2001</v>
      </c>
      <c r="I4" s="200" t="s">
        <v>319</v>
      </c>
      <c r="J4" s="57" t="str">
        <f ca="1">VLOOKUP($A4,OFFSET([1]characters!$A$1,0,0,COUNTA([1]characters!$A:$A),MATCH("name",[1]characters!$1:$1,0)-MATCH("character_id",[1]characters!$1:$1,0)+1),MATCH("name",[1]characters!$1:$1,0)-MATCH("character_id",[1]characters!$1:$1,0)+1,FALSE)</f>
        <v>那須与一</v>
      </c>
      <c r="K4" s="135">
        <v>3</v>
      </c>
      <c r="L4" s="136"/>
      <c r="M4" s="137"/>
      <c r="N4" s="137"/>
      <c r="O4" s="137"/>
      <c r="P4" s="137"/>
      <c r="Q4" s="137"/>
      <c r="R4" s="132"/>
      <c r="S4" s="138"/>
    </row>
    <row r="5" spans="1:19" ht="85" customHeight="1" x14ac:dyDescent="0.15">
      <c r="A5" s="12">
        <v>1023</v>
      </c>
      <c r="B5" s="131" t="s">
        <v>142</v>
      </c>
      <c r="C5" s="132" t="s">
        <v>347</v>
      </c>
      <c r="D5" s="199" t="s">
        <v>318</v>
      </c>
      <c r="E5" s="133">
        <f t="shared" si="0"/>
        <v>35</v>
      </c>
      <c r="F5" s="115">
        <v>11</v>
      </c>
      <c r="G5" s="115">
        <v>5</v>
      </c>
      <c r="H5" s="134">
        <f>2001</f>
        <v>2001</v>
      </c>
      <c r="I5" s="200" t="s">
        <v>319</v>
      </c>
      <c r="J5" s="57" t="str">
        <f ca="1">VLOOKUP($A5,OFFSET([1]characters!$A$1,0,0,COUNTA([1]characters!$A:$A),MATCH("name",[1]characters!$1:$1,0)-MATCH("character_id",[1]characters!$1:$1,0)+1),MATCH("name",[1]characters!$1:$1,0)-MATCH("character_id",[1]characters!$1:$1,0)+1,FALSE)</f>
        <v>心射抜く投擲者 那須与一</v>
      </c>
      <c r="K5" s="135">
        <v>3</v>
      </c>
      <c r="L5" s="136"/>
      <c r="M5" s="137"/>
      <c r="N5" s="137"/>
      <c r="O5" s="137"/>
      <c r="P5" s="137"/>
      <c r="Q5" s="137"/>
      <c r="R5" s="132"/>
      <c r="S5" s="138"/>
    </row>
    <row r="6" spans="1:19" ht="82" customHeight="1" x14ac:dyDescent="0.15">
      <c r="A6" s="12">
        <v>1024</v>
      </c>
      <c r="B6" s="131" t="s">
        <v>142</v>
      </c>
      <c r="C6" s="210" t="s">
        <v>349</v>
      </c>
      <c r="D6" s="204" t="s">
        <v>414</v>
      </c>
      <c r="E6" s="133">
        <f>LEN(D6)</f>
        <v>40</v>
      </c>
      <c r="F6" s="115">
        <v>13</v>
      </c>
      <c r="G6" s="115">
        <v>5</v>
      </c>
      <c r="H6" s="134">
        <f>2001</f>
        <v>2001</v>
      </c>
      <c r="I6" s="206" t="s">
        <v>383</v>
      </c>
      <c r="J6" s="57" t="str">
        <f ca="1">VLOOKUP($A6,OFFSET([1]characters!$A$1,0,0,COUNTA([1]characters!$A:$A),MATCH("name",[1]characters!$1:$1,0)-MATCH("character_id",[1]characters!$1:$1,0)+1),MATCH("name",[1]characters!$1:$1,0)-MATCH("character_id",[1]characters!$1:$1,0)+1,FALSE)</f>
        <v>武蔵坊弁慶</v>
      </c>
      <c r="K6" s="135">
        <v>3</v>
      </c>
      <c r="L6" s="136"/>
      <c r="M6" s="137"/>
      <c r="N6" s="137"/>
      <c r="O6" s="137"/>
      <c r="P6" s="137"/>
      <c r="Q6" s="137"/>
      <c r="R6" s="132"/>
      <c r="S6" s="138"/>
    </row>
    <row r="7" spans="1:19" ht="82" customHeight="1" x14ac:dyDescent="0.15">
      <c r="A7" s="12">
        <v>1025</v>
      </c>
      <c r="B7" s="131" t="s">
        <v>142</v>
      </c>
      <c r="C7" s="132" t="s">
        <v>350</v>
      </c>
      <c r="D7" s="204" t="s">
        <v>413</v>
      </c>
      <c r="E7" s="133">
        <f>LEN(D7)</f>
        <v>40</v>
      </c>
      <c r="F7" s="115">
        <v>13</v>
      </c>
      <c r="G7" s="115">
        <v>5</v>
      </c>
      <c r="H7" s="134">
        <f>2001</f>
        <v>2001</v>
      </c>
      <c r="I7" s="206" t="s">
        <v>384</v>
      </c>
      <c r="J7" s="57" t="str">
        <f ca="1">VLOOKUP($A7,OFFSET([1]characters!$A$1,0,0,COUNTA([1]characters!$A:$A),MATCH("name",[1]characters!$1:$1,0)-MATCH("character_id",[1]characters!$1:$1,0)+1),MATCH("name",[1]characters!$1:$1,0)-MATCH("character_id",[1]characters!$1:$1,0)+1,FALSE)</f>
        <v>多重撃の荒法師 武蔵坊弁慶</v>
      </c>
      <c r="K7" s="135">
        <v>3</v>
      </c>
      <c r="L7" s="136"/>
      <c r="M7" s="137"/>
      <c r="N7" s="137"/>
      <c r="O7" s="137"/>
      <c r="P7" s="137"/>
      <c r="Q7" s="137"/>
      <c r="R7" s="132"/>
      <c r="S7" s="138"/>
    </row>
    <row r="8" spans="1:19" ht="56" customHeight="1" x14ac:dyDescent="0.15">
      <c r="A8" s="12">
        <v>1026</v>
      </c>
      <c r="B8" s="131" t="s">
        <v>142</v>
      </c>
      <c r="C8" s="210" t="s">
        <v>351</v>
      </c>
      <c r="D8" s="199" t="s">
        <v>353</v>
      </c>
      <c r="E8" s="133">
        <f t="shared" si="0"/>
        <v>34</v>
      </c>
      <c r="F8" s="115">
        <v>14</v>
      </c>
      <c r="G8" s="115">
        <v>5</v>
      </c>
      <c r="H8" s="134">
        <f>2001</f>
        <v>2001</v>
      </c>
      <c r="I8" s="200" t="s">
        <v>354</v>
      </c>
      <c r="J8" s="57" t="str">
        <f ca="1">VLOOKUP($A8,OFFSET([1]characters!$A$1,0,0,COUNTA([1]characters!$A:$A),MATCH("name",[1]characters!$1:$1,0)-MATCH("character_id",[1]characters!$1:$1,0)+1),MATCH("name",[1]characters!$1:$1,0)-MATCH("character_id",[1]characters!$1:$1,0)+1,FALSE)</f>
        <v>蝉丸</v>
      </c>
      <c r="K8" s="135">
        <v>3</v>
      </c>
      <c r="L8" s="136"/>
      <c r="M8" s="137"/>
      <c r="N8" s="137"/>
      <c r="O8" s="137"/>
      <c r="P8" s="137"/>
      <c r="Q8" s="137"/>
      <c r="R8" s="132"/>
      <c r="S8" s="138"/>
    </row>
    <row r="9" spans="1:19" ht="56" customHeight="1" x14ac:dyDescent="0.15">
      <c r="A9" s="12">
        <v>1027</v>
      </c>
      <c r="B9" s="131" t="s">
        <v>142</v>
      </c>
      <c r="C9" s="132" t="s">
        <v>352</v>
      </c>
      <c r="D9" s="199" t="s">
        <v>320</v>
      </c>
      <c r="E9" s="133">
        <f t="shared" si="0"/>
        <v>34</v>
      </c>
      <c r="F9" s="115">
        <v>14</v>
      </c>
      <c r="G9" s="115">
        <v>5</v>
      </c>
      <c r="H9" s="134">
        <f>2001</f>
        <v>2001</v>
      </c>
      <c r="I9" s="200" t="s">
        <v>312</v>
      </c>
      <c r="J9" s="57" t="str">
        <f ca="1">VLOOKUP($A9,OFFSET([1]characters!$A$1,0,0,COUNTA([1]characters!$A:$A),MATCH("name",[1]characters!$1:$1,0)-MATCH("character_id",[1]characters!$1:$1,0)+1),MATCH("name",[1]characters!$1:$1,0)-MATCH("character_id",[1]characters!$1:$1,0)+1,FALSE)</f>
        <v>弾丸多重奏 蝉丸</v>
      </c>
      <c r="K9" s="135">
        <v>3</v>
      </c>
      <c r="L9" s="136"/>
      <c r="M9" s="137"/>
      <c r="N9" s="137"/>
      <c r="O9" s="137"/>
      <c r="P9" s="137"/>
      <c r="Q9" s="137"/>
      <c r="R9" s="132"/>
      <c r="S9" s="138"/>
    </row>
    <row r="10" spans="1:19" ht="56" customHeight="1" x14ac:dyDescent="0.15">
      <c r="A10" s="198">
        <v>1028</v>
      </c>
      <c r="B10" s="131" t="s">
        <v>142</v>
      </c>
      <c r="C10" s="132" t="s">
        <v>328</v>
      </c>
      <c r="D10" s="199" t="s">
        <v>327</v>
      </c>
      <c r="E10" s="133">
        <f>LEN(D10)</f>
        <v>60</v>
      </c>
      <c r="F10" s="115">
        <v>12</v>
      </c>
      <c r="G10" s="115">
        <v>5</v>
      </c>
      <c r="H10" s="134">
        <f>2001</f>
        <v>2001</v>
      </c>
      <c r="I10" s="200" t="s">
        <v>329</v>
      </c>
      <c r="J10" s="57" t="str">
        <f ca="1">VLOOKUP($A10,OFFSET([1]characters!$A$1,0,0,COUNTA([1]characters!$A:$A),MATCH("name",[1]characters!$1:$1,0)-MATCH("character_id",[1]characters!$1:$1,0)+1),MATCH("name",[1]characters!$1:$1,0)-MATCH("character_id",[1]characters!$1:$1,0)+1,FALSE)</f>
        <v>牛若丸</v>
      </c>
      <c r="K10" s="135">
        <v>3</v>
      </c>
      <c r="L10" s="136"/>
      <c r="M10" s="137"/>
      <c r="N10" s="137"/>
      <c r="O10" s="137"/>
      <c r="P10" s="137"/>
      <c r="Q10" s="137"/>
      <c r="R10" s="132"/>
      <c r="S10" s="138"/>
    </row>
    <row r="11" spans="1:19" ht="56" customHeight="1" x14ac:dyDescent="0.15">
      <c r="A11" s="198">
        <v>1029</v>
      </c>
      <c r="B11" s="131" t="s">
        <v>142</v>
      </c>
      <c r="C11" s="132" t="s">
        <v>328</v>
      </c>
      <c r="D11" s="199" t="s">
        <v>326</v>
      </c>
      <c r="E11" s="133">
        <f>LEN(D11)</f>
        <v>60</v>
      </c>
      <c r="F11" s="115">
        <v>12</v>
      </c>
      <c r="G11" s="115">
        <v>5</v>
      </c>
      <c r="H11" s="134">
        <f>2001</f>
        <v>2001</v>
      </c>
      <c r="I11" s="200" t="s">
        <v>337</v>
      </c>
      <c r="J11" s="57" t="str">
        <f ca="1">VLOOKUP($A11,OFFSET([1]characters!$A$1,0,0,COUNTA([1]characters!$A:$A),MATCH("name",[1]characters!$1:$1,0)-MATCH("character_id",[1]characters!$1:$1,0)+1),MATCH("name",[1]characters!$1:$1,0)-MATCH("character_id",[1]characters!$1:$1,0)+1,FALSE)</f>
        <v>天賦の軍才 牛若丸</v>
      </c>
      <c r="K11" s="135">
        <v>3</v>
      </c>
      <c r="L11" s="136"/>
      <c r="M11" s="137"/>
      <c r="N11" s="137"/>
      <c r="O11" s="137"/>
      <c r="P11" s="137"/>
      <c r="Q11" s="137"/>
      <c r="R11" s="132"/>
      <c r="S11" s="138"/>
    </row>
    <row r="12" spans="1:19" ht="56" customHeight="1" x14ac:dyDescent="0.15">
      <c r="A12" s="12">
        <v>1031</v>
      </c>
      <c r="B12" s="131" t="s">
        <v>142</v>
      </c>
      <c r="C12" s="210" t="s">
        <v>397</v>
      </c>
      <c r="D12" s="199" t="s">
        <v>378</v>
      </c>
      <c r="E12" s="133">
        <f t="shared" si="0"/>
        <v>37</v>
      </c>
      <c r="F12" s="115">
        <v>12</v>
      </c>
      <c r="G12" s="115">
        <v>5</v>
      </c>
      <c r="H12" s="134">
        <f>2001</f>
        <v>2001</v>
      </c>
      <c r="I12" s="200" t="s">
        <v>416</v>
      </c>
      <c r="J12" s="57" t="str">
        <f ca="1">VLOOKUP($A12,OFFSET([1]characters!$A$1,0,0,COUNTA([1]characters!$A:$A),MATCH("name",[1]characters!$1:$1,0)-MATCH("character_id",[1]characters!$1:$1,0)+1),MATCH("name",[1]characters!$1:$1,0)-MATCH("character_id",[1]characters!$1:$1,0)+1,FALSE)</f>
        <v>紫式部</v>
      </c>
      <c r="K12" s="135">
        <v>3</v>
      </c>
      <c r="L12" s="136"/>
      <c r="M12" s="137"/>
      <c r="N12" s="137"/>
      <c r="O12" s="137"/>
      <c r="P12" s="137"/>
      <c r="Q12" s="137"/>
      <c r="R12" s="132"/>
      <c r="S12" s="138"/>
    </row>
    <row r="13" spans="1:19" ht="56" customHeight="1" x14ac:dyDescent="0.15">
      <c r="A13" s="12">
        <v>1032</v>
      </c>
      <c r="B13" s="131" t="s">
        <v>142</v>
      </c>
      <c r="C13" s="132" t="s">
        <v>398</v>
      </c>
      <c r="D13" s="199" t="s">
        <v>314</v>
      </c>
      <c r="E13" s="133">
        <f>LEN(D13)</f>
        <v>37</v>
      </c>
      <c r="F13" s="115">
        <v>12</v>
      </c>
      <c r="G13" s="115">
        <v>5</v>
      </c>
      <c r="H13" s="134">
        <f>2001</f>
        <v>2001</v>
      </c>
      <c r="I13" s="200" t="s">
        <v>308</v>
      </c>
      <c r="J13" s="57" t="str">
        <f ca="1">VLOOKUP($A13,OFFSET([1]characters!$A$1,0,0,COUNTA([1]characters!$A:$A),MATCH("name",[1]characters!$1:$1,0)-MATCH("character_id",[1]characters!$1:$1,0)+1),MATCH("name",[1]characters!$1:$1,0)-MATCH("character_id",[1]characters!$1:$1,0)+1,FALSE)</f>
        <v>彩気煥発の創作人 紫式部</v>
      </c>
      <c r="K13" s="135">
        <v>3</v>
      </c>
      <c r="L13" s="136"/>
      <c r="M13" s="137"/>
      <c r="N13" s="137"/>
      <c r="O13" s="137"/>
      <c r="P13" s="137"/>
      <c r="Q13" s="137"/>
      <c r="R13" s="132"/>
      <c r="S13" s="138"/>
    </row>
    <row r="14" spans="1:19" ht="66" customHeight="1" x14ac:dyDescent="0.15">
      <c r="A14" s="12">
        <v>1033</v>
      </c>
      <c r="B14" s="131" t="s">
        <v>142</v>
      </c>
      <c r="C14" s="132" t="s">
        <v>346</v>
      </c>
      <c r="D14" s="199" t="s">
        <v>440</v>
      </c>
      <c r="E14" s="133">
        <f>LEN(D14)</f>
        <v>65</v>
      </c>
      <c r="F14" s="115">
        <v>12</v>
      </c>
      <c r="G14" s="115">
        <v>5</v>
      </c>
      <c r="H14" s="134">
        <f>2001</f>
        <v>2001</v>
      </c>
      <c r="I14" s="200" t="s">
        <v>441</v>
      </c>
      <c r="J14" s="57" t="str">
        <f ca="1">VLOOKUP($A14,OFFSET([1]characters!$A$1,0,0,COUNTA([1]characters!$A:$A),MATCH("name",[1]characters!$1:$1,0)-MATCH("character_id",[1]characters!$1:$1,0)+1),MATCH("name",[1]characters!$1:$1,0)-MATCH("character_id",[1]characters!$1:$1,0)+1,FALSE)</f>
        <v>清少納言</v>
      </c>
      <c r="K14" s="135">
        <v>3</v>
      </c>
      <c r="L14" s="136"/>
      <c r="M14" s="137"/>
      <c r="N14" s="137"/>
      <c r="O14" s="137"/>
      <c r="P14" s="137"/>
      <c r="Q14" s="137"/>
      <c r="R14" s="132"/>
      <c r="S14" s="138"/>
    </row>
    <row r="15" spans="1:19" ht="66" customHeight="1" x14ac:dyDescent="0.15">
      <c r="A15" s="12">
        <v>1034</v>
      </c>
      <c r="B15" s="131" t="s">
        <v>142</v>
      </c>
      <c r="C15" s="132" t="s">
        <v>346</v>
      </c>
      <c r="D15" s="199" t="s">
        <v>440</v>
      </c>
      <c r="E15" s="133">
        <f>LEN(D15)</f>
        <v>65</v>
      </c>
      <c r="F15" s="115">
        <v>12</v>
      </c>
      <c r="G15" s="115">
        <v>5</v>
      </c>
      <c r="H15" s="134">
        <f>2001</f>
        <v>2001</v>
      </c>
      <c r="I15" s="200" t="s">
        <v>441</v>
      </c>
      <c r="J15" s="57" t="str">
        <f ca="1">VLOOKUP($A15,OFFSET([1]characters!$A$1,0,0,COUNTA([1]characters!$A:$A),MATCH("name",[1]characters!$1:$1,0)-MATCH("character_id",[1]characters!$1:$1,0)+1),MATCH("name",[1]characters!$1:$1,0)-MATCH("character_id",[1]characters!$1:$1,0)+1,FALSE)</f>
        <v>爛漫なる随筆家 清少納言</v>
      </c>
      <c r="K15" s="135">
        <v>3</v>
      </c>
      <c r="L15" s="136"/>
      <c r="M15" s="137"/>
      <c r="N15" s="137"/>
      <c r="O15" s="137"/>
      <c r="P15" s="137"/>
      <c r="Q15" s="137"/>
      <c r="R15" s="132"/>
      <c r="S15" s="138"/>
    </row>
    <row r="17" spans="9:9" ht="21" customHeight="1" x14ac:dyDescent="0.2">
      <c r="I17" s="205"/>
    </row>
    <row r="18" spans="9:9" ht="21" customHeight="1" x14ac:dyDescent="0.2">
      <c r="I18" s="209"/>
    </row>
  </sheetData>
  <sheetProtection selectLockedCells="1" selectUnlockedCells="1"/>
  <autoFilter ref="A1:S1">
    <sortState ref="A2:T432">
      <sortCondition ref="A1:A432"/>
    </sortState>
  </autoFilter>
  <phoneticPr fontId="21"/>
  <conditionalFormatting sqref="E16:E1048576 E1:E14">
    <cfRule type="cellIs" dxfId="36" priority="14" operator="greaterThan">
      <formula>41</formula>
    </cfRule>
  </conditionalFormatting>
  <conditionalFormatting sqref="E15">
    <cfRule type="cellIs" dxfId="35" priority="1" operator="greaterThan">
      <formula>41</formula>
    </cfRule>
  </conditionalFormatting>
  <pageMargins left="0.75" right="0.75" top="1" bottom="1" header="0.51180555555555551" footer="0.51180555555555551"/>
  <pageSetup paperSize="9" firstPageNumber="0" orientation="portrait" horizontalDpi="300" verticalDpi="30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indexed="12"/>
  </sheetPr>
  <dimension ref="A1:J15"/>
  <sheetViews>
    <sheetView showGridLines="0" workbookViewId="0">
      <pane xSplit="4" ySplit="1" topLeftCell="E7" activePane="bottomRight" state="frozen"/>
      <selection pane="topRight" activeCell="D1" sqref="D1"/>
      <selection pane="bottomLeft" activeCell="A3" sqref="A3"/>
      <selection pane="bottomRight" activeCell="D14" sqref="D14"/>
    </sheetView>
  </sheetViews>
  <sheetFormatPr baseColWidth="12" defaultColWidth="13" defaultRowHeight="48" customHeight="1" x14ac:dyDescent="0.15"/>
  <cols>
    <col min="1" max="2" width="12.1640625" style="128" customWidth="1"/>
    <col min="3" max="3" width="48.83203125" style="129" customWidth="1"/>
    <col min="4" max="4" width="44.6640625" style="129" customWidth="1"/>
    <col min="5" max="5" width="10.5" style="129" customWidth="1"/>
    <col min="6" max="6" width="59.1640625" style="203" customWidth="1"/>
    <col min="7" max="7" width="28.1640625" style="129" customWidth="1"/>
    <col min="8" max="8" width="6.83203125" style="128" bestFit="1" customWidth="1"/>
    <col min="9" max="9" width="11.6640625" style="128" customWidth="1"/>
    <col min="10" max="10" width="10.33203125" style="128" customWidth="1"/>
    <col min="11" max="16384" width="13" style="128"/>
  </cols>
  <sheetData>
    <row r="1" spans="1:10" ht="48" customHeight="1" x14ac:dyDescent="0.15">
      <c r="A1" s="116" t="s">
        <v>139</v>
      </c>
      <c r="B1" s="117" t="s">
        <v>138</v>
      </c>
      <c r="C1" s="118" t="s">
        <v>137</v>
      </c>
      <c r="D1" s="119" t="s">
        <v>136</v>
      </c>
      <c r="E1" s="119" t="s">
        <v>135</v>
      </c>
      <c r="F1" s="202" t="s">
        <v>134</v>
      </c>
      <c r="G1" s="121" t="s">
        <v>141</v>
      </c>
      <c r="H1" s="120" t="s">
        <v>133</v>
      </c>
      <c r="I1" s="121" t="s">
        <v>132</v>
      </c>
      <c r="J1" s="125" t="s">
        <v>131</v>
      </c>
    </row>
    <row r="2" spans="1:10" ht="48" customHeight="1" x14ac:dyDescent="0.15">
      <c r="A2" s="12">
        <v>1020</v>
      </c>
      <c r="B2" s="131" t="s">
        <v>143</v>
      </c>
      <c r="C2" s="132" t="s">
        <v>358</v>
      </c>
      <c r="D2" s="199" t="s">
        <v>310</v>
      </c>
      <c r="E2" s="133">
        <f t="shared" ref="E2:E6" si="0">LEN(D2)</f>
        <v>25</v>
      </c>
      <c r="F2" s="201" t="s">
        <v>311</v>
      </c>
      <c r="G2" s="57" t="str">
        <f ca="1">VLOOKUP($A2,OFFSET([1]characters!$A$1,0,0,COUNTA([1]characters!$A:$A),MATCH("name",[1]characters!$1:$1,0)-MATCH("character_id",[1]characters!$1:$1,0)+1),MATCH("name",[1]characters!$1:$1,0)-MATCH("character_id",[1]characters!$1:$1,0)+1,FALSE)</f>
        <v>静御前</v>
      </c>
      <c r="H2" s="134">
        <v>3</v>
      </c>
      <c r="I2" s="134"/>
      <c r="J2" s="139"/>
    </row>
    <row r="3" spans="1:10" ht="48" customHeight="1" x14ac:dyDescent="0.15">
      <c r="A3" s="12">
        <v>1021</v>
      </c>
      <c r="B3" s="131" t="s">
        <v>143</v>
      </c>
      <c r="C3" s="132" t="s">
        <v>358</v>
      </c>
      <c r="D3" s="199" t="s">
        <v>325</v>
      </c>
      <c r="E3" s="133">
        <f t="shared" si="0"/>
        <v>25</v>
      </c>
      <c r="F3" s="201" t="s">
        <v>311</v>
      </c>
      <c r="G3" s="57" t="str">
        <f ca="1">VLOOKUP($A3,OFFSET([1]characters!$A$1,0,0,COUNTA([1]characters!$A:$A),MATCH("name",[1]characters!$1:$1,0)-MATCH("character_id",[1]characters!$1:$1,0)+1),MATCH("name",[1]characters!$1:$1,0)-MATCH("character_id",[1]characters!$1:$1,0)+1,FALSE)</f>
        <v>焔耀の舞姫 静御前</v>
      </c>
      <c r="H3" s="134">
        <v>3</v>
      </c>
      <c r="I3" s="134"/>
      <c r="J3" s="139"/>
    </row>
    <row r="4" spans="1:10" ht="48" customHeight="1" x14ac:dyDescent="0.15">
      <c r="A4" s="12">
        <v>1022</v>
      </c>
      <c r="B4" s="131" t="s">
        <v>143</v>
      </c>
      <c r="C4" s="132" t="s">
        <v>359</v>
      </c>
      <c r="D4" s="204" t="s">
        <v>387</v>
      </c>
      <c r="E4" s="133">
        <f t="shared" si="0"/>
        <v>26</v>
      </c>
      <c r="F4" s="207" t="s">
        <v>386</v>
      </c>
      <c r="G4" s="57" t="str">
        <f ca="1">VLOOKUP($A4,OFFSET([1]characters!$A$1,0,0,COUNTA([1]characters!$A:$A),MATCH("name",[1]characters!$1:$1,0)-MATCH("character_id",[1]characters!$1:$1,0)+1),MATCH("name",[1]characters!$1:$1,0)-MATCH("character_id",[1]characters!$1:$1,0)+1,FALSE)</f>
        <v>那須与一</v>
      </c>
      <c r="H4" s="134">
        <v>3</v>
      </c>
      <c r="I4" s="134"/>
      <c r="J4" s="139"/>
    </row>
    <row r="5" spans="1:10" ht="48" customHeight="1" x14ac:dyDescent="0.15">
      <c r="A5" s="12">
        <v>1023</v>
      </c>
      <c r="B5" s="131" t="s">
        <v>143</v>
      </c>
      <c r="C5" s="132" t="s">
        <v>359</v>
      </c>
      <c r="D5" s="204" t="s">
        <v>392</v>
      </c>
      <c r="E5" s="133">
        <f t="shared" si="0"/>
        <v>26</v>
      </c>
      <c r="F5" s="207" t="s">
        <v>385</v>
      </c>
      <c r="G5" s="57" t="str">
        <f ca="1">VLOOKUP($A5,OFFSET([1]characters!$A$1,0,0,COUNTA([1]characters!$A:$A),MATCH("name",[1]characters!$1:$1,0)-MATCH("character_id",[1]characters!$1:$1,0)+1),MATCH("name",[1]characters!$1:$1,0)-MATCH("character_id",[1]characters!$1:$1,0)+1,FALSE)</f>
        <v>心射抜く投擲者 那須与一</v>
      </c>
      <c r="H5" s="134">
        <v>3</v>
      </c>
      <c r="I5" s="134"/>
      <c r="J5" s="139"/>
    </row>
    <row r="6" spans="1:10" ht="48" customHeight="1" x14ac:dyDescent="0.15">
      <c r="A6" s="12">
        <v>1024</v>
      </c>
      <c r="B6" s="131" t="s">
        <v>143</v>
      </c>
      <c r="C6" s="132" t="s">
        <v>360</v>
      </c>
      <c r="D6" s="199" t="s">
        <v>324</v>
      </c>
      <c r="E6" s="133">
        <f t="shared" si="0"/>
        <v>17</v>
      </c>
      <c r="F6" s="201" t="s">
        <v>316</v>
      </c>
      <c r="G6" s="57" t="str">
        <f ca="1">VLOOKUP($A6,OFFSET([1]characters!$A$1,0,0,COUNTA([1]characters!$A:$A),MATCH("name",[1]characters!$1:$1,0)-MATCH("character_id",[1]characters!$1:$1,0)+1),MATCH("name",[1]characters!$1:$1,0)-MATCH("character_id",[1]characters!$1:$1,0)+1,FALSE)</f>
        <v>武蔵坊弁慶</v>
      </c>
      <c r="H6" s="134">
        <v>3</v>
      </c>
      <c r="I6" s="134"/>
      <c r="J6" s="139"/>
    </row>
    <row r="7" spans="1:10" ht="48" customHeight="1" x14ac:dyDescent="0.15">
      <c r="A7" s="12">
        <v>1025</v>
      </c>
      <c r="B7" s="131" t="s">
        <v>143</v>
      </c>
      <c r="C7" s="132" t="s">
        <v>355</v>
      </c>
      <c r="D7" s="199" t="s">
        <v>315</v>
      </c>
      <c r="E7" s="133">
        <f t="shared" ref="E7" si="1">LEN(D7)</f>
        <v>17</v>
      </c>
      <c r="F7" s="201" t="s">
        <v>317</v>
      </c>
      <c r="G7" s="57" t="str">
        <f ca="1">VLOOKUP($A7,OFFSET([1]characters!$A$1,0,0,COUNTA([1]characters!$A:$A),MATCH("name",[1]characters!$1:$1,0)-MATCH("character_id",[1]characters!$1:$1,0)+1),MATCH("name",[1]characters!$1:$1,0)-MATCH("character_id",[1]characters!$1:$1,0)+1,FALSE)</f>
        <v>多重撃の荒法師 武蔵坊弁慶</v>
      </c>
      <c r="H7" s="134">
        <v>3</v>
      </c>
      <c r="I7" s="134"/>
      <c r="J7" s="139"/>
    </row>
    <row r="8" spans="1:10" ht="48" customHeight="1" x14ac:dyDescent="0.15">
      <c r="A8" s="12">
        <v>1026</v>
      </c>
      <c r="B8" s="131" t="s">
        <v>143</v>
      </c>
      <c r="C8" s="132" t="s">
        <v>356</v>
      </c>
      <c r="D8" s="199" t="s">
        <v>321</v>
      </c>
      <c r="E8" s="133">
        <f t="shared" ref="E8:E14" si="2">LEN(D8)</f>
        <v>18</v>
      </c>
      <c r="F8" s="201" t="s">
        <v>307</v>
      </c>
      <c r="G8" s="57" t="str">
        <f ca="1">VLOOKUP($A8,OFFSET([1]characters!$A$1,0,0,COUNTA([1]characters!$A:$A),MATCH("name",[1]characters!$1:$1,0)-MATCH("character_id",[1]characters!$1:$1,0)+1),MATCH("name",[1]characters!$1:$1,0)-MATCH("character_id",[1]characters!$1:$1,0)+1,FALSE)</f>
        <v>蝉丸</v>
      </c>
      <c r="H8" s="134">
        <v>3</v>
      </c>
      <c r="I8" s="134"/>
      <c r="J8" s="139"/>
    </row>
    <row r="9" spans="1:10" ht="48" customHeight="1" x14ac:dyDescent="0.15">
      <c r="A9" s="12">
        <v>1027</v>
      </c>
      <c r="B9" s="131" t="s">
        <v>143</v>
      </c>
      <c r="C9" s="132" t="s">
        <v>357</v>
      </c>
      <c r="D9" s="199" t="s">
        <v>322</v>
      </c>
      <c r="E9" s="133">
        <f t="shared" si="2"/>
        <v>18</v>
      </c>
      <c r="F9" s="201" t="s">
        <v>332</v>
      </c>
      <c r="G9" s="57" t="str">
        <f ca="1">VLOOKUP($A9,OFFSET([1]characters!$A$1,0,0,COUNTA([1]characters!$A:$A),MATCH("name",[1]characters!$1:$1,0)-MATCH("character_id",[1]characters!$1:$1,0)+1),MATCH("name",[1]characters!$1:$1,0)-MATCH("character_id",[1]characters!$1:$1,0)+1,FALSE)</f>
        <v>弾丸多重奏 蝉丸</v>
      </c>
      <c r="H9" s="134">
        <v>3</v>
      </c>
      <c r="I9" s="134"/>
      <c r="J9" s="139"/>
    </row>
    <row r="10" spans="1:10" ht="58" customHeight="1" x14ac:dyDescent="0.15">
      <c r="A10" s="198">
        <v>1028</v>
      </c>
      <c r="B10" s="131" t="s">
        <v>143</v>
      </c>
      <c r="C10" s="210" t="s">
        <v>330</v>
      </c>
      <c r="D10" s="210" t="s">
        <v>322</v>
      </c>
      <c r="E10" s="133">
        <f t="shared" si="2"/>
        <v>18</v>
      </c>
      <c r="F10" s="201" t="s">
        <v>333</v>
      </c>
      <c r="G10" s="57" t="str">
        <f ca="1">VLOOKUP($A10,OFFSET([1]characters!$A$1,0,0,COUNTA([1]characters!$A:$A),MATCH("name",[1]characters!$1:$1,0)-MATCH("character_id",[1]characters!$1:$1,0)+1),MATCH("name",[1]characters!$1:$1,0)-MATCH("character_id",[1]characters!$1:$1,0)+1,FALSE)</f>
        <v>牛若丸</v>
      </c>
      <c r="H10" s="134">
        <v>3</v>
      </c>
      <c r="I10" s="134"/>
      <c r="J10" s="139"/>
    </row>
    <row r="11" spans="1:10" ht="58" customHeight="1" x14ac:dyDescent="0.15">
      <c r="A11" s="198">
        <v>1029</v>
      </c>
      <c r="B11" s="131" t="s">
        <v>143</v>
      </c>
      <c r="C11" s="132" t="s">
        <v>331</v>
      </c>
      <c r="D11" s="199" t="s">
        <v>313</v>
      </c>
      <c r="E11" s="133">
        <f t="shared" si="2"/>
        <v>19</v>
      </c>
      <c r="F11" s="201" t="s">
        <v>306</v>
      </c>
      <c r="G11" s="57" t="str">
        <f ca="1">VLOOKUP($A11,OFFSET([1]characters!$A$1,0,0,COUNTA([1]characters!$A:$A),MATCH("name",[1]characters!$1:$1,0)-MATCH("character_id",[1]characters!$1:$1,0)+1),MATCH("name",[1]characters!$1:$1,0)-MATCH("character_id",[1]characters!$1:$1,0)+1,FALSE)</f>
        <v>天賦の軍才 牛若丸</v>
      </c>
      <c r="H11" s="134">
        <v>3</v>
      </c>
      <c r="I11" s="134"/>
      <c r="J11" s="139"/>
    </row>
    <row r="12" spans="1:10" ht="58" customHeight="1" x14ac:dyDescent="0.15">
      <c r="A12" s="12">
        <v>1031</v>
      </c>
      <c r="B12" s="131" t="s">
        <v>143</v>
      </c>
      <c r="C12" s="210" t="s">
        <v>399</v>
      </c>
      <c r="D12" s="210" t="s">
        <v>388</v>
      </c>
      <c r="E12" s="133">
        <f t="shared" si="2"/>
        <v>24</v>
      </c>
      <c r="F12" s="201" t="s">
        <v>379</v>
      </c>
      <c r="G12" s="57" t="str">
        <f ca="1">VLOOKUP($A12,OFFSET([1]characters!$A$1,0,0,COUNTA([1]characters!$A:$A),MATCH("name",[1]characters!$1:$1,0)-MATCH("character_id",[1]characters!$1:$1,0)+1),MATCH("name",[1]characters!$1:$1,0)-MATCH("character_id",[1]characters!$1:$1,0)+1,FALSE)</f>
        <v>紫式部</v>
      </c>
      <c r="H12" s="134">
        <v>3</v>
      </c>
      <c r="I12" s="134"/>
      <c r="J12" s="139"/>
    </row>
    <row r="13" spans="1:10" ht="58" customHeight="1" x14ac:dyDescent="0.15">
      <c r="A13" s="12">
        <v>1032</v>
      </c>
      <c r="B13" s="131" t="s">
        <v>143</v>
      </c>
      <c r="C13" s="132" t="s">
        <v>400</v>
      </c>
      <c r="D13" s="199" t="s">
        <v>389</v>
      </c>
      <c r="E13" s="133">
        <f t="shared" si="2"/>
        <v>24</v>
      </c>
      <c r="F13" s="201" t="s">
        <v>380</v>
      </c>
      <c r="G13" s="57" t="str">
        <f ca="1">VLOOKUP($A13,OFFSET([1]characters!$A$1,0,0,COUNTA([1]characters!$A:$A),MATCH("name",[1]characters!$1:$1,0)-MATCH("character_id",[1]characters!$1:$1,0)+1),MATCH("name",[1]characters!$1:$1,0)-MATCH("character_id",[1]characters!$1:$1,0)+1,FALSE)</f>
        <v>彩気煥発の創作人 紫式部</v>
      </c>
      <c r="H13" s="134">
        <v>3</v>
      </c>
      <c r="I13" s="134"/>
      <c r="J13" s="139"/>
    </row>
    <row r="14" spans="1:10" ht="48" customHeight="1" x14ac:dyDescent="0.15">
      <c r="A14" s="12">
        <v>1033</v>
      </c>
      <c r="B14" s="131" t="s">
        <v>143</v>
      </c>
      <c r="C14" s="132" t="s">
        <v>381</v>
      </c>
      <c r="D14" s="204" t="s">
        <v>390</v>
      </c>
      <c r="E14" s="133">
        <f t="shared" si="2"/>
        <v>23</v>
      </c>
      <c r="F14" s="208" t="s">
        <v>323</v>
      </c>
      <c r="G14" s="57" t="str">
        <f ca="1">VLOOKUP($A14,OFFSET([1]characters!$A$1,0,0,COUNTA([1]characters!$A:$A),MATCH("name",[1]characters!$1:$1,0)-MATCH("character_id",[1]characters!$1:$1,0)+1),MATCH("name",[1]characters!$1:$1,0)-MATCH("character_id",[1]characters!$1:$1,0)+1,FALSE)</f>
        <v>清少納言</v>
      </c>
      <c r="H14" s="134">
        <v>3</v>
      </c>
      <c r="I14" s="134"/>
      <c r="J14" s="139"/>
    </row>
    <row r="15" spans="1:10" ht="48" customHeight="1" x14ac:dyDescent="0.15">
      <c r="A15" s="12">
        <v>1034</v>
      </c>
      <c r="B15" s="131" t="s">
        <v>142</v>
      </c>
      <c r="C15" s="132" t="s">
        <v>381</v>
      </c>
      <c r="D15" s="204" t="s">
        <v>391</v>
      </c>
      <c r="E15" s="133">
        <f t="shared" ref="E15" si="3">LEN(D15)</f>
        <v>23</v>
      </c>
      <c r="F15" s="208" t="s">
        <v>323</v>
      </c>
      <c r="G15" s="57" t="str">
        <f ca="1">VLOOKUP($A15,OFFSET([1]characters!$A$1,0,0,COUNTA([1]characters!$A:$A),MATCH("name",[1]characters!$1:$1,0)-MATCH("character_id",[1]characters!$1:$1,0)+1),MATCH("name",[1]characters!$1:$1,0)-MATCH("character_id",[1]characters!$1:$1,0)+1,FALSE)</f>
        <v>爛漫なる随筆家 清少納言</v>
      </c>
      <c r="H15" s="134">
        <v>3</v>
      </c>
      <c r="I15" s="134"/>
      <c r="J15" s="139"/>
    </row>
  </sheetData>
  <sheetProtection selectLockedCells="1" selectUnlockedCells="1"/>
  <autoFilter ref="A1:J1"/>
  <phoneticPr fontId="21"/>
  <conditionalFormatting sqref="E8">
    <cfRule type="cellIs" dxfId="34" priority="10" operator="greaterThan">
      <formula>41</formula>
    </cfRule>
  </conditionalFormatting>
  <conditionalFormatting sqref="E9 E12">
    <cfRule type="cellIs" dxfId="33" priority="9" operator="greaterThan">
      <formula>41</formula>
    </cfRule>
  </conditionalFormatting>
  <conditionalFormatting sqref="E2:E3">
    <cfRule type="cellIs" dxfId="32" priority="6" operator="greaterThan">
      <formula>41</formula>
    </cfRule>
  </conditionalFormatting>
  <conditionalFormatting sqref="E4:E5">
    <cfRule type="cellIs" dxfId="31" priority="5" operator="greaterThan">
      <formula>41</formula>
    </cfRule>
  </conditionalFormatting>
  <conditionalFormatting sqref="E6:E7">
    <cfRule type="cellIs" dxfId="30" priority="4" operator="greaterThan">
      <formula>41</formula>
    </cfRule>
  </conditionalFormatting>
  <conditionalFormatting sqref="E10:E11">
    <cfRule type="cellIs" dxfId="29" priority="3" operator="greaterThan">
      <formula>41</formula>
    </cfRule>
  </conditionalFormatting>
  <conditionalFormatting sqref="E13:E14">
    <cfRule type="cellIs" dxfId="28" priority="2" operator="greaterThan">
      <formula>41</formula>
    </cfRule>
  </conditionalFormatting>
  <conditionalFormatting sqref="E15">
    <cfRule type="cellIs" dxfId="27" priority="1" operator="greaterThan">
      <formula>41</formula>
    </cfRule>
  </conditionalFormatting>
  <printOptions gridLines="1"/>
  <pageMargins left="0.75" right="0.75" top="1" bottom="1" header="0.51180555555555551" footer="0.51180555555555551"/>
  <pageSetup paperSize="9" firstPageNumber="0" orientation="portrait" horizontalDpi="300" verticalDpi="30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0000FF"/>
  </sheetPr>
  <dimension ref="A1:I76"/>
  <sheetViews>
    <sheetView topLeftCell="A31" zoomScale="125" workbookViewId="0">
      <selection activeCell="G52" sqref="G52"/>
    </sheetView>
  </sheetViews>
  <sheetFormatPr baseColWidth="12" defaultRowHeight="15" outlineLevelCol="1" x14ac:dyDescent="0.15"/>
  <cols>
    <col min="2" max="2" width="17.83203125" style="141" customWidth="1"/>
    <col min="4" max="4" width="12.83203125" style="141" customWidth="1" outlineLevel="1"/>
    <col min="5" max="5" width="12.83203125" style="141" customWidth="1"/>
    <col min="8" max="8" width="36" customWidth="1"/>
  </cols>
  <sheetData>
    <row r="1" spans="1:9" x14ac:dyDescent="0.15">
      <c r="A1" s="112" t="s">
        <v>144</v>
      </c>
      <c r="B1" s="140" t="s">
        <v>145</v>
      </c>
      <c r="C1" s="112" t="s">
        <v>146</v>
      </c>
      <c r="D1" s="140" t="s">
        <v>148</v>
      </c>
      <c r="E1" s="140" t="s">
        <v>149</v>
      </c>
      <c r="F1" s="110" t="s">
        <v>150</v>
      </c>
      <c r="G1" s="112" t="s">
        <v>147</v>
      </c>
      <c r="H1" s="110" t="s">
        <v>151</v>
      </c>
    </row>
    <row r="2" spans="1:9" x14ac:dyDescent="0.15">
      <c r="A2" s="108">
        <v>1020</v>
      </c>
      <c r="B2" s="140" t="str">
        <f>VLOOKUP(A2,[1]characters!$A:$C,3,FALSE)</f>
        <v>静御前</v>
      </c>
      <c r="C2" s="108" t="s">
        <v>152</v>
      </c>
      <c r="D2" s="140"/>
      <c r="E2" s="140" t="str">
        <f>A2&amp;+(COUNTIF(A$2:A2,A2)-1)</f>
        <v>10200</v>
      </c>
      <c r="F2" s="108" t="s">
        <v>154</v>
      </c>
      <c r="G2" s="108" t="s">
        <v>153</v>
      </c>
      <c r="H2" s="197" t="s">
        <v>401</v>
      </c>
      <c r="I2">
        <f>LEN(H2)</f>
        <v>13</v>
      </c>
    </row>
    <row r="3" spans="1:9" x14ac:dyDescent="0.15">
      <c r="A3" s="108">
        <v>1020</v>
      </c>
      <c r="B3" s="140" t="str">
        <f>VLOOKUP(A3,[1]characters!$A:$C,3,FALSE)</f>
        <v>静御前</v>
      </c>
      <c r="C3" s="108" t="s">
        <v>155</v>
      </c>
      <c r="D3" s="140"/>
      <c r="E3" s="140" t="str">
        <f>A3&amp;+(COUNTIF(A$2:A3,A3)-1)</f>
        <v>10201</v>
      </c>
      <c r="F3" s="108" t="s">
        <v>154</v>
      </c>
      <c r="G3" s="108" t="s">
        <v>153</v>
      </c>
      <c r="H3" s="197" t="s">
        <v>361</v>
      </c>
      <c r="I3">
        <f t="shared" ref="I3:I49" si="0">LEN(H3)</f>
        <v>8</v>
      </c>
    </row>
    <row r="4" spans="1:9" x14ac:dyDescent="0.15">
      <c r="A4" s="108">
        <v>1020</v>
      </c>
      <c r="B4" s="140" t="str">
        <f>VLOOKUP(A4,[1]characters!$A:$C,3,FALSE)</f>
        <v>静御前</v>
      </c>
      <c r="C4" s="108" t="s">
        <v>155</v>
      </c>
      <c r="D4" s="140"/>
      <c r="E4" s="140" t="str">
        <f>A4&amp;+(COUNTIF(A$2:A4,A4)-1)</f>
        <v>10202</v>
      </c>
      <c r="F4" s="108" t="s">
        <v>154</v>
      </c>
      <c r="G4" s="108" t="s">
        <v>153</v>
      </c>
      <c r="H4" s="197" t="s">
        <v>362</v>
      </c>
      <c r="I4">
        <f>LEN(H4)</f>
        <v>9</v>
      </c>
    </row>
    <row r="5" spans="1:9" x14ac:dyDescent="0.15">
      <c r="A5" s="108">
        <v>1021</v>
      </c>
      <c r="B5" s="140" t="str">
        <f>VLOOKUP(A5,[1]characters!$A:$C,3,FALSE)</f>
        <v>焔耀の舞姫 静御前</v>
      </c>
      <c r="C5" s="108" t="s">
        <v>152</v>
      </c>
      <c r="D5" s="140"/>
      <c r="E5" s="140" t="str">
        <f>A5&amp;+(COUNTIF(A$2:A5,A5)-1)</f>
        <v>10210</v>
      </c>
      <c r="F5" s="108" t="s">
        <v>154</v>
      </c>
      <c r="G5" s="108" t="s">
        <v>153</v>
      </c>
      <c r="H5" s="197" t="s">
        <v>410</v>
      </c>
      <c r="I5">
        <f t="shared" si="0"/>
        <v>9</v>
      </c>
    </row>
    <row r="6" spans="1:9" x14ac:dyDescent="0.15">
      <c r="A6" s="108">
        <v>1021</v>
      </c>
      <c r="B6" s="140" t="str">
        <f>VLOOKUP(A6,[1]characters!$A:$C,3,FALSE)</f>
        <v>焔耀の舞姫 静御前</v>
      </c>
      <c r="C6" s="108" t="s">
        <v>155</v>
      </c>
      <c r="D6" s="140"/>
      <c r="E6" s="140" t="str">
        <f>A6&amp;+(COUNTIF(A$2:A6,A6)-1)</f>
        <v>10211</v>
      </c>
      <c r="F6" s="108" t="s">
        <v>154</v>
      </c>
      <c r="G6" s="108" t="s">
        <v>153</v>
      </c>
      <c r="H6" s="197" t="s">
        <v>361</v>
      </c>
      <c r="I6">
        <f t="shared" si="0"/>
        <v>8</v>
      </c>
    </row>
    <row r="7" spans="1:9" x14ac:dyDescent="0.15">
      <c r="A7" s="108">
        <v>1021</v>
      </c>
      <c r="B7" s="140" t="str">
        <f>VLOOKUP(A7,[1]characters!$A:$C,3,FALSE)</f>
        <v>焔耀の舞姫 静御前</v>
      </c>
      <c r="C7" s="108" t="s">
        <v>155</v>
      </c>
      <c r="D7" s="140"/>
      <c r="E7" s="140" t="str">
        <f>A7&amp;+(COUNTIF(A$2:A7,A7)-1)</f>
        <v>10212</v>
      </c>
      <c r="F7" s="108" t="s">
        <v>154</v>
      </c>
      <c r="G7" s="108" t="s">
        <v>153</v>
      </c>
      <c r="H7" s="197" t="s">
        <v>364</v>
      </c>
      <c r="I7">
        <f t="shared" si="0"/>
        <v>9</v>
      </c>
    </row>
    <row r="8" spans="1:9" x14ac:dyDescent="0.15">
      <c r="A8" s="108">
        <v>1021</v>
      </c>
      <c r="B8" s="140" t="str">
        <f>VLOOKUP(A8,[1]characters!$A:$C,3,FALSE)</f>
        <v>焔耀の舞姫 静御前</v>
      </c>
      <c r="C8" s="108" t="s">
        <v>155</v>
      </c>
      <c r="D8" s="140"/>
      <c r="E8" s="140" t="str">
        <f>A8&amp;+(COUNTIF(A$2:A8,A8)-1)</f>
        <v>10213</v>
      </c>
      <c r="F8" s="108" t="s">
        <v>154</v>
      </c>
      <c r="G8" s="108" t="s">
        <v>153</v>
      </c>
      <c r="H8" s="197" t="s">
        <v>363</v>
      </c>
      <c r="I8">
        <f t="shared" si="0"/>
        <v>9</v>
      </c>
    </row>
    <row r="9" spans="1:9" x14ac:dyDescent="0.15">
      <c r="A9" s="108">
        <v>1022</v>
      </c>
      <c r="B9" s="140" t="str">
        <f>VLOOKUP(A9,[1]characters!$A:$C,3,FALSE)</f>
        <v>那須与一</v>
      </c>
      <c r="C9" s="108" t="s">
        <v>152</v>
      </c>
      <c r="D9" s="140"/>
      <c r="E9" s="140" t="str">
        <f>A9&amp;+(COUNTIF(A$2:A9,A9)-1)</f>
        <v>10220</v>
      </c>
      <c r="F9" s="108" t="s">
        <v>154</v>
      </c>
      <c r="G9" s="108" t="s">
        <v>153</v>
      </c>
      <c r="H9" s="197" t="s">
        <v>407</v>
      </c>
      <c r="I9">
        <f t="shared" si="0"/>
        <v>13</v>
      </c>
    </row>
    <row r="10" spans="1:9" x14ac:dyDescent="0.15">
      <c r="A10" s="108">
        <v>1022</v>
      </c>
      <c r="B10" s="140" t="str">
        <f>VLOOKUP(A10,[1]characters!$A:$C,3,FALSE)</f>
        <v>那須与一</v>
      </c>
      <c r="C10" s="108" t="s">
        <v>155</v>
      </c>
      <c r="D10" s="140"/>
      <c r="E10" s="140" t="str">
        <f>A10&amp;+(COUNTIF(A$2:A10,A10)-1)</f>
        <v>10221</v>
      </c>
      <c r="F10" s="108" t="s">
        <v>154</v>
      </c>
      <c r="G10" s="108" t="s">
        <v>153</v>
      </c>
      <c r="H10" s="197" t="s">
        <v>404</v>
      </c>
      <c r="I10">
        <f t="shared" si="0"/>
        <v>12</v>
      </c>
    </row>
    <row r="11" spans="1:9" x14ac:dyDescent="0.15">
      <c r="A11" s="108">
        <v>1022</v>
      </c>
      <c r="B11" s="140" t="str">
        <f>VLOOKUP(A11,[1]characters!$A:$C,3,FALSE)</f>
        <v>那須与一</v>
      </c>
      <c r="C11" s="108" t="s">
        <v>155</v>
      </c>
      <c r="D11" s="140"/>
      <c r="E11" s="140" t="str">
        <f>A11&amp;+(COUNTIF(A$2:A11,A11)-1)</f>
        <v>10222</v>
      </c>
      <c r="F11" s="108" t="s">
        <v>154</v>
      </c>
      <c r="G11" s="108" t="s">
        <v>153</v>
      </c>
      <c r="H11" s="197" t="s">
        <v>365</v>
      </c>
      <c r="I11">
        <f t="shared" si="0"/>
        <v>10</v>
      </c>
    </row>
    <row r="12" spans="1:9" x14ac:dyDescent="0.15">
      <c r="A12" s="108">
        <v>1023</v>
      </c>
      <c r="B12" s="140" t="str">
        <f>VLOOKUP(A12,[1]characters!$A:$C,3,FALSE)</f>
        <v>心射抜く投擲者 那須与一</v>
      </c>
      <c r="C12" s="108" t="s">
        <v>152</v>
      </c>
      <c r="D12" s="140"/>
      <c r="E12" s="140" t="str">
        <f>A12&amp;+(COUNTIF(A$2:A12,A12)-1)</f>
        <v>10230</v>
      </c>
      <c r="F12" s="108" t="s">
        <v>154</v>
      </c>
      <c r="G12" s="108" t="s">
        <v>153</v>
      </c>
      <c r="H12" s="197" t="s">
        <v>406</v>
      </c>
      <c r="I12">
        <f t="shared" si="0"/>
        <v>12</v>
      </c>
    </row>
    <row r="13" spans="1:9" x14ac:dyDescent="0.15">
      <c r="A13" s="108">
        <v>1023</v>
      </c>
      <c r="B13" s="140" t="str">
        <f>VLOOKUP(A13,[1]characters!$A:$C,3,FALSE)</f>
        <v>心射抜く投擲者 那須与一</v>
      </c>
      <c r="C13" s="108" t="s">
        <v>155</v>
      </c>
      <c r="D13" s="140"/>
      <c r="E13" s="140" t="str">
        <f>A13&amp;+(COUNTIF(A$2:A13,A13)-1)</f>
        <v>10231</v>
      </c>
      <c r="F13" s="108" t="s">
        <v>154</v>
      </c>
      <c r="G13" s="108" t="s">
        <v>153</v>
      </c>
      <c r="H13" s="197" t="s">
        <v>404</v>
      </c>
      <c r="I13">
        <f t="shared" si="0"/>
        <v>12</v>
      </c>
    </row>
    <row r="14" spans="1:9" x14ac:dyDescent="0.15">
      <c r="A14" s="108">
        <v>1023</v>
      </c>
      <c r="B14" s="140" t="str">
        <f>VLOOKUP(A14,[1]characters!$A:$C,3,FALSE)</f>
        <v>心射抜く投擲者 那須与一</v>
      </c>
      <c r="C14" s="108" t="s">
        <v>155</v>
      </c>
      <c r="D14" s="140"/>
      <c r="E14" s="140" t="str">
        <f>A14&amp;+(COUNTIF(A$2:A14,A14)-1)</f>
        <v>10232</v>
      </c>
      <c r="F14" s="108" t="s">
        <v>154</v>
      </c>
      <c r="G14" s="108" t="s">
        <v>153</v>
      </c>
      <c r="H14" s="197" t="s">
        <v>405</v>
      </c>
      <c r="I14">
        <f t="shared" si="0"/>
        <v>10</v>
      </c>
    </row>
    <row r="15" spans="1:9" x14ac:dyDescent="0.15">
      <c r="A15" s="108">
        <v>1023</v>
      </c>
      <c r="B15" s="140" t="str">
        <f>VLOOKUP(A15,[1]characters!$A:$C,3,FALSE)</f>
        <v>心射抜く投擲者 那須与一</v>
      </c>
      <c r="C15" s="108" t="s">
        <v>155</v>
      </c>
      <c r="D15" s="140"/>
      <c r="E15" s="140" t="str">
        <f>A15&amp;+(COUNTIF(A$2:A15,A15)-1)</f>
        <v>10233</v>
      </c>
      <c r="F15" s="108" t="s">
        <v>154</v>
      </c>
      <c r="G15" s="108" t="s">
        <v>153</v>
      </c>
      <c r="H15" s="197" t="s">
        <v>366</v>
      </c>
      <c r="I15">
        <f t="shared" si="0"/>
        <v>11</v>
      </c>
    </row>
    <row r="16" spans="1:9" x14ac:dyDescent="0.15">
      <c r="A16" s="108">
        <v>1024</v>
      </c>
      <c r="B16" s="140" t="str">
        <f>VLOOKUP(A16,[1]characters!$A:$C,3,FALSE)</f>
        <v>武蔵坊弁慶</v>
      </c>
      <c r="C16" s="108" t="s">
        <v>152</v>
      </c>
      <c r="D16" s="140"/>
      <c r="E16" s="140" t="str">
        <f>A16&amp;+(COUNTIF(A$2:A16,A16)-1)</f>
        <v>10240</v>
      </c>
      <c r="F16" s="108" t="s">
        <v>154</v>
      </c>
      <c r="G16" s="108" t="s">
        <v>153</v>
      </c>
      <c r="H16" s="197" t="s">
        <v>367</v>
      </c>
      <c r="I16">
        <f>LEN(H16)</f>
        <v>12</v>
      </c>
    </row>
    <row r="17" spans="1:9" x14ac:dyDescent="0.15">
      <c r="A17" s="108">
        <v>1024</v>
      </c>
      <c r="B17" s="140" t="str">
        <f>VLOOKUP(A17,[1]characters!$A:$C,3,FALSE)</f>
        <v>武蔵坊弁慶</v>
      </c>
      <c r="C17" s="108" t="s">
        <v>155</v>
      </c>
      <c r="D17" s="140"/>
      <c r="E17" s="140" t="str">
        <f>A17&amp;+(COUNTIF(A$2:A17,A17)-1)</f>
        <v>10241</v>
      </c>
      <c r="F17" s="108" t="s">
        <v>154</v>
      </c>
      <c r="G17" s="108" t="s">
        <v>153</v>
      </c>
      <c r="H17" s="197" t="s">
        <v>368</v>
      </c>
      <c r="I17">
        <f>LEN(H17)</f>
        <v>8</v>
      </c>
    </row>
    <row r="18" spans="1:9" x14ac:dyDescent="0.15">
      <c r="A18" s="108">
        <v>1024</v>
      </c>
      <c r="B18" s="140" t="str">
        <f>VLOOKUP(A18,[1]characters!$A:$C,3,FALSE)</f>
        <v>武蔵坊弁慶</v>
      </c>
      <c r="C18" s="108" t="s">
        <v>155</v>
      </c>
      <c r="D18" s="140"/>
      <c r="E18" s="140" t="str">
        <f>A18&amp;+(COUNTIF(A$2:A18,A18)-1)</f>
        <v>10242</v>
      </c>
      <c r="F18" s="108" t="s">
        <v>154</v>
      </c>
      <c r="G18" s="108" t="s">
        <v>153</v>
      </c>
      <c r="H18" s="197" t="s">
        <v>369</v>
      </c>
      <c r="I18">
        <f t="shared" si="0"/>
        <v>9</v>
      </c>
    </row>
    <row r="19" spans="1:9" x14ac:dyDescent="0.15">
      <c r="A19" s="108">
        <v>1024</v>
      </c>
      <c r="B19" s="140" t="str">
        <f>VLOOKUP(A19,[1]characters!$A:$C,3,FALSE)</f>
        <v>武蔵坊弁慶</v>
      </c>
      <c r="C19" s="108" t="s">
        <v>155</v>
      </c>
      <c r="D19" s="140"/>
      <c r="E19" s="140" t="str">
        <f>A19&amp;+(COUNTIF(A$2:A19,A19)-1)</f>
        <v>10243</v>
      </c>
      <c r="F19" s="108" t="s">
        <v>154</v>
      </c>
      <c r="G19" s="108" t="s">
        <v>153</v>
      </c>
      <c r="H19" s="197" t="s">
        <v>370</v>
      </c>
      <c r="I19">
        <f t="shared" si="0"/>
        <v>8</v>
      </c>
    </row>
    <row r="20" spans="1:9" x14ac:dyDescent="0.15">
      <c r="A20" s="108">
        <v>1025</v>
      </c>
      <c r="B20" s="140" t="str">
        <f>VLOOKUP(A20,[1]characters!$A:$C,3,FALSE)</f>
        <v>多重撃の荒法師 武蔵坊弁慶</v>
      </c>
      <c r="C20" s="108" t="s">
        <v>152</v>
      </c>
      <c r="D20" s="140"/>
      <c r="E20" s="140" t="str">
        <f>A20&amp;+(COUNTIF(A$2:A20,A20)-1)</f>
        <v>10250</v>
      </c>
      <c r="F20" s="108" t="s">
        <v>154</v>
      </c>
      <c r="G20" s="108" t="s">
        <v>153</v>
      </c>
      <c r="H20" s="197" t="s">
        <v>396</v>
      </c>
      <c r="I20">
        <f>LEN(H20)</f>
        <v>12</v>
      </c>
    </row>
    <row r="21" spans="1:9" x14ac:dyDescent="0.15">
      <c r="A21" s="108">
        <v>1025</v>
      </c>
      <c r="B21" s="140" t="str">
        <f>VLOOKUP(A21,[1]characters!$A:$C,3,FALSE)</f>
        <v>多重撃の荒法師 武蔵坊弁慶</v>
      </c>
      <c r="C21" s="108" t="s">
        <v>155</v>
      </c>
      <c r="D21" s="140"/>
      <c r="E21" s="140" t="str">
        <f>A21&amp;+(COUNTIF(A$2:A21,A21)-1)</f>
        <v>10251</v>
      </c>
      <c r="F21" s="108" t="s">
        <v>154</v>
      </c>
      <c r="G21" s="108" t="s">
        <v>153</v>
      </c>
      <c r="H21" s="197" t="s">
        <v>368</v>
      </c>
      <c r="I21">
        <f t="shared" si="0"/>
        <v>8</v>
      </c>
    </row>
    <row r="22" spans="1:9" x14ac:dyDescent="0.15">
      <c r="A22" s="108">
        <v>1025</v>
      </c>
      <c r="B22" s="140" t="str">
        <f>VLOOKUP(A22,[1]characters!$A:$C,3,FALSE)</f>
        <v>多重撃の荒法師 武蔵坊弁慶</v>
      </c>
      <c r="C22" s="108" t="s">
        <v>155</v>
      </c>
      <c r="D22" s="140"/>
      <c r="E22" s="140" t="str">
        <f>A22&amp;+(COUNTIF(A$2:A22,A22)-1)</f>
        <v>10252</v>
      </c>
      <c r="F22" s="108" t="s">
        <v>154</v>
      </c>
      <c r="G22" s="108" t="s">
        <v>153</v>
      </c>
      <c r="H22" s="197" t="s">
        <v>369</v>
      </c>
      <c r="I22">
        <f t="shared" si="0"/>
        <v>9</v>
      </c>
    </row>
    <row r="23" spans="1:9" x14ac:dyDescent="0.15">
      <c r="A23" s="108">
        <v>1025</v>
      </c>
      <c r="B23" s="140" t="str">
        <f>VLOOKUP(A23,[1]characters!$A:$C,3,FALSE)</f>
        <v>多重撃の荒法師 武蔵坊弁慶</v>
      </c>
      <c r="C23" s="108" t="s">
        <v>155</v>
      </c>
      <c r="D23" s="140"/>
      <c r="E23" s="140" t="str">
        <f>A23&amp;+(COUNTIF(A$2:A23,A23)-1)</f>
        <v>10253</v>
      </c>
      <c r="F23" s="108" t="s">
        <v>154</v>
      </c>
      <c r="G23" s="108" t="s">
        <v>153</v>
      </c>
      <c r="H23" s="197" t="s">
        <v>370</v>
      </c>
      <c r="I23">
        <f>LEN(H23)</f>
        <v>8</v>
      </c>
    </row>
    <row r="24" spans="1:9" x14ac:dyDescent="0.15">
      <c r="A24" s="108">
        <v>1025</v>
      </c>
      <c r="B24" s="140" t="str">
        <f>VLOOKUP(A24,[1]characters!$A:$C,3,FALSE)</f>
        <v>多重撃の荒法師 武蔵坊弁慶</v>
      </c>
      <c r="C24" s="108" t="s">
        <v>155</v>
      </c>
      <c r="D24" s="140"/>
      <c r="E24" s="140" t="str">
        <f>A24&amp;+(COUNTIF(A$2:A24,A24)-1)</f>
        <v>10254</v>
      </c>
      <c r="F24" s="108" t="s">
        <v>154</v>
      </c>
      <c r="G24" s="108" t="s">
        <v>153</v>
      </c>
      <c r="H24" s="197" t="s">
        <v>371</v>
      </c>
      <c r="I24">
        <f t="shared" si="0"/>
        <v>11</v>
      </c>
    </row>
    <row r="25" spans="1:9" x14ac:dyDescent="0.15">
      <c r="A25" s="108">
        <v>1026</v>
      </c>
      <c r="B25" s="140" t="str">
        <f>VLOOKUP(A25,[1]characters!$A:$C,3,FALSE)</f>
        <v>蝉丸</v>
      </c>
      <c r="C25" s="108" t="s">
        <v>152</v>
      </c>
      <c r="D25" s="140"/>
      <c r="E25" s="140" t="str">
        <f>A25&amp;+(COUNTIF(A$2:A25,A25)-1)</f>
        <v>10260</v>
      </c>
      <c r="F25" s="108" t="s">
        <v>154</v>
      </c>
      <c r="G25" s="108" t="s">
        <v>153</v>
      </c>
      <c r="H25" s="197" t="s">
        <v>372</v>
      </c>
      <c r="I25">
        <f t="shared" si="0"/>
        <v>13</v>
      </c>
    </row>
    <row r="26" spans="1:9" x14ac:dyDescent="0.15">
      <c r="A26" s="108">
        <v>1026</v>
      </c>
      <c r="B26" s="140" t="str">
        <f>VLOOKUP(A26,[1]characters!$A:$C,3,FALSE)</f>
        <v>蝉丸</v>
      </c>
      <c r="C26" s="108" t="s">
        <v>155</v>
      </c>
      <c r="D26" s="140"/>
      <c r="E26" s="140" t="str">
        <f>A26&amp;+(COUNTIF(A$2:A26,A26)-1)</f>
        <v>10261</v>
      </c>
      <c r="F26" s="108" t="s">
        <v>154</v>
      </c>
      <c r="G26" s="108" t="s">
        <v>153</v>
      </c>
      <c r="H26" s="197" t="s">
        <v>373</v>
      </c>
      <c r="I26">
        <f t="shared" si="0"/>
        <v>11</v>
      </c>
    </row>
    <row r="27" spans="1:9" x14ac:dyDescent="0.15">
      <c r="A27" s="108">
        <v>1026</v>
      </c>
      <c r="B27" s="140" t="str">
        <f>VLOOKUP(A27,[1]characters!$A:$C,3,FALSE)</f>
        <v>蝉丸</v>
      </c>
      <c r="C27" s="108" t="s">
        <v>155</v>
      </c>
      <c r="D27" s="140"/>
      <c r="E27" s="140" t="str">
        <f>A27&amp;+(COUNTIF(A$2:A27,A27)-1)</f>
        <v>10262</v>
      </c>
      <c r="F27" s="108" t="s">
        <v>154</v>
      </c>
      <c r="G27" s="108" t="s">
        <v>153</v>
      </c>
      <c r="H27" s="197" t="s">
        <v>374</v>
      </c>
      <c r="I27">
        <f t="shared" si="0"/>
        <v>11</v>
      </c>
    </row>
    <row r="28" spans="1:9" x14ac:dyDescent="0.15">
      <c r="A28" s="108">
        <v>1027</v>
      </c>
      <c r="B28" s="140" t="str">
        <f>VLOOKUP(A28,[1]characters!$A:$C,3,FALSE)</f>
        <v>弾丸多重奏 蝉丸</v>
      </c>
      <c r="C28" s="108" t="s">
        <v>152</v>
      </c>
      <c r="D28" s="140"/>
      <c r="E28" s="140" t="str">
        <f>A28&amp;+(COUNTIF(A$2:A28,A28)-1)</f>
        <v>10270</v>
      </c>
      <c r="F28" s="108" t="s">
        <v>154</v>
      </c>
      <c r="G28" s="108" t="s">
        <v>153</v>
      </c>
      <c r="H28" s="197" t="s">
        <v>377</v>
      </c>
      <c r="I28">
        <f t="shared" si="0"/>
        <v>13</v>
      </c>
    </row>
    <row r="29" spans="1:9" x14ac:dyDescent="0.15">
      <c r="A29" s="108">
        <v>1027</v>
      </c>
      <c r="B29" s="140" t="str">
        <f>VLOOKUP(A29,[1]characters!$A:$C,3,FALSE)</f>
        <v>弾丸多重奏 蝉丸</v>
      </c>
      <c r="C29" s="108" t="s">
        <v>155</v>
      </c>
      <c r="D29" s="140"/>
      <c r="E29" s="140" t="str">
        <f>A29&amp;+(COUNTIF(A$2:A29,A29)-1)</f>
        <v>10271</v>
      </c>
      <c r="F29" s="108" t="s">
        <v>154</v>
      </c>
      <c r="G29" s="108" t="s">
        <v>153</v>
      </c>
      <c r="H29" s="197" t="s">
        <v>373</v>
      </c>
      <c r="I29">
        <f t="shared" si="0"/>
        <v>11</v>
      </c>
    </row>
    <row r="30" spans="1:9" x14ac:dyDescent="0.15">
      <c r="A30" s="108">
        <v>1027</v>
      </c>
      <c r="B30" s="140" t="str">
        <f>VLOOKUP(A30,[1]characters!$A:$C,3,FALSE)</f>
        <v>弾丸多重奏 蝉丸</v>
      </c>
      <c r="C30" s="108" t="s">
        <v>155</v>
      </c>
      <c r="D30" s="140"/>
      <c r="E30" s="140" t="str">
        <f>A30&amp;+(COUNTIF(A$2:A30,A30)-1)</f>
        <v>10272</v>
      </c>
      <c r="F30" s="108" t="s">
        <v>154</v>
      </c>
      <c r="G30" s="108" t="s">
        <v>153</v>
      </c>
      <c r="H30" s="197" t="s">
        <v>376</v>
      </c>
      <c r="I30">
        <f t="shared" si="0"/>
        <v>11</v>
      </c>
    </row>
    <row r="31" spans="1:9" x14ac:dyDescent="0.15">
      <c r="A31" s="108">
        <v>1027</v>
      </c>
      <c r="B31" s="140" t="str">
        <f>VLOOKUP(A31,[1]characters!$A:$C,3,FALSE)</f>
        <v>弾丸多重奏 蝉丸</v>
      </c>
      <c r="C31" s="108" t="s">
        <v>155</v>
      </c>
      <c r="D31" s="140"/>
      <c r="E31" s="140" t="str">
        <f>A31&amp;+(COUNTIF(A$2:A31,A31)-1)</f>
        <v>10273</v>
      </c>
      <c r="F31" s="108" t="s">
        <v>154</v>
      </c>
      <c r="G31" s="108" t="s">
        <v>153</v>
      </c>
      <c r="H31" s="197" t="s">
        <v>375</v>
      </c>
      <c r="I31">
        <f t="shared" si="0"/>
        <v>9</v>
      </c>
    </row>
    <row r="32" spans="1:9" x14ac:dyDescent="0.15">
      <c r="A32" s="109">
        <v>1028</v>
      </c>
      <c r="B32" s="140" t="str">
        <f>VLOOKUP(A32,[1]characters!$A:$C,3,FALSE)</f>
        <v>牛若丸</v>
      </c>
      <c r="C32" s="108" t="s">
        <v>152</v>
      </c>
      <c r="D32" s="140"/>
      <c r="E32" s="140" t="str">
        <f>A32&amp;+(COUNTIF(A$2:A32,A32)-1)</f>
        <v>10280</v>
      </c>
      <c r="F32" s="108" t="s">
        <v>154</v>
      </c>
      <c r="G32" s="108" t="s">
        <v>153</v>
      </c>
      <c r="H32" s="197" t="s">
        <v>408</v>
      </c>
      <c r="I32">
        <f t="shared" si="0"/>
        <v>13</v>
      </c>
    </row>
    <row r="33" spans="1:9" x14ac:dyDescent="0.15">
      <c r="A33" s="109">
        <v>1028</v>
      </c>
      <c r="B33" s="140" t="str">
        <f>VLOOKUP(A33,[1]characters!$A:$C,3,FALSE)</f>
        <v>牛若丸</v>
      </c>
      <c r="C33" s="108" t="s">
        <v>155</v>
      </c>
      <c r="D33" s="140"/>
      <c r="E33" s="140" t="str">
        <f>A33&amp;+(COUNTIF(A$2:A33,A33)-1)</f>
        <v>10281</v>
      </c>
      <c r="F33" s="108" t="s">
        <v>154</v>
      </c>
      <c r="G33" s="108" t="s">
        <v>153</v>
      </c>
      <c r="H33" s="197" t="s">
        <v>334</v>
      </c>
      <c r="I33">
        <f t="shared" si="0"/>
        <v>9</v>
      </c>
    </row>
    <row r="34" spans="1:9" x14ac:dyDescent="0.15">
      <c r="A34" s="109">
        <v>1028</v>
      </c>
      <c r="B34" s="140" t="str">
        <f>VLOOKUP(A34,[1]characters!$A:$C,3,FALSE)</f>
        <v>牛若丸</v>
      </c>
      <c r="C34" s="108" t="s">
        <v>155</v>
      </c>
      <c r="D34" s="140"/>
      <c r="E34" s="140" t="str">
        <f>A34&amp;+(COUNTIF(A$2:A34,A34)-1)</f>
        <v>10282</v>
      </c>
      <c r="F34" s="108" t="s">
        <v>154</v>
      </c>
      <c r="G34" s="108" t="s">
        <v>153</v>
      </c>
      <c r="H34" s="197" t="s">
        <v>335</v>
      </c>
      <c r="I34">
        <f t="shared" si="0"/>
        <v>10</v>
      </c>
    </row>
    <row r="35" spans="1:9" x14ac:dyDescent="0.15">
      <c r="A35" s="109">
        <v>1028</v>
      </c>
      <c r="B35" s="140" t="str">
        <f>VLOOKUP(A35,[1]characters!$A:$C,3,FALSE)</f>
        <v>牛若丸</v>
      </c>
      <c r="C35" s="108" t="s">
        <v>155</v>
      </c>
      <c r="D35" s="140"/>
      <c r="E35" s="140" t="str">
        <f>A35&amp;+(COUNTIF(A$2:A35,A35)-1)</f>
        <v>10283</v>
      </c>
      <c r="F35" s="108" t="s">
        <v>154</v>
      </c>
      <c r="G35" s="108" t="s">
        <v>153</v>
      </c>
      <c r="H35" s="220" t="s">
        <v>411</v>
      </c>
      <c r="I35">
        <f t="shared" si="0"/>
        <v>11</v>
      </c>
    </row>
    <row r="36" spans="1:9" x14ac:dyDescent="0.15">
      <c r="A36" s="109">
        <v>1029</v>
      </c>
      <c r="B36" s="140" t="str">
        <f>VLOOKUP(A36,[1]characters!$A:$C,3,FALSE)</f>
        <v>天賦の軍才 牛若丸</v>
      </c>
      <c r="C36" s="108" t="s">
        <v>152</v>
      </c>
      <c r="D36" s="140"/>
      <c r="E36" s="140" t="str">
        <f>A36&amp;+(COUNTIF(A$2:A36,A36)-1)</f>
        <v>10290</v>
      </c>
      <c r="F36" s="108" t="s">
        <v>154</v>
      </c>
      <c r="G36" s="108" t="s">
        <v>153</v>
      </c>
      <c r="H36" s="197" t="s">
        <v>403</v>
      </c>
      <c r="I36">
        <f t="shared" si="0"/>
        <v>11</v>
      </c>
    </row>
    <row r="37" spans="1:9" x14ac:dyDescent="0.15">
      <c r="A37" s="109">
        <v>1029</v>
      </c>
      <c r="B37" s="140" t="str">
        <f>VLOOKUP(A37,[1]characters!$A:$C,3,FALSE)</f>
        <v>天賦の軍才 牛若丸</v>
      </c>
      <c r="C37" s="108" t="s">
        <v>155</v>
      </c>
      <c r="D37" s="140"/>
      <c r="E37" s="140" t="str">
        <f>A37&amp;+(COUNTIF(A$2:A37,A37)-1)</f>
        <v>10291</v>
      </c>
      <c r="F37" s="108" t="s">
        <v>154</v>
      </c>
      <c r="G37" s="108" t="s">
        <v>153</v>
      </c>
      <c r="H37" s="197" t="s">
        <v>334</v>
      </c>
      <c r="I37">
        <f t="shared" si="0"/>
        <v>9</v>
      </c>
    </row>
    <row r="38" spans="1:9" x14ac:dyDescent="0.15">
      <c r="A38" s="109">
        <v>1029</v>
      </c>
      <c r="B38" s="140" t="str">
        <f>VLOOKUP(A38,[1]characters!$A:$C,3,FALSE)</f>
        <v>天賦の軍才 牛若丸</v>
      </c>
      <c r="C38" s="108" t="s">
        <v>155</v>
      </c>
      <c r="D38" s="140"/>
      <c r="E38" s="140" t="str">
        <f>A38&amp;+(COUNTIF(A$2:A38,A38)-1)</f>
        <v>10292</v>
      </c>
      <c r="F38" s="108" t="s">
        <v>154</v>
      </c>
      <c r="G38" s="108" t="s">
        <v>153</v>
      </c>
      <c r="H38" s="197" t="s">
        <v>335</v>
      </c>
      <c r="I38">
        <f t="shared" si="0"/>
        <v>10</v>
      </c>
    </row>
    <row r="39" spans="1:9" x14ac:dyDescent="0.15">
      <c r="A39" s="109">
        <v>1029</v>
      </c>
      <c r="B39" s="140" t="str">
        <f>VLOOKUP(A39,[1]characters!$A:$C,3,FALSE)</f>
        <v>天賦の軍才 牛若丸</v>
      </c>
      <c r="C39" s="108" t="s">
        <v>155</v>
      </c>
      <c r="D39" s="140"/>
      <c r="E39" s="140" t="str">
        <f>A39&amp;+(COUNTIF(A$2:A39,A39)-1)</f>
        <v>10293</v>
      </c>
      <c r="F39" s="108" t="s">
        <v>154</v>
      </c>
      <c r="G39" s="108" t="s">
        <v>153</v>
      </c>
      <c r="H39" s="197" t="s">
        <v>393</v>
      </c>
      <c r="I39">
        <f t="shared" si="0"/>
        <v>11</v>
      </c>
    </row>
    <row r="40" spans="1:9" x14ac:dyDescent="0.15">
      <c r="A40" s="109">
        <v>1029</v>
      </c>
      <c r="B40" s="140" t="str">
        <f>VLOOKUP(A40,[1]characters!$A:$C,3,FALSE)</f>
        <v>天賦の軍才 牛若丸</v>
      </c>
      <c r="C40" s="108" t="s">
        <v>155</v>
      </c>
      <c r="D40" s="140"/>
      <c r="E40" s="140" t="str">
        <f>A40&amp;+(COUNTIF(A$2:A40,A40)-1)</f>
        <v>10294</v>
      </c>
      <c r="F40" s="108" t="s">
        <v>154</v>
      </c>
      <c r="G40" s="108" t="s">
        <v>153</v>
      </c>
      <c r="H40" s="197" t="s">
        <v>336</v>
      </c>
      <c r="I40">
        <f t="shared" si="0"/>
        <v>11</v>
      </c>
    </row>
    <row r="41" spans="1:9" x14ac:dyDescent="0.15">
      <c r="A41" s="109">
        <v>1031</v>
      </c>
      <c r="B41" s="140" t="str">
        <f>VLOOKUP(A41,[1]characters!$A:$C,3,FALSE)</f>
        <v>紫式部</v>
      </c>
      <c r="C41" s="108" t="s">
        <v>152</v>
      </c>
      <c r="D41" s="140"/>
      <c r="E41" s="140" t="str">
        <f>A41&amp;+(COUNTIF(A$2:A41,A41)-1)</f>
        <v>10310</v>
      </c>
      <c r="F41" s="108" t="s">
        <v>154</v>
      </c>
      <c r="G41" s="108" t="s">
        <v>153</v>
      </c>
      <c r="H41" s="197" t="s">
        <v>338</v>
      </c>
      <c r="I41">
        <f t="shared" si="0"/>
        <v>11</v>
      </c>
    </row>
    <row r="42" spans="1:9" x14ac:dyDescent="0.15">
      <c r="A42" s="108">
        <v>1031</v>
      </c>
      <c r="B42" s="140" t="str">
        <f>VLOOKUP(A42,[1]characters!$A:$C,3,FALSE)</f>
        <v>紫式部</v>
      </c>
      <c r="C42" s="108" t="s">
        <v>155</v>
      </c>
      <c r="D42" s="140"/>
      <c r="E42" s="140" t="str">
        <f>A42&amp;+(COUNTIF(A$2:A42,A42)-1)</f>
        <v>10311</v>
      </c>
      <c r="F42" s="108" t="s">
        <v>154</v>
      </c>
      <c r="G42" s="108" t="s">
        <v>153</v>
      </c>
      <c r="H42" s="197" t="s">
        <v>339</v>
      </c>
      <c r="I42">
        <f t="shared" si="0"/>
        <v>11</v>
      </c>
    </row>
    <row r="43" spans="1:9" x14ac:dyDescent="0.15">
      <c r="A43" s="108">
        <v>1031</v>
      </c>
      <c r="B43" s="140" t="str">
        <f>VLOOKUP(A43,[1]characters!$A:$C,3,FALSE)</f>
        <v>紫式部</v>
      </c>
      <c r="C43" s="108" t="s">
        <v>155</v>
      </c>
      <c r="D43" s="140"/>
      <c r="E43" s="140" t="str">
        <f>A43&amp;+(COUNTIF(A$2:A43,A43)-1)</f>
        <v>10312</v>
      </c>
      <c r="F43" s="108" t="s">
        <v>154</v>
      </c>
      <c r="G43" s="108" t="s">
        <v>153</v>
      </c>
      <c r="H43" s="197" t="s">
        <v>340</v>
      </c>
      <c r="I43">
        <f t="shared" si="0"/>
        <v>9</v>
      </c>
    </row>
    <row r="44" spans="1:9" x14ac:dyDescent="0.15">
      <c r="A44" s="108">
        <v>1031</v>
      </c>
      <c r="B44" s="140" t="str">
        <f>VLOOKUP(A44,[1]characters!$A:$C,3,FALSE)</f>
        <v>紫式部</v>
      </c>
      <c r="C44" s="108" t="s">
        <v>155</v>
      </c>
      <c r="D44" s="140"/>
      <c r="E44" s="140" t="str">
        <f>A44&amp;+(COUNTIF(A$2:A44,A44)-1)</f>
        <v>10313</v>
      </c>
      <c r="F44" s="108" t="s">
        <v>154</v>
      </c>
      <c r="G44" s="108" t="s">
        <v>153</v>
      </c>
      <c r="H44" s="220" t="s">
        <v>412</v>
      </c>
      <c r="I44">
        <f t="shared" si="0"/>
        <v>8</v>
      </c>
    </row>
    <row r="45" spans="1:9" x14ac:dyDescent="0.15">
      <c r="A45" s="108">
        <v>1032</v>
      </c>
      <c r="B45" s="140" t="str">
        <f>VLOOKUP(A45,[1]characters!$A:$C,3,FALSE)</f>
        <v>彩気煥発の創作人 紫式部</v>
      </c>
      <c r="C45" s="108" t="s">
        <v>152</v>
      </c>
      <c r="D45" s="140"/>
      <c r="E45" s="140" t="str">
        <f>A45&amp;+(COUNTIF(A$2:A45,A45)-1)</f>
        <v>10320</v>
      </c>
      <c r="F45" s="108" t="s">
        <v>154</v>
      </c>
      <c r="G45" s="108" t="s">
        <v>153</v>
      </c>
      <c r="H45" s="197" t="s">
        <v>394</v>
      </c>
      <c r="I45">
        <f t="shared" si="0"/>
        <v>10</v>
      </c>
    </row>
    <row r="46" spans="1:9" x14ac:dyDescent="0.15">
      <c r="A46" s="108">
        <v>1032</v>
      </c>
      <c r="B46" s="140" t="str">
        <f>VLOOKUP(A46,[1]characters!$A:$C,3,FALSE)</f>
        <v>彩気煥発の創作人 紫式部</v>
      </c>
      <c r="C46" s="108" t="s">
        <v>155</v>
      </c>
      <c r="D46" s="140"/>
      <c r="E46" s="140" t="str">
        <f>A46&amp;+(COUNTIF(A$2:A46,A46)-1)</f>
        <v>10321</v>
      </c>
      <c r="F46" s="108" t="s">
        <v>154</v>
      </c>
      <c r="G46" s="108" t="s">
        <v>153</v>
      </c>
      <c r="H46" s="197" t="s">
        <v>339</v>
      </c>
      <c r="I46">
        <f t="shared" si="0"/>
        <v>11</v>
      </c>
    </row>
    <row r="47" spans="1:9" x14ac:dyDescent="0.15">
      <c r="A47" s="108">
        <v>1032</v>
      </c>
      <c r="B47" s="140" t="str">
        <f>VLOOKUP(A47,[1]characters!$A:$C,3,FALSE)</f>
        <v>彩気煥発の創作人 紫式部</v>
      </c>
      <c r="C47" s="108" t="s">
        <v>155</v>
      </c>
      <c r="D47" s="140"/>
      <c r="E47" s="140" t="str">
        <f>A47&amp;+(COUNTIF(A$2:A47,A47)-1)</f>
        <v>10322</v>
      </c>
      <c r="F47" s="108" t="s">
        <v>154</v>
      </c>
      <c r="G47" s="108" t="s">
        <v>153</v>
      </c>
      <c r="H47" s="197" t="s">
        <v>340</v>
      </c>
      <c r="I47">
        <f t="shared" si="0"/>
        <v>9</v>
      </c>
    </row>
    <row r="48" spans="1:9" x14ac:dyDescent="0.15">
      <c r="A48" s="108">
        <v>1032</v>
      </c>
      <c r="B48" s="140" t="str">
        <f>VLOOKUP(A48,[1]characters!$A:$C,3,FALSE)</f>
        <v>彩気煥発の創作人 紫式部</v>
      </c>
      <c r="C48" s="108" t="s">
        <v>155</v>
      </c>
      <c r="D48" s="140"/>
      <c r="E48" s="140" t="str">
        <f>A48&amp;+(COUNTIF(A$2:A48,A48)-1)</f>
        <v>10323</v>
      </c>
      <c r="F48" s="108" t="s">
        <v>154</v>
      </c>
      <c r="G48" s="108" t="s">
        <v>153</v>
      </c>
      <c r="H48" s="197" t="s">
        <v>402</v>
      </c>
      <c r="I48">
        <f t="shared" si="0"/>
        <v>8</v>
      </c>
    </row>
    <row r="49" spans="1:9" x14ac:dyDescent="0.15">
      <c r="A49" s="108">
        <v>1032</v>
      </c>
      <c r="B49" s="140" t="str">
        <f>VLOOKUP(A49,[1]characters!$A:$C,3,FALSE)</f>
        <v>彩気煥発の創作人 紫式部</v>
      </c>
      <c r="C49" s="108" t="s">
        <v>155</v>
      </c>
      <c r="D49" s="140"/>
      <c r="E49" s="140" t="str">
        <f>A49&amp;+(COUNTIF(A$2:A49,A49)-1)</f>
        <v>10324</v>
      </c>
      <c r="F49" s="108" t="s">
        <v>154</v>
      </c>
      <c r="G49" s="108" t="s">
        <v>153</v>
      </c>
      <c r="H49" s="197" t="s">
        <v>341</v>
      </c>
      <c r="I49">
        <f t="shared" si="0"/>
        <v>9</v>
      </c>
    </row>
    <row r="50" spans="1:9" x14ac:dyDescent="0.15">
      <c r="A50" s="108">
        <v>1033</v>
      </c>
      <c r="B50" s="140" t="str">
        <f>VLOOKUP(A50,[1]characters!$A:$C,3,FALSE)</f>
        <v>清少納言</v>
      </c>
      <c r="C50" s="108" t="s">
        <v>152</v>
      </c>
      <c r="D50" s="140"/>
      <c r="E50" s="140" t="str">
        <f>A50&amp;+(COUNTIF(A$2:A50,A50)-1)</f>
        <v>10330</v>
      </c>
      <c r="F50" s="108" t="s">
        <v>154</v>
      </c>
      <c r="G50" s="108" t="s">
        <v>153</v>
      </c>
      <c r="H50" s="197" t="s">
        <v>409</v>
      </c>
      <c r="I50">
        <f t="shared" ref="I50:I57" si="1">LEN(H50)</f>
        <v>8</v>
      </c>
    </row>
    <row r="51" spans="1:9" x14ac:dyDescent="0.15">
      <c r="A51" s="108">
        <v>1033</v>
      </c>
      <c r="B51" s="140" t="str">
        <f>VLOOKUP(A51,[1]characters!$A:$C,3,FALSE)</f>
        <v>清少納言</v>
      </c>
      <c r="C51" s="108" t="s">
        <v>155</v>
      </c>
      <c r="D51" s="140"/>
      <c r="E51" s="140" t="str">
        <f>A51&amp;+(COUNTIF(A$2:A51,A51)-1)</f>
        <v>10331</v>
      </c>
      <c r="F51" s="108" t="s">
        <v>154</v>
      </c>
      <c r="G51" s="108" t="s">
        <v>153</v>
      </c>
      <c r="H51" s="197" t="s">
        <v>342</v>
      </c>
      <c r="I51">
        <f t="shared" si="1"/>
        <v>9</v>
      </c>
    </row>
    <row r="52" spans="1:9" x14ac:dyDescent="0.15">
      <c r="A52" s="108">
        <v>1033</v>
      </c>
      <c r="B52" s="140" t="str">
        <f>VLOOKUP(A52,[1]characters!$A:$C,3,FALSE)</f>
        <v>清少納言</v>
      </c>
      <c r="C52" s="108" t="s">
        <v>155</v>
      </c>
      <c r="D52" s="140"/>
      <c r="E52" s="140" t="str">
        <f>A52&amp;+(COUNTIF(A$2:A52,A52)-1)</f>
        <v>10332</v>
      </c>
      <c r="F52" s="108" t="s">
        <v>154</v>
      </c>
      <c r="G52" s="108" t="s">
        <v>153</v>
      </c>
      <c r="H52" s="197" t="s">
        <v>343</v>
      </c>
      <c r="I52">
        <f t="shared" si="1"/>
        <v>9</v>
      </c>
    </row>
    <row r="53" spans="1:9" x14ac:dyDescent="0.15">
      <c r="A53" s="108">
        <v>1033</v>
      </c>
      <c r="B53" s="140" t="str">
        <f>VLOOKUP(A53,[1]characters!$A:$C,3,FALSE)</f>
        <v>清少納言</v>
      </c>
      <c r="C53" s="108" t="s">
        <v>155</v>
      </c>
      <c r="D53" s="140"/>
      <c r="E53" s="140" t="str">
        <f>A53&amp;+(COUNTIF(A$2:A53,A53)-1)</f>
        <v>10333</v>
      </c>
      <c r="F53" s="108" t="s">
        <v>154</v>
      </c>
      <c r="G53" s="108" t="s">
        <v>153</v>
      </c>
      <c r="H53" s="197" t="s">
        <v>344</v>
      </c>
      <c r="I53">
        <f t="shared" ref="I53" si="2">LEN(H53)</f>
        <v>11</v>
      </c>
    </row>
    <row r="54" spans="1:9" x14ac:dyDescent="0.15">
      <c r="A54" s="108">
        <v>1034</v>
      </c>
      <c r="B54" s="140" t="str">
        <f>VLOOKUP(A54,[1]characters!$A:$C,3,FALSE)</f>
        <v>爛漫なる随筆家 清少納言</v>
      </c>
      <c r="C54" s="108" t="s">
        <v>152</v>
      </c>
      <c r="D54" s="140"/>
      <c r="E54" s="140" t="str">
        <f>A54&amp;+(COUNTIF(A$2:A54,A54)-1)</f>
        <v>10340</v>
      </c>
      <c r="F54" s="108" t="s">
        <v>154</v>
      </c>
      <c r="G54" s="108" t="s">
        <v>153</v>
      </c>
      <c r="H54" s="197" t="s">
        <v>395</v>
      </c>
      <c r="I54">
        <f t="shared" si="1"/>
        <v>13</v>
      </c>
    </row>
    <row r="55" spans="1:9" x14ac:dyDescent="0.15">
      <c r="A55" s="108">
        <v>1034</v>
      </c>
      <c r="B55" s="140" t="str">
        <f>VLOOKUP(A55,[1]characters!$A:$C,3,FALSE)</f>
        <v>爛漫なる随筆家 清少納言</v>
      </c>
      <c r="C55" s="108" t="s">
        <v>155</v>
      </c>
      <c r="D55" s="140"/>
      <c r="E55" s="140" t="str">
        <f>A55&amp;+(COUNTIF(A$2:A55,A55)-1)</f>
        <v>10341</v>
      </c>
      <c r="F55" s="108" t="s">
        <v>154</v>
      </c>
      <c r="G55" s="108" t="s">
        <v>153</v>
      </c>
      <c r="H55" s="197" t="s">
        <v>342</v>
      </c>
      <c r="I55">
        <f t="shared" si="1"/>
        <v>9</v>
      </c>
    </row>
    <row r="56" spans="1:9" x14ac:dyDescent="0.15">
      <c r="A56" s="108">
        <v>1034</v>
      </c>
      <c r="B56" s="140" t="str">
        <f>VLOOKUP(A56,[1]characters!$A:$C,3,FALSE)</f>
        <v>爛漫なる随筆家 清少納言</v>
      </c>
      <c r="C56" s="108" t="s">
        <v>155</v>
      </c>
      <c r="D56" s="140"/>
      <c r="E56" s="140" t="str">
        <f>A56&amp;+(COUNTIF(A$2:A56,A56)-1)</f>
        <v>10342</v>
      </c>
      <c r="F56" s="108" t="s">
        <v>154</v>
      </c>
      <c r="G56" s="108" t="s">
        <v>153</v>
      </c>
      <c r="H56" s="197" t="s">
        <v>343</v>
      </c>
      <c r="I56">
        <f t="shared" si="1"/>
        <v>9</v>
      </c>
    </row>
    <row r="57" spans="1:9" x14ac:dyDescent="0.15">
      <c r="A57" s="108">
        <v>1034</v>
      </c>
      <c r="B57" s="140" t="str">
        <f>VLOOKUP(A57,[1]characters!$A:$C,3,FALSE)</f>
        <v>爛漫なる随筆家 清少納言</v>
      </c>
      <c r="C57" s="108" t="s">
        <v>155</v>
      </c>
      <c r="D57" s="140"/>
      <c r="E57" s="140" t="str">
        <f>A57&amp;+(COUNTIF(A$2:A57,A57)-1)</f>
        <v>10343</v>
      </c>
      <c r="F57" s="108" t="s">
        <v>154</v>
      </c>
      <c r="G57" s="108" t="s">
        <v>153</v>
      </c>
      <c r="H57" s="197" t="s">
        <v>344</v>
      </c>
      <c r="I57">
        <f t="shared" si="1"/>
        <v>11</v>
      </c>
    </row>
    <row r="58" spans="1:9" x14ac:dyDescent="0.15">
      <c r="A58" s="108">
        <v>1034</v>
      </c>
      <c r="B58" s="140" t="str">
        <f>VLOOKUP(A58,[1]characters!$A:$C,3,FALSE)</f>
        <v>爛漫なる随筆家 清少納言</v>
      </c>
      <c r="C58" s="108" t="s">
        <v>155</v>
      </c>
      <c r="D58" s="140"/>
      <c r="E58" s="140" t="str">
        <f>A58&amp;+(COUNTIF(A$2:A58,A58)-1)</f>
        <v>10344</v>
      </c>
      <c r="F58" s="108" t="s">
        <v>154</v>
      </c>
      <c r="G58" s="108" t="s">
        <v>153</v>
      </c>
      <c r="H58" s="197" t="s">
        <v>345</v>
      </c>
      <c r="I58">
        <f t="shared" ref="I58" si="3">LEN(H58)</f>
        <v>11</v>
      </c>
    </row>
    <row r="59" spans="1:9" x14ac:dyDescent="0.15">
      <c r="H59" s="219"/>
    </row>
    <row r="60" spans="1:9" x14ac:dyDescent="0.15">
      <c r="H60" s="219"/>
    </row>
    <row r="61" spans="1:9" x14ac:dyDescent="0.15">
      <c r="H61" s="219"/>
    </row>
    <row r="62" spans="1:9" x14ac:dyDescent="0.15">
      <c r="H62" s="219"/>
    </row>
    <row r="63" spans="1:9" x14ac:dyDescent="0.15">
      <c r="H63" s="219"/>
    </row>
    <row r="64" spans="1:9" x14ac:dyDescent="0.15">
      <c r="H64" s="219"/>
    </row>
    <row r="65" spans="8:8" x14ac:dyDescent="0.15">
      <c r="H65" s="219"/>
    </row>
    <row r="66" spans="8:8" x14ac:dyDescent="0.15">
      <c r="H66" s="219"/>
    </row>
    <row r="67" spans="8:8" x14ac:dyDescent="0.15">
      <c r="H67" s="219"/>
    </row>
    <row r="68" spans="8:8" x14ac:dyDescent="0.15">
      <c r="H68" s="219"/>
    </row>
    <row r="69" spans="8:8" x14ac:dyDescent="0.15">
      <c r="H69" s="219"/>
    </row>
    <row r="70" spans="8:8" x14ac:dyDescent="0.15">
      <c r="H70" s="219"/>
    </row>
    <row r="71" spans="8:8" x14ac:dyDescent="0.15">
      <c r="H71" s="219"/>
    </row>
    <row r="72" spans="8:8" x14ac:dyDescent="0.15">
      <c r="H72" s="219"/>
    </row>
    <row r="73" spans="8:8" x14ac:dyDescent="0.15">
      <c r="H73" s="219"/>
    </row>
    <row r="74" spans="8:8" x14ac:dyDescent="0.15">
      <c r="H74" s="219"/>
    </row>
    <row r="75" spans="8:8" x14ac:dyDescent="0.15">
      <c r="H75" s="219"/>
    </row>
    <row r="76" spans="8:8" x14ac:dyDescent="0.15">
      <c r="H76" s="219"/>
    </row>
  </sheetData>
  <phoneticPr fontId="21"/>
  <dataValidations count="2">
    <dataValidation type="list" allowBlank="1" showInputMessage="1" showErrorMessage="1" sqref="C2:C58">
      <formula1>"skill,cskill"</formula1>
    </dataValidation>
    <dataValidation type="list" allowBlank="1" showInputMessage="1" showErrorMessage="1" sqref="G2:G58">
      <formula1>"maru,giza,kumo"</formula1>
    </dataValidation>
  </dataValidations>
  <pageMargins left="0.7" right="0.7" top="0.75" bottom="0.75" header="0.3" footer="0.3"/>
  <pageSetup paperSize="9" orientation="portrait" horizontalDpi="4294967292" verticalDpi="429496729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enableFormatConditionsCalculation="0">
    <tabColor rgb="FFFF0000"/>
    <outlinePr summaryBelow="0" summaryRight="0"/>
  </sheetPr>
  <dimension ref="A1:V8"/>
  <sheetViews>
    <sheetView showGridLines="0" workbookViewId="0">
      <pane xSplit="9" ySplit="1" topLeftCell="P2" activePane="bottomRight" state="frozen"/>
      <selection activeCell="U2" sqref="U2"/>
      <selection pane="topRight" activeCell="U2" sqref="U2"/>
      <selection pane="bottomLeft" activeCell="U2" sqref="U2"/>
      <selection pane="bottomRight" activeCell="U10" sqref="U10"/>
    </sheetView>
  </sheetViews>
  <sheetFormatPr baseColWidth="12" defaultColWidth="8.83203125" defaultRowHeight="21" customHeight="1" outlineLevelCol="1" x14ac:dyDescent="0.15"/>
  <cols>
    <col min="1" max="1" width="12.83203125" style="12" customWidth="1"/>
    <col min="2" max="2" width="21.5" style="13" bestFit="1" customWidth="1" collapsed="1"/>
    <col min="3" max="3" width="23.6640625" style="13" hidden="1" customWidth="1" outlineLevel="1"/>
    <col min="4" max="4" width="8.6640625" style="13" hidden="1" customWidth="1" outlineLevel="1"/>
    <col min="5" max="5" width="8" style="13" hidden="1" customWidth="1" outlineLevel="1"/>
    <col min="6" max="6" width="7.1640625" style="13" hidden="1" customWidth="1" outlineLevel="1"/>
    <col min="7" max="7" width="9.6640625" style="13" bestFit="1" customWidth="1"/>
    <col min="8" max="8" width="13.6640625" style="13" bestFit="1" customWidth="1"/>
    <col min="9" max="9" width="10.5" style="13" bestFit="1" customWidth="1" collapsed="1"/>
    <col min="10" max="10" width="22" style="13" hidden="1" customWidth="1" outlineLevel="1"/>
    <col min="11" max="11" width="14.1640625" style="13" hidden="1" customWidth="1" outlineLevel="1"/>
    <col min="12" max="12" width="12.33203125" style="13" hidden="1" customWidth="1" outlineLevel="1"/>
    <col min="13" max="15" width="13.6640625" style="13" hidden="1" customWidth="1" outlineLevel="1"/>
    <col min="16" max="16" width="15.1640625" style="13" customWidth="1"/>
    <col min="17" max="17" width="20.1640625" style="12" bestFit="1" customWidth="1"/>
    <col min="18" max="18" width="18.83203125" style="13" bestFit="1" customWidth="1"/>
    <col min="19" max="20" width="18.83203125" style="13" customWidth="1"/>
    <col min="21" max="21" width="15.1640625" style="13" customWidth="1"/>
    <col min="22" max="16384" width="8.83203125" style="12"/>
  </cols>
  <sheetData>
    <row r="1" spans="1:22" ht="21" customHeight="1" x14ac:dyDescent="0.15">
      <c r="A1" s="167" t="s">
        <v>210</v>
      </c>
      <c r="B1" s="168" t="s">
        <v>38</v>
      </c>
      <c r="C1" s="169" t="s">
        <v>211</v>
      </c>
      <c r="D1" s="169" t="s">
        <v>212</v>
      </c>
      <c r="E1" s="169" t="s">
        <v>213</v>
      </c>
      <c r="F1" s="169" t="s">
        <v>214</v>
      </c>
      <c r="G1" s="169" t="s">
        <v>1</v>
      </c>
      <c r="H1" s="170" t="s">
        <v>19</v>
      </c>
      <c r="I1" s="169" t="s">
        <v>0</v>
      </c>
      <c r="J1" s="171" t="s">
        <v>215</v>
      </c>
      <c r="K1" s="169" t="s">
        <v>216</v>
      </c>
      <c r="L1" s="172" t="s">
        <v>46</v>
      </c>
      <c r="M1" s="172" t="s">
        <v>45</v>
      </c>
      <c r="N1" s="172" t="s">
        <v>217</v>
      </c>
      <c r="O1" s="172" t="s">
        <v>218</v>
      </c>
      <c r="P1" s="173" t="s">
        <v>219</v>
      </c>
      <c r="Q1" s="174" t="s">
        <v>221</v>
      </c>
      <c r="R1" s="175" t="s">
        <v>216</v>
      </c>
      <c r="S1" s="173" t="s">
        <v>222</v>
      </c>
      <c r="T1" s="175" t="s">
        <v>216</v>
      </c>
      <c r="U1" s="173" t="s">
        <v>223</v>
      </c>
    </row>
    <row r="2" spans="1:22" ht="21" customHeight="1" x14ac:dyDescent="0.15">
      <c r="A2" s="109">
        <v>1020</v>
      </c>
      <c r="B2" s="5" t="str">
        <f ca="1">VLOOKUP($A2,OFFSET([1]characters!$A$1,0,0,COUNTA([1]characters!$A:$A),MATCH(B$1,[1]characters!$1:$1,0)-MATCH($A$1,[1]characters!$1:$1,0)+1),MATCH(B$1,[1]characters!$1:$1,0)-MATCH($A$1,[1]characters!$1:$1,0)+1,FALSE)</f>
        <v>静御前</v>
      </c>
      <c r="C2" s="5" t="str">
        <f ca="1">VLOOKUP($A2,OFFSET([1]characters!$A$1,0,0,COUNTA([1]characters!$A:$A),MATCH(C$1,[1]characters!$1:$1,0)-MATCH($A$1,[1]characters!$1:$1,0)+1),MATCH(C$1,[1]characters!$1:$1,0)-MATCH($A$1,[1]characters!$1:$1,0)+1,FALSE)</f>
        <v>静御前</v>
      </c>
      <c r="D2" s="5" t="str">
        <f ca="1">VLOOKUP($A2,OFFSET([1]characters!$A$1,0,0,COUNTA([1]characters!$A:$A),MATCH(D$1,[1]characters!$1:$1,0)-MATCH($A$1,[1]characters!$1:$1,0)+1),MATCH(D$1,[1]characters!$1:$1,0)-MATCH($A$1,[1]characters!$1:$1,0)+1,FALSE)</f>
        <v>執行者</v>
      </c>
      <c r="E2" s="5" t="str">
        <f ca="1">VLOOKUP($A2,OFFSET([1]characters!$A$1,0,0,COUNTA([1]characters!$A:$A),MATCH(E$1,[1]characters!$1:$1,0)-MATCH($A$1,[1]characters!$1:$1,0)+1),MATCH(E$1,[1]characters!$1:$1,0)-MATCH($A$1,[1]characters!$1:$1,0)+1,FALSE)</f>
        <v>格好いい</v>
      </c>
      <c r="F2" s="5" t="str">
        <f ca="1">VLOOKUP($A2,OFFSET([1]characters!$A$1,0,0,COUNTA([1]characters!$A:$A),MATCH(F$1,[1]characters!$1:$1,0)-MATCH($A$1,[1]characters!$1:$1,0)+1),MATCH(F$1,[1]characters!$1:$1,0)-MATCH($A$1,[1]characters!$1:$1,0)+1,FALSE)</f>
        <v>男性</v>
      </c>
      <c r="G2" s="5">
        <f ca="1">VLOOKUP($A2,OFFSET([1]characters!$A$1,0,0,COUNTA([1]characters!$A:$A),MATCH(G$1,[1]characters!$1:$1,0)-MATCH($A$1,[1]characters!$1:$1,0)+1),MATCH(G$1,[1]characters!$1:$1,0)-MATCH($A$1,[1]characters!$1:$1,0)+1,FALSE)</f>
        <v>4</v>
      </c>
      <c r="H2" s="5" t="str">
        <f ca="1">VLOOKUP($A2,OFFSET([1]characters!$A$1,0,0,COUNTA([1]characters!$A:$A),MATCH(H$1,[1]characters!$1:$1,0)-MATCH($A$1,[1]characters!$1:$1,0)+1),MATCH(H$1,[1]characters!$1:$1,0)-MATCH($A$1,[1]characters!$1:$1,0)+1,FALSE)</f>
        <v>Drop2N</v>
      </c>
      <c r="I2" s="5" t="str">
        <f ca="1">VLOOKUP($A2,OFFSET([1]characters!$A$1,0,0,COUNTA([1]characters!$A:$A),MATCH(I$1,[1]characters!$1:$1,0)-MATCH($A$1,[1]characters!$1:$1,0)+1),MATCH(I$1,[1]characters!$1:$1,0)-MATCH($A$1,[1]characters!$1:$1,0)+1,FALSE)</f>
        <v>red</v>
      </c>
      <c r="J2" s="5" t="str">
        <f ca="1">VLOOKUP($A2,OFFSET([1]characters!$A$1,0,0,COUNTA([1]characters!$A:$A),MATCH(J$1,[1]characters!$1:$1,0)-MATCH($A$1,[1]characters!$1:$1,0)+1),MATCH(J$1,[1]characters!$1:$1,0)-MATCH($A$1,[1]characters!$1:$1,0)+1,FALSE)</f>
        <v>none</v>
      </c>
      <c r="K2" s="5" t="str">
        <f ca="1">VLOOKUP(J2,[1]character_tribe_i18n!$A:$H,3,FALSE)</f>
        <v>種族なし</v>
      </c>
      <c r="L2" s="11" t="e">
        <f>VLOOKUP(#REF!,[1]character_tribe_i18n!$A:$H,4,FALSE)</f>
        <v>#REF!</v>
      </c>
      <c r="M2" s="11" t="e">
        <f>VLOOKUP(#REF!,[1]character_tribe_i18n!$A:$H,5,FALSE)</f>
        <v>#REF!</v>
      </c>
      <c r="N2" s="11" t="e">
        <f>VLOOKUP(#REF!,[1]character_tribe_i18n!$A:$H,6,FALSE)</f>
        <v>#REF!</v>
      </c>
      <c r="O2" s="11" t="e">
        <f>VLOOKUP(#REF!,[1]character_tribe_i18n!$A:$H,7,FALSE)</f>
        <v>#REF!</v>
      </c>
      <c r="P2" s="176" t="s">
        <v>224</v>
      </c>
      <c r="Q2" s="109">
        <v>1021</v>
      </c>
      <c r="R2" s="5" t="str">
        <f ca="1">IF(Q2="NULL","",VLOOKUP($Q2,OFFSET([1]characters!$A$1,0,0,COUNTA([1]characters!$A:$A),MATCH(R$1,[1]characters!$1:$1,0)-MATCH($A$1,[1]characters!$1:$1,0)+1),MATCH(R$1,[1]characters!$1:$1,0)-MATCH($A$1,[1]characters!$1:$1,0)+1,FALSE))</f>
        <v>焔耀の舞姫 静御前</v>
      </c>
      <c r="S2" s="5">
        <f t="shared" ref="S2:S8" ca="1" si="0">IF(ISNA(MATCH(A2,Q:Q,0)),A2,INDIRECT(ADDRESS(MATCH(A2,Q:Q,0),COLUMN())))</f>
        <v>1020</v>
      </c>
      <c r="T2" s="5" t="str">
        <f ca="1">VLOOKUP($S2,OFFSET([1]characters!$A$1,0,0,COUNTA([1]characters!$A:$A),MATCH(T$1,[1]characters!$1:$1,0)-MATCH($A$1,[1]characters!$1:$1,0)+1),MATCH(T$1,[1]characters!$1:$1,0)-MATCH($A$1,[1]characters!$1:$1,0)+1,FALSE)</f>
        <v>静御前</v>
      </c>
      <c r="U2" s="11">
        <f ca="1">IF(Q2="NULL","NULL",VLOOKUP(G2,[2]ビット!$A$2:$B$7,2))</f>
        <v>50000</v>
      </c>
      <c r="V2"/>
    </row>
    <row r="3" spans="1:22" ht="21" customHeight="1" x14ac:dyDescent="0.15">
      <c r="A3" s="109">
        <v>1022</v>
      </c>
      <c r="B3" s="5" t="str">
        <f ca="1">VLOOKUP($A3,OFFSET([1]characters!$A$1,0,0,COUNTA([1]characters!$A:$A),MATCH(B$1,[1]characters!$1:$1,0)-MATCH($A$1,[1]characters!$1:$1,0)+1),MATCH(B$1,[1]characters!$1:$1,0)-MATCH($A$1,[1]characters!$1:$1,0)+1,FALSE)</f>
        <v>那須与一</v>
      </c>
      <c r="C3" s="5" t="str">
        <f ca="1">VLOOKUP($A3,OFFSET([1]characters!$A$1,0,0,COUNTA([1]characters!$A:$A),MATCH(C$1,[1]characters!$1:$1,0)-MATCH($A$1,[1]characters!$1:$1,0)+1),MATCH(C$1,[1]characters!$1:$1,0)-MATCH($A$1,[1]characters!$1:$1,0)+1,FALSE)</f>
        <v>那須与一</v>
      </c>
      <c r="D3" s="5" t="str">
        <f ca="1">VLOOKUP($A3,OFFSET([1]characters!$A$1,0,0,COUNTA([1]characters!$A:$A),MATCH(D$1,[1]characters!$1:$1,0)-MATCH($A$1,[1]characters!$1:$1,0)+1),MATCH(D$1,[1]characters!$1:$1,0)-MATCH($A$1,[1]characters!$1:$1,0)+1,FALSE)</f>
        <v>執行者</v>
      </c>
      <c r="E3" s="5" t="str">
        <f ca="1">VLOOKUP($A3,OFFSET([1]characters!$A$1,0,0,COUNTA([1]characters!$A:$A),MATCH(E$1,[1]characters!$1:$1,0)-MATCH($A$1,[1]characters!$1:$1,0)+1),MATCH(E$1,[1]characters!$1:$1,0)-MATCH($A$1,[1]characters!$1:$1,0)+1,FALSE)</f>
        <v>格好いい</v>
      </c>
      <c r="F3" s="5" t="str">
        <f ca="1">VLOOKUP($A3,OFFSET([1]characters!$A$1,0,0,COUNTA([1]characters!$A:$A),MATCH(F$1,[1]characters!$1:$1,0)-MATCH($A$1,[1]characters!$1:$1,0)+1),MATCH(F$1,[1]characters!$1:$1,0)-MATCH($A$1,[1]characters!$1:$1,0)+1,FALSE)</f>
        <v>男性</v>
      </c>
      <c r="G3" s="5">
        <f ca="1">VLOOKUP($A3,OFFSET([1]characters!$A$1,0,0,COUNTA([1]characters!$A:$A),MATCH(G$1,[1]characters!$1:$1,0)-MATCH($A$1,[1]characters!$1:$1,0)+1),MATCH(G$1,[1]characters!$1:$1,0)-MATCH($A$1,[1]characters!$1:$1,0)+1,FALSE)</f>
        <v>4</v>
      </c>
      <c r="H3" s="5" t="str">
        <f ca="1">VLOOKUP($A3,OFFSET([1]characters!$A$1,0,0,COUNTA([1]characters!$A:$A),MATCH(H$1,[1]characters!$1:$1,0)-MATCH($A$1,[1]characters!$1:$1,0)+1),MATCH(H$1,[1]characters!$1:$1,0)-MATCH($A$1,[1]characters!$1:$1,0)+1,FALSE)</f>
        <v>Drop2N</v>
      </c>
      <c r="I3" s="5" t="str">
        <f ca="1">VLOOKUP($A3,OFFSET([1]characters!$A$1,0,0,COUNTA([1]characters!$A:$A),MATCH(I$1,[1]characters!$1:$1,0)-MATCH($A$1,[1]characters!$1:$1,0)+1),MATCH(I$1,[1]characters!$1:$1,0)-MATCH($A$1,[1]characters!$1:$1,0)+1,FALSE)</f>
        <v>green</v>
      </c>
      <c r="J3" s="5" t="str">
        <f ca="1">VLOOKUP($A3,OFFSET([1]characters!$A$1,0,0,COUNTA([1]characters!$A:$A),MATCH(J$1,[1]characters!$1:$1,0)-MATCH($A$1,[1]characters!$1:$1,0)+1),MATCH(J$1,[1]characters!$1:$1,0)-MATCH($A$1,[1]characters!$1:$1,0)+1,FALSE)</f>
        <v>samurai</v>
      </c>
      <c r="K3" s="5" t="str">
        <f ca="1">VLOOKUP(J3,[1]character_tribe_i18n!$A:$H,3,FALSE)</f>
        <v>サムライ</v>
      </c>
      <c r="L3" s="11" t="e">
        <f>VLOOKUP(#REF!,[1]character_tribe_i18n!$A:$H,4,FALSE)</f>
        <v>#REF!</v>
      </c>
      <c r="M3" s="11" t="e">
        <f>VLOOKUP(#REF!,[1]character_tribe_i18n!$A:$H,5,FALSE)</f>
        <v>#REF!</v>
      </c>
      <c r="N3" s="11" t="e">
        <f>VLOOKUP(#REF!,[1]character_tribe_i18n!$A:$H,6,FALSE)</f>
        <v>#REF!</v>
      </c>
      <c r="O3" s="11" t="e">
        <f>VLOOKUP(#REF!,[1]character_tribe_i18n!$A:$H,7,FALSE)</f>
        <v>#REF!</v>
      </c>
      <c r="P3" s="176" t="s">
        <v>224</v>
      </c>
      <c r="Q3" s="109">
        <v>1023</v>
      </c>
      <c r="R3" s="5" t="str">
        <f ca="1">IF(Q3="NULL","",VLOOKUP($Q3,OFFSET([1]characters!$A$1,0,0,COUNTA([1]characters!$A:$A),MATCH(R$1,[1]characters!$1:$1,0)-MATCH($A$1,[1]characters!$1:$1,0)+1),MATCH(R$1,[1]characters!$1:$1,0)-MATCH($A$1,[1]characters!$1:$1,0)+1,FALSE))</f>
        <v>心射抜く投擲者 那須与一</v>
      </c>
      <c r="S3" s="5">
        <f t="shared" ca="1" si="0"/>
        <v>1022</v>
      </c>
      <c r="T3" s="5" t="str">
        <f ca="1">VLOOKUP($S3,OFFSET([1]characters!$A$1,0,0,COUNTA([1]characters!$A:$A),MATCH(T$1,[1]characters!$1:$1,0)-MATCH($A$1,[1]characters!$1:$1,0)+1),MATCH(T$1,[1]characters!$1:$1,0)-MATCH($A$1,[1]characters!$1:$1,0)+1,FALSE)</f>
        <v>那須与一</v>
      </c>
      <c r="U3" s="11">
        <f ca="1">IF(Q3="NULL","NULL",VLOOKUP(G3,[2]ビット!$A$2:$B$7,2))</f>
        <v>50000</v>
      </c>
      <c r="V3"/>
    </row>
    <row r="4" spans="1:22" ht="21" customHeight="1" x14ac:dyDescent="0.15">
      <c r="A4" s="109">
        <v>1024</v>
      </c>
      <c r="B4" s="5" t="str">
        <f ca="1">VLOOKUP($A4,OFFSET([1]characters!$A$1,0,0,COUNTA([1]characters!$A:$A),MATCH(B$1,[1]characters!$1:$1,0)-MATCH($A$1,[1]characters!$1:$1,0)+1),MATCH(B$1,[1]characters!$1:$1,0)-MATCH($A$1,[1]characters!$1:$1,0)+1,FALSE)</f>
        <v>武蔵坊弁慶</v>
      </c>
      <c r="C4" s="5" t="str">
        <f ca="1">VLOOKUP($A4,OFFSET([1]characters!$A$1,0,0,COUNTA([1]characters!$A:$A),MATCH(C$1,[1]characters!$1:$1,0)-MATCH($A$1,[1]characters!$1:$1,0)+1),MATCH(C$1,[1]characters!$1:$1,0)-MATCH($A$1,[1]characters!$1:$1,0)+1,FALSE)</f>
        <v>武蔵坊弁慶</v>
      </c>
      <c r="D4" s="5" t="str">
        <f ca="1">VLOOKUP($A4,OFFSET([1]characters!$A$1,0,0,COUNTA([1]characters!$A:$A),MATCH(D$1,[1]characters!$1:$1,0)-MATCH($A$1,[1]characters!$1:$1,0)+1),MATCH(D$1,[1]characters!$1:$1,0)-MATCH($A$1,[1]characters!$1:$1,0)+1,FALSE)</f>
        <v>執行者</v>
      </c>
      <c r="E4" s="5" t="str">
        <f ca="1">VLOOKUP($A4,OFFSET([1]characters!$A$1,0,0,COUNTA([1]characters!$A:$A),MATCH(E$1,[1]characters!$1:$1,0)-MATCH($A$1,[1]characters!$1:$1,0)+1),MATCH(E$1,[1]characters!$1:$1,0)-MATCH($A$1,[1]characters!$1:$1,0)+1,FALSE)</f>
        <v>格好いい</v>
      </c>
      <c r="F4" s="5" t="str">
        <f ca="1">VLOOKUP($A4,OFFSET([1]characters!$A$1,0,0,COUNTA([1]characters!$A:$A),MATCH(F$1,[1]characters!$1:$1,0)-MATCH($A$1,[1]characters!$1:$1,0)+1),MATCH(F$1,[1]characters!$1:$1,0)-MATCH($A$1,[1]characters!$1:$1,0)+1,FALSE)</f>
        <v>男性</v>
      </c>
      <c r="G4" s="5">
        <f ca="1">VLOOKUP($A4,OFFSET([1]characters!$A$1,0,0,COUNTA([1]characters!$A:$A),MATCH(G$1,[1]characters!$1:$1,0)-MATCH($A$1,[1]characters!$1:$1,0)+1),MATCH(G$1,[1]characters!$1:$1,0)-MATCH($A$1,[1]characters!$1:$1,0)+1,FALSE)</f>
        <v>5</v>
      </c>
      <c r="H4" s="5" t="str">
        <f ca="1">VLOOKUP($A4,OFFSET([1]characters!$A$1,0,0,COUNTA([1]characters!$A:$A),MATCH(H$1,[1]characters!$1:$1,0)-MATCH($A$1,[1]characters!$1:$1,0)+1),MATCH(H$1,[1]characters!$1:$1,0)-MATCH($A$1,[1]characters!$1:$1,0)+1,FALSE)</f>
        <v>DropWizS</v>
      </c>
      <c r="I4" s="5" t="str">
        <f ca="1">VLOOKUP($A4,OFFSET([1]characters!$A$1,0,0,COUNTA([1]characters!$A:$A),MATCH(I$1,[1]characters!$1:$1,0)-MATCH($A$1,[1]characters!$1:$1,0)+1),MATCH(I$1,[1]characters!$1:$1,0)-MATCH($A$1,[1]characters!$1:$1,0)+1,FALSE)</f>
        <v>yellow</v>
      </c>
      <c r="J4" s="5" t="str">
        <f ca="1">VLOOKUP($A4,OFFSET([1]characters!$A$1,0,0,COUNTA([1]characters!$A:$A),MATCH(J$1,[1]characters!$1:$1,0)-MATCH($A$1,[1]characters!$1:$1,0)+1),MATCH(J$1,[1]characters!$1:$1,0)-MATCH($A$1,[1]characters!$1:$1,0)+1,FALSE)</f>
        <v>samurai</v>
      </c>
      <c r="K4" s="5" t="str">
        <f ca="1">VLOOKUP(J4,[1]character_tribe_i18n!$A:$H,3,FALSE)</f>
        <v>サムライ</v>
      </c>
      <c r="L4" s="11" t="e">
        <f>VLOOKUP(#REF!,[1]character_tribe_i18n!$A:$H,4,FALSE)</f>
        <v>#REF!</v>
      </c>
      <c r="M4" s="11" t="e">
        <f>VLOOKUP(#REF!,[1]character_tribe_i18n!$A:$H,5,FALSE)</f>
        <v>#REF!</v>
      </c>
      <c r="N4" s="11" t="e">
        <f>VLOOKUP(#REF!,[1]character_tribe_i18n!$A:$H,6,FALSE)</f>
        <v>#REF!</v>
      </c>
      <c r="O4" s="11" t="e">
        <f>VLOOKUP(#REF!,[1]character_tribe_i18n!$A:$H,7,FALSE)</f>
        <v>#REF!</v>
      </c>
      <c r="P4" s="176" t="s">
        <v>224</v>
      </c>
      <c r="Q4" s="109">
        <v>1025</v>
      </c>
      <c r="R4" s="5" t="str">
        <f ca="1">IF(Q4="NULL","",VLOOKUP($Q4,OFFSET([1]characters!$A$1,0,0,COUNTA([1]characters!$A:$A),MATCH(R$1,[1]characters!$1:$1,0)-MATCH($A$1,[1]characters!$1:$1,0)+1),MATCH(R$1,[1]characters!$1:$1,0)-MATCH($A$1,[1]characters!$1:$1,0)+1,FALSE))</f>
        <v>多重撃の荒法師 武蔵坊弁慶</v>
      </c>
      <c r="S4" s="5">
        <f t="shared" ca="1" si="0"/>
        <v>1024</v>
      </c>
      <c r="T4" s="5" t="str">
        <f ca="1">VLOOKUP($S4,OFFSET([1]characters!$A$1,0,0,COUNTA([1]characters!$A:$A),MATCH(T$1,[1]characters!$1:$1,0)-MATCH($A$1,[1]characters!$1:$1,0)+1),MATCH(T$1,[1]characters!$1:$1,0)-MATCH($A$1,[1]characters!$1:$1,0)+1,FALSE)</f>
        <v>武蔵坊弁慶</v>
      </c>
      <c r="U4" s="11">
        <f ca="1">IF(Q4="NULL","NULL",VLOOKUP(G4,[2]ビット!$A$2:$B$7,2))</f>
        <v>200000</v>
      </c>
      <c r="V4"/>
    </row>
    <row r="5" spans="1:22" ht="21" customHeight="1" x14ac:dyDescent="0.15">
      <c r="A5" s="109">
        <v>1026</v>
      </c>
      <c r="B5" s="5" t="str">
        <f ca="1">VLOOKUP($A5,OFFSET([1]characters!$A$1,0,0,COUNTA([1]characters!$A:$A),MATCH(B$1,[1]characters!$1:$1,0)-MATCH($A$1,[1]characters!$1:$1,0)+1),MATCH(B$1,[1]characters!$1:$1,0)-MATCH($A$1,[1]characters!$1:$1,0)+1,FALSE)</f>
        <v>蝉丸</v>
      </c>
      <c r="C5" s="5" t="str">
        <f ca="1">VLOOKUP($A5,OFFSET([1]characters!$A$1,0,0,COUNTA([1]characters!$A:$A),MATCH(C$1,[1]characters!$1:$1,0)-MATCH($A$1,[1]characters!$1:$1,0)+1),MATCH(C$1,[1]characters!$1:$1,0)-MATCH($A$1,[1]characters!$1:$1,0)+1,FALSE)</f>
        <v>蝉丸</v>
      </c>
      <c r="D5" s="5" t="str">
        <f ca="1">VLOOKUP($A5,OFFSET([1]characters!$A$1,0,0,COUNTA([1]characters!$A:$A),MATCH(D$1,[1]characters!$1:$1,0)-MATCH($A$1,[1]characters!$1:$1,0)+1),MATCH(D$1,[1]characters!$1:$1,0)-MATCH($A$1,[1]characters!$1:$1,0)+1,FALSE)</f>
        <v>執行者</v>
      </c>
      <c r="E5" s="5" t="str">
        <f ca="1">VLOOKUP($A5,OFFSET([1]characters!$A$1,0,0,COUNTA([1]characters!$A:$A),MATCH(E$1,[1]characters!$1:$1,0)-MATCH($A$1,[1]characters!$1:$1,0)+1),MATCH(E$1,[1]characters!$1:$1,0)-MATCH($A$1,[1]characters!$1:$1,0)+1,FALSE)</f>
        <v>格好いい</v>
      </c>
      <c r="F5" s="5" t="str">
        <f ca="1">VLOOKUP($A5,OFFSET([1]characters!$A$1,0,0,COUNTA([1]characters!$A:$A),MATCH(F$1,[1]characters!$1:$1,0)-MATCH($A$1,[1]characters!$1:$1,0)+1),MATCH(F$1,[1]characters!$1:$1,0)-MATCH($A$1,[1]characters!$1:$1,0)+1,FALSE)</f>
        <v>男性</v>
      </c>
      <c r="G5" s="5">
        <f ca="1">VLOOKUP($A5,OFFSET([1]characters!$A$1,0,0,COUNTA([1]characters!$A:$A),MATCH(G$1,[1]characters!$1:$1,0)-MATCH($A$1,[1]characters!$1:$1,0)+1),MATCH(G$1,[1]characters!$1:$1,0)-MATCH($A$1,[1]characters!$1:$1,0)+1,FALSE)</f>
        <v>4</v>
      </c>
      <c r="H5" s="5" t="str">
        <f ca="1">VLOOKUP($A5,OFFSET([1]characters!$A$1,0,0,COUNTA([1]characters!$A:$A),MATCH(H$1,[1]characters!$1:$1,0)-MATCH($A$1,[1]characters!$1:$1,0)+1),MATCH(H$1,[1]characters!$1:$1,0)-MATCH($A$1,[1]characters!$1:$1,0)+1,FALSE)</f>
        <v>PremiumS</v>
      </c>
      <c r="I5" s="5" t="str">
        <f ca="1">VLOOKUP($A5,OFFSET([1]characters!$A$1,0,0,COUNTA([1]characters!$A:$A),MATCH(I$1,[1]characters!$1:$1,0)-MATCH($A$1,[1]characters!$1:$1,0)+1),MATCH(I$1,[1]characters!$1:$1,0)-MATCH($A$1,[1]characters!$1:$1,0)+1,FALSE)</f>
        <v>red</v>
      </c>
      <c r="J5" s="5" t="str">
        <f ca="1">VLOOKUP($A5,OFFSET([1]characters!$A$1,0,0,COUNTA([1]characters!$A:$A),MATCH(J$1,[1]characters!$1:$1,0)-MATCH($A$1,[1]characters!$1:$1,0)+1),MATCH(J$1,[1]characters!$1:$1,0)-MATCH($A$1,[1]characters!$1:$1,0)+1,FALSE)</f>
        <v>none</v>
      </c>
      <c r="K5" s="5" t="str">
        <f ca="1">VLOOKUP(J5,[1]character_tribe_i18n!$A:$H,3,FALSE)</f>
        <v>種族なし</v>
      </c>
      <c r="L5" s="11" t="e">
        <f>VLOOKUP(#REF!,[1]character_tribe_i18n!$A:$H,4,FALSE)</f>
        <v>#REF!</v>
      </c>
      <c r="M5" s="11" t="e">
        <f>VLOOKUP(#REF!,[1]character_tribe_i18n!$A:$H,5,FALSE)</f>
        <v>#REF!</v>
      </c>
      <c r="N5" s="11" t="e">
        <f>VLOOKUP(#REF!,[1]character_tribe_i18n!$A:$H,6,FALSE)</f>
        <v>#REF!</v>
      </c>
      <c r="O5" s="11" t="e">
        <f>VLOOKUP(#REF!,[1]character_tribe_i18n!$A:$H,7,FALSE)</f>
        <v>#REF!</v>
      </c>
      <c r="P5" s="176" t="s">
        <v>224</v>
      </c>
      <c r="Q5" s="109">
        <v>1027</v>
      </c>
      <c r="R5" s="5" t="str">
        <f ca="1">IF(Q5="NULL","",VLOOKUP($Q5,OFFSET([1]characters!$A$1,0,0,COUNTA([1]characters!$A:$A),MATCH(R$1,[1]characters!$1:$1,0)-MATCH($A$1,[1]characters!$1:$1,0)+1),MATCH(R$1,[1]characters!$1:$1,0)-MATCH($A$1,[1]characters!$1:$1,0)+1,FALSE))</f>
        <v>弾丸多重奏 蝉丸</v>
      </c>
      <c r="S5" s="5">
        <f t="shared" ca="1" si="0"/>
        <v>1026</v>
      </c>
      <c r="T5" s="5" t="str">
        <f ca="1">VLOOKUP($S5,OFFSET([1]characters!$A$1,0,0,COUNTA([1]characters!$A:$A),MATCH(T$1,[1]characters!$1:$1,0)-MATCH($A$1,[1]characters!$1:$1,0)+1),MATCH(T$1,[1]characters!$1:$1,0)-MATCH($A$1,[1]characters!$1:$1,0)+1,FALSE)</f>
        <v>蝉丸</v>
      </c>
      <c r="U5" s="11">
        <f ca="1">IF(Q5="NULL","NULL",VLOOKUP(G5,[2]ビット!$A$2:$B$7,2))</f>
        <v>50000</v>
      </c>
      <c r="V5"/>
    </row>
    <row r="6" spans="1:22" ht="21" customHeight="1" x14ac:dyDescent="0.15">
      <c r="A6" s="109">
        <v>1028</v>
      </c>
      <c r="B6" s="5" t="str">
        <f ca="1">VLOOKUP($A6,OFFSET([1]characters!$A$1,0,0,COUNTA([1]characters!$A:$A),MATCH(B$1,[1]characters!$1:$1,0)-MATCH($A$1,[1]characters!$1:$1,0)+1),MATCH(B$1,[1]characters!$1:$1,0)-MATCH($A$1,[1]characters!$1:$1,0)+1,FALSE)</f>
        <v>牛若丸</v>
      </c>
      <c r="C6" s="5" t="str">
        <f ca="1">VLOOKUP($A6,OFFSET([1]characters!$A$1,0,0,COUNTA([1]characters!$A:$A),MATCH(C$1,[1]characters!$1:$1,0)-MATCH($A$1,[1]characters!$1:$1,0)+1),MATCH(C$1,[1]characters!$1:$1,0)-MATCH($A$1,[1]characters!$1:$1,0)+1,FALSE)</f>
        <v>源義経（牛若丸）</v>
      </c>
      <c r="D6" s="5" t="str">
        <f ca="1">VLOOKUP($A6,OFFSET([1]characters!$A$1,0,0,COUNTA([1]characters!$A:$A),MATCH(D$1,[1]characters!$1:$1,0)-MATCH($A$1,[1]characters!$1:$1,0)+1),MATCH(D$1,[1]characters!$1:$1,0)-MATCH($A$1,[1]characters!$1:$1,0)+1,FALSE)</f>
        <v>執行者</v>
      </c>
      <c r="E6" s="5" t="str">
        <f ca="1">VLOOKUP($A6,OFFSET([1]characters!$A$1,0,0,COUNTA([1]characters!$A:$A),MATCH(E$1,[1]characters!$1:$1,0)-MATCH($A$1,[1]characters!$1:$1,0)+1),MATCH(E$1,[1]characters!$1:$1,0)-MATCH($A$1,[1]characters!$1:$1,0)+1,FALSE)</f>
        <v>格好いい</v>
      </c>
      <c r="F6" s="5" t="str">
        <f ca="1">VLOOKUP($A6,OFFSET([1]characters!$A$1,0,0,COUNTA([1]characters!$A:$A),MATCH(F$1,[1]characters!$1:$1,0)-MATCH($A$1,[1]characters!$1:$1,0)+1),MATCH(F$1,[1]characters!$1:$1,0)-MATCH($A$1,[1]characters!$1:$1,0)+1,FALSE)</f>
        <v>男性</v>
      </c>
      <c r="G6" s="5">
        <f ca="1">VLOOKUP($A6,OFFSET([1]characters!$A$1,0,0,COUNTA([1]characters!$A:$A),MATCH(G$1,[1]characters!$1:$1,0)-MATCH($A$1,[1]characters!$1:$1,0)+1),MATCH(G$1,[1]characters!$1:$1,0)-MATCH($A$1,[1]characters!$1:$1,0)+1,FALSE)</f>
        <v>5</v>
      </c>
      <c r="H6" s="5" t="str">
        <f ca="1">VLOOKUP($A6,OFFSET([1]characters!$A$1,0,0,COUNTA([1]characters!$A:$A),MATCH(H$1,[1]characters!$1:$1,0)-MATCH($A$1,[1]characters!$1:$1,0)+1),MATCH(H$1,[1]characters!$1:$1,0)-MATCH($A$1,[1]characters!$1:$1,0)+1,FALSE)</f>
        <v>PremiumSS</v>
      </c>
      <c r="I6" s="5" t="str">
        <f ca="1">VLOOKUP($A6,OFFSET([1]characters!$A$1,0,0,COUNTA([1]characters!$A:$A),MATCH(I$1,[1]characters!$1:$1,0)-MATCH($A$1,[1]characters!$1:$1,0)+1),MATCH(I$1,[1]characters!$1:$1,0)-MATCH($A$1,[1]characters!$1:$1,0)+1,FALSE)</f>
        <v>green</v>
      </c>
      <c r="J6" s="5" t="str">
        <f ca="1">VLOOKUP($A6,OFFSET([1]characters!$A$1,0,0,COUNTA([1]characters!$A:$A),MATCH(J$1,[1]characters!$1:$1,0)-MATCH($A$1,[1]characters!$1:$1,0)+1),MATCH(J$1,[1]characters!$1:$1,0)-MATCH($A$1,[1]characters!$1:$1,0)+1,FALSE)</f>
        <v>samurai</v>
      </c>
      <c r="K6" s="5" t="str">
        <f ca="1">VLOOKUP(J6,[1]character_tribe_i18n!$A:$H,3,FALSE)</f>
        <v>サムライ</v>
      </c>
      <c r="L6" s="11" t="e">
        <f>VLOOKUP(#REF!,[1]character_tribe_i18n!$A:$H,4,FALSE)</f>
        <v>#REF!</v>
      </c>
      <c r="M6" s="11" t="e">
        <f>VLOOKUP(#REF!,[1]character_tribe_i18n!$A:$H,5,FALSE)</f>
        <v>#REF!</v>
      </c>
      <c r="N6" s="11" t="e">
        <f>VLOOKUP(#REF!,[1]character_tribe_i18n!$A:$H,6,FALSE)</f>
        <v>#REF!</v>
      </c>
      <c r="O6" s="11" t="e">
        <f>VLOOKUP(#REF!,[1]character_tribe_i18n!$A:$H,7,FALSE)</f>
        <v>#REF!</v>
      </c>
      <c r="P6" s="176" t="s">
        <v>224</v>
      </c>
      <c r="Q6" s="109">
        <v>1029</v>
      </c>
      <c r="R6" s="5" t="str">
        <f ca="1">IF(Q6="NULL","",VLOOKUP($Q6,OFFSET([1]characters!$A$1,0,0,COUNTA([1]characters!$A:$A),MATCH(R$1,[1]characters!$1:$1,0)-MATCH($A$1,[1]characters!$1:$1,0)+1),MATCH(R$1,[1]characters!$1:$1,0)-MATCH($A$1,[1]characters!$1:$1,0)+1,FALSE))</f>
        <v>天賦の軍才 牛若丸</v>
      </c>
      <c r="S6" s="5">
        <f t="shared" ca="1" si="0"/>
        <v>1028</v>
      </c>
      <c r="T6" s="5" t="str">
        <f ca="1">VLOOKUP($S6,OFFSET([1]characters!$A$1,0,0,COUNTA([1]characters!$A:$A),MATCH(T$1,[1]characters!$1:$1,0)-MATCH($A$1,[1]characters!$1:$1,0)+1),MATCH(T$1,[1]characters!$1:$1,0)-MATCH($A$1,[1]characters!$1:$1,0)+1,FALSE)</f>
        <v>牛若丸</v>
      </c>
      <c r="U6" s="11">
        <f ca="1">IF(Q6="NULL","NULL",VLOOKUP(G6,[2]ビット!$A$2:$B$7,2))</f>
        <v>200000</v>
      </c>
      <c r="V6"/>
    </row>
    <row r="7" spans="1:22" ht="21" customHeight="1" x14ac:dyDescent="0.15">
      <c r="A7" s="109">
        <v>1031</v>
      </c>
      <c r="B7" s="5" t="str">
        <f ca="1">VLOOKUP($A7,OFFSET([1]characters!$A$1,0,0,COUNTA([1]characters!$A:$A),MATCH(B$1,[1]characters!$1:$1,0)-MATCH($A$1,[1]characters!$1:$1,0)+1),MATCH(B$1,[1]characters!$1:$1,0)-MATCH($A$1,[1]characters!$1:$1,0)+1,FALSE)</f>
        <v>紫式部</v>
      </c>
      <c r="C7" s="5" t="str">
        <f ca="1">VLOOKUP($A7,OFFSET([1]characters!$A$1,0,0,COUNTA([1]characters!$A:$A),MATCH(C$1,[1]characters!$1:$1,0)-MATCH($A$1,[1]characters!$1:$1,0)+1),MATCH(C$1,[1]characters!$1:$1,0)-MATCH($A$1,[1]characters!$1:$1,0)+1,FALSE)</f>
        <v>紫式部</v>
      </c>
      <c r="D7" s="5" t="str">
        <f ca="1">VLOOKUP($A7,OFFSET([1]characters!$A$1,0,0,COUNTA([1]characters!$A:$A),MATCH(D$1,[1]characters!$1:$1,0)-MATCH($A$1,[1]characters!$1:$1,0)+1),MATCH(D$1,[1]characters!$1:$1,0)-MATCH($A$1,[1]characters!$1:$1,0)+1,FALSE)</f>
        <v>執行者</v>
      </c>
      <c r="E7" s="5" t="str">
        <f ca="1">VLOOKUP($A7,OFFSET([1]characters!$A$1,0,0,COUNTA([1]characters!$A:$A),MATCH(E$1,[1]characters!$1:$1,0)-MATCH($A$1,[1]characters!$1:$1,0)+1),MATCH(E$1,[1]characters!$1:$1,0)-MATCH($A$1,[1]characters!$1:$1,0)+1,FALSE)</f>
        <v>格好いい</v>
      </c>
      <c r="F7" s="5" t="str">
        <f ca="1">VLOOKUP($A7,OFFSET([1]characters!$A$1,0,0,COUNTA([1]characters!$A:$A),MATCH(F$1,[1]characters!$1:$1,0)-MATCH($A$1,[1]characters!$1:$1,0)+1),MATCH(F$1,[1]characters!$1:$1,0)-MATCH($A$1,[1]characters!$1:$1,0)+1,FALSE)</f>
        <v>男性</v>
      </c>
      <c r="G7" s="5">
        <f ca="1">VLOOKUP($A7,OFFSET([1]characters!$A$1,0,0,COUNTA([1]characters!$A:$A),MATCH(G$1,[1]characters!$1:$1,0)-MATCH($A$1,[1]characters!$1:$1,0)+1),MATCH(G$1,[1]characters!$1:$1,0)-MATCH($A$1,[1]characters!$1:$1,0)+1,FALSE)</f>
        <v>5</v>
      </c>
      <c r="H7" s="5" t="str">
        <f ca="1">VLOOKUP($A7,OFFSET([1]characters!$A$1,0,0,COUNTA([1]characters!$A:$A),MATCH(H$1,[1]characters!$1:$1,0)-MATCH($A$1,[1]characters!$1:$1,0)+1),MATCH(H$1,[1]characters!$1:$1,0)-MATCH($A$1,[1]characters!$1:$1,0)+1,FALSE)</f>
        <v>PremiumSS</v>
      </c>
      <c r="I7" s="5" t="str">
        <f ca="1">VLOOKUP($A7,OFFSET([1]characters!$A$1,0,0,COUNTA([1]characters!$A:$A),MATCH(I$1,[1]characters!$1:$1,0)-MATCH($A$1,[1]characters!$1:$1,0)+1),MATCH(I$1,[1]characters!$1:$1,0)-MATCH($A$1,[1]characters!$1:$1,0)+1,FALSE)</f>
        <v>blue</v>
      </c>
      <c r="J7" s="5" t="str">
        <f ca="1">VLOOKUP($A7,OFFSET([1]characters!$A$1,0,0,COUNTA([1]characters!$A:$A),MATCH(J$1,[1]characters!$1:$1,0)-MATCH($A$1,[1]characters!$1:$1,0)+1),MATCH(J$1,[1]characters!$1:$1,0)-MATCH($A$1,[1]characters!$1:$1,0)+1,FALSE)</f>
        <v>none</v>
      </c>
      <c r="K7" s="5" t="str">
        <f ca="1">VLOOKUP(J7,[1]character_tribe_i18n!$A:$H,3,FALSE)</f>
        <v>種族なし</v>
      </c>
      <c r="L7" s="11" t="e">
        <f>VLOOKUP(#REF!,[1]character_tribe_i18n!$A:$H,4,FALSE)</f>
        <v>#REF!</v>
      </c>
      <c r="M7" s="11" t="e">
        <f>VLOOKUP(#REF!,[1]character_tribe_i18n!$A:$H,5,FALSE)</f>
        <v>#REF!</v>
      </c>
      <c r="N7" s="11" t="e">
        <f>VLOOKUP(#REF!,[1]character_tribe_i18n!$A:$H,6,FALSE)</f>
        <v>#REF!</v>
      </c>
      <c r="O7" s="11" t="e">
        <f>VLOOKUP(#REF!,[1]character_tribe_i18n!$A:$H,7,FALSE)</f>
        <v>#REF!</v>
      </c>
      <c r="P7" s="176" t="s">
        <v>224</v>
      </c>
      <c r="Q7" s="109">
        <v>1032</v>
      </c>
      <c r="R7" s="5" t="str">
        <f ca="1">IF(Q7="NULL","",VLOOKUP($Q7,OFFSET([1]characters!$A$1,0,0,COUNTA([1]characters!$A:$A),MATCH(R$1,[1]characters!$1:$1,0)-MATCH($A$1,[1]characters!$1:$1,0)+1),MATCH(R$1,[1]characters!$1:$1,0)-MATCH($A$1,[1]characters!$1:$1,0)+1,FALSE))</f>
        <v>彩気煥発の創作人 紫式部</v>
      </c>
      <c r="S7" s="5">
        <f t="shared" ca="1" si="0"/>
        <v>1031</v>
      </c>
      <c r="T7" s="5" t="str">
        <f ca="1">VLOOKUP($S7,OFFSET([1]characters!$A$1,0,0,COUNTA([1]characters!$A:$A),MATCH(T$1,[1]characters!$1:$1,0)-MATCH($A$1,[1]characters!$1:$1,0)+1),MATCH(T$1,[1]characters!$1:$1,0)-MATCH($A$1,[1]characters!$1:$1,0)+1,FALSE)</f>
        <v>紫式部</v>
      </c>
      <c r="U7" s="11">
        <f ca="1">IF(Q7="NULL","NULL",VLOOKUP(G7,[2]ビット!$A$2:$B$7,2))</f>
        <v>200000</v>
      </c>
      <c r="V7"/>
    </row>
    <row r="8" spans="1:22" ht="21" customHeight="1" x14ac:dyDescent="0.15">
      <c r="A8" s="109">
        <v>1033</v>
      </c>
      <c r="B8" s="5" t="str">
        <f ca="1">VLOOKUP($A8,OFFSET([1]characters!$A$1,0,0,COUNTA([1]characters!$A:$A),MATCH(B$1,[1]characters!$1:$1,0)-MATCH($A$1,[1]characters!$1:$1,0)+1),MATCH(B$1,[1]characters!$1:$1,0)-MATCH($A$1,[1]characters!$1:$1,0)+1,FALSE)</f>
        <v>清少納言</v>
      </c>
      <c r="C8" s="5" t="str">
        <f ca="1">VLOOKUP($A8,OFFSET([1]characters!$A$1,0,0,COUNTA([1]characters!$A:$A),MATCH(C$1,[1]characters!$1:$1,0)-MATCH($A$1,[1]characters!$1:$1,0)+1),MATCH(C$1,[1]characters!$1:$1,0)-MATCH($A$1,[1]characters!$1:$1,0)+1,FALSE)</f>
        <v>清少納言</v>
      </c>
      <c r="D8" s="5" t="str">
        <f ca="1">VLOOKUP($A8,OFFSET([1]characters!$A$1,0,0,COUNTA([1]characters!$A:$A),MATCH(D$1,[1]characters!$1:$1,0)-MATCH($A$1,[1]characters!$1:$1,0)+1),MATCH(D$1,[1]characters!$1:$1,0)-MATCH($A$1,[1]characters!$1:$1,0)+1,FALSE)</f>
        <v>執行者</v>
      </c>
      <c r="E8" s="5" t="str">
        <f ca="1">VLOOKUP($A8,OFFSET([1]characters!$A$1,0,0,COUNTA([1]characters!$A:$A),MATCH(E$1,[1]characters!$1:$1,0)-MATCH($A$1,[1]characters!$1:$1,0)+1),MATCH(E$1,[1]characters!$1:$1,0)-MATCH($A$1,[1]characters!$1:$1,0)+1,FALSE)</f>
        <v>格好いい</v>
      </c>
      <c r="F8" s="5" t="str">
        <f ca="1">VLOOKUP($A8,OFFSET([1]characters!$A$1,0,0,COUNTA([1]characters!$A:$A),MATCH(F$1,[1]characters!$1:$1,0)-MATCH($A$1,[1]characters!$1:$1,0)+1),MATCH(F$1,[1]characters!$1:$1,0)-MATCH($A$1,[1]characters!$1:$1,0)+1,FALSE)</f>
        <v>男性</v>
      </c>
      <c r="G8" s="5">
        <f ca="1">VLOOKUP($A8,OFFSET([1]characters!$A$1,0,0,COUNTA([1]characters!$A:$A),MATCH(G$1,[1]characters!$1:$1,0)-MATCH($A$1,[1]characters!$1:$1,0)+1),MATCH(G$1,[1]characters!$1:$1,0)-MATCH($A$1,[1]characters!$1:$1,0)+1,FALSE)</f>
        <v>5</v>
      </c>
      <c r="H8" s="5" t="str">
        <f ca="1">VLOOKUP($A8,OFFSET([1]characters!$A$1,0,0,COUNTA([1]characters!$A:$A),MATCH(H$1,[1]characters!$1:$1,0)-MATCH($A$1,[1]characters!$1:$1,0)+1),MATCH(H$1,[1]characters!$1:$1,0)-MATCH($A$1,[1]characters!$1:$1,0)+1,FALSE)</f>
        <v>PremiumSS</v>
      </c>
      <c r="I8" s="5" t="str">
        <f ca="1">VLOOKUP($A8,OFFSET([1]characters!$A$1,0,0,COUNTA([1]characters!$A:$A),MATCH(I$1,[1]characters!$1:$1,0)-MATCH($A$1,[1]characters!$1:$1,0)+1),MATCH(I$1,[1]characters!$1:$1,0)-MATCH($A$1,[1]characters!$1:$1,0)+1,FALSE)</f>
        <v>yellow</v>
      </c>
      <c r="J8" s="5" t="str">
        <f ca="1">VLOOKUP($A8,OFFSET([1]characters!$A$1,0,0,COUNTA([1]characters!$A:$A),MATCH(J$1,[1]characters!$1:$1,0)-MATCH($A$1,[1]characters!$1:$1,0)+1),MATCH(J$1,[1]characters!$1:$1,0)-MATCH($A$1,[1]characters!$1:$1,0)+1,FALSE)</f>
        <v>none</v>
      </c>
      <c r="K8" s="5" t="str">
        <f ca="1">VLOOKUP(J8,[1]character_tribe_i18n!$A:$H,3,FALSE)</f>
        <v>種族なし</v>
      </c>
      <c r="L8" s="11" t="e">
        <f>VLOOKUP(#REF!,[1]character_tribe_i18n!$A:$H,4,FALSE)</f>
        <v>#REF!</v>
      </c>
      <c r="M8" s="11" t="e">
        <f>VLOOKUP(#REF!,[1]character_tribe_i18n!$A:$H,5,FALSE)</f>
        <v>#REF!</v>
      </c>
      <c r="N8" s="11" t="e">
        <f>VLOOKUP(#REF!,[1]character_tribe_i18n!$A:$H,6,FALSE)</f>
        <v>#REF!</v>
      </c>
      <c r="O8" s="11" t="e">
        <f>VLOOKUP(#REF!,[1]character_tribe_i18n!$A:$H,7,FALSE)</f>
        <v>#REF!</v>
      </c>
      <c r="P8" s="176" t="s">
        <v>224</v>
      </c>
      <c r="Q8" s="109">
        <v>1034</v>
      </c>
      <c r="R8" s="5" t="str">
        <f ca="1">IF(Q8="NULL","",VLOOKUP($Q8,OFFSET([1]characters!$A$1,0,0,COUNTA([1]characters!$A:$A),MATCH(R$1,[1]characters!$1:$1,0)-MATCH($A$1,[1]characters!$1:$1,0)+1),MATCH(R$1,[1]characters!$1:$1,0)-MATCH($A$1,[1]characters!$1:$1,0)+1,FALSE))</f>
        <v>爛漫なる随筆家 清少納言</v>
      </c>
      <c r="S8" s="5">
        <f t="shared" ca="1" si="0"/>
        <v>1033</v>
      </c>
      <c r="T8" s="5" t="str">
        <f ca="1">VLOOKUP($S8,OFFSET([1]characters!$A$1,0,0,COUNTA([1]characters!$A:$A),MATCH(T$1,[1]characters!$1:$1,0)-MATCH($A$1,[1]characters!$1:$1,0)+1),MATCH(T$1,[1]characters!$1:$1,0)-MATCH($A$1,[1]characters!$1:$1,0)+1,FALSE)</f>
        <v>清少納言</v>
      </c>
      <c r="U8" s="11">
        <f ca="1">IF(Q8="NULL","NULL",VLOOKUP(G8,[2]ビット!$A$2:$B$7,2))</f>
        <v>200000</v>
      </c>
      <c r="V8"/>
    </row>
  </sheetData>
  <autoFilter ref="A1:U4"/>
  <phoneticPr fontId="21"/>
  <conditionalFormatting sqref="W1:W4 W9:W1048576">
    <cfRule type="cellIs" dxfId="26" priority="6" operator="equal">
      <formula>"FALSE"</formula>
    </cfRule>
  </conditionalFormatting>
  <conditionalFormatting sqref="W5:W6">
    <cfRule type="cellIs" dxfId="25" priority="5" operator="equal">
      <formula>"FALSE"</formula>
    </cfRule>
  </conditionalFormatting>
  <conditionalFormatting sqref="W7">
    <cfRule type="cellIs" dxfId="24" priority="4" operator="equal">
      <formula>"FALSE"</formula>
    </cfRule>
  </conditionalFormatting>
  <conditionalFormatting sqref="W8">
    <cfRule type="cellIs" dxfId="23" priority="3" operator="equal">
      <formula>"FALSE"</formula>
    </cfRule>
  </conditionalFormatting>
  <pageMargins left="0.75" right="0.75" top="1" bottom="1" header="0.3" footer="0.3"/>
  <pageSetup paperSize="9" orientation="portrait" horizontalDpi="4294967292" verticalDpi="429496729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enableFormatConditionsCalculation="0">
    <tabColor indexed="12"/>
  </sheetPr>
  <dimension ref="A1:M28"/>
  <sheetViews>
    <sheetView showGridLines="0" zoomScale="90" workbookViewId="0">
      <pane ySplit="1" topLeftCell="A2" activePane="bottomLeft" state="frozen"/>
      <selection activeCell="U2" sqref="U2"/>
      <selection pane="bottomLeft" activeCell="I4" sqref="I4"/>
    </sheetView>
  </sheetViews>
  <sheetFormatPr baseColWidth="12" defaultColWidth="13" defaultRowHeight="15" x14ac:dyDescent="0.15"/>
  <cols>
    <col min="1" max="1" width="11.5" style="65" bestFit="1" customWidth="1"/>
    <col min="2" max="2" width="19.1640625" style="3" bestFit="1" customWidth="1"/>
    <col min="3" max="3" width="15.1640625" style="3" bestFit="1" customWidth="1"/>
    <col min="4" max="4" width="22.83203125" style="2" bestFit="1" customWidth="1"/>
    <col min="5" max="5" width="9.6640625" style="2" bestFit="1" customWidth="1"/>
    <col min="6" max="6" width="13.6640625" style="2" bestFit="1" customWidth="1"/>
    <col min="7" max="7" width="19.83203125" style="2" bestFit="1" customWidth="1"/>
    <col min="8" max="8" width="22.83203125" style="2" bestFit="1" customWidth="1"/>
    <col min="9" max="9" width="21.33203125" style="2" bestFit="1" customWidth="1"/>
    <col min="10" max="10" width="13.5" style="2" bestFit="1" customWidth="1"/>
    <col min="11" max="11" width="17" style="1" bestFit="1" customWidth="1"/>
    <col min="12" max="16384" width="13" style="2"/>
  </cols>
  <sheetData>
    <row r="1" spans="1:13" ht="21" customHeight="1" x14ac:dyDescent="0.15">
      <c r="A1" s="65" t="s">
        <v>225</v>
      </c>
      <c r="B1" s="42" t="s">
        <v>226</v>
      </c>
      <c r="C1" s="177" t="s">
        <v>210</v>
      </c>
      <c r="D1" s="20" t="s">
        <v>38</v>
      </c>
      <c r="E1" s="20" t="s">
        <v>39</v>
      </c>
      <c r="F1" s="20" t="s">
        <v>40</v>
      </c>
      <c r="G1" s="178" t="s">
        <v>220</v>
      </c>
      <c r="H1" s="20" t="s">
        <v>38</v>
      </c>
      <c r="I1" s="43" t="s">
        <v>36</v>
      </c>
      <c r="J1" s="20" t="s">
        <v>38</v>
      </c>
      <c r="K1" s="19" t="s">
        <v>37</v>
      </c>
      <c r="L1" s="179" t="s">
        <v>227</v>
      </c>
      <c r="M1" s="178" t="s">
        <v>228</v>
      </c>
    </row>
    <row r="2" spans="1:13" ht="21" customHeight="1" x14ac:dyDescent="0.15">
      <c r="A2" s="65" t="str">
        <f t="shared" ref="A2:A13" si="0">B2&amp;"_"&amp;I2</f>
        <v>1020_1020</v>
      </c>
      <c r="B2" s="44">
        <v>1020</v>
      </c>
      <c r="C2" s="180">
        <f t="shared" ref="C2" si="1">B2</f>
        <v>1020</v>
      </c>
      <c r="D2" s="21" t="str">
        <f ca="1">VLOOKUP(B2,units!A:B,2)</f>
        <v>静御前</v>
      </c>
      <c r="E2" s="21">
        <f ca="1">VLOOKUP($C2,OFFSET([1]characters!$A$1,0,0,COUNTA([1]characters!$A:$A),MATCH(E$1,[1]characters!$1:$1,0)-COLUMN(INDIRECT("character_id"))+1),MATCH(E$1,[1]characters!$1:$1,0)-COLUMN(INDIRECT("character_id"))+1,FALSE)</f>
        <v>4</v>
      </c>
      <c r="F2" s="21" t="str">
        <f ca="1">VLOOKUP($C2,OFFSET([1]characters!$A$1,0,0,COUNTA([1]characters!$A:$A),MATCH(F$1,[1]characters!$1:$1,0)-COLUMN(INDIRECT("character_id"))+1),MATCH(F$1,[1]characters!$1:$1,0)-COLUMN(INDIRECT("character_id"))+1,FALSE)</f>
        <v>Drop2N</v>
      </c>
      <c r="G2" s="181">
        <v>1021</v>
      </c>
      <c r="H2" s="21" t="str">
        <f ca="1">VLOOKUP(G2,OFFSET([1]characters!$A$1,0,0,COUNTA([1]characters!$A:$A),MATCH(H$1,[1]characters!$1:$1,0)-COLUMN(INDIRECT("character_id"))+1),MATCH(H$1,[1]characters!$1:$1,0)-COLUMN(INDIRECT("character_id"))+1,FALSE)</f>
        <v>焔耀の舞姫 静御前</v>
      </c>
      <c r="I2" s="212">
        <v>1020</v>
      </c>
      <c r="J2" s="21" t="str">
        <f>VLOOKUP(I2,[1]characters!$A:$C,3,FALSE)</f>
        <v>静御前</v>
      </c>
      <c r="K2" s="18">
        <v>1</v>
      </c>
      <c r="L2" s="111">
        <v>10</v>
      </c>
      <c r="M2" s="111">
        <v>10</v>
      </c>
    </row>
    <row r="3" spans="1:13" ht="21" customHeight="1" x14ac:dyDescent="0.15">
      <c r="A3" s="65" t="str">
        <f t="shared" si="0"/>
        <v>1022_105</v>
      </c>
      <c r="B3" s="44">
        <v>1022</v>
      </c>
      <c r="C3" s="180">
        <f t="shared" ref="C3:C4" si="2">B3</f>
        <v>1022</v>
      </c>
      <c r="D3" s="21" t="str">
        <f ca="1">VLOOKUP(B3,units!A:B,2)</f>
        <v>那須与一</v>
      </c>
      <c r="E3" s="21">
        <f ca="1">VLOOKUP($C3,OFFSET([1]characters!$A$1,0,0,COUNTA([1]characters!$A:$A),MATCH(E$1,[1]characters!$1:$1,0)-COLUMN(INDIRECT("character_id"))+1),MATCH(E$1,[1]characters!$1:$1,0)-COLUMN(INDIRECT("character_id"))+1,FALSE)</f>
        <v>4</v>
      </c>
      <c r="F3" s="21" t="str">
        <f ca="1">VLOOKUP($C3,OFFSET([1]characters!$A$1,0,0,COUNTA([1]characters!$A:$A),MATCH(F$1,[1]characters!$1:$1,0)-COLUMN(INDIRECT("character_id"))+1),MATCH(F$1,[1]characters!$1:$1,0)-COLUMN(INDIRECT("character_id"))+1,FALSE)</f>
        <v>Drop2N</v>
      </c>
      <c r="G3" s="181">
        <v>1023</v>
      </c>
      <c r="H3" s="21" t="str">
        <f ca="1">VLOOKUP(G3,OFFSET([1]characters!$A$1,0,0,COUNTA([1]characters!$A:$A),MATCH(H$1,[1]characters!$1:$1,0)-COLUMN(INDIRECT("character_id"))+1),MATCH(H$1,[1]characters!$1:$1,0)-COLUMN(INDIRECT("character_id"))+1,FALSE)</f>
        <v>心射抜く投擲者 那須与一</v>
      </c>
      <c r="I3" s="211">
        <v>105</v>
      </c>
      <c r="J3" s="21" t="str">
        <f>VLOOKUP(I3,[1]characters!$A:$C,3,FALSE)</f>
        <v>グリーンチェシャ</v>
      </c>
      <c r="K3" s="18">
        <v>1</v>
      </c>
      <c r="L3" s="111">
        <v>1</v>
      </c>
      <c r="M3" s="111">
        <v>1</v>
      </c>
    </row>
    <row r="4" spans="1:13" ht="21" customHeight="1" x14ac:dyDescent="0.15">
      <c r="A4" s="65" t="str">
        <f t="shared" si="0"/>
        <v>1022_106</v>
      </c>
      <c r="B4" s="44">
        <v>1022</v>
      </c>
      <c r="C4" s="180">
        <f t="shared" si="2"/>
        <v>1022</v>
      </c>
      <c r="D4" s="21" t="str">
        <f ca="1">VLOOKUP(B4,units!A:B,2)</f>
        <v>那須与一</v>
      </c>
      <c r="E4" s="21">
        <f ca="1">VLOOKUP($C4,OFFSET([1]characters!$A$1,0,0,COUNTA([1]characters!$A:$A),MATCH(E$1,[1]characters!$1:$1,0)-COLUMN(INDIRECT("character_id"))+1),MATCH(E$1,[1]characters!$1:$1,0)-COLUMN(INDIRECT("character_id"))+1,FALSE)</f>
        <v>4</v>
      </c>
      <c r="F4" s="21" t="str">
        <f ca="1">VLOOKUP($C4,OFFSET([1]characters!$A$1,0,0,COUNTA([1]characters!$A:$A),MATCH(F$1,[1]characters!$1:$1,0)-COLUMN(INDIRECT("character_id"))+1),MATCH(F$1,[1]characters!$1:$1,0)-COLUMN(INDIRECT("character_id"))+1,FALSE)</f>
        <v>Drop2N</v>
      </c>
      <c r="G4" s="181">
        <v>1023</v>
      </c>
      <c r="H4" s="21" t="str">
        <f ca="1">VLOOKUP(G4,OFFSET([1]characters!$A$1,0,0,COUNTA([1]characters!$A:$A),MATCH(H$1,[1]characters!$1:$1,0)-COLUMN(INDIRECT("character_id"))+1),MATCH(H$1,[1]characters!$1:$1,0)-COLUMN(INDIRECT("character_id"))+1,FALSE)</f>
        <v>心射抜く投擲者 那須与一</v>
      </c>
      <c r="I4" s="211">
        <v>106</v>
      </c>
      <c r="J4" s="21" t="str">
        <f>VLOOKUP(I4,[1]characters!$A:$C,3,FALSE)</f>
        <v>グリーンラビット</v>
      </c>
      <c r="K4" s="18">
        <v>2</v>
      </c>
      <c r="L4" s="111">
        <v>1</v>
      </c>
      <c r="M4" s="111">
        <v>1</v>
      </c>
    </row>
    <row r="5" spans="1:13" ht="21" customHeight="1" x14ac:dyDescent="0.15">
      <c r="A5" s="65" t="str">
        <f t="shared" si="0"/>
        <v>1022_107</v>
      </c>
      <c r="B5" s="44">
        <v>1022</v>
      </c>
      <c r="C5" s="180">
        <f t="shared" ref="C5:C13" si="3">B5</f>
        <v>1022</v>
      </c>
      <c r="D5" s="21" t="str">
        <f ca="1">VLOOKUP(B5,units!A:B,2)</f>
        <v>那須与一</v>
      </c>
      <c r="E5" s="21">
        <f ca="1">VLOOKUP($C5,OFFSET([1]characters!$A$1,0,0,COUNTA([1]characters!$A:$A),MATCH(E$1,[1]characters!$1:$1,0)-COLUMN(INDIRECT("character_id"))+1),MATCH(E$1,[1]characters!$1:$1,0)-COLUMN(INDIRECT("character_id"))+1,FALSE)</f>
        <v>4</v>
      </c>
      <c r="F5" s="21" t="str">
        <f ca="1">VLOOKUP($C5,OFFSET([1]characters!$A$1,0,0,COUNTA([1]characters!$A:$A),MATCH(F$1,[1]characters!$1:$1,0)-COLUMN(INDIRECT("character_id"))+1),MATCH(F$1,[1]characters!$1:$1,0)-COLUMN(INDIRECT("character_id"))+1,FALSE)</f>
        <v>Drop2N</v>
      </c>
      <c r="G5" s="181">
        <v>1023</v>
      </c>
      <c r="H5" s="21" t="str">
        <f ca="1">VLOOKUP(G5,OFFSET([1]characters!$A$1,0,0,COUNTA([1]characters!$A:$A),MATCH(H$1,[1]characters!$1:$1,0)-COLUMN(INDIRECT("character_id"))+1),MATCH(H$1,[1]characters!$1:$1,0)-COLUMN(INDIRECT("character_id"))+1,FALSE)</f>
        <v>心射抜く投擲者 那須与一</v>
      </c>
      <c r="I5" s="211">
        <v>107</v>
      </c>
      <c r="J5" s="21" t="str">
        <f>VLOOKUP(I5,[1]characters!$A:$C,3,FALSE)</f>
        <v>グリーンキャタップ</v>
      </c>
      <c r="K5" s="18">
        <v>1</v>
      </c>
      <c r="L5" s="111">
        <v>1</v>
      </c>
      <c r="M5" s="111">
        <v>1</v>
      </c>
    </row>
    <row r="6" spans="1:13" ht="21" customHeight="1" x14ac:dyDescent="0.15">
      <c r="A6" s="65" t="str">
        <f t="shared" si="0"/>
        <v>1022_108</v>
      </c>
      <c r="B6" s="44">
        <v>1022</v>
      </c>
      <c r="C6" s="180">
        <f t="shared" si="3"/>
        <v>1022</v>
      </c>
      <c r="D6" s="21" t="str">
        <f ca="1">VLOOKUP(B6,units!A:B,2)</f>
        <v>那須与一</v>
      </c>
      <c r="E6" s="21">
        <f ca="1">VLOOKUP($C6,OFFSET([1]characters!$A$1,0,0,COUNTA([1]characters!$A:$A),MATCH(E$1,[1]characters!$1:$1,0)-COLUMN(INDIRECT("character_id"))+1),MATCH(E$1,[1]characters!$1:$1,0)-COLUMN(INDIRECT("character_id"))+1,FALSE)</f>
        <v>4</v>
      </c>
      <c r="F6" s="21" t="str">
        <f ca="1">VLOOKUP($C6,OFFSET([1]characters!$A$1,0,0,COUNTA([1]characters!$A:$A),MATCH(F$1,[1]characters!$1:$1,0)-COLUMN(INDIRECT("character_id"))+1),MATCH(F$1,[1]characters!$1:$1,0)-COLUMN(INDIRECT("character_id"))+1,FALSE)</f>
        <v>Drop2N</v>
      </c>
      <c r="G6" s="181">
        <v>1023</v>
      </c>
      <c r="H6" s="21" t="str">
        <f ca="1">VLOOKUP(G6,OFFSET([1]characters!$A$1,0,0,COUNTA([1]characters!$A:$A),MATCH(H$1,[1]characters!$1:$1,0)-COLUMN(INDIRECT("character_id"))+1),MATCH(H$1,[1]characters!$1:$1,0)-COLUMN(INDIRECT("character_id"))+1,FALSE)</f>
        <v>心射抜く投擲者 那須与一</v>
      </c>
      <c r="I6" s="211">
        <v>108</v>
      </c>
      <c r="J6" s="21" t="str">
        <f>VLOOKUP(I6,[1]characters!$A:$C,3,FALSE)</f>
        <v>森のマッドハッター</v>
      </c>
      <c r="K6" s="18">
        <v>1</v>
      </c>
      <c r="L6" s="111">
        <v>1</v>
      </c>
      <c r="M6" s="111">
        <v>1</v>
      </c>
    </row>
    <row r="7" spans="1:13" ht="21" customHeight="1" x14ac:dyDescent="0.15">
      <c r="A7" s="65" t="str">
        <f t="shared" si="0"/>
        <v>1024_837</v>
      </c>
      <c r="B7" s="44">
        <v>1024</v>
      </c>
      <c r="C7" s="180">
        <f t="shared" si="3"/>
        <v>1024</v>
      </c>
      <c r="D7" s="21" t="str">
        <f ca="1">VLOOKUP(B7,units!A:B,2)</f>
        <v>武蔵坊弁慶</v>
      </c>
      <c r="E7" s="21">
        <f ca="1">VLOOKUP($C7,OFFSET([1]characters!$A$1,0,0,COUNTA([1]characters!$A:$A),MATCH(E$1,[1]characters!$1:$1,0)-COLUMN(INDIRECT("character_id"))+1),MATCH(E$1,[1]characters!$1:$1,0)-COLUMN(INDIRECT("character_id"))+1,FALSE)</f>
        <v>5</v>
      </c>
      <c r="F7" s="21" t="str">
        <f ca="1">VLOOKUP($C7,OFFSET([1]characters!$A$1,0,0,COUNTA([1]characters!$A:$A),MATCH(F$1,[1]characters!$1:$1,0)-COLUMN(INDIRECT("character_id"))+1),MATCH(F$1,[1]characters!$1:$1,0)-COLUMN(INDIRECT("character_id"))+1,FALSE)</f>
        <v>DropWizS</v>
      </c>
      <c r="G7" s="181">
        <v>1025</v>
      </c>
      <c r="H7" s="21" t="str">
        <f ca="1">VLOOKUP(G7,OFFSET([1]characters!$A$1,0,0,COUNTA([1]characters!$A:$A),MATCH(H$1,[1]characters!$1:$1,0)-COLUMN(INDIRECT("character_id"))+1),MATCH(H$1,[1]characters!$1:$1,0)-COLUMN(INDIRECT("character_id"))+1,FALSE)</f>
        <v>多重撃の荒法師 武蔵坊弁慶</v>
      </c>
      <c r="I7" s="216">
        <v>837</v>
      </c>
      <c r="J7" s="21" t="str">
        <f>VLOOKUP(I7,[1]characters!$A:$C,3,FALSE)</f>
        <v>リトルハンプティ</v>
      </c>
      <c r="K7" s="18">
        <v>1</v>
      </c>
      <c r="L7" s="111">
        <v>1</v>
      </c>
      <c r="M7" s="111">
        <v>100</v>
      </c>
    </row>
    <row r="8" spans="1:13" ht="21" customHeight="1" x14ac:dyDescent="0.15">
      <c r="A8" s="65" t="str">
        <f t="shared" si="0"/>
        <v>1024_1020</v>
      </c>
      <c r="B8" s="44">
        <v>1024</v>
      </c>
      <c r="C8" s="180">
        <f t="shared" si="3"/>
        <v>1024</v>
      </c>
      <c r="D8" s="21" t="str">
        <f ca="1">VLOOKUP(B8,units!A:B,2)</f>
        <v>武蔵坊弁慶</v>
      </c>
      <c r="E8" s="21">
        <f ca="1">VLOOKUP($C8,OFFSET([1]characters!$A$1,0,0,COUNTA([1]characters!$A:$A),MATCH(E$1,[1]characters!$1:$1,0)-COLUMN(INDIRECT("character_id"))+1),MATCH(E$1,[1]characters!$1:$1,0)-COLUMN(INDIRECT("character_id"))+1,FALSE)</f>
        <v>5</v>
      </c>
      <c r="F8" s="21" t="str">
        <f ca="1">VLOOKUP($C8,OFFSET([1]characters!$A$1,0,0,COUNTA([1]characters!$A:$A),MATCH(F$1,[1]characters!$1:$1,0)-COLUMN(INDIRECT("character_id"))+1),MATCH(F$1,[1]characters!$1:$1,0)-COLUMN(INDIRECT("character_id"))+1,FALSE)</f>
        <v>DropWizS</v>
      </c>
      <c r="G8" s="181">
        <v>1025</v>
      </c>
      <c r="H8" s="21" t="str">
        <f ca="1">VLOOKUP(G8,OFFSET([1]characters!$A$1,0,0,COUNTA([1]characters!$A:$A),MATCH(H$1,[1]characters!$1:$1,0)-COLUMN(INDIRECT("character_id"))+1),MATCH(H$1,[1]characters!$1:$1,0)-COLUMN(INDIRECT("character_id"))+1,FALSE)</f>
        <v>多重撃の荒法師 武蔵坊弁慶</v>
      </c>
      <c r="I8" s="216">
        <v>1020</v>
      </c>
      <c r="J8" s="21" t="str">
        <f>VLOOKUP(I8,[1]characters!$A:$C,3,FALSE)</f>
        <v>静御前</v>
      </c>
      <c r="K8" s="18">
        <v>1</v>
      </c>
      <c r="L8" s="111">
        <v>3</v>
      </c>
      <c r="M8" s="111">
        <v>10</v>
      </c>
    </row>
    <row r="9" spans="1:13" ht="21" customHeight="1" x14ac:dyDescent="0.15">
      <c r="A9" s="65" t="str">
        <f t="shared" si="0"/>
        <v>1024_1022</v>
      </c>
      <c r="B9" s="44">
        <v>1024</v>
      </c>
      <c r="C9" s="180">
        <f t="shared" si="3"/>
        <v>1024</v>
      </c>
      <c r="D9" s="21" t="str">
        <f ca="1">VLOOKUP(B9,units!A:B,2)</f>
        <v>武蔵坊弁慶</v>
      </c>
      <c r="E9" s="21">
        <f ca="1">VLOOKUP($C9,OFFSET([1]characters!$A$1,0,0,COUNTA([1]characters!$A:$A),MATCH(E$1,[1]characters!$1:$1,0)-COLUMN(INDIRECT("character_id"))+1),MATCH(E$1,[1]characters!$1:$1,0)-COLUMN(INDIRECT("character_id"))+1,FALSE)</f>
        <v>5</v>
      </c>
      <c r="F9" s="21" t="str">
        <f ca="1">VLOOKUP($C9,OFFSET([1]characters!$A$1,0,0,COUNTA([1]characters!$A:$A),MATCH(F$1,[1]characters!$1:$1,0)-COLUMN(INDIRECT("character_id"))+1),MATCH(F$1,[1]characters!$1:$1,0)-COLUMN(INDIRECT("character_id"))+1,FALSE)</f>
        <v>DropWizS</v>
      </c>
      <c r="G9" s="181">
        <v>1025</v>
      </c>
      <c r="H9" s="21" t="str">
        <f ca="1">VLOOKUP(G9,OFFSET([1]characters!$A$1,0,0,COUNTA([1]characters!$A:$A),MATCH(H$1,[1]characters!$1:$1,0)-COLUMN(INDIRECT("character_id"))+1),MATCH(H$1,[1]characters!$1:$1,0)-COLUMN(INDIRECT("character_id"))+1,FALSE)</f>
        <v>多重撃の荒法師 武蔵坊弁慶</v>
      </c>
      <c r="I9" s="216">
        <v>1022</v>
      </c>
      <c r="J9" s="21" t="str">
        <f>VLOOKUP(I9,[1]characters!$A:$C,3,FALSE)</f>
        <v>那須与一</v>
      </c>
      <c r="K9" s="18">
        <v>1</v>
      </c>
      <c r="L9" s="111">
        <v>2</v>
      </c>
      <c r="M9" s="111">
        <v>10</v>
      </c>
    </row>
    <row r="10" spans="1:13" ht="21" customHeight="1" x14ac:dyDescent="0.15">
      <c r="A10" s="65" t="str">
        <f t="shared" si="0"/>
        <v>1024_116</v>
      </c>
      <c r="B10" s="44">
        <v>1024</v>
      </c>
      <c r="C10" s="180">
        <f t="shared" si="3"/>
        <v>1024</v>
      </c>
      <c r="D10" s="21" t="str">
        <f ca="1">VLOOKUP(B10,units!A:B,2)</f>
        <v>武蔵坊弁慶</v>
      </c>
      <c r="E10" s="21">
        <f ca="1">VLOOKUP($C10,OFFSET([1]characters!$A$1,0,0,COUNTA([1]characters!$A:$A),MATCH(E$1,[1]characters!$1:$1,0)-COLUMN(INDIRECT("character_id"))+1),MATCH(E$1,[1]characters!$1:$1,0)-COLUMN(INDIRECT("character_id"))+1,FALSE)</f>
        <v>5</v>
      </c>
      <c r="F10" s="21" t="str">
        <f ca="1">VLOOKUP($C10,OFFSET([1]characters!$A$1,0,0,COUNTA([1]characters!$A:$A),MATCH(F$1,[1]characters!$1:$1,0)-COLUMN(INDIRECT("character_id"))+1),MATCH(F$1,[1]characters!$1:$1,0)-COLUMN(INDIRECT("character_id"))+1,FALSE)</f>
        <v>DropWizS</v>
      </c>
      <c r="G10" s="181">
        <v>1025</v>
      </c>
      <c r="H10" s="21" t="str">
        <f ca="1">VLOOKUP(G10,OFFSET([1]characters!$A$1,0,0,COUNTA([1]characters!$A:$A),MATCH(H$1,[1]characters!$1:$1,0)-COLUMN(INDIRECT("character_id"))+1),MATCH(H$1,[1]characters!$1:$1,0)-COLUMN(INDIRECT("character_id"))+1,FALSE)</f>
        <v>多重撃の荒法師 武蔵坊弁慶</v>
      </c>
      <c r="I10" s="216">
        <v>116</v>
      </c>
      <c r="J10" s="21" t="str">
        <f>VLOOKUP(I10,[1]characters!$A:$C,3,FALSE)</f>
        <v>雷のマッドハッター</v>
      </c>
      <c r="K10" s="18">
        <v>1</v>
      </c>
      <c r="L10" s="111">
        <v>1</v>
      </c>
      <c r="M10" s="111">
        <v>10</v>
      </c>
    </row>
    <row r="11" spans="1:13" ht="21" customHeight="1" x14ac:dyDescent="0.15">
      <c r="A11" s="65" t="str">
        <f t="shared" si="0"/>
        <v>1026_102</v>
      </c>
      <c r="B11" s="44">
        <v>1026</v>
      </c>
      <c r="C11" s="180">
        <f t="shared" si="3"/>
        <v>1026</v>
      </c>
      <c r="D11" s="21" t="str">
        <f ca="1">VLOOKUP(B11,units!A:B,2)</f>
        <v>蝉丸</v>
      </c>
      <c r="E11" s="21">
        <f ca="1">VLOOKUP($C11,OFFSET([1]characters!$A$1,0,0,COUNTA([1]characters!$A:$A),MATCH(E$1,[1]characters!$1:$1,0)-COLUMN(INDIRECT("character_id"))+1),MATCH(E$1,[1]characters!$1:$1,0)-COLUMN(INDIRECT("character_id"))+1,FALSE)</f>
        <v>4</v>
      </c>
      <c r="F11" s="21" t="str">
        <f ca="1">VLOOKUP($C11,OFFSET([1]characters!$A$1,0,0,COUNTA([1]characters!$A:$A),MATCH(F$1,[1]characters!$1:$1,0)-COLUMN(INDIRECT("character_id"))+1),MATCH(F$1,[1]characters!$1:$1,0)-COLUMN(INDIRECT("character_id"))+1,FALSE)</f>
        <v>PremiumS</v>
      </c>
      <c r="G11" s="181">
        <v>1027</v>
      </c>
      <c r="H11" s="21" t="str">
        <f ca="1">VLOOKUP(G11,OFFSET([1]characters!$A$1,0,0,COUNTA([1]characters!$A:$A),MATCH(H$1,[1]characters!$1:$1,0)-COLUMN(INDIRECT("character_id"))+1),MATCH(H$1,[1]characters!$1:$1,0)-COLUMN(INDIRECT("character_id"))+1,FALSE)</f>
        <v>弾丸多重奏 蝉丸</v>
      </c>
      <c r="I11" s="213">
        <v>102</v>
      </c>
      <c r="J11" s="21" t="str">
        <f>VLOOKUP(I11,[1]characters!$A:$C,3,FALSE)</f>
        <v>レッドラビット</v>
      </c>
      <c r="K11" s="18">
        <v>2</v>
      </c>
      <c r="L11" s="111">
        <v>1</v>
      </c>
      <c r="M11" s="111">
        <v>1</v>
      </c>
    </row>
    <row r="12" spans="1:13" ht="21" customHeight="1" x14ac:dyDescent="0.15">
      <c r="A12" s="65" t="str">
        <f t="shared" si="0"/>
        <v>1026_103</v>
      </c>
      <c r="B12" s="44">
        <v>1026</v>
      </c>
      <c r="C12" s="180">
        <f t="shared" si="3"/>
        <v>1026</v>
      </c>
      <c r="D12" s="21" t="str">
        <f ca="1">VLOOKUP(B12,units!A:B,2)</f>
        <v>蝉丸</v>
      </c>
      <c r="E12" s="21">
        <f ca="1">VLOOKUP($C12,OFFSET([1]characters!$A$1,0,0,COUNTA([1]characters!$A:$A),MATCH(E$1,[1]characters!$1:$1,0)-COLUMN(INDIRECT("character_id"))+1),MATCH(E$1,[1]characters!$1:$1,0)-COLUMN(INDIRECT("character_id"))+1,FALSE)</f>
        <v>4</v>
      </c>
      <c r="F12" s="21" t="str">
        <f ca="1">VLOOKUP($C12,OFFSET([1]characters!$A$1,0,0,COUNTA([1]characters!$A:$A),MATCH(F$1,[1]characters!$1:$1,0)-COLUMN(INDIRECT("character_id"))+1),MATCH(F$1,[1]characters!$1:$1,0)-COLUMN(INDIRECT("character_id"))+1,FALSE)</f>
        <v>PremiumS</v>
      </c>
      <c r="G12" s="181">
        <v>1027</v>
      </c>
      <c r="H12" s="21" t="str">
        <f ca="1">VLOOKUP(G12,OFFSET([1]characters!$A$1,0,0,COUNTA([1]characters!$A:$A),MATCH(H$1,[1]characters!$1:$1,0)-COLUMN(INDIRECT("character_id"))+1),MATCH(H$1,[1]characters!$1:$1,0)-COLUMN(INDIRECT("character_id"))+1,FALSE)</f>
        <v>弾丸多重奏 蝉丸</v>
      </c>
      <c r="I12" s="213">
        <v>103</v>
      </c>
      <c r="J12" s="21" t="str">
        <f>VLOOKUP(I12,[1]characters!$A:$C,3,FALSE)</f>
        <v>レッドキャタップ</v>
      </c>
      <c r="K12" s="18">
        <v>2</v>
      </c>
      <c r="L12" s="111">
        <v>1</v>
      </c>
      <c r="M12" s="111">
        <v>1</v>
      </c>
    </row>
    <row r="13" spans="1:13" ht="21" customHeight="1" x14ac:dyDescent="0.15">
      <c r="A13" s="65" t="str">
        <f t="shared" si="0"/>
        <v>1026_104</v>
      </c>
      <c r="B13" s="44">
        <v>1026</v>
      </c>
      <c r="C13" s="180">
        <f t="shared" si="3"/>
        <v>1026</v>
      </c>
      <c r="D13" s="21" t="str">
        <f ca="1">VLOOKUP(B13,units!A:B,2)</f>
        <v>蝉丸</v>
      </c>
      <c r="E13" s="21">
        <f ca="1">VLOOKUP($C13,OFFSET([1]characters!$A$1,0,0,COUNTA([1]characters!$A:$A),MATCH(E$1,[1]characters!$1:$1,0)-COLUMN(INDIRECT("character_id"))+1),MATCH(E$1,[1]characters!$1:$1,0)-COLUMN(INDIRECT("character_id"))+1,FALSE)</f>
        <v>4</v>
      </c>
      <c r="F13" s="21" t="str">
        <f ca="1">VLOOKUP($C13,OFFSET([1]characters!$A$1,0,0,COUNTA([1]characters!$A:$A),MATCH(F$1,[1]characters!$1:$1,0)-COLUMN(INDIRECT("character_id"))+1),MATCH(F$1,[1]characters!$1:$1,0)-COLUMN(INDIRECT("character_id"))+1,FALSE)</f>
        <v>PremiumS</v>
      </c>
      <c r="G13" s="181">
        <v>1027</v>
      </c>
      <c r="H13" s="21" t="str">
        <f ca="1">VLOOKUP(G13,OFFSET([1]characters!$A$1,0,0,COUNTA([1]characters!$A:$A),MATCH(H$1,[1]characters!$1:$1,0)-COLUMN(INDIRECT("character_id"))+1),MATCH(H$1,[1]characters!$1:$1,0)-COLUMN(INDIRECT("character_id"))+1,FALSE)</f>
        <v>弾丸多重奏 蝉丸</v>
      </c>
      <c r="I13" s="213">
        <v>104</v>
      </c>
      <c r="J13" s="21" t="str">
        <f>VLOOKUP(I13,[1]characters!$A:$C,3,FALSE)</f>
        <v>炎のマッドハッター</v>
      </c>
      <c r="K13" s="18">
        <v>1</v>
      </c>
      <c r="L13" s="111">
        <v>1</v>
      </c>
      <c r="M13" s="111">
        <v>1</v>
      </c>
    </row>
    <row r="14" spans="1:13" ht="21" customHeight="1" x14ac:dyDescent="0.15">
      <c r="A14" s="65" t="str">
        <f t="shared" ref="A14:A26" si="4">B14&amp;"_"&amp;I14</f>
        <v>1028_837</v>
      </c>
      <c r="B14" s="109">
        <v>1028</v>
      </c>
      <c r="C14" s="180">
        <f t="shared" ref="C14:C26" si="5">B14</f>
        <v>1028</v>
      </c>
      <c r="D14" s="21" t="str">
        <f ca="1">VLOOKUP(B14,units!A:B,2)</f>
        <v>牛若丸</v>
      </c>
      <c r="E14" s="21">
        <f ca="1">VLOOKUP($C14,OFFSET([1]characters!$A$1,0,0,COUNTA([1]characters!$A:$A),MATCH(E$1,[1]characters!$1:$1,0)-COLUMN(INDIRECT("character_id"))+1),MATCH(E$1,[1]characters!$1:$1,0)-COLUMN(INDIRECT("character_id"))+1,FALSE)</f>
        <v>5</v>
      </c>
      <c r="F14" s="21" t="str">
        <f ca="1">VLOOKUP($C14,OFFSET([1]characters!$A$1,0,0,COUNTA([1]characters!$A:$A),MATCH(F$1,[1]characters!$1:$1,0)-COLUMN(INDIRECT("character_id"))+1),MATCH(F$1,[1]characters!$1:$1,0)-COLUMN(INDIRECT("character_id"))+1,FALSE)</f>
        <v>PremiumSS</v>
      </c>
      <c r="G14" s="181">
        <v>1029</v>
      </c>
      <c r="H14" s="21" t="str">
        <f ca="1">VLOOKUP(G14,OFFSET([1]characters!$A$1,0,0,COUNTA([1]characters!$A:$A),MATCH(H$1,[1]characters!$1:$1,0)-COLUMN(INDIRECT("character_id"))+1),MATCH(H$1,[1]characters!$1:$1,0)-COLUMN(INDIRECT("character_id"))+1,FALSE)</f>
        <v>天賦の軍才 牛若丸</v>
      </c>
      <c r="I14" s="211">
        <v>837</v>
      </c>
      <c r="J14" s="21" t="str">
        <f>VLOOKUP(I14,[1]characters!$A:$C,3,FALSE)</f>
        <v>リトルハンプティ</v>
      </c>
      <c r="K14" s="18">
        <v>1</v>
      </c>
      <c r="L14" s="111">
        <v>1</v>
      </c>
      <c r="M14" s="111">
        <v>100</v>
      </c>
    </row>
    <row r="15" spans="1:13" ht="21" customHeight="1" x14ac:dyDescent="0.15">
      <c r="A15" s="65" t="str">
        <f t="shared" si="4"/>
        <v>1028_1020</v>
      </c>
      <c r="B15" s="109">
        <v>1028</v>
      </c>
      <c r="C15" s="180">
        <f t="shared" si="5"/>
        <v>1028</v>
      </c>
      <c r="D15" s="21" t="str">
        <f ca="1">VLOOKUP(B15,units!A:B,2)</f>
        <v>牛若丸</v>
      </c>
      <c r="E15" s="21">
        <f ca="1">VLOOKUP($C15,OFFSET([1]characters!$A$1,0,0,COUNTA([1]characters!$A:$A),MATCH(E$1,[1]characters!$1:$1,0)-COLUMN(INDIRECT("character_id"))+1),MATCH(E$1,[1]characters!$1:$1,0)-COLUMN(INDIRECT("character_id"))+1,FALSE)</f>
        <v>5</v>
      </c>
      <c r="F15" s="21" t="str">
        <f ca="1">VLOOKUP($C15,OFFSET([1]characters!$A$1,0,0,COUNTA([1]characters!$A:$A),MATCH(F$1,[1]characters!$1:$1,0)-COLUMN(INDIRECT("character_id"))+1),MATCH(F$1,[1]characters!$1:$1,0)-COLUMN(INDIRECT("character_id"))+1,FALSE)</f>
        <v>PremiumSS</v>
      </c>
      <c r="G15" s="181">
        <v>1029</v>
      </c>
      <c r="H15" s="21" t="str">
        <f ca="1">VLOOKUP(G15,OFFSET([1]characters!$A$1,0,0,COUNTA([1]characters!$A:$A),MATCH(H$1,[1]characters!$1:$1,0)-COLUMN(INDIRECT("character_id"))+1),MATCH(H$1,[1]characters!$1:$1,0)-COLUMN(INDIRECT("character_id"))+1,FALSE)</f>
        <v>天賦の軍才 牛若丸</v>
      </c>
      <c r="I15" s="211">
        <v>1020</v>
      </c>
      <c r="J15" s="21" t="str">
        <f>VLOOKUP(I15,[1]characters!$A:$C,3,FALSE)</f>
        <v>静御前</v>
      </c>
      <c r="K15" s="18">
        <v>1</v>
      </c>
      <c r="L15" s="111">
        <v>3</v>
      </c>
      <c r="M15" s="111">
        <v>10</v>
      </c>
    </row>
    <row r="16" spans="1:13" ht="21" customHeight="1" x14ac:dyDescent="0.15">
      <c r="A16" s="65" t="str">
        <f t="shared" si="4"/>
        <v>1028_1022</v>
      </c>
      <c r="B16" s="109">
        <v>1028</v>
      </c>
      <c r="C16" s="180">
        <f t="shared" si="5"/>
        <v>1028</v>
      </c>
      <c r="D16" s="21" t="str">
        <f ca="1">VLOOKUP(B16,units!A:B,2)</f>
        <v>牛若丸</v>
      </c>
      <c r="E16" s="21">
        <f ca="1">VLOOKUP($C16,OFFSET([1]characters!$A$1,0,0,COUNTA([1]characters!$A:$A),MATCH(E$1,[1]characters!$1:$1,0)-COLUMN(INDIRECT("character_id"))+1),MATCH(E$1,[1]characters!$1:$1,0)-COLUMN(INDIRECT("character_id"))+1,FALSE)</f>
        <v>5</v>
      </c>
      <c r="F16" s="21" t="str">
        <f ca="1">VLOOKUP($C16,OFFSET([1]characters!$A$1,0,0,COUNTA([1]characters!$A:$A),MATCH(F$1,[1]characters!$1:$1,0)-COLUMN(INDIRECT("character_id"))+1),MATCH(F$1,[1]characters!$1:$1,0)-COLUMN(INDIRECT("character_id"))+1,FALSE)</f>
        <v>PremiumSS</v>
      </c>
      <c r="G16" s="181">
        <v>1029</v>
      </c>
      <c r="H16" s="21" t="str">
        <f ca="1">VLOOKUP(G16,OFFSET([1]characters!$A$1,0,0,COUNTA([1]characters!$A:$A),MATCH(H$1,[1]characters!$1:$1,0)-COLUMN(INDIRECT("character_id"))+1),MATCH(H$1,[1]characters!$1:$1,0)-COLUMN(INDIRECT("character_id"))+1,FALSE)</f>
        <v>天賦の軍才 牛若丸</v>
      </c>
      <c r="I16" s="211">
        <v>1022</v>
      </c>
      <c r="J16" s="21" t="str">
        <f>VLOOKUP(I16,[1]characters!$A:$C,3,FALSE)</f>
        <v>那須与一</v>
      </c>
      <c r="K16" s="18">
        <v>1</v>
      </c>
      <c r="L16" s="111">
        <v>2</v>
      </c>
      <c r="M16" s="111">
        <v>10</v>
      </c>
    </row>
    <row r="17" spans="1:13" ht="21" customHeight="1" x14ac:dyDescent="0.15">
      <c r="A17" s="65" t="str">
        <f t="shared" ref="A17:A18" si="6">B17&amp;"_"&amp;I17</f>
        <v>1028_107</v>
      </c>
      <c r="B17" s="109">
        <v>1028</v>
      </c>
      <c r="C17" s="180">
        <f t="shared" ref="C17:C18" si="7">B17</f>
        <v>1028</v>
      </c>
      <c r="D17" s="21" t="str">
        <f ca="1">VLOOKUP(B17,units!A:B,2)</f>
        <v>牛若丸</v>
      </c>
      <c r="E17" s="21">
        <f ca="1">VLOOKUP($C17,OFFSET([1]characters!$A$1,0,0,COUNTA([1]characters!$A:$A),MATCH(E$1,[1]characters!$1:$1,0)-COLUMN(INDIRECT("character_id"))+1),MATCH(E$1,[1]characters!$1:$1,0)-COLUMN(INDIRECT("character_id"))+1,FALSE)</f>
        <v>5</v>
      </c>
      <c r="F17" s="21" t="str">
        <f ca="1">VLOOKUP($C17,OFFSET([1]characters!$A$1,0,0,COUNTA([1]characters!$A:$A),MATCH(F$1,[1]characters!$1:$1,0)-COLUMN(INDIRECT("character_id"))+1),MATCH(F$1,[1]characters!$1:$1,0)-COLUMN(INDIRECT("character_id"))+1,FALSE)</f>
        <v>PremiumSS</v>
      </c>
      <c r="G17" s="181">
        <v>1029</v>
      </c>
      <c r="H17" s="21" t="str">
        <f ca="1">VLOOKUP(G17,OFFSET([1]characters!$A$1,0,0,COUNTA([1]characters!$A:$A),MATCH(H$1,[1]characters!$1:$1,0)-COLUMN(INDIRECT("character_id"))+1),MATCH(H$1,[1]characters!$1:$1,0)-COLUMN(INDIRECT("character_id"))+1,FALSE)</f>
        <v>天賦の軍才 牛若丸</v>
      </c>
      <c r="I17" s="211">
        <v>107</v>
      </c>
      <c r="J17" s="21" t="str">
        <f>VLOOKUP(I17,[1]characters!$A:$C,3,FALSE)</f>
        <v>グリーンキャタップ</v>
      </c>
      <c r="K17" s="18">
        <v>1</v>
      </c>
      <c r="L17" s="111">
        <v>1</v>
      </c>
      <c r="M17" s="111">
        <v>1</v>
      </c>
    </row>
    <row r="18" spans="1:13" ht="21" customHeight="1" x14ac:dyDescent="0.15">
      <c r="A18" s="65" t="str">
        <f t="shared" si="6"/>
        <v>1028_108</v>
      </c>
      <c r="B18" s="109">
        <v>1028</v>
      </c>
      <c r="C18" s="180">
        <f t="shared" si="7"/>
        <v>1028</v>
      </c>
      <c r="D18" s="21" t="str">
        <f ca="1">VLOOKUP(B18,units!A:B,2)</f>
        <v>牛若丸</v>
      </c>
      <c r="E18" s="21">
        <f ca="1">VLOOKUP($C18,OFFSET([1]characters!$A$1,0,0,COUNTA([1]characters!$A:$A),MATCH(E$1,[1]characters!$1:$1,0)-COLUMN(INDIRECT("character_id"))+1),MATCH(E$1,[1]characters!$1:$1,0)-COLUMN(INDIRECT("character_id"))+1,FALSE)</f>
        <v>5</v>
      </c>
      <c r="F18" s="21" t="str">
        <f ca="1">VLOOKUP($C18,OFFSET([1]characters!$A$1,0,0,COUNTA([1]characters!$A:$A),MATCH(F$1,[1]characters!$1:$1,0)-COLUMN(INDIRECT("character_id"))+1),MATCH(F$1,[1]characters!$1:$1,0)-COLUMN(INDIRECT("character_id"))+1,FALSE)</f>
        <v>PremiumSS</v>
      </c>
      <c r="G18" s="181">
        <v>1029</v>
      </c>
      <c r="H18" s="21" t="str">
        <f ca="1">VLOOKUP(G18,OFFSET([1]characters!$A$1,0,0,COUNTA([1]characters!$A:$A),MATCH(H$1,[1]characters!$1:$1,0)-COLUMN(INDIRECT("character_id"))+1),MATCH(H$1,[1]characters!$1:$1,0)-COLUMN(INDIRECT("character_id"))+1,FALSE)</f>
        <v>天賦の軍才 牛若丸</v>
      </c>
      <c r="I18" s="211">
        <v>108</v>
      </c>
      <c r="J18" s="21" t="str">
        <f>VLOOKUP(I18,[1]characters!$A:$C,3,FALSE)</f>
        <v>森のマッドハッター</v>
      </c>
      <c r="K18" s="18">
        <v>1</v>
      </c>
      <c r="L18" s="111">
        <v>1</v>
      </c>
      <c r="M18" s="111">
        <v>1</v>
      </c>
    </row>
    <row r="19" spans="1:13" ht="21" customHeight="1" x14ac:dyDescent="0.15">
      <c r="A19" s="65" t="str">
        <f>B19&amp;"_"&amp;I19</f>
        <v>1031_837</v>
      </c>
      <c r="B19" s="109">
        <v>1031</v>
      </c>
      <c r="C19" s="180">
        <f>B19</f>
        <v>1031</v>
      </c>
      <c r="D19" s="21" t="str">
        <f ca="1">VLOOKUP(B19,units!A:B,2)</f>
        <v>紫式部</v>
      </c>
      <c r="E19" s="21">
        <f ca="1">VLOOKUP($C19,OFFSET([1]characters!$A$1,0,0,COUNTA([1]characters!$A:$A),MATCH(E$1,[1]characters!$1:$1,0)-COLUMN(INDIRECT("character_id"))+1),MATCH(E$1,[1]characters!$1:$1,0)-COLUMN(INDIRECT("character_id"))+1,FALSE)</f>
        <v>5</v>
      </c>
      <c r="F19" s="21" t="str">
        <f ca="1">VLOOKUP($C19,OFFSET([1]characters!$A$1,0,0,COUNTA([1]characters!$A:$A),MATCH(F$1,[1]characters!$1:$1,0)-COLUMN(INDIRECT("character_id"))+1),MATCH(F$1,[1]characters!$1:$1,0)-COLUMN(INDIRECT("character_id"))+1,FALSE)</f>
        <v>PremiumSS</v>
      </c>
      <c r="G19" s="181">
        <v>1032</v>
      </c>
      <c r="H19" s="21" t="str">
        <f ca="1">VLOOKUP(G19,OFFSET([1]characters!$A$1,0,0,COUNTA([1]characters!$A:$A),MATCH(H$1,[1]characters!$1:$1,0)-COLUMN(INDIRECT("character_id"))+1),MATCH(H$1,[1]characters!$1:$1,0)-COLUMN(INDIRECT("character_id"))+1,FALSE)</f>
        <v>彩気煥発の創作人 紫式部</v>
      </c>
      <c r="I19" s="214">
        <v>837</v>
      </c>
      <c r="J19" s="21" t="str">
        <f>VLOOKUP(I19,[1]characters!$A:$C,3,FALSE)</f>
        <v>リトルハンプティ</v>
      </c>
      <c r="K19" s="18">
        <v>1</v>
      </c>
      <c r="L19" s="111">
        <v>1</v>
      </c>
      <c r="M19" s="111">
        <v>100</v>
      </c>
    </row>
    <row r="20" spans="1:13" ht="21" customHeight="1" x14ac:dyDescent="0.15">
      <c r="A20" s="65" t="str">
        <f t="shared" si="4"/>
        <v>1031_1022</v>
      </c>
      <c r="B20" s="109">
        <v>1031</v>
      </c>
      <c r="C20" s="180">
        <f t="shared" si="5"/>
        <v>1031</v>
      </c>
      <c r="D20" s="21" t="str">
        <f ca="1">VLOOKUP(B20,units!A:B,2)</f>
        <v>紫式部</v>
      </c>
      <c r="E20" s="21">
        <f ca="1">VLOOKUP($C20,OFFSET([1]characters!$A$1,0,0,COUNTA([1]characters!$A:$A),MATCH(E$1,[1]characters!$1:$1,0)-COLUMN(INDIRECT("character_id"))+1),MATCH(E$1,[1]characters!$1:$1,0)-COLUMN(INDIRECT("character_id"))+1,FALSE)</f>
        <v>5</v>
      </c>
      <c r="F20" s="21" t="str">
        <f ca="1">VLOOKUP($C20,OFFSET([1]characters!$A$1,0,0,COUNTA([1]characters!$A:$A),MATCH(F$1,[1]characters!$1:$1,0)-COLUMN(INDIRECT("character_id"))+1),MATCH(F$1,[1]characters!$1:$1,0)-COLUMN(INDIRECT("character_id"))+1,FALSE)</f>
        <v>PremiumSS</v>
      </c>
      <c r="G20" s="181">
        <v>1032</v>
      </c>
      <c r="H20" s="21" t="str">
        <f ca="1">VLOOKUP(G20,OFFSET([1]characters!$A$1,0,0,COUNTA([1]characters!$A:$A),MATCH(H$1,[1]characters!$1:$1,0)-COLUMN(INDIRECT("character_id"))+1),MATCH(H$1,[1]characters!$1:$1,0)-COLUMN(INDIRECT("character_id"))+1,FALSE)</f>
        <v>彩気煥発の創作人 紫式部</v>
      </c>
      <c r="I20" s="214">
        <v>1022</v>
      </c>
      <c r="J20" s="21" t="str">
        <f>VLOOKUP(I20,[1]characters!$A:$C,3,FALSE)</f>
        <v>那須与一</v>
      </c>
      <c r="K20" s="18">
        <v>1</v>
      </c>
      <c r="L20" s="111">
        <v>1</v>
      </c>
      <c r="M20" s="111">
        <v>10</v>
      </c>
    </row>
    <row r="21" spans="1:13" ht="21" customHeight="1" x14ac:dyDescent="0.15">
      <c r="A21" s="65" t="str">
        <f t="shared" si="4"/>
        <v>1031_292</v>
      </c>
      <c r="B21" s="109">
        <v>1031</v>
      </c>
      <c r="C21" s="180">
        <f t="shared" si="5"/>
        <v>1031</v>
      </c>
      <c r="D21" s="21" t="str">
        <f ca="1">VLOOKUP(B21,units!A:B,2)</f>
        <v>紫式部</v>
      </c>
      <c r="E21" s="21">
        <f ca="1">VLOOKUP($C21,OFFSET([1]characters!$A$1,0,0,COUNTA([1]characters!$A:$A),MATCH(E$1,[1]characters!$1:$1,0)-COLUMN(INDIRECT("character_id"))+1),MATCH(E$1,[1]characters!$1:$1,0)-COLUMN(INDIRECT("character_id"))+1,FALSE)</f>
        <v>5</v>
      </c>
      <c r="F21" s="21" t="str">
        <f ca="1">VLOOKUP($C21,OFFSET([1]characters!$A$1,0,0,COUNTA([1]characters!$A:$A),MATCH(F$1,[1]characters!$1:$1,0)-COLUMN(INDIRECT("character_id"))+1),MATCH(F$1,[1]characters!$1:$1,0)-COLUMN(INDIRECT("character_id"))+1,FALSE)</f>
        <v>PremiumSS</v>
      </c>
      <c r="G21" s="181">
        <v>1032</v>
      </c>
      <c r="H21" s="21" t="str">
        <f ca="1">VLOOKUP(G21,OFFSET([1]characters!$A$1,0,0,COUNTA([1]characters!$A:$A),MATCH(H$1,[1]characters!$1:$1,0)-COLUMN(INDIRECT("character_id"))+1),MATCH(H$1,[1]characters!$1:$1,0)-COLUMN(INDIRECT("character_id"))+1,FALSE)</f>
        <v>彩気煥発の創作人 紫式部</v>
      </c>
      <c r="I21" s="218">
        <v>292</v>
      </c>
      <c r="J21" s="21" t="str">
        <f>VLOOKUP(I21,[1]characters!$A:$C,3,FALSE)</f>
        <v>アナスタシア</v>
      </c>
      <c r="K21" s="18">
        <v>1</v>
      </c>
      <c r="L21" s="111">
        <v>1</v>
      </c>
      <c r="M21" s="111">
        <v>10</v>
      </c>
    </row>
    <row r="22" spans="1:13" ht="21" customHeight="1" x14ac:dyDescent="0.15">
      <c r="A22" s="65" t="str">
        <f t="shared" ref="A22:A23" si="8">B22&amp;"_"&amp;I22</f>
        <v>1031_111</v>
      </c>
      <c r="B22" s="109">
        <v>1031</v>
      </c>
      <c r="C22" s="180">
        <f t="shared" ref="C22:C23" si="9">B22</f>
        <v>1031</v>
      </c>
      <c r="D22" s="21" t="str">
        <f ca="1">VLOOKUP(B22,units!A:B,2)</f>
        <v>紫式部</v>
      </c>
      <c r="E22" s="21">
        <f ca="1">VLOOKUP($C22,OFFSET([1]characters!$A$1,0,0,COUNTA([1]characters!$A:$A),MATCH(E$1,[1]characters!$1:$1,0)-COLUMN(INDIRECT("character_id"))+1),MATCH(E$1,[1]characters!$1:$1,0)-COLUMN(INDIRECT("character_id"))+1,FALSE)</f>
        <v>5</v>
      </c>
      <c r="F22" s="21" t="str">
        <f ca="1">VLOOKUP($C22,OFFSET([1]characters!$A$1,0,0,COUNTA([1]characters!$A:$A),MATCH(F$1,[1]characters!$1:$1,0)-COLUMN(INDIRECT("character_id"))+1),MATCH(F$1,[1]characters!$1:$1,0)-COLUMN(INDIRECT("character_id"))+1,FALSE)</f>
        <v>PremiumSS</v>
      </c>
      <c r="G22" s="181">
        <v>1032</v>
      </c>
      <c r="H22" s="21" t="str">
        <f ca="1">VLOOKUP(G22,OFFSET([1]characters!$A$1,0,0,COUNTA([1]characters!$A:$A),MATCH(H$1,[1]characters!$1:$1,0)-COLUMN(INDIRECT("character_id"))+1),MATCH(H$1,[1]characters!$1:$1,0)-COLUMN(INDIRECT("character_id"))+1,FALSE)</f>
        <v>彩気煥発の創作人 紫式部</v>
      </c>
      <c r="I22" s="214">
        <v>111</v>
      </c>
      <c r="J22" s="21" t="str">
        <f>VLOOKUP(I22,[1]characters!$A:$C,3,FALSE)</f>
        <v>ブルーキャタップ</v>
      </c>
      <c r="K22" s="18">
        <v>1</v>
      </c>
      <c r="L22" s="111">
        <v>1</v>
      </c>
      <c r="M22" s="111">
        <v>1</v>
      </c>
    </row>
    <row r="23" spans="1:13" ht="21" customHeight="1" x14ac:dyDescent="0.15">
      <c r="A23" s="65" t="str">
        <f t="shared" si="8"/>
        <v>1031_112</v>
      </c>
      <c r="B23" s="109">
        <v>1031</v>
      </c>
      <c r="C23" s="180">
        <f t="shared" si="9"/>
        <v>1031</v>
      </c>
      <c r="D23" s="21" t="str">
        <f ca="1">VLOOKUP(B23,units!A:B,2)</f>
        <v>紫式部</v>
      </c>
      <c r="E23" s="21">
        <f ca="1">VLOOKUP($C23,OFFSET([1]characters!$A$1,0,0,COUNTA([1]characters!$A:$A),MATCH(E$1,[1]characters!$1:$1,0)-COLUMN(INDIRECT("character_id"))+1),MATCH(E$1,[1]characters!$1:$1,0)-COLUMN(INDIRECT("character_id"))+1,FALSE)</f>
        <v>5</v>
      </c>
      <c r="F23" s="21" t="str">
        <f ca="1">VLOOKUP($C23,OFFSET([1]characters!$A$1,0,0,COUNTA([1]characters!$A:$A),MATCH(F$1,[1]characters!$1:$1,0)-COLUMN(INDIRECT("character_id"))+1),MATCH(F$1,[1]characters!$1:$1,0)-COLUMN(INDIRECT("character_id"))+1,FALSE)</f>
        <v>PremiumSS</v>
      </c>
      <c r="G23" s="181">
        <v>1032</v>
      </c>
      <c r="H23" s="21" t="str">
        <f ca="1">VLOOKUP(G23,OFFSET([1]characters!$A$1,0,0,COUNTA([1]characters!$A:$A),MATCH(H$1,[1]characters!$1:$1,0)-COLUMN(INDIRECT("character_id"))+1),MATCH(H$1,[1]characters!$1:$1,0)-COLUMN(INDIRECT("character_id"))+1,FALSE)</f>
        <v>彩気煥発の創作人 紫式部</v>
      </c>
      <c r="I23" s="214">
        <v>112</v>
      </c>
      <c r="J23" s="21" t="str">
        <f>VLOOKUP(I23,[1]characters!$A:$C,3,FALSE)</f>
        <v>水のマッドハッター</v>
      </c>
      <c r="K23" s="18">
        <v>1</v>
      </c>
      <c r="L23" s="111">
        <v>1</v>
      </c>
      <c r="M23" s="111">
        <v>1</v>
      </c>
    </row>
    <row r="24" spans="1:13" ht="21" customHeight="1" x14ac:dyDescent="0.15">
      <c r="A24" s="65" t="str">
        <f t="shared" si="4"/>
        <v>1033_837</v>
      </c>
      <c r="B24" s="109">
        <v>1033</v>
      </c>
      <c r="C24" s="180">
        <f t="shared" si="5"/>
        <v>1033</v>
      </c>
      <c r="D24" s="21" t="str">
        <f ca="1">VLOOKUP(B24,units!A:B,2)</f>
        <v>清少納言</v>
      </c>
      <c r="E24" s="21">
        <f ca="1">VLOOKUP($C24,OFFSET([1]characters!$A$1,0,0,COUNTA([1]characters!$A:$A),MATCH(E$1,[1]characters!$1:$1,0)-COLUMN(INDIRECT("character_id"))+1),MATCH(E$1,[1]characters!$1:$1,0)-COLUMN(INDIRECT("character_id"))+1,FALSE)</f>
        <v>5</v>
      </c>
      <c r="F24" s="21" t="str">
        <f ca="1">VLOOKUP($C24,OFFSET([1]characters!$A$1,0,0,COUNTA([1]characters!$A:$A),MATCH(F$1,[1]characters!$1:$1,0)-COLUMN(INDIRECT("character_id"))+1),MATCH(F$1,[1]characters!$1:$1,0)-COLUMN(INDIRECT("character_id"))+1,FALSE)</f>
        <v>PremiumSS</v>
      </c>
      <c r="G24" s="181">
        <v>1034</v>
      </c>
      <c r="H24" s="21" t="str">
        <f ca="1">VLOOKUP(G24,OFFSET([1]characters!$A$1,0,0,COUNTA([1]characters!$A:$A),MATCH(H$1,[1]characters!$1:$1,0)-COLUMN(INDIRECT("character_id"))+1),MATCH(H$1,[1]characters!$1:$1,0)-COLUMN(INDIRECT("character_id"))+1,FALSE)</f>
        <v>爛漫なる随筆家 清少納言</v>
      </c>
      <c r="I24" s="215">
        <v>837</v>
      </c>
      <c r="J24" s="21" t="str">
        <f>VLOOKUP(I24,[1]characters!$A:$C,3,FALSE)</f>
        <v>リトルハンプティ</v>
      </c>
      <c r="K24" s="18">
        <v>1</v>
      </c>
      <c r="L24" s="111">
        <v>1</v>
      </c>
      <c r="M24" s="111">
        <v>100</v>
      </c>
    </row>
    <row r="25" spans="1:13" ht="21" customHeight="1" x14ac:dyDescent="0.15">
      <c r="A25" s="65" t="str">
        <f t="shared" si="4"/>
        <v>1033_1020</v>
      </c>
      <c r="B25" s="109">
        <v>1033</v>
      </c>
      <c r="C25" s="180">
        <f t="shared" si="5"/>
        <v>1033</v>
      </c>
      <c r="D25" s="21" t="str">
        <f ca="1">VLOOKUP(B25,units!A:B,2)</f>
        <v>清少納言</v>
      </c>
      <c r="E25" s="21">
        <f ca="1">VLOOKUP($C25,OFFSET([1]characters!$A$1,0,0,COUNTA([1]characters!$A:$A),MATCH(E$1,[1]characters!$1:$1,0)-COLUMN(INDIRECT("character_id"))+1),MATCH(E$1,[1]characters!$1:$1,0)-COLUMN(INDIRECT("character_id"))+1,FALSE)</f>
        <v>5</v>
      </c>
      <c r="F25" s="21" t="str">
        <f ca="1">VLOOKUP($C25,OFFSET([1]characters!$A$1,0,0,COUNTA([1]characters!$A:$A),MATCH(F$1,[1]characters!$1:$1,0)-COLUMN(INDIRECT("character_id"))+1),MATCH(F$1,[1]characters!$1:$1,0)-COLUMN(INDIRECT("character_id"))+1,FALSE)</f>
        <v>PremiumSS</v>
      </c>
      <c r="G25" s="181">
        <v>1034</v>
      </c>
      <c r="H25" s="21" t="str">
        <f ca="1">VLOOKUP(G25,OFFSET([1]characters!$A$1,0,0,COUNTA([1]characters!$A:$A),MATCH(H$1,[1]characters!$1:$1,0)-COLUMN(INDIRECT("character_id"))+1),MATCH(H$1,[1]characters!$1:$1,0)-COLUMN(INDIRECT("character_id"))+1,FALSE)</f>
        <v>爛漫なる随筆家 清少納言</v>
      </c>
      <c r="I25" s="215">
        <v>1020</v>
      </c>
      <c r="J25" s="21" t="str">
        <f>VLOOKUP(I25,[1]characters!$A:$C,3,FALSE)</f>
        <v>静御前</v>
      </c>
      <c r="K25" s="18">
        <v>1</v>
      </c>
      <c r="L25" s="111">
        <v>1</v>
      </c>
      <c r="M25" s="111">
        <v>10</v>
      </c>
    </row>
    <row r="26" spans="1:13" ht="21" customHeight="1" x14ac:dyDescent="0.15">
      <c r="A26" s="65" t="str">
        <f t="shared" si="4"/>
        <v>1033_288</v>
      </c>
      <c r="B26" s="109">
        <v>1033</v>
      </c>
      <c r="C26" s="180">
        <f t="shared" si="5"/>
        <v>1033</v>
      </c>
      <c r="D26" s="21" t="str">
        <f ca="1">VLOOKUP(B26,units!A:B,2)</f>
        <v>清少納言</v>
      </c>
      <c r="E26" s="21">
        <f ca="1">VLOOKUP($C26,OFFSET([1]characters!$A$1,0,0,COUNTA([1]characters!$A:$A),MATCH(E$1,[1]characters!$1:$1,0)-COLUMN(INDIRECT("character_id"))+1),MATCH(E$1,[1]characters!$1:$1,0)-COLUMN(INDIRECT("character_id"))+1,FALSE)</f>
        <v>5</v>
      </c>
      <c r="F26" s="21" t="str">
        <f ca="1">VLOOKUP($C26,OFFSET([1]characters!$A$1,0,0,COUNTA([1]characters!$A:$A),MATCH(F$1,[1]characters!$1:$1,0)-COLUMN(INDIRECT("character_id"))+1),MATCH(F$1,[1]characters!$1:$1,0)-COLUMN(INDIRECT("character_id"))+1,FALSE)</f>
        <v>PremiumSS</v>
      </c>
      <c r="G26" s="181">
        <v>1034</v>
      </c>
      <c r="H26" s="21" t="str">
        <f ca="1">VLOOKUP(G26,OFFSET([1]characters!$A$1,0,0,COUNTA([1]characters!$A:$A),MATCH(H$1,[1]characters!$1:$1,0)-COLUMN(INDIRECT("character_id"))+1),MATCH(H$1,[1]characters!$1:$1,0)-COLUMN(INDIRECT("character_id"))+1,FALSE)</f>
        <v>爛漫なる随筆家 清少納言</v>
      </c>
      <c r="I26" s="217">
        <v>288</v>
      </c>
      <c r="J26" s="21" t="str">
        <f>VLOOKUP(I26,[1]characters!$A:$C,3,FALSE)</f>
        <v>ミカド</v>
      </c>
      <c r="K26" s="18">
        <v>1</v>
      </c>
      <c r="L26" s="111">
        <v>1</v>
      </c>
      <c r="M26" s="111">
        <v>10</v>
      </c>
    </row>
    <row r="27" spans="1:13" ht="21" customHeight="1" x14ac:dyDescent="0.15">
      <c r="A27" s="65" t="str">
        <f t="shared" ref="A27:A28" si="10">B27&amp;"_"&amp;I27</f>
        <v>1033_115</v>
      </c>
      <c r="B27" s="109">
        <v>1033</v>
      </c>
      <c r="C27" s="180">
        <f t="shared" ref="C27:C28" si="11">B27</f>
        <v>1033</v>
      </c>
      <c r="D27" s="21" t="str">
        <f ca="1">VLOOKUP(B27,units!A:B,2)</f>
        <v>清少納言</v>
      </c>
      <c r="E27" s="21">
        <f ca="1">VLOOKUP($C27,OFFSET([1]characters!$A$1,0,0,COUNTA([1]characters!$A:$A),MATCH(E$1,[1]characters!$1:$1,0)-COLUMN(INDIRECT("character_id"))+1),MATCH(E$1,[1]characters!$1:$1,0)-COLUMN(INDIRECT("character_id"))+1,FALSE)</f>
        <v>5</v>
      </c>
      <c r="F27" s="21" t="str">
        <f ca="1">VLOOKUP($C27,OFFSET([1]characters!$A$1,0,0,COUNTA([1]characters!$A:$A),MATCH(F$1,[1]characters!$1:$1,0)-COLUMN(INDIRECT("character_id"))+1),MATCH(F$1,[1]characters!$1:$1,0)-COLUMN(INDIRECT("character_id"))+1,FALSE)</f>
        <v>PremiumSS</v>
      </c>
      <c r="G27" s="181">
        <v>1034</v>
      </c>
      <c r="H27" s="21" t="str">
        <f ca="1">VLOOKUP(G27,OFFSET([1]characters!$A$1,0,0,COUNTA([1]characters!$A:$A),MATCH(H$1,[1]characters!$1:$1,0)-COLUMN(INDIRECT("character_id"))+1),MATCH(H$1,[1]characters!$1:$1,0)-COLUMN(INDIRECT("character_id"))+1,FALSE)</f>
        <v>爛漫なる随筆家 清少納言</v>
      </c>
      <c r="I27" s="215">
        <v>115</v>
      </c>
      <c r="J27" s="21" t="str">
        <f>VLOOKUP(I27,[1]characters!$A:$C,3,FALSE)</f>
        <v>イエローキャタップ</v>
      </c>
      <c r="K27" s="18">
        <v>1</v>
      </c>
      <c r="L27" s="111">
        <v>1</v>
      </c>
      <c r="M27" s="111">
        <v>1</v>
      </c>
    </row>
    <row r="28" spans="1:13" ht="21" customHeight="1" x14ac:dyDescent="0.15">
      <c r="A28" s="65" t="str">
        <f t="shared" si="10"/>
        <v>1033_116</v>
      </c>
      <c r="B28" s="109">
        <v>1033</v>
      </c>
      <c r="C28" s="180">
        <f t="shared" si="11"/>
        <v>1033</v>
      </c>
      <c r="D28" s="21" t="str">
        <f ca="1">VLOOKUP(B28,units!A:B,2)</f>
        <v>清少納言</v>
      </c>
      <c r="E28" s="21">
        <f ca="1">VLOOKUP($C28,OFFSET([1]characters!$A$1,0,0,COUNTA([1]characters!$A:$A),MATCH(E$1,[1]characters!$1:$1,0)-COLUMN(INDIRECT("character_id"))+1),MATCH(E$1,[1]characters!$1:$1,0)-COLUMN(INDIRECT("character_id"))+1,FALSE)</f>
        <v>5</v>
      </c>
      <c r="F28" s="21" t="str">
        <f ca="1">VLOOKUP($C28,OFFSET([1]characters!$A$1,0,0,COUNTA([1]characters!$A:$A),MATCH(F$1,[1]characters!$1:$1,0)-COLUMN(INDIRECT("character_id"))+1),MATCH(F$1,[1]characters!$1:$1,0)-COLUMN(INDIRECT("character_id"))+1,FALSE)</f>
        <v>PremiumSS</v>
      </c>
      <c r="G28" s="181">
        <v>1034</v>
      </c>
      <c r="H28" s="21" t="str">
        <f ca="1">VLOOKUP(G28,OFFSET([1]characters!$A$1,0,0,COUNTA([1]characters!$A:$A),MATCH(H$1,[1]characters!$1:$1,0)-COLUMN(INDIRECT("character_id"))+1),MATCH(H$1,[1]characters!$1:$1,0)-COLUMN(INDIRECT("character_id"))+1,FALSE)</f>
        <v>爛漫なる随筆家 清少納言</v>
      </c>
      <c r="I28" s="215">
        <v>116</v>
      </c>
      <c r="J28" s="21" t="str">
        <f>VLOOKUP(I28,[1]characters!$A:$C,3,FALSE)</f>
        <v>雷のマッドハッター</v>
      </c>
      <c r="K28" s="18">
        <v>1</v>
      </c>
      <c r="L28" s="111">
        <v>1</v>
      </c>
      <c r="M28" s="111">
        <v>1</v>
      </c>
    </row>
  </sheetData>
  <sheetProtection selectLockedCells="1" selectUnlockedCells="1"/>
  <autoFilter ref="B1:K1"/>
  <phoneticPr fontId="21"/>
  <pageMargins left="0.75" right="0.75" top="1" bottom="1" header="0.51180555555555551" footer="0.51180555555555551"/>
  <pageSetup paperSize="9" firstPageNumber="0" orientation="portrait" horizontalDpi="300" verticalDpi="30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rgb="FF293173"/>
  </sheetPr>
  <dimension ref="A1:J1"/>
  <sheetViews>
    <sheetView workbookViewId="0">
      <selection activeCell="A2" sqref="A2:XFD2"/>
    </sheetView>
  </sheetViews>
  <sheetFormatPr baseColWidth="12" defaultRowHeight="15" x14ac:dyDescent="0.15"/>
  <cols>
    <col min="3" max="3" width="16.5" customWidth="1"/>
    <col min="4" max="4" width="43.6640625" customWidth="1"/>
    <col min="5" max="5" width="10.1640625" customWidth="1"/>
    <col min="6" max="6" width="18" customWidth="1"/>
    <col min="7" max="7" width="66.5" customWidth="1"/>
    <col min="8" max="8" width="11.6640625" customWidth="1"/>
    <col min="9" max="9" width="116.5" hidden="1" customWidth="1"/>
  </cols>
  <sheetData>
    <row r="1" spans="1:10" s="24" customFormat="1" ht="21" customHeight="1" x14ac:dyDescent="0.15">
      <c r="A1" s="182" t="s">
        <v>246</v>
      </c>
      <c r="B1" s="117" t="s">
        <v>247</v>
      </c>
      <c r="C1" s="118" t="s">
        <v>248</v>
      </c>
      <c r="D1" s="119" t="s">
        <v>249</v>
      </c>
      <c r="E1" s="119" t="s">
        <v>250</v>
      </c>
      <c r="F1" s="119" t="s">
        <v>251</v>
      </c>
      <c r="G1" s="119" t="s">
        <v>252</v>
      </c>
      <c r="H1" s="119" t="s">
        <v>253</v>
      </c>
      <c r="I1" s="183" t="s">
        <v>254</v>
      </c>
      <c r="J1" s="184" t="s">
        <v>255</v>
      </c>
    </row>
  </sheetData>
  <phoneticPr fontId="21"/>
  <pageMargins left="0.7" right="0.7" top="0.75" bottom="0.75" header="0.3" footer="0.3"/>
  <pageSetup paperSize="9" orientation="portrait" horizontalDpi="0" verticalDpi="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tabColor rgb="FF293173"/>
  </sheetPr>
  <dimension ref="A1:H5"/>
  <sheetViews>
    <sheetView workbookViewId="0">
      <selection activeCell="F25" sqref="F25"/>
    </sheetView>
  </sheetViews>
  <sheetFormatPr baseColWidth="12" defaultRowHeight="15" x14ac:dyDescent="0.15"/>
  <cols>
    <col min="5" max="5" width="22.6640625" customWidth="1"/>
    <col min="6" max="6" width="58.83203125" customWidth="1"/>
  </cols>
  <sheetData>
    <row r="1" spans="1:8" s="24" customFormat="1" ht="21" customHeight="1" x14ac:dyDescent="0.15">
      <c r="A1" s="182" t="s">
        <v>256</v>
      </c>
      <c r="B1" s="186" t="s">
        <v>243</v>
      </c>
      <c r="C1" s="117" t="s">
        <v>257</v>
      </c>
      <c r="D1" s="117" t="s">
        <v>258</v>
      </c>
      <c r="E1" s="187" t="s">
        <v>259</v>
      </c>
      <c r="F1" s="187" t="s">
        <v>244</v>
      </c>
      <c r="G1" s="120" t="s">
        <v>260</v>
      </c>
      <c r="H1" s="182" t="s">
        <v>261</v>
      </c>
    </row>
    <row r="2" spans="1:8" s="4" customFormat="1" ht="21" customHeight="1" x14ac:dyDescent="0.15">
      <c r="A2" s="185">
        <v>1025</v>
      </c>
      <c r="B2" s="188" t="str">
        <f>VLOOKUP(A2,[1]characters!$A:$C,3)</f>
        <v>多重撃の荒法師 武蔵坊弁慶</v>
      </c>
      <c r="C2" s="185">
        <v>1</v>
      </c>
      <c r="D2" s="185">
        <v>103</v>
      </c>
      <c r="E2" s="183" t="str">
        <f>IF(ISERROR(VLOOKUP(D2,[3]abilities!A:D,3,FALSE))=FALSE,VLOOKUP(D2,[3]abilities!A:D,3),IF(ISERROR(VLOOKUP(D2,[4]abilities!A:D,3,FALSE))=FALSE,VLOOKUP(D2,[4]abilities!A:D,3),"なし"))</f>
        <v>お邪魔ブレイク</v>
      </c>
      <c r="F2" s="183" t="str">
        <f>IF(ISERROR(VLOOKUP(D2,[3]abilities!A:D,4,FALSE))=FALSE,VLOOKUP(D2,[3]abilities!A:D,4),IF(ISERROR(VLOOKUP(D2,[4]abilities!A:D,4,FALSE))=FALSE,VLOOKUP(D2,[4]abilities!A:D,4),"なし"))</f>
        <v>自身が先頭の時、お邪魔パネルを破壊できる</v>
      </c>
      <c r="G2" s="189" t="s">
        <v>262</v>
      </c>
      <c r="H2" s="189" t="s">
        <v>415</v>
      </c>
    </row>
    <row r="3" spans="1:8" s="4" customFormat="1" ht="21" customHeight="1" x14ac:dyDescent="0.15">
      <c r="A3" s="185">
        <v>1029</v>
      </c>
      <c r="B3" s="188" t="str">
        <f>VLOOKUP(A3,[1]characters!$A:$C,3)</f>
        <v>天賦の軍才 牛若丸</v>
      </c>
      <c r="C3" s="185">
        <v>1</v>
      </c>
      <c r="D3" s="185">
        <v>100</v>
      </c>
      <c r="E3" s="183" t="str">
        <f>IF(ISERROR(VLOOKUP(D3,[3]abilities!A:D,3,FALSE))=FALSE,VLOOKUP(D3,[3]abilities!A:D,3),IF(ISERROR(VLOOKUP(D3,[4]abilities!A:D,3,FALSE))=FALSE,VLOOKUP(D3,[4]abilities!A:D,3),"なし"))</f>
        <v>プロテクトブレイク</v>
      </c>
      <c r="F3" s="183" t="str">
        <f>IF(ISERROR(VLOOKUP(D3,[3]abilities!A:D,4,FALSE))=FALSE,VLOOKUP(D3,[3]abilities!A:D,4),IF(ISERROR(VLOOKUP(D3,[4]abilities!A:D,4,FALSE))=FALSE,VLOOKUP(D3,[4]abilities!A:D,4),"なし"))</f>
        <v>自身が先頭の時、プロテクトを無視してパネル破壊できる</v>
      </c>
      <c r="G3" s="189" t="s">
        <v>262</v>
      </c>
      <c r="H3" s="189" t="s">
        <v>245</v>
      </c>
    </row>
    <row r="4" spans="1:8" s="4" customFormat="1" ht="21" customHeight="1" x14ac:dyDescent="0.15">
      <c r="A4" s="185">
        <v>1032</v>
      </c>
      <c r="B4" s="188" t="str">
        <f>VLOOKUP(A4,[1]characters!$A:$C,3)</f>
        <v>彩気煥発の創作人 紫式部</v>
      </c>
      <c r="C4" s="185">
        <v>1</v>
      </c>
      <c r="D4" s="185">
        <v>103</v>
      </c>
      <c r="E4" s="183" t="str">
        <f>IF(ISERROR(VLOOKUP(D4,[3]abilities!A:D,3,FALSE))=FALSE,VLOOKUP(D4,[3]abilities!A:D,3),IF(ISERROR(VLOOKUP(D4,[4]abilities!A:D,3,FALSE))=FALSE,VLOOKUP(D4,[4]abilities!A:D,3),"なし"))</f>
        <v>お邪魔ブレイク</v>
      </c>
      <c r="F4" s="183" t="str">
        <f>IF(ISERROR(VLOOKUP(D4,[3]abilities!A:D,4,FALSE))=FALSE,VLOOKUP(D4,[3]abilities!A:D,4),IF(ISERROR(VLOOKUP(D4,[4]abilities!A:D,4,FALSE))=FALSE,VLOOKUP(D4,[4]abilities!A:D,4),"なし"))</f>
        <v>自身が先頭の時、お邪魔パネルを破壊できる</v>
      </c>
      <c r="G4" s="189" t="s">
        <v>262</v>
      </c>
      <c r="H4" s="189" t="s">
        <v>245</v>
      </c>
    </row>
    <row r="5" spans="1:8" s="4" customFormat="1" ht="21" customHeight="1" x14ac:dyDescent="0.15">
      <c r="A5" s="185">
        <v>1034</v>
      </c>
      <c r="B5" s="188" t="str">
        <f>VLOOKUP(A5,[1]characters!$A:$C,3)</f>
        <v>爛漫なる随筆家 清少納言</v>
      </c>
      <c r="C5" s="185">
        <v>1</v>
      </c>
      <c r="D5" s="185">
        <v>700</v>
      </c>
      <c r="E5" s="183" t="str">
        <f>IF(ISERROR(VLOOKUP(D5,[3]abilities!A:D,3,FALSE))=FALSE,VLOOKUP(D5,[3]abilities!A:D,3),IF(ISERROR(VLOOKUP(D5,[4]abilities!A:D,3,FALSE))=FALSE,VLOOKUP(D5,[4]abilities!A:D,3),"なし"))</f>
        <v>フロア 回復</v>
      </c>
      <c r="F5" s="183" t="str">
        <f>IF(ISERROR(VLOOKUP(D5,[3]abilities!A:D,4,FALSE))=FALSE,VLOOKUP(D5,[3]abilities!A:D,4),IF(ISERROR(VLOOKUP(D5,[4]abilities!A:D,4,FALSE))=FALSE,VLOOKUP(D5,[4]abilities!A:D,4),"なし"))</f>
        <v>全フロアの1ターン目終了時にパーティの合計HPの20％を回復する</v>
      </c>
      <c r="G5" s="189" t="s">
        <v>262</v>
      </c>
      <c r="H5" s="189" t="s">
        <v>245</v>
      </c>
    </row>
  </sheetData>
  <phoneticPr fontId="21"/>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
  <sheetViews>
    <sheetView workbookViewId="0"/>
  </sheetViews>
  <sheetFormatPr baseColWidth="12" defaultRowHeight="15" x14ac:dyDescent="0.15"/>
  <sheetData/>
  <phoneticPr fontId="2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dimension ref="A1:B19"/>
  <sheetViews>
    <sheetView workbookViewId="0">
      <selection activeCell="E12" sqref="E12"/>
    </sheetView>
  </sheetViews>
  <sheetFormatPr baseColWidth="12" defaultRowHeight="15" x14ac:dyDescent="0.15"/>
  <sheetData>
    <row r="1" spans="1:2" x14ac:dyDescent="0.15">
      <c r="A1" t="s">
        <v>419</v>
      </c>
      <c r="B1" t="s">
        <v>420</v>
      </c>
    </row>
    <row r="2" spans="1:2" x14ac:dyDescent="0.15">
      <c r="A2" t="s">
        <v>421</v>
      </c>
      <c r="B2">
        <v>1</v>
      </c>
    </row>
    <row r="3" spans="1:2" x14ac:dyDescent="0.15">
      <c r="A3" t="s">
        <v>422</v>
      </c>
      <c r="B3">
        <v>1</v>
      </c>
    </row>
    <row r="4" spans="1:2" x14ac:dyDescent="0.15">
      <c r="A4" t="s">
        <v>423</v>
      </c>
      <c r="B4">
        <v>1</v>
      </c>
    </row>
    <row r="5" spans="1:2" x14ac:dyDescent="0.15">
      <c r="A5" t="s">
        <v>424</v>
      </c>
      <c r="B5">
        <v>1</v>
      </c>
    </row>
    <row r="6" spans="1:2" x14ac:dyDescent="0.15">
      <c r="A6" t="s">
        <v>425</v>
      </c>
      <c r="B6">
        <v>1</v>
      </c>
    </row>
    <row r="7" spans="1:2" x14ac:dyDescent="0.15">
      <c r="A7" t="s">
        <v>426</v>
      </c>
      <c r="B7">
        <v>1</v>
      </c>
    </row>
    <row r="8" spans="1:2" x14ac:dyDescent="0.15">
      <c r="A8" t="s">
        <v>427</v>
      </c>
      <c r="B8">
        <v>1</v>
      </c>
    </row>
    <row r="9" spans="1:2" x14ac:dyDescent="0.15">
      <c r="A9" t="s">
        <v>428</v>
      </c>
      <c r="B9">
        <v>1</v>
      </c>
    </row>
    <row r="10" spans="1:2" x14ac:dyDescent="0.15">
      <c r="A10" t="s">
        <v>429</v>
      </c>
      <c r="B10">
        <v>1</v>
      </c>
    </row>
    <row r="11" spans="1:2" x14ac:dyDescent="0.15">
      <c r="A11" t="s">
        <v>430</v>
      </c>
      <c r="B11">
        <v>1</v>
      </c>
    </row>
    <row r="12" spans="1:2" x14ac:dyDescent="0.15">
      <c r="A12" t="s">
        <v>431</v>
      </c>
      <c r="B12">
        <v>1</v>
      </c>
    </row>
    <row r="13" spans="1:2" x14ac:dyDescent="0.15">
      <c r="A13" t="s">
        <v>432</v>
      </c>
      <c r="B13">
        <v>0</v>
      </c>
    </row>
    <row r="14" spans="1:2" x14ac:dyDescent="0.15">
      <c r="A14" t="s">
        <v>433</v>
      </c>
      <c r="B14">
        <v>500</v>
      </c>
    </row>
    <row r="15" spans="1:2" x14ac:dyDescent="0.15">
      <c r="A15" t="s">
        <v>434</v>
      </c>
      <c r="B15">
        <v>600</v>
      </c>
    </row>
    <row r="16" spans="1:2" x14ac:dyDescent="0.15">
      <c r="A16" t="s">
        <v>435</v>
      </c>
      <c r="B16">
        <v>700</v>
      </c>
    </row>
    <row r="17" spans="1:2" x14ac:dyDescent="0.15">
      <c r="A17" t="s">
        <v>436</v>
      </c>
      <c r="B17">
        <v>5500</v>
      </c>
    </row>
    <row r="18" spans="1:2" x14ac:dyDescent="0.15">
      <c r="A18" t="s">
        <v>437</v>
      </c>
      <c r="B18">
        <v>6000</v>
      </c>
    </row>
    <row r="19" spans="1:2" x14ac:dyDescent="0.15">
      <c r="A19" t="s">
        <v>438</v>
      </c>
      <c r="B19">
        <v>30000</v>
      </c>
    </row>
  </sheetData>
  <phoneticPr fontId="21"/>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enableFormatConditionsCalculation="0">
    <tabColor indexed="17"/>
  </sheetPr>
  <dimension ref="A1:I20"/>
  <sheetViews>
    <sheetView showGridLines="0" tabSelected="1" topLeftCell="A2" workbookViewId="0">
      <selection activeCell="I20" sqref="I20"/>
    </sheetView>
  </sheetViews>
  <sheetFormatPr baseColWidth="12" defaultColWidth="13" defaultRowHeight="21" customHeight="1" x14ac:dyDescent="0.15"/>
  <cols>
    <col min="1" max="1" width="13" style="4"/>
    <col min="2" max="16384" width="13" style="24"/>
  </cols>
  <sheetData>
    <row r="1" spans="1:9" s="4" customFormat="1" ht="21" customHeight="1" x14ac:dyDescent="0.15">
      <c r="A1" s="31" t="s">
        <v>191</v>
      </c>
      <c r="B1" s="33">
        <v>1</v>
      </c>
      <c r="C1" s="33">
        <v>2</v>
      </c>
      <c r="D1" s="33">
        <v>3</v>
      </c>
      <c r="E1" s="33">
        <v>4</v>
      </c>
      <c r="F1" s="33">
        <v>5</v>
      </c>
      <c r="G1" s="33">
        <v>6</v>
      </c>
      <c r="H1" s="33">
        <v>7</v>
      </c>
      <c r="I1" s="33">
        <v>8</v>
      </c>
    </row>
    <row r="2" spans="1:9" s="4" customFormat="1" ht="21" customHeight="1" x14ac:dyDescent="0.15">
      <c r="A2" s="143" t="s">
        <v>192</v>
      </c>
      <c r="B2" s="144"/>
      <c r="C2" s="145"/>
      <c r="D2" s="146" t="s">
        <v>193</v>
      </c>
      <c r="E2" s="146">
        <v>30</v>
      </c>
      <c r="F2" s="146">
        <v>40</v>
      </c>
      <c r="G2" s="146">
        <f>15+F2</f>
        <v>55</v>
      </c>
      <c r="H2" s="145"/>
      <c r="I2" s="145"/>
    </row>
    <row r="3" spans="1:9" s="4" customFormat="1" ht="21" customHeight="1" x14ac:dyDescent="0.15">
      <c r="A3" s="143" t="s">
        <v>194</v>
      </c>
      <c r="B3" s="147"/>
      <c r="C3" s="148"/>
      <c r="D3" s="149" t="s">
        <v>193</v>
      </c>
      <c r="E3" s="149">
        <v>25</v>
      </c>
      <c r="F3" s="149">
        <v>35</v>
      </c>
      <c r="G3" s="146">
        <f t="shared" ref="G3:G4" si="0">15+F3</f>
        <v>50</v>
      </c>
      <c r="H3" s="148"/>
      <c r="I3" s="148"/>
    </row>
    <row r="4" spans="1:9" s="4" customFormat="1" ht="21" customHeight="1" x14ac:dyDescent="0.15">
      <c r="A4" s="143" t="s">
        <v>195</v>
      </c>
      <c r="B4" s="150"/>
      <c r="C4" s="151"/>
      <c r="D4" s="152">
        <v>10</v>
      </c>
      <c r="E4" s="152">
        <v>20</v>
      </c>
      <c r="F4" s="152">
        <v>30</v>
      </c>
      <c r="G4" s="152">
        <f t="shared" si="0"/>
        <v>45</v>
      </c>
      <c r="H4" s="151"/>
      <c r="I4" s="151"/>
    </row>
    <row r="5" spans="1:9" s="4" customFormat="1" ht="21" customHeight="1" x14ac:dyDescent="0.15">
      <c r="A5" s="162" t="s">
        <v>196</v>
      </c>
      <c r="B5" s="157"/>
      <c r="C5" s="158"/>
      <c r="D5" s="29">
        <v>9</v>
      </c>
      <c r="E5" s="29">
        <v>18</v>
      </c>
      <c r="F5" s="29">
        <v>28</v>
      </c>
      <c r="G5" s="40">
        <v>38</v>
      </c>
      <c r="H5" s="158"/>
      <c r="I5" s="158"/>
    </row>
    <row r="6" spans="1:9" s="4" customFormat="1" ht="21" customHeight="1" x14ac:dyDescent="0.15">
      <c r="A6" s="162" t="s">
        <v>197</v>
      </c>
      <c r="B6" s="157"/>
      <c r="C6" s="158"/>
      <c r="D6" s="29">
        <v>7</v>
      </c>
      <c r="E6" s="29">
        <v>16</v>
      </c>
      <c r="F6" s="68" t="s">
        <v>11</v>
      </c>
      <c r="G6" s="68" t="s">
        <v>11</v>
      </c>
      <c r="H6" s="158"/>
      <c r="I6" s="158"/>
    </row>
    <row r="7" spans="1:9" ht="21" customHeight="1" x14ac:dyDescent="0.15">
      <c r="A7" s="73" t="s">
        <v>198</v>
      </c>
      <c r="B7" s="47" t="s">
        <v>11</v>
      </c>
      <c r="C7" s="47" t="s">
        <v>11</v>
      </c>
      <c r="D7" s="40" t="s">
        <v>193</v>
      </c>
      <c r="E7" s="40" t="s">
        <v>193</v>
      </c>
      <c r="F7" s="40" t="s">
        <v>193</v>
      </c>
      <c r="G7" s="40" t="s">
        <v>193</v>
      </c>
      <c r="H7" s="40" t="s">
        <v>193</v>
      </c>
      <c r="I7" s="40" t="s">
        <v>193</v>
      </c>
    </row>
    <row r="8" spans="1:9" ht="21" customHeight="1" x14ac:dyDescent="0.15">
      <c r="A8" s="74" t="s">
        <v>199</v>
      </c>
      <c r="B8" s="47" t="s">
        <v>11</v>
      </c>
      <c r="C8" s="47" t="s">
        <v>11</v>
      </c>
      <c r="D8" s="40" t="s">
        <v>193</v>
      </c>
      <c r="E8" s="40">
        <v>30</v>
      </c>
      <c r="F8" s="40">
        <v>40</v>
      </c>
      <c r="G8" s="40">
        <f>15+F8</f>
        <v>55</v>
      </c>
      <c r="H8" s="40" t="s">
        <v>193</v>
      </c>
      <c r="I8" s="40" t="s">
        <v>193</v>
      </c>
    </row>
    <row r="9" spans="1:9" s="46" customFormat="1" ht="21" customHeight="1" x14ac:dyDescent="0.15">
      <c r="A9" s="75" t="s">
        <v>200</v>
      </c>
      <c r="B9" s="29" t="s">
        <v>11</v>
      </c>
      <c r="C9" s="29" t="s">
        <v>11</v>
      </c>
      <c r="D9" s="105" t="s">
        <v>193</v>
      </c>
      <c r="E9" s="105">
        <v>25</v>
      </c>
      <c r="F9" s="105">
        <v>35</v>
      </c>
      <c r="G9" s="40">
        <f t="shared" ref="G9:G10" si="1">15+F9</f>
        <v>50</v>
      </c>
      <c r="H9" s="105" t="s">
        <v>193</v>
      </c>
      <c r="I9" s="105" t="s">
        <v>193</v>
      </c>
    </row>
    <row r="10" spans="1:9" ht="21" customHeight="1" x14ac:dyDescent="0.15">
      <c r="A10" s="75" t="s">
        <v>9</v>
      </c>
      <c r="B10" s="68" t="s">
        <v>11</v>
      </c>
      <c r="C10" s="68" t="s">
        <v>11</v>
      </c>
      <c r="D10" s="29">
        <v>10</v>
      </c>
      <c r="E10" s="29">
        <v>20</v>
      </c>
      <c r="F10" s="29">
        <v>30</v>
      </c>
      <c r="G10" s="40">
        <f t="shared" si="1"/>
        <v>45</v>
      </c>
      <c r="H10" s="68" t="s">
        <v>11</v>
      </c>
      <c r="I10" s="68" t="s">
        <v>11</v>
      </c>
    </row>
    <row r="11" spans="1:9" ht="21" customHeight="1" x14ac:dyDescent="0.15">
      <c r="A11" s="75" t="s">
        <v>201</v>
      </c>
      <c r="B11" s="68" t="s">
        <v>11</v>
      </c>
      <c r="C11" s="68" t="s">
        <v>11</v>
      </c>
      <c r="D11" s="29">
        <v>9</v>
      </c>
      <c r="E11" s="29">
        <v>18</v>
      </c>
      <c r="F11" s="29">
        <v>28</v>
      </c>
      <c r="G11" s="40">
        <v>38</v>
      </c>
      <c r="H11" s="68" t="s">
        <v>11</v>
      </c>
      <c r="I11" s="68" t="s">
        <v>11</v>
      </c>
    </row>
    <row r="12" spans="1:9" ht="21" customHeight="1" x14ac:dyDescent="0.15">
      <c r="A12" s="75" t="s">
        <v>202</v>
      </c>
      <c r="B12" s="68" t="s">
        <v>11</v>
      </c>
      <c r="C12" s="68" t="s">
        <v>11</v>
      </c>
      <c r="D12" s="29">
        <v>7</v>
      </c>
      <c r="E12" s="29">
        <v>16</v>
      </c>
      <c r="F12" s="68" t="s">
        <v>11</v>
      </c>
      <c r="G12" s="68" t="s">
        <v>11</v>
      </c>
      <c r="H12" s="68" t="s">
        <v>11</v>
      </c>
      <c r="I12" s="68" t="s">
        <v>11</v>
      </c>
    </row>
    <row r="13" spans="1:9" ht="21" customHeight="1" x14ac:dyDescent="0.15">
      <c r="A13" s="104" t="s">
        <v>203</v>
      </c>
      <c r="B13" s="68" t="s">
        <v>11</v>
      </c>
      <c r="C13" s="68" t="s">
        <v>11</v>
      </c>
      <c r="D13" s="29">
        <v>8</v>
      </c>
      <c r="E13" s="29">
        <v>17</v>
      </c>
      <c r="F13" s="29">
        <v>26</v>
      </c>
      <c r="G13" s="68" t="s">
        <v>11</v>
      </c>
      <c r="H13" s="68" t="s">
        <v>11</v>
      </c>
      <c r="I13" s="68" t="s">
        <v>11</v>
      </c>
    </row>
    <row r="14" spans="1:9" ht="21" customHeight="1" x14ac:dyDescent="0.15">
      <c r="A14" s="75" t="s">
        <v>204</v>
      </c>
      <c r="B14" s="68" t="s">
        <v>11</v>
      </c>
      <c r="C14" s="68" t="s">
        <v>11</v>
      </c>
      <c r="D14" s="29">
        <v>8</v>
      </c>
      <c r="E14" s="29">
        <v>17</v>
      </c>
      <c r="F14" s="29">
        <v>26</v>
      </c>
      <c r="G14" s="68" t="s">
        <v>11</v>
      </c>
      <c r="H14" s="68" t="s">
        <v>11</v>
      </c>
      <c r="I14" s="68" t="s">
        <v>11</v>
      </c>
    </row>
    <row r="15" spans="1:9" ht="21" customHeight="1" x14ac:dyDescent="0.15">
      <c r="A15" s="75" t="s">
        <v>205</v>
      </c>
      <c r="B15" s="68" t="s">
        <v>11</v>
      </c>
      <c r="C15" s="68" t="s">
        <v>11</v>
      </c>
      <c r="D15" s="29">
        <v>6</v>
      </c>
      <c r="E15" s="29">
        <v>14</v>
      </c>
      <c r="F15" s="68" t="s">
        <v>11</v>
      </c>
      <c r="G15" s="68" t="s">
        <v>11</v>
      </c>
      <c r="H15" s="68" t="s">
        <v>11</v>
      </c>
      <c r="I15" s="68" t="s">
        <v>11</v>
      </c>
    </row>
    <row r="16" spans="1:9" ht="21" customHeight="1" x14ac:dyDescent="0.15">
      <c r="A16" s="75" t="s">
        <v>206</v>
      </c>
      <c r="B16" s="68" t="s">
        <v>11</v>
      </c>
      <c r="C16" s="29">
        <v>4</v>
      </c>
      <c r="D16" s="29">
        <v>6</v>
      </c>
      <c r="E16" s="29">
        <v>14</v>
      </c>
      <c r="F16" s="68" t="s">
        <v>11</v>
      </c>
      <c r="G16" s="68" t="s">
        <v>11</v>
      </c>
      <c r="H16" s="68" t="s">
        <v>11</v>
      </c>
      <c r="I16" s="68" t="s">
        <v>11</v>
      </c>
    </row>
    <row r="17" spans="1:9" ht="21" customHeight="1" x14ac:dyDescent="0.15">
      <c r="A17" s="75" t="s">
        <v>8</v>
      </c>
      <c r="B17" s="29">
        <v>2</v>
      </c>
      <c r="C17" s="29">
        <v>4</v>
      </c>
      <c r="D17" s="29">
        <v>6</v>
      </c>
      <c r="E17" s="68" t="s">
        <v>11</v>
      </c>
      <c r="F17" s="68" t="s">
        <v>11</v>
      </c>
      <c r="G17" s="68" t="s">
        <v>11</v>
      </c>
      <c r="H17" s="68" t="s">
        <v>11</v>
      </c>
      <c r="I17" s="68" t="s">
        <v>11</v>
      </c>
    </row>
    <row r="18" spans="1:9" ht="21" customHeight="1" x14ac:dyDescent="0.15">
      <c r="A18" s="76" t="s">
        <v>7</v>
      </c>
      <c r="B18" s="32">
        <v>1</v>
      </c>
      <c r="C18" s="32">
        <v>2</v>
      </c>
      <c r="D18" s="69" t="s">
        <v>11</v>
      </c>
      <c r="E18" s="69" t="s">
        <v>11</v>
      </c>
      <c r="F18" s="69" t="s">
        <v>11</v>
      </c>
      <c r="G18" s="69" t="s">
        <v>11</v>
      </c>
      <c r="H18" s="69" t="s">
        <v>11</v>
      </c>
      <c r="I18" s="69" t="s">
        <v>11</v>
      </c>
    </row>
    <row r="19" spans="1:9" ht="21" customHeight="1" x14ac:dyDescent="0.15">
      <c r="A19" s="77" t="s">
        <v>207</v>
      </c>
      <c r="B19" s="27">
        <v>1</v>
      </c>
      <c r="C19" s="27">
        <v>1</v>
      </c>
      <c r="D19" s="69" t="s">
        <v>11</v>
      </c>
      <c r="E19" s="69" t="s">
        <v>11</v>
      </c>
      <c r="F19" s="69" t="s">
        <v>11</v>
      </c>
      <c r="G19" s="69" t="s">
        <v>11</v>
      </c>
      <c r="H19" s="69" t="s">
        <v>11</v>
      </c>
      <c r="I19" s="69" t="s">
        <v>11</v>
      </c>
    </row>
    <row r="20" spans="1:9" ht="21" customHeight="1" x14ac:dyDescent="0.15">
      <c r="A20" s="38" t="s">
        <v>208</v>
      </c>
      <c r="B20" s="37">
        <v>99</v>
      </c>
      <c r="C20" s="37">
        <v>99</v>
      </c>
      <c r="D20" s="37">
        <v>99</v>
      </c>
      <c r="E20" s="37">
        <v>99</v>
      </c>
      <c r="F20" s="37">
        <v>99</v>
      </c>
      <c r="G20" s="37">
        <v>99</v>
      </c>
      <c r="H20" s="37">
        <v>99</v>
      </c>
      <c r="I20" s="37">
        <v>99</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enableFormatConditionsCalculation="0">
    <tabColor indexed="17"/>
  </sheetPr>
  <dimension ref="A1:I20"/>
  <sheetViews>
    <sheetView showGridLines="0" workbookViewId="0">
      <selection activeCell="I24" sqref="I24"/>
    </sheetView>
  </sheetViews>
  <sheetFormatPr baseColWidth="12" defaultColWidth="13" defaultRowHeight="21" customHeight="1" x14ac:dyDescent="0.15"/>
  <cols>
    <col min="1" max="1" width="13" style="4"/>
    <col min="2" max="16384" width="13" style="24"/>
  </cols>
  <sheetData>
    <row r="1" spans="1:9" ht="21" customHeight="1" x14ac:dyDescent="0.15">
      <c r="A1" s="33" t="s">
        <v>10</v>
      </c>
      <c r="B1" s="23">
        <v>1</v>
      </c>
      <c r="C1" s="23">
        <v>2</v>
      </c>
      <c r="D1" s="23">
        <v>3</v>
      </c>
      <c r="E1" s="23">
        <v>4</v>
      </c>
      <c r="F1" s="23">
        <v>5</v>
      </c>
      <c r="G1" s="23">
        <v>6</v>
      </c>
      <c r="H1" s="23">
        <v>7</v>
      </c>
      <c r="I1" s="23">
        <v>8</v>
      </c>
    </row>
    <row r="2" spans="1:9" s="4" customFormat="1" ht="21" customHeight="1" x14ac:dyDescent="0.15">
      <c r="A2" s="143" t="s">
        <v>192</v>
      </c>
      <c r="B2" s="159"/>
      <c r="C2" s="145"/>
      <c r="D2" s="153" t="s">
        <v>92</v>
      </c>
      <c r="E2" s="153">
        <v>60</v>
      </c>
      <c r="F2" s="153">
        <v>80</v>
      </c>
      <c r="G2" s="153">
        <v>99</v>
      </c>
      <c r="H2" s="145"/>
      <c r="I2" s="145"/>
    </row>
    <row r="3" spans="1:9" s="4" customFormat="1" ht="21" customHeight="1" x14ac:dyDescent="0.15">
      <c r="A3" s="143" t="s">
        <v>194</v>
      </c>
      <c r="B3" s="160"/>
      <c r="C3" s="148"/>
      <c r="D3" s="153" t="s">
        <v>92</v>
      </c>
      <c r="E3" s="153">
        <v>60</v>
      </c>
      <c r="F3" s="153">
        <v>80</v>
      </c>
      <c r="G3" s="153">
        <v>99</v>
      </c>
      <c r="H3" s="148"/>
      <c r="I3" s="148"/>
    </row>
    <row r="4" spans="1:9" s="4" customFormat="1" ht="21" customHeight="1" x14ac:dyDescent="0.15">
      <c r="A4" s="143" t="s">
        <v>188</v>
      </c>
      <c r="B4" s="161"/>
      <c r="C4" s="151"/>
      <c r="D4" s="153">
        <v>40</v>
      </c>
      <c r="E4" s="153">
        <v>60</v>
      </c>
      <c r="F4" s="153">
        <v>80</v>
      </c>
      <c r="G4" s="153">
        <v>99</v>
      </c>
      <c r="H4" s="151"/>
      <c r="I4" s="151"/>
    </row>
    <row r="5" spans="1:9" s="4" customFormat="1" ht="21" customHeight="1" x14ac:dyDescent="0.15">
      <c r="A5" s="162" t="s">
        <v>196</v>
      </c>
      <c r="B5" s="157"/>
      <c r="C5" s="158"/>
      <c r="D5" s="153">
        <v>40</v>
      </c>
      <c r="E5" s="153">
        <v>60</v>
      </c>
      <c r="F5" s="153">
        <v>80</v>
      </c>
      <c r="G5" s="153">
        <v>99</v>
      </c>
      <c r="H5" s="158"/>
      <c r="I5" s="158"/>
    </row>
    <row r="6" spans="1:9" s="4" customFormat="1" ht="21" customHeight="1" x14ac:dyDescent="0.15">
      <c r="A6" s="162" t="s">
        <v>197</v>
      </c>
      <c r="B6" s="157"/>
      <c r="C6" s="158"/>
      <c r="D6" s="153">
        <v>40</v>
      </c>
      <c r="E6" s="153">
        <v>60</v>
      </c>
      <c r="F6" s="153" t="s">
        <v>92</v>
      </c>
      <c r="G6" s="153" t="s">
        <v>92</v>
      </c>
      <c r="H6" s="158"/>
      <c r="I6" s="158"/>
    </row>
    <row r="7" spans="1:9" ht="21" customHeight="1" x14ac:dyDescent="0.15">
      <c r="A7" s="73" t="s">
        <v>164</v>
      </c>
      <c r="B7" s="41" t="s">
        <v>92</v>
      </c>
      <c r="C7" s="41" t="s">
        <v>92</v>
      </c>
      <c r="D7" s="41" t="s">
        <v>92</v>
      </c>
      <c r="E7" s="41" t="s">
        <v>92</v>
      </c>
      <c r="F7" s="41" t="s">
        <v>92</v>
      </c>
      <c r="G7" s="41" t="s">
        <v>92</v>
      </c>
      <c r="H7" s="41" t="s">
        <v>92</v>
      </c>
      <c r="I7" s="41" t="s">
        <v>92</v>
      </c>
    </row>
    <row r="8" spans="1:9" ht="21" customHeight="1" x14ac:dyDescent="0.15">
      <c r="A8" s="74" t="s">
        <v>199</v>
      </c>
      <c r="B8" s="41" t="s">
        <v>92</v>
      </c>
      <c r="C8" s="41" t="s">
        <v>92</v>
      </c>
      <c r="D8" s="41" t="s">
        <v>92</v>
      </c>
      <c r="E8" s="41">
        <v>60</v>
      </c>
      <c r="F8" s="41">
        <v>80</v>
      </c>
      <c r="G8" s="41">
        <v>99</v>
      </c>
      <c r="H8" s="41" t="s">
        <v>92</v>
      </c>
      <c r="I8" s="41" t="s">
        <v>92</v>
      </c>
    </row>
    <row r="9" spans="1:9" s="46" customFormat="1" ht="21" customHeight="1" x14ac:dyDescent="0.15">
      <c r="A9" s="75" t="s">
        <v>200</v>
      </c>
      <c r="B9" s="66" t="s">
        <v>92</v>
      </c>
      <c r="C9" s="66" t="s">
        <v>92</v>
      </c>
      <c r="D9" s="66" t="s">
        <v>92</v>
      </c>
      <c r="E9" s="66">
        <v>60</v>
      </c>
      <c r="F9" s="66">
        <v>80</v>
      </c>
      <c r="G9" s="66">
        <v>99</v>
      </c>
      <c r="H9" s="66" t="s">
        <v>92</v>
      </c>
      <c r="I9" s="66" t="s">
        <v>92</v>
      </c>
    </row>
    <row r="10" spans="1:9" ht="21" customHeight="1" x14ac:dyDescent="0.15">
      <c r="A10" s="75" t="s">
        <v>9</v>
      </c>
      <c r="B10" s="70" t="s">
        <v>92</v>
      </c>
      <c r="C10" s="70" t="s">
        <v>92</v>
      </c>
      <c r="D10" s="37">
        <v>40</v>
      </c>
      <c r="E10" s="37">
        <v>60</v>
      </c>
      <c r="F10" s="37">
        <v>80</v>
      </c>
      <c r="G10" s="41">
        <v>99</v>
      </c>
      <c r="H10" s="70" t="s">
        <v>92</v>
      </c>
      <c r="I10" s="70" t="s">
        <v>92</v>
      </c>
    </row>
    <row r="11" spans="1:9" ht="21" customHeight="1" x14ac:dyDescent="0.15">
      <c r="A11" s="75" t="s">
        <v>167</v>
      </c>
      <c r="B11" s="70" t="s">
        <v>92</v>
      </c>
      <c r="C11" s="70" t="s">
        <v>92</v>
      </c>
      <c r="D11" s="37">
        <v>40</v>
      </c>
      <c r="E11" s="37">
        <v>60</v>
      </c>
      <c r="F11" s="37">
        <v>80</v>
      </c>
      <c r="G11" s="66">
        <v>99</v>
      </c>
      <c r="H11" s="70" t="s">
        <v>92</v>
      </c>
      <c r="I11" s="70" t="s">
        <v>92</v>
      </c>
    </row>
    <row r="12" spans="1:9" ht="21" customHeight="1" x14ac:dyDescent="0.15">
      <c r="A12" s="75" t="s">
        <v>163</v>
      </c>
      <c r="B12" s="70" t="s">
        <v>92</v>
      </c>
      <c r="C12" s="70" t="s">
        <v>92</v>
      </c>
      <c r="D12" s="37">
        <v>40</v>
      </c>
      <c r="E12" s="37">
        <v>60</v>
      </c>
      <c r="F12" s="70" t="s">
        <v>92</v>
      </c>
      <c r="G12" s="70" t="s">
        <v>92</v>
      </c>
      <c r="H12" s="70" t="s">
        <v>92</v>
      </c>
      <c r="I12" s="70" t="s">
        <v>92</v>
      </c>
    </row>
    <row r="13" spans="1:9" ht="21" customHeight="1" x14ac:dyDescent="0.15">
      <c r="A13" s="104" t="s">
        <v>203</v>
      </c>
      <c r="B13" s="70" t="s">
        <v>92</v>
      </c>
      <c r="C13" s="70" t="s">
        <v>92</v>
      </c>
      <c r="D13" s="37">
        <v>40</v>
      </c>
      <c r="E13" s="37">
        <v>60</v>
      </c>
      <c r="F13" s="37">
        <v>80</v>
      </c>
      <c r="G13" s="70" t="s">
        <v>92</v>
      </c>
      <c r="H13" s="70" t="s">
        <v>92</v>
      </c>
      <c r="I13" s="70" t="s">
        <v>92</v>
      </c>
    </row>
    <row r="14" spans="1:9" ht="21" customHeight="1" x14ac:dyDescent="0.15">
      <c r="A14" s="75" t="s">
        <v>204</v>
      </c>
      <c r="B14" s="70" t="s">
        <v>92</v>
      </c>
      <c r="C14" s="70" t="s">
        <v>92</v>
      </c>
      <c r="D14" s="37">
        <v>40</v>
      </c>
      <c r="E14" s="37">
        <v>60</v>
      </c>
      <c r="F14" s="37">
        <v>80</v>
      </c>
      <c r="G14" s="70" t="s">
        <v>92</v>
      </c>
      <c r="H14" s="70" t="s">
        <v>92</v>
      </c>
      <c r="I14" s="70" t="s">
        <v>92</v>
      </c>
    </row>
    <row r="15" spans="1:9" ht="21" customHeight="1" x14ac:dyDescent="0.15">
      <c r="A15" s="75" t="s">
        <v>88</v>
      </c>
      <c r="B15" s="70" t="s">
        <v>92</v>
      </c>
      <c r="C15" s="37">
        <v>30</v>
      </c>
      <c r="D15" s="37">
        <v>40</v>
      </c>
      <c r="E15" s="37">
        <v>60</v>
      </c>
      <c r="F15" s="70" t="s">
        <v>92</v>
      </c>
      <c r="G15" s="70" t="s">
        <v>92</v>
      </c>
      <c r="H15" s="70" t="s">
        <v>92</v>
      </c>
      <c r="I15" s="70" t="s">
        <v>92</v>
      </c>
    </row>
    <row r="16" spans="1:9" ht="21" customHeight="1" x14ac:dyDescent="0.15">
      <c r="A16" s="75" t="s">
        <v>206</v>
      </c>
      <c r="B16" s="70" t="s">
        <v>92</v>
      </c>
      <c r="C16" s="37">
        <v>30</v>
      </c>
      <c r="D16" s="37">
        <v>40</v>
      </c>
      <c r="E16" s="37">
        <v>60</v>
      </c>
      <c r="F16" s="70" t="s">
        <v>92</v>
      </c>
      <c r="G16" s="70" t="s">
        <v>92</v>
      </c>
      <c r="H16" s="70" t="s">
        <v>92</v>
      </c>
      <c r="I16" s="70" t="s">
        <v>92</v>
      </c>
    </row>
    <row r="17" spans="1:9" ht="21" customHeight="1" x14ac:dyDescent="0.15">
      <c r="A17" s="75" t="s">
        <v>8</v>
      </c>
      <c r="B17" s="37">
        <v>15</v>
      </c>
      <c r="C17" s="37">
        <v>30</v>
      </c>
      <c r="D17" s="37">
        <v>40</v>
      </c>
      <c r="E17" s="70" t="s">
        <v>92</v>
      </c>
      <c r="F17" s="70" t="s">
        <v>92</v>
      </c>
      <c r="G17" s="70" t="s">
        <v>92</v>
      </c>
      <c r="H17" s="70" t="s">
        <v>92</v>
      </c>
      <c r="I17" s="70" t="s">
        <v>92</v>
      </c>
    </row>
    <row r="18" spans="1:9" ht="21" customHeight="1" x14ac:dyDescent="0.15">
      <c r="A18" s="76" t="s">
        <v>7</v>
      </c>
      <c r="B18" s="37">
        <v>15</v>
      </c>
      <c r="C18" s="37">
        <v>30</v>
      </c>
      <c r="D18" s="37">
        <v>40</v>
      </c>
      <c r="E18" s="70" t="s">
        <v>173</v>
      </c>
      <c r="F18" s="70" t="s">
        <v>173</v>
      </c>
      <c r="G18" s="70" t="s">
        <v>173</v>
      </c>
      <c r="H18" s="70" t="s">
        <v>173</v>
      </c>
      <c r="I18" s="70" t="s">
        <v>173</v>
      </c>
    </row>
    <row r="19" spans="1:9" ht="21" customHeight="1" x14ac:dyDescent="0.15">
      <c r="A19" s="77" t="s">
        <v>207</v>
      </c>
      <c r="B19" s="37">
        <v>10</v>
      </c>
      <c r="C19" s="37">
        <v>20</v>
      </c>
      <c r="D19" s="70" t="s">
        <v>173</v>
      </c>
      <c r="E19" s="70" t="s">
        <v>173</v>
      </c>
      <c r="F19" s="70" t="s">
        <v>173</v>
      </c>
      <c r="G19" s="70" t="s">
        <v>173</v>
      </c>
      <c r="H19" s="70" t="s">
        <v>173</v>
      </c>
      <c r="I19" s="70" t="s">
        <v>173</v>
      </c>
    </row>
    <row r="20" spans="1:9" ht="21" customHeight="1" x14ac:dyDescent="0.15">
      <c r="A20" s="38" t="s">
        <v>208</v>
      </c>
      <c r="B20" s="37">
        <v>1</v>
      </c>
      <c r="C20" s="37">
        <v>1</v>
      </c>
      <c r="D20" s="37">
        <v>1</v>
      </c>
      <c r="E20" s="37">
        <v>1</v>
      </c>
      <c r="F20" s="37">
        <v>1</v>
      </c>
      <c r="G20" s="37">
        <v>1</v>
      </c>
      <c r="H20" s="37">
        <v>1</v>
      </c>
      <c r="I20" s="37">
        <v>1</v>
      </c>
    </row>
  </sheetData>
  <sheetProtection selectLockedCells="1" selectUnlockedCells="1"/>
  <phoneticPr fontId="9"/>
  <pageMargins left="0.75" right="0.75" top="1" bottom="1" header="0.51180555555555551" footer="0.51180555555555551"/>
  <pageSetup paperSize="9" firstPageNumber="0"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indexed="17"/>
  </sheetPr>
  <dimension ref="A1:K31"/>
  <sheetViews>
    <sheetView showGridLines="0" workbookViewId="0">
      <selection activeCell="H23" sqref="H23"/>
    </sheetView>
  </sheetViews>
  <sheetFormatPr baseColWidth="12" defaultColWidth="13" defaultRowHeight="21" customHeight="1" x14ac:dyDescent="0.15"/>
  <cols>
    <col min="1" max="16384" width="13" style="24"/>
  </cols>
  <sheetData>
    <row r="1" spans="1:11" ht="21" customHeight="1" x14ac:dyDescent="0.15">
      <c r="A1" s="49" t="s">
        <v>10</v>
      </c>
      <c r="B1" s="50">
        <v>1</v>
      </c>
      <c r="C1" s="50">
        <v>2</v>
      </c>
      <c r="D1" s="50">
        <v>3</v>
      </c>
      <c r="E1" s="50">
        <v>4</v>
      </c>
      <c r="F1" s="50">
        <v>5</v>
      </c>
      <c r="G1" s="50">
        <v>6</v>
      </c>
      <c r="H1" s="50">
        <v>7</v>
      </c>
      <c r="I1" s="50">
        <v>8</v>
      </c>
    </row>
    <row r="2" spans="1:11" s="4" customFormat="1" ht="21" customHeight="1" x14ac:dyDescent="0.15">
      <c r="A2" s="143" t="s">
        <v>192</v>
      </c>
      <c r="B2" s="144"/>
      <c r="C2" s="145"/>
      <c r="D2" s="153" t="s">
        <v>92</v>
      </c>
      <c r="E2" s="154" t="s">
        <v>55</v>
      </c>
      <c r="F2" s="154" t="s">
        <v>55</v>
      </c>
      <c r="G2" s="154" t="s">
        <v>209</v>
      </c>
      <c r="H2" s="145"/>
      <c r="I2" s="145"/>
    </row>
    <row r="3" spans="1:11" s="4" customFormat="1" ht="21" customHeight="1" x14ac:dyDescent="0.15">
      <c r="A3" s="143" t="s">
        <v>194</v>
      </c>
      <c r="B3" s="147"/>
      <c r="C3" s="148"/>
      <c r="D3" s="154" t="s">
        <v>55</v>
      </c>
      <c r="E3" s="154" t="s">
        <v>55</v>
      </c>
      <c r="F3" s="154" t="s">
        <v>55</v>
      </c>
      <c r="G3" s="154" t="s">
        <v>187</v>
      </c>
      <c r="H3" s="148"/>
      <c r="I3" s="148"/>
    </row>
    <row r="4" spans="1:11" s="4" customFormat="1" ht="21" customHeight="1" x14ac:dyDescent="0.15">
      <c r="A4" s="143" t="s">
        <v>188</v>
      </c>
      <c r="B4" s="150"/>
      <c r="C4" s="151"/>
      <c r="D4" s="155" t="s">
        <v>55</v>
      </c>
      <c r="E4" s="155" t="s">
        <v>55</v>
      </c>
      <c r="F4" s="155" t="s">
        <v>55</v>
      </c>
      <c r="G4" s="154" t="s">
        <v>187</v>
      </c>
      <c r="H4" s="151"/>
      <c r="I4" s="151"/>
    </row>
    <row r="5" spans="1:11" s="4" customFormat="1" ht="21" customHeight="1" x14ac:dyDescent="0.15">
      <c r="A5" s="162" t="s">
        <v>196</v>
      </c>
      <c r="B5" s="157"/>
      <c r="C5" s="158"/>
      <c r="D5" s="155" t="s">
        <v>55</v>
      </c>
      <c r="E5" s="155" t="s">
        <v>55</v>
      </c>
      <c r="F5" s="155" t="s">
        <v>55</v>
      </c>
      <c r="G5" s="154" t="s">
        <v>177</v>
      </c>
      <c r="H5" s="158"/>
      <c r="I5" s="158"/>
    </row>
    <row r="6" spans="1:11" s="4" customFormat="1" ht="21" customHeight="1" x14ac:dyDescent="0.15">
      <c r="A6" s="162" t="s">
        <v>197</v>
      </c>
      <c r="B6" s="157"/>
      <c r="C6" s="158"/>
      <c r="D6" s="163" t="s">
        <v>56</v>
      </c>
      <c r="E6" s="163" t="s">
        <v>56</v>
      </c>
      <c r="F6" s="153" t="s">
        <v>92</v>
      </c>
      <c r="G6" s="153" t="s">
        <v>92</v>
      </c>
      <c r="H6" s="158"/>
      <c r="I6" s="158"/>
    </row>
    <row r="7" spans="1:11" ht="21" customHeight="1" x14ac:dyDescent="0.15">
      <c r="A7" s="73" t="s">
        <v>164</v>
      </c>
      <c r="B7" s="41" t="s">
        <v>92</v>
      </c>
      <c r="C7" s="41" t="s">
        <v>92</v>
      </c>
      <c r="D7" s="41" t="s">
        <v>92</v>
      </c>
      <c r="E7" s="41" t="s">
        <v>92</v>
      </c>
      <c r="F7" s="41" t="s">
        <v>92</v>
      </c>
      <c r="G7" s="41" t="s">
        <v>92</v>
      </c>
      <c r="H7" s="41" t="s">
        <v>92</v>
      </c>
      <c r="I7" s="41" t="s">
        <v>92</v>
      </c>
    </row>
    <row r="8" spans="1:11" ht="21" customHeight="1" x14ac:dyDescent="0.15">
      <c r="A8" s="74" t="s">
        <v>199</v>
      </c>
      <c r="B8" s="41" t="s">
        <v>92</v>
      </c>
      <c r="C8" s="41" t="s">
        <v>92</v>
      </c>
      <c r="D8" s="41" t="s">
        <v>174</v>
      </c>
      <c r="E8" s="52" t="s">
        <v>98</v>
      </c>
      <c r="F8" s="52" t="s">
        <v>98</v>
      </c>
      <c r="G8" s="52" t="s">
        <v>175</v>
      </c>
      <c r="H8" s="41" t="s">
        <v>174</v>
      </c>
      <c r="I8" s="41" t="s">
        <v>92</v>
      </c>
    </row>
    <row r="9" spans="1:11" s="46" customFormat="1" ht="21" customHeight="1" x14ac:dyDescent="0.15">
      <c r="A9" s="75" t="s">
        <v>200</v>
      </c>
      <c r="B9" s="66" t="s">
        <v>92</v>
      </c>
      <c r="C9" s="66" t="s">
        <v>92</v>
      </c>
      <c r="D9" s="66" t="s">
        <v>92</v>
      </c>
      <c r="E9" s="52" t="s">
        <v>55</v>
      </c>
      <c r="F9" s="52" t="s">
        <v>55</v>
      </c>
      <c r="G9" s="52" t="s">
        <v>98</v>
      </c>
      <c r="H9" s="66" t="s">
        <v>176</v>
      </c>
      <c r="I9" s="66" t="s">
        <v>176</v>
      </c>
    </row>
    <row r="10" spans="1:11" ht="21" customHeight="1" x14ac:dyDescent="0.15">
      <c r="A10" s="75" t="s">
        <v>9</v>
      </c>
      <c r="B10" s="70" t="s">
        <v>92</v>
      </c>
      <c r="C10" s="70" t="s">
        <v>92</v>
      </c>
      <c r="D10" s="52" t="s">
        <v>55</v>
      </c>
      <c r="E10" s="52" t="s">
        <v>55</v>
      </c>
      <c r="F10" s="52" t="s">
        <v>55</v>
      </c>
      <c r="G10" s="52" t="s">
        <v>177</v>
      </c>
      <c r="H10" s="70" t="s">
        <v>176</v>
      </c>
      <c r="I10" s="70" t="s">
        <v>176</v>
      </c>
      <c r="K10" s="28" t="s">
        <v>12</v>
      </c>
    </row>
    <row r="11" spans="1:11" ht="21" customHeight="1" x14ac:dyDescent="0.15">
      <c r="A11" s="75" t="s">
        <v>167</v>
      </c>
      <c r="B11" s="70" t="s">
        <v>92</v>
      </c>
      <c r="C11" s="70" t="s">
        <v>92</v>
      </c>
      <c r="D11" s="53" t="s">
        <v>55</v>
      </c>
      <c r="E11" s="53" t="s">
        <v>55</v>
      </c>
      <c r="F11" s="53" t="s">
        <v>55</v>
      </c>
      <c r="G11" s="52" t="s">
        <v>177</v>
      </c>
      <c r="H11" s="70" t="s">
        <v>176</v>
      </c>
      <c r="I11" s="70" t="s">
        <v>176</v>
      </c>
      <c r="K11" s="30" t="s">
        <v>13</v>
      </c>
    </row>
    <row r="12" spans="1:11" ht="21" customHeight="1" x14ac:dyDescent="0.15">
      <c r="A12" s="75" t="s">
        <v>163</v>
      </c>
      <c r="B12" s="70" t="s">
        <v>92</v>
      </c>
      <c r="C12" s="70" t="s">
        <v>92</v>
      </c>
      <c r="D12" s="54" t="s">
        <v>56</v>
      </c>
      <c r="E12" s="54" t="s">
        <v>56</v>
      </c>
      <c r="F12" s="70" t="s">
        <v>92</v>
      </c>
      <c r="G12" s="70" t="s">
        <v>92</v>
      </c>
      <c r="H12" s="70" t="s">
        <v>92</v>
      </c>
      <c r="I12" s="70" t="s">
        <v>92</v>
      </c>
      <c r="K12" s="71" t="s">
        <v>35</v>
      </c>
    </row>
    <row r="13" spans="1:11" ht="21" customHeight="1" x14ac:dyDescent="0.15">
      <c r="A13" s="104" t="s">
        <v>203</v>
      </c>
      <c r="B13" s="70" t="s">
        <v>92</v>
      </c>
      <c r="C13" s="70" t="s">
        <v>92</v>
      </c>
      <c r="D13" s="55" t="s">
        <v>55</v>
      </c>
      <c r="E13" s="55" t="s">
        <v>55</v>
      </c>
      <c r="F13" s="55" t="s">
        <v>55</v>
      </c>
      <c r="G13" s="70" t="s">
        <v>92</v>
      </c>
      <c r="H13" s="70" t="s">
        <v>92</v>
      </c>
      <c r="I13" s="70" t="s">
        <v>92</v>
      </c>
      <c r="K13" s="72"/>
    </row>
    <row r="14" spans="1:11" ht="21" customHeight="1" x14ac:dyDescent="0.15">
      <c r="A14" s="75" t="s">
        <v>204</v>
      </c>
      <c r="B14" s="70" t="s">
        <v>92</v>
      </c>
      <c r="C14" s="70" t="s">
        <v>92</v>
      </c>
      <c r="D14" s="55" t="s">
        <v>55</v>
      </c>
      <c r="E14" s="55" t="s">
        <v>55</v>
      </c>
      <c r="F14" s="55" t="s">
        <v>55</v>
      </c>
      <c r="G14" s="70" t="s">
        <v>92</v>
      </c>
      <c r="H14" s="70" t="s">
        <v>92</v>
      </c>
      <c r="I14" s="70" t="s">
        <v>92</v>
      </c>
    </row>
    <row r="15" spans="1:11" ht="21" customHeight="1" x14ac:dyDescent="0.15">
      <c r="A15" s="75" t="s">
        <v>88</v>
      </c>
      <c r="B15" s="70" t="s">
        <v>92</v>
      </c>
      <c r="C15" s="70" t="s">
        <v>92</v>
      </c>
      <c r="D15" s="55" t="s">
        <v>56</v>
      </c>
      <c r="E15" s="55" t="s">
        <v>56</v>
      </c>
      <c r="F15" s="70" t="s">
        <v>92</v>
      </c>
      <c r="G15" s="70" t="s">
        <v>92</v>
      </c>
      <c r="H15" s="70" t="s">
        <v>92</v>
      </c>
      <c r="I15" s="70" t="s">
        <v>92</v>
      </c>
    </row>
    <row r="16" spans="1:11" ht="21" customHeight="1" x14ac:dyDescent="0.15">
      <c r="A16" s="75" t="s">
        <v>206</v>
      </c>
      <c r="B16" s="70" t="s">
        <v>92</v>
      </c>
      <c r="C16" s="55" t="s">
        <v>56</v>
      </c>
      <c r="D16" s="55" t="s">
        <v>56</v>
      </c>
      <c r="E16" s="55" t="s">
        <v>56</v>
      </c>
      <c r="F16" s="70" t="s">
        <v>92</v>
      </c>
      <c r="G16" s="70" t="s">
        <v>92</v>
      </c>
      <c r="H16" s="70" t="s">
        <v>92</v>
      </c>
      <c r="I16" s="70" t="s">
        <v>92</v>
      </c>
    </row>
    <row r="17" spans="1:9" ht="21" customHeight="1" x14ac:dyDescent="0.15">
      <c r="A17" s="75" t="s">
        <v>8</v>
      </c>
      <c r="B17" s="56" t="s">
        <v>57</v>
      </c>
      <c r="C17" s="56" t="s">
        <v>57</v>
      </c>
      <c r="D17" s="56" t="s">
        <v>57</v>
      </c>
      <c r="E17" s="70" t="s">
        <v>92</v>
      </c>
      <c r="F17" s="70" t="s">
        <v>92</v>
      </c>
      <c r="G17" s="70" t="s">
        <v>92</v>
      </c>
      <c r="H17" s="70" t="s">
        <v>92</v>
      </c>
      <c r="I17" s="70" t="s">
        <v>92</v>
      </c>
    </row>
    <row r="18" spans="1:9" ht="21" customHeight="1" x14ac:dyDescent="0.15">
      <c r="A18" s="76" t="s">
        <v>7</v>
      </c>
      <c r="B18" s="51" t="s">
        <v>58</v>
      </c>
      <c r="C18" s="51" t="s">
        <v>58</v>
      </c>
      <c r="D18" s="70" t="s">
        <v>92</v>
      </c>
      <c r="E18" s="70" t="s">
        <v>92</v>
      </c>
      <c r="F18" s="70" t="s">
        <v>92</v>
      </c>
      <c r="G18" s="70" t="s">
        <v>92</v>
      </c>
      <c r="H18" s="70" t="s">
        <v>92</v>
      </c>
      <c r="I18" s="70" t="s">
        <v>92</v>
      </c>
    </row>
    <row r="19" spans="1:9" ht="21" customHeight="1" x14ac:dyDescent="0.15">
      <c r="A19" s="77" t="s">
        <v>207</v>
      </c>
      <c r="B19" s="53" t="s">
        <v>59</v>
      </c>
      <c r="C19" s="53" t="s">
        <v>59</v>
      </c>
      <c r="D19" s="70" t="s">
        <v>92</v>
      </c>
      <c r="E19" s="70" t="s">
        <v>92</v>
      </c>
      <c r="F19" s="70" t="s">
        <v>92</v>
      </c>
      <c r="G19" s="70" t="s">
        <v>92</v>
      </c>
      <c r="H19" s="70" t="s">
        <v>92</v>
      </c>
      <c r="I19" s="70" t="s">
        <v>92</v>
      </c>
    </row>
    <row r="20" spans="1:9" ht="21" customHeight="1" x14ac:dyDescent="0.15">
      <c r="A20" s="38" t="s">
        <v>208</v>
      </c>
      <c r="B20" s="78" t="s">
        <v>44</v>
      </c>
      <c r="C20" s="78" t="s">
        <v>44</v>
      </c>
      <c r="D20" s="78" t="s">
        <v>44</v>
      </c>
      <c r="E20" s="78" t="s">
        <v>44</v>
      </c>
      <c r="F20" s="78" t="s">
        <v>44</v>
      </c>
      <c r="G20" s="78" t="s">
        <v>44</v>
      </c>
      <c r="H20" s="78" t="s">
        <v>44</v>
      </c>
      <c r="I20" s="78" t="s">
        <v>44</v>
      </c>
    </row>
    <row r="25" spans="1:9" ht="21" customHeight="1" x14ac:dyDescent="0.15">
      <c r="A25" s="24" t="s">
        <v>14</v>
      </c>
    </row>
    <row r="26" spans="1:9" ht="21" customHeight="1" x14ac:dyDescent="0.15">
      <c r="A26" s="22" t="s">
        <v>60</v>
      </c>
      <c r="B26" s="22" t="s">
        <v>61</v>
      </c>
    </row>
    <row r="27" spans="1:9" ht="21" customHeight="1" x14ac:dyDescent="0.15">
      <c r="A27" s="25">
        <v>1</v>
      </c>
      <c r="B27" s="25">
        <v>200</v>
      </c>
    </row>
    <row r="28" spans="1:9" ht="21" customHeight="1" x14ac:dyDescent="0.15">
      <c r="A28" s="25">
        <v>2</v>
      </c>
      <c r="B28" s="25">
        <v>600</v>
      </c>
    </row>
    <row r="29" spans="1:9" ht="21" customHeight="1" x14ac:dyDescent="0.15">
      <c r="A29" s="25">
        <v>3</v>
      </c>
      <c r="B29" s="25">
        <v>1500</v>
      </c>
    </row>
    <row r="30" spans="1:9" ht="21" customHeight="1" x14ac:dyDescent="0.15">
      <c r="A30" s="25">
        <v>4</v>
      </c>
      <c r="B30" s="25">
        <v>3400</v>
      </c>
    </row>
    <row r="31" spans="1:9" ht="21" customHeight="1" x14ac:dyDescent="0.15">
      <c r="A31" s="25">
        <v>5</v>
      </c>
      <c r="B31" s="25">
        <v>6400</v>
      </c>
    </row>
  </sheetData>
  <sheetProtection selectLockedCells="1" selectUnlockedCells="1"/>
  <phoneticPr fontId="9"/>
  <conditionalFormatting sqref="A34:I65540 J1:IV1 J10:J13 L10:IV13 J14:IV65540 J7:IV7">
    <cfRule type="cellIs" dxfId="22" priority="27" stopIfTrue="1" operator="equal">
      <formula>1</formula>
    </cfRule>
  </conditionalFormatting>
  <conditionalFormatting sqref="A24:B25 A32:B33 C24:I33">
    <cfRule type="cellIs" dxfId="21" priority="26" stopIfTrue="1" operator="equal">
      <formula>1</formula>
    </cfRule>
  </conditionalFormatting>
  <conditionalFormatting sqref="K10:K13">
    <cfRule type="cellIs" dxfId="20" priority="22" stopIfTrue="1" operator="equal">
      <formula>1</formula>
    </cfRule>
  </conditionalFormatting>
  <conditionalFormatting sqref="J8:IV8">
    <cfRule type="cellIs" dxfId="19" priority="21" stopIfTrue="1" operator="equal">
      <formula>1</formula>
    </cfRule>
  </conditionalFormatting>
  <conditionalFormatting sqref="J9:IV9">
    <cfRule type="cellIs" dxfId="18" priority="20" stopIfTrue="1" operator="equal">
      <formula>1</formula>
    </cfRule>
  </conditionalFormatting>
  <conditionalFormatting sqref="G19:I19">
    <cfRule type="cellIs" dxfId="17" priority="12" stopIfTrue="1" operator="equal">
      <formula>1</formula>
    </cfRule>
  </conditionalFormatting>
  <conditionalFormatting sqref="D18:G18 F15:G17 H15:I18">
    <cfRule type="cellIs" dxfId="16" priority="11" stopIfTrue="1" operator="equal">
      <formula>1</formula>
    </cfRule>
  </conditionalFormatting>
  <conditionalFormatting sqref="F17:G17">
    <cfRule type="cellIs" dxfId="15" priority="10" stopIfTrue="1" operator="equal">
      <formula>1</formula>
    </cfRule>
  </conditionalFormatting>
  <conditionalFormatting sqref="A20">
    <cfRule type="cellIs" dxfId="14" priority="9" stopIfTrue="1" operator="equal">
      <formula>1</formula>
    </cfRule>
  </conditionalFormatting>
  <conditionalFormatting sqref="G12:I14 H10:I11">
    <cfRule type="cellIs" dxfId="13" priority="8" stopIfTrue="1" operator="equal">
      <formula>1</formula>
    </cfRule>
  </conditionalFormatting>
  <conditionalFormatting sqref="B10:C15">
    <cfRule type="cellIs" dxfId="12" priority="7" stopIfTrue="1" operator="equal">
      <formula>1</formula>
    </cfRule>
  </conditionalFormatting>
  <conditionalFormatting sqref="B16">
    <cfRule type="cellIs" dxfId="11" priority="6" stopIfTrue="1" operator="equal">
      <formula>1</formula>
    </cfRule>
  </conditionalFormatting>
  <conditionalFormatting sqref="E17">
    <cfRule type="cellIs" dxfId="10" priority="5" stopIfTrue="1" operator="equal">
      <formula>1</formula>
    </cfRule>
  </conditionalFormatting>
  <conditionalFormatting sqref="F12">
    <cfRule type="cellIs" dxfId="9" priority="4" stopIfTrue="1" operator="equal">
      <formula>1</formula>
    </cfRule>
  </conditionalFormatting>
  <conditionalFormatting sqref="J2:IV6">
    <cfRule type="cellIs" dxfId="8" priority="3" stopIfTrue="1" operator="equal">
      <formula>1</formula>
    </cfRule>
  </conditionalFormatting>
  <conditionalFormatting sqref="G6">
    <cfRule type="cellIs" dxfId="7" priority="2" stopIfTrue="1" operator="equal">
      <formula>1</formula>
    </cfRule>
  </conditionalFormatting>
  <conditionalFormatting sqref="F6">
    <cfRule type="cellIs" dxfId="6"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indexed="17"/>
  </sheetPr>
  <dimension ref="A1:I20"/>
  <sheetViews>
    <sheetView showGridLines="0" workbookViewId="0">
      <selection activeCell="D20" sqref="D20"/>
    </sheetView>
  </sheetViews>
  <sheetFormatPr baseColWidth="12" defaultColWidth="13" defaultRowHeight="21" customHeight="1" x14ac:dyDescent="0.15"/>
  <cols>
    <col min="1" max="1" width="13" style="4"/>
    <col min="2" max="16384" width="13" style="24"/>
  </cols>
  <sheetData>
    <row r="1" spans="1:9" s="4" customFormat="1" ht="21" customHeight="1" x14ac:dyDescent="0.15">
      <c r="A1" s="33" t="s">
        <v>10</v>
      </c>
      <c r="B1" s="33">
        <v>1</v>
      </c>
      <c r="C1" s="33">
        <v>2</v>
      </c>
      <c r="D1" s="33">
        <v>3</v>
      </c>
      <c r="E1" s="33">
        <v>4</v>
      </c>
      <c r="F1" s="33">
        <v>5</v>
      </c>
      <c r="G1" s="33">
        <v>6</v>
      </c>
      <c r="H1" s="33">
        <v>7</v>
      </c>
      <c r="I1" s="33">
        <v>8</v>
      </c>
    </row>
    <row r="2" spans="1:9" s="4" customFormat="1" ht="21" customHeight="1" x14ac:dyDescent="0.15">
      <c r="A2" s="143" t="s">
        <v>185</v>
      </c>
      <c r="B2" s="144"/>
      <c r="C2" s="145"/>
      <c r="D2" s="156" t="s">
        <v>11</v>
      </c>
      <c r="E2" s="156">
        <v>8000</v>
      </c>
      <c r="F2" s="156">
        <v>10000</v>
      </c>
      <c r="G2" s="156">
        <v>14000</v>
      </c>
      <c r="H2" s="145"/>
      <c r="I2" s="145"/>
    </row>
    <row r="3" spans="1:9" s="4" customFormat="1" ht="21" customHeight="1" x14ac:dyDescent="0.15">
      <c r="A3" s="143" t="s">
        <v>186</v>
      </c>
      <c r="B3" s="147"/>
      <c r="C3" s="148"/>
      <c r="D3" s="156" t="s">
        <v>11</v>
      </c>
      <c r="E3" s="156">
        <v>7500</v>
      </c>
      <c r="F3" s="156">
        <v>9500</v>
      </c>
      <c r="G3" s="156">
        <v>13000</v>
      </c>
      <c r="H3" s="148"/>
      <c r="I3" s="148"/>
    </row>
    <row r="4" spans="1:9" s="4" customFormat="1" ht="21" customHeight="1" x14ac:dyDescent="0.15">
      <c r="A4" s="143" t="s">
        <v>188</v>
      </c>
      <c r="B4" s="150"/>
      <c r="C4" s="151"/>
      <c r="D4" s="156">
        <v>5000</v>
      </c>
      <c r="E4" s="156">
        <v>7000</v>
      </c>
      <c r="F4" s="156">
        <v>9000</v>
      </c>
      <c r="G4" s="156">
        <v>12000</v>
      </c>
      <c r="H4" s="151"/>
      <c r="I4" s="151"/>
    </row>
    <row r="5" spans="1:9" s="4" customFormat="1" ht="21" customHeight="1" x14ac:dyDescent="0.15">
      <c r="A5" s="162" t="s">
        <v>189</v>
      </c>
      <c r="B5" s="157"/>
      <c r="C5" s="158"/>
      <c r="D5" s="156">
        <v>4900</v>
      </c>
      <c r="E5" s="156">
        <v>6700</v>
      </c>
      <c r="F5" s="156">
        <v>8500</v>
      </c>
      <c r="G5" s="156">
        <v>11000</v>
      </c>
      <c r="H5" s="158"/>
      <c r="I5" s="158"/>
    </row>
    <row r="6" spans="1:9" s="4" customFormat="1" ht="21" customHeight="1" x14ac:dyDescent="0.15">
      <c r="A6" s="162" t="s">
        <v>190</v>
      </c>
      <c r="B6" s="157"/>
      <c r="C6" s="158"/>
      <c r="D6" s="156">
        <v>4800</v>
      </c>
      <c r="E6" s="156">
        <v>6600</v>
      </c>
      <c r="F6" s="156" t="s">
        <v>11</v>
      </c>
      <c r="G6" s="156" t="s">
        <v>11</v>
      </c>
      <c r="H6" s="158"/>
      <c r="I6" s="158"/>
    </row>
    <row r="7" spans="1:9" ht="21" customHeight="1" x14ac:dyDescent="0.15">
      <c r="A7" s="73" t="s">
        <v>164</v>
      </c>
      <c r="B7" s="47" t="s">
        <v>11</v>
      </c>
      <c r="C7" s="47" t="s">
        <v>11</v>
      </c>
      <c r="D7" s="47" t="s">
        <v>11</v>
      </c>
      <c r="E7" s="47" t="s">
        <v>11</v>
      </c>
      <c r="F7" s="47" t="s">
        <v>11</v>
      </c>
      <c r="G7" s="47" t="s">
        <v>11</v>
      </c>
      <c r="H7" s="47" t="s">
        <v>11</v>
      </c>
      <c r="I7" s="47" t="s">
        <v>11</v>
      </c>
    </row>
    <row r="8" spans="1:9" ht="21" customHeight="1" x14ac:dyDescent="0.15">
      <c r="A8" s="74" t="s">
        <v>165</v>
      </c>
      <c r="B8" s="47" t="s">
        <v>11</v>
      </c>
      <c r="C8" s="47" t="s">
        <v>11</v>
      </c>
      <c r="D8" s="47" t="s">
        <v>11</v>
      </c>
      <c r="E8" s="47">
        <v>8000</v>
      </c>
      <c r="F8" s="29">
        <v>10000</v>
      </c>
      <c r="G8" s="47">
        <v>14000</v>
      </c>
      <c r="H8" s="47" t="s">
        <v>11</v>
      </c>
      <c r="I8" s="47" t="s">
        <v>11</v>
      </c>
    </row>
    <row r="9" spans="1:9" s="46" customFormat="1" ht="21" customHeight="1" x14ac:dyDescent="0.15">
      <c r="A9" s="75" t="s">
        <v>166</v>
      </c>
      <c r="B9" s="29" t="s">
        <v>11</v>
      </c>
      <c r="C9" s="29" t="s">
        <v>11</v>
      </c>
      <c r="D9" s="29" t="s">
        <v>11</v>
      </c>
      <c r="E9" s="29">
        <v>7500</v>
      </c>
      <c r="F9" s="29">
        <v>9500</v>
      </c>
      <c r="G9" s="47">
        <v>13000</v>
      </c>
      <c r="H9" s="29" t="s">
        <v>11</v>
      </c>
      <c r="I9" s="29" t="s">
        <v>11</v>
      </c>
    </row>
    <row r="10" spans="1:9" ht="21" customHeight="1" x14ac:dyDescent="0.15">
      <c r="A10" s="75" t="s">
        <v>9</v>
      </c>
      <c r="B10" s="68" t="s">
        <v>11</v>
      </c>
      <c r="C10" s="68" t="s">
        <v>11</v>
      </c>
      <c r="D10" s="29">
        <v>5000</v>
      </c>
      <c r="E10" s="29">
        <v>7000</v>
      </c>
      <c r="F10" s="29">
        <v>9000</v>
      </c>
      <c r="G10" s="47">
        <v>12000</v>
      </c>
      <c r="H10" s="68" t="s">
        <v>11</v>
      </c>
      <c r="I10" s="68" t="s">
        <v>11</v>
      </c>
    </row>
    <row r="11" spans="1:9" ht="21" customHeight="1" x14ac:dyDescent="0.15">
      <c r="A11" s="75" t="s">
        <v>167</v>
      </c>
      <c r="B11" s="68" t="s">
        <v>11</v>
      </c>
      <c r="C11" s="68" t="s">
        <v>11</v>
      </c>
      <c r="D11" s="29">
        <v>4900</v>
      </c>
      <c r="E11" s="29">
        <v>6700</v>
      </c>
      <c r="F11" s="29">
        <v>8500</v>
      </c>
      <c r="G11" s="47">
        <v>11000</v>
      </c>
      <c r="H11" s="68" t="s">
        <v>11</v>
      </c>
      <c r="I11" s="68" t="s">
        <v>11</v>
      </c>
    </row>
    <row r="12" spans="1:9" ht="21" customHeight="1" x14ac:dyDescent="0.15">
      <c r="A12" s="75" t="s">
        <v>89</v>
      </c>
      <c r="B12" s="68" t="s">
        <v>11</v>
      </c>
      <c r="C12" s="68" t="s">
        <v>11</v>
      </c>
      <c r="D12" s="29">
        <v>4800</v>
      </c>
      <c r="E12" s="29">
        <v>6600</v>
      </c>
      <c r="F12" s="68" t="s">
        <v>11</v>
      </c>
      <c r="G12" s="68" t="s">
        <v>11</v>
      </c>
      <c r="H12" s="68" t="s">
        <v>11</v>
      </c>
      <c r="I12" s="68" t="s">
        <v>11</v>
      </c>
    </row>
    <row r="13" spans="1:9" ht="21" customHeight="1" x14ac:dyDescent="0.15">
      <c r="A13" s="75" t="s">
        <v>168</v>
      </c>
      <c r="B13" s="68" t="s">
        <v>11</v>
      </c>
      <c r="C13" s="68" t="s">
        <v>11</v>
      </c>
      <c r="D13" s="68" t="s">
        <v>11</v>
      </c>
      <c r="E13" s="29">
        <v>6300</v>
      </c>
      <c r="F13" s="68" t="s">
        <v>11</v>
      </c>
      <c r="G13" s="68" t="s">
        <v>11</v>
      </c>
      <c r="H13" s="68" t="s">
        <v>11</v>
      </c>
      <c r="I13" s="68" t="s">
        <v>11</v>
      </c>
    </row>
    <row r="14" spans="1:9" ht="21" customHeight="1" x14ac:dyDescent="0.15">
      <c r="A14" s="75" t="s">
        <v>169</v>
      </c>
      <c r="B14" s="68" t="s">
        <v>11</v>
      </c>
      <c r="C14" s="68" t="s">
        <v>11</v>
      </c>
      <c r="D14" s="29">
        <v>4600</v>
      </c>
      <c r="E14" s="29">
        <v>5800</v>
      </c>
      <c r="F14" s="29">
        <v>7600</v>
      </c>
      <c r="G14" s="68" t="s">
        <v>11</v>
      </c>
      <c r="H14" s="68" t="s">
        <v>11</v>
      </c>
      <c r="I14" s="68" t="s">
        <v>11</v>
      </c>
    </row>
    <row r="15" spans="1:9" ht="21" customHeight="1" x14ac:dyDescent="0.15">
      <c r="A15" s="75" t="s">
        <v>88</v>
      </c>
      <c r="B15" s="68" t="s">
        <v>11</v>
      </c>
      <c r="C15" s="68" t="s">
        <v>11</v>
      </c>
      <c r="D15" s="29">
        <v>4400</v>
      </c>
      <c r="E15" s="29">
        <v>5600</v>
      </c>
      <c r="F15" s="68" t="s">
        <v>11</v>
      </c>
      <c r="G15" s="68" t="s">
        <v>11</v>
      </c>
      <c r="H15" s="68" t="s">
        <v>11</v>
      </c>
      <c r="I15" s="68" t="s">
        <v>11</v>
      </c>
    </row>
    <row r="16" spans="1:9" ht="21" customHeight="1" x14ac:dyDescent="0.15">
      <c r="A16" s="75" t="s">
        <v>170</v>
      </c>
      <c r="B16" s="68" t="s">
        <v>11</v>
      </c>
      <c r="C16" s="29">
        <v>3000</v>
      </c>
      <c r="D16" s="29">
        <v>4200</v>
      </c>
      <c r="E16" s="29">
        <v>5400</v>
      </c>
      <c r="F16" s="68" t="s">
        <v>11</v>
      </c>
      <c r="G16" s="68" t="s">
        <v>11</v>
      </c>
      <c r="H16" s="68" t="s">
        <v>11</v>
      </c>
      <c r="I16" s="68" t="s">
        <v>11</v>
      </c>
    </row>
    <row r="17" spans="1:9" ht="21" customHeight="1" x14ac:dyDescent="0.15">
      <c r="A17" s="75" t="s">
        <v>8</v>
      </c>
      <c r="B17" s="29">
        <v>2000</v>
      </c>
      <c r="C17" s="29">
        <v>2800</v>
      </c>
      <c r="D17" s="29">
        <v>4000</v>
      </c>
      <c r="E17" s="68" t="s">
        <v>11</v>
      </c>
      <c r="F17" s="68" t="s">
        <v>11</v>
      </c>
      <c r="G17" s="68" t="s">
        <v>11</v>
      </c>
      <c r="H17" s="68" t="s">
        <v>11</v>
      </c>
      <c r="I17" s="68" t="s">
        <v>11</v>
      </c>
    </row>
    <row r="18" spans="1:9" ht="21" customHeight="1" x14ac:dyDescent="0.15">
      <c r="A18" s="76" t="s">
        <v>7</v>
      </c>
      <c r="B18" s="29">
        <v>1750</v>
      </c>
      <c r="C18" s="29">
        <v>2550</v>
      </c>
      <c r="D18" s="68" t="s">
        <v>11</v>
      </c>
      <c r="E18" s="68" t="s">
        <v>11</v>
      </c>
      <c r="F18" s="68" t="s">
        <v>11</v>
      </c>
      <c r="G18" s="68" t="s">
        <v>11</v>
      </c>
      <c r="H18" s="68" t="s">
        <v>11</v>
      </c>
      <c r="I18" s="68" t="s">
        <v>11</v>
      </c>
    </row>
    <row r="19" spans="1:9" ht="21" customHeight="1" x14ac:dyDescent="0.15">
      <c r="A19" s="76" t="s">
        <v>171</v>
      </c>
      <c r="B19" s="29">
        <v>1500</v>
      </c>
      <c r="C19" s="29">
        <v>2300</v>
      </c>
      <c r="D19" s="68" t="s">
        <v>11</v>
      </c>
      <c r="E19" s="68" t="s">
        <v>11</v>
      </c>
      <c r="F19" s="68" t="s">
        <v>11</v>
      </c>
      <c r="G19" s="68" t="s">
        <v>11</v>
      </c>
      <c r="H19" s="68" t="s">
        <v>11</v>
      </c>
      <c r="I19" s="68" t="s">
        <v>11</v>
      </c>
    </row>
    <row r="20" spans="1:9" ht="21" customHeight="1" x14ac:dyDescent="0.15">
      <c r="A20" s="38" t="s">
        <v>172</v>
      </c>
      <c r="B20" s="37">
        <v>1000</v>
      </c>
      <c r="C20" s="37">
        <v>1000</v>
      </c>
      <c r="D20" s="37">
        <v>1000</v>
      </c>
      <c r="E20" s="37">
        <v>1000</v>
      </c>
      <c r="F20" s="37">
        <v>1000</v>
      </c>
      <c r="G20" s="37">
        <v>1000</v>
      </c>
      <c r="H20" s="37">
        <v>1000</v>
      </c>
      <c r="I20" s="37">
        <v>1000</v>
      </c>
    </row>
  </sheetData>
  <sheetProtection selectLockedCells="1" selectUnlockedCells="1"/>
  <phoneticPr fontId="9"/>
  <conditionalFormatting sqref="L22:R65541 J1:IU1 L7:R19 S7:IU1048576 J7:K1048576">
    <cfRule type="cellIs" dxfId="5" priority="7" stopIfTrue="1" operator="equal">
      <formula>1</formula>
    </cfRule>
  </conditionalFormatting>
  <conditionalFormatting sqref="A21:I65541">
    <cfRule type="cellIs" dxfId="4" priority="8" stopIfTrue="1" operator="equal">
      <formula>1</formula>
    </cfRule>
  </conditionalFormatting>
  <conditionalFormatting sqref="A20:I20">
    <cfRule type="cellIs" dxfId="3" priority="5" stopIfTrue="1" operator="equal">
      <formula>1</formula>
    </cfRule>
  </conditionalFormatting>
  <conditionalFormatting sqref="J2:IV4">
    <cfRule type="cellIs" dxfId="2" priority="4" stopIfTrue="1" operator="equal">
      <formula>1</formula>
    </cfRule>
  </conditionalFormatting>
  <conditionalFormatting sqref="J5:IV6">
    <cfRule type="cellIs" dxfId="1" priority="3"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tabColor indexed="17"/>
  </sheetPr>
  <dimension ref="A1:H10"/>
  <sheetViews>
    <sheetView showGridLines="0" zoomScale="115" zoomScaleNormal="115" zoomScalePageLayoutView="115" workbookViewId="0">
      <selection activeCell="H12" sqref="H12"/>
    </sheetView>
  </sheetViews>
  <sheetFormatPr baseColWidth="12" defaultColWidth="13" defaultRowHeight="21" customHeight="1" x14ac:dyDescent="0.15"/>
  <cols>
    <col min="1" max="16384" width="13" style="24"/>
  </cols>
  <sheetData>
    <row r="1" spans="1:8" ht="21" customHeight="1" x14ac:dyDescent="0.15">
      <c r="A1" s="24" t="s">
        <v>94</v>
      </c>
      <c r="G1" s="24" t="s">
        <v>95</v>
      </c>
    </row>
    <row r="2" spans="1:8" ht="21" customHeight="1" x14ac:dyDescent="0.15">
      <c r="A2" s="22" t="s">
        <v>15</v>
      </c>
      <c r="B2" s="22" t="s">
        <v>16</v>
      </c>
      <c r="G2" s="22" t="s">
        <v>15</v>
      </c>
      <c r="H2" s="22" t="s">
        <v>16</v>
      </c>
    </row>
    <row r="3" spans="1:8" ht="21" customHeight="1" x14ac:dyDescent="0.15">
      <c r="A3" s="25">
        <v>1</v>
      </c>
      <c r="B3" s="34">
        <v>5000</v>
      </c>
      <c r="G3" s="25">
        <v>1</v>
      </c>
      <c r="H3" s="25">
        <v>75</v>
      </c>
    </row>
    <row r="4" spans="1:8" ht="21" customHeight="1" x14ac:dyDescent="0.15">
      <c r="A4" s="25">
        <v>2</v>
      </c>
      <c r="B4" s="26">
        <v>10000</v>
      </c>
      <c r="G4" s="25">
        <v>2</v>
      </c>
      <c r="H4" s="25">
        <v>150</v>
      </c>
    </row>
    <row r="5" spans="1:8" ht="21" customHeight="1" x14ac:dyDescent="0.15">
      <c r="A5" s="25">
        <v>3</v>
      </c>
      <c r="B5" s="26">
        <v>20000</v>
      </c>
      <c r="G5" s="25">
        <v>3</v>
      </c>
      <c r="H5" s="25">
        <v>300</v>
      </c>
    </row>
    <row r="6" spans="1:8" ht="21" customHeight="1" x14ac:dyDescent="0.15">
      <c r="A6" s="25">
        <v>4</v>
      </c>
      <c r="B6" s="26">
        <v>50000</v>
      </c>
      <c r="G6" s="25">
        <v>4</v>
      </c>
      <c r="H6" s="25">
        <v>600</v>
      </c>
    </row>
    <row r="7" spans="1:8" ht="21" customHeight="1" x14ac:dyDescent="0.15">
      <c r="A7" s="25">
        <v>5</v>
      </c>
      <c r="B7" s="26">
        <v>200000</v>
      </c>
      <c r="G7" s="25">
        <v>5</v>
      </c>
      <c r="H7" s="25">
        <v>900</v>
      </c>
    </row>
    <row r="8" spans="1:8" ht="21" customHeight="1" x14ac:dyDescent="0.15">
      <c r="A8" s="25">
        <v>6</v>
      </c>
      <c r="B8" s="35">
        <v>0</v>
      </c>
      <c r="G8" s="25">
        <v>6</v>
      </c>
      <c r="H8" s="36">
        <v>1200</v>
      </c>
    </row>
    <row r="9" spans="1:8" ht="21" customHeight="1" x14ac:dyDescent="0.15">
      <c r="A9" s="25">
        <v>7</v>
      </c>
      <c r="B9" s="35"/>
      <c r="G9" s="25">
        <v>7</v>
      </c>
      <c r="H9" s="35"/>
    </row>
    <row r="10" spans="1:8" ht="21" customHeight="1" x14ac:dyDescent="0.15">
      <c r="A10" s="25">
        <v>8</v>
      </c>
      <c r="B10" s="35"/>
      <c r="G10" s="25">
        <v>8</v>
      </c>
      <c r="H10" s="35"/>
    </row>
  </sheetData>
  <sheetProtection selectLockedCells="1" selectUnlockedCells="1"/>
  <phoneticPr fontId="9"/>
  <conditionalFormatting sqref="A1:B1 A11:B65536 C1:F1048576 G1:H1 G11:H65536 I1:IV1048576 B8:B10 H8:H10">
    <cfRule type="cellIs" dxfId="0" priority="1" stopIfTrue="1" operator="equal">
      <formula>1</formula>
    </cfRule>
  </conditionalFormatting>
  <pageMargins left="0.75" right="0.75" top="1" bottom="1" header="0.51180555555555551" footer="0.51180555555555551"/>
  <pageSetup paperSize="9" firstPageNumber="0" orientation="portrait" horizontalDpi="300" verticalDpi="30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2:D55"/>
  <sheetViews>
    <sheetView topLeftCell="A5" workbookViewId="0">
      <selection activeCell="H21" sqref="H21"/>
    </sheetView>
  </sheetViews>
  <sheetFormatPr baseColWidth="12" defaultRowHeight="15" x14ac:dyDescent="0.15"/>
  <sheetData>
    <row r="2" spans="1:4" x14ac:dyDescent="0.15">
      <c r="A2" t="s">
        <v>156</v>
      </c>
      <c r="B2" s="12">
        <v>591</v>
      </c>
    </row>
    <row r="3" spans="1:4" x14ac:dyDescent="0.15">
      <c r="A3" t="s">
        <v>157</v>
      </c>
      <c r="B3" s="130">
        <v>592</v>
      </c>
    </row>
    <row r="4" spans="1:4" x14ac:dyDescent="0.15">
      <c r="A4" t="s">
        <v>158</v>
      </c>
      <c r="B4" s="130">
        <v>593</v>
      </c>
    </row>
    <row r="7" spans="1:4" x14ac:dyDescent="0.15">
      <c r="A7" t="s">
        <v>159</v>
      </c>
    </row>
    <row r="8" spans="1:4" x14ac:dyDescent="0.15">
      <c r="A8" t="str">
        <f>A2 &amp;" "&amp;IF(B2="","",B2)&amp;" "&amp; IFERROR(VLOOKUP(B2,units!A:B,2),"なし")</f>
        <v>R3 591 なし</v>
      </c>
    </row>
    <row r="9" spans="1:4" x14ac:dyDescent="0.15">
      <c r="A9" t="str">
        <f>A3 &amp;" "&amp;IF(B3="","",B3)&amp;" "&amp; IFERROR(VLOOKUP(B3,units!A:B,2),"なし")</f>
        <v>R4 592 なし</v>
      </c>
    </row>
    <row r="10" spans="1:4" x14ac:dyDescent="0.15">
      <c r="A10" t="str">
        <f>A4 &amp;" "&amp;IF(B4="","",B4)&amp;" "&amp; IFERROR(VLOOKUP(B4,units!A:B,2),"なし")</f>
        <v>R5 593 なし</v>
      </c>
    </row>
    <row r="12" spans="1:4" x14ac:dyDescent="0.15">
      <c r="A12" t="s">
        <v>178</v>
      </c>
    </row>
    <row r="13" spans="1:4" x14ac:dyDescent="0.15">
      <c r="B13" t="s">
        <v>182</v>
      </c>
      <c r="C13" t="s">
        <v>183</v>
      </c>
      <c r="D13" t="s">
        <v>184</v>
      </c>
    </row>
    <row r="14" spans="1:4" x14ac:dyDescent="0.15">
      <c r="A14" t="s">
        <v>180</v>
      </c>
      <c r="B14" t="e">
        <f>VLOOKUP($B2,units!$A:$BN,63)</f>
        <v>#N/A</v>
      </c>
      <c r="C14" t="e">
        <f>VLOOKUP($B2,units!$A:$BN,64)</f>
        <v>#N/A</v>
      </c>
      <c r="D14" t="e">
        <f>VLOOKUP($B2,units!$A:$BN,66)</f>
        <v>#N/A</v>
      </c>
    </row>
    <row r="15" spans="1:4" x14ac:dyDescent="0.15">
      <c r="A15" t="s">
        <v>181</v>
      </c>
      <c r="B15" t="e">
        <f>VLOOKUP($B3,units!$A:$BN,63)</f>
        <v>#N/A</v>
      </c>
      <c r="C15" t="e">
        <f>VLOOKUP($B3,units!$A:$BN,64)</f>
        <v>#N/A</v>
      </c>
      <c r="D15" t="e">
        <f>VLOOKUP($B3,units!$A:$BN,66)</f>
        <v>#N/A</v>
      </c>
    </row>
    <row r="16" spans="1:4" x14ac:dyDescent="0.15">
      <c r="A16" t="s">
        <v>179</v>
      </c>
      <c r="B16" t="e">
        <f>VLOOKUP($B4,units!$A:$BN,63)</f>
        <v>#N/A</v>
      </c>
      <c r="C16" t="e">
        <f>VLOOKUP($B4,units!$A:$BN,64)</f>
        <v>#N/A</v>
      </c>
      <c r="D16" t="e">
        <f>VLOOKUP($B4,units!$A:$BN,66)</f>
        <v>#N/A</v>
      </c>
    </row>
    <row r="19" spans="1:1" ht="19" customHeight="1" x14ac:dyDescent="0.15">
      <c r="A19" t="s">
        <v>160</v>
      </c>
    </row>
    <row r="20" spans="1:1" x14ac:dyDescent="0.15">
      <c r="A20" t="str">
        <f>IFERROR(VLOOKUP($B$2,unit_skills!A:I,3),"なし")</f>
        <v>なし</v>
      </c>
    </row>
    <row r="21" spans="1:1" x14ac:dyDescent="0.15">
      <c r="A21" t="str">
        <f>IFERROR(VLOOKUP($B$2,unit_skills!A:I,4),"なし")</f>
        <v>なし</v>
      </c>
    </row>
    <row r="22" spans="1:1" x14ac:dyDescent="0.15">
      <c r="A22" t="str">
        <f>"cost:"&amp;IFERROR(VLOOKUP($B$2,unit_skills!A:I,6),"なし")</f>
        <v>cost:なし</v>
      </c>
    </row>
    <row r="23" spans="1:1" x14ac:dyDescent="0.15">
      <c r="A23" t="str">
        <f>IFERROR(VLOOKUP($B$2,unit_skills!A:I,9),"なし")</f>
        <v>なし</v>
      </c>
    </row>
    <row r="25" spans="1:1" x14ac:dyDescent="0.15">
      <c r="A25" t="str">
        <f>IFERROR(VLOOKUP($B$3,unit_skills!A:I,3),"なし")</f>
        <v>なし</v>
      </c>
    </row>
    <row r="26" spans="1:1" x14ac:dyDescent="0.15">
      <c r="A26" t="str">
        <f>IFERROR(VLOOKUP($B$3,unit_skills!A:I,4),"なし")</f>
        <v>なし</v>
      </c>
    </row>
    <row r="27" spans="1:1" x14ac:dyDescent="0.15">
      <c r="A27" t="str">
        <f>"cost:"&amp;IFERROR(VLOOKUP($B$3,unit_skills!A:I,6),"なし")</f>
        <v>cost:なし</v>
      </c>
    </row>
    <row r="28" spans="1:1" x14ac:dyDescent="0.15">
      <c r="A28" t="str">
        <f>IFERROR(VLOOKUP($B$3,unit_skills!A:I,9),"なし")</f>
        <v>なし</v>
      </c>
    </row>
    <row r="30" spans="1:1" x14ac:dyDescent="0.15">
      <c r="A30" t="str">
        <f>IFERROR(VLOOKUP($B$4,unit_skills!A:I,3),"なし")</f>
        <v>なし</v>
      </c>
    </row>
    <row r="31" spans="1:1" x14ac:dyDescent="0.15">
      <c r="A31" t="str">
        <f>IFERROR(VLOOKUP($B$4,unit_skills!A:I,4),"なし")</f>
        <v>なし</v>
      </c>
    </row>
    <row r="32" spans="1:1" x14ac:dyDescent="0.15">
      <c r="A32" t="str">
        <f>"cost:"&amp;IFERROR(VLOOKUP($B$4,unit_skills!A:I,6),"なし")</f>
        <v>cost:なし</v>
      </c>
    </row>
    <row r="33" spans="1:1" x14ac:dyDescent="0.15">
      <c r="A33" t="str">
        <f>IFERROR(VLOOKUP($B$4,unit_skills!A:I,9),"なし")</f>
        <v>なし</v>
      </c>
    </row>
    <row r="35" spans="1:1" x14ac:dyDescent="0.15">
      <c r="A35" t="s">
        <v>161</v>
      </c>
    </row>
    <row r="36" spans="1:1" x14ac:dyDescent="0.15">
      <c r="A36" t="str">
        <f>IFERROR(VLOOKUP($B$2,crash_skills!A:I,3),"なし")</f>
        <v>なし</v>
      </c>
    </row>
    <row r="37" spans="1:1" x14ac:dyDescent="0.15">
      <c r="A37" t="str">
        <f>IFERROR(VLOOKUP($B$2,crash_skills!A:I,4),"なし")</f>
        <v>なし</v>
      </c>
    </row>
    <row r="38" spans="1:1" x14ac:dyDescent="0.15">
      <c r="A38" t="str">
        <f>IFERROR(VLOOKUP($B$2,crash_skills!A:I,6),"なし")</f>
        <v>なし</v>
      </c>
    </row>
    <row r="40" spans="1:1" x14ac:dyDescent="0.15">
      <c r="A40" t="str">
        <f>IFERROR(VLOOKUP($B$3,crash_skills!A:I,3),"なし")</f>
        <v>なし</v>
      </c>
    </row>
    <row r="41" spans="1:1" x14ac:dyDescent="0.15">
      <c r="A41" t="str">
        <f>IFERROR(VLOOKUP($B$3,crash_skills!A:I,4),"なし")</f>
        <v>なし</v>
      </c>
    </row>
    <row r="42" spans="1:1" x14ac:dyDescent="0.15">
      <c r="A42" t="str">
        <f>IFERROR(VLOOKUP($B$3,crash_skills!A:I,6),"なし")</f>
        <v>なし</v>
      </c>
    </row>
    <row r="44" spans="1:1" x14ac:dyDescent="0.15">
      <c r="A44" t="str">
        <f>IFERROR(VLOOKUP($B$4,crash_skills!A:I,3),"なし")</f>
        <v>なし</v>
      </c>
    </row>
    <row r="45" spans="1:1" x14ac:dyDescent="0.15">
      <c r="A45" t="str">
        <f>IFERROR(VLOOKUP($B$4,crash_skills!A:I,4),"なし")</f>
        <v>なし</v>
      </c>
    </row>
    <row r="46" spans="1:1" x14ac:dyDescent="0.15">
      <c r="A46" t="str">
        <f>IFERROR(VLOOKUP($B$4,crash_skills!A:I,6),"なし")</f>
        <v>なし</v>
      </c>
    </row>
    <row r="48" spans="1:1" x14ac:dyDescent="0.15">
      <c r="A48" t="s">
        <v>162</v>
      </c>
    </row>
    <row r="49" spans="1:1" x14ac:dyDescent="0.15">
      <c r="A49" t="str">
        <f>IFERROR(VLOOKUP($B$3,#REF!,2),"なし")</f>
        <v>なし</v>
      </c>
    </row>
    <row r="50" spans="1:1" x14ac:dyDescent="0.15">
      <c r="A50" t="str">
        <f>IFERROR(VLOOKUP($B$3,#REF!,2),"なし")</f>
        <v>なし</v>
      </c>
    </row>
    <row r="51" spans="1:1" x14ac:dyDescent="0.15">
      <c r="A51" t="str">
        <f>IFERROR(VLOOKUP($B$3,#REF!,2),"なし")</f>
        <v>なし</v>
      </c>
    </row>
    <row r="52" spans="1:1" x14ac:dyDescent="0.15">
      <c r="A52" t="str">
        <f>IFERROR(VLOOKUP($B$3,#REF!,2),"なし")</f>
        <v>なし</v>
      </c>
    </row>
    <row r="53" spans="1:1" x14ac:dyDescent="0.15">
      <c r="A53" t="str">
        <f>IFERROR(VLOOKUP($B$3,#REF!,2),"なし")</f>
        <v>なし</v>
      </c>
    </row>
    <row r="55" spans="1:1" x14ac:dyDescent="0.15">
      <c r="A55" s="142"/>
    </row>
  </sheetData>
  <phoneticPr fontId="2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17</vt:i4>
      </vt:variant>
    </vt:vector>
  </HeadingPairs>
  <TitlesOfParts>
    <vt:vector size="17" baseType="lpstr">
      <vt:lpstr>output</vt:lpstr>
      <vt:lpstr>units</vt:lpstr>
      <vt:lpstr>unit_skills</vt:lpstr>
      <vt:lpstr>crash_skills</vt:lpstr>
      <vt:lpstr>unit_serifs</vt:lpstr>
      <vt:lpstr>fork_awake_units</vt:lpstr>
      <vt:lpstr>awake_materials</vt:lpstr>
      <vt:lpstr>abilities</vt:lpstr>
      <vt:lpstr>unit_abilities</vt:lpstr>
      <vt:lpstr>→base値</vt:lpstr>
      <vt:lpstr>ghosts_label</vt:lpstr>
      <vt:lpstr>コスト</vt:lpstr>
      <vt:lpstr>レベル</vt:lpstr>
      <vt:lpstr>経験値</vt:lpstr>
      <vt:lpstr>RC6SV</vt:lpstr>
      <vt:lpstr>ビット</vt:lpstr>
      <vt:lpstr>チェックシート</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OmataY</dc:creator>
  <cp:lastModifiedBy>Microsoft Office ユーザー</cp:lastModifiedBy>
  <dcterms:created xsi:type="dcterms:W3CDTF">2014-07-07T06:45:59Z</dcterms:created>
  <dcterms:modified xsi:type="dcterms:W3CDTF">2017-06-06T08:49:11Z</dcterms:modified>
</cp:coreProperties>
</file>