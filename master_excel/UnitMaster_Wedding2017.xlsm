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tamura.r/BULL_data/master_excel/"/>
    </mc:Choice>
  </mc:AlternateContent>
  <bookViews>
    <workbookView xWindow="1540" yWindow="460" windowWidth="22140" windowHeight="16000" tabRatio="963" activeTab="5"/>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S3" i="58" l="1"/>
  <c r="S4" i="58"/>
  <c r="S5" i="58"/>
  <c r="S6" i="58"/>
  <c r="S7" i="58"/>
  <c r="S8" i="58"/>
  <c r="S9" i="58"/>
  <c r="S10" i="58"/>
  <c r="S11" i="58"/>
  <c r="S12" i="58"/>
  <c r="S13" i="58"/>
  <c r="S14" i="58"/>
  <c r="S15" i="58"/>
  <c r="S16" i="58"/>
  <c r="S17" i="58"/>
  <c r="S18" i="58"/>
  <c r="S19" i="58"/>
  <c r="S20" i="58"/>
  <c r="S21" i="58"/>
  <c r="S22" i="58"/>
  <c r="S2" i="58"/>
  <c r="F37" i="57"/>
  <c r="E37" i="57"/>
  <c r="B37" i="57"/>
  <c r="F36" i="57"/>
  <c r="E36" i="57"/>
  <c r="B36" i="57"/>
  <c r="F35" i="57"/>
  <c r="E35" i="57"/>
  <c r="B35" i="57"/>
  <c r="F34" i="57"/>
  <c r="E34" i="57"/>
  <c r="B34" i="57"/>
  <c r="J22" i="3"/>
  <c r="H22" i="3"/>
  <c r="C22" i="3"/>
  <c r="F22" i="3"/>
  <c r="E22" i="3"/>
  <c r="D22" i="3"/>
  <c r="A22" i="3"/>
  <c r="J21" i="3"/>
  <c r="H21" i="3"/>
  <c r="C21" i="3"/>
  <c r="F21" i="3"/>
  <c r="E21" i="3"/>
  <c r="D21" i="3"/>
  <c r="A21" i="3"/>
  <c r="J20" i="3"/>
  <c r="H20" i="3"/>
  <c r="C20" i="3"/>
  <c r="F20" i="3"/>
  <c r="E20" i="3"/>
  <c r="D20" i="3"/>
  <c r="A20" i="3"/>
  <c r="A19" i="3"/>
  <c r="J19" i="3"/>
  <c r="H19" i="3"/>
  <c r="C19" i="3"/>
  <c r="F19" i="3"/>
  <c r="E19" i="3"/>
  <c r="D19" i="3"/>
  <c r="J18" i="3"/>
  <c r="H18" i="3"/>
  <c r="C18" i="3"/>
  <c r="F18" i="3"/>
  <c r="E18" i="3"/>
  <c r="D18" i="3"/>
  <c r="A18" i="3"/>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J13" i="3"/>
  <c r="H13" i="3"/>
  <c r="C13" i="3"/>
  <c r="F13" i="3"/>
  <c r="E13" i="3"/>
  <c r="D13" i="3"/>
  <c r="A13" i="3"/>
  <c r="G22" i="58"/>
  <c r="U22" i="58"/>
  <c r="R22" i="58"/>
  <c r="P22" i="58"/>
  <c r="O22" i="58"/>
  <c r="N22" i="58"/>
  <c r="M22" i="58"/>
  <c r="L22" i="58"/>
  <c r="J22" i="58"/>
  <c r="K22" i="58"/>
  <c r="I22" i="58"/>
  <c r="H22" i="58"/>
  <c r="F22" i="58"/>
  <c r="E22" i="58"/>
  <c r="D22" i="58"/>
  <c r="C22" i="58"/>
  <c r="B22" i="58"/>
  <c r="G21" i="58"/>
  <c r="U21" i="58"/>
  <c r="R21" i="58"/>
  <c r="P21" i="58"/>
  <c r="O21" i="58"/>
  <c r="N21" i="58"/>
  <c r="M21" i="58"/>
  <c r="L21" i="58"/>
  <c r="J21" i="58"/>
  <c r="K21" i="58"/>
  <c r="I21" i="58"/>
  <c r="H21" i="58"/>
  <c r="F21" i="58"/>
  <c r="E21" i="58"/>
  <c r="D21" i="58"/>
  <c r="C21" i="58"/>
  <c r="B21" i="58"/>
  <c r="G20" i="58"/>
  <c r="U20" i="58"/>
  <c r="R20" i="58"/>
  <c r="P20" i="58"/>
  <c r="O20" i="58"/>
  <c r="N20" i="58"/>
  <c r="M20" i="58"/>
  <c r="L20" i="58"/>
  <c r="J20" i="58"/>
  <c r="K20" i="58"/>
  <c r="I20" i="58"/>
  <c r="H20" i="58"/>
  <c r="F20" i="58"/>
  <c r="E20" i="58"/>
  <c r="D20" i="58"/>
  <c r="C20" i="58"/>
  <c r="B20" i="58"/>
  <c r="G19" i="58"/>
  <c r="U19" i="58"/>
  <c r="R19" i="58"/>
  <c r="P19" i="58"/>
  <c r="O19" i="58"/>
  <c r="N19" i="58"/>
  <c r="M19" i="58"/>
  <c r="L19" i="58"/>
  <c r="J19" i="58"/>
  <c r="K19" i="58"/>
  <c r="I19" i="58"/>
  <c r="H19" i="58"/>
  <c r="F19" i="58"/>
  <c r="E19" i="58"/>
  <c r="D19" i="58"/>
  <c r="C19" i="58"/>
  <c r="B19" i="58"/>
  <c r="G18" i="58"/>
  <c r="U18" i="58"/>
  <c r="R18" i="58"/>
  <c r="P18" i="58"/>
  <c r="O18" i="58"/>
  <c r="N18" i="58"/>
  <c r="M18" i="58"/>
  <c r="L18" i="58"/>
  <c r="J18" i="58"/>
  <c r="K18" i="58"/>
  <c r="I18" i="58"/>
  <c r="H18" i="58"/>
  <c r="F18" i="58"/>
  <c r="E18" i="58"/>
  <c r="D18" i="58"/>
  <c r="C18" i="58"/>
  <c r="B18" i="58"/>
  <c r="G17" i="58"/>
  <c r="U17" i="58"/>
  <c r="R17" i="58"/>
  <c r="P17" i="58"/>
  <c r="O17" i="58"/>
  <c r="N17" i="58"/>
  <c r="M17" i="58"/>
  <c r="L17" i="58"/>
  <c r="J17" i="58"/>
  <c r="K17" i="58"/>
  <c r="I17" i="58"/>
  <c r="H17" i="58"/>
  <c r="F17" i="58"/>
  <c r="E17" i="58"/>
  <c r="D17" i="58"/>
  <c r="C17" i="58"/>
  <c r="B17" i="58"/>
  <c r="G16" i="58"/>
  <c r="U16" i="58"/>
  <c r="R16" i="58"/>
  <c r="P16" i="58"/>
  <c r="O16" i="58"/>
  <c r="N16" i="58"/>
  <c r="M16" i="58"/>
  <c r="L16" i="58"/>
  <c r="J16" i="58"/>
  <c r="K16" i="58"/>
  <c r="I16" i="58"/>
  <c r="H16" i="58"/>
  <c r="F16" i="58"/>
  <c r="E16" i="58"/>
  <c r="D16" i="58"/>
  <c r="C16" i="58"/>
  <c r="B16" i="58"/>
  <c r="G15" i="58"/>
  <c r="U15" i="58"/>
  <c r="R15" i="58"/>
  <c r="P15" i="58"/>
  <c r="O15" i="58"/>
  <c r="N15" i="58"/>
  <c r="M15" i="58"/>
  <c r="L15" i="58"/>
  <c r="J15" i="58"/>
  <c r="K15" i="58"/>
  <c r="I15" i="58"/>
  <c r="H15" i="58"/>
  <c r="F15" i="58"/>
  <c r="E15" i="58"/>
  <c r="D15" i="58"/>
  <c r="C15" i="58"/>
  <c r="B15" i="58"/>
  <c r="G14" i="58"/>
  <c r="U14" i="58"/>
  <c r="R14" i="58"/>
  <c r="P14" i="58"/>
  <c r="O14" i="58"/>
  <c r="N14" i="58"/>
  <c r="M14" i="58"/>
  <c r="L14" i="58"/>
  <c r="J14" i="58"/>
  <c r="K14" i="58"/>
  <c r="I14" i="58"/>
  <c r="H14" i="58"/>
  <c r="F14" i="58"/>
  <c r="E14" i="58"/>
  <c r="D14" i="58"/>
  <c r="C14" i="58"/>
  <c r="B14" i="58"/>
  <c r="G13" i="58"/>
  <c r="U13" i="58"/>
  <c r="R13" i="58"/>
  <c r="P13" i="58"/>
  <c r="O13" i="58"/>
  <c r="N13" i="58"/>
  <c r="M13" i="58"/>
  <c r="L13" i="58"/>
  <c r="J13" i="58"/>
  <c r="K13" i="58"/>
  <c r="I13" i="58"/>
  <c r="H13" i="58"/>
  <c r="F13" i="58"/>
  <c r="E13" i="58"/>
  <c r="D13" i="58"/>
  <c r="C13" i="58"/>
  <c r="B13" i="58"/>
  <c r="F33" i="57"/>
  <c r="E33" i="57"/>
  <c r="B33" i="57"/>
  <c r="F31" i="57"/>
  <c r="E31" i="57"/>
  <c r="B31" i="57"/>
  <c r="F32" i="57"/>
  <c r="E32" i="57"/>
  <c r="B32" i="57"/>
  <c r="F29" i="57"/>
  <c r="E29" i="57"/>
  <c r="B29" i="57"/>
  <c r="F28" i="57"/>
  <c r="E28" i="57"/>
  <c r="B28" i="57"/>
  <c r="F25" i="57"/>
  <c r="E25" i="57"/>
  <c r="B25" i="57"/>
  <c r="F24" i="57"/>
  <c r="E24" i="57"/>
  <c r="B24" i="57"/>
  <c r="F21" i="57"/>
  <c r="E21" i="57"/>
  <c r="B21" i="57"/>
  <c r="F20" i="57"/>
  <c r="E20" i="57"/>
  <c r="B20" i="57"/>
  <c r="F17" i="57"/>
  <c r="E17" i="57"/>
  <c r="B17" i="57"/>
  <c r="F16" i="57"/>
  <c r="E16" i="57"/>
  <c r="B16" i="57"/>
  <c r="F13" i="57"/>
  <c r="E13" i="57"/>
  <c r="B13" i="57"/>
  <c r="F12" i="57"/>
  <c r="E12" i="57"/>
  <c r="B12" i="57"/>
  <c r="F9" i="57"/>
  <c r="E9" i="57"/>
  <c r="B9" i="57"/>
  <c r="F8" i="57"/>
  <c r="E8" i="57"/>
  <c r="B8" i="57"/>
  <c r="F5" i="57"/>
  <c r="E5" i="57"/>
  <c r="B5" i="57"/>
  <c r="F4" i="57"/>
  <c r="E4" i="57"/>
  <c r="B4" i="57"/>
  <c r="J12" i="3"/>
  <c r="H12" i="3"/>
  <c r="C12" i="3"/>
  <c r="F12" i="3"/>
  <c r="E12" i="3"/>
  <c r="D12" i="3"/>
  <c r="A12" i="3"/>
  <c r="J11" i="3"/>
  <c r="H11" i="3"/>
  <c r="C11" i="3"/>
  <c r="F11" i="3"/>
  <c r="E11" i="3"/>
  <c r="D11" i="3"/>
  <c r="A11" i="3"/>
  <c r="J10" i="3"/>
  <c r="H10" i="3"/>
  <c r="C10" i="3"/>
  <c r="F10" i="3"/>
  <c r="E10" i="3"/>
  <c r="D10" i="3"/>
  <c r="A10" i="3"/>
  <c r="J9" i="3"/>
  <c r="H9" i="3"/>
  <c r="C9" i="3"/>
  <c r="F9" i="3"/>
  <c r="E9" i="3"/>
  <c r="D9" i="3"/>
  <c r="A9" i="3"/>
  <c r="J8" i="3"/>
  <c r="H8" i="3"/>
  <c r="C8" i="3"/>
  <c r="F8" i="3"/>
  <c r="E8" i="3"/>
  <c r="D8" i="3"/>
  <c r="A8" i="3"/>
  <c r="J7" i="3"/>
  <c r="H7" i="3"/>
  <c r="C7" i="3"/>
  <c r="F7" i="3"/>
  <c r="E7" i="3"/>
  <c r="D7" i="3"/>
  <c r="A7" i="3"/>
  <c r="J6" i="3"/>
  <c r="H6" i="3"/>
  <c r="C6" i="3"/>
  <c r="F6" i="3"/>
  <c r="E6" i="3"/>
  <c r="D6" i="3"/>
  <c r="A6" i="3"/>
  <c r="G12" i="58"/>
  <c r="U12" i="58"/>
  <c r="T12" i="58"/>
  <c r="R12" i="58"/>
  <c r="P12" i="58"/>
  <c r="O12" i="58"/>
  <c r="N12" i="58"/>
  <c r="M12" i="58"/>
  <c r="L12" i="58"/>
  <c r="J12" i="58"/>
  <c r="K12" i="58"/>
  <c r="I12" i="58"/>
  <c r="H12" i="58"/>
  <c r="F12" i="58"/>
  <c r="E12" i="58"/>
  <c r="D12" i="58"/>
  <c r="C12" i="58"/>
  <c r="B12" i="58"/>
  <c r="G11" i="58"/>
  <c r="U11" i="58"/>
  <c r="R11" i="58"/>
  <c r="P11" i="58"/>
  <c r="O11" i="58"/>
  <c r="N11" i="58"/>
  <c r="M11" i="58"/>
  <c r="L11" i="58"/>
  <c r="J11" i="58"/>
  <c r="K11" i="58"/>
  <c r="I11" i="58"/>
  <c r="H11" i="58"/>
  <c r="F11" i="58"/>
  <c r="E11" i="58"/>
  <c r="D11" i="58"/>
  <c r="C11" i="58"/>
  <c r="B11" i="58"/>
  <c r="G10" i="58"/>
  <c r="U10" i="58"/>
  <c r="R10" i="58"/>
  <c r="P10" i="58"/>
  <c r="O10" i="58"/>
  <c r="N10" i="58"/>
  <c r="M10" i="58"/>
  <c r="L10" i="58"/>
  <c r="J10" i="58"/>
  <c r="K10" i="58"/>
  <c r="I10" i="58"/>
  <c r="H10" i="58"/>
  <c r="F10" i="58"/>
  <c r="E10" i="58"/>
  <c r="D10" i="58"/>
  <c r="C10" i="58"/>
  <c r="B10" i="58"/>
  <c r="G9" i="58"/>
  <c r="U9" i="58"/>
  <c r="R9" i="58"/>
  <c r="P9" i="58"/>
  <c r="O9" i="58"/>
  <c r="N9" i="58"/>
  <c r="M9" i="58"/>
  <c r="L9" i="58"/>
  <c r="J9" i="58"/>
  <c r="K9" i="58"/>
  <c r="I9" i="58"/>
  <c r="H9" i="58"/>
  <c r="F9" i="58"/>
  <c r="E9" i="58"/>
  <c r="D9" i="58"/>
  <c r="C9" i="58"/>
  <c r="B9" i="58"/>
  <c r="G8" i="58"/>
  <c r="U8" i="58"/>
  <c r="R8" i="58"/>
  <c r="P8" i="58"/>
  <c r="O8" i="58"/>
  <c r="N8" i="58"/>
  <c r="M8" i="58"/>
  <c r="L8" i="58"/>
  <c r="J8" i="58"/>
  <c r="K8" i="58"/>
  <c r="I8" i="58"/>
  <c r="H8" i="58"/>
  <c r="F8" i="58"/>
  <c r="E8" i="58"/>
  <c r="D8" i="58"/>
  <c r="C8" i="58"/>
  <c r="B8" i="58"/>
  <c r="G7" i="58"/>
  <c r="U7" i="58"/>
  <c r="R7" i="58"/>
  <c r="P7" i="58"/>
  <c r="O7" i="58"/>
  <c r="N7" i="58"/>
  <c r="M7" i="58"/>
  <c r="L7" i="58"/>
  <c r="J7" i="58"/>
  <c r="K7" i="58"/>
  <c r="I7" i="58"/>
  <c r="H7" i="58"/>
  <c r="F7" i="58"/>
  <c r="E7" i="58"/>
  <c r="D7" i="58"/>
  <c r="C7" i="58"/>
  <c r="B7" i="58"/>
  <c r="G6" i="58"/>
  <c r="U6" i="58"/>
  <c r="R6" i="58"/>
  <c r="P6" i="58"/>
  <c r="O6" i="58"/>
  <c r="N6" i="58"/>
  <c r="M6" i="58"/>
  <c r="L6" i="58"/>
  <c r="J6" i="58"/>
  <c r="K6" i="58"/>
  <c r="I6" i="58"/>
  <c r="H6" i="58"/>
  <c r="F6" i="58"/>
  <c r="E6" i="58"/>
  <c r="D6" i="58"/>
  <c r="C6" i="58"/>
  <c r="B6" i="58"/>
  <c r="G5" i="58"/>
  <c r="U5" i="58"/>
  <c r="R5" i="58"/>
  <c r="P5" i="58"/>
  <c r="O5" i="58"/>
  <c r="N5" i="58"/>
  <c r="M5" i="58"/>
  <c r="L5" i="58"/>
  <c r="J5" i="58"/>
  <c r="K5" i="58"/>
  <c r="I5" i="58"/>
  <c r="H5" i="58"/>
  <c r="F5" i="58"/>
  <c r="E5" i="58"/>
  <c r="D5" i="58"/>
  <c r="C5" i="58"/>
  <c r="B5" i="58"/>
  <c r="G4" i="58"/>
  <c r="U4" i="58"/>
  <c r="R4" i="58"/>
  <c r="P4" i="58"/>
  <c r="O4" i="58"/>
  <c r="N4" i="58"/>
  <c r="M4" i="58"/>
  <c r="L4" i="58"/>
  <c r="J4" i="58"/>
  <c r="K4" i="58"/>
  <c r="I4" i="58"/>
  <c r="H4" i="58"/>
  <c r="F4" i="58"/>
  <c r="E4" i="58"/>
  <c r="D4" i="58"/>
  <c r="C4" i="58"/>
  <c r="B4" i="58"/>
  <c r="G3" i="58"/>
  <c r="U3" i="58"/>
  <c r="R3" i="58"/>
  <c r="P3" i="58"/>
  <c r="O3" i="58"/>
  <c r="N3" i="58"/>
  <c r="M3" i="58"/>
  <c r="L3" i="58"/>
  <c r="J3" i="58"/>
  <c r="K3" i="58"/>
  <c r="I3" i="58"/>
  <c r="H3" i="58"/>
  <c r="F3" i="58"/>
  <c r="E3" i="58"/>
  <c r="D3" i="58"/>
  <c r="C3" i="58"/>
  <c r="B3" i="58"/>
  <c r="E97" i="54"/>
  <c r="D97" i="54"/>
  <c r="B97" i="54"/>
  <c r="E96" i="54"/>
  <c r="D96" i="54"/>
  <c r="B96" i="54"/>
  <c r="E95" i="54"/>
  <c r="D95" i="54"/>
  <c r="B95" i="54"/>
  <c r="E94" i="54"/>
  <c r="D94" i="54"/>
  <c r="B94" i="54"/>
  <c r="E89" i="54"/>
  <c r="D89" i="54"/>
  <c r="B89" i="54"/>
  <c r="E88" i="54"/>
  <c r="D88" i="54"/>
  <c r="B88" i="54"/>
  <c r="E87" i="54"/>
  <c r="D87" i="54"/>
  <c r="B87" i="54"/>
  <c r="E86" i="54"/>
  <c r="D86" i="54"/>
  <c r="B86" i="54"/>
  <c r="E81" i="54"/>
  <c r="D81" i="54"/>
  <c r="B81" i="54"/>
  <c r="E80" i="54"/>
  <c r="D80" i="54"/>
  <c r="B80" i="54"/>
  <c r="E79" i="54"/>
  <c r="D79" i="54"/>
  <c r="B79" i="54"/>
  <c r="E78" i="54"/>
  <c r="D78" i="54"/>
  <c r="B78" i="54"/>
  <c r="E77" i="54"/>
  <c r="D77" i="54"/>
  <c r="B77" i="54"/>
  <c r="E71" i="54"/>
  <c r="D71" i="54"/>
  <c r="B71" i="54"/>
  <c r="E70" i="54"/>
  <c r="D70" i="54"/>
  <c r="B70" i="54"/>
  <c r="E69" i="54"/>
  <c r="D69" i="54"/>
  <c r="B69" i="54"/>
  <c r="E68" i="54"/>
  <c r="D68" i="54"/>
  <c r="B68" i="54"/>
  <c r="E67" i="54"/>
  <c r="D67" i="54"/>
  <c r="B67" i="54"/>
  <c r="E61" i="54"/>
  <c r="D61" i="54"/>
  <c r="B61" i="54"/>
  <c r="E60" i="54"/>
  <c r="D60" i="54"/>
  <c r="B60" i="54"/>
  <c r="E59" i="54"/>
  <c r="D59" i="54"/>
  <c r="B59" i="54"/>
  <c r="E58" i="54"/>
  <c r="D58" i="54"/>
  <c r="B58" i="54"/>
  <c r="E57" i="54"/>
  <c r="D57" i="54"/>
  <c r="B57" i="54"/>
  <c r="E51" i="54"/>
  <c r="D51" i="54"/>
  <c r="B51" i="54"/>
  <c r="E50" i="54"/>
  <c r="D50" i="54"/>
  <c r="B50" i="54"/>
  <c r="E49" i="54"/>
  <c r="D49" i="54"/>
  <c r="B49" i="54"/>
  <c r="E48" i="54"/>
  <c r="D48" i="54"/>
  <c r="B48" i="54"/>
  <c r="E47" i="54"/>
  <c r="D47" i="54"/>
  <c r="B47" i="54"/>
  <c r="E41" i="54"/>
  <c r="D41" i="54"/>
  <c r="B41" i="54"/>
  <c r="E40" i="54"/>
  <c r="D40" i="54"/>
  <c r="B40" i="54"/>
  <c r="E39" i="54"/>
  <c r="D39" i="54"/>
  <c r="B39" i="54"/>
  <c r="E38" i="54"/>
  <c r="D38" i="54"/>
  <c r="B38" i="54"/>
  <c r="E37" i="54"/>
  <c r="D37" i="54"/>
  <c r="B37" i="54"/>
  <c r="E31" i="54"/>
  <c r="D31" i="54"/>
  <c r="B31" i="54"/>
  <c r="E30" i="54"/>
  <c r="D30" i="54"/>
  <c r="B30" i="54"/>
  <c r="E29" i="54"/>
  <c r="D29" i="54"/>
  <c r="B29" i="54"/>
  <c r="E28" i="54"/>
  <c r="D28" i="54"/>
  <c r="B28" i="54"/>
  <c r="E27" i="54"/>
  <c r="D27" i="54"/>
  <c r="B27" i="54"/>
  <c r="E21" i="54"/>
  <c r="D21" i="54"/>
  <c r="B21" i="54"/>
  <c r="E20" i="54"/>
  <c r="D20" i="54"/>
  <c r="B20" i="54"/>
  <c r="E19" i="54"/>
  <c r="D19" i="54"/>
  <c r="B19" i="54"/>
  <c r="E18" i="54"/>
  <c r="D18" i="54"/>
  <c r="B18" i="54"/>
  <c r="E17" i="54"/>
  <c r="D17" i="54"/>
  <c r="B17" i="54"/>
  <c r="E11" i="54"/>
  <c r="D11" i="54"/>
  <c r="B11" i="54"/>
  <c r="E10" i="54"/>
  <c r="D10" i="54"/>
  <c r="B10" i="54"/>
  <c r="E9" i="54"/>
  <c r="D9" i="54"/>
  <c r="B9" i="54"/>
  <c r="E8" i="54"/>
  <c r="D8" i="54"/>
  <c r="B8" i="54"/>
  <c r="E7" i="54"/>
  <c r="D7" i="54"/>
  <c r="B7" i="54"/>
  <c r="H24" i="53"/>
  <c r="G24" i="53"/>
  <c r="E24" i="53"/>
  <c r="H23" i="53"/>
  <c r="G23" i="53"/>
  <c r="E23" i="53"/>
  <c r="H22" i="53"/>
  <c r="G22" i="53"/>
  <c r="E22" i="53"/>
  <c r="H21" i="53"/>
  <c r="G21" i="53"/>
  <c r="E21" i="53"/>
  <c r="H19" i="53"/>
  <c r="G19" i="53"/>
  <c r="E19" i="53"/>
  <c r="H17" i="53"/>
  <c r="G17" i="53"/>
  <c r="E17" i="53"/>
  <c r="H15" i="53"/>
  <c r="G15" i="53"/>
  <c r="E15" i="53"/>
  <c r="H13" i="53"/>
  <c r="G13" i="53"/>
  <c r="E13" i="53"/>
  <c r="H11" i="53"/>
  <c r="G11" i="53"/>
  <c r="E11" i="53"/>
  <c r="H9" i="53"/>
  <c r="G9" i="53"/>
  <c r="E9" i="53"/>
  <c r="H7" i="53"/>
  <c r="G7" i="53"/>
  <c r="E7" i="53"/>
  <c r="H5" i="53"/>
  <c r="G5" i="53"/>
  <c r="E5" i="53"/>
  <c r="H3" i="53"/>
  <c r="G3" i="53"/>
  <c r="E3" i="53"/>
  <c r="K24" i="52"/>
  <c r="J24" i="52"/>
  <c r="H24" i="52"/>
  <c r="E24" i="52"/>
  <c r="K23" i="52"/>
  <c r="J23" i="52"/>
  <c r="H23" i="52"/>
  <c r="E23" i="52"/>
  <c r="K22" i="52"/>
  <c r="J22" i="52"/>
  <c r="H22" i="52"/>
  <c r="E22" i="52"/>
  <c r="K21" i="52"/>
  <c r="J21" i="52"/>
  <c r="H21" i="52"/>
  <c r="E21" i="52"/>
  <c r="K19" i="52"/>
  <c r="J19" i="52"/>
  <c r="H19" i="52"/>
  <c r="E19" i="52"/>
  <c r="K17" i="52"/>
  <c r="J17" i="52"/>
  <c r="H17" i="52"/>
  <c r="E17" i="52"/>
  <c r="K15" i="52"/>
  <c r="J15" i="52"/>
  <c r="H15" i="52"/>
  <c r="E15" i="52"/>
  <c r="K13" i="52"/>
  <c r="J13" i="52"/>
  <c r="H13" i="52"/>
  <c r="E13" i="52"/>
  <c r="K11" i="52"/>
  <c r="J11" i="52"/>
  <c r="H11" i="52"/>
  <c r="E11" i="52"/>
  <c r="K9" i="52"/>
  <c r="J9" i="52"/>
  <c r="H9" i="52"/>
  <c r="E9" i="52"/>
  <c r="K7" i="52"/>
  <c r="J7" i="52"/>
  <c r="H7" i="52"/>
  <c r="E7" i="52"/>
  <c r="K5" i="52"/>
  <c r="J5" i="52"/>
  <c r="H5" i="52"/>
  <c r="E5" i="52"/>
  <c r="K3" i="52"/>
  <c r="J3" i="52"/>
  <c r="H3" i="52"/>
  <c r="E3" i="52"/>
  <c r="BE23" i="23"/>
  <c r="H23" i="23"/>
  <c r="G23" i="23"/>
  <c r="BC23" i="23"/>
  <c r="BD23" i="23"/>
  <c r="Q23" i="23"/>
  <c r="U23" i="23"/>
  <c r="W23" i="23"/>
  <c r="AC23" i="23"/>
  <c r="I23" i="23"/>
  <c r="L23" i="23"/>
  <c r="BM23" i="23"/>
  <c r="BI23" i="23"/>
  <c r="BE24" i="23"/>
  <c r="Q24" i="23"/>
  <c r="U24" i="23"/>
  <c r="W24" i="23"/>
  <c r="AC24" i="23"/>
  <c r="I24" i="23"/>
  <c r="L24" i="23"/>
  <c r="H24" i="23"/>
  <c r="G24" i="23"/>
  <c r="BC24" i="23"/>
  <c r="BD24" i="23"/>
  <c r="BM24" i="23"/>
  <c r="BI24" i="23"/>
  <c r="BR24" i="23"/>
  <c r="V24" i="23"/>
  <c r="AD24" i="23"/>
  <c r="M24" i="23"/>
  <c r="T24" i="23"/>
  <c r="AB24" i="23"/>
  <c r="K24" i="23"/>
  <c r="S24" i="23"/>
  <c r="AA24" i="23"/>
  <c r="J24" i="23"/>
  <c r="I21" i="23"/>
  <c r="J21" i="23"/>
  <c r="J23" i="23"/>
  <c r="BF24" i="23"/>
  <c r="AX24" i="23"/>
  <c r="AW24" i="23"/>
  <c r="AV24" i="23"/>
  <c r="AU24" i="23"/>
  <c r="AS24" i="23"/>
  <c r="AR24" i="23"/>
  <c r="AQ24" i="23"/>
  <c r="AL24" i="23"/>
  <c r="AK24" i="23"/>
  <c r="AI24" i="23"/>
  <c r="AH24" i="23"/>
  <c r="AF24" i="23"/>
  <c r="Y24" i="23"/>
  <c r="Z24" i="23"/>
  <c r="X24" i="23"/>
  <c r="R24" i="23"/>
  <c r="P24" i="23"/>
  <c r="O24" i="23"/>
  <c r="N24" i="23"/>
  <c r="F24" i="23"/>
  <c r="E24" i="23"/>
  <c r="D24" i="23"/>
  <c r="C24" i="23"/>
  <c r="B24" i="23"/>
  <c r="BR23" i="23"/>
  <c r="V23" i="23"/>
  <c r="AD23" i="23"/>
  <c r="M23" i="23"/>
  <c r="T23" i="23"/>
  <c r="AB23" i="23"/>
  <c r="K23" i="23"/>
  <c r="S23" i="23"/>
  <c r="AA23" i="23"/>
  <c r="I20" i="23"/>
  <c r="J20" i="23"/>
  <c r="BF23" i="23"/>
  <c r="AX23" i="23"/>
  <c r="AW23" i="23"/>
  <c r="AV23" i="23"/>
  <c r="AU23" i="23"/>
  <c r="AS23" i="23"/>
  <c r="AR23" i="23"/>
  <c r="AQ23" i="23"/>
  <c r="AL23" i="23"/>
  <c r="AK23" i="23"/>
  <c r="AI23" i="23"/>
  <c r="AH23" i="23"/>
  <c r="AF23" i="23"/>
  <c r="Y23" i="23"/>
  <c r="Z23" i="23"/>
  <c r="X23" i="23"/>
  <c r="R23" i="23"/>
  <c r="P23" i="23"/>
  <c r="O23" i="23"/>
  <c r="N23" i="23"/>
  <c r="F23" i="23"/>
  <c r="E23" i="23"/>
  <c r="D23" i="23"/>
  <c r="C23" i="23"/>
  <c r="B23" i="23"/>
  <c r="H22" i="23"/>
  <c r="BR22" i="23"/>
  <c r="G22" i="23"/>
  <c r="BC22" i="23"/>
  <c r="BD22" i="23"/>
  <c r="Q22" i="23"/>
  <c r="V22" i="23"/>
  <c r="W22" i="23"/>
  <c r="AD22" i="23"/>
  <c r="I22" i="23"/>
  <c r="M22" i="23"/>
  <c r="U22" i="23"/>
  <c r="AC22" i="23"/>
  <c r="L22" i="23"/>
  <c r="BM22" i="23"/>
  <c r="T22" i="23"/>
  <c r="AB22" i="23"/>
  <c r="K22" i="23"/>
  <c r="S22" i="23"/>
  <c r="AA22" i="23"/>
  <c r="J22" i="23"/>
  <c r="BE22" i="23"/>
  <c r="BI22" i="23"/>
  <c r="I19" i="23"/>
  <c r="J19" i="23"/>
  <c r="BF22" i="23"/>
  <c r="AX22" i="23"/>
  <c r="AW22" i="23"/>
  <c r="AV22" i="23"/>
  <c r="AU22" i="23"/>
  <c r="AS22" i="23"/>
  <c r="AR22" i="23"/>
  <c r="AQ22" i="23"/>
  <c r="AL22" i="23"/>
  <c r="AK22" i="23"/>
  <c r="AI22" i="23"/>
  <c r="AH22" i="23"/>
  <c r="AF22" i="23"/>
  <c r="Y22" i="23"/>
  <c r="Z22" i="23"/>
  <c r="X22" i="23"/>
  <c r="R22" i="23"/>
  <c r="O22" i="23"/>
  <c r="N22" i="23"/>
  <c r="F22" i="23"/>
  <c r="E22" i="23"/>
  <c r="D22" i="23"/>
  <c r="C22" i="23"/>
  <c r="B22" i="23"/>
  <c r="H21" i="23"/>
  <c r="G21" i="23"/>
  <c r="BC21" i="23"/>
  <c r="BD21" i="23"/>
  <c r="Q21" i="23"/>
  <c r="V21" i="23"/>
  <c r="W21" i="23"/>
  <c r="AD21" i="23"/>
  <c r="M21" i="23"/>
  <c r="BN21" i="23"/>
  <c r="U21" i="23"/>
  <c r="AC21" i="23"/>
  <c r="L21" i="23"/>
  <c r="BM21" i="23"/>
  <c r="T21" i="23"/>
  <c r="AB21" i="23"/>
  <c r="K21" i="23"/>
  <c r="BL21" i="23"/>
  <c r="S21" i="23"/>
  <c r="AA21" i="23"/>
  <c r="BK21" i="23"/>
  <c r="H20" i="23"/>
  <c r="G20" i="23"/>
  <c r="BC20" i="23"/>
  <c r="BE21" i="23"/>
  <c r="BJ21" i="23"/>
  <c r="BI21" i="23"/>
  <c r="BH21" i="23"/>
  <c r="BG21" i="23"/>
  <c r="BF21" i="23"/>
  <c r="AX21" i="23"/>
  <c r="AW21" i="23"/>
  <c r="AV21" i="23"/>
  <c r="AU21" i="23"/>
  <c r="AS21" i="23"/>
  <c r="AR21" i="23"/>
  <c r="AQ21" i="23"/>
  <c r="AN21" i="23"/>
  <c r="AM21" i="23"/>
  <c r="AL21" i="23"/>
  <c r="AK21" i="23"/>
  <c r="AI21" i="23"/>
  <c r="AH21" i="23"/>
  <c r="AF21" i="23"/>
  <c r="Y21" i="23"/>
  <c r="Z21" i="23"/>
  <c r="X21" i="23"/>
  <c r="R21" i="23"/>
  <c r="P21" i="23"/>
  <c r="O21" i="23"/>
  <c r="N21" i="23"/>
  <c r="F21" i="23"/>
  <c r="E21" i="23"/>
  <c r="D21" i="23"/>
  <c r="C21" i="23"/>
  <c r="B21" i="23"/>
  <c r="H19" i="23"/>
  <c r="G19" i="23"/>
  <c r="BC19" i="23"/>
  <c r="BD19" i="23"/>
  <c r="Q19" i="23"/>
  <c r="V19" i="23"/>
  <c r="W19" i="23"/>
  <c r="AD19" i="23"/>
  <c r="M19" i="23"/>
  <c r="BN19" i="23"/>
  <c r="U19" i="23"/>
  <c r="AC19" i="23"/>
  <c r="L19" i="23"/>
  <c r="BM19" i="23"/>
  <c r="T19" i="23"/>
  <c r="AB19" i="23"/>
  <c r="K19" i="23"/>
  <c r="BL19" i="23"/>
  <c r="S19" i="23"/>
  <c r="AA19" i="23"/>
  <c r="BK19" i="23"/>
  <c r="H18" i="23"/>
  <c r="G18" i="23"/>
  <c r="BC18" i="23"/>
  <c r="BE19" i="23"/>
  <c r="BJ19" i="23"/>
  <c r="BI19" i="23"/>
  <c r="BH19" i="23"/>
  <c r="BG19" i="23"/>
  <c r="I18" i="23"/>
  <c r="J18" i="23"/>
  <c r="BF19" i="23"/>
  <c r="AX19" i="23"/>
  <c r="AW19" i="23"/>
  <c r="AV19" i="23"/>
  <c r="AU19" i="23"/>
  <c r="AS19" i="23"/>
  <c r="AR19" i="23"/>
  <c r="AQ19" i="23"/>
  <c r="AN19" i="23"/>
  <c r="AM19" i="23"/>
  <c r="AL19" i="23"/>
  <c r="AK19" i="23"/>
  <c r="AI19" i="23"/>
  <c r="AH19" i="23"/>
  <c r="AF19" i="23"/>
  <c r="Y19" i="23"/>
  <c r="Z19" i="23"/>
  <c r="X19" i="23"/>
  <c r="R19" i="23"/>
  <c r="P19" i="23"/>
  <c r="O19" i="23"/>
  <c r="N19" i="23"/>
  <c r="F19" i="23"/>
  <c r="E19" i="23"/>
  <c r="D19" i="23"/>
  <c r="C19" i="23"/>
  <c r="B19" i="23"/>
  <c r="H17" i="23"/>
  <c r="G17" i="23"/>
  <c r="BC17" i="23"/>
  <c r="BD17" i="23"/>
  <c r="Q17" i="23"/>
  <c r="V17" i="23"/>
  <c r="W17" i="23"/>
  <c r="AD17" i="23"/>
  <c r="I17" i="23"/>
  <c r="M17" i="23"/>
  <c r="BN17" i="23"/>
  <c r="U17" i="23"/>
  <c r="AC17" i="23"/>
  <c r="L17" i="23"/>
  <c r="BM17" i="23"/>
  <c r="T17" i="23"/>
  <c r="AB17" i="23"/>
  <c r="K17" i="23"/>
  <c r="BL17" i="23"/>
  <c r="S17" i="23"/>
  <c r="AA17" i="23"/>
  <c r="J17" i="23"/>
  <c r="BK17" i="23"/>
  <c r="H16" i="23"/>
  <c r="G16" i="23"/>
  <c r="BC16" i="23"/>
  <c r="BE17" i="23"/>
  <c r="BJ17" i="23"/>
  <c r="BI17" i="23"/>
  <c r="BH17" i="23"/>
  <c r="BG17" i="23"/>
  <c r="I16" i="23"/>
  <c r="J16" i="23"/>
  <c r="BF17" i="23"/>
  <c r="AX17" i="23"/>
  <c r="AW17" i="23"/>
  <c r="AV17" i="23"/>
  <c r="AU17" i="23"/>
  <c r="AS17" i="23"/>
  <c r="AR17" i="23"/>
  <c r="AQ17" i="23"/>
  <c r="AN17" i="23"/>
  <c r="AM17" i="23"/>
  <c r="AL17" i="23"/>
  <c r="AK17" i="23"/>
  <c r="AI17" i="23"/>
  <c r="AH17" i="23"/>
  <c r="AF17" i="23"/>
  <c r="Y17" i="23"/>
  <c r="Z17" i="23"/>
  <c r="X17" i="23"/>
  <c r="R17" i="23"/>
  <c r="P17" i="23"/>
  <c r="O17" i="23"/>
  <c r="G10" i="13"/>
  <c r="N17" i="23"/>
  <c r="F17" i="23"/>
  <c r="E17" i="23"/>
  <c r="D17" i="23"/>
  <c r="C17" i="23"/>
  <c r="B17" i="23"/>
  <c r="H15" i="23"/>
  <c r="G15" i="23"/>
  <c r="BC15" i="23"/>
  <c r="BD15" i="23"/>
  <c r="Q15" i="23"/>
  <c r="V15" i="23"/>
  <c r="W15" i="23"/>
  <c r="AD15" i="23"/>
  <c r="I15" i="23"/>
  <c r="M15" i="23"/>
  <c r="BN15" i="23"/>
  <c r="U15" i="23"/>
  <c r="AC15" i="23"/>
  <c r="L15" i="23"/>
  <c r="BM15" i="23"/>
  <c r="T15" i="23"/>
  <c r="AB15" i="23"/>
  <c r="K15" i="23"/>
  <c r="BL15" i="23"/>
  <c r="S15" i="23"/>
  <c r="AA15" i="23"/>
  <c r="J15" i="23"/>
  <c r="BK15" i="23"/>
  <c r="H14" i="23"/>
  <c r="G14" i="23"/>
  <c r="BC14" i="23"/>
  <c r="BE15" i="23"/>
  <c r="BJ15" i="23"/>
  <c r="BI15" i="23"/>
  <c r="BH15" i="23"/>
  <c r="BG15" i="23"/>
  <c r="I14" i="23"/>
  <c r="J14" i="23"/>
  <c r="BF15" i="23"/>
  <c r="AX15" i="23"/>
  <c r="AW15" i="23"/>
  <c r="AV15" i="23"/>
  <c r="AU15" i="23"/>
  <c r="AS15" i="23"/>
  <c r="AR15" i="23"/>
  <c r="AQ15" i="23"/>
  <c r="AN15" i="23"/>
  <c r="AM15" i="23"/>
  <c r="AL15" i="23"/>
  <c r="AK15" i="23"/>
  <c r="AI15" i="23"/>
  <c r="AH15" i="23"/>
  <c r="AF15" i="23"/>
  <c r="Y15" i="23"/>
  <c r="Z15" i="23"/>
  <c r="X15" i="23"/>
  <c r="R15" i="23"/>
  <c r="P15" i="23"/>
  <c r="O15" i="23"/>
  <c r="N15" i="23"/>
  <c r="F15" i="23"/>
  <c r="E15" i="23"/>
  <c r="D15" i="23"/>
  <c r="C15" i="23"/>
  <c r="B15" i="23"/>
  <c r="H13" i="23"/>
  <c r="G13" i="23"/>
  <c r="BC13" i="23"/>
  <c r="BD13" i="23"/>
  <c r="Q13" i="23"/>
  <c r="V13" i="23"/>
  <c r="W13" i="23"/>
  <c r="AD13" i="23"/>
  <c r="I13" i="23"/>
  <c r="M13" i="23"/>
  <c r="BN13" i="23"/>
  <c r="U13" i="23"/>
  <c r="AC13" i="23"/>
  <c r="L13" i="23"/>
  <c r="BM13" i="23"/>
  <c r="T13" i="23"/>
  <c r="AB13" i="23"/>
  <c r="K13" i="23"/>
  <c r="BL13" i="23"/>
  <c r="S13" i="23"/>
  <c r="AA13" i="23"/>
  <c r="J13" i="23"/>
  <c r="BK13" i="23"/>
  <c r="H12" i="23"/>
  <c r="G12" i="23"/>
  <c r="BC12" i="23"/>
  <c r="BE13" i="23"/>
  <c r="BJ13" i="23"/>
  <c r="BI13" i="23"/>
  <c r="BH13" i="23"/>
  <c r="BG13" i="23"/>
  <c r="I12" i="23"/>
  <c r="J12" i="23"/>
  <c r="BF13" i="23"/>
  <c r="AX13" i="23"/>
  <c r="AW13" i="23"/>
  <c r="AV13" i="23"/>
  <c r="AU13" i="23"/>
  <c r="AS13" i="23"/>
  <c r="AR13" i="23"/>
  <c r="AQ13" i="23"/>
  <c r="AN13" i="23"/>
  <c r="AM13" i="23"/>
  <c r="AL13" i="23"/>
  <c r="AK13" i="23"/>
  <c r="AI13" i="23"/>
  <c r="AH13" i="23"/>
  <c r="AF13" i="23"/>
  <c r="Y13" i="23"/>
  <c r="Z13" i="23"/>
  <c r="X13" i="23"/>
  <c r="R13" i="23"/>
  <c r="P13" i="23"/>
  <c r="O13" i="23"/>
  <c r="N13" i="23"/>
  <c r="F13" i="23"/>
  <c r="E13" i="23"/>
  <c r="D13" i="23"/>
  <c r="C13" i="23"/>
  <c r="B13" i="23"/>
  <c r="H11" i="23"/>
  <c r="G11" i="23"/>
  <c r="BC11" i="23"/>
  <c r="BD11" i="23"/>
  <c r="Q11" i="23"/>
  <c r="V11" i="23"/>
  <c r="W11" i="23"/>
  <c r="AD11" i="23"/>
  <c r="I11" i="23"/>
  <c r="M11" i="23"/>
  <c r="BN11" i="23"/>
  <c r="U11" i="23"/>
  <c r="AC11" i="23"/>
  <c r="L11" i="23"/>
  <c r="BM11" i="23"/>
  <c r="T11" i="23"/>
  <c r="AB11" i="23"/>
  <c r="K11" i="23"/>
  <c r="BL11" i="23"/>
  <c r="S11" i="23"/>
  <c r="AA11" i="23"/>
  <c r="J11" i="23"/>
  <c r="BK11" i="23"/>
  <c r="H10" i="23"/>
  <c r="G10" i="23"/>
  <c r="BC10" i="23"/>
  <c r="BE11" i="23"/>
  <c r="BJ11" i="23"/>
  <c r="BI11" i="23"/>
  <c r="BH11" i="23"/>
  <c r="BG11" i="23"/>
  <c r="I10" i="23"/>
  <c r="J10" i="23"/>
  <c r="BF11" i="23"/>
  <c r="AX11" i="23"/>
  <c r="AW11" i="23"/>
  <c r="AV11" i="23"/>
  <c r="AU11" i="23"/>
  <c r="AS11" i="23"/>
  <c r="AR11" i="23"/>
  <c r="AQ11" i="23"/>
  <c r="AN11" i="23"/>
  <c r="AM11" i="23"/>
  <c r="AL11" i="23"/>
  <c r="AK11" i="23"/>
  <c r="AI11" i="23"/>
  <c r="AH11" i="23"/>
  <c r="AF11" i="23"/>
  <c r="Y11" i="23"/>
  <c r="Z11" i="23"/>
  <c r="X11" i="23"/>
  <c r="R11" i="23"/>
  <c r="P11" i="23"/>
  <c r="O11" i="23"/>
  <c r="N11" i="23"/>
  <c r="F11" i="23"/>
  <c r="E11" i="23"/>
  <c r="D11" i="23"/>
  <c r="C11" i="23"/>
  <c r="B11" i="23"/>
  <c r="H9" i="23"/>
  <c r="G9" i="23"/>
  <c r="BC9" i="23"/>
  <c r="BD9" i="23"/>
  <c r="Q9" i="23"/>
  <c r="V9" i="23"/>
  <c r="W9" i="23"/>
  <c r="AD9" i="23"/>
  <c r="I9" i="23"/>
  <c r="M9" i="23"/>
  <c r="BN9" i="23"/>
  <c r="U9" i="23"/>
  <c r="AC9" i="23"/>
  <c r="L9" i="23"/>
  <c r="BM9" i="23"/>
  <c r="T9" i="23"/>
  <c r="AB9" i="23"/>
  <c r="K9" i="23"/>
  <c r="BL9" i="23"/>
  <c r="S9" i="23"/>
  <c r="AA9" i="23"/>
  <c r="J9" i="23"/>
  <c r="BK9" i="23"/>
  <c r="H8" i="23"/>
  <c r="G8" i="23"/>
  <c r="BC8" i="23"/>
  <c r="BE9" i="23"/>
  <c r="BJ9" i="23"/>
  <c r="BI9" i="23"/>
  <c r="BH9" i="23"/>
  <c r="BG9" i="23"/>
  <c r="I8" i="23"/>
  <c r="J8" i="23"/>
  <c r="BF9" i="23"/>
  <c r="AX9" i="23"/>
  <c r="AW9" i="23"/>
  <c r="AV9" i="23"/>
  <c r="AU9" i="23"/>
  <c r="AS9" i="23"/>
  <c r="AR9" i="23"/>
  <c r="AQ9" i="23"/>
  <c r="AN9" i="23"/>
  <c r="AM9" i="23"/>
  <c r="AL9" i="23"/>
  <c r="AK9" i="23"/>
  <c r="AI9" i="23"/>
  <c r="AH9" i="23"/>
  <c r="AF9" i="23"/>
  <c r="Y9" i="23"/>
  <c r="Z9" i="23"/>
  <c r="X9" i="23"/>
  <c r="R9" i="23"/>
  <c r="P9" i="23"/>
  <c r="O9" i="23"/>
  <c r="G9" i="13"/>
  <c r="N9" i="23"/>
  <c r="F9" i="23"/>
  <c r="E9" i="23"/>
  <c r="D9" i="23"/>
  <c r="C9" i="23"/>
  <c r="B9" i="23"/>
  <c r="H7" i="23"/>
  <c r="G7" i="23"/>
  <c r="BC7" i="23"/>
  <c r="BD7" i="23"/>
  <c r="Q7" i="23"/>
  <c r="V7" i="23"/>
  <c r="W7" i="23"/>
  <c r="AD7" i="23"/>
  <c r="I7" i="23"/>
  <c r="M7" i="23"/>
  <c r="BN7" i="23"/>
  <c r="U7" i="23"/>
  <c r="AC7" i="23"/>
  <c r="L7" i="23"/>
  <c r="BM7" i="23"/>
  <c r="T7" i="23"/>
  <c r="AB7" i="23"/>
  <c r="K7" i="23"/>
  <c r="BL7" i="23"/>
  <c r="S7" i="23"/>
  <c r="AA7" i="23"/>
  <c r="J7" i="23"/>
  <c r="BK7" i="23"/>
  <c r="H6" i="23"/>
  <c r="G6" i="23"/>
  <c r="BC6" i="23"/>
  <c r="BE7" i="23"/>
  <c r="BJ7" i="23"/>
  <c r="BI7" i="23"/>
  <c r="BH7" i="23"/>
  <c r="BG7" i="23"/>
  <c r="I6" i="23"/>
  <c r="J6"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H5" i="23"/>
  <c r="BR5" i="23"/>
  <c r="G5" i="23"/>
  <c r="BC5" i="23"/>
  <c r="BD5" i="23"/>
  <c r="Q5" i="23"/>
  <c r="V5" i="23"/>
  <c r="W5" i="23"/>
  <c r="AD5" i="23"/>
  <c r="I5" i="23"/>
  <c r="M5" i="23"/>
  <c r="BN5" i="23"/>
  <c r="U5" i="23"/>
  <c r="AC5" i="23"/>
  <c r="L5" i="23"/>
  <c r="BM5" i="23"/>
  <c r="T5" i="23"/>
  <c r="AB5" i="23"/>
  <c r="K5" i="23"/>
  <c r="BL5" i="23"/>
  <c r="S5" i="23"/>
  <c r="AA5" i="23"/>
  <c r="J5" i="23"/>
  <c r="BK5" i="23"/>
  <c r="H4"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P5" i="23"/>
  <c r="O5" i="23"/>
  <c r="G4" i="13"/>
  <c r="N5" i="23"/>
  <c r="F5" i="23"/>
  <c r="E5" i="23"/>
  <c r="D5" i="23"/>
  <c r="C5" i="23"/>
  <c r="B5" i="23"/>
  <c r="H3" i="23"/>
  <c r="BR3" i="23"/>
  <c r="G3" i="23"/>
  <c r="BC3" i="23"/>
  <c r="BD3" i="23"/>
  <c r="Q3" i="23"/>
  <c r="V3" i="23"/>
  <c r="W3" i="23"/>
  <c r="AD3" i="23"/>
  <c r="I3" i="23"/>
  <c r="M3" i="23"/>
  <c r="BN3" i="23"/>
  <c r="U3" i="23"/>
  <c r="AC3" i="23"/>
  <c r="L3" i="23"/>
  <c r="BM3" i="23"/>
  <c r="T3" i="23"/>
  <c r="AB3" i="23"/>
  <c r="K3" i="23"/>
  <c r="BL3" i="23"/>
  <c r="S3" i="23"/>
  <c r="AA3" i="23"/>
  <c r="J3" i="23"/>
  <c r="BK3" i="23"/>
  <c r="H2" i="23"/>
  <c r="G2" i="23"/>
  <c r="BC2" i="23"/>
  <c r="BE3" i="23"/>
  <c r="BJ3" i="23"/>
  <c r="BI3" i="23"/>
  <c r="BH3" i="23"/>
  <c r="BG3" i="23"/>
  <c r="I2" i="23"/>
  <c r="J2" i="23"/>
  <c r="BF3" i="23"/>
  <c r="AX3" i="23"/>
  <c r="AW3" i="23"/>
  <c r="AV3" i="23"/>
  <c r="AU3" i="23"/>
  <c r="AS3" i="23"/>
  <c r="AR3" i="23"/>
  <c r="AQ3" i="23"/>
  <c r="AN3" i="23"/>
  <c r="AM3" i="23"/>
  <c r="AL3" i="23"/>
  <c r="AK3" i="23"/>
  <c r="AI3" i="23"/>
  <c r="AH3" i="23"/>
  <c r="AF3" i="23"/>
  <c r="Y3" i="23"/>
  <c r="Z3" i="23"/>
  <c r="X3" i="23"/>
  <c r="R3" i="23"/>
  <c r="P3" i="23"/>
  <c r="O3" i="23"/>
  <c r="N3" i="23"/>
  <c r="F3" i="23"/>
  <c r="E3" i="23"/>
  <c r="D3" i="23"/>
  <c r="C3" i="23"/>
  <c r="B3" i="23"/>
  <c r="F19" i="57"/>
  <c r="E19" i="57"/>
  <c r="B19" i="57"/>
  <c r="F30" i="57"/>
  <c r="E30" i="57"/>
  <c r="B30" i="57"/>
  <c r="F27" i="57"/>
  <c r="E27" i="57"/>
  <c r="B27" i="57"/>
  <c r="F26" i="57"/>
  <c r="E26" i="57"/>
  <c r="B26" i="57"/>
  <c r="F23" i="57"/>
  <c r="E23" i="57"/>
  <c r="B23" i="57"/>
  <c r="F22" i="57"/>
  <c r="E22" i="57"/>
  <c r="B22" i="57"/>
  <c r="F18" i="57"/>
  <c r="E18" i="57"/>
  <c r="B18" i="57"/>
  <c r="F15" i="57"/>
  <c r="E15" i="57"/>
  <c r="B15" i="57"/>
  <c r="F14" i="57"/>
  <c r="E14" i="57"/>
  <c r="B14" i="57"/>
  <c r="F11" i="57"/>
  <c r="E11" i="57"/>
  <c r="B11" i="57"/>
  <c r="F10" i="57"/>
  <c r="E10" i="57"/>
  <c r="B10" i="57"/>
  <c r="F7" i="57"/>
  <c r="E7" i="57"/>
  <c r="B7" i="57"/>
  <c r="F6" i="57"/>
  <c r="E6" i="57"/>
  <c r="B6" i="57"/>
  <c r="F3" i="57"/>
  <c r="E3" i="57"/>
  <c r="B3" i="57"/>
  <c r="E93" i="54"/>
  <c r="D93" i="54"/>
  <c r="B93" i="54"/>
  <c r="E92" i="54"/>
  <c r="D92" i="54"/>
  <c r="B92" i="54"/>
  <c r="E91" i="54"/>
  <c r="D91" i="54"/>
  <c r="B91" i="54"/>
  <c r="E90" i="54"/>
  <c r="D90" i="54"/>
  <c r="B90" i="54"/>
  <c r="E85" i="54"/>
  <c r="D85" i="54"/>
  <c r="B85" i="54"/>
  <c r="E84" i="54"/>
  <c r="D84" i="54"/>
  <c r="B84" i="54"/>
  <c r="E83" i="54"/>
  <c r="D83" i="54"/>
  <c r="B83" i="54"/>
  <c r="E82" i="54"/>
  <c r="D82" i="54"/>
  <c r="B82" i="54"/>
  <c r="E76" i="54"/>
  <c r="D76" i="54"/>
  <c r="B76" i="54"/>
  <c r="E75" i="54"/>
  <c r="D75" i="54"/>
  <c r="B75" i="54"/>
  <c r="E74" i="54"/>
  <c r="D74" i="54"/>
  <c r="B74" i="54"/>
  <c r="E73" i="54"/>
  <c r="D73" i="54"/>
  <c r="B73" i="54"/>
  <c r="E72" i="54"/>
  <c r="D72" i="54"/>
  <c r="B72" i="54"/>
  <c r="E66" i="54"/>
  <c r="D66" i="54"/>
  <c r="B66" i="54"/>
  <c r="E65" i="54"/>
  <c r="D65" i="54"/>
  <c r="B65" i="54"/>
  <c r="E64" i="54"/>
  <c r="D64" i="54"/>
  <c r="B64" i="54"/>
  <c r="E63" i="54"/>
  <c r="D63" i="54"/>
  <c r="B63" i="54"/>
  <c r="E62" i="54"/>
  <c r="D62" i="54"/>
  <c r="B62" i="54"/>
  <c r="E56" i="54"/>
  <c r="D56" i="54"/>
  <c r="B56" i="54"/>
  <c r="E55" i="54"/>
  <c r="D55" i="54"/>
  <c r="B55" i="54"/>
  <c r="E54" i="54"/>
  <c r="D54" i="54"/>
  <c r="B54" i="54"/>
  <c r="E53" i="54"/>
  <c r="D53" i="54"/>
  <c r="B53" i="54"/>
  <c r="E52" i="54"/>
  <c r="D52" i="54"/>
  <c r="B52" i="54"/>
  <c r="E46" i="54"/>
  <c r="D46" i="54"/>
  <c r="B46" i="54"/>
  <c r="E45" i="54"/>
  <c r="D45" i="54"/>
  <c r="B45" i="54"/>
  <c r="E44" i="54"/>
  <c r="D44" i="54"/>
  <c r="B44" i="54"/>
  <c r="E43" i="54"/>
  <c r="D43" i="54"/>
  <c r="B43" i="54"/>
  <c r="E42" i="54"/>
  <c r="D42" i="54"/>
  <c r="B42" i="54"/>
  <c r="E36" i="54"/>
  <c r="D36" i="54"/>
  <c r="B36" i="54"/>
  <c r="E35" i="54"/>
  <c r="D35" i="54"/>
  <c r="B35" i="54"/>
  <c r="E34" i="54"/>
  <c r="D34" i="54"/>
  <c r="B34" i="54"/>
  <c r="E33" i="54"/>
  <c r="D33" i="54"/>
  <c r="B33" i="54"/>
  <c r="E32" i="54"/>
  <c r="D32" i="54"/>
  <c r="B32" i="54"/>
  <c r="E26" i="54"/>
  <c r="D26" i="54"/>
  <c r="B26" i="54"/>
  <c r="E25" i="54"/>
  <c r="D25" i="54"/>
  <c r="B25" i="54"/>
  <c r="E24" i="54"/>
  <c r="D24" i="54"/>
  <c r="B24" i="54"/>
  <c r="E23" i="54"/>
  <c r="D23" i="54"/>
  <c r="B23" i="54"/>
  <c r="E22" i="54"/>
  <c r="D22" i="54"/>
  <c r="B22" i="54"/>
  <c r="E6" i="54"/>
  <c r="D6" i="54"/>
  <c r="B6" i="54"/>
  <c r="H20" i="53"/>
  <c r="G20" i="53"/>
  <c r="E20" i="53"/>
  <c r="H18" i="53"/>
  <c r="G18" i="53"/>
  <c r="E18" i="53"/>
  <c r="H16" i="53"/>
  <c r="G16" i="53"/>
  <c r="E16" i="53"/>
  <c r="H14" i="53"/>
  <c r="G14" i="53"/>
  <c r="E14" i="53"/>
  <c r="H12" i="53"/>
  <c r="G12" i="53"/>
  <c r="E12" i="53"/>
  <c r="H10" i="53"/>
  <c r="G10" i="53"/>
  <c r="E10" i="53"/>
  <c r="H8" i="53"/>
  <c r="G8" i="53"/>
  <c r="E8" i="53"/>
  <c r="H6" i="53"/>
  <c r="G6" i="53"/>
  <c r="E6" i="53"/>
  <c r="K20" i="52"/>
  <c r="J20" i="52"/>
  <c r="H20" i="52"/>
  <c r="E20" i="52"/>
  <c r="K18" i="52"/>
  <c r="J18" i="52"/>
  <c r="H18" i="52"/>
  <c r="E18" i="52"/>
  <c r="K16" i="52"/>
  <c r="J16" i="52"/>
  <c r="H16" i="52"/>
  <c r="E16" i="52"/>
  <c r="K14" i="52"/>
  <c r="J14" i="52"/>
  <c r="H14" i="52"/>
  <c r="E14" i="52"/>
  <c r="K12" i="52"/>
  <c r="J12" i="52"/>
  <c r="H12" i="52"/>
  <c r="E12" i="52"/>
  <c r="K10" i="52"/>
  <c r="J10" i="52"/>
  <c r="H10" i="52"/>
  <c r="E10" i="52"/>
  <c r="K8" i="52"/>
  <c r="J8" i="52"/>
  <c r="H8" i="52"/>
  <c r="E8" i="52"/>
  <c r="K6" i="52"/>
  <c r="J6" i="52"/>
  <c r="H6" i="52"/>
  <c r="E6" i="52"/>
  <c r="BD20" i="23"/>
  <c r="Q20" i="23"/>
  <c r="V20" i="23"/>
  <c r="W20" i="23"/>
  <c r="AD20" i="23"/>
  <c r="M20" i="23"/>
  <c r="BN20" i="23"/>
  <c r="U20" i="23"/>
  <c r="AC20" i="23"/>
  <c r="L20" i="23"/>
  <c r="BM20" i="23"/>
  <c r="T20" i="23"/>
  <c r="AB20" i="23"/>
  <c r="K20" i="23"/>
  <c r="BL20" i="23"/>
  <c r="S20" i="23"/>
  <c r="AA20" i="23"/>
  <c r="BK20" i="23"/>
  <c r="BE20" i="23"/>
  <c r="BJ20" i="23"/>
  <c r="BI20" i="23"/>
  <c r="BH20" i="23"/>
  <c r="BG20" i="23"/>
  <c r="BF20" i="23"/>
  <c r="AX20" i="23"/>
  <c r="AW20" i="23"/>
  <c r="AV20" i="23"/>
  <c r="AU20" i="23"/>
  <c r="AS20" i="23"/>
  <c r="AR20" i="23"/>
  <c r="AQ20" i="23"/>
  <c r="AN20" i="23"/>
  <c r="AM20" i="23"/>
  <c r="AL20" i="23"/>
  <c r="AK20" i="23"/>
  <c r="AI20" i="23"/>
  <c r="AH20" i="23"/>
  <c r="AF20" i="23"/>
  <c r="Y20" i="23"/>
  <c r="Z20" i="23"/>
  <c r="X20" i="23"/>
  <c r="R20" i="23"/>
  <c r="P20" i="23"/>
  <c r="O20" i="23"/>
  <c r="N20" i="23"/>
  <c r="F20" i="23"/>
  <c r="E20" i="23"/>
  <c r="D20" i="23"/>
  <c r="C20" i="23"/>
  <c r="B20" i="23"/>
  <c r="BD18" i="23"/>
  <c r="Q18" i="23"/>
  <c r="V18" i="23"/>
  <c r="W18" i="23"/>
  <c r="AD18" i="23"/>
  <c r="M18" i="23"/>
  <c r="BN18" i="23"/>
  <c r="U18" i="23"/>
  <c r="AC18" i="23"/>
  <c r="L18" i="23"/>
  <c r="BM18" i="23"/>
  <c r="T18" i="23"/>
  <c r="AB18" i="23"/>
  <c r="K18" i="23"/>
  <c r="BL18" i="23"/>
  <c r="S18" i="23"/>
  <c r="AA18" i="23"/>
  <c r="BK18" i="23"/>
  <c r="BE18" i="23"/>
  <c r="BJ18" i="23"/>
  <c r="BI18" i="23"/>
  <c r="BH18" i="23"/>
  <c r="BG18" i="23"/>
  <c r="BF18" i="23"/>
  <c r="AX18" i="23"/>
  <c r="AW18" i="23"/>
  <c r="AV18" i="23"/>
  <c r="AU18" i="23"/>
  <c r="AS18" i="23"/>
  <c r="AR18" i="23"/>
  <c r="AQ18" i="23"/>
  <c r="AN18" i="23"/>
  <c r="AM18" i="23"/>
  <c r="AL18" i="23"/>
  <c r="AK18" i="23"/>
  <c r="AI18" i="23"/>
  <c r="AH18" i="23"/>
  <c r="AF18" i="23"/>
  <c r="Y18" i="23"/>
  <c r="Z18" i="23"/>
  <c r="X18" i="23"/>
  <c r="R18" i="23"/>
  <c r="P18" i="23"/>
  <c r="O18" i="23"/>
  <c r="N18" i="23"/>
  <c r="F18" i="23"/>
  <c r="E18" i="23"/>
  <c r="D18" i="23"/>
  <c r="C18" i="23"/>
  <c r="B18" i="23"/>
  <c r="BD16" i="23"/>
  <c r="Q16" i="23"/>
  <c r="V16" i="23"/>
  <c r="W16" i="23"/>
  <c r="AD16" i="23"/>
  <c r="M16" i="23"/>
  <c r="BN16" i="23"/>
  <c r="U16" i="23"/>
  <c r="AC16" i="23"/>
  <c r="L16" i="23"/>
  <c r="BM16" i="23"/>
  <c r="T16" i="23"/>
  <c r="AB16" i="23"/>
  <c r="K16" i="23"/>
  <c r="BL16" i="23"/>
  <c r="S16" i="23"/>
  <c r="AA16" i="23"/>
  <c r="BK16" i="23"/>
  <c r="BE16" i="23"/>
  <c r="BJ16" i="23"/>
  <c r="BI16" i="23"/>
  <c r="BH16" i="23"/>
  <c r="BG16" i="23"/>
  <c r="BF16" i="23"/>
  <c r="AX16" i="23"/>
  <c r="AW16" i="23"/>
  <c r="AV16" i="23"/>
  <c r="AU16" i="23"/>
  <c r="AS16" i="23"/>
  <c r="AR16" i="23"/>
  <c r="AQ16" i="23"/>
  <c r="AN16" i="23"/>
  <c r="AM16" i="23"/>
  <c r="AL16" i="23"/>
  <c r="AK16" i="23"/>
  <c r="AI16" i="23"/>
  <c r="AH16" i="23"/>
  <c r="AF16" i="23"/>
  <c r="Y16" i="23"/>
  <c r="Z16" i="23"/>
  <c r="X16" i="23"/>
  <c r="R16" i="23"/>
  <c r="P16" i="23"/>
  <c r="O16" i="23"/>
  <c r="G3" i="13"/>
  <c r="N16" i="23"/>
  <c r="F16" i="23"/>
  <c r="E16" i="23"/>
  <c r="D16" i="23"/>
  <c r="C16" i="23"/>
  <c r="B16" i="23"/>
  <c r="BD14" i="23"/>
  <c r="Q14" i="23"/>
  <c r="V14" i="23"/>
  <c r="W14" i="23"/>
  <c r="AD14" i="23"/>
  <c r="M14" i="23"/>
  <c r="BN14" i="23"/>
  <c r="U14" i="23"/>
  <c r="AC14" i="23"/>
  <c r="L14" i="23"/>
  <c r="BM14" i="23"/>
  <c r="T14" i="23"/>
  <c r="AB14" i="23"/>
  <c r="K14" i="23"/>
  <c r="BL14" i="23"/>
  <c r="S14" i="23"/>
  <c r="AA14" i="23"/>
  <c r="BK14" i="23"/>
  <c r="BE14" i="23"/>
  <c r="BJ14" i="23"/>
  <c r="BI14" i="23"/>
  <c r="BH14" i="23"/>
  <c r="BG14" i="23"/>
  <c r="BF14" i="23"/>
  <c r="AX14" i="23"/>
  <c r="AW14" i="23"/>
  <c r="AV14" i="23"/>
  <c r="AU14" i="23"/>
  <c r="AS14" i="23"/>
  <c r="AR14" i="23"/>
  <c r="AQ14" i="23"/>
  <c r="AN14" i="23"/>
  <c r="AM14" i="23"/>
  <c r="AL14" i="23"/>
  <c r="AK14" i="23"/>
  <c r="AI14" i="23"/>
  <c r="AH14" i="23"/>
  <c r="AF14" i="23"/>
  <c r="Y14" i="23"/>
  <c r="Z14" i="23"/>
  <c r="X14" i="23"/>
  <c r="R14" i="23"/>
  <c r="P14" i="23"/>
  <c r="O14" i="23"/>
  <c r="N14" i="23"/>
  <c r="F14" i="23"/>
  <c r="E14" i="23"/>
  <c r="D14" i="23"/>
  <c r="C14" i="23"/>
  <c r="B14" i="23"/>
  <c r="BD12" i="23"/>
  <c r="Q12" i="23"/>
  <c r="V12" i="23"/>
  <c r="W12" i="23"/>
  <c r="AD12" i="23"/>
  <c r="M12" i="23"/>
  <c r="BN12" i="23"/>
  <c r="U12" i="23"/>
  <c r="AC12" i="23"/>
  <c r="L12" i="23"/>
  <c r="BM12" i="23"/>
  <c r="T12" i="23"/>
  <c r="AB12" i="23"/>
  <c r="K12" i="23"/>
  <c r="BL12" i="23"/>
  <c r="S12" i="23"/>
  <c r="AA12" i="23"/>
  <c r="BK12" i="23"/>
  <c r="BE12" i="23"/>
  <c r="BJ12" i="23"/>
  <c r="BI12" i="23"/>
  <c r="BH12" i="23"/>
  <c r="BG12"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BD10" i="23"/>
  <c r="Q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I2" i="56"/>
  <c r="BR4" i="23"/>
  <c r="BR2" i="23"/>
  <c r="E2" i="54"/>
  <c r="E16" i="54"/>
  <c r="E15" i="54"/>
  <c r="E14" i="54"/>
  <c r="E13" i="54"/>
  <c r="E12" i="54"/>
  <c r="E5" i="54"/>
  <c r="E4" i="54"/>
  <c r="E3" i="54"/>
  <c r="D16" i="54"/>
  <c r="B16" i="54"/>
  <c r="B4" i="54"/>
  <c r="D15" i="54"/>
  <c r="B15" i="54"/>
  <c r="D14" i="54"/>
  <c r="B14" i="54"/>
  <c r="D13" i="54"/>
  <c r="B13" i="54"/>
  <c r="D12" i="54"/>
  <c r="B12" i="54"/>
  <c r="D5" i="54"/>
  <c r="D4" i="54"/>
  <c r="D3" i="54"/>
  <c r="B3" i="54"/>
  <c r="G2" i="58"/>
  <c r="U2" i="58"/>
  <c r="BD2" i="23"/>
  <c r="Q2" i="23"/>
  <c r="S2" i="23"/>
  <c r="W2" i="23"/>
  <c r="AA2" i="23"/>
  <c r="BK2" i="23"/>
  <c r="BD4" i="23"/>
  <c r="Q4" i="23"/>
  <c r="S4" i="23"/>
  <c r="W4" i="23"/>
  <c r="AA4" i="23"/>
  <c r="BK4" i="23"/>
  <c r="J4" i="3"/>
  <c r="J3" i="3"/>
  <c r="J5" i="3"/>
  <c r="J2" i="3"/>
  <c r="H5" i="3"/>
  <c r="C5" i="3"/>
  <c r="F5" i="3"/>
  <c r="E5" i="3"/>
  <c r="D5" i="3"/>
  <c r="A5" i="3"/>
  <c r="H4" i="3"/>
  <c r="C4" i="3"/>
  <c r="F4" i="3"/>
  <c r="E4" i="3"/>
  <c r="D4" i="3"/>
  <c r="A4" i="3"/>
  <c r="H3" i="3"/>
  <c r="C3" i="3"/>
  <c r="F3" i="3"/>
  <c r="E3" i="3"/>
  <c r="D3" i="3"/>
  <c r="A3" i="3"/>
  <c r="F2" i="57"/>
  <c r="E2" i="57"/>
  <c r="B2" i="57"/>
  <c r="C2" i="3"/>
  <c r="D2" i="3"/>
  <c r="T4" i="23"/>
  <c r="AB4" i="23"/>
  <c r="K4" i="23"/>
  <c r="BL4" i="23"/>
  <c r="T2" i="23"/>
  <c r="AB2" i="23"/>
  <c r="K2" i="23"/>
  <c r="BL2" i="23"/>
  <c r="V4" i="23"/>
  <c r="AD4" i="23"/>
  <c r="M4" i="23"/>
  <c r="BN4" i="23"/>
  <c r="V2" i="23"/>
  <c r="AD2" i="23"/>
  <c r="M2" i="23"/>
  <c r="BN2" i="23"/>
  <c r="AL4" i="23"/>
  <c r="H2" i="3"/>
  <c r="R2" i="58"/>
  <c r="B2" i="58"/>
  <c r="D2" i="54"/>
  <c r="B2" i="54"/>
  <c r="G2" i="53"/>
  <c r="AH4" i="23"/>
  <c r="AH2" i="23"/>
  <c r="G11" i="13"/>
  <c r="B2" i="23"/>
  <c r="B4" i="23"/>
  <c r="R4" i="23"/>
  <c r="R2" i="23"/>
  <c r="J2" i="52"/>
  <c r="AQ2" i="23"/>
  <c r="H2" i="53"/>
  <c r="H4" i="53"/>
  <c r="G4" i="53"/>
  <c r="E4" i="53"/>
  <c r="AU4" i="23"/>
  <c r="K4" i="52"/>
  <c r="J4" i="52"/>
  <c r="H4" i="52"/>
  <c r="E4" i="52"/>
  <c r="AQ4" i="23"/>
  <c r="U4" i="23"/>
  <c r="AC4" i="23"/>
  <c r="L4" i="23"/>
  <c r="BM4" i="23"/>
  <c r="BE4" i="23"/>
  <c r="BJ4" i="23"/>
  <c r="BI4" i="23"/>
  <c r="BH4" i="23"/>
  <c r="BG4" i="23"/>
  <c r="BF4" i="23"/>
  <c r="AX4" i="23"/>
  <c r="AW4" i="23"/>
  <c r="AV4" i="23"/>
  <c r="AS4" i="23"/>
  <c r="AR4" i="23"/>
  <c r="AN4" i="23"/>
  <c r="AM4" i="23"/>
  <c r="AK4" i="23"/>
  <c r="AI4" i="23"/>
  <c r="AF4" i="23"/>
  <c r="Y4" i="23"/>
  <c r="Z4" i="23"/>
  <c r="X4" i="23"/>
  <c r="P4" i="23"/>
  <c r="O4" i="23"/>
  <c r="N4" i="23"/>
  <c r="F4" i="23"/>
  <c r="E4" i="23"/>
  <c r="D4" i="23"/>
  <c r="C4"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 r="T13" i="58"/>
  <c r="T2" i="58"/>
  <c r="T8" i="58"/>
  <c r="T11" i="58"/>
  <c r="T10" i="58"/>
  <c r="T9" i="58"/>
  <c r="T7" i="58"/>
  <c r="T6" i="58"/>
  <c r="T5" i="58"/>
  <c r="T4" i="58"/>
  <c r="T3" i="58"/>
  <c r="T14" i="58"/>
  <c r="T15" i="58"/>
  <c r="T16" i="58"/>
  <c r="T17" i="58"/>
  <c r="T18" i="58"/>
  <c r="T19" i="58"/>
  <c r="T20" i="58"/>
  <c r="T21" i="58"/>
  <c r="T22" i="58"/>
</calcChain>
</file>

<file path=xl/sharedStrings.xml><?xml version="1.0" encoding="utf-8"?>
<sst xmlns="http://schemas.openxmlformats.org/spreadsheetml/2006/main" count="1513" uniqueCount="488">
  <si>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</si>
  <si>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</si>
  <si>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</si>
  <si>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</si>
  <si>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</si>
  <si>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</si>
  <si>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</si>
  <si>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</si>
  <si>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</si>
  <si>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</si>
  <si>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</si>
  <si>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</si>
  <si>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</si>
  <si>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</si>
  <si>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</si>
  <si>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</si>
  <si>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</si>
  <si>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</si>
  <si>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</si>
  <si>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</si>
  <si>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</si>
  <si>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</si>
  <si>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</si>
  <si>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</si>
  <si>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</si>
  <si>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</si>
  <si>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</si>
  <si>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</si>
  <si>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</si>
  <si>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</si>
  <si>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</si>
  <si>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</si>
  <si>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</si>
  <si>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</si>
  <si>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</si>
  <si>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</si>
  <si>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</si>
  <si>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</si>
  <si>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</si>
  <si>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</si>
  <si>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</si>
  <si>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</si>
  <si>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</si>
  <si>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</si>
  <si>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</si>
  <si>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</si>
  <si>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</si>
  <si>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</si>
  <si>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</si>
  <si>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</si>
  <si>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</si>
  <si>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</si>
  <si>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</si>
  <si>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</si>
  <si>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</si>
  <si>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</si>
  <si>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</si>
  <si>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</si>
  <si>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</si>
  <si>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</si>
  <si>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</si>
  <si>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</si>
  <si>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</si>
  <si>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</si>
  <si>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</si>
  <si>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</si>
  <si>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</si>
  <si>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</si>
  <si>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</si>
  <si>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</si>
  <si>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</si>
  <si>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</si>
  <si>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</si>
  <si>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</si>
  <si>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</si>
  <si>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</si>
  <si>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</si>
  <si>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</si>
  <si>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</si>
  <si>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</si>
  <si>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</si>
  <si>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</si>
  <si>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</si>
  <si>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</si>
  <si>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</si>
  <si>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</si>
  <si>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</si>
  <si>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</si>
  <si>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</si>
  <si>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</si>
  <si>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</si>
  <si>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</si>
  <si>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</si>
  <si>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</si>
  <si>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</si>
  <si>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</si>
  <si>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</si>
  <si>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</si>
  <si>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</si>
  <si>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</si>
  <si>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</si>
  <si>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</si>
  <si>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</si>
  <si>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</si>
  <si>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</si>
  <si>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</si>
  <si>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</si>
  <si>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</si>
  <si>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</si>
  <si>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</si>
  <si>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</si>
  <si>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</si>
  <si>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</si>
  <si>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</si>
  <si>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</si>
  <si>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</si>
  <si>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</si>
  <si>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</si>
  <si>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</si>
  <si>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</si>
  <si>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</si>
  <si>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</si>
  <si>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</si>
  <si>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</si>
  <si>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</si>
  <si>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</si>
  <si>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</si>
  <si>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</si>
  <si>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</si>
  <si>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</si>
  <si>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</si>
  <si>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</si>
  <si>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</si>
  <si>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</si>
  <si>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</si>
  <si>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</si>
  <si>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</si>
  <si>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</si>
  <si>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</si>
  <si>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</si>
  <si>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</si>
  <si>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</si>
  <si>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</si>
  <si>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</si>
  <si>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</si>
  <si>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</si>
  <si>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</si>
  <si>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</si>
  <si>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</si>
  <si>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</si>
  <si>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</si>
  <si>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</si>
  <si>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</si>
  <si>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</si>
  <si>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</si>
  <si>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</si>
  <si>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</si>
  <si>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</si>
  <si>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</si>
  <si>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</si>
  <si>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</si>
  <si>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</si>
  <si>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</si>
  <si>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</si>
  <si>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</si>
  <si>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</si>
  <si>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</si>
  <si>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</si>
  <si>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</si>
  <si>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</si>
  <si>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</si>
  <si>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</si>
  <si>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</si>
  <si>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</si>
  <si>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</si>
  <si>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</si>
  <si>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</si>
  <si>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</si>
  <si>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</si>
  <si>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</si>
  <si>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</si>
  <si>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</si>
  <si>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</si>
  <si>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</si>
  <si>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</si>
  <si>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</si>
  <si>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</si>
  <si>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</si>
  <si>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</si>
  <si>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</si>
  <si>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</si>
  <si>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</si>
  <si>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</si>
  <si>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</si>
  <si>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</si>
  <si>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</si>
  <si>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</si>
  <si>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</si>
  <si>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</si>
  <si>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</si>
  <si>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</si>
  <si>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</si>
  <si>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</si>
  <si>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</si>
  <si>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</si>
  <si>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</si>
  <si>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</si>
  <si>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</si>
  <si>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</si>
  <si>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</si>
  <si>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</si>
  <si>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</si>
  <si>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</si>
  <si>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</si>
  <si>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</si>
  <si>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</si>
  <si>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</si>
  <si>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</si>
  <si>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</si>
  <si>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</si>
  <si>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</si>
  <si>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</si>
  <si>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</si>
  <si>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</si>
  <si>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</si>
  <si>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</si>
  <si>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</si>
  <si>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</si>
  <si>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</si>
  <si>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</si>
  <si>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</si>
  <si>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</si>
  <si>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</si>
  <si>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</si>
  <si>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</si>
  <si>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</si>
  <si>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</si>
  <si>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</si>
  <si>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</si>
  <si>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</si>
  <si>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</si>
  <si>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</si>
  <si>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</si>
  <si>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</si>
  <si>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</si>
  <si>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</si>
  <si>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</si>
  <si>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</si>
  <si>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</si>
  <si>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</si>
  <si>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</si>
  <si>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</si>
  <si>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</si>
  <si>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</si>
  <si>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</si>
  <si>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</si>
  <si>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</si>
  <si>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</si>
  <si>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</si>
  <si>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</si>
  <si>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</si>
  <si>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</si>
  <si>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</si>
  <si>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</si>
  <si>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</si>
  <si>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</si>
  <si>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</si>
  <si>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</si>
  <si>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</si>
  <si>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</si>
  <si>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</si>
  <si>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</si>
  <si>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</si>
  <si>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</si>
  <si>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</si>
  <si>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</si>
  <si>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</si>
  <si>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</si>
  <si>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</si>
  <si>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</si>
  <si>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</si>
  <si>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</si>
  <si>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</si>
  <si>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</si>
  <si>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</si>
  <si>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</si>
  <si>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</si>
  <si>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</si>
  <si>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</si>
  <si>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</si>
  <si>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</si>
  <si>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</si>
  <si>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</si>
  <si>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</si>
  <si>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</si>
  <si>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</si>
  <si>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</si>
  <si>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</si>
  <si>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</si>
  <si>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</si>
  <si>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</si>
  <si>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</si>
  <si>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</si>
  <si>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</si>
  <si>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</si>
  <si>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</si>
  <si>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</si>
  <si>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</si>
  <si>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</si>
  <si>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</si>
  <si>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</si>
  <si>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</si>
  <si>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</si>
  <si>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</si>
  <si>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</si>
  <si>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</si>
  <si>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</si>
  <si>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</si>
  <si>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</si>
  <si>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</si>
  <si>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</si>
  <si>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</si>
  <si>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</si>
  <si>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</si>
  <si>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</si>
  <si>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</si>
  <si>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</si>
  <si>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</si>
  <si>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</si>
  <si>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</si>
  <si>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</si>
  <si>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</si>
  <si>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</si>
  <si>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</si>
  <si>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</si>
  <si>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</si>
  <si>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</si>
  <si>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</si>
  <si>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</si>
  <si>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</si>
  <si>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1.7.0</t>
    <phoneticPr fontId="22"/>
  </si>
  <si>
    <t>[condition:enclose,[condition:quest_id,quest:47012],[condition:unit_attack_target],logic:and]</t>
    <phoneticPr fontId="22"/>
  </si>
  <si>
    <t>[effect:damage_up, target:myself, val:2.0, turn:1, type01:all, option:killer]</t>
    <phoneticPr fontId="22"/>
  </si>
  <si>
    <t>0</t>
    <phoneticPr fontId="22"/>
  </si>
  <si>
    <t>クエスト特攻</t>
    <phoneticPr fontId="22"/>
  </si>
  <si>
    <t>(対象ユニットID)+01</t>
    <rPh sb="1" eb="3">
      <t>タイsy</t>
    </rPh>
    <phoneticPr fontId="22"/>
  </si>
  <si>
    <t>◯◯クエスト ダメージUP</t>
    <phoneticPr fontId="22"/>
  </si>
  <si>
    <t>◯◯クエスト内で自身の全ての攻撃の威力を大UP</t>
    <phoneticPr fontId="22"/>
  </si>
  <si>
    <t>category</t>
    <phoneticPr fontId="22"/>
  </si>
  <si>
    <t>Wedding2017</t>
  </si>
  <si>
    <t>Wedding2017</t>
    <phoneticPr fontId="22"/>
  </si>
  <si>
    <t>NULL</t>
    <phoneticPr fontId="10"/>
  </si>
  <si>
    <t>old</t>
    <phoneticPr fontId="22"/>
  </si>
  <si>
    <t>[effect:force_change_block, new_block:block_red, target:block_yellow, count:8, val:0, animation:change_block],[effect:force_change_block, new_block:block_heart, target:block_blue, count:8, val:0, animation:change_block],[effect:enhance_unit, target:unit_green, turn:2, status:attack, val:0.175, calc:mul, animation:enhance_unit_all_attack03],[effect:enhance_unit, target:unit_green, turn:2, status:heal, val:0.315, calc:mul, animation:enhance_unit_all_heal03]</t>
    <phoneticPr fontId="22"/>
  </si>
  <si>
    <t>1体に特大ダメージ+
フィーバーゲージ上昇</t>
    <phoneticPr fontId="22"/>
  </si>
  <si>
    <t>[effect:damage_heal, target:enemy_one, color:red, val:2.25, animation:damage_one_red04]</t>
    <phoneticPr fontId="22"/>
  </si>
  <si>
    <t>自身の回復力に比例して
1体に特大ダメージ</t>
    <phoneticPr fontId="22"/>
  </si>
  <si>
    <t>[effect:damage_anti_tribe, target:enemy_one, tribe:god, val1:3.75, val2:1.5, animation:damage_one_blue04]</t>
    <phoneticPr fontId="22"/>
  </si>
  <si>
    <t>1体に特大ダメージ
種族ゴッドに効果超大</t>
    <phoneticPr fontId="22"/>
  </si>
  <si>
    <t>1</t>
    <phoneticPr fontId="22"/>
  </si>
  <si>
    <t>30</t>
    <phoneticPr fontId="22"/>
  </si>
  <si>
    <t>[effect:damage_anti_tribe, target:enemy_one, tribe:human, val1:2.375, val2:1.2, animation:damage_one_yellow04],[effect:enhance_unit, target:unit_yellow, turn:1, status:attack, val:0.018, calc:mul, animation:enhance_unit_all_attack01_unit01]</t>
    <phoneticPr fontId="22"/>
  </si>
  <si>
    <t>[effect:damage, target:enemy_one, color:green, val:1.2, animation:damage_one_green03],[effect:damage, target:enemy_all, color:green, val:1.125, animation:damage_all_green04]</t>
    <phoneticPr fontId="22"/>
  </si>
  <si>
    <t>1体に大ダメージ+
全体に特大ダメージ</t>
    <phoneticPr fontId="22"/>
  </si>
  <si>
    <t>[effect:force_change_block, new_block:crash, target:block_green, count:0, val:6, animation:change_block],[effect:force_change_block, new_block:block_heart, target:jammer, count:0, val:0, animation:change_block],[effect:reduction, target:unit_all, turn:2, color:all, val:0.35, animation:reduction_one03],[effect:cure, bad_status:dis_heart, animation:cure01]</t>
    <phoneticPr fontId="22"/>
  </si>
  <si>
    <t>[effect:enhance_unit, target:unit_blue, turn:2, status:attack, val:0.25, calc:mul, animation:enhance_unit_all_attack04],[effect:enhance_unit, target:unit_animal, turn:2, status:action, val:1, calc:add, animation:enhance_unit_one_action01],[effect:crash_condition, target:unit_animal, turn:2, val:-4, animation:crash_panel_reduce04]</t>
    <phoneticPr fontId="22"/>
  </si>
  <si>
    <t>[effect:damage, target:enemy_one, color:blue, val:0.9, animation:damage_one_blue02],[effect:damage, target:enemy_one, color:blue, val:0.9, animation:damage_one_blue02],[effect:damage, target:enemy_one, color:blue, val:0.9, animation:damage_one_blue02]</t>
    <phoneticPr fontId="22"/>
  </si>
  <si>
    <t>[effect:force_change_block, new_block:crash, target:block_blue, count:0, val:6, animation:change_block],[effect:crash_growth, val:2, count:-1, animation:change_block],[effect:enhance_fever, val:150, animation:fevergauge_up03]</t>
    <phoneticPr fontId="22"/>
  </si>
  <si>
    <t>ユニット覚醒の素材にすると特定ユニットを覚醒することができる</t>
  </si>
  <si>
    <t>なし</t>
    <phoneticPr fontId="22"/>
  </si>
  <si>
    <t>黄パネルを最大8個赤パネルに、青パネルを最大8個ハートパネルに変換+2ターン緑属性ユニットの攻撃力と回復力を大UP</t>
    <phoneticPr fontId="22"/>
  </si>
  <si>
    <t>[effect:damage_heal, target:enemy_one, color:green, val:1.2, animation:damage_one_green03],[effect:damage, target:enemy_one, color:green, val:1.2, animation:damage_one_green03]</t>
    <phoneticPr fontId="22"/>
  </si>
  <si>
    <t>[effect:force_change_block, new_block:block_red, target:block_all, ignore01:block_positive,ignore02:block_red, count:10, val:0, animation:change_block],[effect:force_change_block, new_block:crack_bomb, target:block_all, ignore01:block_positive,ignore02:block_red, color:block_red, count:10, val:12, animation:change_block],[effect:break_enchance_unit, target:unit_human/unit_fantasy/unit_academia/or, val:0.01, lowest_val:0.2, count :-1, status:attack, turn:2, block01:block_blue, block02:block_yellow, calc:mul, animation:enhance_unit_all_attack02]</t>
    <phoneticPr fontId="22"/>
  </si>
  <si>
    <t>赤以外を最大10個ずつ赤と赤ボムに変換+2ターン種族ヒューマン･アカデミア･ファンタジーの攻撃力UP(青･黄を吸収し効果大UP)</t>
    <phoneticPr fontId="22"/>
  </si>
  <si>
    <t>[effect:damage, target:enemy_one, color:red, val:2.25, animation:damage_one_red04],[effect:enhance_fever, val:20, animation:fevergauge_up03]</t>
    <phoneticPr fontId="22"/>
  </si>
  <si>
    <t>[effect:force_change_block, new_block:crash, target:block_all, ignore01:block_positive, count:7, val:10, animation:change_block],[effect:regenerate, turn:2, val:1, animation:heal03_unit01],[effect:break_enchance_unit, target:unit_red, val:0.02, lowest_val:0.2, count :-1, status:heal, turn:2, block01:block_yellow, block02:damage, calc:mul, animation:enhance_unit_all_heal03]</t>
    <phoneticPr fontId="22"/>
  </si>
  <si>
    <t>1体に大ダメージ
種族ヒューマンに効果超大+
1ターン黄属性ユニットの攻撃力を小UP</t>
    <phoneticPr fontId="22"/>
  </si>
  <si>
    <t>青パネルをCパネルに変換+出現しているCパネルを大強化+フィーバーゲージ15%上昇</t>
    <phoneticPr fontId="22"/>
  </si>
  <si>
    <t>ランダムでパネルを最大1個SCパネル(大)に、ハートパネルをハートボムパネルに変換+2ターン赤属性ユニットの攻撃力を特大UP</t>
    <phoneticPr fontId="22"/>
  </si>
  <si>
    <t>単体に3回ダメージ</t>
    <phoneticPr fontId="22"/>
  </si>
  <si>
    <t>緑パネルをCパネルに、お邪魔パネルをハートパネルに変換+2ターン敵からのダメージを35%軽減+ハートパネル無効解除</t>
    <phoneticPr fontId="22"/>
  </si>
  <si>
    <t>2ターン青属性ユニットの攻撃力を超大UPし、種族アニマルユニットのタップ回数を1増加し、Cパネル生成短縮(効果特大)</t>
    <phoneticPr fontId="22"/>
  </si>
  <si>
    <t>自身の回復力に比例して1体に大ダメージ+
1体に大ダメージ</t>
    <phoneticPr fontId="22"/>
  </si>
  <si>
    <t>ランダムで最大7個CP(大)に変換+2ターンHPを大回復し、赤属性の回復力をUP(黄・ダメージパネルを吸収し効果特大UP)</t>
    <phoneticPr fontId="22"/>
  </si>
  <si>
    <t>1体に特大ダメージ+
1ターン赤属性ユニットの攻撃力を小UP</t>
    <phoneticPr fontId="22"/>
  </si>
  <si>
    <t>[effect:damage, target:enemy_one, color:red, val:1.5, animation:damage_one_red04],[effect:enhance_unit, target:unit_red, turn:1, status:attack, val:0.03, calc:mul, animation:enhance_unit_all_attack01_unit01]</t>
    <phoneticPr fontId="22"/>
  </si>
  <si>
    <t>ランダムで最大2個SCPに、8個CPに変換+自身にバリア7000展開+出現しているCP大強化+2ターン青属性のCP生成短縮(超大)</t>
    <phoneticPr fontId="22"/>
  </si>
  <si>
    <t>[effect:force_change_block, new_block:crash, target:block_all, ignore01:block_positive, count:2, val:12, animation:change_block],[effect:force_change_block, new_block:crash, target:block_all, ignore01:block_positive, count:8, val:6, animation:change_block],[effect:damage_barrier, target:myself, turn:-1, val:7000],[effect:crash_growth, val:2, count:-1, animation:change_block],[effect:crash_condition, target:unit_blue, turn:2, val:-6, animation:crash_panel_reduce04]</t>
    <phoneticPr fontId="22"/>
  </si>
  <si>
    <t>1体に特大ダメージ+
1ターン赤・黄属性ユニットの回復力をUP</t>
    <phoneticPr fontId="22"/>
  </si>
  <si>
    <t>[effect:damage, target:enemy_one, color:red, val:2.25, animation:damage_one_red04],[effect:enhance_unit, target:unit_red/unit_yellow/or, turn:1, status:heal, val:0.03, calc:mul, animation:enhance_unit_all_heal02_unit01]</t>
    <phoneticPr fontId="22"/>
  </si>
  <si>
    <t>過燃性ブライダルチェーンソー</t>
    <phoneticPr fontId="22"/>
  </si>
  <si>
    <t>大祝言・岩戸披露炎</t>
    <phoneticPr fontId="22"/>
  </si>
  <si>
    <t>ブレイド・セレブレーション</t>
    <phoneticPr fontId="22"/>
  </si>
  <si>
    <t>ヤングガール・ラプソディ</t>
    <phoneticPr fontId="22"/>
  </si>
  <si>
    <t>にゃんだふる・ぶーけとす！</t>
    <phoneticPr fontId="22"/>
  </si>
  <si>
    <t>アップルゴンドラダウン</t>
    <phoneticPr fontId="22"/>
  </si>
  <si>
    <t>サムシング・セヴン</t>
    <phoneticPr fontId="22"/>
  </si>
  <si>
    <t>錦上添花の構え</t>
    <phoneticPr fontId="22"/>
  </si>
  <si>
    <t>誓婚の大入刀</t>
    <phoneticPr fontId="22"/>
  </si>
  <si>
    <t>相思相愛の宣風</t>
    <phoneticPr fontId="22"/>
  </si>
  <si>
    <t>エンゲージ・アイドリング</t>
    <phoneticPr fontId="22"/>
  </si>
  <si>
    <t>吉日に舞う無垢なる祝炎</t>
    <phoneticPr fontId="22"/>
  </si>
  <si>
    <t>アイディアルシーキング</t>
    <phoneticPr fontId="22"/>
  </si>
  <si>
    <t>ウェア・イズ・マイ・ダーリン</t>
    <phoneticPr fontId="22"/>
  </si>
  <si>
    <t>キャット・ファーストバイト</t>
    <phoneticPr fontId="22"/>
  </si>
  <si>
    <t>プロミスド・セレモニー</t>
    <phoneticPr fontId="22"/>
  </si>
  <si>
    <t>アップル・ヴァージンロード</t>
    <phoneticPr fontId="22"/>
  </si>
  <si>
    <t>タクティシャンエスコート</t>
    <phoneticPr fontId="22"/>
  </si>
  <si>
    <t>ロンゲストラブストーリー</t>
    <phoneticPr fontId="22"/>
  </si>
  <si>
    <t>恵愛の森式結納</t>
    <phoneticPr fontId="22"/>
  </si>
  <si>
    <t>この駆動音…ときめくでしょ</t>
    <phoneticPr fontId="22"/>
  </si>
  <si>
    <t>giza</t>
  </si>
  <si>
    <t>手ぶらじゃ帰れないわ！</t>
    <phoneticPr fontId="22"/>
  </si>
  <si>
    <t>とっくに準備万端よ！</t>
    <phoneticPr fontId="22"/>
  </si>
  <si>
    <t>待ちくたびれたわ…！</t>
    <phoneticPr fontId="22"/>
  </si>
  <si>
    <t>オラオラ〜ッふりむけ〜</t>
    <phoneticPr fontId="22"/>
  </si>
  <si>
    <t>もうサイコーの気分ね！</t>
    <phoneticPr fontId="22"/>
  </si>
  <si>
    <t>とっても幸せよ！</t>
    <phoneticPr fontId="22"/>
  </si>
  <si>
    <t>篭ってはいられませんね…！</t>
    <phoneticPr fontId="22"/>
  </si>
  <si>
    <t>縁起の良い炎です…！</t>
    <phoneticPr fontId="22"/>
  </si>
  <si>
    <t>神の祝言に偽りなし！</t>
    <phoneticPr fontId="22"/>
  </si>
  <si>
    <t>本日はお日柄も良く…！</t>
    <phoneticPr fontId="22"/>
  </si>
  <si>
    <t>これが私の決意の証…！</t>
    <phoneticPr fontId="22"/>
  </si>
  <si>
    <t>一生の思い出にいたします！</t>
    <phoneticPr fontId="22"/>
  </si>
  <si>
    <t>渾身の舞を披露します！</t>
    <phoneticPr fontId="22"/>
  </si>
  <si>
    <t>幸福は斬り開くものよ…！</t>
    <phoneticPr fontId="22"/>
  </si>
  <si>
    <t>貴方も違ったみたいね！</t>
    <phoneticPr fontId="22"/>
  </si>
  <si>
    <t>目はつけた…逃がさない</t>
    <phoneticPr fontId="22"/>
  </si>
  <si>
    <t>惜しいわね…70点よ！</t>
    <phoneticPr fontId="22"/>
  </si>
  <si>
    <t>妥協？知らない言葉ね</t>
    <phoneticPr fontId="22"/>
  </si>
  <si>
    <t>理想を見つけたわ…！</t>
    <phoneticPr fontId="22"/>
  </si>
  <si>
    <t>私は一番の幸せ者よ</t>
    <phoneticPr fontId="22"/>
  </si>
  <si>
    <t>注目集めてみせますよ〜！</t>
    <phoneticPr fontId="22"/>
  </si>
  <si>
    <t>運命の出会いはどこ〜！</t>
    <phoneticPr fontId="22"/>
  </si>
  <si>
    <t>チャンスいただきます〜</t>
    <phoneticPr fontId="22"/>
  </si>
  <si>
    <t>諦めませんよ〜絶対に！</t>
    <phoneticPr fontId="22"/>
  </si>
  <si>
    <t>恋ってドキドキです〜！</t>
    <phoneticPr fontId="22"/>
  </si>
  <si>
    <t>すごい…胸が高鳴ります</t>
    <phoneticPr fontId="22"/>
  </si>
  <si>
    <t>直感が教えてくれました</t>
    <phoneticPr fontId="22"/>
  </si>
  <si>
    <t>お祝いは派手に行かないとね</t>
    <phoneticPr fontId="22"/>
  </si>
  <si>
    <t>待たせたわね！入場よ！</t>
    <phoneticPr fontId="22"/>
  </si>
  <si>
    <t>パーティーのはじまりよ</t>
    <phoneticPr fontId="22"/>
  </si>
  <si>
    <t>一直線に進むわよ！</t>
    <phoneticPr fontId="22"/>
  </si>
  <si>
    <t>ふふっ…キメるわよ！</t>
    <phoneticPr fontId="22"/>
  </si>
  <si>
    <t>あたしだけを見ていなさい！</t>
    <phoneticPr fontId="22"/>
  </si>
  <si>
    <t>祝われるのも悪くないわ</t>
    <phoneticPr fontId="22"/>
  </si>
  <si>
    <t>幸せのおすそ分けだよ！</t>
    <phoneticPr fontId="22"/>
  </si>
  <si>
    <t>しっかり受け取ってよー！</t>
    <phoneticPr fontId="22"/>
  </si>
  <si>
    <t>うちからの愛の証だよー</t>
    <phoneticPr fontId="22"/>
  </si>
  <si>
    <t>ガブッといっちゃうよー</t>
    <phoneticPr fontId="22"/>
  </si>
  <si>
    <t>照れなくていいんだよー</t>
    <phoneticPr fontId="22"/>
  </si>
  <si>
    <t>にゃにゃにゃにゃーん♪</t>
    <phoneticPr fontId="22"/>
  </si>
  <si>
    <t>最強のお嫁さん参上ー！</t>
    <phoneticPr fontId="22"/>
  </si>
  <si>
    <t>うぅ…恥ずかしいです…ね</t>
    <phoneticPr fontId="22"/>
  </si>
  <si>
    <t>えへへ…受け止めてください</t>
    <phoneticPr fontId="22"/>
  </si>
  <si>
    <t>緊張します…けど…</t>
    <phoneticPr fontId="22"/>
  </si>
  <si>
    <t>顔から火が出そうです…</t>
    <phoneticPr fontId="22"/>
  </si>
  <si>
    <t>私が…主役…なの…？</t>
    <phoneticPr fontId="22"/>
  </si>
  <si>
    <t>お姫様に…なった気分…</t>
    <phoneticPr fontId="22"/>
  </si>
  <si>
    <t>心から…愛を…こめて！</t>
    <phoneticPr fontId="22"/>
  </si>
  <si>
    <t>幸せになる用意はできたかな</t>
    <phoneticPr fontId="22"/>
  </si>
  <si>
    <t>言葉にできない美しさだ…</t>
    <phoneticPr fontId="22"/>
  </si>
  <si>
    <t>計略は不要のようだね</t>
    <phoneticPr fontId="22"/>
  </si>
  <si>
    <t>祝杯を準備しておこう</t>
    <phoneticPr fontId="22"/>
  </si>
  <si>
    <t>なにも心配いらないさ…</t>
    <phoneticPr fontId="22"/>
  </si>
  <si>
    <t>選択に間違いはなかった</t>
    <phoneticPr fontId="22"/>
  </si>
  <si>
    <t>kumo</t>
  </si>
  <si>
    <t>二人で勝利を手にしよう</t>
    <phoneticPr fontId="22"/>
  </si>
  <si>
    <t>たまにゃ共同作業もいいか！</t>
    <phoneticPr fontId="22"/>
  </si>
  <si>
    <t>しっかり握っておけ…！</t>
    <phoneticPr fontId="22"/>
  </si>
  <si>
    <t>永遠に付き合ってもらう</t>
    <phoneticPr fontId="22"/>
  </si>
  <si>
    <t>俺から離れるなよ</t>
    <phoneticPr fontId="22"/>
  </si>
  <si>
    <t>これが俺の答えだ…！</t>
    <phoneticPr fontId="22"/>
  </si>
  <si>
    <t>護ると誓った…！！</t>
    <phoneticPr fontId="22"/>
  </si>
  <si>
    <t>みんなが祝ってくれてる！</t>
    <phoneticPr fontId="22"/>
  </si>
  <si>
    <t>いつでも一緒にいるから！</t>
    <phoneticPr fontId="22"/>
  </si>
  <si>
    <t>どう？これが正装なのよ</t>
    <phoneticPr fontId="22"/>
  </si>
  <si>
    <t>見違えた…でしょ？</t>
    <phoneticPr fontId="22"/>
  </si>
  <si>
    <t>神聖な契約なんだから！</t>
    <phoneticPr fontId="22"/>
  </si>
  <si>
    <t>家族の繋がりは強いのよ</t>
    <phoneticPr fontId="22"/>
  </si>
  <si>
    <t>[effect:force_change_block, new_block:crash, target:block_all, ignore01:block_positive, count:1, val:24, animation:change_block],[effect:force_change_block, new_block:crack_bomb, target:block_heart, color:block_heart, count:0, val:12, animation:change_block],[effect:enhance_unit, target:unit_red, turn:2, status:attack, val:0.255, calc:mul, animation:enhance_unit_all_attack04]</t>
    <phoneticPr fontId="22"/>
  </si>
  <si>
    <t>なし</t>
    <phoneticPr fontId="22"/>
  </si>
  <si>
    <t>赤を青に、緑を黄に、マグネットパネル(黄→緑)(青→赤)に各1個変換+2ターン赤属性CP生成短縮(特大)、青･黄出現率大DOWN</t>
    <phoneticPr fontId="22"/>
  </si>
  <si>
    <t>赤･お邪魔パネルを青パネルに、黄･時限式ダメージパネルを緑パネルに変換+HPを5000回復(CPを1つ吸収する毎に3500回復)</t>
    <phoneticPr fontId="22"/>
  </si>
  <si>
    <t>[effect:force_change_block, new_block:block_blue, target:block_red, count:0, val:0, animation:change_block],[effect:force_change_block, new_block:block_blue, target:jammer, count:0, val:0, animation:change_block],[effect:force_change_block, new_block:block_green, target:block_yellow, count:0, val:0, animation:change_block],[effect:force_change_block, new_block:block_green, target:time_bomb, count:0, val:0, animation:change_block],[effect:break_heal_fix, val:3500, lowest_val:5000, count:-1, block01:crash, animation:heal03_unit01]</t>
    <phoneticPr fontId="22"/>
  </si>
  <si>
    <t>[effect:force_change_block, new_block:block_blue, target:block_red, count:0, val:0, animation:change_block],[effect:force_change_block, new_block:block_yellow, target:block_green, count:0, val:0, animation:change_block],[effect:force_change_magnet, target:block_all, ignore01:block_positive, color:yellow, count:1, red:0, green:1, blue:0, yellow:1, heart:0, reverse:0, generate:0, turn:2, animation:change_block],[effect:force_change_magnet, target:block_all, ignore01:block_positive, color:blue, count:1, red:1, green:0, blue:1, yellow:0, heart:0, reverse:0, generate:0, turn:2, animation:change_block],[effect:crash_condition, target:unit_red, turn:2, val:-4, animation:crash_panel_reduce04],[effect:change_panel_ratio, turn:2, block_type:blue, val:0.05],[effect:change_panel_ratio, turn:2, block_type:yellow, val:0.05, animation:block_incidence04]</t>
    <phoneticPr fontId="22"/>
  </si>
  <si>
    <t>1体に特大ダメージ+
1ターン青属性ユニットの攻撃力小UP</t>
    <phoneticPr fontId="22"/>
  </si>
  <si>
    <t>[effect:damage, target:enemy_one, color:blue, val:1.5, animation:damage_one_blue04],[effect:enhance_unit, target:unit_blue, turn:1, status:attack, val:0.03, calc:mul, animation:enhance_unit_all_attack01_unit01]</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</si>
</sst>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4"/>
      <name val="ＭＳ Ｐゴシック"/>
      <family val="3"/>
      <charset val="128"/>
    </font>
  </fonts>
  <fills count="31">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FF00"/>
        <bgColor indexed="31"/>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11">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0" fontId="12" fillId="22" borderId="4" xfId="0" applyNumberFormat="1" applyFont="1" applyFill="1" applyBorder="1" applyAlignment="1">
      <alignment vertical="center"/>
    </xf>
    <xf numFmtId="49" fontId="12" fillId="14" borderId="4" xfId="0" applyNumberFormat="1" applyFont="1" applyFill="1" applyBorder="1" applyAlignment="1">
      <alignment vertical="center"/>
    </xf>
    <xf numFmtId="49" fontId="12" fillId="14" borderId="4" xfId="0" applyNumberFormat="1" applyFont="1" applyFill="1" applyBorder="1" applyAlignment="1">
      <alignment vertical="center" wrapText="1"/>
    </xf>
    <xf numFmtId="0" fontId="25" fillId="14" borderId="7" xfId="0" applyFont="1" applyFill="1" applyBorder="1" applyAlignment="1">
      <alignment vertical="center" wrapText="1"/>
    </xf>
    <xf numFmtId="0" fontId="29" fillId="14" borderId="4" xfId="0" applyFont="1" applyFill="1" applyBorder="1" applyAlignment="1">
      <alignment vertical="center"/>
    </xf>
    <xf numFmtId="0" fontId="0" fillId="25" borderId="4" xfId="0" applyFill="1" applyBorder="1" applyAlignment="1">
      <alignment horizontal="center"/>
    </xf>
    <xf numFmtId="0" fontId="13" fillId="14" borderId="1" xfId="0" applyFont="1" applyFill="1" applyBorder="1" applyAlignment="1">
      <alignment vertical="center"/>
    </xf>
    <xf numFmtId="0" fontId="16" fillId="29" borderId="3" xfId="0" applyFont="1" applyFill="1" applyBorder="1" applyAlignment="1">
      <alignment vertical="center"/>
    </xf>
    <xf numFmtId="0" fontId="16" fillId="14" borderId="4" xfId="0" applyFont="1" applyFill="1" applyBorder="1" applyAlignment="1">
      <alignment horizontal="left" vertical="center"/>
    </xf>
    <xf numFmtId="0" fontId="16" fillId="14" borderId="8" xfId="0" applyFont="1" applyFill="1" applyBorder="1" applyAlignment="1">
      <alignment horizontal="right" vertical="center"/>
    </xf>
    <xf numFmtId="0" fontId="14" fillId="30" borderId="4" xfId="0" applyFont="1" applyFill="1" applyBorder="1" applyAlignment="1">
      <alignment horizontal="left" vertical="center" wrapText="1"/>
    </xf>
    <xf numFmtId="0" fontId="13" fillId="30" borderId="4" xfId="0" applyFont="1" applyFill="1" applyBorder="1" applyAlignment="1">
      <alignment horizontal="left" vertical="center" wrapText="1"/>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94">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3</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3</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3</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3</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3</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3</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3</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3</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3</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3</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3</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3</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3</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3</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3</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3</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3</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3</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3</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3</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3</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3</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3</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attack</v>
          </cell>
          <cell r="L1739" t="str">
            <v>攻撃タイプ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attack</v>
          </cell>
          <cell r="L1740" t="str">
            <v>攻撃タイプ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green</v>
          </cell>
          <cell r="I1852">
            <v>6</v>
          </cell>
          <cell r="J1852" t="str">
            <v>PremiumSS</v>
          </cell>
          <cell r="K1852" t="str">
            <v>technical</v>
          </cell>
          <cell r="L1852" t="str">
            <v>テクニカルタイプ</v>
          </cell>
          <cell r="M1852" t="str">
            <v>human</v>
          </cell>
          <cell r="N1852" t="str">
            <v>ヒューマン</v>
          </cell>
          <cell r="O1852" t="str">
            <v>none</v>
          </cell>
          <cell r="P1852" t="str">
            <v>種族なし</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green</v>
          </cell>
          <cell r="I1853">
            <v>6</v>
          </cell>
          <cell r="J1853" t="str">
            <v>PremiumSS</v>
          </cell>
          <cell r="K1853" t="str">
            <v>technical</v>
          </cell>
          <cell r="L1853" t="str">
            <v>テクニカルタイプ</v>
          </cell>
          <cell r="M1853" t="str">
            <v>human</v>
          </cell>
          <cell r="N1853" t="str">
            <v>ヒューマン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attack</v>
          </cell>
          <cell r="L1854" t="str">
            <v>攻撃タイプ</v>
          </cell>
          <cell r="M1854" t="str">
            <v>unknown</v>
          </cell>
          <cell r="N1854" t="str">
            <v>Unknown</v>
          </cell>
          <cell r="O1854" t="str">
            <v>fantasy</v>
          </cell>
          <cell r="P1854" t="str">
            <v>ファンタジー</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yellow</v>
          </cell>
          <cell r="I1855">
            <v>6</v>
          </cell>
          <cell r="J1855" t="str">
            <v>PremiumSSw</v>
          </cell>
          <cell r="K1855" t="str">
            <v>attack</v>
          </cell>
          <cell r="L1855" t="str">
            <v>攻撃タイプ</v>
          </cell>
          <cell r="M1855" t="str">
            <v>unknown</v>
          </cell>
          <cell r="N1855" t="str">
            <v>Unknown</v>
          </cell>
          <cell r="O1855" t="str">
            <v>machine</v>
          </cell>
          <cell r="P1855" t="str">
            <v>マシン</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red</v>
          </cell>
          <cell r="I1856">
            <v>6</v>
          </cell>
          <cell r="J1856" t="str">
            <v>PremiumSS</v>
          </cell>
          <cell r="K1856" t="str">
            <v>technical</v>
          </cell>
          <cell r="L1856" t="str">
            <v>テクニカルタイプ</v>
          </cell>
          <cell r="M1856" t="str">
            <v>unknown</v>
          </cell>
          <cell r="N1856" t="str">
            <v>Unknown</v>
          </cell>
          <cell r="O1856" t="str">
            <v>demon</v>
          </cell>
          <cell r="P1856" t="str">
            <v>デーモン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red</v>
          </cell>
          <cell r="I1857">
            <v>6</v>
          </cell>
          <cell r="J1857" t="str">
            <v>DropWizS</v>
          </cell>
          <cell r="K1857" t="str">
            <v>balance</v>
          </cell>
          <cell r="L1857" t="str">
            <v>バランスタイプ</v>
          </cell>
          <cell r="M1857" t="str">
            <v>human</v>
          </cell>
          <cell r="N1857" t="str">
            <v>ヒューマン</v>
          </cell>
          <cell r="O1857" t="str">
            <v>hero</v>
          </cell>
          <cell r="P1857" t="str">
            <v>ヒーロー</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red</v>
          </cell>
          <cell r="I1858">
            <v>6</v>
          </cell>
          <cell r="J1858" t="str">
            <v>DropWizS</v>
          </cell>
          <cell r="K1858" t="str">
            <v>balance</v>
          </cell>
          <cell r="L1858" t="str">
            <v>バランスタイプ</v>
          </cell>
          <cell r="M1858" t="str">
            <v>weapon</v>
          </cell>
          <cell r="N1858" t="str">
            <v>ウェポン</v>
          </cell>
          <cell r="O1858" t="str">
            <v>fantasy</v>
          </cell>
          <cell r="P1858" t="str">
            <v>ファンタジー</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green</v>
          </cell>
          <cell r="I1859">
            <v>6</v>
          </cell>
          <cell r="J1859" t="str">
            <v>PremiumSSS</v>
          </cell>
          <cell r="K1859" t="str">
            <v>attack</v>
          </cell>
          <cell r="L1859" t="str">
            <v>攻撃タイプ</v>
          </cell>
          <cell r="M1859" t="str">
            <v>academia</v>
          </cell>
          <cell r="N1859" t="str">
            <v>アカデミア</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blue</v>
          </cell>
          <cell r="I1863">
            <v>5</v>
          </cell>
          <cell r="J1863" t="str">
            <v>PremiumSS</v>
          </cell>
          <cell r="K1863" t="str">
            <v>technical</v>
          </cell>
          <cell r="L1863" t="str">
            <v>テクニカルタイプ</v>
          </cell>
          <cell r="M1863" t="str">
            <v>human</v>
          </cell>
          <cell r="N1863" t="str">
            <v>ヒューマン</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technical</v>
          </cell>
          <cell r="L1864" t="str">
            <v>テクニカルタイプ</v>
          </cell>
          <cell r="M1864" t="str">
            <v>human</v>
          </cell>
          <cell r="N1864" t="str">
            <v>ヒューマン</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yellow</v>
          </cell>
          <cell r="I1865">
            <v>5</v>
          </cell>
          <cell r="J1865" t="str">
            <v>PremiumSS</v>
          </cell>
          <cell r="K1865" t="str">
            <v>attack</v>
          </cell>
          <cell r="L1865" t="str">
            <v>攻撃タイプ</v>
          </cell>
          <cell r="M1865" t="str">
            <v>human</v>
          </cell>
          <cell r="N1865" t="str">
            <v>ヒューマン</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attack</v>
          </cell>
          <cell r="L1866" t="str">
            <v>攻撃タイプ</v>
          </cell>
          <cell r="M1866" t="str">
            <v>human</v>
          </cell>
          <cell r="N1866" t="str">
            <v>ヒューマン</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red</v>
          </cell>
          <cell r="I1868">
            <v>5</v>
          </cell>
          <cell r="J1868" t="str">
            <v>PremiumSS</v>
          </cell>
          <cell r="K1868" t="str">
            <v>attack</v>
          </cell>
          <cell r="L1868" t="str">
            <v>攻撃タイプ</v>
          </cell>
          <cell r="M1868" t="str">
            <v>dragon</v>
          </cell>
          <cell r="N1868" t="str">
            <v>ドラゴン</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red</v>
          </cell>
          <cell r="I1869">
            <v>6</v>
          </cell>
          <cell r="J1869" t="str">
            <v>PremiumSS</v>
          </cell>
          <cell r="K1869" t="str">
            <v>attack</v>
          </cell>
          <cell r="L1869" t="str">
            <v>攻撃タイプ</v>
          </cell>
          <cell r="M1869" t="str">
            <v>dragon</v>
          </cell>
          <cell r="N1869" t="str">
            <v>ドラゴン</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green</v>
          </cell>
          <cell r="I1870">
            <v>5</v>
          </cell>
          <cell r="J1870" t="str">
            <v>PremiumSS</v>
          </cell>
          <cell r="K1870" t="str">
            <v>attack</v>
          </cell>
          <cell r="L1870" t="str">
            <v>攻撃タイプ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green</v>
          </cell>
          <cell r="I1871">
            <v>6</v>
          </cell>
          <cell r="J1871" t="str">
            <v>PremiumSS</v>
          </cell>
          <cell r="K1871" t="str">
            <v>attack</v>
          </cell>
          <cell r="L1871" t="str">
            <v>攻撃タイプ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refreshError="1"/>
      <sheetData sheetId="1" refreshError="1"/>
      <sheetData sheetId="2" refreshError="1"/>
      <sheetData sheetId="3" refreshError="1"/>
      <sheetData sheetId="4" refreshError="1"/>
      <sheetData sheetId="5" refreshError="1"/>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テクニカルタイプ Cパネルドロップ</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H19" sqref="H19"/>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352</v>
      </c>
      <c r="B2" s="105" t="s">
        <v>129</v>
      </c>
      <c r="C2" s="162" t="s">
        <v>350</v>
      </c>
      <c r="D2" s="105" t="s">
        <v>128</v>
      </c>
      <c r="E2" s="104" t="str">
        <f>B2&amp;C2&amp;D2</f>
        <v>units_Wedding2017.tmp</v>
      </c>
      <c r="F2" s="105" t="s">
        <v>124</v>
      </c>
      <c r="G2" s="59" t="s">
        <v>17</v>
      </c>
      <c r="H2" s="60" t="s">
        <v>96</v>
      </c>
      <c r="I2" s="60" t="s">
        <v>1</v>
      </c>
      <c r="J2" s="60" t="s">
        <v>3</v>
      </c>
      <c r="K2" s="60" t="s">
        <v>2</v>
      </c>
      <c r="L2" s="60" t="s">
        <v>98</v>
      </c>
      <c r="M2" s="60" t="s">
        <v>20</v>
      </c>
      <c r="N2" s="60" t="s">
        <v>103</v>
      </c>
      <c r="O2" s="60" t="s">
        <v>101</v>
      </c>
      <c r="P2" s="60" t="s">
        <v>39</v>
      </c>
      <c r="Q2" s="60" t="s">
        <v>57</v>
      </c>
      <c r="R2" s="60" t="s">
        <v>318</v>
      </c>
      <c r="S2" s="105"/>
      <c r="T2" s="105"/>
      <c r="U2" s="105"/>
      <c r="V2" s="105"/>
      <c r="W2" s="105"/>
    </row>
    <row r="3" spans="1:29" x14ac:dyDescent="0.15">
      <c r="A3" s="105" t="s">
        <v>352</v>
      </c>
      <c r="B3" s="105" t="s">
        <v>294</v>
      </c>
      <c r="C3" s="162" t="s">
        <v>350</v>
      </c>
      <c r="D3" s="105" t="s">
        <v>128</v>
      </c>
      <c r="E3" s="104" t="str">
        <f>B3&amp;C3&amp;D3</f>
        <v>fork_awake_units_Wedding2017.tmp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184</v>
      </c>
      <c r="B4" s="105" t="s">
        <v>130</v>
      </c>
      <c r="C4" s="162" t="s">
        <v>349</v>
      </c>
      <c r="D4" s="105" t="s">
        <v>128</v>
      </c>
      <c r="E4" s="104" t="str">
        <f>B4&amp;C4&amp;D4</f>
        <v>awake_materials_Wedding2017.tmp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352</v>
      </c>
      <c r="B5" s="105" t="s">
        <v>293</v>
      </c>
      <c r="C5" s="162" t="s">
        <v>349</v>
      </c>
      <c r="D5" s="105" t="s">
        <v>128</v>
      </c>
      <c r="E5" s="104" t="str">
        <f>B5&amp;C5&amp;D5</f>
        <v>fork_awake_materials_Wedding2017.tmp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352</v>
      </c>
      <c r="B6" s="105" t="s">
        <v>131</v>
      </c>
      <c r="C6" s="162" t="s">
        <v>349</v>
      </c>
      <c r="D6" s="105" t="s">
        <v>132</v>
      </c>
      <c r="E6" s="104" t="str">
        <f t="shared" ref="E6" si="0">B6&amp;C6&amp;D6</f>
        <v>unit_levels_calc_Wedding2017.tmp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352</v>
      </c>
      <c r="B7" s="105" t="s">
        <v>143</v>
      </c>
      <c r="C7" s="162" t="s">
        <v>349</v>
      </c>
      <c r="D7" s="105" t="s">
        <v>144</v>
      </c>
      <c r="E7" s="104" t="str">
        <f>B7&amp;C7&amp;D7</f>
        <v>unit_skills_data_Wedding2017.tmp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352</v>
      </c>
      <c r="B8" s="105" t="s">
        <v>149</v>
      </c>
      <c r="C8" s="162" t="s">
        <v>349</v>
      </c>
      <c r="D8" s="105" t="s">
        <v>128</v>
      </c>
      <c r="E8" s="104" t="str">
        <f>B8&amp;C8&amp;D8</f>
        <v>unit_skills_i18n_Wedding2017.tmp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352</v>
      </c>
      <c r="B9" s="105" t="s">
        <v>153</v>
      </c>
      <c r="C9" s="162" t="s">
        <v>349</v>
      </c>
      <c r="D9" s="105" t="s">
        <v>154</v>
      </c>
      <c r="E9" s="104" t="str">
        <f>B9&amp;C9&amp;D9</f>
        <v>crash_skills_data_Wedding2017.tmp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352</v>
      </c>
      <c r="B10" s="105" t="s">
        <v>157</v>
      </c>
      <c r="C10" s="162" t="s">
        <v>349</v>
      </c>
      <c r="D10" s="105" t="s">
        <v>158</v>
      </c>
      <c r="E10" s="104" t="str">
        <f t="shared" ref="E10" si="1">B10&amp;C10&amp;D10</f>
        <v>crash_skills_i18n_Wedding2017.tmp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352</v>
      </c>
      <c r="B11" s="108" t="s">
        <v>135</v>
      </c>
      <c r="C11" s="162" t="s">
        <v>349</v>
      </c>
      <c r="D11" s="105" t="s">
        <v>158</v>
      </c>
      <c r="E11" s="104" t="str">
        <f t="shared" ref="E11:E12" si="2">B11&amp;C11&amp;D11</f>
        <v>unit_serifs_data_Wedding2017.tmp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352</v>
      </c>
      <c r="B12" s="108" t="s">
        <v>136</v>
      </c>
      <c r="C12" s="162" t="s">
        <v>349</v>
      </c>
      <c r="D12" s="105" t="s">
        <v>158</v>
      </c>
      <c r="E12" s="104" t="str">
        <f t="shared" si="2"/>
        <v>unit_serifs_i18n_Wedding2017.tmp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317</v>
      </c>
      <c r="C13" s="162" t="s">
        <v>349</v>
      </c>
      <c r="D13" s="105" t="s">
        <v>254</v>
      </c>
      <c r="E13" s="104" t="str">
        <f>B13&amp;C13&amp;D13</f>
        <v>abilities_tmp_Wedding2017.tmp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259</v>
      </c>
      <c r="C14" s="162" t="s">
        <v>349</v>
      </c>
      <c r="D14" s="105" t="s">
        <v>128</v>
      </c>
      <c r="E14" s="104" t="str">
        <f>B14&amp;C14&amp;D14</f>
        <v>abilities_i18n_Wedding2017.tmp</v>
      </c>
      <c r="F14" s="105" t="s">
        <v>260</v>
      </c>
      <c r="G14" s="163" t="s">
        <v>256</v>
      </c>
      <c r="H14" s="163" t="s">
        <v>141</v>
      </c>
      <c r="I14" s="163" t="s">
        <v>261</v>
      </c>
      <c r="J14" s="163" t="s">
        <v>152</v>
      </c>
      <c r="K14" s="204" t="s">
        <v>348</v>
      </c>
      <c r="L14" s="105"/>
      <c r="M14" s="105"/>
      <c r="N14" s="105"/>
      <c r="O14" s="105"/>
      <c r="P14" s="105"/>
      <c r="Q14" s="105"/>
      <c r="R14" s="105"/>
      <c r="S14" s="105"/>
      <c r="T14" s="105"/>
      <c r="U14" s="105"/>
      <c r="V14" s="105"/>
      <c r="W14" s="105"/>
      <c r="X14" s="105"/>
      <c r="Y14" s="105"/>
      <c r="Z14" s="105"/>
      <c r="AA14" s="105"/>
      <c r="AB14" s="105"/>
      <c r="AC14" s="105"/>
    </row>
    <row r="15" spans="1:29" x14ac:dyDescent="0.15">
      <c r="A15" s="105" t="s">
        <v>352</v>
      </c>
      <c r="B15" s="105" t="s">
        <v>262</v>
      </c>
      <c r="C15" s="162" t="s">
        <v>349</v>
      </c>
      <c r="D15" s="105" t="s">
        <v>128</v>
      </c>
      <c r="E15" s="104" t="str">
        <f>B15&amp;C15&amp;D15</f>
        <v>unit_abilities_Wedding2017.tmp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24"/>
  <sheetViews>
    <sheetView showGridLines="0" workbookViewId="0">
      <pane xSplit="9" ySplit="1" topLeftCell="AC8" activePane="bottomRight" state="frozen"/>
      <selection pane="topRight" activeCell="J1" sqref="J1"/>
      <selection pane="bottomLeft" activeCell="A3" sqref="A3"/>
      <selection pane="bottomRight" activeCell="Q18" sqref="Q1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319</v>
      </c>
    </row>
    <row r="2" spans="1:70" ht="26" customHeight="1" x14ac:dyDescent="0.15">
      <c r="A2" s="186">
        <v>1697</v>
      </c>
      <c r="B2" s="53" t="str">
        <f ca="1">VLOOKUP($A2,OFFSET([1]characters!$A$1,0,0,COUNTA([1]characters!$A:$A),MATCH(B$1,[1]characters!$1:$1,0)-MATCH($A$1,[1]characters!$1:$1,0)+1),MATCH(B$1,[1]characters!$1:$1,0)-MATCH($A$1,[1]characters!$1:$1,0)+1,FALSE)</f>
        <v>駆動する機会 ガーネット</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6</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red</v>
      </c>
      <c r="J2" s="10">
        <f ca="1">VLOOKUP(I2,[1]属性!$A:$E,2,FALSE)</f>
        <v>1</v>
      </c>
      <c r="K2" s="10">
        <f ca="1">VLOOKUP(I2,[1]属性!$A:$E,3,FALSE)</f>
        <v>1.02</v>
      </c>
      <c r="L2" s="10">
        <f ca="1">VLOOKUP(I2,[1]属性!$A:$E,4,FALSE)</f>
        <v>1</v>
      </c>
      <c r="M2" s="10">
        <f ca="1">VLOOKUP(I2,[1]属性!$A:$E,5,FALSE)</f>
        <v>0.98</v>
      </c>
      <c r="N2" s="10">
        <f ca="1">INDEX(コスト!$A$1:$I$21,MATCH(H2,コスト!$A$1:$A$21,FALSE),MATCH(G2,コスト!$A$1:$I$1,FALSE))</f>
        <v>45</v>
      </c>
      <c r="O2" s="10">
        <f ca="1">INDEX(レベル!$A$1:$I$22,MATCH(H2,レベル!$A$1:$A$22,FALSE),MATCH(G2,レベル!$A$1:$I$1,FALSE))</f>
        <v>99</v>
      </c>
      <c r="P2" s="44">
        <f t="shared" ref="P2:P4" ca="1" si="0">IF(G2 &gt;= 6, 99,G2*15)</f>
        <v>99</v>
      </c>
      <c r="Q2" s="53" t="str">
        <f ca="1">VLOOKUP($A2,OFFSET([1]characters!$A$1,0,0,COUNTA([1]characters!$A:$A),MATCH(Q$1,[1]characters!$1:$1,0)-MATCH($A$1,[1]characters!$1:$1,0)+1),MATCH(Q$1,[1]characters!$1:$1,0)-MATCH($A$1,[1]characters!$1:$1,0)+1,FALSE)</f>
        <v>hp</v>
      </c>
      <c r="R2" s="5" t="str">
        <f ca="1">VLOOKUP(Q2,[1]character_type_i18n!$A:$H,3,FALSE)</f>
        <v>体力タイプ</v>
      </c>
      <c r="S2" s="10">
        <f ca="1">VLOOKUP(Q2,[1]character_type_i18n!$A:$H,4,FALSE)</f>
        <v>1.45</v>
      </c>
      <c r="T2" s="10">
        <f ca="1">VLOOKUP(Q2,[1]character_type_i18n!$A:$H,5,FALSE)</f>
        <v>0.85</v>
      </c>
      <c r="U2" s="10">
        <f ca="1">VLOOKUP(Q2,[1]character_type_i18n!$A:$H,6,FALSE)</f>
        <v>1</v>
      </c>
      <c r="V2" s="10">
        <f ca="1">VLOOKUP(Q2,[1]character_type_i18n!$A:$H,7,FALSE)</f>
        <v>0.7</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fantasy</v>
      </c>
      <c r="Z2" s="5" t="str">
        <f ca="1">VLOOKUP(Y2,[1]character_tribe_i18n!$A:$H,3,FALSE)</f>
        <v>ファンタジー</v>
      </c>
      <c r="AA2" s="10">
        <f ca="1">VLOOKUP(W2,[1]character_tribe_i18n!$A:$H,4,FALSE)</f>
        <v>0.94</v>
      </c>
      <c r="AB2" s="10">
        <f ca="1">VLOOKUP(W2,[1]character_tribe_i18n!$A:$H,5,FALSE)</f>
        <v>0.99</v>
      </c>
      <c r="AC2" s="10">
        <f ca="1">VLOOKUP(W2,[1]character_tribe_i18n!$A:$H,6,FALSE)</f>
        <v>1</v>
      </c>
      <c r="AD2" s="10">
        <f ca="1">VLOOKUP(W2,[1]character_tribe_i18n!$A:$H,7,FALSE)</f>
        <v>1.07</v>
      </c>
      <c r="AE2" s="187">
        <v>1698</v>
      </c>
      <c r="AF2" s="58" t="str">
        <f ca="1">IF(AE2="NULL","",VLOOKUP($AE2,OFFSET([1]characters!$A$1,0,0,COUNTA([1]characters!$A:$A),MATCH(AF$1,[1]characters!$1:$1,0)-MATCH($A$1,[1]characters!$1:$1,0)+1),MATCH(AF$1,[1]characters!$1:$1,0)-MATCH($A$1,[1]characters!$1:$1,0)+1,FALSE))</f>
        <v>炎断の華嫁 ガーネット</v>
      </c>
      <c r="AG2" s="187">
        <v>1697</v>
      </c>
      <c r="AH2" s="58" t="str">
        <f ca="1">VLOOKUP($AG2,OFFSET([1]characters!$A$1,0,0,COUNTA([1]characters!$A:$A),MATCH(AH$1,[1]characters!$1:$1,0)-MATCH($A$1,[1]characters!$1:$1,0)+1),MATCH(AH$1,[1]characters!$1:$1,0)-MATCH($A$1,[1]characters!$1:$1,0)+1,FALSE)</f>
        <v>駆動する機会 ガーネット</v>
      </c>
      <c r="AI2" s="10">
        <f ca="1">IF(AE2="NULL","NULL",VLOOKUP(G2,ビット!$A$2:$B$7,2))</f>
        <v>200000</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1697</v>
      </c>
      <c r="AQ2" s="53" t="str">
        <f ca="1">VLOOKUP($AP2,OFFSET(unit_skills!$A$1,0,0,COUNTA(unit_skills!$A:$A),MATCH(AQ$1,unit_skills!$1:$1,0)-MATCH($AP$1,unit_skills!$1:$1,0)+1),MATCH(AQ$1,unit_skills!$1:$1,0)-MATCH($AP$1,unit_skills!$1:$1,0)+1,FALSE)</f>
        <v>過燃性ブライダルチェーンソー</v>
      </c>
      <c r="AR2" s="53" t="str">
        <f ca="1">VLOOKUP($AP2,OFFSET(unit_skills!$A$1,0,0,COUNTA(unit_skills!$A:$A),MATCH(AR$1,unit_skills!$1:$1,0)-MATCH($AP$1,unit_skills!$1:$1,0)+1),MATCH(AR$1,unit_skills!$1:$1,0)-MATCH($AP$1,unit_skills!$1:$1,0)+1,FALSE)</f>
        <v>赤以外を最大10個ずつ赤と赤ボムに変換+2ターン種族ヒューマン･アカデミア･ファンタジーの攻撃力UP(青･黄を吸収し効果大UP)</v>
      </c>
      <c r="AS2" s="53">
        <f ca="1">VLOOKUP($AP2,OFFSET(unit_skills!$A$1,0,0,COUNTA(unit_skills!$A:$A),MATCH(AS$1,unit_skills!$1:$1,0)-MATCH($AP$1,unit_skills!$1:$1,0)+1),MATCH(AS$1,unit_skills!$1:$1,0)-MATCH($AP$1,unit_skills!$1:$1,0)+1,FALSE)</f>
        <v>0</v>
      </c>
      <c r="AT2" s="63">
        <v>1697</v>
      </c>
      <c r="AU2" s="53" t="str">
        <f ca="1">VLOOKUP($AT2,OFFSET(crash_skills!$A$1,0,0,COUNTA(crash_skills!$A:$A),MATCH(AU$1,crash_skills!$1:$1,0)-MATCH($AT$1,crash_skills!$1:$1,0)+1),MATCH(AU$1,crash_skills!$1:$1,0)-MATCH($AT$1,crash_skills!$1:$1,0)+1,FALSE)</f>
        <v>エンゲージ・アイドリング</v>
      </c>
      <c r="AV2" s="53" t="str">
        <f ca="1">VLOOKUP($AT2,OFFSET(crash_skills!$A$1,0,0,COUNTA(crash_skills!$A:$A),MATCH(AV$1,crash_skills!$1:$1,0)-MATCH($AT$1,crash_skills!$1:$1,0)+1),MATCH(AV$1,crash_skills!$1:$1,0)-MATCH($AT$1,crash_skills!$1:$1,0)+1,FALSE)</f>
        <v>1体に特大ダメージ+_x000D_フィーバーゲージ上昇</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1.08</v>
      </c>
      <c r="AZ2" s="64">
        <v>1.29999</v>
      </c>
      <c r="BA2" s="64">
        <v>0</v>
      </c>
      <c r="BB2" s="64">
        <v>0.78</v>
      </c>
      <c r="BC2" s="10">
        <f ca="1">INDEX('RC6SV'!$A$1:$G$21,MATCH(H2,'RC6SV'!$A$1:$A$21,FALSE),MATCH(G2,'RC6SV'!$A$1:$G$1,FALSE))</f>
        <v>12000</v>
      </c>
      <c r="BD2" s="44">
        <f t="shared" ref="BD2" ca="1" si="2">ROUND(BC2*IF(AJ2=1,0.95,IF(AJ2=2,1,IF(AJ2,1.05,0))),0)</f>
        <v>12000</v>
      </c>
      <c r="BE2" s="10">
        <f t="shared" ref="BE2:BE24" ca="1" si="3">ROUND(IFERROR(INDIRECT(ADDRESS(MATCH($A2,$AE:$AE,0),MATCH($BC$1,$1:$1,0))),0),0)</f>
        <v>12000</v>
      </c>
      <c r="BF2" s="10">
        <f t="shared" ref="BF2:BF24" ca="1" si="4">ROUND(IFERROR(INDIRECT(ADDRESS(MATCH($A2,$AE:$AE,0),10)),INDIRECT(ADDRESS(MATCH($A2,$A:$A,0),10))),0)</f>
        <v>1</v>
      </c>
      <c r="BG2" s="15">
        <f ca="1">IF($BE2&lt;=0,ROUND(BK2*0.5,0), ROUND($BE2*S2*AA2*J2*AY2*0.8*[1]ステータス!$B$2,0))</f>
        <v>7066</v>
      </c>
      <c r="BH2" s="15">
        <f ca="1">IF($BE2&lt;=0,ROUND(BL2*0.5,0), ROUND($BE2*T2*AB2*K2*AZ2*0.8*[1]ステータス!$C$2,0))</f>
        <v>3214</v>
      </c>
      <c r="BI2" s="15">
        <f ca="1">IF($BE2&lt;=0,ROUND(BM2*0.5,0), ROUND($BE2*U2*AC2*L2*BA2*0.8*[1]ステータス!$D$2,0))</f>
        <v>0</v>
      </c>
      <c r="BJ2" s="15">
        <f ca="1">IF($BE2&lt;=0,ROUND(BN2*0.5,0), ROUND($BE2*V2*AD2*M2*BB2*0.8*[1]ステータス!$E$2,0))</f>
        <v>1374</v>
      </c>
      <c r="BK2" s="10">
        <f ca="1">ROUND(BD2*S2*AA2*J2*AY2*[1]ステータス!$B$2,0)</f>
        <v>8832</v>
      </c>
      <c r="BL2" s="10">
        <f ca="1">ROUND(BD2*T2*AB2*K2*AZ2*[1]ステータス!$C$2,0)</f>
        <v>4017</v>
      </c>
      <c r="BM2" s="10">
        <f ca="1">ROUND(BD2*U2*AC2*L2*BA2*[1]ステータス!$D$2,0)</f>
        <v>0</v>
      </c>
      <c r="BN2" s="10">
        <f ca="1">ROUND(BD2*V2*AD2*M2*BB2*[1]ステータス!$E$2,0)</f>
        <v>1718</v>
      </c>
      <c r="BO2" s="9">
        <v>0</v>
      </c>
      <c r="BP2" s="9">
        <v>1</v>
      </c>
      <c r="BQ2" s="36" t="s">
        <v>47</v>
      </c>
      <c r="BR2" s="9">
        <f ca="1">VLOOKUP(H2,[2]ghosts_label!$A$2:$B$19,2,FALSE)</f>
        <v>1</v>
      </c>
    </row>
    <row r="3" spans="1:70" ht="26" customHeight="1" x14ac:dyDescent="0.15">
      <c r="A3" s="186">
        <v>1698</v>
      </c>
      <c r="B3" s="53" t="str">
        <f ca="1">VLOOKUP($A3,OFFSET([1]characters!$A$1,0,0,COUNTA([1]characters!$A:$A),MATCH(B$1,[1]characters!$1:$1,0)-MATCH($A$1,[1]characters!$1:$1,0)+1),MATCH(B$1,[1]characters!$1:$1,0)-MATCH($A$1,[1]characters!$1:$1,0)+1,FALSE)</f>
        <v>炎断の華嫁 ガーネット</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45</v>
      </c>
      <c r="O3" s="10">
        <f ca="1">INDEX(レベル!$A$1:$I$22,MATCH(H3,レベル!$A$1:$A$22,FALSE),MATCH(G3,レベル!$A$1:$I$1,FALSE))</f>
        <v>99</v>
      </c>
      <c r="P3" s="44">
        <f t="shared" ref="P3" ca="1" si="5">IF(G3 &gt;= 6, 99,G3*15)</f>
        <v>99</v>
      </c>
      <c r="Q3" s="53" t="str">
        <f ca="1">VLOOKUP($A3,OFFSET([1]characters!$A$1,0,0,COUNTA([1]characters!$A:$A),MATCH(Q$1,[1]characters!$1:$1,0)-MATCH($A$1,[1]characters!$1:$1,0)+1),MATCH(Q$1,[1]characters!$1:$1,0)-MATCH($A$1,[1]characters!$1:$1,0)+1,FALSE)</f>
        <v>hp</v>
      </c>
      <c r="R3" s="5" t="str">
        <f ca="1">VLOOKUP(Q3,[1]character_type_i18n!$A:$H,3,FALSE)</f>
        <v>体力タイプ</v>
      </c>
      <c r="S3" s="10">
        <f ca="1">VLOOKUP(Q3,[1]character_type_i18n!$A:$H,4,FALSE)</f>
        <v>1.45</v>
      </c>
      <c r="T3" s="10">
        <f ca="1">VLOOKUP(Q3,[1]character_type_i18n!$A:$H,5,FALSE)</f>
        <v>0.85</v>
      </c>
      <c r="U3" s="10">
        <f ca="1">VLOOKUP(Q3,[1]character_type_i18n!$A:$H,6,FALSE)</f>
        <v>1</v>
      </c>
      <c r="V3" s="10">
        <f ca="1">VLOOKUP(Q3,[1]character_type_i18n!$A:$H,7,FALSE)</f>
        <v>0.7</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fantasy</v>
      </c>
      <c r="Z3" s="5" t="str">
        <f ca="1">VLOOKUP(Y3,[1]character_tribe_i18n!$A:$H,3,FALSE)</f>
        <v>ファンタジー</v>
      </c>
      <c r="AA3" s="10">
        <f ca="1">VLOOKUP(W3,[1]character_tribe_i18n!$A:$H,4,FALSE)</f>
        <v>0.94</v>
      </c>
      <c r="AB3" s="10">
        <f ca="1">VLOOKUP(W3,[1]character_tribe_i18n!$A:$H,5,FALSE)</f>
        <v>0.99</v>
      </c>
      <c r="AC3" s="10">
        <f ca="1">VLOOKUP(W3,[1]character_tribe_i18n!$A:$H,6,FALSE)</f>
        <v>1</v>
      </c>
      <c r="AD3" s="10">
        <f ca="1">VLOOKUP(W3,[1]character_tribe_i18n!$A:$H,7,FALSE)</f>
        <v>1.07</v>
      </c>
      <c r="AE3" s="187">
        <v>1697</v>
      </c>
      <c r="AF3" s="58" t="str">
        <f ca="1">IF(AE3="NULL","",VLOOKUP($AE3,OFFSET([1]characters!$A$1,0,0,COUNTA([1]characters!$A:$A),MATCH(AF$1,[1]characters!$1:$1,0)-MATCH($A$1,[1]characters!$1:$1,0)+1),MATCH(AF$1,[1]characters!$1:$1,0)-MATCH($A$1,[1]characters!$1:$1,0)+1,FALSE))</f>
        <v>駆動する機会 ガーネット</v>
      </c>
      <c r="AG3" s="187">
        <v>1697</v>
      </c>
      <c r="AH3" s="58" t="str">
        <f ca="1">VLOOKUP($AG3,OFFSET([1]characters!$A$1,0,0,COUNTA([1]characters!$A:$A),MATCH(AH$1,[1]characters!$1:$1,0)-MATCH($A$1,[1]characters!$1:$1,0)+1),MATCH(AH$1,[1]characters!$1:$1,0)-MATCH($A$1,[1]characters!$1:$1,0)+1,FALSE)</f>
        <v>駆動する機会 ガーネット</v>
      </c>
      <c r="AI3" s="10">
        <f ca="1">IF(AE3="NULL","NULL",VLOOKUP(G3,ビット!$A$2:$B$7,2))</f>
        <v>200000</v>
      </c>
      <c r="AJ3" s="6">
        <v>2</v>
      </c>
      <c r="AK3" s="7" t="str">
        <f t="shared" ref="AK3" si="6">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1698</v>
      </c>
      <c r="AQ3" s="53" t="str">
        <f ca="1">VLOOKUP($AP3,OFFSET(unit_skills!$A$1,0,0,COUNTA(unit_skills!$A:$A),MATCH(AQ$1,unit_skills!$1:$1,0)-MATCH($AP$1,unit_skills!$1:$1,0)+1),MATCH(AQ$1,unit_skills!$1:$1,0)-MATCH($AP$1,unit_skills!$1:$1,0)+1,FALSE)</f>
        <v>過燃性ブライダルチェーンソー</v>
      </c>
      <c r="AR3" s="53" t="str">
        <f ca="1">VLOOKUP($AP3,OFFSET(unit_skills!$A$1,0,0,COUNTA(unit_skills!$A:$A),MATCH(AR$1,unit_skills!$1:$1,0)-MATCH($AP$1,unit_skills!$1:$1,0)+1),MATCH(AR$1,unit_skills!$1:$1,0)-MATCH($AP$1,unit_skills!$1:$1,0)+1,FALSE)</f>
        <v>赤以外を最大10個ずつ赤と赤ボムに変換+2ターン種族ヒューマン･アカデミア･ファンタジーの攻撃力UP(青･黄を吸収し効果大UP)</v>
      </c>
      <c r="AS3" s="53">
        <f ca="1">VLOOKUP($AP3,OFFSET(unit_skills!$A$1,0,0,COUNTA(unit_skills!$A:$A),MATCH(AS$1,unit_skills!$1:$1,0)-MATCH($AP$1,unit_skills!$1:$1,0)+1),MATCH(AS$1,unit_skills!$1:$1,0)-MATCH($AP$1,unit_skills!$1:$1,0)+1,FALSE)</f>
        <v>0</v>
      </c>
      <c r="AT3" s="63">
        <v>1698</v>
      </c>
      <c r="AU3" s="53" t="str">
        <f ca="1">VLOOKUP($AT3,OFFSET(crash_skills!$A$1,0,0,COUNTA(crash_skills!$A:$A),MATCH(AU$1,crash_skills!$1:$1,0)-MATCH($AT$1,crash_skills!$1:$1,0)+1),MATCH(AU$1,crash_skills!$1:$1,0)-MATCH($AT$1,crash_skills!$1:$1,0)+1,FALSE)</f>
        <v>エンゲージ・アイドリング</v>
      </c>
      <c r="AV3" s="53" t="str">
        <f ca="1">VLOOKUP($AT3,OFFSET(crash_skills!$A$1,0,0,COUNTA(crash_skills!$A:$A),MATCH(AV$1,crash_skills!$1:$1,0)-MATCH($AT$1,crash_skills!$1:$1,0)+1),MATCH(AV$1,crash_skills!$1:$1,0)-MATCH($AT$1,crash_skills!$1:$1,0)+1,FALSE)</f>
        <v>1体に特大ダメージ+_x000D_フィーバーゲージ上昇</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1.08</v>
      </c>
      <c r="AZ3" s="64">
        <v>1.29999</v>
      </c>
      <c r="BA3" s="64">
        <v>0</v>
      </c>
      <c r="BB3" s="64">
        <v>0.78</v>
      </c>
      <c r="BC3" s="10">
        <f ca="1">INDEX('RC6SV'!$A$1:$G$21,MATCH(H3,'RC6SV'!$A$1:$A$21,FALSE),MATCH(G3,'RC6SV'!$A$1:$G$1,FALSE))</f>
        <v>12000</v>
      </c>
      <c r="BD3" s="44">
        <f t="shared" ref="BD3" ca="1" si="7">ROUND(BC3*IF(AJ3=1,0.95,IF(AJ3=2,1,IF(AJ3,1.05,0))),0)</f>
        <v>12000</v>
      </c>
      <c r="BE3" s="10">
        <f t="shared" ca="1" si="3"/>
        <v>12000</v>
      </c>
      <c r="BF3" s="10">
        <f t="shared" ca="1" si="4"/>
        <v>1</v>
      </c>
      <c r="BG3" s="15">
        <f ca="1">IF($BE3&lt;=0,ROUND(BK3*0.5,0), ROUND($BE3*S3*AA3*J3*AY3*0.8*[1]ステータス!$B$2,0))</f>
        <v>7066</v>
      </c>
      <c r="BH3" s="15">
        <f ca="1">IF($BE3&lt;=0,ROUND(BL3*0.5,0), ROUND($BE3*T3*AB3*K3*AZ3*0.8*[1]ステータス!$C$2,0))</f>
        <v>3214</v>
      </c>
      <c r="BI3" s="15">
        <f ca="1">IF($BE3&lt;=0,ROUND(BM3*0.5,0), ROUND($BE3*U3*AC3*L3*BA3*0.8*[1]ステータス!$D$2,0))</f>
        <v>0</v>
      </c>
      <c r="BJ3" s="15">
        <f ca="1">IF($BE3&lt;=0,ROUND(BN3*0.5,0), ROUND($BE3*V3*AD3*M3*BB3*0.8*[1]ステータス!$E$2,0))</f>
        <v>1374</v>
      </c>
      <c r="BK3" s="10">
        <f ca="1">ROUND(BD3*S3*AA3*J3*AY3*[1]ステータス!$B$2,0)</f>
        <v>8832</v>
      </c>
      <c r="BL3" s="10">
        <f ca="1">ROUND(BD3*T3*AB3*K3*AZ3*[1]ステータス!$C$2,0)</f>
        <v>4017</v>
      </c>
      <c r="BM3" s="10">
        <f ca="1">ROUND(BD3*U3*AC3*L3*BA3*[1]ステータス!$D$2,0)</f>
        <v>0</v>
      </c>
      <c r="BN3" s="10">
        <f ca="1">ROUND(BD3*V3*AD3*M3*BB3*[1]ステータス!$E$2,0)</f>
        <v>1718</v>
      </c>
      <c r="BO3" s="9">
        <v>0</v>
      </c>
      <c r="BP3" s="9">
        <v>1</v>
      </c>
      <c r="BQ3" s="36" t="s">
        <v>47</v>
      </c>
      <c r="BR3" s="9">
        <f ca="1">VLOOKUP(H3,[2]ghosts_label!$A$2:$B$19,2,FALSE)</f>
        <v>1</v>
      </c>
    </row>
    <row r="4" spans="1:70" ht="26" customHeight="1" x14ac:dyDescent="0.15">
      <c r="A4" s="186">
        <v>1699</v>
      </c>
      <c r="B4" s="53" t="str">
        <f ca="1">VLOOKUP($A4,OFFSET([1]characters!$A$1,0,0,COUNTA([1]characters!$A:$A),MATCH(B$1,[1]characters!$1:$1,0)-MATCH($A$1,[1]characters!$1:$1,0)+1),MATCH(B$1,[1]characters!$1:$1,0)-MATCH($A$1,[1]characters!$1:$1,0)+1,FALSE)</f>
        <v>崇高祝言 アマテラス</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45</v>
      </c>
      <c r="O4" s="10">
        <f ca="1">INDEX(レベル!$A$1:$I$22,MATCH(H4,レベル!$A$1:$A$22,FALSE),MATCH(G4,レベル!$A$1:$I$1,FALSE))</f>
        <v>99</v>
      </c>
      <c r="P4" s="44">
        <f t="shared" ca="1" si="0"/>
        <v>99</v>
      </c>
      <c r="Q4" s="53" t="str">
        <f ca="1">VLOOKUP($A4,OFFSET([1]characters!$A$1,0,0,COUNTA([1]characters!$A:$A),MATCH(Q$1,[1]characters!$1:$1,0)-MATCH($A$1,[1]characters!$1:$1,0)+1),MATCH(Q$1,[1]characters!$1:$1,0)-MATCH($A$1,[1]characters!$1:$1,0)+1,FALSE)</f>
        <v>technical</v>
      </c>
      <c r="R4" s="5" t="str">
        <f ca="1">VLOOKUP(Q4,[1]character_type_i18n!$A:$H,3,FALSE)</f>
        <v>テクニカルタイプ</v>
      </c>
      <c r="S4" s="10">
        <f ca="1">VLOOKUP(Q4,[1]character_type_i18n!$A:$H,4,FALSE)</f>
        <v>0.9</v>
      </c>
      <c r="T4" s="10">
        <f ca="1">VLOOKUP(Q4,[1]character_type_i18n!$A:$H,5,FALSE)</f>
        <v>0.9</v>
      </c>
      <c r="U4" s="10">
        <f ca="1">VLOOKUP(Q4,[1]character_type_i18n!$A:$H,6,FALSE)</f>
        <v>1</v>
      </c>
      <c r="V4" s="10">
        <f ca="1">VLOOKUP(Q4,[1]character_type_i18n!$A:$H,7,FALSE)</f>
        <v>0.9</v>
      </c>
      <c r="W4" s="53" t="str">
        <f ca="1">VLOOKUP($A4,OFFSET([1]characters!$A$1,0,0,COUNTA([1]characters!$A:$A),MATCH(W$1,[1]characters!$1:$1,0)-MATCH($A$1,[1]characters!$1:$1,0)+1),MATCH(W$1,[1]characters!$1:$1,0)-MATCH($A$1,[1]characters!$1:$1,0)+1,FALSE)</f>
        <v>god</v>
      </c>
      <c r="X4" s="5" t="str">
        <f ca="1">VLOOKUP(W4,[1]character_tribe_i18n!$A:$H,3,FALSE)</f>
        <v>ゴッド</v>
      </c>
      <c r="Y4" s="53" t="str">
        <f ca="1">VLOOKUP($A4,OFFSET([1]characters!$A$1,0,0,COUNTA([1]characters!$A:$A),MATCH(Y$1,[1]characters!$1:$1,0)-MATCH($A$1,[1]characters!$1:$1,0)+1),MATCH(Y$1,[1]characters!$1:$1,0)-MATCH($A$1,[1]characters!$1:$1,0)+1,FALSE)</f>
        <v>fantasy</v>
      </c>
      <c r="Z4" s="5" t="str">
        <f ca="1">VLOOKUP(Y4,[1]character_tribe_i18n!$A:$H,3,FALSE)</f>
        <v>ファンタジー</v>
      </c>
      <c r="AA4" s="10">
        <f ca="1">VLOOKUP(W4,[1]character_tribe_i18n!$A:$H,4,FALSE)</f>
        <v>0.96</v>
      </c>
      <c r="AB4" s="10">
        <f ca="1">VLOOKUP(W4,[1]character_tribe_i18n!$A:$H,5,FALSE)</f>
        <v>1.02</v>
      </c>
      <c r="AC4" s="10">
        <f ca="1">VLOOKUP(W4,[1]character_tribe_i18n!$A:$H,6,FALSE)</f>
        <v>1</v>
      </c>
      <c r="AD4" s="10">
        <f ca="1">VLOOKUP(W4,[1]character_tribe_i18n!$A:$H,7,FALSE)</f>
        <v>1.02</v>
      </c>
      <c r="AE4" s="187">
        <v>1700</v>
      </c>
      <c r="AF4" s="58" t="str">
        <f ca="1">IF(AE4="NULL","",VLOOKUP($AE4,OFFSET([1]characters!$A$1,0,0,COUNTA([1]characters!$A:$A),MATCH(AF$1,[1]characters!$1:$1,0)-MATCH($A$1,[1]characters!$1:$1,0)+1),MATCH(AF$1,[1]characters!$1:$1,0)-MATCH($A$1,[1]characters!$1:$1,0)+1,FALSE))</f>
        <v>大慶総氏神 アマテラス</v>
      </c>
      <c r="AG4" s="187">
        <v>1699</v>
      </c>
      <c r="AH4" s="58" t="str">
        <f ca="1">VLOOKUP($AG4,OFFSET([1]characters!$A$1,0,0,COUNTA([1]characters!$A:$A),MATCH(AH$1,[1]characters!$1:$1,0)-MATCH($A$1,[1]characters!$1:$1,0)+1),MATCH(AH$1,[1]characters!$1:$1,0)-MATCH($A$1,[1]characters!$1:$1,0)+1,FALSE)</f>
        <v>崇高祝言 アマテラス</v>
      </c>
      <c r="AI4" s="10">
        <f ca="1">IF(AE4="NULL","NULL",VLOOKUP(G4,ビット!$A$2:$B$7,2))</f>
        <v>200000</v>
      </c>
      <c r="AJ4" s="6">
        <v>2</v>
      </c>
      <c r="AK4" s="7" t="str">
        <f t="shared" ref="AK4:AK6" si="8">IF(AJ4=1,"早熟",IF(AJ4=2,"普通",IF(AJ4=3,"晩成","")))</f>
        <v>普通</v>
      </c>
      <c r="AL4" s="10" t="str">
        <f ca="1">INDEX(経験値!$A$1:$I$21,MATCH(H4,経験値!$A$1:$A$21,FALSE),MATCH(G4,経験値!$A$1:$I$1,FALSE))</f>
        <v>required_exp_250</v>
      </c>
      <c r="AM4" s="8">
        <f ca="1">VLOOKUP(G4,経験値!$A$28:$B$32,2)</f>
        <v>6400</v>
      </c>
      <c r="AN4" s="16">
        <f ca="1">VLOOKUP(G4,ビット!$G$2:$H$7,2)</f>
        <v>900</v>
      </c>
      <c r="AO4" s="41"/>
      <c r="AP4" s="63">
        <v>1699</v>
      </c>
      <c r="AQ4" s="53" t="str">
        <f ca="1">VLOOKUP($AP4,OFFSET(unit_skills!$A$1,0,0,COUNTA(unit_skills!$A:$A),MATCH(AQ$1,unit_skills!$1:$1,0)-MATCH($AP$1,unit_skills!$1:$1,0)+1),MATCH(AQ$1,unit_skills!$1:$1,0)-MATCH($AP$1,unit_skills!$1:$1,0)+1,FALSE)</f>
        <v>大祝言・岩戸披露炎</v>
      </c>
      <c r="AR4" s="53" t="str">
        <f ca="1">VLOOKUP($AP4,OFFSET(unit_skills!$A$1,0,0,COUNTA(unit_skills!$A:$A),MATCH(AR$1,unit_skills!$1:$1,0)-MATCH($AP$1,unit_skills!$1:$1,0)+1),MATCH(AR$1,unit_skills!$1:$1,0)-MATCH($AP$1,unit_skills!$1:$1,0)+1,FALSE)</f>
        <v>黄パネルを最大8個赤パネルに、青パネルを最大8個ハートパネルに変換+2ターン緑属性ユニットの攻撃力と回復力を大UP</v>
      </c>
      <c r="AS4" s="53">
        <f ca="1">VLOOKUP($AP4,OFFSET(unit_skills!$A$1,0,0,COUNTA(unit_skills!$A:$A),MATCH(AS$1,unit_skills!$1:$1,0)-MATCH($AP$1,unit_skills!$1:$1,0)+1),MATCH(AS$1,unit_skills!$1:$1,0)-MATCH($AP$1,unit_skills!$1:$1,0)+1,FALSE)</f>
        <v>0</v>
      </c>
      <c r="AT4" s="63">
        <v>1699</v>
      </c>
      <c r="AU4" s="53" t="str">
        <f ca="1">VLOOKUP($AT4,OFFSET(crash_skills!$A$1,0,0,COUNTA(crash_skills!$A:$A),MATCH(AU$1,crash_skills!$1:$1,0)-MATCH($AT$1,crash_skills!$1:$1,0)+1),MATCH(AU$1,crash_skills!$1:$1,0)-MATCH($AT$1,crash_skills!$1:$1,0)+1,FALSE)</f>
        <v>吉日に舞う無垢なる祝炎</v>
      </c>
      <c r="AV4" s="53" t="str">
        <f ca="1">VLOOKUP($AT4,OFFSET(crash_skills!$A$1,0,0,COUNTA(crash_skills!$A:$A),MATCH(AV$1,crash_skills!$1:$1,0)-MATCH($AT$1,crash_skills!$1:$1,0)+1),MATCH(AV$1,crash_skills!$1:$1,0)-MATCH($AT$1,crash_skills!$1:$1,0)+1,FALSE)</f>
        <v>自身の回復力に比例して1体に大ダメージ+_x000D_1体に大ダメージ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1.1000000000000001</v>
      </c>
      <c r="AZ4" s="64">
        <v>1.28</v>
      </c>
      <c r="BA4" s="64">
        <v>0</v>
      </c>
      <c r="BB4" s="64">
        <v>1.325</v>
      </c>
      <c r="BC4" s="10">
        <f ca="1">INDEX('RC6SV'!$A$1:$G$21,MATCH(H4,'RC6SV'!$A$1:$A$21,FALSE),MATCH(G4,'RC6SV'!$A$1:$G$1,FALSE))</f>
        <v>12000</v>
      </c>
      <c r="BD4" s="44">
        <f t="shared" ref="BD4:BD6" ca="1" si="9">ROUND(BC4*IF(AJ4=1,0.95,IF(AJ4=2,1,IF(AJ4,1.05,0))),0)</f>
        <v>12000</v>
      </c>
      <c r="BE4" s="10">
        <f t="shared" ca="1" si="3"/>
        <v>12000</v>
      </c>
      <c r="BF4" s="10">
        <f t="shared" ca="1" si="4"/>
        <v>1</v>
      </c>
      <c r="BG4" s="15">
        <f ca="1">IF($BE4&lt;=0,ROUND(BK4*0.5,0), ROUND($BE4*S4*AA4*J4*AY4*0.8*[1]ステータス!$B$2,0))</f>
        <v>4653</v>
      </c>
      <c r="BH4" s="15">
        <f ca="1">IF($BE4&lt;=0,ROUND(BL4*0.5,0), ROUND($BE4*T4*AB4*K4*AZ4*0.8*[1]ステータス!$C$2,0))</f>
        <v>3316</v>
      </c>
      <c r="BI4" s="15">
        <f ca="1">IF($BE4&lt;=0,ROUND(BM4*0.5,0), ROUND($BE4*U4*AC4*L4*BA4*0.8*[1]ステータス!$D$2,0))</f>
        <v>0</v>
      </c>
      <c r="BJ4" s="15">
        <f ca="1">IF($BE4&lt;=0,ROUND(BN4*0.5,0), ROUND($BE4*V4*AD4*M4*BB4*0.8*[1]ステータス!$E$2,0))</f>
        <v>2919</v>
      </c>
      <c r="BK4" s="10">
        <f ca="1">ROUND(BD4*S4*AA4*J4*AY4*[1]ステータス!$B$2,0)</f>
        <v>5816</v>
      </c>
      <c r="BL4" s="10">
        <f ca="1">ROUND(BD4*T4*AB4*K4*AZ4*[1]ステータス!$C$2,0)</f>
        <v>4146</v>
      </c>
      <c r="BM4" s="10">
        <f ca="1">ROUND(BD4*U4*AC4*L4*BA4*[1]ステータス!$D$2,0)</f>
        <v>0</v>
      </c>
      <c r="BN4" s="10">
        <f ca="1">ROUND(BD4*V4*AD4*M4*BB4*[1]ステータス!$E$2,0)</f>
        <v>3649</v>
      </c>
      <c r="BO4" s="9">
        <v>0</v>
      </c>
      <c r="BP4" s="9">
        <v>1</v>
      </c>
      <c r="BQ4" s="9" t="s">
        <v>47</v>
      </c>
      <c r="BR4" s="9">
        <f ca="1">VLOOKUP(H4,[2]ghosts_label!$A$2:$B$19,2,FALSE)</f>
        <v>1</v>
      </c>
    </row>
    <row r="5" spans="1:70" ht="26" customHeight="1" x14ac:dyDescent="0.15">
      <c r="A5" s="186">
        <v>1700</v>
      </c>
      <c r="B5" s="53" t="str">
        <f ca="1">VLOOKUP($A5,OFFSET([1]characters!$A$1,0,0,COUNTA([1]characters!$A:$A),MATCH(B$1,[1]characters!$1:$1,0)-MATCH($A$1,[1]characters!$1:$1,0)+1),MATCH(B$1,[1]characters!$1:$1,0)-MATCH($A$1,[1]characters!$1:$1,0)+1,FALSE)</f>
        <v>大慶総氏神 アマテラス</v>
      </c>
      <c r="C5" s="53" t="str">
        <f ca="1">VLOOKUP($A5,OFFSET([1]characters!$A$1,0,0,COUNTA([1]characters!$A:$A),MATCH(C$1,[1]characters!$1:$1,0)-MATCH($A$1,[1]characters!$1:$1,0)+1),MATCH(C$1,[1]characters!$1:$1,0)-MATCH($A$1,[1]characters!$1:$1,0)+1,FALSE)</f>
        <v>未定</v>
      </c>
      <c r="D5" s="53" t="str">
        <f ca="1">VLOOKUP($A5,OFFSET([1]characters!$A$1,0,0,COUNTA([1]characters!$A:$A),MATCH(D$1,[1]characters!$1:$1,0)-MATCH($A$1,[1]characters!$1:$1,0)+1),MATCH(D$1,[1]characters!$1:$1,0)-MATCH($A$1,[1]characters!$1:$1,0)+1,FALSE)</f>
        <v>アリス</v>
      </c>
      <c r="E5" s="53" t="str">
        <f ca="1">VLOOKUP($A5,OFFSET([1]characters!$A$1,0,0,COUNTA([1]characters!$A:$A),MATCH(E$1,[1]characters!$1:$1,0)-MATCH($A$1,[1]characters!$1:$1,0)+1),MATCH(E$1,[1]characters!$1:$1,0)-MATCH($A$1,[1]characters!$1:$1,0)+1,FALSE)</f>
        <v>世界観</v>
      </c>
      <c r="F5" s="53" t="str">
        <f ca="1">VLOOKUP($A5,OFFSET([1]characters!$A$1,0,0,COUNTA([1]characters!$A:$A),MATCH(F$1,[1]characters!$1:$1,0)-MATCH($A$1,[1]characters!$1:$1,0)+1),MATCH(F$1,[1]characters!$1:$1,0)-MATCH($A$1,[1]characters!$1:$1,0)+1,FALSE)</f>
        <v>不明</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green</v>
      </c>
      <c r="J5" s="10">
        <f ca="1">VLOOKUP(I5,[1]属性!$A:$E,2,FALSE)</f>
        <v>1.02</v>
      </c>
      <c r="K5" s="10">
        <f ca="1">VLOOKUP(I5,[1]属性!$A:$E,3,FALSE)</f>
        <v>0.98</v>
      </c>
      <c r="L5" s="10">
        <f ca="1">VLOOKUP(I5,[1]属性!$A:$E,4,FALSE)</f>
        <v>1</v>
      </c>
      <c r="M5" s="10">
        <f ca="1">VLOOKUP(I5,[1]属性!$A:$E,5,FALSE)</f>
        <v>1</v>
      </c>
      <c r="N5" s="10">
        <f ca="1">INDEX(コスト!$A$1:$I$21,MATCH(H5,コスト!$A$1:$A$21,FALSE),MATCH(G5,コスト!$A$1:$I$1,FALSE))</f>
        <v>45</v>
      </c>
      <c r="O5" s="10">
        <f ca="1">INDEX(レベル!$A$1:$I$22,MATCH(H5,レベル!$A$1:$A$22,FALSE),MATCH(G5,レベル!$A$1:$I$1,FALSE))</f>
        <v>99</v>
      </c>
      <c r="P5" s="44">
        <f t="shared" ref="P5" ca="1" si="10">IF(G5 &gt;= 6, 99,G5*15)</f>
        <v>99</v>
      </c>
      <c r="Q5" s="53" t="str">
        <f ca="1">VLOOKUP($A5,OFFSET([1]characters!$A$1,0,0,COUNTA([1]characters!$A:$A),MATCH(Q$1,[1]characters!$1:$1,0)-MATCH($A$1,[1]characters!$1:$1,0)+1),MATCH(Q$1,[1]characters!$1:$1,0)-MATCH($A$1,[1]characters!$1:$1,0)+1,FALSE)</f>
        <v>technical</v>
      </c>
      <c r="R5" s="5" t="str">
        <f ca="1">VLOOKUP(Q5,[1]character_type_i18n!$A:$H,3,FALSE)</f>
        <v>テクニカルタイプ</v>
      </c>
      <c r="S5" s="10">
        <f ca="1">VLOOKUP(Q5,[1]character_type_i18n!$A:$H,4,FALSE)</f>
        <v>0.9</v>
      </c>
      <c r="T5" s="10">
        <f ca="1">VLOOKUP(Q5,[1]character_type_i18n!$A:$H,5,FALSE)</f>
        <v>0.9</v>
      </c>
      <c r="U5" s="10">
        <f ca="1">VLOOKUP(Q5,[1]character_type_i18n!$A:$H,6,FALSE)</f>
        <v>1</v>
      </c>
      <c r="V5" s="10">
        <f ca="1">VLOOKUP(Q5,[1]character_type_i18n!$A:$H,7,FALSE)</f>
        <v>0.9</v>
      </c>
      <c r="W5" s="53" t="str">
        <f ca="1">VLOOKUP($A5,OFFSET([1]characters!$A$1,0,0,COUNTA([1]characters!$A:$A),MATCH(W$1,[1]characters!$1:$1,0)-MATCH($A$1,[1]characters!$1:$1,0)+1),MATCH(W$1,[1]characters!$1:$1,0)-MATCH($A$1,[1]characters!$1:$1,0)+1,FALSE)</f>
        <v>god</v>
      </c>
      <c r="X5" s="5" t="str">
        <f ca="1">VLOOKUP(W5,[1]character_tribe_i18n!$A:$H,3,FALSE)</f>
        <v>ゴッド</v>
      </c>
      <c r="Y5" s="53" t="str">
        <f ca="1">VLOOKUP($A5,OFFSET([1]characters!$A$1,0,0,COUNTA([1]characters!$A:$A),MATCH(Y$1,[1]characters!$1:$1,0)-MATCH($A$1,[1]characters!$1:$1,0)+1),MATCH(Y$1,[1]characters!$1:$1,0)-MATCH($A$1,[1]characters!$1:$1,0)+1,FALSE)</f>
        <v>fantasy</v>
      </c>
      <c r="Z5" s="5" t="str">
        <f ca="1">VLOOKUP(Y5,[1]character_tribe_i18n!$A:$H,3,FALSE)</f>
        <v>ファンタジー</v>
      </c>
      <c r="AA5" s="10">
        <f ca="1">VLOOKUP(W5,[1]character_tribe_i18n!$A:$H,4,FALSE)</f>
        <v>0.96</v>
      </c>
      <c r="AB5" s="10">
        <f ca="1">VLOOKUP(W5,[1]character_tribe_i18n!$A:$H,5,FALSE)</f>
        <v>1.02</v>
      </c>
      <c r="AC5" s="10">
        <f ca="1">VLOOKUP(W5,[1]character_tribe_i18n!$A:$H,6,FALSE)</f>
        <v>1</v>
      </c>
      <c r="AD5" s="10">
        <f ca="1">VLOOKUP(W5,[1]character_tribe_i18n!$A:$H,7,FALSE)</f>
        <v>1.02</v>
      </c>
      <c r="AE5" s="187">
        <v>1699</v>
      </c>
      <c r="AF5" s="58" t="str">
        <f ca="1">IF(AE5="NULL","",VLOOKUP($AE5,OFFSET([1]characters!$A$1,0,0,COUNTA([1]characters!$A:$A),MATCH(AF$1,[1]characters!$1:$1,0)-MATCH($A$1,[1]characters!$1:$1,0)+1),MATCH(AF$1,[1]characters!$1:$1,0)-MATCH($A$1,[1]characters!$1:$1,0)+1,FALSE))</f>
        <v>崇高祝言 アマテラス</v>
      </c>
      <c r="AG5" s="187">
        <v>1699</v>
      </c>
      <c r="AH5" s="58" t="str">
        <f ca="1">VLOOKUP($AG5,OFFSET([1]characters!$A$1,0,0,COUNTA([1]characters!$A:$A),MATCH(AH$1,[1]characters!$1:$1,0)-MATCH($A$1,[1]characters!$1:$1,0)+1),MATCH(AH$1,[1]characters!$1:$1,0)-MATCH($A$1,[1]characters!$1:$1,0)+1,FALSE)</f>
        <v>崇高祝言 アマテラス</v>
      </c>
      <c r="AI5" s="10">
        <f ca="1">IF(AE5="NULL","NULL",VLOOKUP(G5,ビット!$A$2:$B$7,2))</f>
        <v>200000</v>
      </c>
      <c r="AJ5" s="6">
        <v>2</v>
      </c>
      <c r="AK5" s="7" t="str">
        <f t="shared" ref="AK5" si="11">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1700</v>
      </c>
      <c r="AQ5" s="53" t="str">
        <f ca="1">VLOOKUP($AP5,OFFSET(unit_skills!$A$1,0,0,COUNTA(unit_skills!$A:$A),MATCH(AQ$1,unit_skills!$1:$1,0)-MATCH($AP$1,unit_skills!$1:$1,0)+1),MATCH(AQ$1,unit_skills!$1:$1,0)-MATCH($AP$1,unit_skills!$1:$1,0)+1,FALSE)</f>
        <v>大祝言・岩戸披露炎</v>
      </c>
      <c r="AR5" s="53" t="str">
        <f ca="1">VLOOKUP($AP5,OFFSET(unit_skills!$A$1,0,0,COUNTA(unit_skills!$A:$A),MATCH(AR$1,unit_skills!$1:$1,0)-MATCH($AP$1,unit_skills!$1:$1,0)+1),MATCH(AR$1,unit_skills!$1:$1,0)-MATCH($AP$1,unit_skills!$1:$1,0)+1,FALSE)</f>
        <v>黄パネルを最大8個赤パネルに、青パネルを最大8個ハートパネルに変換+2ターン緑属性ユニットの攻撃力と回復力を大UP</v>
      </c>
      <c r="AS5" s="53">
        <f ca="1">VLOOKUP($AP5,OFFSET(unit_skills!$A$1,0,0,COUNTA(unit_skills!$A:$A),MATCH(AS$1,unit_skills!$1:$1,0)-MATCH($AP$1,unit_skills!$1:$1,0)+1),MATCH(AS$1,unit_skills!$1:$1,0)-MATCH($AP$1,unit_skills!$1:$1,0)+1,FALSE)</f>
        <v>0</v>
      </c>
      <c r="AT5" s="63">
        <v>1700</v>
      </c>
      <c r="AU5" s="53" t="str">
        <f ca="1">VLOOKUP($AT5,OFFSET(crash_skills!$A$1,0,0,COUNTA(crash_skills!$A:$A),MATCH(AU$1,crash_skills!$1:$1,0)-MATCH($AT$1,crash_skills!$1:$1,0)+1),MATCH(AU$1,crash_skills!$1:$1,0)-MATCH($AT$1,crash_skills!$1:$1,0)+1,FALSE)</f>
        <v>吉日に舞う無垢なる祝炎</v>
      </c>
      <c r="AV5" s="53" t="str">
        <f ca="1">VLOOKUP($AT5,OFFSET(crash_skills!$A$1,0,0,COUNTA(crash_skills!$A:$A),MATCH(AV$1,crash_skills!$1:$1,0)-MATCH($AT$1,crash_skills!$1:$1,0)+1),MATCH(AV$1,crash_skills!$1:$1,0)-MATCH($AT$1,crash_skills!$1:$1,0)+1,FALSE)</f>
        <v>自身の回復力に比例して1体に大ダメージ+_x000D_1体に大ダメージ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1.1000000000000001</v>
      </c>
      <c r="AZ5" s="64">
        <v>1.28</v>
      </c>
      <c r="BA5" s="64">
        <v>0</v>
      </c>
      <c r="BB5" s="64">
        <v>1.325</v>
      </c>
      <c r="BC5" s="10">
        <f ca="1">INDEX('RC6SV'!$A$1:$G$21,MATCH(H5,'RC6SV'!$A$1:$A$21,FALSE),MATCH(G5,'RC6SV'!$A$1:$G$1,FALSE))</f>
        <v>12000</v>
      </c>
      <c r="BD5" s="44">
        <f t="shared" ref="BD5" ca="1" si="12">ROUND(BC5*IF(AJ5=1,0.95,IF(AJ5=2,1,IF(AJ5,1.05,0))),0)</f>
        <v>12000</v>
      </c>
      <c r="BE5" s="10">
        <f t="shared" ca="1" si="3"/>
        <v>12000</v>
      </c>
      <c r="BF5" s="10">
        <f t="shared" ca="1" si="4"/>
        <v>1</v>
      </c>
      <c r="BG5" s="15">
        <f ca="1">IF($BE5&lt;=0,ROUND(BK5*0.5,0), ROUND($BE5*S5*AA5*J5*AY5*0.8*[1]ステータス!$B$2,0))</f>
        <v>4653</v>
      </c>
      <c r="BH5" s="15">
        <f ca="1">IF($BE5&lt;=0,ROUND(BL5*0.5,0), ROUND($BE5*T5*AB5*K5*AZ5*0.8*[1]ステータス!$C$2,0))</f>
        <v>3316</v>
      </c>
      <c r="BI5" s="15">
        <f ca="1">IF($BE5&lt;=0,ROUND(BM5*0.5,0), ROUND($BE5*U5*AC5*L5*BA5*0.8*[1]ステータス!$D$2,0))</f>
        <v>0</v>
      </c>
      <c r="BJ5" s="15">
        <f ca="1">IF($BE5&lt;=0,ROUND(BN5*0.5,0), ROUND($BE5*V5*AD5*M5*BB5*0.8*[1]ステータス!$E$2,0))</f>
        <v>2919</v>
      </c>
      <c r="BK5" s="10">
        <f ca="1">ROUND(BD5*S5*AA5*J5*AY5*[1]ステータス!$B$2,0)</f>
        <v>5816</v>
      </c>
      <c r="BL5" s="10">
        <f ca="1">ROUND(BD5*T5*AB5*K5*AZ5*[1]ステータス!$C$2,0)</f>
        <v>4146</v>
      </c>
      <c r="BM5" s="10">
        <f ca="1">ROUND(BD5*U5*AC5*L5*BA5*[1]ステータス!$D$2,0)</f>
        <v>0</v>
      </c>
      <c r="BN5" s="10">
        <f ca="1">ROUND(BD5*V5*AD5*M5*BB5*[1]ステータス!$E$2,0)</f>
        <v>3649</v>
      </c>
      <c r="BO5" s="9">
        <v>0</v>
      </c>
      <c r="BP5" s="9">
        <v>1</v>
      </c>
      <c r="BQ5" s="9" t="s">
        <v>47</v>
      </c>
      <c r="BR5" s="9">
        <f ca="1">VLOOKUP(H5,[2]ghosts_label!$A$2:$B$19,2,FALSE)</f>
        <v>1</v>
      </c>
    </row>
    <row r="6" spans="1:70" ht="26" customHeight="1" x14ac:dyDescent="0.15">
      <c r="A6" s="186">
        <v>1701</v>
      </c>
      <c r="B6" s="53" t="str">
        <f ca="1">VLOOKUP($A6,OFFSET([1]characters!$A$1,0,0,COUNTA([1]characters!$A:$A),MATCH(B$1,[1]characters!$1:$1,0)-MATCH($A$1,[1]characters!$1:$1,0)+1),MATCH(B$1,[1]characters!$1:$1,0)-MATCH($A$1,[1]characters!$1:$1,0)+1,FALSE)</f>
        <v>蒼嵐の婚戦 フォルトゥナ</v>
      </c>
      <c r="C6" s="53" t="str">
        <f ca="1">VLOOKUP($A6,OFFSET([1]characters!$A$1,0,0,COUNTA([1]characters!$A:$A),MATCH(C$1,[1]characters!$1:$1,0)-MATCH($A$1,[1]characters!$1:$1,0)+1),MATCH(C$1,[1]characters!$1:$1,0)-MATCH($A$1,[1]characters!$1:$1,0)+1,FALSE)</f>
        <v>未定</v>
      </c>
      <c r="D6" s="53" t="str">
        <f ca="1">VLOOKUP($A6,OFFSET([1]characters!$A$1,0,0,COUNTA([1]characters!$A:$A),MATCH(D$1,[1]characters!$1:$1,0)-MATCH($A$1,[1]characters!$1:$1,0)+1),MATCH(D$1,[1]characters!$1:$1,0)-MATCH($A$1,[1]characters!$1:$1,0)+1,FALSE)</f>
        <v>アリス</v>
      </c>
      <c r="E6" s="53" t="str">
        <f ca="1">VLOOKUP($A6,OFFSET([1]characters!$A$1,0,0,COUNTA([1]characters!$A:$A),MATCH(E$1,[1]characters!$1:$1,0)-MATCH($A$1,[1]characters!$1:$1,0)+1),MATCH(E$1,[1]characters!$1:$1,0)-MATCH($A$1,[1]characters!$1:$1,0)+1,FALSE)</f>
        <v>世界観</v>
      </c>
      <c r="F6" s="53" t="str">
        <f ca="1">VLOOKUP($A6,OFFSET([1]characters!$A$1,0,0,COUNTA([1]characters!$A:$A),MATCH(F$1,[1]characters!$1:$1,0)-MATCH($A$1,[1]characters!$1:$1,0)+1),MATCH(F$1,[1]characters!$1:$1,0)-MATCH($A$1,[1]characters!$1:$1,0)+1,FALSE)</f>
        <v>不明</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PremiumSSw</v>
      </c>
      <c r="I6" s="53" t="str">
        <f ca="1">VLOOKUP($A6,OFFSET([1]characters!$A$1,0,0,COUNTA([1]characters!$A:$A),MATCH(I$1,[1]characters!$1:$1,0)-MATCH($A$1,[1]characters!$1:$1,0)+1),MATCH(I$1,[1]characters!$1:$1,0)-MATCH($A$1,[1]characters!$1:$1,0)+1,FALSE)</f>
        <v>blue</v>
      </c>
      <c r="J6" s="10">
        <f ca="1">VLOOKUP(I6,[1]属性!$A:$E,2,FALSE)</f>
        <v>1</v>
      </c>
      <c r="K6" s="10">
        <f ca="1">VLOOKUP(I6,[1]属性!$A:$E,3,FALSE)</f>
        <v>0.98</v>
      </c>
      <c r="L6" s="10">
        <f ca="1">VLOOKUP(I6,[1]属性!$A:$E,4,FALSE)</f>
        <v>1</v>
      </c>
      <c r="M6" s="10">
        <f ca="1">VLOOKUP(I6,[1]属性!$A:$E,5,FALSE)</f>
        <v>1.02</v>
      </c>
      <c r="N6" s="10">
        <f ca="1">INDEX(コスト!$A$1:$I$21,MATCH(H6,コスト!$A$1:$A$21,FALSE),MATCH(G6,コスト!$A$1:$I$1,FALSE))</f>
        <v>53</v>
      </c>
      <c r="O6" s="10">
        <f ca="1">INDEX(レベル!$A$1:$I$22,MATCH(H6,レベル!$A$1:$A$22,FALSE),MATCH(G6,レベル!$A$1:$I$1,FALSE))</f>
        <v>99</v>
      </c>
      <c r="P6" s="44">
        <f t="shared" ref="P6:P20" ca="1" si="13">IF(G6 &gt;= 6, 99,G6*15)</f>
        <v>99</v>
      </c>
      <c r="Q6" s="53" t="str">
        <f ca="1">VLOOKUP($A6,OFFSET([1]characters!$A$1,0,0,COUNTA([1]characters!$A:$A),MATCH(Q$1,[1]characters!$1:$1,0)-MATCH($A$1,[1]characters!$1:$1,0)+1),MATCH(Q$1,[1]characters!$1:$1,0)-MATCH($A$1,[1]characters!$1:$1,0)+1,FALSE)</f>
        <v>attack</v>
      </c>
      <c r="R6" s="5" t="str">
        <f ca="1">VLOOKUP(Q6,[1]character_type_i18n!$A:$H,3,FALSE)</f>
        <v>攻撃タイプ</v>
      </c>
      <c r="S6" s="10">
        <f ca="1">VLOOKUP(Q6,[1]character_type_i18n!$A:$H,4,FALSE)</f>
        <v>1</v>
      </c>
      <c r="T6" s="10">
        <f ca="1">VLOOKUP(Q6,[1]character_type_i18n!$A:$H,5,FALSE)</f>
        <v>1.33</v>
      </c>
      <c r="U6" s="10">
        <f ca="1">VLOOKUP(Q6,[1]character_type_i18n!$A:$H,6,FALSE)</f>
        <v>1</v>
      </c>
      <c r="V6" s="10">
        <f ca="1">VLOOKUP(Q6,[1]character_type_i18n!$A:$H,7,FALSE)</f>
        <v>0.67</v>
      </c>
      <c r="W6" s="53" t="str">
        <f ca="1">VLOOKUP($A6,OFFSET([1]characters!$A$1,0,0,COUNTA([1]characters!$A:$A),MATCH(W$1,[1]characters!$1:$1,0)-MATCH($A$1,[1]characters!$1:$1,0)+1),MATCH(W$1,[1]characters!$1:$1,0)-MATCH($A$1,[1]characters!$1:$1,0)+1,FALSE)</f>
        <v>human</v>
      </c>
      <c r="X6" s="5" t="str">
        <f ca="1">VLOOKUP(W6,[1]character_tribe_i18n!$A:$H,3,FALSE)</f>
        <v>ヒューマン</v>
      </c>
      <c r="Y6" s="53" t="str">
        <f ca="1">VLOOKUP($A6,OFFSET([1]characters!$A$1,0,0,COUNTA([1]characters!$A:$A),MATCH(Y$1,[1]characters!$1:$1,0)-MATCH($A$1,[1]characters!$1:$1,0)+1),MATCH(Y$1,[1]characters!$1:$1,0)-MATCH($A$1,[1]characters!$1:$1,0)+1,FALSE)</f>
        <v>fantasy</v>
      </c>
      <c r="Z6" s="5" t="str">
        <f ca="1">VLOOKUP(Y6,[1]character_tribe_i18n!$A:$H,3,FALSE)</f>
        <v>ファンタジー</v>
      </c>
      <c r="AA6" s="10">
        <f ca="1">VLOOKUP(W6,[1]character_tribe_i18n!$A:$H,4,FALSE)</f>
        <v>0.94</v>
      </c>
      <c r="AB6" s="10">
        <f ca="1">VLOOKUP(W6,[1]character_tribe_i18n!$A:$H,5,FALSE)</f>
        <v>0.99</v>
      </c>
      <c r="AC6" s="10">
        <f ca="1">VLOOKUP(W6,[1]character_tribe_i18n!$A:$H,6,FALSE)</f>
        <v>1</v>
      </c>
      <c r="AD6" s="10">
        <f ca="1">VLOOKUP(W6,[1]character_tribe_i18n!$A:$H,7,FALSE)</f>
        <v>1.07</v>
      </c>
      <c r="AE6" s="187">
        <v>1702</v>
      </c>
      <c r="AF6" s="58" t="str">
        <f ca="1">IF(AE6="NULL","",VLOOKUP($AE6,OFFSET([1]characters!$A$1,0,0,COUNTA([1]characters!$A:$A),MATCH(AF$1,[1]characters!$1:$1,0)-MATCH($A$1,[1]characters!$1:$1,0)+1),MATCH(AF$1,[1]characters!$1:$1,0)-MATCH($A$1,[1]characters!$1:$1,0)+1,FALSE))</f>
        <v>求愛の夢想剣 フォルトゥナ</v>
      </c>
      <c r="AG6" s="187">
        <v>1701</v>
      </c>
      <c r="AH6" s="58" t="str">
        <f ca="1">VLOOKUP($AG6,OFFSET([1]characters!$A$1,0,0,COUNTA([1]characters!$A:$A),MATCH(AH$1,[1]characters!$1:$1,0)-MATCH($A$1,[1]characters!$1:$1,0)+1),MATCH(AH$1,[1]characters!$1:$1,0)-MATCH($A$1,[1]characters!$1:$1,0)+1,FALSE)</f>
        <v>蒼嵐の婚戦 フォルトゥナ</v>
      </c>
      <c r="AI6" s="10">
        <f ca="1">IF(AE6="NULL","NULL",VLOOKUP(G6,ビット!$A$2:$B$7,2))</f>
        <v>200000</v>
      </c>
      <c r="AJ6" s="6">
        <v>2</v>
      </c>
      <c r="AK6" s="7" t="str">
        <f t="shared" si="8"/>
        <v>普通</v>
      </c>
      <c r="AL6" s="10" t="str">
        <f ca="1">INDEX(経験値!$A$1:$I$21,MATCH(H6,経験値!$A$1:$A$21,FALSE),MATCH(G6,経験値!$A$1:$I$1,FALSE))</f>
        <v>required_exp_250</v>
      </c>
      <c r="AM6" s="8">
        <f ca="1">VLOOKUP(G6,経験値!$A$28:$B$32,2)</f>
        <v>6400</v>
      </c>
      <c r="AN6" s="16">
        <f ca="1">VLOOKUP(G6,ビット!$G$2:$H$7,2)</f>
        <v>900</v>
      </c>
      <c r="AO6" s="41"/>
      <c r="AP6" s="63">
        <v>1701</v>
      </c>
      <c r="AQ6" s="53" t="str">
        <f ca="1">VLOOKUP($AP6,OFFSET(unit_skills!$A$1,0,0,COUNTA(unit_skills!$A:$A),MATCH(AQ$1,unit_skills!$1:$1,0)-MATCH($AP$1,unit_skills!$1:$1,0)+1),MATCH(AQ$1,unit_skills!$1:$1,0)-MATCH($AP$1,unit_skills!$1:$1,0)+1,FALSE)</f>
        <v>ブレイド・セレブレーション</v>
      </c>
      <c r="AR6" s="53" t="str">
        <f ca="1">VLOOKUP($AP6,OFFSET(unit_skills!$A$1,0,0,COUNTA(unit_skills!$A:$A),MATCH(AR$1,unit_skills!$1:$1,0)-MATCH($AP$1,unit_skills!$1:$1,0)+1),MATCH(AR$1,unit_skills!$1:$1,0)-MATCH($AP$1,unit_skills!$1:$1,0)+1,FALSE)</f>
        <v>ランダムで最大2個SCPに、8個CPに変換+自身にバリア7000展開+出現しているCP大強化+2ターン青属性のCP生成短縮(超大)</v>
      </c>
      <c r="AS6" s="53">
        <f ca="1">VLOOKUP($AP6,OFFSET(unit_skills!$A$1,0,0,COUNTA(unit_skills!$A:$A),MATCH(AS$1,unit_skills!$1:$1,0)-MATCH($AP$1,unit_skills!$1:$1,0)+1),MATCH(AS$1,unit_skills!$1:$1,0)-MATCH($AP$1,unit_skills!$1:$1,0)+1,FALSE)</f>
        <v>0</v>
      </c>
      <c r="AT6" s="63">
        <v>1701</v>
      </c>
      <c r="AU6" s="53" t="str">
        <f ca="1">VLOOKUP($AT6,OFFSET(crash_skills!$A$1,0,0,COUNTA(crash_skills!$A:$A),MATCH(AU$1,crash_skills!$1:$1,0)-MATCH($AT$1,crash_skills!$1:$1,0)+1),MATCH(AU$1,crash_skills!$1:$1,0)-MATCH($AT$1,crash_skills!$1:$1,0)+1,FALSE)</f>
        <v>アイディアルシーキング</v>
      </c>
      <c r="AV6" s="53" t="str">
        <f ca="1">VLOOKUP($AT6,OFFSET(crash_skills!$A$1,0,0,COUNTA(crash_skills!$A:$A),MATCH(AV$1,crash_skills!$1:$1,0)-MATCH($AT$1,crash_skills!$1:$1,0)+1),MATCH(AV$1,crash_skills!$1:$1,0)-MATCH($AT$1,crash_skills!$1:$1,0)+1,FALSE)</f>
        <v>1体に特大ダメージ+_x000D_1ターン青属性ユニットの攻撃力小UP</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0.91500000000000004</v>
      </c>
      <c r="AZ6" s="64">
        <v>1.0900000000000001</v>
      </c>
      <c r="BA6" s="64">
        <v>0</v>
      </c>
      <c r="BB6" s="64">
        <v>0.59989999999999999</v>
      </c>
      <c r="BC6" s="10">
        <f ca="1">INDEX('RC6SV'!$A$1:$G$21,MATCH(H6,'RC6SV'!$A$1:$A$21,FALSE),MATCH(G6,'RC6SV'!$A$1:$G$1,FALSE))</f>
        <v>14000</v>
      </c>
      <c r="BD6" s="44">
        <f t="shared" ca="1" si="9"/>
        <v>14000</v>
      </c>
      <c r="BE6" s="10">
        <f t="shared" ca="1" si="3"/>
        <v>14000</v>
      </c>
      <c r="BF6" s="10">
        <f t="shared" ca="1" si="4"/>
        <v>1</v>
      </c>
      <c r="BG6" s="15">
        <f ca="1">IF($BE6&lt;=0,ROUND(BK6*0.5,0), ROUND($BE6*S6*AA6*J6*AY6*0.8*[1]ステータス!$B$2,0))</f>
        <v>4817</v>
      </c>
      <c r="BH6" s="15">
        <f ca="1">IF($BE6&lt;=0,ROUND(BL6*0.5,0), ROUND($BE6*T6*AB6*K6*AZ6*0.8*[1]ステータス!$C$2,0))</f>
        <v>4726</v>
      </c>
      <c r="BI6" s="15">
        <f ca="1">IF($BE6&lt;=0,ROUND(BM6*0.5,0), ROUND($BE6*U6*AC6*L6*BA6*0.8*[1]ステータス!$D$2,0))</f>
        <v>0</v>
      </c>
      <c r="BJ6" s="15">
        <f ca="1">IF($BE6&lt;=0,ROUND(BN6*0.5,0), ROUND($BE6*V6*AD6*M6*BB6*0.8*[1]ステータス!$E$2,0))</f>
        <v>1228</v>
      </c>
      <c r="BK6" s="10">
        <f ca="1">ROUND(BD6*S6*AA6*J6*AY6*[1]ステータス!$B$2,0)</f>
        <v>6021</v>
      </c>
      <c r="BL6" s="10">
        <f ca="1">ROUND(BD6*T6*AB6*K6*AZ6*[1]ステータス!$C$2,0)</f>
        <v>5907</v>
      </c>
      <c r="BM6" s="10">
        <f ca="1">ROUND(BD6*U6*AC6*L6*BA6*[1]ステータス!$D$2,0)</f>
        <v>0</v>
      </c>
      <c r="BN6" s="10">
        <f ca="1">ROUND(BD6*V6*AD6*M6*BB6*[1]ステータス!$E$2,0)</f>
        <v>1535</v>
      </c>
      <c r="BO6" s="9">
        <v>0</v>
      </c>
      <c r="BP6" s="9">
        <v>1</v>
      </c>
      <c r="BQ6" s="36" t="s">
        <v>47</v>
      </c>
      <c r="BR6" s="207">
        <v>4388</v>
      </c>
    </row>
    <row r="7" spans="1:70" ht="26" customHeight="1" x14ac:dyDescent="0.15">
      <c r="A7" s="186">
        <v>1702</v>
      </c>
      <c r="B7" s="53" t="str">
        <f ca="1">VLOOKUP($A7,OFFSET([1]characters!$A$1,0,0,COUNTA([1]characters!$A:$A),MATCH(B$1,[1]characters!$1:$1,0)-MATCH($A$1,[1]characters!$1:$1,0)+1),MATCH(B$1,[1]characters!$1:$1,0)-MATCH($A$1,[1]characters!$1:$1,0)+1,FALSE)</f>
        <v>求愛の夢想剣 フォルトゥナ</v>
      </c>
      <c r="C7" s="53" t="str">
        <f ca="1">VLOOKUP($A7,OFFSET([1]characters!$A$1,0,0,COUNTA([1]characters!$A:$A),MATCH(C$1,[1]characters!$1:$1,0)-MATCH($A$1,[1]characters!$1:$1,0)+1),MATCH(C$1,[1]characters!$1:$1,0)-MATCH($A$1,[1]characters!$1:$1,0)+1,FALSE)</f>
        <v>未定</v>
      </c>
      <c r="D7" s="53" t="str">
        <f ca="1">VLOOKUP($A7,OFFSET([1]characters!$A$1,0,0,COUNTA([1]characters!$A:$A),MATCH(D$1,[1]characters!$1:$1,0)-MATCH($A$1,[1]characters!$1:$1,0)+1),MATCH(D$1,[1]characters!$1:$1,0)-MATCH($A$1,[1]characters!$1:$1,0)+1,FALSE)</f>
        <v>アリス</v>
      </c>
      <c r="E7" s="53" t="str">
        <f ca="1">VLOOKUP($A7,OFFSET([1]characters!$A$1,0,0,COUNTA([1]characters!$A:$A),MATCH(E$1,[1]characters!$1:$1,0)-MATCH($A$1,[1]characters!$1:$1,0)+1),MATCH(E$1,[1]characters!$1:$1,0)-MATCH($A$1,[1]characters!$1:$1,0)+1,FALSE)</f>
        <v>世界観</v>
      </c>
      <c r="F7" s="53" t="str">
        <f ca="1">VLOOKUP($A7,OFFSET([1]characters!$A$1,0,0,COUNTA([1]characters!$A:$A),MATCH(F$1,[1]characters!$1:$1,0)-MATCH($A$1,[1]characters!$1:$1,0)+1),MATCH(F$1,[1]characters!$1:$1,0)-MATCH($A$1,[1]characters!$1:$1,0)+1,FALSE)</f>
        <v>不明</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PremiumSSw</v>
      </c>
      <c r="I7" s="53" t="str">
        <f ca="1">VLOOKUP($A7,OFFSET([1]characters!$A$1,0,0,COUNTA([1]characters!$A:$A),MATCH(I$1,[1]characters!$1:$1,0)-MATCH($A$1,[1]characters!$1:$1,0)+1),MATCH(I$1,[1]characters!$1:$1,0)-MATCH($A$1,[1]characters!$1:$1,0)+1,FALSE)</f>
        <v>blue</v>
      </c>
      <c r="J7" s="10">
        <f ca="1">VLOOKUP(I7,[1]属性!$A:$E,2,FALSE)</f>
        <v>1</v>
      </c>
      <c r="K7" s="10">
        <f ca="1">VLOOKUP(I7,[1]属性!$A:$E,3,FALSE)</f>
        <v>0.98</v>
      </c>
      <c r="L7" s="10">
        <f ca="1">VLOOKUP(I7,[1]属性!$A:$E,4,FALSE)</f>
        <v>1</v>
      </c>
      <c r="M7" s="10">
        <f ca="1">VLOOKUP(I7,[1]属性!$A:$E,5,FALSE)</f>
        <v>1.02</v>
      </c>
      <c r="N7" s="10">
        <f ca="1">INDEX(コスト!$A$1:$I$21,MATCH(H7,コスト!$A$1:$A$21,FALSE),MATCH(G7,コスト!$A$1:$I$1,FALSE))</f>
        <v>53</v>
      </c>
      <c r="O7" s="10">
        <f ca="1">INDEX(レベル!$A$1:$I$22,MATCH(H7,レベル!$A$1:$A$22,FALSE),MATCH(G7,レベル!$A$1:$I$1,FALSE))</f>
        <v>99</v>
      </c>
      <c r="P7" s="44">
        <f t="shared" ref="P7" ca="1" si="14">IF(G7 &gt;= 6, 99,G7*15)</f>
        <v>99</v>
      </c>
      <c r="Q7" s="53" t="str">
        <f ca="1">VLOOKUP($A7,OFFSET([1]characters!$A$1,0,0,COUNTA([1]characters!$A:$A),MATCH(Q$1,[1]characters!$1:$1,0)-MATCH($A$1,[1]characters!$1:$1,0)+1),MATCH(Q$1,[1]characters!$1:$1,0)-MATCH($A$1,[1]characters!$1:$1,0)+1,FALSE)</f>
        <v>attack</v>
      </c>
      <c r="R7" s="5" t="str">
        <f ca="1">VLOOKUP(Q7,[1]character_type_i18n!$A:$H,3,FALSE)</f>
        <v>攻撃タイプ</v>
      </c>
      <c r="S7" s="10">
        <f ca="1">VLOOKUP(Q7,[1]character_type_i18n!$A:$H,4,FALSE)</f>
        <v>1</v>
      </c>
      <c r="T7" s="10">
        <f ca="1">VLOOKUP(Q7,[1]character_type_i18n!$A:$H,5,FALSE)</f>
        <v>1.33</v>
      </c>
      <c r="U7" s="10">
        <f ca="1">VLOOKUP(Q7,[1]character_type_i18n!$A:$H,6,FALSE)</f>
        <v>1</v>
      </c>
      <c r="V7" s="10">
        <f ca="1">VLOOKUP(Q7,[1]character_type_i18n!$A:$H,7,FALSE)</f>
        <v>0.67</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fantasy</v>
      </c>
      <c r="Z7" s="5" t="str">
        <f ca="1">VLOOKUP(Y7,[1]character_tribe_i18n!$A:$H,3,FALSE)</f>
        <v>ファンタジー</v>
      </c>
      <c r="AA7" s="10">
        <f ca="1">VLOOKUP(W7,[1]character_tribe_i18n!$A:$H,4,FALSE)</f>
        <v>0.94</v>
      </c>
      <c r="AB7" s="10">
        <f ca="1">VLOOKUP(W7,[1]character_tribe_i18n!$A:$H,5,FALSE)</f>
        <v>0.99</v>
      </c>
      <c r="AC7" s="10">
        <f ca="1">VLOOKUP(W7,[1]character_tribe_i18n!$A:$H,6,FALSE)</f>
        <v>1</v>
      </c>
      <c r="AD7" s="10">
        <f ca="1">VLOOKUP(W7,[1]character_tribe_i18n!$A:$H,7,FALSE)</f>
        <v>1.07</v>
      </c>
      <c r="AE7" s="187">
        <v>1701</v>
      </c>
      <c r="AF7" s="58" t="str">
        <f ca="1">IF(AE7="NULL","",VLOOKUP($AE7,OFFSET([1]characters!$A$1,0,0,COUNTA([1]characters!$A:$A),MATCH(AF$1,[1]characters!$1:$1,0)-MATCH($A$1,[1]characters!$1:$1,0)+1),MATCH(AF$1,[1]characters!$1:$1,0)-MATCH($A$1,[1]characters!$1:$1,0)+1,FALSE))</f>
        <v>蒼嵐の婚戦 フォルトゥナ</v>
      </c>
      <c r="AG7" s="187">
        <v>1701</v>
      </c>
      <c r="AH7" s="58" t="str">
        <f ca="1">VLOOKUP($AG7,OFFSET([1]characters!$A$1,0,0,COUNTA([1]characters!$A:$A),MATCH(AH$1,[1]characters!$1:$1,0)-MATCH($A$1,[1]characters!$1:$1,0)+1),MATCH(AH$1,[1]characters!$1:$1,0)-MATCH($A$1,[1]characters!$1:$1,0)+1,FALSE)</f>
        <v>蒼嵐の婚戦 フォルトゥナ</v>
      </c>
      <c r="AI7" s="10">
        <f ca="1">IF(AE7="NULL","NULL",VLOOKUP(G7,ビット!$A$2:$B$7,2))</f>
        <v>200000</v>
      </c>
      <c r="AJ7" s="6">
        <v>2</v>
      </c>
      <c r="AK7" s="7" t="str">
        <f t="shared" ref="AK7" si="15">IF(AJ7=1,"早熟",IF(AJ7=2,"普通",IF(AJ7=3,"晩成","")))</f>
        <v>普通</v>
      </c>
      <c r="AL7" s="10" t="str">
        <f ca="1">INDEX(経験値!$A$1:$I$21,MATCH(H7,経験値!$A$1:$A$21,FALSE),MATCH(G7,経験値!$A$1:$I$1,FALSE))</f>
        <v>required_exp_250</v>
      </c>
      <c r="AM7" s="8">
        <f ca="1">VLOOKUP(G7,経験値!$A$28:$B$32,2)</f>
        <v>6400</v>
      </c>
      <c r="AN7" s="16">
        <f ca="1">VLOOKUP(G7,ビット!$G$2:$H$7,2)</f>
        <v>900</v>
      </c>
      <c r="AO7" s="41"/>
      <c r="AP7" s="63">
        <v>1702</v>
      </c>
      <c r="AQ7" s="53" t="str">
        <f ca="1">VLOOKUP($AP7,OFFSET(unit_skills!$A$1,0,0,COUNTA(unit_skills!$A:$A),MATCH(AQ$1,unit_skills!$1:$1,0)-MATCH($AP$1,unit_skills!$1:$1,0)+1),MATCH(AQ$1,unit_skills!$1:$1,0)-MATCH($AP$1,unit_skills!$1:$1,0)+1,FALSE)</f>
        <v>ブレイド・セレブレーション</v>
      </c>
      <c r="AR7" s="53" t="str">
        <f ca="1">VLOOKUP($AP7,OFFSET(unit_skills!$A$1,0,0,COUNTA(unit_skills!$A:$A),MATCH(AR$1,unit_skills!$1:$1,0)-MATCH($AP$1,unit_skills!$1:$1,0)+1),MATCH(AR$1,unit_skills!$1:$1,0)-MATCH($AP$1,unit_skills!$1:$1,0)+1,FALSE)</f>
        <v>ランダムで最大2個SCPに、8個CPに変換+自身にバリア7000展開+出現しているCP大強化+2ターン青属性のCP生成短縮(超大)</v>
      </c>
      <c r="AS7" s="53">
        <f ca="1">VLOOKUP($AP7,OFFSET(unit_skills!$A$1,0,0,COUNTA(unit_skills!$A:$A),MATCH(AS$1,unit_skills!$1:$1,0)-MATCH($AP$1,unit_skills!$1:$1,0)+1),MATCH(AS$1,unit_skills!$1:$1,0)-MATCH($AP$1,unit_skills!$1:$1,0)+1,FALSE)</f>
        <v>0</v>
      </c>
      <c r="AT7" s="63">
        <v>1702</v>
      </c>
      <c r="AU7" s="53" t="str">
        <f ca="1">VLOOKUP($AT7,OFFSET(crash_skills!$A$1,0,0,COUNTA(crash_skills!$A:$A),MATCH(AU$1,crash_skills!$1:$1,0)-MATCH($AT$1,crash_skills!$1:$1,0)+1),MATCH(AU$1,crash_skills!$1:$1,0)-MATCH($AT$1,crash_skills!$1:$1,0)+1,FALSE)</f>
        <v>アイディアルシーキング</v>
      </c>
      <c r="AV7" s="53" t="str">
        <f ca="1">VLOOKUP($AT7,OFFSET(crash_skills!$A$1,0,0,COUNTA(crash_skills!$A:$A),MATCH(AV$1,crash_skills!$1:$1,0)-MATCH($AT$1,crash_skills!$1:$1,0)+1),MATCH(AV$1,crash_skills!$1:$1,0)-MATCH($AT$1,crash_skills!$1:$1,0)+1,FALSE)</f>
        <v>1体に特大ダメージ+_x000D_1ターン青属性ユニットの攻撃力小UP</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0.91500000000000004</v>
      </c>
      <c r="AZ7" s="64">
        <v>1.0900000000000001</v>
      </c>
      <c r="BA7" s="64">
        <v>0</v>
      </c>
      <c r="BB7" s="64">
        <v>0.59989999999999999</v>
      </c>
      <c r="BC7" s="10">
        <f ca="1">INDEX('RC6SV'!$A$1:$G$21,MATCH(H7,'RC6SV'!$A$1:$A$21,FALSE),MATCH(G7,'RC6SV'!$A$1:$G$1,FALSE))</f>
        <v>14000</v>
      </c>
      <c r="BD7" s="44">
        <f t="shared" ref="BD7" ca="1" si="16">ROUND(BC7*IF(AJ7=1,0.95,IF(AJ7=2,1,IF(AJ7,1.05,0))),0)</f>
        <v>14000</v>
      </c>
      <c r="BE7" s="10">
        <f t="shared" ca="1" si="3"/>
        <v>14000</v>
      </c>
      <c r="BF7" s="10">
        <f t="shared" ca="1" si="4"/>
        <v>1</v>
      </c>
      <c r="BG7" s="15">
        <f ca="1">IF($BE7&lt;=0,ROUND(BK7*0.5,0), ROUND($BE7*S7*AA7*J7*AY7*0.8*[1]ステータス!$B$2,0))</f>
        <v>4817</v>
      </c>
      <c r="BH7" s="15">
        <f ca="1">IF($BE7&lt;=0,ROUND(BL7*0.5,0), ROUND($BE7*T7*AB7*K7*AZ7*0.8*[1]ステータス!$C$2,0))</f>
        <v>4726</v>
      </c>
      <c r="BI7" s="15">
        <f ca="1">IF($BE7&lt;=0,ROUND(BM7*0.5,0), ROUND($BE7*U7*AC7*L7*BA7*0.8*[1]ステータス!$D$2,0))</f>
        <v>0</v>
      </c>
      <c r="BJ7" s="15">
        <f ca="1">IF($BE7&lt;=0,ROUND(BN7*0.5,0), ROUND($BE7*V7*AD7*M7*BB7*0.8*[1]ステータス!$E$2,0))</f>
        <v>1228</v>
      </c>
      <c r="BK7" s="10">
        <f ca="1">ROUND(BD7*S7*AA7*J7*AY7*[1]ステータス!$B$2,0)</f>
        <v>6021</v>
      </c>
      <c r="BL7" s="10">
        <f ca="1">ROUND(BD7*T7*AB7*K7*AZ7*[1]ステータス!$C$2,0)</f>
        <v>5907</v>
      </c>
      <c r="BM7" s="10">
        <f ca="1">ROUND(BD7*U7*AC7*L7*BA7*[1]ステータス!$D$2,0)</f>
        <v>0</v>
      </c>
      <c r="BN7" s="10">
        <f ca="1">ROUND(BD7*V7*AD7*M7*BB7*[1]ステータス!$E$2,0)</f>
        <v>1535</v>
      </c>
      <c r="BO7" s="9">
        <v>0</v>
      </c>
      <c r="BP7" s="9">
        <v>1</v>
      </c>
      <c r="BQ7" s="36" t="s">
        <v>47</v>
      </c>
      <c r="BR7" s="207">
        <v>4388</v>
      </c>
    </row>
    <row r="8" spans="1:70" ht="26" customHeight="1" x14ac:dyDescent="0.15">
      <c r="A8" s="186">
        <v>1703</v>
      </c>
      <c r="B8" s="53" t="str">
        <f ca="1">VLOOKUP($A8,OFFSET([1]characters!$A$1,0,0,COUNTA([1]characters!$A:$A),MATCH(B$1,[1]characters!$1:$1,0)-MATCH($A$1,[1]characters!$1:$1,0)+1),MATCH(B$1,[1]characters!$1:$1,0)-MATCH($A$1,[1]characters!$1:$1,0)+1,FALSE)</f>
        <v>可恋なる花乙女 リリィ</v>
      </c>
      <c r="C8" s="53" t="str">
        <f ca="1">VLOOKUP($A8,OFFSET([1]characters!$A$1,0,0,COUNTA([1]characters!$A:$A),MATCH(C$1,[1]characters!$1:$1,0)-MATCH($A$1,[1]characters!$1:$1,0)+1),MATCH(C$1,[1]characters!$1:$1,0)-MATCH($A$1,[1]characters!$1:$1,0)+1,FALSE)</f>
        <v>未定</v>
      </c>
      <c r="D8" s="53" t="str">
        <f ca="1">VLOOKUP($A8,OFFSET([1]characters!$A$1,0,0,COUNTA([1]characters!$A:$A),MATCH(D$1,[1]characters!$1:$1,0)-MATCH($A$1,[1]characters!$1:$1,0)+1),MATCH(D$1,[1]characters!$1:$1,0)-MATCH($A$1,[1]characters!$1:$1,0)+1,FALSE)</f>
        <v>アリス</v>
      </c>
      <c r="E8" s="53" t="str">
        <f ca="1">VLOOKUP($A8,OFFSET([1]characters!$A$1,0,0,COUNTA([1]characters!$A:$A),MATCH(E$1,[1]characters!$1:$1,0)-MATCH($A$1,[1]characters!$1:$1,0)+1),MATCH(E$1,[1]characters!$1:$1,0)-MATCH($A$1,[1]characters!$1:$1,0)+1,FALSE)</f>
        <v>世界観</v>
      </c>
      <c r="F8" s="53" t="str">
        <f ca="1">VLOOKUP($A8,OFFSET([1]characters!$A$1,0,0,COUNTA([1]characters!$A:$A),MATCH(F$1,[1]characters!$1:$1,0)-MATCH($A$1,[1]characters!$1:$1,0)+1),MATCH(F$1,[1]characters!$1:$1,0)-MATCH($A$1,[1]characters!$1:$1,0)+1,FALSE)</f>
        <v>不明</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PremiumSSw</v>
      </c>
      <c r="I8" s="53" t="str">
        <f ca="1">VLOOKUP($A8,OFFSET([1]characters!$A$1,0,0,COUNTA([1]characters!$A:$A),MATCH(I$1,[1]characters!$1:$1,0)-MATCH($A$1,[1]characters!$1:$1,0)+1),MATCH(I$1,[1]characters!$1:$1,0)-MATCH($A$1,[1]characters!$1:$1,0)+1,FALSE)</f>
        <v>red</v>
      </c>
      <c r="J8" s="10">
        <f ca="1">VLOOKUP(I8,[1]属性!$A:$E,2,FALSE)</f>
        <v>1</v>
      </c>
      <c r="K8" s="10">
        <f ca="1">VLOOKUP(I8,[1]属性!$A:$E,3,FALSE)</f>
        <v>1.02</v>
      </c>
      <c r="L8" s="10">
        <f ca="1">VLOOKUP(I8,[1]属性!$A:$E,4,FALSE)</f>
        <v>1</v>
      </c>
      <c r="M8" s="10">
        <f ca="1">VLOOKUP(I8,[1]属性!$A:$E,5,FALSE)</f>
        <v>0.98</v>
      </c>
      <c r="N8" s="10">
        <f ca="1">INDEX(コスト!$A$1:$I$21,MATCH(H8,コスト!$A$1:$A$21,FALSE),MATCH(G8,コスト!$A$1:$I$1,FALSE))</f>
        <v>53</v>
      </c>
      <c r="O8" s="10">
        <f ca="1">INDEX(レベル!$A$1:$I$22,MATCH(H8,レベル!$A$1:$A$22,FALSE),MATCH(G8,レベル!$A$1:$I$1,FALSE))</f>
        <v>99</v>
      </c>
      <c r="P8" s="44">
        <f t="shared" ca="1" si="13"/>
        <v>99</v>
      </c>
      <c r="Q8" s="53" t="str">
        <f ca="1">VLOOKUP($A8,OFFSET([1]characters!$A$1,0,0,COUNTA([1]characters!$A:$A),MATCH(Q$1,[1]characters!$1:$1,0)-MATCH($A$1,[1]characters!$1:$1,0)+1),MATCH(Q$1,[1]characters!$1:$1,0)-MATCH($A$1,[1]characters!$1:$1,0)+1,FALSE)</f>
        <v>technical</v>
      </c>
      <c r="R8" s="5" t="str">
        <f ca="1">VLOOKUP(Q8,[1]character_type_i18n!$A:$H,3,FALSE)</f>
        <v>テクニカルタイプ</v>
      </c>
      <c r="S8" s="10">
        <f ca="1">VLOOKUP(Q8,[1]character_type_i18n!$A:$H,4,FALSE)</f>
        <v>0.9</v>
      </c>
      <c r="T8" s="10">
        <f ca="1">VLOOKUP(Q8,[1]character_type_i18n!$A:$H,5,FALSE)</f>
        <v>0.9</v>
      </c>
      <c r="U8" s="10">
        <f ca="1">VLOOKUP(Q8,[1]character_type_i18n!$A:$H,6,FALSE)</f>
        <v>1</v>
      </c>
      <c r="V8" s="10">
        <f ca="1">VLOOKUP(Q8,[1]character_type_i18n!$A:$H,7,FALSE)</f>
        <v>0.9</v>
      </c>
      <c r="W8" s="53" t="str">
        <f ca="1">VLOOKUP($A8,OFFSET([1]characters!$A$1,0,0,COUNTA([1]characters!$A:$A),MATCH(W$1,[1]characters!$1:$1,0)-MATCH($A$1,[1]characters!$1:$1,0)+1),MATCH(W$1,[1]characters!$1:$1,0)-MATCH($A$1,[1]characters!$1:$1,0)+1,FALSE)</f>
        <v>human</v>
      </c>
      <c r="X8" s="5" t="str">
        <f ca="1">VLOOKUP(W8,[1]character_tribe_i18n!$A:$H,3,FALSE)</f>
        <v>ヒューマン</v>
      </c>
      <c r="Y8" s="53" t="str">
        <f ca="1">VLOOKUP($A8,OFFSET([1]characters!$A$1,0,0,COUNTA([1]characters!$A:$A),MATCH(Y$1,[1]characters!$1:$1,0)-MATCH($A$1,[1]characters!$1:$1,0)+1),MATCH(Y$1,[1]characters!$1:$1,0)-MATCH($A$1,[1]characters!$1:$1,0)+1,FALSE)</f>
        <v>fantasy</v>
      </c>
      <c r="Z8" s="5" t="str">
        <f ca="1">VLOOKUP(Y8,[1]character_tribe_i18n!$A:$H,3,FALSE)</f>
        <v>ファンタジー</v>
      </c>
      <c r="AA8" s="10">
        <f ca="1">VLOOKUP(W8,[1]character_tribe_i18n!$A:$H,4,FALSE)</f>
        <v>0.94</v>
      </c>
      <c r="AB8" s="10">
        <f ca="1">VLOOKUP(W8,[1]character_tribe_i18n!$A:$H,5,FALSE)</f>
        <v>0.99</v>
      </c>
      <c r="AC8" s="10">
        <f ca="1">VLOOKUP(W8,[1]character_tribe_i18n!$A:$H,6,FALSE)</f>
        <v>1</v>
      </c>
      <c r="AD8" s="10">
        <f ca="1">VLOOKUP(W8,[1]character_tribe_i18n!$A:$H,7,FALSE)</f>
        <v>1.07</v>
      </c>
      <c r="AE8" s="187">
        <v>1704</v>
      </c>
      <c r="AF8" s="58" t="str">
        <f ca="1">IF(AE8="NULL","",VLOOKUP($AE8,OFFSET([1]characters!$A$1,0,0,COUNTA([1]characters!$A:$A),MATCH(AF$1,[1]characters!$1:$1,0)-MATCH($A$1,[1]characters!$1:$1,0)+1),MATCH(AF$1,[1]characters!$1:$1,0)-MATCH($A$1,[1]characters!$1:$1,0)+1,FALSE))</f>
        <v>恋焦がす夢乙女 リリィ</v>
      </c>
      <c r="AG8" s="187">
        <v>1703</v>
      </c>
      <c r="AH8" s="58" t="str">
        <f ca="1">VLOOKUP($AG8,OFFSET([1]characters!$A$1,0,0,COUNTA([1]characters!$A:$A),MATCH(AH$1,[1]characters!$1:$1,0)-MATCH($A$1,[1]characters!$1:$1,0)+1),MATCH(AH$1,[1]characters!$1:$1,0)-MATCH($A$1,[1]characters!$1:$1,0)+1,FALSE)</f>
        <v>可恋なる花乙女 リリィ</v>
      </c>
      <c r="AI8" s="10">
        <f ca="1">IF(AE8="NULL","NULL",VLOOKUP(G8,ビット!$A$2:$B$7,2))</f>
        <v>200000</v>
      </c>
      <c r="AJ8" s="6">
        <v>2</v>
      </c>
      <c r="AK8" s="7" t="str">
        <f t="shared" ref="AK8:AK20" si="17">IF(AJ8=1,"早熟",IF(AJ8=2,"普通",IF(AJ8=3,"晩成","")))</f>
        <v>普通</v>
      </c>
      <c r="AL8" s="10" t="str">
        <f ca="1">INDEX(経験値!$A$1:$I$21,MATCH(H8,経験値!$A$1:$A$21,FALSE),MATCH(G8,経験値!$A$1:$I$1,FALSE))</f>
        <v>required_exp_250</v>
      </c>
      <c r="AM8" s="8">
        <f ca="1">VLOOKUP(G8,経験値!$A$28:$B$32,2)</f>
        <v>6400</v>
      </c>
      <c r="AN8" s="16">
        <f ca="1">VLOOKUP(G8,ビット!$G$2:$H$7,2)</f>
        <v>900</v>
      </c>
      <c r="AO8" s="41"/>
      <c r="AP8" s="63">
        <v>1703</v>
      </c>
      <c r="AQ8" s="53" t="str">
        <f ca="1">VLOOKUP($AP8,OFFSET(unit_skills!$A$1,0,0,COUNTA(unit_skills!$A:$A),MATCH(AQ$1,unit_skills!$1:$1,0)-MATCH($AP$1,unit_skills!$1:$1,0)+1),MATCH(AQ$1,unit_skills!$1:$1,0)-MATCH($AP$1,unit_skills!$1:$1,0)+1,FALSE)</f>
        <v>ヤングガール・ラプソディ</v>
      </c>
      <c r="AR8" s="53" t="str">
        <f ca="1">VLOOKUP($AP8,OFFSET(unit_skills!$A$1,0,0,COUNTA(unit_skills!$A:$A),MATCH(AR$1,unit_skills!$1:$1,0)-MATCH($AP$1,unit_skills!$1:$1,0)+1),MATCH(AR$1,unit_skills!$1:$1,0)-MATCH($AP$1,unit_skills!$1:$1,0)+1,FALSE)</f>
        <v>赤を青に、緑を黄に、マグネットパネル(黄→緑)(青→赤)に各1個変換+2ターン赤属性CP生成短縮(特大)、青･黄出現率大DOWN</v>
      </c>
      <c r="AS8" s="53">
        <f ca="1">VLOOKUP($AP8,OFFSET(unit_skills!$A$1,0,0,COUNTA(unit_skills!$A:$A),MATCH(AS$1,unit_skills!$1:$1,0)-MATCH($AP$1,unit_skills!$1:$1,0)+1),MATCH(AS$1,unit_skills!$1:$1,0)-MATCH($AP$1,unit_skills!$1:$1,0)+1,FALSE)</f>
        <v>0</v>
      </c>
      <c r="AT8" s="63">
        <v>1703</v>
      </c>
      <c r="AU8" s="53" t="str">
        <f ca="1">VLOOKUP($AT8,OFFSET(crash_skills!$A$1,0,0,COUNTA(crash_skills!$A:$A),MATCH(AU$1,crash_skills!$1:$1,0)-MATCH($AT$1,crash_skills!$1:$1,0)+1),MATCH(AU$1,crash_skills!$1:$1,0)-MATCH($AT$1,crash_skills!$1:$1,0)+1,FALSE)</f>
        <v>ウェア・イズ・マイ・ダーリン</v>
      </c>
      <c r="AV8" s="53" t="str">
        <f ca="1">VLOOKUP($AT8,OFFSET(crash_skills!$A$1,0,0,COUNTA(crash_skills!$A:$A),MATCH(AV$1,crash_skills!$1:$1,0)-MATCH($AT$1,crash_skills!$1:$1,0)+1),MATCH(AV$1,crash_skills!$1:$1,0)-MATCH($AT$1,crash_skills!$1:$1,0)+1,FALSE)</f>
        <v>1体に特大ダメージ+_x000D_1ターン赤属性ユニットの攻撃力を小UP</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1.0309999999999999</v>
      </c>
      <c r="AZ8" s="64">
        <v>1.18</v>
      </c>
      <c r="BA8" s="64">
        <v>0</v>
      </c>
      <c r="BB8" s="64">
        <v>0.88980000000000004</v>
      </c>
      <c r="BC8" s="10">
        <f ca="1">INDEX('RC6SV'!$A$1:$G$21,MATCH(H8,'RC6SV'!$A$1:$A$21,FALSE),MATCH(G8,'RC6SV'!$A$1:$G$1,FALSE))</f>
        <v>14000</v>
      </c>
      <c r="BD8" s="44">
        <f t="shared" ref="BD8:BD20" ca="1" si="18">ROUND(BC8*IF(AJ8=1,0.95,IF(AJ8=2,1,IF(AJ8,1.05,0))),0)</f>
        <v>14000</v>
      </c>
      <c r="BE8" s="10">
        <f t="shared" ca="1" si="3"/>
        <v>14000</v>
      </c>
      <c r="BF8" s="10">
        <f t="shared" ca="1" si="4"/>
        <v>1</v>
      </c>
      <c r="BG8" s="15">
        <f ca="1">IF($BE8&lt;=0,ROUND(BK8*0.5,0), ROUND($BE8*S8*AA8*J8*AY8*0.8*[1]ステータス!$B$2,0))</f>
        <v>4884</v>
      </c>
      <c r="BH8" s="15">
        <f ca="1">IF($BE8&lt;=0,ROUND(BL8*0.5,0), ROUND($BE8*T8*AB8*K8*AZ8*0.8*[1]ステータス!$C$2,0))</f>
        <v>3603</v>
      </c>
      <c r="BI8" s="15">
        <f ca="1">IF($BE8&lt;=0,ROUND(BM8*0.5,0), ROUND($BE8*U8*AC8*L8*BA8*0.8*[1]ステータス!$D$2,0))</f>
        <v>0</v>
      </c>
      <c r="BJ8" s="15">
        <f ca="1">IF($BE8&lt;=0,ROUND(BN8*0.5,0), ROUND($BE8*V8*AD8*M8*BB8*0.8*[1]ステータス!$E$2,0))</f>
        <v>2351</v>
      </c>
      <c r="BK8" s="10">
        <f ca="1">ROUND(BD8*S8*AA8*J8*AY8*[1]ステータス!$B$2,0)</f>
        <v>6106</v>
      </c>
      <c r="BL8" s="10">
        <f ca="1">ROUND(BD8*T8*AB8*K8*AZ8*[1]ステータス!$C$2,0)</f>
        <v>4504</v>
      </c>
      <c r="BM8" s="10">
        <f ca="1">ROUND(BD8*U8*AC8*L8*BA8*[1]ステータス!$D$2,0)</f>
        <v>0</v>
      </c>
      <c r="BN8" s="10">
        <f ca="1">ROUND(BD8*V8*AD8*M8*BB8*[1]ステータス!$E$2,0)</f>
        <v>2939</v>
      </c>
      <c r="BO8" s="9">
        <v>0</v>
      </c>
      <c r="BP8" s="9">
        <v>1</v>
      </c>
      <c r="BQ8" s="9" t="s">
        <v>47</v>
      </c>
      <c r="BR8" s="207">
        <v>4388</v>
      </c>
    </row>
    <row r="9" spans="1:70" ht="26" customHeight="1" x14ac:dyDescent="0.15">
      <c r="A9" s="186">
        <v>1704</v>
      </c>
      <c r="B9" s="53" t="str">
        <f ca="1">VLOOKUP($A9,OFFSET([1]characters!$A$1,0,0,COUNTA([1]characters!$A:$A),MATCH(B$1,[1]characters!$1:$1,0)-MATCH($A$1,[1]characters!$1:$1,0)+1),MATCH(B$1,[1]characters!$1:$1,0)-MATCH($A$1,[1]characters!$1:$1,0)+1,FALSE)</f>
        <v>恋焦がす夢乙女 リリィ</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PremiumSSw</v>
      </c>
      <c r="I9" s="53" t="str">
        <f ca="1">VLOOKUP($A9,OFFSET([1]characters!$A$1,0,0,COUNTA([1]characters!$A:$A),MATCH(I$1,[1]characters!$1:$1,0)-MATCH($A$1,[1]characters!$1:$1,0)+1),MATCH(I$1,[1]characters!$1:$1,0)-MATCH($A$1,[1]characters!$1:$1,0)+1,FALSE)</f>
        <v>red</v>
      </c>
      <c r="J9" s="10">
        <f ca="1">VLOOKUP(I9,[1]属性!$A:$E,2,FALSE)</f>
        <v>1</v>
      </c>
      <c r="K9" s="10">
        <f ca="1">VLOOKUP(I9,[1]属性!$A:$E,3,FALSE)</f>
        <v>1.02</v>
      </c>
      <c r="L9" s="10">
        <f ca="1">VLOOKUP(I9,[1]属性!$A:$E,4,FALSE)</f>
        <v>1</v>
      </c>
      <c r="M9" s="10">
        <f ca="1">VLOOKUP(I9,[1]属性!$A:$E,5,FALSE)</f>
        <v>0.98</v>
      </c>
      <c r="N9" s="10">
        <f ca="1">INDEX(コスト!$A$1:$I$21,MATCH(H9,コスト!$A$1:$A$21,FALSE),MATCH(G9,コスト!$A$1:$I$1,FALSE))</f>
        <v>53</v>
      </c>
      <c r="O9" s="10">
        <f ca="1">INDEX(レベル!$A$1:$I$22,MATCH(H9,レベル!$A$1:$A$22,FALSE),MATCH(G9,レベル!$A$1:$I$1,FALSE))</f>
        <v>99</v>
      </c>
      <c r="P9" s="44">
        <f t="shared" ref="P9" ca="1" si="19">IF(G9 &gt;= 6, 99,G9*15)</f>
        <v>99</v>
      </c>
      <c r="Q9" s="53" t="str">
        <f ca="1">VLOOKUP($A9,OFFSET([1]characters!$A$1,0,0,COUNTA([1]characters!$A:$A),MATCH(Q$1,[1]characters!$1:$1,0)-MATCH($A$1,[1]characters!$1:$1,0)+1),MATCH(Q$1,[1]characters!$1:$1,0)-MATCH($A$1,[1]characters!$1:$1,0)+1,FALSE)</f>
        <v>technical</v>
      </c>
      <c r="R9" s="5" t="str">
        <f ca="1">VLOOKUP(Q9,[1]character_type_i18n!$A:$H,3,FALSE)</f>
        <v>テクニカルタイプ</v>
      </c>
      <c r="S9" s="10">
        <f ca="1">VLOOKUP(Q9,[1]character_type_i18n!$A:$H,4,FALSE)</f>
        <v>0.9</v>
      </c>
      <c r="T9" s="10">
        <f ca="1">VLOOKUP(Q9,[1]character_type_i18n!$A:$H,5,FALSE)</f>
        <v>0.9</v>
      </c>
      <c r="U9" s="10">
        <f ca="1">VLOOKUP(Q9,[1]character_type_i18n!$A:$H,6,FALSE)</f>
        <v>1</v>
      </c>
      <c r="V9" s="10">
        <f ca="1">VLOOKUP(Q9,[1]character_type_i18n!$A:$H,7,FALSE)</f>
        <v>0.9</v>
      </c>
      <c r="W9" s="53" t="str">
        <f ca="1">VLOOKUP($A9,OFFSET([1]characters!$A$1,0,0,COUNTA([1]characters!$A:$A),MATCH(W$1,[1]characters!$1:$1,0)-MATCH($A$1,[1]characters!$1:$1,0)+1),MATCH(W$1,[1]characters!$1:$1,0)-MATCH($A$1,[1]characters!$1:$1,0)+1,FALSE)</f>
        <v>human</v>
      </c>
      <c r="X9" s="5" t="str">
        <f ca="1">VLOOKUP(W9,[1]character_tribe_i18n!$A:$H,3,FALSE)</f>
        <v>ヒューマン</v>
      </c>
      <c r="Y9" s="53" t="str">
        <f ca="1">VLOOKUP($A9,OFFSET([1]characters!$A$1,0,0,COUNTA([1]characters!$A:$A),MATCH(Y$1,[1]characters!$1:$1,0)-MATCH($A$1,[1]characters!$1:$1,0)+1),MATCH(Y$1,[1]characters!$1:$1,0)-MATCH($A$1,[1]characters!$1:$1,0)+1,FALSE)</f>
        <v>fantasy</v>
      </c>
      <c r="Z9" s="5" t="str">
        <f ca="1">VLOOKUP(Y9,[1]character_tribe_i18n!$A:$H,3,FALSE)</f>
        <v>ファンタジー</v>
      </c>
      <c r="AA9" s="10">
        <f ca="1">VLOOKUP(W9,[1]character_tribe_i18n!$A:$H,4,FALSE)</f>
        <v>0.94</v>
      </c>
      <c r="AB9" s="10">
        <f ca="1">VLOOKUP(W9,[1]character_tribe_i18n!$A:$H,5,FALSE)</f>
        <v>0.99</v>
      </c>
      <c r="AC9" s="10">
        <f ca="1">VLOOKUP(W9,[1]character_tribe_i18n!$A:$H,6,FALSE)</f>
        <v>1</v>
      </c>
      <c r="AD9" s="10">
        <f ca="1">VLOOKUP(W9,[1]character_tribe_i18n!$A:$H,7,FALSE)</f>
        <v>1.07</v>
      </c>
      <c r="AE9" s="187">
        <v>1703</v>
      </c>
      <c r="AF9" s="58" t="str">
        <f ca="1">IF(AE9="NULL","",VLOOKUP($AE9,OFFSET([1]characters!$A$1,0,0,COUNTA([1]characters!$A:$A),MATCH(AF$1,[1]characters!$1:$1,0)-MATCH($A$1,[1]characters!$1:$1,0)+1),MATCH(AF$1,[1]characters!$1:$1,0)-MATCH($A$1,[1]characters!$1:$1,0)+1,FALSE))</f>
        <v>可恋なる花乙女 リリィ</v>
      </c>
      <c r="AG9" s="187">
        <v>1703</v>
      </c>
      <c r="AH9" s="58" t="str">
        <f ca="1">VLOOKUP($AG9,OFFSET([1]characters!$A$1,0,0,COUNTA([1]characters!$A:$A),MATCH(AH$1,[1]characters!$1:$1,0)-MATCH($A$1,[1]characters!$1:$1,0)+1),MATCH(AH$1,[1]characters!$1:$1,0)-MATCH($A$1,[1]characters!$1:$1,0)+1,FALSE)</f>
        <v>可恋なる花乙女 リリィ</v>
      </c>
      <c r="AI9" s="10">
        <f ca="1">IF(AE9="NULL","NULL",VLOOKUP(G9,ビット!$A$2:$B$7,2))</f>
        <v>200000</v>
      </c>
      <c r="AJ9" s="6">
        <v>2</v>
      </c>
      <c r="AK9" s="7" t="str">
        <f t="shared" ref="AK9" si="20">IF(AJ9=1,"早熟",IF(AJ9=2,"普通",IF(AJ9=3,"晩成","")))</f>
        <v>普通</v>
      </c>
      <c r="AL9" s="10" t="str">
        <f ca="1">INDEX(経験値!$A$1:$I$21,MATCH(H9,経験値!$A$1:$A$21,FALSE),MATCH(G9,経験値!$A$1:$I$1,FALSE))</f>
        <v>required_exp_250</v>
      </c>
      <c r="AM9" s="8">
        <f ca="1">VLOOKUP(G9,経験値!$A$28:$B$32,2)</f>
        <v>6400</v>
      </c>
      <c r="AN9" s="16">
        <f ca="1">VLOOKUP(G9,ビット!$G$2:$H$7,2)</f>
        <v>900</v>
      </c>
      <c r="AO9" s="41"/>
      <c r="AP9" s="63">
        <v>1704</v>
      </c>
      <c r="AQ9" s="53" t="str">
        <f ca="1">VLOOKUP($AP9,OFFSET(unit_skills!$A$1,0,0,COUNTA(unit_skills!$A:$A),MATCH(AQ$1,unit_skills!$1:$1,0)-MATCH($AP$1,unit_skills!$1:$1,0)+1),MATCH(AQ$1,unit_skills!$1:$1,0)-MATCH($AP$1,unit_skills!$1:$1,0)+1,FALSE)</f>
        <v>ヤングガール・ラプソディ</v>
      </c>
      <c r="AR9" s="53" t="str">
        <f ca="1">VLOOKUP($AP9,OFFSET(unit_skills!$A$1,0,0,COUNTA(unit_skills!$A:$A),MATCH(AR$1,unit_skills!$1:$1,0)-MATCH($AP$1,unit_skills!$1:$1,0)+1),MATCH(AR$1,unit_skills!$1:$1,0)-MATCH($AP$1,unit_skills!$1:$1,0)+1,FALSE)</f>
        <v>赤を青に、緑を黄に、マグネットパネル(黄→緑)(青→赤)に各1個変換+2ターン赤属性CP生成短縮(特大)、青･黄出現率大DOWN</v>
      </c>
      <c r="AS9" s="53">
        <f ca="1">VLOOKUP($AP9,OFFSET(unit_skills!$A$1,0,0,COUNTA(unit_skills!$A:$A),MATCH(AS$1,unit_skills!$1:$1,0)-MATCH($AP$1,unit_skills!$1:$1,0)+1),MATCH(AS$1,unit_skills!$1:$1,0)-MATCH($AP$1,unit_skills!$1:$1,0)+1,FALSE)</f>
        <v>0</v>
      </c>
      <c r="AT9" s="63">
        <v>1704</v>
      </c>
      <c r="AU9" s="53" t="str">
        <f ca="1">VLOOKUP($AT9,OFFSET(crash_skills!$A$1,0,0,COUNTA(crash_skills!$A:$A),MATCH(AU$1,crash_skills!$1:$1,0)-MATCH($AT$1,crash_skills!$1:$1,0)+1),MATCH(AU$1,crash_skills!$1:$1,0)-MATCH($AT$1,crash_skills!$1:$1,0)+1,FALSE)</f>
        <v>ウェア・イズ・マイ・ダーリン</v>
      </c>
      <c r="AV9" s="53" t="str">
        <f ca="1">VLOOKUP($AT9,OFFSET(crash_skills!$A$1,0,0,COUNTA(crash_skills!$A:$A),MATCH(AV$1,crash_skills!$1:$1,0)-MATCH($AT$1,crash_skills!$1:$1,0)+1),MATCH(AV$1,crash_skills!$1:$1,0)-MATCH($AT$1,crash_skills!$1:$1,0)+1,FALSE)</f>
        <v>1体に特大ダメージ+_x000D_1ターン赤属性ユニットの攻撃力を小UP</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1.0309999999999999</v>
      </c>
      <c r="AZ9" s="64">
        <v>1.18</v>
      </c>
      <c r="BA9" s="64">
        <v>0</v>
      </c>
      <c r="BB9" s="64">
        <v>0.88980000000000004</v>
      </c>
      <c r="BC9" s="10">
        <f ca="1">INDEX('RC6SV'!$A$1:$G$21,MATCH(H9,'RC6SV'!$A$1:$A$21,FALSE),MATCH(G9,'RC6SV'!$A$1:$G$1,FALSE))</f>
        <v>14000</v>
      </c>
      <c r="BD9" s="44">
        <f t="shared" ref="BD9" ca="1" si="21">ROUND(BC9*IF(AJ9=1,0.95,IF(AJ9=2,1,IF(AJ9,1.05,0))),0)</f>
        <v>14000</v>
      </c>
      <c r="BE9" s="10">
        <f t="shared" ca="1" si="3"/>
        <v>14000</v>
      </c>
      <c r="BF9" s="10">
        <f t="shared" ca="1" si="4"/>
        <v>1</v>
      </c>
      <c r="BG9" s="15">
        <f ca="1">IF($BE9&lt;=0,ROUND(BK9*0.5,0), ROUND($BE9*S9*AA9*J9*AY9*0.8*[1]ステータス!$B$2,0))</f>
        <v>4884</v>
      </c>
      <c r="BH9" s="15">
        <f ca="1">IF($BE9&lt;=0,ROUND(BL9*0.5,0), ROUND($BE9*T9*AB9*K9*AZ9*0.8*[1]ステータス!$C$2,0))</f>
        <v>3603</v>
      </c>
      <c r="BI9" s="15">
        <f ca="1">IF($BE9&lt;=0,ROUND(BM9*0.5,0), ROUND($BE9*U9*AC9*L9*BA9*0.8*[1]ステータス!$D$2,0))</f>
        <v>0</v>
      </c>
      <c r="BJ9" s="15">
        <f ca="1">IF($BE9&lt;=0,ROUND(BN9*0.5,0), ROUND($BE9*V9*AD9*M9*BB9*0.8*[1]ステータス!$E$2,0))</f>
        <v>2351</v>
      </c>
      <c r="BK9" s="10">
        <f ca="1">ROUND(BD9*S9*AA9*J9*AY9*[1]ステータス!$B$2,0)</f>
        <v>6106</v>
      </c>
      <c r="BL9" s="10">
        <f ca="1">ROUND(BD9*T9*AB9*K9*AZ9*[1]ステータス!$C$2,0)</f>
        <v>4504</v>
      </c>
      <c r="BM9" s="10">
        <f ca="1">ROUND(BD9*U9*AC9*L9*BA9*[1]ステータス!$D$2,0)</f>
        <v>0</v>
      </c>
      <c r="BN9" s="10">
        <f ca="1">ROUND(BD9*V9*AD9*M9*BB9*[1]ステータス!$E$2,0)</f>
        <v>2939</v>
      </c>
      <c r="BO9" s="9">
        <v>0</v>
      </c>
      <c r="BP9" s="9">
        <v>1</v>
      </c>
      <c r="BQ9" s="9" t="s">
        <v>47</v>
      </c>
      <c r="BR9" s="207">
        <v>4388</v>
      </c>
    </row>
    <row r="10" spans="1:70" ht="26" customHeight="1" x14ac:dyDescent="0.15">
      <c r="A10" s="186">
        <v>1705</v>
      </c>
      <c r="B10" s="53" t="str">
        <f ca="1">VLOOKUP($A10,OFFSET([1]characters!$A$1,0,0,COUNTA([1]characters!$A:$A),MATCH(B$1,[1]characters!$1:$1,0)-MATCH($A$1,[1]characters!$1:$1,0)+1),MATCH(B$1,[1]characters!$1:$1,0)-MATCH($A$1,[1]characters!$1:$1,0)+1,FALSE)</f>
        <v>純白の新婦軍 白雪姫</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6</v>
      </c>
      <c r="H10" s="53" t="str">
        <f ca="1">VLOOKUP($A10,OFFSET([1]characters!$A$1,0,0,COUNTA([1]characters!$A:$A),MATCH(H$1,[1]characters!$1:$1,0)-MATCH($A$1,[1]characters!$1:$1,0)+1),MATCH(H$1,[1]characters!$1:$1,0)-MATCH($A$1,[1]characters!$1:$1,0)+1,FALSE)</f>
        <v>PremiumSS</v>
      </c>
      <c r="I10" s="53" t="str">
        <f ca="1">VLOOKUP($A10,OFFSET([1]characters!$A$1,0,0,COUNTA([1]characters!$A:$A),MATCH(I$1,[1]characters!$1:$1,0)-MATCH($A$1,[1]characters!$1:$1,0)+1),MATCH(I$1,[1]characters!$1:$1,0)-MATCH($A$1,[1]characters!$1:$1,0)+1,FALSE)</f>
        <v>red</v>
      </c>
      <c r="J10" s="10">
        <f ca="1">VLOOKUP(I10,[1]属性!$A:$E,2,FALSE)</f>
        <v>1</v>
      </c>
      <c r="K10" s="10">
        <f ca="1">VLOOKUP(I10,[1]属性!$A:$E,3,FALSE)</f>
        <v>1.02</v>
      </c>
      <c r="L10" s="10">
        <f ca="1">VLOOKUP(I10,[1]属性!$A:$E,4,FALSE)</f>
        <v>1</v>
      </c>
      <c r="M10" s="10">
        <f ca="1">VLOOKUP(I10,[1]属性!$A:$E,5,FALSE)</f>
        <v>0.98</v>
      </c>
      <c r="N10" s="10">
        <f ca="1">INDEX(コスト!$A$1:$I$21,MATCH(H10,コスト!$A$1:$A$21,FALSE),MATCH(G10,コスト!$A$1:$I$1,FALSE))</f>
        <v>50</v>
      </c>
      <c r="O10" s="10">
        <f ca="1">INDEX(レベル!$A$1:$I$22,MATCH(H10,レベル!$A$1:$A$22,FALSE),MATCH(G10,レベル!$A$1:$I$1,FALSE))</f>
        <v>99</v>
      </c>
      <c r="P10" s="44">
        <f t="shared" ca="1" si="13"/>
        <v>99</v>
      </c>
      <c r="Q10" s="53" t="str">
        <f ca="1">VLOOKUP($A10,OFFSET([1]characters!$A$1,0,0,COUNTA([1]characters!$A:$A),MATCH(Q$1,[1]characters!$1:$1,0)-MATCH($A$1,[1]characters!$1:$1,0)+1),MATCH(Q$1,[1]characters!$1:$1,0)-MATCH($A$1,[1]characters!$1:$1,0)+1,FALSE)</f>
        <v>heal</v>
      </c>
      <c r="R10" s="5" t="str">
        <f ca="1">VLOOKUP(Q10,[1]character_type_i18n!$A:$H,3,FALSE)</f>
        <v>回復タイプ</v>
      </c>
      <c r="S10" s="10">
        <f ca="1">VLOOKUP(Q10,[1]character_type_i18n!$A:$H,4,FALSE)</f>
        <v>0.8</v>
      </c>
      <c r="T10" s="10">
        <f ca="1">VLOOKUP(Q10,[1]character_type_i18n!$A:$H,5,FALSE)</f>
        <v>0.78</v>
      </c>
      <c r="U10" s="10">
        <f ca="1">VLOOKUP(Q10,[1]character_type_i18n!$A:$H,6,FALSE)</f>
        <v>1</v>
      </c>
      <c r="V10" s="10">
        <f ca="1">VLOOKUP(Q10,[1]character_type_i18n!$A:$H,7,FALSE)</f>
        <v>1.42</v>
      </c>
      <c r="W10" s="53" t="str">
        <f ca="1">VLOOKUP($A10,OFFSET([1]characters!$A$1,0,0,COUNTA([1]characters!$A:$A),MATCH(W$1,[1]characters!$1:$1,0)-MATCH($A$1,[1]characters!$1:$1,0)+1),MATCH(W$1,[1]characters!$1:$1,0)-MATCH($A$1,[1]characters!$1:$1,0)+1,FALSE)</f>
        <v>human</v>
      </c>
      <c r="X10" s="5" t="str">
        <f ca="1">VLOOKUP(W10,[1]character_tribe_i18n!$A:$H,3,FALSE)</f>
        <v>ヒューマン</v>
      </c>
      <c r="Y10" s="53" t="str">
        <f ca="1">VLOOKUP($A10,OFFSET([1]characters!$A$1,0,0,COUNTA([1]characters!$A:$A),MATCH(Y$1,[1]characters!$1:$1,0)-MATCH($A$1,[1]characters!$1:$1,0)+1),MATCH(Y$1,[1]characters!$1:$1,0)-MATCH($A$1,[1]characters!$1:$1,0)+1,FALSE)</f>
        <v>fantasy</v>
      </c>
      <c r="Z10" s="5" t="str">
        <f ca="1">VLOOKUP(Y10,[1]character_tribe_i18n!$A:$H,3,FALSE)</f>
        <v>ファンタジー</v>
      </c>
      <c r="AA10" s="10">
        <f ca="1">VLOOKUP(W10,[1]character_tribe_i18n!$A:$H,4,FALSE)</f>
        <v>0.94</v>
      </c>
      <c r="AB10" s="10">
        <f ca="1">VLOOKUP(W10,[1]character_tribe_i18n!$A:$H,5,FALSE)</f>
        <v>0.99</v>
      </c>
      <c r="AC10" s="10">
        <f ca="1">VLOOKUP(W10,[1]character_tribe_i18n!$A:$H,6,FALSE)</f>
        <v>1</v>
      </c>
      <c r="AD10" s="10">
        <f ca="1">VLOOKUP(W10,[1]character_tribe_i18n!$A:$H,7,FALSE)</f>
        <v>1.07</v>
      </c>
      <c r="AE10" s="187">
        <v>1706</v>
      </c>
      <c r="AF10" s="58" t="str">
        <f ca="1">IF(AE10="NULL","",VLOOKUP($AE10,OFFSET([1]characters!$A$1,0,0,COUNTA([1]characters!$A:$A),MATCH(AF$1,[1]characters!$1:$1,0)-MATCH($A$1,[1]characters!$1:$1,0)+1),MATCH(AF$1,[1]characters!$1:$1,0)-MATCH($A$1,[1]characters!$1:$1,0)+1,FALSE))</f>
        <v>幸福なる大祝砲 白雪姫</v>
      </c>
      <c r="AG10" s="187">
        <v>1705</v>
      </c>
      <c r="AH10" s="58" t="str">
        <f ca="1">VLOOKUP($AG10,OFFSET([1]characters!$A$1,0,0,COUNTA([1]characters!$A:$A),MATCH(AH$1,[1]characters!$1:$1,0)-MATCH($A$1,[1]characters!$1:$1,0)+1),MATCH(AH$1,[1]characters!$1:$1,0)-MATCH($A$1,[1]characters!$1:$1,0)+1,FALSE)</f>
        <v>純白の新婦軍 白雪姫</v>
      </c>
      <c r="AI10" s="10">
        <f ca="1">IF(AE10="NULL","NULL",VLOOKUP(G10,ビット!$A$2:$B$7,2))</f>
        <v>200000</v>
      </c>
      <c r="AJ10" s="6">
        <v>2</v>
      </c>
      <c r="AK10" s="7" t="str">
        <f t="shared" si="17"/>
        <v>普通</v>
      </c>
      <c r="AL10" s="10" t="str">
        <f ca="1">INDEX(経験値!$A$1:$I$21,MATCH(H10,経験値!$A$1:$A$21,FALSE),MATCH(G10,経験値!$A$1:$I$1,FALSE))</f>
        <v>required_exp_250</v>
      </c>
      <c r="AM10" s="8">
        <f ca="1">VLOOKUP(G10,経験値!$A$28:$B$32,2)</f>
        <v>6400</v>
      </c>
      <c r="AN10" s="16">
        <f ca="1">VLOOKUP(G10,ビット!$G$2:$H$7,2)</f>
        <v>900</v>
      </c>
      <c r="AO10" s="41"/>
      <c r="AP10" s="63">
        <v>1705</v>
      </c>
      <c r="AQ10" s="53" t="str">
        <f ca="1">VLOOKUP($AP10,OFFSET(unit_skills!$A$1,0,0,COUNTA(unit_skills!$A:$A),MATCH(AQ$1,unit_skills!$1:$1,0)-MATCH($AP$1,unit_skills!$1:$1,0)+1),MATCH(AQ$1,unit_skills!$1:$1,0)-MATCH($AP$1,unit_skills!$1:$1,0)+1,FALSE)</f>
        <v>サムシング・セヴン</v>
      </c>
      <c r="AR10" s="53" t="str">
        <f ca="1">VLOOKUP($AP10,OFFSET(unit_skills!$A$1,0,0,COUNTA(unit_skills!$A:$A),MATCH(AR$1,unit_skills!$1:$1,0)-MATCH($AP$1,unit_skills!$1:$1,0)+1),MATCH(AR$1,unit_skills!$1:$1,0)-MATCH($AP$1,unit_skills!$1:$1,0)+1,FALSE)</f>
        <v>ランダムで最大7個CP(大)に変換+2ターンHPを大回復し、赤属性の回復力をUP(黄・ダメージパネルを吸収し効果特大UP)</v>
      </c>
      <c r="AS10" s="53">
        <f ca="1">VLOOKUP($AP10,OFFSET(unit_skills!$A$1,0,0,COUNTA(unit_skills!$A:$A),MATCH(AS$1,unit_skills!$1:$1,0)-MATCH($AP$1,unit_skills!$1:$1,0)+1),MATCH(AS$1,unit_skills!$1:$1,0)-MATCH($AP$1,unit_skills!$1:$1,0)+1,FALSE)</f>
        <v>0</v>
      </c>
      <c r="AT10" s="63">
        <v>1705</v>
      </c>
      <c r="AU10" s="53" t="str">
        <f ca="1">VLOOKUP($AT10,OFFSET(crash_skills!$A$1,0,0,COUNTA(crash_skills!$A:$A),MATCH(AU$1,crash_skills!$1:$1,0)-MATCH($AT$1,crash_skills!$1:$1,0)+1),MATCH(AU$1,crash_skills!$1:$1,0)-MATCH($AT$1,crash_skills!$1:$1,0)+1,FALSE)</f>
        <v>アップル・ヴァージンロード</v>
      </c>
      <c r="AV10" s="53" t="str">
        <f ca="1">VLOOKUP($AT10,OFFSET(crash_skills!$A$1,0,0,COUNTA(crash_skills!$A:$A),MATCH(AV$1,crash_skills!$1:$1,0)-MATCH($AT$1,crash_skills!$1:$1,0)+1),MATCH(AV$1,crash_skills!$1:$1,0)-MATCH($AT$1,crash_skills!$1:$1,0)+1,FALSE)</f>
        <v>自身の回復力に比例して_x000D_1体に特大ダメージ</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1.0900000000000001</v>
      </c>
      <c r="AZ10" s="64">
        <v>1.18</v>
      </c>
      <c r="BA10" s="64">
        <v>0</v>
      </c>
      <c r="BB10" s="64">
        <v>0.87</v>
      </c>
      <c r="BC10" s="10">
        <f ca="1">INDEX('RC6SV'!$A$1:$G$21,MATCH(H10,'RC6SV'!$A$1:$A$21,FALSE),MATCH(G10,'RC6SV'!$A$1:$G$1,FALSE))</f>
        <v>13000</v>
      </c>
      <c r="BD10" s="44">
        <f t="shared" ca="1" si="18"/>
        <v>13000</v>
      </c>
      <c r="BE10" s="10">
        <f t="shared" ca="1" si="3"/>
        <v>13000</v>
      </c>
      <c r="BF10" s="10">
        <f t="shared" ca="1" si="4"/>
        <v>1</v>
      </c>
      <c r="BG10" s="15">
        <f ca="1">IF($BE10&lt;=0,ROUND(BK10*0.5,0), ROUND($BE10*S10*AA10*J10*AY10*0.8*[1]ステータス!$B$2,0))</f>
        <v>4262</v>
      </c>
      <c r="BH10" s="15">
        <f ca="1">IF($BE10&lt;=0,ROUND(BL10*0.5,0), ROUND($BE10*T10*AB10*K10*AZ10*0.8*[1]ステータス!$C$2,0))</f>
        <v>2900</v>
      </c>
      <c r="BI10" s="15">
        <f ca="1">IF($BE10&lt;=0,ROUND(BM10*0.5,0), ROUND($BE10*U10*AC10*L10*BA10*0.8*[1]ステータス!$D$2,0))</f>
        <v>0</v>
      </c>
      <c r="BJ10" s="15">
        <f ca="1">IF($BE10&lt;=0,ROUND(BN10*0.5,0), ROUND($BE10*V10*AD10*M10*BB10*0.8*[1]ステータス!$E$2,0))</f>
        <v>3368</v>
      </c>
      <c r="BK10" s="10">
        <f ca="1">ROUND(BD10*S10*AA10*J10*AY10*[1]ステータス!$B$2,0)</f>
        <v>5328</v>
      </c>
      <c r="BL10" s="10">
        <f ca="1">ROUND(BD10*T10*AB10*K10*AZ10*[1]ステータス!$C$2,0)</f>
        <v>3625</v>
      </c>
      <c r="BM10" s="10">
        <f ca="1">ROUND(BD10*U10*AC10*L10*BA10*[1]ステータス!$D$2,0)</f>
        <v>0</v>
      </c>
      <c r="BN10" s="10">
        <f ca="1">ROUND(BD10*V10*AD10*M10*BB10*[1]ステータス!$E$2,0)</f>
        <v>4210</v>
      </c>
      <c r="BO10" s="9">
        <v>0</v>
      </c>
      <c r="BP10" s="9">
        <v>1</v>
      </c>
      <c r="BQ10" s="36" t="s">
        <v>47</v>
      </c>
      <c r="BR10" s="207">
        <v>4023</v>
      </c>
    </row>
    <row r="11" spans="1:70" ht="26" customHeight="1" x14ac:dyDescent="0.15">
      <c r="A11" s="186">
        <v>1706</v>
      </c>
      <c r="B11" s="53" t="str">
        <f ca="1">VLOOKUP($A11,OFFSET([1]characters!$A$1,0,0,COUNTA([1]characters!$A:$A),MATCH(B$1,[1]characters!$1:$1,0)-MATCH($A$1,[1]characters!$1:$1,0)+1),MATCH(B$1,[1]characters!$1:$1,0)-MATCH($A$1,[1]characters!$1:$1,0)+1,FALSE)</f>
        <v>幸福なる大祝砲 白雪姫</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PremiumSS</v>
      </c>
      <c r="I11" s="53" t="str">
        <f ca="1">VLOOKUP($A11,OFFSET([1]characters!$A$1,0,0,COUNTA([1]characters!$A:$A),MATCH(I$1,[1]characters!$1:$1,0)-MATCH($A$1,[1]characters!$1:$1,0)+1),MATCH(I$1,[1]characters!$1:$1,0)-MATCH($A$1,[1]characters!$1:$1,0)+1,FALSE)</f>
        <v>red</v>
      </c>
      <c r="J11" s="10">
        <f ca="1">VLOOKUP(I11,[1]属性!$A:$E,2,FALSE)</f>
        <v>1</v>
      </c>
      <c r="K11" s="10">
        <f ca="1">VLOOKUP(I11,[1]属性!$A:$E,3,FALSE)</f>
        <v>1.02</v>
      </c>
      <c r="L11" s="10">
        <f ca="1">VLOOKUP(I11,[1]属性!$A:$E,4,FALSE)</f>
        <v>1</v>
      </c>
      <c r="M11" s="10">
        <f ca="1">VLOOKUP(I11,[1]属性!$A:$E,5,FALSE)</f>
        <v>0.98</v>
      </c>
      <c r="N11" s="10">
        <f ca="1">INDEX(コスト!$A$1:$I$21,MATCH(H11,コスト!$A$1:$A$21,FALSE),MATCH(G11,コスト!$A$1:$I$1,FALSE))</f>
        <v>50</v>
      </c>
      <c r="O11" s="10">
        <f ca="1">INDEX(レベル!$A$1:$I$22,MATCH(H11,レベル!$A$1:$A$22,FALSE),MATCH(G11,レベル!$A$1:$I$1,FALSE))</f>
        <v>99</v>
      </c>
      <c r="P11" s="44">
        <f t="shared" ref="P11" ca="1" si="22">IF(G11 &gt;= 6, 99,G11*15)</f>
        <v>99</v>
      </c>
      <c r="Q11" s="53" t="str">
        <f ca="1">VLOOKUP($A11,OFFSET([1]characters!$A$1,0,0,COUNTA([1]characters!$A:$A),MATCH(Q$1,[1]characters!$1:$1,0)-MATCH($A$1,[1]characters!$1:$1,0)+1),MATCH(Q$1,[1]characters!$1:$1,0)-MATCH($A$1,[1]characters!$1:$1,0)+1,FALSE)</f>
        <v>heal</v>
      </c>
      <c r="R11" s="5" t="str">
        <f ca="1">VLOOKUP(Q11,[1]character_type_i18n!$A:$H,3,FALSE)</f>
        <v>回復タイプ</v>
      </c>
      <c r="S11" s="10">
        <f ca="1">VLOOKUP(Q11,[1]character_type_i18n!$A:$H,4,FALSE)</f>
        <v>0.8</v>
      </c>
      <c r="T11" s="10">
        <f ca="1">VLOOKUP(Q11,[1]character_type_i18n!$A:$H,5,FALSE)</f>
        <v>0.78</v>
      </c>
      <c r="U11" s="10">
        <f ca="1">VLOOKUP(Q11,[1]character_type_i18n!$A:$H,6,FALSE)</f>
        <v>1</v>
      </c>
      <c r="V11" s="10">
        <f ca="1">VLOOKUP(Q11,[1]character_type_i18n!$A:$H,7,FALSE)</f>
        <v>1.42</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fantasy</v>
      </c>
      <c r="Z11" s="5" t="str">
        <f ca="1">VLOOKUP(Y11,[1]character_tribe_i18n!$A:$H,3,FALSE)</f>
        <v>ファンタジー</v>
      </c>
      <c r="AA11" s="10">
        <f ca="1">VLOOKUP(W11,[1]character_tribe_i18n!$A:$H,4,FALSE)</f>
        <v>0.94</v>
      </c>
      <c r="AB11" s="10">
        <f ca="1">VLOOKUP(W11,[1]character_tribe_i18n!$A:$H,5,FALSE)</f>
        <v>0.99</v>
      </c>
      <c r="AC11" s="10">
        <f ca="1">VLOOKUP(W11,[1]character_tribe_i18n!$A:$H,6,FALSE)</f>
        <v>1</v>
      </c>
      <c r="AD11" s="10">
        <f ca="1">VLOOKUP(W11,[1]character_tribe_i18n!$A:$H,7,FALSE)</f>
        <v>1.07</v>
      </c>
      <c r="AE11" s="187">
        <v>1705</v>
      </c>
      <c r="AF11" s="58" t="str">
        <f ca="1">IF(AE11="NULL","",VLOOKUP($AE11,OFFSET([1]characters!$A$1,0,0,COUNTA([1]characters!$A:$A),MATCH(AF$1,[1]characters!$1:$1,0)-MATCH($A$1,[1]characters!$1:$1,0)+1),MATCH(AF$1,[1]characters!$1:$1,0)-MATCH($A$1,[1]characters!$1:$1,0)+1,FALSE))</f>
        <v>純白の新婦軍 白雪姫</v>
      </c>
      <c r="AG11" s="187">
        <v>1705</v>
      </c>
      <c r="AH11" s="58" t="str">
        <f ca="1">VLOOKUP($AG11,OFFSET([1]characters!$A$1,0,0,COUNTA([1]characters!$A:$A),MATCH(AH$1,[1]characters!$1:$1,0)-MATCH($A$1,[1]characters!$1:$1,0)+1),MATCH(AH$1,[1]characters!$1:$1,0)-MATCH($A$1,[1]characters!$1:$1,0)+1,FALSE)</f>
        <v>純白の新婦軍 白雪姫</v>
      </c>
      <c r="AI11" s="10">
        <f ca="1">IF(AE11="NULL","NULL",VLOOKUP(G11,ビット!$A$2:$B$7,2))</f>
        <v>200000</v>
      </c>
      <c r="AJ11" s="6">
        <v>2</v>
      </c>
      <c r="AK11" s="7" t="str">
        <f t="shared" ref="AK11" si="23">IF(AJ11=1,"早熟",IF(AJ11=2,"普通",IF(AJ11=3,"晩成","")))</f>
        <v>普通</v>
      </c>
      <c r="AL11" s="10" t="str">
        <f ca="1">INDEX(経験値!$A$1:$I$21,MATCH(H11,経験値!$A$1:$A$21,FALSE),MATCH(G11,経験値!$A$1:$I$1,FALSE))</f>
        <v>required_exp_250</v>
      </c>
      <c r="AM11" s="8">
        <f ca="1">VLOOKUP(G11,経験値!$A$28:$B$32,2)</f>
        <v>6400</v>
      </c>
      <c r="AN11" s="16">
        <f ca="1">VLOOKUP(G11,ビット!$G$2:$H$7,2)</f>
        <v>900</v>
      </c>
      <c r="AO11" s="41"/>
      <c r="AP11" s="63">
        <v>1706</v>
      </c>
      <c r="AQ11" s="53" t="str">
        <f ca="1">VLOOKUP($AP11,OFFSET(unit_skills!$A$1,0,0,COUNTA(unit_skills!$A:$A),MATCH(AQ$1,unit_skills!$1:$1,0)-MATCH($AP$1,unit_skills!$1:$1,0)+1),MATCH(AQ$1,unit_skills!$1:$1,0)-MATCH($AP$1,unit_skills!$1:$1,0)+1,FALSE)</f>
        <v>サムシング・セヴン</v>
      </c>
      <c r="AR11" s="53" t="str">
        <f ca="1">VLOOKUP($AP11,OFFSET(unit_skills!$A$1,0,0,COUNTA(unit_skills!$A:$A),MATCH(AR$1,unit_skills!$1:$1,0)-MATCH($AP$1,unit_skills!$1:$1,0)+1),MATCH(AR$1,unit_skills!$1:$1,0)-MATCH($AP$1,unit_skills!$1:$1,0)+1,FALSE)</f>
        <v>ランダムで最大7個CP(大)に変換+2ターンHPを大回復し、赤属性の回復力をUP(黄・ダメージパネルを吸収し効果特大UP)</v>
      </c>
      <c r="AS11" s="53">
        <f ca="1">VLOOKUP($AP11,OFFSET(unit_skills!$A$1,0,0,COUNTA(unit_skills!$A:$A),MATCH(AS$1,unit_skills!$1:$1,0)-MATCH($AP$1,unit_skills!$1:$1,0)+1),MATCH(AS$1,unit_skills!$1:$1,0)-MATCH($AP$1,unit_skills!$1:$1,0)+1,FALSE)</f>
        <v>0</v>
      </c>
      <c r="AT11" s="63">
        <v>1706</v>
      </c>
      <c r="AU11" s="53" t="str">
        <f ca="1">VLOOKUP($AT11,OFFSET(crash_skills!$A$1,0,0,COUNTA(crash_skills!$A:$A),MATCH(AU$1,crash_skills!$1:$1,0)-MATCH($AT$1,crash_skills!$1:$1,0)+1),MATCH(AU$1,crash_skills!$1:$1,0)-MATCH($AT$1,crash_skills!$1:$1,0)+1,FALSE)</f>
        <v>アップル・ヴァージンロード</v>
      </c>
      <c r="AV11" s="53" t="str">
        <f ca="1">VLOOKUP($AT11,OFFSET(crash_skills!$A$1,0,0,COUNTA(crash_skills!$A:$A),MATCH(AV$1,crash_skills!$1:$1,0)-MATCH($AT$1,crash_skills!$1:$1,0)+1),MATCH(AV$1,crash_skills!$1:$1,0)-MATCH($AT$1,crash_skills!$1:$1,0)+1,FALSE)</f>
        <v>自身の回復力に比例して_x000D_1体に特大ダメージ</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1.0900000000000001</v>
      </c>
      <c r="AZ11" s="64">
        <v>1.18</v>
      </c>
      <c r="BA11" s="64">
        <v>0</v>
      </c>
      <c r="BB11" s="64">
        <v>0.87</v>
      </c>
      <c r="BC11" s="10">
        <f ca="1">INDEX('RC6SV'!$A$1:$G$21,MATCH(H11,'RC6SV'!$A$1:$A$21,FALSE),MATCH(G11,'RC6SV'!$A$1:$G$1,FALSE))</f>
        <v>13000</v>
      </c>
      <c r="BD11" s="44">
        <f t="shared" ref="BD11" ca="1" si="24">ROUND(BC11*IF(AJ11=1,0.95,IF(AJ11=2,1,IF(AJ11,1.05,0))),0)</f>
        <v>13000</v>
      </c>
      <c r="BE11" s="10">
        <f t="shared" ca="1" si="3"/>
        <v>13000</v>
      </c>
      <c r="BF11" s="10">
        <f t="shared" ca="1" si="4"/>
        <v>1</v>
      </c>
      <c r="BG11" s="15">
        <f ca="1">IF($BE11&lt;=0,ROUND(BK11*0.5,0), ROUND($BE11*S11*AA11*J11*AY11*0.8*[1]ステータス!$B$2,0))</f>
        <v>4262</v>
      </c>
      <c r="BH11" s="15">
        <f ca="1">IF($BE11&lt;=0,ROUND(BL11*0.5,0), ROUND($BE11*T11*AB11*K11*AZ11*0.8*[1]ステータス!$C$2,0))</f>
        <v>2900</v>
      </c>
      <c r="BI11" s="15">
        <f ca="1">IF($BE11&lt;=0,ROUND(BM11*0.5,0), ROUND($BE11*U11*AC11*L11*BA11*0.8*[1]ステータス!$D$2,0))</f>
        <v>0</v>
      </c>
      <c r="BJ11" s="15">
        <f ca="1">IF($BE11&lt;=0,ROUND(BN11*0.5,0), ROUND($BE11*V11*AD11*M11*BB11*0.8*[1]ステータス!$E$2,0))</f>
        <v>3368</v>
      </c>
      <c r="BK11" s="10">
        <f ca="1">ROUND(BD11*S11*AA11*J11*AY11*[1]ステータス!$B$2,0)</f>
        <v>5328</v>
      </c>
      <c r="BL11" s="10">
        <f ca="1">ROUND(BD11*T11*AB11*K11*AZ11*[1]ステータス!$C$2,0)</f>
        <v>3625</v>
      </c>
      <c r="BM11" s="10">
        <f ca="1">ROUND(BD11*U11*AC11*L11*BA11*[1]ステータス!$D$2,0)</f>
        <v>0</v>
      </c>
      <c r="BN11" s="10">
        <f ca="1">ROUND(BD11*V11*AD11*M11*BB11*[1]ステータス!$E$2,0)</f>
        <v>4210</v>
      </c>
      <c r="BO11" s="9">
        <v>0</v>
      </c>
      <c r="BP11" s="9">
        <v>1</v>
      </c>
      <c r="BQ11" s="36" t="s">
        <v>47</v>
      </c>
      <c r="BR11" s="207">
        <v>4023</v>
      </c>
    </row>
    <row r="12" spans="1:70" ht="26" customHeight="1" x14ac:dyDescent="0.15">
      <c r="A12" s="186">
        <v>1707</v>
      </c>
      <c r="B12" s="53" t="str">
        <f ca="1">VLOOKUP($A12,OFFSET([1]characters!$A$1,0,0,COUNTA([1]characters!$A:$A),MATCH(B$1,[1]characters!$1:$1,0)-MATCH($A$1,[1]characters!$1:$1,0)+1),MATCH(B$1,[1]characters!$1:$1,0)-MATCH($A$1,[1]characters!$1:$1,0)+1,FALSE)</f>
        <v>親愛なる猫嫁神 バステト</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6</v>
      </c>
      <c r="H12" s="53" t="str">
        <f ca="1">VLOOKUP($A12,OFFSET([1]characters!$A$1,0,0,COUNTA([1]characters!$A:$A),MATCH(H$1,[1]characters!$1:$1,0)-MATCH($A$1,[1]characters!$1:$1,0)+1),MATCH(H$1,[1]characters!$1:$1,0)-MATCH($A$1,[1]characters!$1:$1,0)+1,FALSE)</f>
        <v>PremiumSS</v>
      </c>
      <c r="I12" s="53" t="str">
        <f ca="1">VLOOKUP($A12,OFFSET([1]characters!$A$1,0,0,COUNTA([1]characters!$A:$A),MATCH(I$1,[1]characters!$1:$1,0)-MATCH($A$1,[1]characters!$1:$1,0)+1),MATCH(I$1,[1]characters!$1:$1,0)-MATCH($A$1,[1]characters!$1:$1,0)+1,FALSE)</f>
        <v>green</v>
      </c>
      <c r="J12" s="10">
        <f ca="1">VLOOKUP(I12,[1]属性!$A:$E,2,FALSE)</f>
        <v>1.02</v>
      </c>
      <c r="K12" s="10">
        <f ca="1">VLOOKUP(I12,[1]属性!$A:$E,3,FALSE)</f>
        <v>0.98</v>
      </c>
      <c r="L12" s="10">
        <f ca="1">VLOOKUP(I12,[1]属性!$A:$E,4,FALSE)</f>
        <v>1</v>
      </c>
      <c r="M12" s="10">
        <f ca="1">VLOOKUP(I12,[1]属性!$A:$E,5,FALSE)</f>
        <v>1</v>
      </c>
      <c r="N12" s="10">
        <f ca="1">INDEX(コスト!$A$1:$I$21,MATCH(H12,コスト!$A$1:$A$21,FALSE),MATCH(G12,コスト!$A$1:$I$1,FALSE))</f>
        <v>50</v>
      </c>
      <c r="O12" s="10">
        <f ca="1">INDEX(レベル!$A$1:$I$22,MATCH(H12,レベル!$A$1:$A$22,FALSE),MATCH(G12,レベル!$A$1:$I$1,FALSE))</f>
        <v>99</v>
      </c>
      <c r="P12" s="44">
        <f t="shared" ca="1" si="13"/>
        <v>99</v>
      </c>
      <c r="Q12" s="53" t="str">
        <f ca="1">VLOOKUP($A12,OFFSET([1]characters!$A$1,0,0,COUNTA([1]characters!$A:$A),MATCH(Q$1,[1]characters!$1:$1,0)-MATCH($A$1,[1]characters!$1:$1,0)+1),MATCH(Q$1,[1]characters!$1:$1,0)-MATCH($A$1,[1]characters!$1:$1,0)+1,FALSE)</f>
        <v>attack</v>
      </c>
      <c r="R12" s="5" t="str">
        <f ca="1">VLOOKUP(Q12,[1]character_type_i18n!$A:$H,3,FALSE)</f>
        <v>攻撃タイプ</v>
      </c>
      <c r="S12" s="10">
        <f ca="1">VLOOKUP(Q12,[1]character_type_i18n!$A:$H,4,FALSE)</f>
        <v>1</v>
      </c>
      <c r="T12" s="10">
        <f ca="1">VLOOKUP(Q12,[1]character_type_i18n!$A:$H,5,FALSE)</f>
        <v>1.33</v>
      </c>
      <c r="U12" s="10">
        <f ca="1">VLOOKUP(Q12,[1]character_type_i18n!$A:$H,6,FALSE)</f>
        <v>1</v>
      </c>
      <c r="V12" s="10">
        <f ca="1">VLOOKUP(Q12,[1]character_type_i18n!$A:$H,7,FALSE)</f>
        <v>0.67</v>
      </c>
      <c r="W12" s="53" t="str">
        <f ca="1">VLOOKUP($A12,OFFSET([1]characters!$A$1,0,0,COUNTA([1]characters!$A:$A),MATCH(W$1,[1]characters!$1:$1,0)-MATCH($A$1,[1]characters!$1:$1,0)+1),MATCH(W$1,[1]characters!$1:$1,0)-MATCH($A$1,[1]characters!$1:$1,0)+1,FALSE)</f>
        <v>animal</v>
      </c>
      <c r="X12" s="5" t="str">
        <f ca="1">VLOOKUP(W12,[1]character_tribe_i18n!$A:$H,3,FALSE)</f>
        <v>アニマル</v>
      </c>
      <c r="Y12" s="53" t="str">
        <f ca="1">VLOOKUP($A12,OFFSET([1]characters!$A$1,0,0,COUNTA([1]characters!$A:$A),MATCH(Y$1,[1]characters!$1:$1,0)-MATCH($A$1,[1]characters!$1:$1,0)+1),MATCH(Y$1,[1]characters!$1:$1,0)-MATCH($A$1,[1]characters!$1:$1,0)+1,FALSE)</f>
        <v>god</v>
      </c>
      <c r="Z12" s="5" t="str">
        <f ca="1">VLOOKUP(Y12,[1]character_tribe_i18n!$A:$H,3,FALSE)</f>
        <v>ゴッド</v>
      </c>
      <c r="AA12" s="10">
        <f ca="1">VLOOKUP(W12,[1]character_tribe_i18n!$A:$H,4,FALSE)</f>
        <v>1</v>
      </c>
      <c r="AB12" s="10">
        <f ca="1">VLOOKUP(W12,[1]character_tribe_i18n!$A:$H,5,FALSE)</f>
        <v>1.1000000000000001</v>
      </c>
      <c r="AC12" s="10">
        <f ca="1">VLOOKUP(W12,[1]character_tribe_i18n!$A:$H,6,FALSE)</f>
        <v>1</v>
      </c>
      <c r="AD12" s="10">
        <f ca="1">VLOOKUP(W12,[1]character_tribe_i18n!$A:$H,7,FALSE)</f>
        <v>0.9</v>
      </c>
      <c r="AE12" s="187">
        <v>1708</v>
      </c>
      <c r="AF12" s="58" t="str">
        <f ca="1">IF(AE12="NULL","",VLOOKUP($AE12,OFFSET([1]characters!$A$1,0,0,COUNTA([1]characters!$A:$A),MATCH(AF$1,[1]characters!$1:$1,0)-MATCH($A$1,[1]characters!$1:$1,0)+1),MATCH(AF$1,[1]characters!$1:$1,0)-MATCH($A$1,[1]characters!$1:$1,0)+1,FALSE))</f>
        <v>御聖婚の幸猫神 バステト</v>
      </c>
      <c r="AG12" s="187">
        <v>1707</v>
      </c>
      <c r="AH12" s="58" t="str">
        <f ca="1">VLOOKUP($AG12,OFFSET([1]characters!$A$1,0,0,COUNTA([1]characters!$A:$A),MATCH(AH$1,[1]characters!$1:$1,0)-MATCH($A$1,[1]characters!$1:$1,0)+1),MATCH(AH$1,[1]characters!$1:$1,0)-MATCH($A$1,[1]characters!$1:$1,0)+1,FALSE)</f>
        <v>親愛なる猫嫁神 バステト</v>
      </c>
      <c r="AI12" s="10">
        <f ca="1">IF(AE12="NULL","NULL",VLOOKUP(G12,ビット!$A$2:$B$7,2))</f>
        <v>200000</v>
      </c>
      <c r="AJ12" s="6">
        <v>2</v>
      </c>
      <c r="AK12" s="7" t="str">
        <f t="shared" si="17"/>
        <v>普通</v>
      </c>
      <c r="AL12" s="10" t="str">
        <f ca="1">INDEX(経験値!$A$1:$I$21,MATCH(H12,経験値!$A$1:$A$21,FALSE),MATCH(G12,経験値!$A$1:$I$1,FALSE))</f>
        <v>required_exp_250</v>
      </c>
      <c r="AM12" s="8">
        <f ca="1">VLOOKUP(G12,経験値!$A$28:$B$32,2)</f>
        <v>6400</v>
      </c>
      <c r="AN12" s="16">
        <f ca="1">VLOOKUP(G12,ビット!$G$2:$H$7,2)</f>
        <v>900</v>
      </c>
      <c r="AO12" s="41"/>
      <c r="AP12" s="63">
        <v>1707</v>
      </c>
      <c r="AQ12" s="53" t="str">
        <f ca="1">VLOOKUP($AP12,OFFSET(unit_skills!$A$1,0,0,COUNTA(unit_skills!$A:$A),MATCH(AQ$1,unit_skills!$1:$1,0)-MATCH($AP$1,unit_skills!$1:$1,0)+1),MATCH(AQ$1,unit_skills!$1:$1,0)-MATCH($AP$1,unit_skills!$1:$1,0)+1,FALSE)</f>
        <v>にゃんだふる・ぶーけとす！</v>
      </c>
      <c r="AR12" s="53" t="str">
        <f ca="1">VLOOKUP($AP12,OFFSET(unit_skills!$A$1,0,0,COUNTA(unit_skills!$A:$A),MATCH(AR$1,unit_skills!$1:$1,0)-MATCH($AP$1,unit_skills!$1:$1,0)+1),MATCH(AR$1,unit_skills!$1:$1,0)-MATCH($AP$1,unit_skills!$1:$1,0)+1,FALSE)</f>
        <v>青パネルをCパネルに変換+出現しているCパネルを大強化+フィーバーゲージ15%上昇</v>
      </c>
      <c r="AS12" s="53">
        <f ca="1">VLOOKUP($AP12,OFFSET(unit_skills!$A$1,0,0,COUNTA(unit_skills!$A:$A),MATCH(AS$1,unit_skills!$1:$1,0)-MATCH($AP$1,unit_skills!$1:$1,0)+1),MATCH(AS$1,unit_skills!$1:$1,0)-MATCH($AP$1,unit_skills!$1:$1,0)+1,FALSE)</f>
        <v>0</v>
      </c>
      <c r="AT12" s="63">
        <v>1707</v>
      </c>
      <c r="AU12" s="53" t="str">
        <f ca="1">VLOOKUP($AT12,OFFSET(crash_skills!$A$1,0,0,COUNTA(crash_skills!$A:$A),MATCH(AU$1,crash_skills!$1:$1,0)-MATCH($AT$1,crash_skills!$1:$1,0)+1),MATCH(AU$1,crash_skills!$1:$1,0)-MATCH($AT$1,crash_skills!$1:$1,0)+1,FALSE)</f>
        <v>キャット・ファーストバイト</v>
      </c>
      <c r="AV12" s="53" t="str">
        <f ca="1">VLOOKUP($AT12,OFFSET(crash_skills!$A$1,0,0,COUNTA(crash_skills!$A:$A),MATCH(AV$1,crash_skills!$1:$1,0)-MATCH($AT$1,crash_skills!$1:$1,0)+1),MATCH(AV$1,crash_skills!$1:$1,0)-MATCH($AT$1,crash_skills!$1:$1,0)+1,FALSE)</f>
        <v>1体に大ダメージ+_x000D_全体に特大ダメージ</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0.91</v>
      </c>
      <c r="AZ12" s="64">
        <v>0.9</v>
      </c>
      <c r="BA12" s="64">
        <v>0</v>
      </c>
      <c r="BB12" s="64">
        <v>1.3</v>
      </c>
      <c r="BC12" s="10">
        <f ca="1">INDEX('RC6SV'!$A$1:$G$21,MATCH(H12,'RC6SV'!$A$1:$A$21,FALSE),MATCH(G12,'RC6SV'!$A$1:$G$1,FALSE))</f>
        <v>13000</v>
      </c>
      <c r="BD12" s="44">
        <f t="shared" ca="1" si="18"/>
        <v>13000</v>
      </c>
      <c r="BE12" s="10">
        <f t="shared" ca="1" si="3"/>
        <v>13000</v>
      </c>
      <c r="BF12" s="10">
        <f t="shared" ca="1" si="4"/>
        <v>1</v>
      </c>
      <c r="BG12" s="15">
        <f ca="1">IF($BE12&lt;=0,ROUND(BK12*0.5,0), ROUND($BE12*S12*AA12*J12*AY12*0.8*[1]ステータス!$B$2,0))</f>
        <v>4827</v>
      </c>
      <c r="BH12" s="15">
        <f ca="1">IF($BE12&lt;=0,ROUND(BL12*0.5,0), ROUND($BE12*T12*AB12*K12*AZ12*0.8*[1]ステータス!$C$2,0))</f>
        <v>4026</v>
      </c>
      <c r="BI12" s="15">
        <f ca="1">IF($BE12&lt;=0,ROUND(BM12*0.5,0), ROUND($BE12*U12*AC12*L12*BA12*0.8*[1]ステータス!$D$2,0))</f>
        <v>0</v>
      </c>
      <c r="BJ12" s="15">
        <f ca="1">IF($BE12&lt;=0,ROUND(BN12*0.5,0), ROUND($BE12*V12*AD12*M12*BB12*0.8*[1]ステータス!$E$2,0))</f>
        <v>2038</v>
      </c>
      <c r="BK12" s="10">
        <f ca="1">ROUND(BD12*S12*AA12*J12*AY12*[1]ステータス!$B$2,0)</f>
        <v>6033</v>
      </c>
      <c r="BL12" s="10">
        <f ca="1">ROUND(BD12*T12*AB12*K12*AZ12*[1]ステータス!$C$2,0)</f>
        <v>5032</v>
      </c>
      <c r="BM12" s="10">
        <f ca="1">ROUND(BD12*U12*AC12*L12*BA12*[1]ステータス!$D$2,0)</f>
        <v>0</v>
      </c>
      <c r="BN12" s="10">
        <f ca="1">ROUND(BD12*V12*AD12*M12*BB12*[1]ステータス!$E$2,0)</f>
        <v>2548</v>
      </c>
      <c r="BO12" s="9">
        <v>0</v>
      </c>
      <c r="BP12" s="9">
        <v>1</v>
      </c>
      <c r="BQ12" s="9" t="s">
        <v>47</v>
      </c>
      <c r="BR12" s="207">
        <v>4023</v>
      </c>
    </row>
    <row r="13" spans="1:70" ht="26" customHeight="1" x14ac:dyDescent="0.15">
      <c r="A13" s="186">
        <v>1708</v>
      </c>
      <c r="B13" s="53" t="str">
        <f ca="1">VLOOKUP($A13,OFFSET([1]characters!$A$1,0,0,COUNTA([1]characters!$A:$A),MATCH(B$1,[1]characters!$1:$1,0)-MATCH($A$1,[1]characters!$1:$1,0)+1),MATCH(B$1,[1]characters!$1:$1,0)-MATCH($A$1,[1]characters!$1:$1,0)+1,FALSE)</f>
        <v>御聖婚の幸猫神 バステト</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6</v>
      </c>
      <c r="H13" s="53" t="str">
        <f ca="1">VLOOKUP($A13,OFFSET([1]characters!$A$1,0,0,COUNTA([1]characters!$A:$A),MATCH(H$1,[1]characters!$1:$1,0)-MATCH($A$1,[1]characters!$1:$1,0)+1),MATCH(H$1,[1]characters!$1:$1,0)-MATCH($A$1,[1]characters!$1:$1,0)+1,FALSE)</f>
        <v>PremiumSS</v>
      </c>
      <c r="I13" s="53" t="str">
        <f ca="1">VLOOKUP($A13,OFFSET([1]characters!$A$1,0,0,COUNTA([1]characters!$A:$A),MATCH(I$1,[1]characters!$1:$1,0)-MATCH($A$1,[1]characters!$1:$1,0)+1),MATCH(I$1,[1]characters!$1:$1,0)-MATCH($A$1,[1]characters!$1:$1,0)+1,FALSE)</f>
        <v>green</v>
      </c>
      <c r="J13" s="10">
        <f ca="1">VLOOKUP(I13,[1]属性!$A:$E,2,FALSE)</f>
        <v>1.02</v>
      </c>
      <c r="K13" s="10">
        <f ca="1">VLOOKUP(I13,[1]属性!$A:$E,3,FALSE)</f>
        <v>0.98</v>
      </c>
      <c r="L13" s="10">
        <f ca="1">VLOOKUP(I13,[1]属性!$A:$E,4,FALSE)</f>
        <v>1</v>
      </c>
      <c r="M13" s="10">
        <f ca="1">VLOOKUP(I13,[1]属性!$A:$E,5,FALSE)</f>
        <v>1</v>
      </c>
      <c r="N13" s="10">
        <f ca="1">INDEX(コスト!$A$1:$I$21,MATCH(H13,コスト!$A$1:$A$21,FALSE),MATCH(G13,コスト!$A$1:$I$1,FALSE))</f>
        <v>50</v>
      </c>
      <c r="O13" s="10">
        <f ca="1">INDEX(レベル!$A$1:$I$22,MATCH(H13,レベル!$A$1:$A$22,FALSE),MATCH(G13,レベル!$A$1:$I$1,FALSE))</f>
        <v>99</v>
      </c>
      <c r="P13" s="44">
        <f t="shared" ref="P13" ca="1" si="25">IF(G13 &gt;= 6, 99,G13*15)</f>
        <v>99</v>
      </c>
      <c r="Q13" s="53" t="str">
        <f ca="1">VLOOKUP($A13,OFFSET([1]characters!$A$1,0,0,COUNTA([1]characters!$A:$A),MATCH(Q$1,[1]characters!$1:$1,0)-MATCH($A$1,[1]characters!$1:$1,0)+1),MATCH(Q$1,[1]characters!$1:$1,0)-MATCH($A$1,[1]characters!$1:$1,0)+1,FALSE)</f>
        <v>attack</v>
      </c>
      <c r="R13" s="5" t="str">
        <f ca="1">VLOOKUP(Q13,[1]character_type_i18n!$A:$H,3,FALSE)</f>
        <v>攻撃タイプ</v>
      </c>
      <c r="S13" s="10">
        <f ca="1">VLOOKUP(Q13,[1]character_type_i18n!$A:$H,4,FALSE)</f>
        <v>1</v>
      </c>
      <c r="T13" s="10">
        <f ca="1">VLOOKUP(Q13,[1]character_type_i18n!$A:$H,5,FALSE)</f>
        <v>1.33</v>
      </c>
      <c r="U13" s="10">
        <f ca="1">VLOOKUP(Q13,[1]character_type_i18n!$A:$H,6,FALSE)</f>
        <v>1</v>
      </c>
      <c r="V13" s="10">
        <f ca="1">VLOOKUP(Q13,[1]character_type_i18n!$A:$H,7,FALSE)</f>
        <v>0.67</v>
      </c>
      <c r="W13" s="53" t="str">
        <f ca="1">VLOOKUP($A13,OFFSET([1]characters!$A$1,0,0,COUNTA([1]characters!$A:$A),MATCH(W$1,[1]characters!$1:$1,0)-MATCH($A$1,[1]characters!$1:$1,0)+1),MATCH(W$1,[1]characters!$1:$1,0)-MATCH($A$1,[1]characters!$1:$1,0)+1,FALSE)</f>
        <v>animal</v>
      </c>
      <c r="X13" s="5" t="str">
        <f ca="1">VLOOKUP(W13,[1]character_tribe_i18n!$A:$H,3,FALSE)</f>
        <v>アニマル</v>
      </c>
      <c r="Y13" s="53" t="str">
        <f ca="1">VLOOKUP($A13,OFFSET([1]characters!$A$1,0,0,COUNTA([1]characters!$A:$A),MATCH(Y$1,[1]characters!$1:$1,0)-MATCH($A$1,[1]characters!$1:$1,0)+1),MATCH(Y$1,[1]characters!$1:$1,0)-MATCH($A$1,[1]characters!$1:$1,0)+1,FALSE)</f>
        <v>god</v>
      </c>
      <c r="Z13" s="5" t="str">
        <f ca="1">VLOOKUP(Y13,[1]character_tribe_i18n!$A:$H,3,FALSE)</f>
        <v>ゴッド</v>
      </c>
      <c r="AA13" s="10">
        <f ca="1">VLOOKUP(W13,[1]character_tribe_i18n!$A:$H,4,FALSE)</f>
        <v>1</v>
      </c>
      <c r="AB13" s="10">
        <f ca="1">VLOOKUP(W13,[1]character_tribe_i18n!$A:$H,5,FALSE)</f>
        <v>1.1000000000000001</v>
      </c>
      <c r="AC13" s="10">
        <f ca="1">VLOOKUP(W13,[1]character_tribe_i18n!$A:$H,6,FALSE)</f>
        <v>1</v>
      </c>
      <c r="AD13" s="10">
        <f ca="1">VLOOKUP(W13,[1]character_tribe_i18n!$A:$H,7,FALSE)</f>
        <v>0.9</v>
      </c>
      <c r="AE13" s="187">
        <v>1707</v>
      </c>
      <c r="AF13" s="58" t="str">
        <f ca="1">IF(AE13="NULL","",VLOOKUP($AE13,OFFSET([1]characters!$A$1,0,0,COUNTA([1]characters!$A:$A),MATCH(AF$1,[1]characters!$1:$1,0)-MATCH($A$1,[1]characters!$1:$1,0)+1),MATCH(AF$1,[1]characters!$1:$1,0)-MATCH($A$1,[1]characters!$1:$1,0)+1,FALSE))</f>
        <v>親愛なる猫嫁神 バステト</v>
      </c>
      <c r="AG13" s="187">
        <v>1707</v>
      </c>
      <c r="AH13" s="58" t="str">
        <f ca="1">VLOOKUP($AG13,OFFSET([1]characters!$A$1,0,0,COUNTA([1]characters!$A:$A),MATCH(AH$1,[1]characters!$1:$1,0)-MATCH($A$1,[1]characters!$1:$1,0)+1),MATCH(AH$1,[1]characters!$1:$1,0)-MATCH($A$1,[1]characters!$1:$1,0)+1,FALSE)</f>
        <v>親愛なる猫嫁神 バステト</v>
      </c>
      <c r="AI13" s="10">
        <f ca="1">IF(AE13="NULL","NULL",VLOOKUP(G13,ビット!$A$2:$B$7,2))</f>
        <v>200000</v>
      </c>
      <c r="AJ13" s="6">
        <v>2</v>
      </c>
      <c r="AK13" s="7" t="str">
        <f t="shared" ref="AK13" si="26">IF(AJ13=1,"早熟",IF(AJ13=2,"普通",IF(AJ13=3,"晩成","")))</f>
        <v>普通</v>
      </c>
      <c r="AL13" s="10" t="str">
        <f ca="1">INDEX(経験値!$A$1:$I$21,MATCH(H13,経験値!$A$1:$A$21,FALSE),MATCH(G13,経験値!$A$1:$I$1,FALSE))</f>
        <v>required_exp_250</v>
      </c>
      <c r="AM13" s="8">
        <f ca="1">VLOOKUP(G13,経験値!$A$28:$B$32,2)</f>
        <v>6400</v>
      </c>
      <c r="AN13" s="16">
        <f ca="1">VLOOKUP(G13,ビット!$G$2:$H$7,2)</f>
        <v>900</v>
      </c>
      <c r="AO13" s="41"/>
      <c r="AP13" s="63">
        <v>1708</v>
      </c>
      <c r="AQ13" s="53" t="str">
        <f ca="1">VLOOKUP($AP13,OFFSET(unit_skills!$A$1,0,0,COUNTA(unit_skills!$A:$A),MATCH(AQ$1,unit_skills!$1:$1,0)-MATCH($AP$1,unit_skills!$1:$1,0)+1),MATCH(AQ$1,unit_skills!$1:$1,0)-MATCH($AP$1,unit_skills!$1:$1,0)+1,FALSE)</f>
        <v>にゃんだふる・ぶーけとす！</v>
      </c>
      <c r="AR13" s="53" t="str">
        <f ca="1">VLOOKUP($AP13,OFFSET(unit_skills!$A$1,0,0,COUNTA(unit_skills!$A:$A),MATCH(AR$1,unit_skills!$1:$1,0)-MATCH($AP$1,unit_skills!$1:$1,0)+1),MATCH(AR$1,unit_skills!$1:$1,0)-MATCH($AP$1,unit_skills!$1:$1,0)+1,FALSE)</f>
        <v>青パネルをCパネルに変換+出現しているCパネルを大強化+フィーバーゲージ15%上昇</v>
      </c>
      <c r="AS13" s="53">
        <f ca="1">VLOOKUP($AP13,OFFSET(unit_skills!$A$1,0,0,COUNTA(unit_skills!$A:$A),MATCH(AS$1,unit_skills!$1:$1,0)-MATCH($AP$1,unit_skills!$1:$1,0)+1),MATCH(AS$1,unit_skills!$1:$1,0)-MATCH($AP$1,unit_skills!$1:$1,0)+1,FALSE)</f>
        <v>0</v>
      </c>
      <c r="AT13" s="63">
        <v>1708</v>
      </c>
      <c r="AU13" s="53" t="str">
        <f ca="1">VLOOKUP($AT13,OFFSET(crash_skills!$A$1,0,0,COUNTA(crash_skills!$A:$A),MATCH(AU$1,crash_skills!$1:$1,0)-MATCH($AT$1,crash_skills!$1:$1,0)+1),MATCH(AU$1,crash_skills!$1:$1,0)-MATCH($AT$1,crash_skills!$1:$1,0)+1,FALSE)</f>
        <v>キャット・ファーストバイト</v>
      </c>
      <c r="AV13" s="53" t="str">
        <f ca="1">VLOOKUP($AT13,OFFSET(crash_skills!$A$1,0,0,COUNTA(crash_skills!$A:$A),MATCH(AV$1,crash_skills!$1:$1,0)-MATCH($AT$1,crash_skills!$1:$1,0)+1),MATCH(AV$1,crash_skills!$1:$1,0)-MATCH($AT$1,crash_skills!$1:$1,0)+1,FALSE)</f>
        <v>1体に大ダメージ+_x000D_全体に特大ダメージ</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3</v>
      </c>
      <c r="AY13" s="64">
        <v>0.91</v>
      </c>
      <c r="AZ13" s="64">
        <v>0.9</v>
      </c>
      <c r="BA13" s="64">
        <v>0</v>
      </c>
      <c r="BB13" s="64">
        <v>1.3</v>
      </c>
      <c r="BC13" s="10">
        <f ca="1">INDEX('RC6SV'!$A$1:$G$21,MATCH(H13,'RC6SV'!$A$1:$A$21,FALSE),MATCH(G13,'RC6SV'!$A$1:$G$1,FALSE))</f>
        <v>13000</v>
      </c>
      <c r="BD13" s="44">
        <f t="shared" ref="BD13" ca="1" si="27">ROUND(BC13*IF(AJ13=1,0.95,IF(AJ13=2,1,IF(AJ13,1.05,0))),0)</f>
        <v>13000</v>
      </c>
      <c r="BE13" s="10">
        <f t="shared" ca="1" si="3"/>
        <v>13000</v>
      </c>
      <c r="BF13" s="10">
        <f t="shared" ca="1" si="4"/>
        <v>1</v>
      </c>
      <c r="BG13" s="15">
        <f ca="1">IF($BE13&lt;=0,ROUND(BK13*0.5,0), ROUND($BE13*S13*AA13*J13*AY13*0.8*[1]ステータス!$B$2,0))</f>
        <v>4827</v>
      </c>
      <c r="BH13" s="15">
        <f ca="1">IF($BE13&lt;=0,ROUND(BL13*0.5,0), ROUND($BE13*T13*AB13*K13*AZ13*0.8*[1]ステータス!$C$2,0))</f>
        <v>4026</v>
      </c>
      <c r="BI13" s="15">
        <f ca="1">IF($BE13&lt;=0,ROUND(BM13*0.5,0), ROUND($BE13*U13*AC13*L13*BA13*0.8*[1]ステータス!$D$2,0))</f>
        <v>0</v>
      </c>
      <c r="BJ13" s="15">
        <f ca="1">IF($BE13&lt;=0,ROUND(BN13*0.5,0), ROUND($BE13*V13*AD13*M13*BB13*0.8*[1]ステータス!$E$2,0))</f>
        <v>2038</v>
      </c>
      <c r="BK13" s="10">
        <f ca="1">ROUND(BD13*S13*AA13*J13*AY13*[1]ステータス!$B$2,0)</f>
        <v>6033</v>
      </c>
      <c r="BL13" s="10">
        <f ca="1">ROUND(BD13*T13*AB13*K13*AZ13*[1]ステータス!$C$2,0)</f>
        <v>5032</v>
      </c>
      <c r="BM13" s="10">
        <f ca="1">ROUND(BD13*U13*AC13*L13*BA13*[1]ステータス!$D$2,0)</f>
        <v>0</v>
      </c>
      <c r="BN13" s="10">
        <f ca="1">ROUND(BD13*V13*AD13*M13*BB13*[1]ステータス!$E$2,0)</f>
        <v>2548</v>
      </c>
      <c r="BO13" s="9">
        <v>0</v>
      </c>
      <c r="BP13" s="9">
        <v>1</v>
      </c>
      <c r="BQ13" s="9" t="s">
        <v>47</v>
      </c>
      <c r="BR13" s="207">
        <v>4023</v>
      </c>
    </row>
    <row r="14" spans="1:70" ht="26" customHeight="1" x14ac:dyDescent="0.15">
      <c r="A14" s="186">
        <v>1709</v>
      </c>
      <c r="B14" s="53" t="str">
        <f ca="1">VLOOKUP($A14,OFFSET([1]characters!$A$1,0,0,COUNTA([1]characters!$A:$A),MATCH(B$1,[1]characters!$1:$1,0)-MATCH($A$1,[1]characters!$1:$1,0)+1),MATCH(B$1,[1]characters!$1:$1,0)-MATCH($A$1,[1]characters!$1:$1,0)+1,FALSE)</f>
        <v>情花降る神婦 イズン</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6</v>
      </c>
      <c r="H14" s="53" t="str">
        <f ca="1">VLOOKUP($A14,OFFSET([1]characters!$A$1,0,0,COUNTA([1]characters!$A:$A),MATCH(H$1,[1]characters!$1:$1,0)-MATCH($A$1,[1]characters!$1:$1,0)+1),MATCH(H$1,[1]characters!$1:$1,0)-MATCH($A$1,[1]characters!$1:$1,0)+1,FALSE)</f>
        <v>PremiumSS</v>
      </c>
      <c r="I14" s="53" t="str">
        <f ca="1">VLOOKUP($A14,OFFSET([1]characters!$A$1,0,0,COUNTA([1]characters!$A:$A),MATCH(I$1,[1]characters!$1:$1,0)-MATCH($A$1,[1]characters!$1:$1,0)+1),MATCH(I$1,[1]characters!$1:$1,0)-MATCH($A$1,[1]characters!$1:$1,0)+1,FALSE)</f>
        <v>blue</v>
      </c>
      <c r="J14" s="10">
        <f ca="1">VLOOKUP(I14,[1]属性!$A:$E,2,FALSE)</f>
        <v>1</v>
      </c>
      <c r="K14" s="10">
        <f ca="1">VLOOKUP(I14,[1]属性!$A:$E,3,FALSE)</f>
        <v>0.98</v>
      </c>
      <c r="L14" s="10">
        <f ca="1">VLOOKUP(I14,[1]属性!$A:$E,4,FALSE)</f>
        <v>1</v>
      </c>
      <c r="M14" s="10">
        <f ca="1">VLOOKUP(I14,[1]属性!$A:$E,5,FALSE)</f>
        <v>1.02</v>
      </c>
      <c r="N14" s="10">
        <f ca="1">INDEX(コスト!$A$1:$I$21,MATCH(H14,コスト!$A$1:$A$21,FALSE),MATCH(G14,コスト!$A$1:$I$1,FALSE))</f>
        <v>50</v>
      </c>
      <c r="O14" s="10">
        <f ca="1">INDEX(レベル!$A$1:$I$22,MATCH(H14,レベル!$A$1:$A$22,FALSE),MATCH(G14,レベル!$A$1:$I$1,FALSE))</f>
        <v>99</v>
      </c>
      <c r="P14" s="44">
        <f t="shared" ca="1" si="13"/>
        <v>99</v>
      </c>
      <c r="Q14" s="53" t="str">
        <f ca="1">VLOOKUP($A14,OFFSET([1]characters!$A$1,0,0,COUNTA([1]characters!$A:$A),MATCH(Q$1,[1]characters!$1:$1,0)-MATCH($A$1,[1]characters!$1:$1,0)+1),MATCH(Q$1,[1]characters!$1:$1,0)-MATCH($A$1,[1]characters!$1:$1,0)+1,FALSE)</f>
        <v>technical</v>
      </c>
      <c r="R14" s="5" t="str">
        <f ca="1">VLOOKUP(Q14,[1]character_type_i18n!$A:$H,3,FALSE)</f>
        <v>テクニカルタイプ</v>
      </c>
      <c r="S14" s="10">
        <f ca="1">VLOOKUP(Q14,[1]character_type_i18n!$A:$H,4,FALSE)</f>
        <v>0.9</v>
      </c>
      <c r="T14" s="10">
        <f ca="1">VLOOKUP(Q14,[1]character_type_i18n!$A:$H,5,FALSE)</f>
        <v>0.9</v>
      </c>
      <c r="U14" s="10">
        <f ca="1">VLOOKUP(Q14,[1]character_type_i18n!$A:$H,6,FALSE)</f>
        <v>1</v>
      </c>
      <c r="V14" s="10">
        <f ca="1">VLOOKUP(Q14,[1]character_type_i18n!$A:$H,7,FALSE)</f>
        <v>0.9</v>
      </c>
      <c r="W14" s="53" t="str">
        <f ca="1">VLOOKUP($A14,OFFSET([1]characters!$A$1,0,0,COUNTA([1]characters!$A:$A),MATCH(W$1,[1]characters!$1:$1,0)-MATCH($A$1,[1]characters!$1:$1,0)+1),MATCH(W$1,[1]characters!$1:$1,0)-MATCH($A$1,[1]characters!$1:$1,0)+1,FALSE)</f>
        <v>god</v>
      </c>
      <c r="X14" s="5" t="str">
        <f ca="1">VLOOKUP(W14,[1]character_tribe_i18n!$A:$H,3,FALSE)</f>
        <v>ゴッド</v>
      </c>
      <c r="Y14" s="53" t="str">
        <f ca="1">VLOOKUP($A14,OFFSET([1]characters!$A$1,0,0,COUNTA([1]characters!$A:$A),MATCH(Y$1,[1]characters!$1:$1,0)-MATCH($A$1,[1]characters!$1:$1,0)+1),MATCH(Y$1,[1]characters!$1:$1,0)-MATCH($A$1,[1]characters!$1:$1,0)+1,FALSE)</f>
        <v>fantasy</v>
      </c>
      <c r="Z14" s="5" t="str">
        <f ca="1">VLOOKUP(Y14,[1]character_tribe_i18n!$A:$H,3,FALSE)</f>
        <v>ファンタジー</v>
      </c>
      <c r="AA14" s="10">
        <f ca="1">VLOOKUP(W14,[1]character_tribe_i18n!$A:$H,4,FALSE)</f>
        <v>0.96</v>
      </c>
      <c r="AB14" s="10">
        <f ca="1">VLOOKUP(W14,[1]character_tribe_i18n!$A:$H,5,FALSE)</f>
        <v>1.02</v>
      </c>
      <c r="AC14" s="10">
        <f ca="1">VLOOKUP(W14,[1]character_tribe_i18n!$A:$H,6,FALSE)</f>
        <v>1</v>
      </c>
      <c r="AD14" s="10">
        <f ca="1">VLOOKUP(W14,[1]character_tribe_i18n!$A:$H,7,FALSE)</f>
        <v>1.02</v>
      </c>
      <c r="AE14" s="187">
        <v>1710</v>
      </c>
      <c r="AF14" s="58" t="str">
        <f ca="1">IF(AE14="NULL","",VLOOKUP($AE14,OFFSET([1]characters!$A$1,0,0,COUNTA([1]characters!$A:$A),MATCH(AF$1,[1]characters!$1:$1,0)-MATCH($A$1,[1]characters!$1:$1,0)+1),MATCH(AF$1,[1]characters!$1:$1,0)-MATCH($A$1,[1]characters!$1:$1,0)+1,FALSE))</f>
        <v>慎愛なる女神の契 イズン</v>
      </c>
      <c r="AG14" s="187">
        <v>1709</v>
      </c>
      <c r="AH14" s="58" t="str">
        <f ca="1">VLOOKUP($AG14,OFFSET([1]characters!$A$1,0,0,COUNTA([1]characters!$A:$A),MATCH(AH$1,[1]characters!$1:$1,0)-MATCH($A$1,[1]characters!$1:$1,0)+1),MATCH(AH$1,[1]characters!$1:$1,0)-MATCH($A$1,[1]characters!$1:$1,0)+1,FALSE)</f>
        <v>情花降る神婦 イズン</v>
      </c>
      <c r="AI14" s="10">
        <f ca="1">IF(AE14="NULL","NULL",VLOOKUP(G14,ビット!$A$2:$B$7,2))</f>
        <v>200000</v>
      </c>
      <c r="AJ14" s="6">
        <v>2</v>
      </c>
      <c r="AK14" s="7" t="str">
        <f t="shared" si="17"/>
        <v>普通</v>
      </c>
      <c r="AL14" s="10" t="str">
        <f ca="1">INDEX(経験値!$A$1:$I$21,MATCH(H14,経験値!$A$1:$A$21,FALSE),MATCH(G14,経験値!$A$1:$I$1,FALSE))</f>
        <v>required_exp_250</v>
      </c>
      <c r="AM14" s="8">
        <f ca="1">VLOOKUP(G14,経験値!$A$28:$B$32,2)</f>
        <v>6400</v>
      </c>
      <c r="AN14" s="16">
        <f ca="1">VLOOKUP(G14,ビット!$G$2:$H$7,2)</f>
        <v>900</v>
      </c>
      <c r="AO14" s="41"/>
      <c r="AP14" s="63">
        <v>1709</v>
      </c>
      <c r="AQ14" s="53" t="str">
        <f ca="1">VLOOKUP($AP14,OFFSET(unit_skills!$A$1,0,0,COUNTA(unit_skills!$A:$A),MATCH(AQ$1,unit_skills!$1:$1,0)-MATCH($AP$1,unit_skills!$1:$1,0)+1),MATCH(AQ$1,unit_skills!$1:$1,0)-MATCH($AP$1,unit_skills!$1:$1,0)+1,FALSE)</f>
        <v>アップルゴンドラダウン</v>
      </c>
      <c r="AR14" s="53" t="str">
        <f ca="1">VLOOKUP($AP14,OFFSET(unit_skills!$A$1,0,0,COUNTA(unit_skills!$A:$A),MATCH(AR$1,unit_skills!$1:$1,0)-MATCH($AP$1,unit_skills!$1:$1,0)+1),MATCH(AR$1,unit_skills!$1:$1,0)-MATCH($AP$1,unit_skills!$1:$1,0)+1,FALSE)</f>
        <v>赤･お邪魔パネルを青パネルに、黄･時限式ダメージパネルを緑パネルに変換+HPを5000回復(CPを1つ吸収する毎に3500回復)</v>
      </c>
      <c r="AS14" s="53">
        <f ca="1">VLOOKUP($AP14,OFFSET(unit_skills!$A$1,0,0,COUNTA(unit_skills!$A:$A),MATCH(AS$1,unit_skills!$1:$1,0)-MATCH($AP$1,unit_skills!$1:$1,0)+1),MATCH(AS$1,unit_skills!$1:$1,0)-MATCH($AP$1,unit_skills!$1:$1,0)+1,FALSE)</f>
        <v>0</v>
      </c>
      <c r="AT14" s="63">
        <v>1709</v>
      </c>
      <c r="AU14" s="53" t="str">
        <f ca="1">VLOOKUP($AT14,OFFSET(crash_skills!$A$1,0,0,COUNTA(crash_skills!$A:$A),MATCH(AU$1,crash_skills!$1:$1,0)-MATCH($AT$1,crash_skills!$1:$1,0)+1),MATCH(AU$1,crash_skills!$1:$1,0)-MATCH($AT$1,crash_skills!$1:$1,0)+1,FALSE)</f>
        <v>プロミスド・セレモニー</v>
      </c>
      <c r="AV14" s="53" t="str">
        <f ca="1">VLOOKUP($AT14,OFFSET(crash_skills!$A$1,0,0,COUNTA(crash_skills!$A:$A),MATCH(AV$1,crash_skills!$1:$1,0)-MATCH($AT$1,crash_skills!$1:$1,0)+1),MATCH(AV$1,crash_skills!$1:$1,0)-MATCH($AT$1,crash_skills!$1:$1,0)+1,FALSE)</f>
        <v>1体に特大ダメージ_x000D_種族ゴッドに効果超大</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3</v>
      </c>
      <c r="AY14" s="64">
        <v>1.0307999999999999</v>
      </c>
      <c r="AZ14" s="64">
        <v>1.2875000000000001</v>
      </c>
      <c r="BA14" s="64">
        <v>0</v>
      </c>
      <c r="BB14" s="64">
        <v>1.0189999999999999</v>
      </c>
      <c r="BC14" s="10">
        <f ca="1">INDEX('RC6SV'!$A$1:$G$21,MATCH(H14,'RC6SV'!$A$1:$A$21,FALSE),MATCH(G14,'RC6SV'!$A$1:$G$1,FALSE))</f>
        <v>13000</v>
      </c>
      <c r="BD14" s="44">
        <f t="shared" ca="1" si="18"/>
        <v>13000</v>
      </c>
      <c r="BE14" s="10">
        <f t="shared" ca="1" si="3"/>
        <v>13000</v>
      </c>
      <c r="BF14" s="10">
        <f t="shared" ca="1" si="4"/>
        <v>1</v>
      </c>
      <c r="BG14" s="15">
        <f ca="1">IF($BE14&lt;=0,ROUND(BK14*0.5,0), ROUND($BE14*S14*AA14*J14*AY14*0.8*[1]ステータス!$B$2,0))</f>
        <v>4631</v>
      </c>
      <c r="BH14" s="15">
        <f ca="1">IF($BE14&lt;=0,ROUND(BL14*0.5,0), ROUND($BE14*T14*AB14*K14*AZ14*0.8*[1]ステータス!$C$2,0))</f>
        <v>3614</v>
      </c>
      <c r="BI14" s="15">
        <f ca="1">IF($BE14&lt;=0,ROUND(BM14*0.5,0), ROUND($BE14*U14*AC14*L14*BA14*0.8*[1]ステータス!$D$2,0))</f>
        <v>0</v>
      </c>
      <c r="BJ14" s="15">
        <f ca="1">IF($BE14&lt;=0,ROUND(BN14*0.5,0), ROUND($BE14*V14*AD14*M14*BB14*0.8*[1]ステータス!$E$2,0))</f>
        <v>2481</v>
      </c>
      <c r="BK14" s="10">
        <f ca="1">ROUND(BD14*S14*AA14*J14*AY14*[1]ステータス!$B$2,0)</f>
        <v>5789</v>
      </c>
      <c r="BL14" s="10">
        <f ca="1">ROUND(BD14*T14*AB14*K14*AZ14*[1]ステータス!$C$2,0)</f>
        <v>4517</v>
      </c>
      <c r="BM14" s="10">
        <f ca="1">ROUND(BD14*U14*AC14*L14*BA14*[1]ステータス!$D$2,0)</f>
        <v>0</v>
      </c>
      <c r="BN14" s="10">
        <f ca="1">ROUND(BD14*V14*AD14*M14*BB14*[1]ステータス!$E$2,0)</f>
        <v>3101</v>
      </c>
      <c r="BO14" s="9">
        <v>0</v>
      </c>
      <c r="BP14" s="9">
        <v>1</v>
      </c>
      <c r="BQ14" s="36" t="s">
        <v>47</v>
      </c>
      <c r="BR14" s="207">
        <v>4023</v>
      </c>
    </row>
    <row r="15" spans="1:70" ht="26" customHeight="1" x14ac:dyDescent="0.15">
      <c r="A15" s="186">
        <v>1710</v>
      </c>
      <c r="B15" s="53" t="str">
        <f ca="1">VLOOKUP($A15,OFFSET([1]characters!$A$1,0,0,COUNTA([1]characters!$A:$A),MATCH(B$1,[1]characters!$1:$1,0)-MATCH($A$1,[1]characters!$1:$1,0)+1),MATCH(B$1,[1]characters!$1:$1,0)-MATCH($A$1,[1]characters!$1:$1,0)+1,FALSE)</f>
        <v>慎愛なる女神の契 イズン</v>
      </c>
      <c r="C15" s="53" t="str">
        <f ca="1">VLOOKUP($A15,OFFSET([1]characters!$A$1,0,0,COUNTA([1]characters!$A:$A),MATCH(C$1,[1]characters!$1:$1,0)-MATCH($A$1,[1]characters!$1:$1,0)+1),MATCH(C$1,[1]characters!$1:$1,0)-MATCH($A$1,[1]characters!$1:$1,0)+1,FALSE)</f>
        <v>未定</v>
      </c>
      <c r="D15" s="53" t="str">
        <f ca="1">VLOOKUP($A15,OFFSET([1]characters!$A$1,0,0,COUNTA([1]characters!$A:$A),MATCH(D$1,[1]characters!$1:$1,0)-MATCH($A$1,[1]characters!$1:$1,0)+1),MATCH(D$1,[1]characters!$1:$1,0)-MATCH($A$1,[1]characters!$1:$1,0)+1,FALSE)</f>
        <v>アリス</v>
      </c>
      <c r="E15" s="53" t="str">
        <f ca="1">VLOOKUP($A15,OFFSET([1]characters!$A$1,0,0,COUNTA([1]characters!$A:$A),MATCH(E$1,[1]characters!$1:$1,0)-MATCH($A$1,[1]characters!$1:$1,0)+1),MATCH(E$1,[1]characters!$1:$1,0)-MATCH($A$1,[1]characters!$1:$1,0)+1,FALSE)</f>
        <v>世界観</v>
      </c>
      <c r="F15" s="53" t="str">
        <f ca="1">VLOOKUP($A15,OFFSET([1]characters!$A$1,0,0,COUNTA([1]characters!$A:$A),MATCH(F$1,[1]characters!$1:$1,0)-MATCH($A$1,[1]characters!$1:$1,0)+1),MATCH(F$1,[1]characters!$1:$1,0)-MATCH($A$1,[1]characters!$1:$1,0)+1,FALSE)</f>
        <v>不明</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PremiumSS</v>
      </c>
      <c r="I15" s="53" t="str">
        <f ca="1">VLOOKUP($A15,OFFSET([1]characters!$A$1,0,0,COUNTA([1]characters!$A:$A),MATCH(I$1,[1]characters!$1:$1,0)-MATCH($A$1,[1]characters!$1:$1,0)+1),MATCH(I$1,[1]characters!$1:$1,0)-MATCH($A$1,[1]characters!$1:$1,0)+1,FALSE)</f>
        <v>blue</v>
      </c>
      <c r="J15" s="10">
        <f ca="1">VLOOKUP(I15,[1]属性!$A:$E,2,FALSE)</f>
        <v>1</v>
      </c>
      <c r="K15" s="10">
        <f ca="1">VLOOKUP(I15,[1]属性!$A:$E,3,FALSE)</f>
        <v>0.98</v>
      </c>
      <c r="L15" s="10">
        <f ca="1">VLOOKUP(I15,[1]属性!$A:$E,4,FALSE)</f>
        <v>1</v>
      </c>
      <c r="M15" s="10">
        <f ca="1">VLOOKUP(I15,[1]属性!$A:$E,5,FALSE)</f>
        <v>1.02</v>
      </c>
      <c r="N15" s="10">
        <f ca="1">INDEX(コスト!$A$1:$I$21,MATCH(H15,コスト!$A$1:$A$21,FALSE),MATCH(G15,コスト!$A$1:$I$1,FALSE))</f>
        <v>50</v>
      </c>
      <c r="O15" s="10">
        <f ca="1">INDEX(レベル!$A$1:$I$22,MATCH(H15,レベル!$A$1:$A$22,FALSE),MATCH(G15,レベル!$A$1:$I$1,FALSE))</f>
        <v>99</v>
      </c>
      <c r="P15" s="44">
        <f t="shared" ref="P15" ca="1" si="28">IF(G15 &gt;= 6, 99,G15*15)</f>
        <v>99</v>
      </c>
      <c r="Q15" s="53" t="str">
        <f ca="1">VLOOKUP($A15,OFFSET([1]characters!$A$1,0,0,COUNTA([1]characters!$A:$A),MATCH(Q$1,[1]characters!$1:$1,0)-MATCH($A$1,[1]characters!$1:$1,0)+1),MATCH(Q$1,[1]characters!$1:$1,0)-MATCH($A$1,[1]characters!$1:$1,0)+1,FALSE)</f>
        <v>technical</v>
      </c>
      <c r="R15" s="5" t="str">
        <f ca="1">VLOOKUP(Q15,[1]character_type_i18n!$A:$H,3,FALSE)</f>
        <v>テクニカルタイプ</v>
      </c>
      <c r="S15" s="10">
        <f ca="1">VLOOKUP(Q15,[1]character_type_i18n!$A:$H,4,FALSE)</f>
        <v>0.9</v>
      </c>
      <c r="T15" s="10">
        <f ca="1">VLOOKUP(Q15,[1]character_type_i18n!$A:$H,5,FALSE)</f>
        <v>0.9</v>
      </c>
      <c r="U15" s="10">
        <f ca="1">VLOOKUP(Q15,[1]character_type_i18n!$A:$H,6,FALSE)</f>
        <v>1</v>
      </c>
      <c r="V15" s="10">
        <f ca="1">VLOOKUP(Q15,[1]character_type_i18n!$A:$H,7,FALSE)</f>
        <v>0.9</v>
      </c>
      <c r="W15" s="53" t="str">
        <f ca="1">VLOOKUP($A15,OFFSET([1]characters!$A$1,0,0,COUNTA([1]characters!$A:$A),MATCH(W$1,[1]characters!$1:$1,0)-MATCH($A$1,[1]characters!$1:$1,0)+1),MATCH(W$1,[1]characters!$1:$1,0)-MATCH($A$1,[1]characters!$1:$1,0)+1,FALSE)</f>
        <v>god</v>
      </c>
      <c r="X15" s="5" t="str">
        <f ca="1">VLOOKUP(W15,[1]character_tribe_i18n!$A:$H,3,FALSE)</f>
        <v>ゴッド</v>
      </c>
      <c r="Y15" s="53" t="str">
        <f ca="1">VLOOKUP($A15,OFFSET([1]characters!$A$1,0,0,COUNTA([1]characters!$A:$A),MATCH(Y$1,[1]characters!$1:$1,0)-MATCH($A$1,[1]characters!$1:$1,0)+1),MATCH(Y$1,[1]characters!$1:$1,0)-MATCH($A$1,[1]characters!$1:$1,0)+1,FALSE)</f>
        <v>fantasy</v>
      </c>
      <c r="Z15" s="5" t="str">
        <f ca="1">VLOOKUP(Y15,[1]character_tribe_i18n!$A:$H,3,FALSE)</f>
        <v>ファンタジー</v>
      </c>
      <c r="AA15" s="10">
        <f ca="1">VLOOKUP(W15,[1]character_tribe_i18n!$A:$H,4,FALSE)</f>
        <v>0.96</v>
      </c>
      <c r="AB15" s="10">
        <f ca="1">VLOOKUP(W15,[1]character_tribe_i18n!$A:$H,5,FALSE)</f>
        <v>1.02</v>
      </c>
      <c r="AC15" s="10">
        <f ca="1">VLOOKUP(W15,[1]character_tribe_i18n!$A:$H,6,FALSE)</f>
        <v>1</v>
      </c>
      <c r="AD15" s="10">
        <f ca="1">VLOOKUP(W15,[1]character_tribe_i18n!$A:$H,7,FALSE)</f>
        <v>1.02</v>
      </c>
      <c r="AE15" s="187">
        <v>1709</v>
      </c>
      <c r="AF15" s="58" t="str">
        <f ca="1">IF(AE15="NULL","",VLOOKUP($AE15,OFFSET([1]characters!$A$1,0,0,COUNTA([1]characters!$A:$A),MATCH(AF$1,[1]characters!$1:$1,0)-MATCH($A$1,[1]characters!$1:$1,0)+1),MATCH(AF$1,[1]characters!$1:$1,0)-MATCH($A$1,[1]characters!$1:$1,0)+1,FALSE))</f>
        <v>情花降る神婦 イズン</v>
      </c>
      <c r="AG15" s="187">
        <v>1709</v>
      </c>
      <c r="AH15" s="58" t="str">
        <f ca="1">VLOOKUP($AG15,OFFSET([1]characters!$A$1,0,0,COUNTA([1]characters!$A:$A),MATCH(AH$1,[1]characters!$1:$1,0)-MATCH($A$1,[1]characters!$1:$1,0)+1),MATCH(AH$1,[1]characters!$1:$1,0)-MATCH($A$1,[1]characters!$1:$1,0)+1,FALSE)</f>
        <v>情花降る神婦 イズン</v>
      </c>
      <c r="AI15" s="10">
        <f ca="1">IF(AE15="NULL","NULL",VLOOKUP(G15,ビット!$A$2:$B$7,2))</f>
        <v>200000</v>
      </c>
      <c r="AJ15" s="6">
        <v>2</v>
      </c>
      <c r="AK15" s="7" t="str">
        <f t="shared" ref="AK15" si="29">IF(AJ15=1,"早熟",IF(AJ15=2,"普通",IF(AJ15=3,"晩成","")))</f>
        <v>普通</v>
      </c>
      <c r="AL15" s="10" t="str">
        <f ca="1">INDEX(経験値!$A$1:$I$21,MATCH(H15,経験値!$A$1:$A$21,FALSE),MATCH(G15,経験値!$A$1:$I$1,FALSE))</f>
        <v>required_exp_250</v>
      </c>
      <c r="AM15" s="8">
        <f ca="1">VLOOKUP(G15,経験値!$A$28:$B$32,2)</f>
        <v>6400</v>
      </c>
      <c r="AN15" s="16">
        <f ca="1">VLOOKUP(G15,ビット!$G$2:$H$7,2)</f>
        <v>900</v>
      </c>
      <c r="AO15" s="41"/>
      <c r="AP15" s="63">
        <v>1710</v>
      </c>
      <c r="AQ15" s="53" t="str">
        <f ca="1">VLOOKUP($AP15,OFFSET(unit_skills!$A$1,0,0,COUNTA(unit_skills!$A:$A),MATCH(AQ$1,unit_skills!$1:$1,0)-MATCH($AP$1,unit_skills!$1:$1,0)+1),MATCH(AQ$1,unit_skills!$1:$1,0)-MATCH($AP$1,unit_skills!$1:$1,0)+1,FALSE)</f>
        <v>アップルゴンドラダウン</v>
      </c>
      <c r="AR15" s="53" t="str">
        <f ca="1">VLOOKUP($AP15,OFFSET(unit_skills!$A$1,0,0,COUNTA(unit_skills!$A:$A),MATCH(AR$1,unit_skills!$1:$1,0)-MATCH($AP$1,unit_skills!$1:$1,0)+1),MATCH(AR$1,unit_skills!$1:$1,0)-MATCH($AP$1,unit_skills!$1:$1,0)+1,FALSE)</f>
        <v>赤･お邪魔パネルを青パネルに、黄･時限式ダメージパネルを緑パネルに変換+HPを5000回復(CPを1つ吸収する毎に3500回復)</v>
      </c>
      <c r="AS15" s="53">
        <f ca="1">VLOOKUP($AP15,OFFSET(unit_skills!$A$1,0,0,COUNTA(unit_skills!$A:$A),MATCH(AS$1,unit_skills!$1:$1,0)-MATCH($AP$1,unit_skills!$1:$1,0)+1),MATCH(AS$1,unit_skills!$1:$1,0)-MATCH($AP$1,unit_skills!$1:$1,0)+1,FALSE)</f>
        <v>0</v>
      </c>
      <c r="AT15" s="63">
        <v>1710</v>
      </c>
      <c r="AU15" s="53" t="str">
        <f ca="1">VLOOKUP($AT15,OFFSET(crash_skills!$A$1,0,0,COUNTA(crash_skills!$A:$A),MATCH(AU$1,crash_skills!$1:$1,0)-MATCH($AT$1,crash_skills!$1:$1,0)+1),MATCH(AU$1,crash_skills!$1:$1,0)-MATCH($AT$1,crash_skills!$1:$1,0)+1,FALSE)</f>
        <v>プロミスド・セレモニー</v>
      </c>
      <c r="AV15" s="53" t="str">
        <f ca="1">VLOOKUP($AT15,OFFSET(crash_skills!$A$1,0,0,COUNTA(crash_skills!$A:$A),MATCH(AV$1,crash_skills!$1:$1,0)-MATCH($AT$1,crash_skills!$1:$1,0)+1),MATCH(AV$1,crash_skills!$1:$1,0)-MATCH($AT$1,crash_skills!$1:$1,0)+1,FALSE)</f>
        <v>1体に特大ダメージ_x000D_種族ゴッドに効果超大</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3</v>
      </c>
      <c r="AY15" s="64">
        <v>1.0307999999999999</v>
      </c>
      <c r="AZ15" s="64">
        <v>1.2875000000000001</v>
      </c>
      <c r="BA15" s="64">
        <v>0</v>
      </c>
      <c r="BB15" s="64">
        <v>1.0189999999999999</v>
      </c>
      <c r="BC15" s="10">
        <f ca="1">INDEX('RC6SV'!$A$1:$G$21,MATCH(H15,'RC6SV'!$A$1:$A$21,FALSE),MATCH(G15,'RC6SV'!$A$1:$G$1,FALSE))</f>
        <v>13000</v>
      </c>
      <c r="BD15" s="44">
        <f t="shared" ref="BD15" ca="1" si="30">ROUND(BC15*IF(AJ15=1,0.95,IF(AJ15=2,1,IF(AJ15,1.05,0))),0)</f>
        <v>13000</v>
      </c>
      <c r="BE15" s="10">
        <f t="shared" ca="1" si="3"/>
        <v>13000</v>
      </c>
      <c r="BF15" s="10">
        <f t="shared" ca="1" si="4"/>
        <v>1</v>
      </c>
      <c r="BG15" s="15">
        <f ca="1">IF($BE15&lt;=0,ROUND(BK15*0.5,0), ROUND($BE15*S15*AA15*J15*AY15*0.8*[1]ステータス!$B$2,0))</f>
        <v>4631</v>
      </c>
      <c r="BH15" s="15">
        <f ca="1">IF($BE15&lt;=0,ROUND(BL15*0.5,0), ROUND($BE15*T15*AB15*K15*AZ15*0.8*[1]ステータス!$C$2,0))</f>
        <v>3614</v>
      </c>
      <c r="BI15" s="15">
        <f ca="1">IF($BE15&lt;=0,ROUND(BM15*0.5,0), ROUND($BE15*U15*AC15*L15*BA15*0.8*[1]ステータス!$D$2,0))</f>
        <v>0</v>
      </c>
      <c r="BJ15" s="15">
        <f ca="1">IF($BE15&lt;=0,ROUND(BN15*0.5,0), ROUND($BE15*V15*AD15*M15*BB15*0.8*[1]ステータス!$E$2,0))</f>
        <v>2481</v>
      </c>
      <c r="BK15" s="10">
        <f ca="1">ROUND(BD15*S15*AA15*J15*AY15*[1]ステータス!$B$2,0)</f>
        <v>5789</v>
      </c>
      <c r="BL15" s="10">
        <f ca="1">ROUND(BD15*T15*AB15*K15*AZ15*[1]ステータス!$C$2,0)</f>
        <v>4517</v>
      </c>
      <c r="BM15" s="10">
        <f ca="1">ROUND(BD15*U15*AC15*L15*BA15*[1]ステータス!$D$2,0)</f>
        <v>0</v>
      </c>
      <c r="BN15" s="10">
        <f ca="1">ROUND(BD15*V15*AD15*M15*BB15*[1]ステータス!$E$2,0)</f>
        <v>3101</v>
      </c>
      <c r="BO15" s="9">
        <v>0</v>
      </c>
      <c r="BP15" s="9">
        <v>1</v>
      </c>
      <c r="BQ15" s="36" t="s">
        <v>47</v>
      </c>
      <c r="BR15" s="207">
        <v>4023</v>
      </c>
    </row>
    <row r="16" spans="1:70" ht="26" customHeight="1" x14ac:dyDescent="0.15">
      <c r="A16" s="186">
        <v>1711</v>
      </c>
      <c r="B16" s="53" t="str">
        <f ca="1">VLOOKUP($A16,OFFSET([1]characters!$A$1,0,0,COUNTA([1]characters!$A:$A),MATCH(B$1,[1]characters!$1:$1,0)-MATCH($A$1,[1]characters!$1:$1,0)+1),MATCH(B$1,[1]characters!$1:$1,0)-MATCH($A$1,[1]characters!$1:$1,0)+1,FALSE)</f>
        <v>誓愛求婚の新郎 諸葛亮</v>
      </c>
      <c r="C16" s="53" t="str">
        <f ca="1">VLOOKUP($A16,OFFSET([1]characters!$A$1,0,0,COUNTA([1]characters!$A:$A),MATCH(C$1,[1]characters!$1:$1,0)-MATCH($A$1,[1]characters!$1:$1,0)+1),MATCH(C$1,[1]characters!$1:$1,0)-MATCH($A$1,[1]characters!$1:$1,0)+1,FALSE)</f>
        <v>未定</v>
      </c>
      <c r="D16" s="53" t="str">
        <f ca="1">VLOOKUP($A16,OFFSET([1]characters!$A$1,0,0,COUNTA([1]characters!$A:$A),MATCH(D$1,[1]characters!$1:$1,0)-MATCH($A$1,[1]characters!$1:$1,0)+1),MATCH(D$1,[1]characters!$1:$1,0)-MATCH($A$1,[1]characters!$1:$1,0)+1,FALSE)</f>
        <v>アリス</v>
      </c>
      <c r="E16" s="53" t="str">
        <f ca="1">VLOOKUP($A16,OFFSET([1]characters!$A$1,0,0,COUNTA([1]characters!$A:$A),MATCH(E$1,[1]characters!$1:$1,0)-MATCH($A$1,[1]characters!$1:$1,0)+1),MATCH(E$1,[1]characters!$1:$1,0)-MATCH($A$1,[1]characters!$1:$1,0)+1,FALSE)</f>
        <v>世界観</v>
      </c>
      <c r="F16" s="53" t="str">
        <f ca="1">VLOOKUP($A16,OFFSET([1]characters!$A$1,0,0,COUNTA([1]characters!$A:$A),MATCH(F$1,[1]characters!$1:$1,0)-MATCH($A$1,[1]characters!$1:$1,0)+1),MATCH(F$1,[1]characters!$1:$1,0)-MATCH($A$1,[1]characters!$1:$1,0)+1,FALSE)</f>
        <v>不明</v>
      </c>
      <c r="G16" s="53">
        <f ca="1">VLOOKUP($A16,OFFSET([1]characters!$A$1,0,0,COUNTA([1]characters!$A:$A),MATCH(G$1,[1]characters!$1:$1,0)-MATCH($A$1,[1]characters!$1:$1,0)+1),MATCH(G$1,[1]characters!$1:$1,0)-MATCH($A$1,[1]characters!$1:$1,0)+1,FALSE)</f>
        <v>6</v>
      </c>
      <c r="H16" s="53" t="str">
        <f ca="1">VLOOKUP($A16,OFFSET([1]characters!$A$1,0,0,COUNTA([1]characters!$A:$A),MATCH(H$1,[1]characters!$1:$1,0)-MATCH($A$1,[1]characters!$1:$1,0)+1),MATCH(H$1,[1]characters!$1:$1,0)-MATCH($A$1,[1]characters!$1:$1,0)+1,FALSE)</f>
        <v>PremiumSS</v>
      </c>
      <c r="I16" s="53" t="str">
        <f ca="1">VLOOKUP($A16,OFFSET([1]characters!$A$1,0,0,COUNTA([1]characters!$A:$A),MATCH(I$1,[1]characters!$1:$1,0)-MATCH($A$1,[1]characters!$1:$1,0)+1),MATCH(I$1,[1]characters!$1:$1,0)-MATCH($A$1,[1]characters!$1:$1,0)+1,FALSE)</f>
        <v>yellow</v>
      </c>
      <c r="J16" s="10">
        <f ca="1">VLOOKUP(I16,[1]属性!$A:$E,2,FALSE)</f>
        <v>0.98</v>
      </c>
      <c r="K16" s="10">
        <f ca="1">VLOOKUP(I16,[1]属性!$A:$E,3,FALSE)</f>
        <v>1.01</v>
      </c>
      <c r="L16" s="10">
        <f ca="1">VLOOKUP(I16,[1]属性!$A:$E,4,FALSE)</f>
        <v>1</v>
      </c>
      <c r="M16" s="10">
        <f ca="1">VLOOKUP(I16,[1]属性!$A:$E,5,FALSE)</f>
        <v>1.01</v>
      </c>
      <c r="N16" s="10">
        <f ca="1">INDEX(コスト!$A$1:$I$21,MATCH(H16,コスト!$A$1:$A$21,FALSE),MATCH(G16,コスト!$A$1:$I$1,FALSE))</f>
        <v>50</v>
      </c>
      <c r="O16" s="10">
        <f ca="1">INDEX(レベル!$A$1:$I$22,MATCH(H16,レベル!$A$1:$A$22,FALSE),MATCH(G16,レベル!$A$1:$I$1,FALSE))</f>
        <v>99</v>
      </c>
      <c r="P16" s="44">
        <f t="shared" ca="1" si="13"/>
        <v>99</v>
      </c>
      <c r="Q16" s="53" t="str">
        <f ca="1">VLOOKUP($A16,OFFSET([1]characters!$A$1,0,0,COUNTA([1]characters!$A:$A),MATCH(Q$1,[1]characters!$1:$1,0)-MATCH($A$1,[1]characters!$1:$1,0)+1),MATCH(Q$1,[1]characters!$1:$1,0)-MATCH($A$1,[1]characters!$1:$1,0)+1,FALSE)</f>
        <v>attack</v>
      </c>
      <c r="R16" s="5" t="str">
        <f ca="1">VLOOKUP(Q16,[1]character_type_i18n!$A:$H,3,FALSE)</f>
        <v>攻撃タイプ</v>
      </c>
      <c r="S16" s="10">
        <f ca="1">VLOOKUP(Q16,[1]character_type_i18n!$A:$H,4,FALSE)</f>
        <v>1</v>
      </c>
      <c r="T16" s="10">
        <f ca="1">VLOOKUP(Q16,[1]character_type_i18n!$A:$H,5,FALSE)</f>
        <v>1.33</v>
      </c>
      <c r="U16" s="10">
        <f ca="1">VLOOKUP(Q16,[1]character_type_i18n!$A:$H,6,FALSE)</f>
        <v>1</v>
      </c>
      <c r="V16" s="10">
        <f ca="1">VLOOKUP(Q16,[1]character_type_i18n!$A:$H,7,FALSE)</f>
        <v>0.67</v>
      </c>
      <c r="W16" s="53" t="str">
        <f ca="1">VLOOKUP($A16,OFFSET([1]characters!$A$1,0,0,COUNTA([1]characters!$A:$A),MATCH(W$1,[1]characters!$1:$1,0)-MATCH($A$1,[1]characters!$1:$1,0)+1),MATCH(W$1,[1]characters!$1:$1,0)-MATCH($A$1,[1]characters!$1:$1,0)+1,FALSE)</f>
        <v>human</v>
      </c>
      <c r="X16" s="5" t="str">
        <f ca="1">VLOOKUP(W16,[1]character_tribe_i18n!$A:$H,3,FALSE)</f>
        <v>ヒューマン</v>
      </c>
      <c r="Y16" s="53" t="str">
        <f ca="1">VLOOKUP($A16,OFFSET([1]characters!$A$1,0,0,COUNTA([1]characters!$A:$A),MATCH(Y$1,[1]characters!$1:$1,0)-MATCH($A$1,[1]characters!$1:$1,0)+1),MATCH(Y$1,[1]characters!$1:$1,0)-MATCH($A$1,[1]characters!$1:$1,0)+1,FALSE)</f>
        <v>fantasy</v>
      </c>
      <c r="Z16" s="5" t="str">
        <f ca="1">VLOOKUP(Y16,[1]character_tribe_i18n!$A:$H,3,FALSE)</f>
        <v>ファンタジー</v>
      </c>
      <c r="AA16" s="10">
        <f ca="1">VLOOKUP(W16,[1]character_tribe_i18n!$A:$H,4,FALSE)</f>
        <v>0.94</v>
      </c>
      <c r="AB16" s="10">
        <f ca="1">VLOOKUP(W16,[1]character_tribe_i18n!$A:$H,5,FALSE)</f>
        <v>0.99</v>
      </c>
      <c r="AC16" s="10">
        <f ca="1">VLOOKUP(W16,[1]character_tribe_i18n!$A:$H,6,FALSE)</f>
        <v>1</v>
      </c>
      <c r="AD16" s="10">
        <f ca="1">VLOOKUP(W16,[1]character_tribe_i18n!$A:$H,7,FALSE)</f>
        <v>1.07</v>
      </c>
      <c r="AE16" s="187">
        <v>1712</v>
      </c>
      <c r="AF16" s="58" t="str">
        <f ca="1">IF(AE16="NULL","",VLOOKUP($AE16,OFFSET([1]characters!$A$1,0,0,COUNTA([1]characters!$A:$A),MATCH(AF$1,[1]characters!$1:$1,0)-MATCH($A$1,[1]characters!$1:$1,0)+1),MATCH(AF$1,[1]characters!$1:$1,0)-MATCH($A$1,[1]characters!$1:$1,0)+1,FALSE))</f>
        <v>一蓮托生の双環 諸葛亮</v>
      </c>
      <c r="AG16" s="187">
        <v>1711</v>
      </c>
      <c r="AH16" s="58" t="str">
        <f ca="1">VLOOKUP($AG16,OFFSET([1]characters!$A$1,0,0,COUNTA([1]characters!$A:$A),MATCH(AH$1,[1]characters!$1:$1,0)-MATCH($A$1,[1]characters!$1:$1,0)+1),MATCH(AH$1,[1]characters!$1:$1,0)-MATCH($A$1,[1]characters!$1:$1,0)+1,FALSE)</f>
        <v>誓愛求婚の新郎 諸葛亮</v>
      </c>
      <c r="AI16" s="10">
        <f ca="1">IF(AE16="NULL","NULL",VLOOKUP(G16,ビット!$A$2:$B$7,2))</f>
        <v>200000</v>
      </c>
      <c r="AJ16" s="6">
        <v>2</v>
      </c>
      <c r="AK16" s="7" t="str">
        <f t="shared" si="17"/>
        <v>普通</v>
      </c>
      <c r="AL16" s="10" t="str">
        <f ca="1">INDEX(経験値!$A$1:$I$21,MATCH(H16,経験値!$A$1:$A$21,FALSE),MATCH(G16,経験値!$A$1:$I$1,FALSE))</f>
        <v>required_exp_250</v>
      </c>
      <c r="AM16" s="8">
        <f ca="1">VLOOKUP(G16,経験値!$A$28:$B$32,2)</f>
        <v>6400</v>
      </c>
      <c r="AN16" s="16">
        <f ca="1">VLOOKUP(G16,ビット!$G$2:$H$7,2)</f>
        <v>900</v>
      </c>
      <c r="AO16" s="41"/>
      <c r="AP16" s="63">
        <v>1711</v>
      </c>
      <c r="AQ16" s="53" t="str">
        <f ca="1">VLOOKUP($AP16,OFFSET(unit_skills!$A$1,0,0,COUNTA(unit_skills!$A:$A),MATCH(AQ$1,unit_skills!$1:$1,0)-MATCH($AP$1,unit_skills!$1:$1,0)+1),MATCH(AQ$1,unit_skills!$1:$1,0)-MATCH($AP$1,unit_skills!$1:$1,0)+1,FALSE)</f>
        <v>錦上添花の構え</v>
      </c>
      <c r="AR16" s="53" t="str">
        <f ca="1">VLOOKUP($AP16,OFFSET(unit_skills!$A$1,0,0,COUNTA(unit_skills!$A:$A),MATCH(AR$1,unit_skills!$1:$1,0)-MATCH($AP$1,unit_skills!$1:$1,0)+1),MATCH(AR$1,unit_skills!$1:$1,0)-MATCH($AP$1,unit_skills!$1:$1,0)+1,FALSE)</f>
        <v>緑パネルをCパネルに、お邪魔パネルをハートパネルに変換+2ターン敵からのダメージを35%軽減+ハートパネル無効解除</v>
      </c>
      <c r="AS16" s="53">
        <f ca="1">VLOOKUP($AP16,OFFSET(unit_skills!$A$1,0,0,COUNTA(unit_skills!$A:$A),MATCH(AS$1,unit_skills!$1:$1,0)-MATCH($AP$1,unit_skills!$1:$1,0)+1),MATCH(AS$1,unit_skills!$1:$1,0)-MATCH($AP$1,unit_skills!$1:$1,0)+1,FALSE)</f>
        <v>0</v>
      </c>
      <c r="AT16" s="63">
        <v>1711</v>
      </c>
      <c r="AU16" s="53" t="str">
        <f ca="1">VLOOKUP($AT16,OFFSET(crash_skills!$A$1,0,0,COUNTA(crash_skills!$A:$A),MATCH(AU$1,crash_skills!$1:$1,0)-MATCH($AT$1,crash_skills!$1:$1,0)+1),MATCH(AU$1,crash_skills!$1:$1,0)-MATCH($AT$1,crash_skills!$1:$1,0)+1,FALSE)</f>
        <v>タクティシャンエスコート</v>
      </c>
      <c r="AV16" s="53" t="str">
        <f ca="1">VLOOKUP($AT16,OFFSET(crash_skills!$A$1,0,0,COUNTA(crash_skills!$A:$A),MATCH(AV$1,crash_skills!$1:$1,0)-MATCH($AT$1,crash_skills!$1:$1,0)+1),MATCH(AV$1,crash_skills!$1:$1,0)-MATCH($AT$1,crash_skills!$1:$1,0)+1,FALSE)</f>
        <v>1体に大ダメージ_x000D_種族ヒューマンに効果超大+_x000D_1ターン黄属性ユニットの攻撃力を小UP</v>
      </c>
      <c r="AW16" s="53">
        <f ca="1">VLOOKUP($AT16,OFFSET(crash_skills!$A$1,0,0,COUNTA(crash_skills!$A:$A),MATCH(AW$1,crash_skills!$1:$1,0)-MATCH($AT$1,crash_skills!$1:$1,0)+1),MATCH(AW$1,crash_skills!$1:$1,0)-MATCH($AT$1,crash_skills!$1:$1,0)+1,FALSE)</f>
        <v>0</v>
      </c>
      <c r="AX16" s="54">
        <f ca="1">VLOOKUP($A16,OFFSET([1]characters!$A$1,0,0,COUNTA([1]characters!$A:$A),MATCH(AX$1,[1]characters!$1:$1,0)-MATCH($A$1,[1]characters!$1:$1,0)+1),MATCH(AX$1,[1]characters!$1:$1,0)-MATCH($A$1,[1]characters!$1:$1,0)+1,FALSE)</f>
        <v>3</v>
      </c>
      <c r="AY16" s="64">
        <v>0.94</v>
      </c>
      <c r="AZ16" s="64">
        <v>0.98399999999999999</v>
      </c>
      <c r="BA16" s="64">
        <v>0</v>
      </c>
      <c r="BB16" s="64">
        <v>1.0209999999999999</v>
      </c>
      <c r="BC16" s="10">
        <f ca="1">INDEX('RC6SV'!$A$1:$G$21,MATCH(H16,'RC6SV'!$A$1:$A$21,FALSE),MATCH(G16,'RC6SV'!$A$1:$G$1,FALSE))</f>
        <v>13000</v>
      </c>
      <c r="BD16" s="44">
        <f t="shared" ca="1" si="18"/>
        <v>13000</v>
      </c>
      <c r="BE16" s="10">
        <f t="shared" ca="1" si="3"/>
        <v>13000</v>
      </c>
      <c r="BF16" s="10">
        <f t="shared" ca="1" si="4"/>
        <v>1</v>
      </c>
      <c r="BG16" s="15">
        <f ca="1">IF($BE16&lt;=0,ROUND(BK16*0.5,0), ROUND($BE16*S16*AA16*J16*AY16*0.8*[1]ステータス!$B$2,0))</f>
        <v>4503</v>
      </c>
      <c r="BH16" s="15">
        <f ca="1">IF($BE16&lt;=0,ROUND(BL16*0.5,0), ROUND($BE16*T16*AB16*K16*AZ16*0.8*[1]ステータス!$C$2,0))</f>
        <v>4083</v>
      </c>
      <c r="BI16" s="15">
        <f ca="1">IF($BE16&lt;=0,ROUND(BM16*0.5,0), ROUND($BE16*U16*AC16*L16*BA16*0.8*[1]ステータス!$D$2,0))</f>
        <v>0</v>
      </c>
      <c r="BJ16" s="15">
        <f ca="1">IF($BE16&lt;=0,ROUND(BN16*0.5,0), ROUND($BE16*V16*AD16*M16*BB16*0.8*[1]ステータス!$E$2,0))</f>
        <v>1922</v>
      </c>
      <c r="BK16" s="10">
        <f ca="1">ROUND(BD16*S16*AA16*J16*AY16*[1]ステータス!$B$2,0)</f>
        <v>5629</v>
      </c>
      <c r="BL16" s="10">
        <f ca="1">ROUND(BD16*T16*AB16*K16*AZ16*[1]ステータス!$C$2,0)</f>
        <v>5103</v>
      </c>
      <c r="BM16" s="10">
        <f ca="1">ROUND(BD16*U16*AC16*L16*BA16*[1]ステータス!$D$2,0)</f>
        <v>0</v>
      </c>
      <c r="BN16" s="10">
        <f ca="1">ROUND(BD16*V16*AD16*M16*BB16*[1]ステータス!$E$2,0)</f>
        <v>2403</v>
      </c>
      <c r="BO16" s="9">
        <v>0</v>
      </c>
      <c r="BP16" s="9">
        <v>1</v>
      </c>
      <c r="BQ16" s="9" t="s">
        <v>47</v>
      </c>
      <c r="BR16" s="207">
        <v>4023</v>
      </c>
    </row>
    <row r="17" spans="1:70" ht="26" customHeight="1" x14ac:dyDescent="0.15">
      <c r="A17" s="186">
        <v>1712</v>
      </c>
      <c r="B17" s="53" t="str">
        <f ca="1">VLOOKUP($A17,OFFSET([1]characters!$A$1,0,0,COUNTA([1]characters!$A:$A),MATCH(B$1,[1]characters!$1:$1,0)-MATCH($A$1,[1]characters!$1:$1,0)+1),MATCH(B$1,[1]characters!$1:$1,0)-MATCH($A$1,[1]characters!$1:$1,0)+1,FALSE)</f>
        <v>一蓮托生の双環 諸葛亮</v>
      </c>
      <c r="C17" s="53" t="str">
        <f ca="1">VLOOKUP($A17,OFFSET([1]characters!$A$1,0,0,COUNTA([1]characters!$A:$A),MATCH(C$1,[1]characters!$1:$1,0)-MATCH($A$1,[1]characters!$1:$1,0)+1),MATCH(C$1,[1]characters!$1:$1,0)-MATCH($A$1,[1]characters!$1:$1,0)+1,FALSE)</f>
        <v>未定</v>
      </c>
      <c r="D17" s="53" t="str">
        <f ca="1">VLOOKUP($A17,OFFSET([1]characters!$A$1,0,0,COUNTA([1]characters!$A:$A),MATCH(D$1,[1]characters!$1:$1,0)-MATCH($A$1,[1]characters!$1:$1,0)+1),MATCH(D$1,[1]characters!$1:$1,0)-MATCH($A$1,[1]characters!$1:$1,0)+1,FALSE)</f>
        <v>アリス</v>
      </c>
      <c r="E17" s="53" t="str">
        <f ca="1">VLOOKUP($A17,OFFSET([1]characters!$A$1,0,0,COUNTA([1]characters!$A:$A),MATCH(E$1,[1]characters!$1:$1,0)-MATCH($A$1,[1]characters!$1:$1,0)+1),MATCH(E$1,[1]characters!$1:$1,0)-MATCH($A$1,[1]characters!$1:$1,0)+1,FALSE)</f>
        <v>世界観</v>
      </c>
      <c r="F17" s="53" t="str">
        <f ca="1">VLOOKUP($A17,OFFSET([1]characters!$A$1,0,0,COUNTA([1]characters!$A:$A),MATCH(F$1,[1]characters!$1:$1,0)-MATCH($A$1,[1]characters!$1:$1,0)+1),MATCH(F$1,[1]characters!$1:$1,0)-MATCH($A$1,[1]characters!$1:$1,0)+1,FALSE)</f>
        <v>不明</v>
      </c>
      <c r="G17" s="53">
        <f ca="1">VLOOKUP($A17,OFFSET([1]characters!$A$1,0,0,COUNTA([1]characters!$A:$A),MATCH(G$1,[1]characters!$1:$1,0)-MATCH($A$1,[1]characters!$1:$1,0)+1),MATCH(G$1,[1]characters!$1:$1,0)-MATCH($A$1,[1]characters!$1:$1,0)+1,FALSE)</f>
        <v>6</v>
      </c>
      <c r="H17" s="53" t="str">
        <f ca="1">VLOOKUP($A17,OFFSET([1]characters!$A$1,0,0,COUNTA([1]characters!$A:$A),MATCH(H$1,[1]characters!$1:$1,0)-MATCH($A$1,[1]characters!$1:$1,0)+1),MATCH(H$1,[1]characters!$1:$1,0)-MATCH($A$1,[1]characters!$1:$1,0)+1,FALSE)</f>
        <v>PremiumSS</v>
      </c>
      <c r="I17" s="53" t="str">
        <f ca="1">VLOOKUP($A17,OFFSET([1]characters!$A$1,0,0,COUNTA([1]characters!$A:$A),MATCH(I$1,[1]characters!$1:$1,0)-MATCH($A$1,[1]characters!$1:$1,0)+1),MATCH(I$1,[1]characters!$1:$1,0)-MATCH($A$1,[1]characters!$1:$1,0)+1,FALSE)</f>
        <v>yellow</v>
      </c>
      <c r="J17" s="10">
        <f ca="1">VLOOKUP(I17,[1]属性!$A:$E,2,FALSE)</f>
        <v>0.98</v>
      </c>
      <c r="K17" s="10">
        <f ca="1">VLOOKUP(I17,[1]属性!$A:$E,3,FALSE)</f>
        <v>1.01</v>
      </c>
      <c r="L17" s="10">
        <f ca="1">VLOOKUP(I17,[1]属性!$A:$E,4,FALSE)</f>
        <v>1</v>
      </c>
      <c r="M17" s="10">
        <f ca="1">VLOOKUP(I17,[1]属性!$A:$E,5,FALSE)</f>
        <v>1.01</v>
      </c>
      <c r="N17" s="10">
        <f ca="1">INDEX(コスト!$A$1:$I$21,MATCH(H17,コスト!$A$1:$A$21,FALSE),MATCH(G17,コスト!$A$1:$I$1,FALSE))</f>
        <v>50</v>
      </c>
      <c r="O17" s="10">
        <f ca="1">INDEX(レベル!$A$1:$I$22,MATCH(H17,レベル!$A$1:$A$22,FALSE),MATCH(G17,レベル!$A$1:$I$1,FALSE))</f>
        <v>99</v>
      </c>
      <c r="P17" s="44">
        <f t="shared" ref="P17" ca="1" si="31">IF(G17 &gt;= 6, 99,G17*15)</f>
        <v>99</v>
      </c>
      <c r="Q17" s="53" t="str">
        <f ca="1">VLOOKUP($A17,OFFSET([1]characters!$A$1,0,0,COUNTA([1]characters!$A:$A),MATCH(Q$1,[1]characters!$1:$1,0)-MATCH($A$1,[1]characters!$1:$1,0)+1),MATCH(Q$1,[1]characters!$1:$1,0)-MATCH($A$1,[1]characters!$1:$1,0)+1,FALSE)</f>
        <v>attack</v>
      </c>
      <c r="R17" s="5" t="str">
        <f ca="1">VLOOKUP(Q17,[1]character_type_i18n!$A:$H,3,FALSE)</f>
        <v>攻撃タイプ</v>
      </c>
      <c r="S17" s="10">
        <f ca="1">VLOOKUP(Q17,[1]character_type_i18n!$A:$H,4,FALSE)</f>
        <v>1</v>
      </c>
      <c r="T17" s="10">
        <f ca="1">VLOOKUP(Q17,[1]character_type_i18n!$A:$H,5,FALSE)</f>
        <v>1.33</v>
      </c>
      <c r="U17" s="10">
        <f ca="1">VLOOKUP(Q17,[1]character_type_i18n!$A:$H,6,FALSE)</f>
        <v>1</v>
      </c>
      <c r="V17" s="10">
        <f ca="1">VLOOKUP(Q17,[1]character_type_i18n!$A:$H,7,FALSE)</f>
        <v>0.67</v>
      </c>
      <c r="W17" s="53" t="str">
        <f ca="1">VLOOKUP($A17,OFFSET([1]characters!$A$1,0,0,COUNTA([1]characters!$A:$A),MATCH(W$1,[1]characters!$1:$1,0)-MATCH($A$1,[1]characters!$1:$1,0)+1),MATCH(W$1,[1]characters!$1:$1,0)-MATCH($A$1,[1]characters!$1:$1,0)+1,FALSE)</f>
        <v>human</v>
      </c>
      <c r="X17" s="5" t="str">
        <f ca="1">VLOOKUP(W17,[1]character_tribe_i18n!$A:$H,3,FALSE)</f>
        <v>ヒューマン</v>
      </c>
      <c r="Y17" s="53" t="str">
        <f ca="1">VLOOKUP($A17,OFFSET([1]characters!$A$1,0,0,COUNTA([1]characters!$A:$A),MATCH(Y$1,[1]characters!$1:$1,0)-MATCH($A$1,[1]characters!$1:$1,0)+1),MATCH(Y$1,[1]characters!$1:$1,0)-MATCH($A$1,[1]characters!$1:$1,0)+1,FALSE)</f>
        <v>fantasy</v>
      </c>
      <c r="Z17" s="5" t="str">
        <f ca="1">VLOOKUP(Y17,[1]character_tribe_i18n!$A:$H,3,FALSE)</f>
        <v>ファンタジー</v>
      </c>
      <c r="AA17" s="10">
        <f ca="1">VLOOKUP(W17,[1]character_tribe_i18n!$A:$H,4,FALSE)</f>
        <v>0.94</v>
      </c>
      <c r="AB17" s="10">
        <f ca="1">VLOOKUP(W17,[1]character_tribe_i18n!$A:$H,5,FALSE)</f>
        <v>0.99</v>
      </c>
      <c r="AC17" s="10">
        <f ca="1">VLOOKUP(W17,[1]character_tribe_i18n!$A:$H,6,FALSE)</f>
        <v>1</v>
      </c>
      <c r="AD17" s="10">
        <f ca="1">VLOOKUP(W17,[1]character_tribe_i18n!$A:$H,7,FALSE)</f>
        <v>1.07</v>
      </c>
      <c r="AE17" s="187">
        <v>1711</v>
      </c>
      <c r="AF17" s="58" t="str">
        <f ca="1">IF(AE17="NULL","",VLOOKUP($AE17,OFFSET([1]characters!$A$1,0,0,COUNTA([1]characters!$A:$A),MATCH(AF$1,[1]characters!$1:$1,0)-MATCH($A$1,[1]characters!$1:$1,0)+1),MATCH(AF$1,[1]characters!$1:$1,0)-MATCH($A$1,[1]characters!$1:$1,0)+1,FALSE))</f>
        <v>誓愛求婚の新郎 諸葛亮</v>
      </c>
      <c r="AG17" s="187">
        <v>1711</v>
      </c>
      <c r="AH17" s="58" t="str">
        <f ca="1">VLOOKUP($AG17,OFFSET([1]characters!$A$1,0,0,COUNTA([1]characters!$A:$A),MATCH(AH$1,[1]characters!$1:$1,0)-MATCH($A$1,[1]characters!$1:$1,0)+1),MATCH(AH$1,[1]characters!$1:$1,0)-MATCH($A$1,[1]characters!$1:$1,0)+1,FALSE)</f>
        <v>誓愛求婚の新郎 諸葛亮</v>
      </c>
      <c r="AI17" s="10">
        <f ca="1">IF(AE17="NULL","NULL",VLOOKUP(G17,ビット!$A$2:$B$7,2))</f>
        <v>200000</v>
      </c>
      <c r="AJ17" s="6">
        <v>2</v>
      </c>
      <c r="AK17" s="7" t="str">
        <f t="shared" ref="AK17" si="32">IF(AJ17=1,"早熟",IF(AJ17=2,"普通",IF(AJ17=3,"晩成","")))</f>
        <v>普通</v>
      </c>
      <c r="AL17" s="10" t="str">
        <f ca="1">INDEX(経験値!$A$1:$I$21,MATCH(H17,経験値!$A$1:$A$21,FALSE),MATCH(G17,経験値!$A$1:$I$1,FALSE))</f>
        <v>required_exp_250</v>
      </c>
      <c r="AM17" s="8">
        <f ca="1">VLOOKUP(G17,経験値!$A$28:$B$32,2)</f>
        <v>6400</v>
      </c>
      <c r="AN17" s="16">
        <f ca="1">VLOOKUP(G17,ビット!$G$2:$H$7,2)</f>
        <v>900</v>
      </c>
      <c r="AO17" s="41"/>
      <c r="AP17" s="63">
        <v>1712</v>
      </c>
      <c r="AQ17" s="53" t="str">
        <f ca="1">VLOOKUP($AP17,OFFSET(unit_skills!$A$1,0,0,COUNTA(unit_skills!$A:$A),MATCH(AQ$1,unit_skills!$1:$1,0)-MATCH($AP$1,unit_skills!$1:$1,0)+1),MATCH(AQ$1,unit_skills!$1:$1,0)-MATCH($AP$1,unit_skills!$1:$1,0)+1,FALSE)</f>
        <v>錦上添花の構え</v>
      </c>
      <c r="AR17" s="53" t="str">
        <f ca="1">VLOOKUP($AP17,OFFSET(unit_skills!$A$1,0,0,COUNTA(unit_skills!$A:$A),MATCH(AR$1,unit_skills!$1:$1,0)-MATCH($AP$1,unit_skills!$1:$1,0)+1),MATCH(AR$1,unit_skills!$1:$1,0)-MATCH($AP$1,unit_skills!$1:$1,0)+1,FALSE)</f>
        <v>緑パネルをCパネルに、お邪魔パネルをハートパネルに変換+2ターン敵からのダメージを35%軽減+ハートパネル無効解除</v>
      </c>
      <c r="AS17" s="53">
        <f ca="1">VLOOKUP($AP17,OFFSET(unit_skills!$A$1,0,0,COUNTA(unit_skills!$A:$A),MATCH(AS$1,unit_skills!$1:$1,0)-MATCH($AP$1,unit_skills!$1:$1,0)+1),MATCH(AS$1,unit_skills!$1:$1,0)-MATCH($AP$1,unit_skills!$1:$1,0)+1,FALSE)</f>
        <v>0</v>
      </c>
      <c r="AT17" s="63">
        <v>1712</v>
      </c>
      <c r="AU17" s="53" t="str">
        <f ca="1">VLOOKUP($AT17,OFFSET(crash_skills!$A$1,0,0,COUNTA(crash_skills!$A:$A),MATCH(AU$1,crash_skills!$1:$1,0)-MATCH($AT$1,crash_skills!$1:$1,0)+1),MATCH(AU$1,crash_skills!$1:$1,0)-MATCH($AT$1,crash_skills!$1:$1,0)+1,FALSE)</f>
        <v>タクティシャンエスコート</v>
      </c>
      <c r="AV17" s="53" t="str">
        <f ca="1">VLOOKUP($AT17,OFFSET(crash_skills!$A$1,0,0,COUNTA(crash_skills!$A:$A),MATCH(AV$1,crash_skills!$1:$1,0)-MATCH($AT$1,crash_skills!$1:$1,0)+1),MATCH(AV$1,crash_skills!$1:$1,0)-MATCH($AT$1,crash_skills!$1:$1,0)+1,FALSE)</f>
        <v>1体に大ダメージ_x000D_種族ヒューマンに効果超大+_x000D_1ターン黄属性ユニットの攻撃力を小UP</v>
      </c>
      <c r="AW17" s="53">
        <f ca="1">VLOOKUP($AT17,OFFSET(crash_skills!$A$1,0,0,COUNTA(crash_skills!$A:$A),MATCH(AW$1,crash_skills!$1:$1,0)-MATCH($AT$1,crash_skills!$1:$1,0)+1),MATCH(AW$1,crash_skills!$1:$1,0)-MATCH($AT$1,crash_skills!$1:$1,0)+1,FALSE)</f>
        <v>0</v>
      </c>
      <c r="AX17" s="54">
        <f ca="1">VLOOKUP($A17,OFFSET([1]characters!$A$1,0,0,COUNTA([1]characters!$A:$A),MATCH(AX$1,[1]characters!$1:$1,0)-MATCH($A$1,[1]characters!$1:$1,0)+1),MATCH(AX$1,[1]characters!$1:$1,0)-MATCH($A$1,[1]characters!$1:$1,0)+1,FALSE)</f>
        <v>3</v>
      </c>
      <c r="AY17" s="64">
        <v>0.94</v>
      </c>
      <c r="AZ17" s="64">
        <v>0.98399999999999999</v>
      </c>
      <c r="BA17" s="64">
        <v>0</v>
      </c>
      <c r="BB17" s="64">
        <v>1.0209999999999999</v>
      </c>
      <c r="BC17" s="10">
        <f ca="1">INDEX('RC6SV'!$A$1:$G$21,MATCH(H17,'RC6SV'!$A$1:$A$21,FALSE),MATCH(G17,'RC6SV'!$A$1:$G$1,FALSE))</f>
        <v>13000</v>
      </c>
      <c r="BD17" s="44">
        <f t="shared" ref="BD17" ca="1" si="33">ROUND(BC17*IF(AJ17=1,0.95,IF(AJ17=2,1,IF(AJ17,1.05,0))),0)</f>
        <v>13000</v>
      </c>
      <c r="BE17" s="10">
        <f t="shared" ca="1" si="3"/>
        <v>13000</v>
      </c>
      <c r="BF17" s="10">
        <f t="shared" ca="1" si="4"/>
        <v>1</v>
      </c>
      <c r="BG17" s="15">
        <f ca="1">IF($BE17&lt;=0,ROUND(BK17*0.5,0), ROUND($BE17*S17*AA17*J17*AY17*0.8*[1]ステータス!$B$2,0))</f>
        <v>4503</v>
      </c>
      <c r="BH17" s="15">
        <f ca="1">IF($BE17&lt;=0,ROUND(BL17*0.5,0), ROUND($BE17*T17*AB17*K17*AZ17*0.8*[1]ステータス!$C$2,0))</f>
        <v>4083</v>
      </c>
      <c r="BI17" s="15">
        <f ca="1">IF($BE17&lt;=0,ROUND(BM17*0.5,0), ROUND($BE17*U17*AC17*L17*BA17*0.8*[1]ステータス!$D$2,0))</f>
        <v>0</v>
      </c>
      <c r="BJ17" s="15">
        <f ca="1">IF($BE17&lt;=0,ROUND(BN17*0.5,0), ROUND($BE17*V17*AD17*M17*BB17*0.8*[1]ステータス!$E$2,0))</f>
        <v>1922</v>
      </c>
      <c r="BK17" s="10">
        <f ca="1">ROUND(BD17*S17*AA17*J17*AY17*[1]ステータス!$B$2,0)</f>
        <v>5629</v>
      </c>
      <c r="BL17" s="10">
        <f ca="1">ROUND(BD17*T17*AB17*K17*AZ17*[1]ステータス!$C$2,0)</f>
        <v>5103</v>
      </c>
      <c r="BM17" s="10">
        <f ca="1">ROUND(BD17*U17*AC17*L17*BA17*[1]ステータス!$D$2,0)</f>
        <v>0</v>
      </c>
      <c r="BN17" s="10">
        <f ca="1">ROUND(BD17*V17*AD17*M17*BB17*[1]ステータス!$E$2,0)</f>
        <v>2403</v>
      </c>
      <c r="BO17" s="9">
        <v>0</v>
      </c>
      <c r="BP17" s="9">
        <v>1</v>
      </c>
      <c r="BQ17" s="9" t="s">
        <v>47</v>
      </c>
      <c r="BR17" s="207">
        <v>4023</v>
      </c>
    </row>
    <row r="18" spans="1:70" ht="26" customHeight="1" x14ac:dyDescent="0.15">
      <c r="A18" s="186">
        <v>1713</v>
      </c>
      <c r="B18" s="53" t="str">
        <f ca="1">VLOOKUP($A18,OFFSET([1]characters!$A$1,0,0,COUNTA([1]characters!$A:$A),MATCH(B$1,[1]characters!$1:$1,0)-MATCH($A$1,[1]characters!$1:$1,0)+1),MATCH(B$1,[1]characters!$1:$1,0)-MATCH($A$1,[1]characters!$1:$1,0)+1,FALSE)</f>
        <v>誓約の挙剣 ジークフリート</v>
      </c>
      <c r="C18" s="53" t="str">
        <f ca="1">VLOOKUP($A18,OFFSET([1]characters!$A$1,0,0,COUNTA([1]characters!$A:$A),MATCH(C$1,[1]characters!$1:$1,0)-MATCH($A$1,[1]characters!$1:$1,0)+1),MATCH(C$1,[1]characters!$1:$1,0)-MATCH($A$1,[1]characters!$1:$1,0)+1,FALSE)</f>
        <v>未定</v>
      </c>
      <c r="D18" s="53" t="str">
        <f ca="1">VLOOKUP($A18,OFFSET([1]characters!$A$1,0,0,COUNTA([1]characters!$A:$A),MATCH(D$1,[1]characters!$1:$1,0)-MATCH($A$1,[1]characters!$1:$1,0)+1),MATCH(D$1,[1]characters!$1:$1,0)-MATCH($A$1,[1]characters!$1:$1,0)+1,FALSE)</f>
        <v>アリス</v>
      </c>
      <c r="E18" s="53" t="str">
        <f ca="1">VLOOKUP($A18,OFFSET([1]characters!$A$1,0,0,COUNTA([1]characters!$A:$A),MATCH(E$1,[1]characters!$1:$1,0)-MATCH($A$1,[1]characters!$1:$1,0)+1),MATCH(E$1,[1]characters!$1:$1,0)-MATCH($A$1,[1]characters!$1:$1,0)+1,FALSE)</f>
        <v>世界観</v>
      </c>
      <c r="F18" s="53" t="str">
        <f ca="1">VLOOKUP($A18,OFFSET([1]characters!$A$1,0,0,COUNTA([1]characters!$A:$A),MATCH(F$1,[1]characters!$1:$1,0)-MATCH($A$1,[1]characters!$1:$1,0)+1),MATCH(F$1,[1]characters!$1:$1,0)-MATCH($A$1,[1]characters!$1:$1,0)+1,FALSE)</f>
        <v>不明</v>
      </c>
      <c r="G18" s="53">
        <f ca="1">VLOOKUP($A18,OFFSET([1]characters!$A$1,0,0,COUNTA([1]characters!$A:$A),MATCH(G$1,[1]characters!$1:$1,0)-MATCH($A$1,[1]characters!$1:$1,0)+1),MATCH(G$1,[1]characters!$1:$1,0)-MATCH($A$1,[1]characters!$1:$1,0)+1,FALSE)</f>
        <v>5</v>
      </c>
      <c r="H18" s="53" t="str">
        <f ca="1">VLOOKUP($A18,OFFSET([1]characters!$A$1,0,0,COUNTA([1]characters!$A:$A),MATCH(H$1,[1]characters!$1:$1,0)-MATCH($A$1,[1]characters!$1:$1,0)+1),MATCH(H$1,[1]characters!$1:$1,0)-MATCH($A$1,[1]characters!$1:$1,0)+1,FALSE)</f>
        <v>PremiumS</v>
      </c>
      <c r="I18" s="53" t="str">
        <f ca="1">VLOOKUP($A18,OFFSET([1]characters!$A$1,0,0,COUNTA([1]characters!$A:$A),MATCH(I$1,[1]characters!$1:$1,0)-MATCH($A$1,[1]characters!$1:$1,0)+1),MATCH(I$1,[1]characters!$1:$1,0)-MATCH($A$1,[1]characters!$1:$1,0)+1,FALSE)</f>
        <v>red</v>
      </c>
      <c r="J18" s="10">
        <f ca="1">VLOOKUP(I18,[1]属性!$A:$E,2,FALSE)</f>
        <v>1</v>
      </c>
      <c r="K18" s="10">
        <f ca="1">VLOOKUP(I18,[1]属性!$A:$E,3,FALSE)</f>
        <v>1.02</v>
      </c>
      <c r="L18" s="10">
        <f ca="1">VLOOKUP(I18,[1]属性!$A:$E,4,FALSE)</f>
        <v>1</v>
      </c>
      <c r="M18" s="10">
        <f ca="1">VLOOKUP(I18,[1]属性!$A:$E,5,FALSE)</f>
        <v>0.98</v>
      </c>
      <c r="N18" s="10">
        <f ca="1">INDEX(コスト!$A$1:$I$21,MATCH(H18,コスト!$A$1:$A$21,FALSE),MATCH(G18,コスト!$A$1:$I$1,FALSE))</f>
        <v>30</v>
      </c>
      <c r="O18" s="10">
        <f ca="1">INDEX(レベル!$A$1:$I$22,MATCH(H18,レベル!$A$1:$A$22,FALSE),MATCH(G18,レベル!$A$1:$I$1,FALSE))</f>
        <v>80</v>
      </c>
      <c r="P18" s="44">
        <f t="shared" ca="1" si="13"/>
        <v>75</v>
      </c>
      <c r="Q18" s="53" t="str">
        <f ca="1">VLOOKUP($A18,OFFSET([1]characters!$A$1,0,0,COUNTA([1]characters!$A:$A),MATCH(Q$1,[1]characters!$1:$1,0)-MATCH($A$1,[1]characters!$1:$1,0)+1),MATCH(Q$1,[1]characters!$1:$1,0)-MATCH($A$1,[1]characters!$1:$1,0)+1,FALSE)</f>
        <v>balance</v>
      </c>
      <c r="R18" s="5" t="str">
        <f ca="1">VLOOKUP(Q18,[1]character_type_i18n!$A:$H,3,FALSE)</f>
        <v>バランスタイプ</v>
      </c>
      <c r="S18" s="10">
        <f ca="1">VLOOKUP(Q18,[1]character_type_i18n!$A:$H,4,FALSE)</f>
        <v>1</v>
      </c>
      <c r="T18" s="10">
        <f ca="1">VLOOKUP(Q18,[1]character_type_i18n!$A:$H,5,FALSE)</f>
        <v>1</v>
      </c>
      <c r="U18" s="10">
        <f ca="1">VLOOKUP(Q18,[1]character_type_i18n!$A:$H,6,FALSE)</f>
        <v>1</v>
      </c>
      <c r="V18" s="10">
        <f ca="1">VLOOKUP(Q18,[1]character_type_i18n!$A:$H,7,FALSE)</f>
        <v>1</v>
      </c>
      <c r="W18" s="53" t="str">
        <f ca="1">VLOOKUP($A18,OFFSET([1]characters!$A$1,0,0,COUNTA([1]characters!$A:$A),MATCH(W$1,[1]characters!$1:$1,0)-MATCH($A$1,[1]characters!$1:$1,0)+1),MATCH(W$1,[1]characters!$1:$1,0)-MATCH($A$1,[1]characters!$1:$1,0)+1,FALSE)</f>
        <v>human</v>
      </c>
      <c r="X18" s="5" t="str">
        <f ca="1">VLOOKUP(W18,[1]character_tribe_i18n!$A:$H,3,FALSE)</f>
        <v>ヒューマン</v>
      </c>
      <c r="Y18" s="53" t="str">
        <f ca="1">VLOOKUP($A18,OFFSET([1]characters!$A$1,0,0,COUNTA([1]characters!$A:$A),MATCH(Y$1,[1]characters!$1:$1,0)-MATCH($A$1,[1]characters!$1:$1,0)+1),MATCH(Y$1,[1]characters!$1:$1,0)-MATCH($A$1,[1]characters!$1:$1,0)+1,FALSE)</f>
        <v>none</v>
      </c>
      <c r="Z18" s="5" t="str">
        <f ca="1">VLOOKUP(Y18,[1]character_tribe_i18n!$A:$H,3,FALSE)</f>
        <v>種族なし</v>
      </c>
      <c r="AA18" s="10">
        <f ca="1">VLOOKUP(W18,[1]character_tribe_i18n!$A:$H,4,FALSE)</f>
        <v>0.94</v>
      </c>
      <c r="AB18" s="10">
        <f ca="1">VLOOKUP(W18,[1]character_tribe_i18n!$A:$H,5,FALSE)</f>
        <v>0.99</v>
      </c>
      <c r="AC18" s="10">
        <f ca="1">VLOOKUP(W18,[1]character_tribe_i18n!$A:$H,6,FALSE)</f>
        <v>1</v>
      </c>
      <c r="AD18" s="10">
        <f ca="1">VLOOKUP(W18,[1]character_tribe_i18n!$A:$H,7,FALSE)</f>
        <v>1.07</v>
      </c>
      <c r="AE18" s="187">
        <v>1714</v>
      </c>
      <c r="AF18" s="58" t="str">
        <f ca="1">IF(AE18="NULL","",VLOOKUP($AE18,OFFSET([1]characters!$A$1,0,0,COUNTA([1]characters!$A:$A),MATCH(AF$1,[1]characters!$1:$1,0)-MATCH($A$1,[1]characters!$1:$1,0)+1),MATCH(AF$1,[1]characters!$1:$1,0)-MATCH($A$1,[1]characters!$1:$1,0)+1,FALSE))</f>
        <v>仁愛の祝賀剣 ジークフリート</v>
      </c>
      <c r="AG18" s="187">
        <v>1713</v>
      </c>
      <c r="AH18" s="58" t="str">
        <f ca="1">VLOOKUP($AG18,OFFSET([1]characters!$A$1,0,0,COUNTA([1]characters!$A:$A),MATCH(AH$1,[1]characters!$1:$1,0)-MATCH($A$1,[1]characters!$1:$1,0)+1),MATCH(AH$1,[1]characters!$1:$1,0)-MATCH($A$1,[1]characters!$1:$1,0)+1,FALSE)</f>
        <v>誓約の挙剣 ジークフリート</v>
      </c>
      <c r="AI18" s="10">
        <f ca="1">IF(AE18="NULL","NULL",VLOOKUP(G18,ビット!$A$2:$B$7,2))</f>
        <v>200000</v>
      </c>
      <c r="AJ18" s="6">
        <v>2</v>
      </c>
      <c r="AK18" s="7" t="str">
        <f t="shared" si="17"/>
        <v>普通</v>
      </c>
      <c r="AL18" s="10" t="str">
        <f ca="1">INDEX(経験値!$A$1:$I$21,MATCH(H18,経験値!$A$1:$A$21,FALSE),MATCH(G18,経験値!$A$1:$I$1,FALSE))</f>
        <v>required_exp_200</v>
      </c>
      <c r="AM18" s="8">
        <f ca="1">VLOOKUP(G18,経験値!$A$28:$B$32,2)</f>
        <v>6400</v>
      </c>
      <c r="AN18" s="16">
        <f ca="1">VLOOKUP(G18,ビット!$G$2:$H$7,2)</f>
        <v>900</v>
      </c>
      <c r="AO18" s="41"/>
      <c r="AP18" s="63">
        <v>1713</v>
      </c>
      <c r="AQ18" s="53" t="str">
        <f ca="1">VLOOKUP($AP18,OFFSET(unit_skills!$A$1,0,0,COUNTA(unit_skills!$A:$A),MATCH(AQ$1,unit_skills!$1:$1,0)-MATCH($AP$1,unit_skills!$1:$1,0)+1),MATCH(AQ$1,unit_skills!$1:$1,0)-MATCH($AP$1,unit_skills!$1:$1,0)+1,FALSE)</f>
        <v>誓婚の大入刀</v>
      </c>
      <c r="AR18" s="53" t="str">
        <f ca="1">VLOOKUP($AP18,OFFSET(unit_skills!$A$1,0,0,COUNTA(unit_skills!$A:$A),MATCH(AR$1,unit_skills!$1:$1,0)-MATCH($AP$1,unit_skills!$1:$1,0)+1),MATCH(AR$1,unit_skills!$1:$1,0)-MATCH($AP$1,unit_skills!$1:$1,0)+1,FALSE)</f>
        <v>ランダムでパネルを最大1個SCパネル(大)に、ハートパネルをハートボムパネルに変換+2ターン赤属性ユニットの攻撃力を特大UP</v>
      </c>
      <c r="AS18" s="53">
        <f ca="1">VLOOKUP($AP18,OFFSET(unit_skills!$A$1,0,0,COUNTA(unit_skills!$A:$A),MATCH(AS$1,unit_skills!$1:$1,0)-MATCH($AP$1,unit_skills!$1:$1,0)+1),MATCH(AS$1,unit_skills!$1:$1,0)-MATCH($AP$1,unit_skills!$1:$1,0)+1,FALSE)</f>
        <v>0</v>
      </c>
      <c r="AT18" s="63">
        <v>1713</v>
      </c>
      <c r="AU18" s="53" t="str">
        <f ca="1">VLOOKUP($AT18,OFFSET(crash_skills!$A$1,0,0,COUNTA(crash_skills!$A:$A),MATCH(AU$1,crash_skills!$1:$1,0)-MATCH($AT$1,crash_skills!$1:$1,0)+1),MATCH(AU$1,crash_skills!$1:$1,0)-MATCH($AT$1,crash_skills!$1:$1,0)+1,FALSE)</f>
        <v>ロンゲストラブストーリー</v>
      </c>
      <c r="AV18" s="53" t="str">
        <f ca="1">VLOOKUP($AT18,OFFSET(crash_skills!$A$1,0,0,COUNTA(crash_skills!$A:$A),MATCH(AV$1,crash_skills!$1:$1,0)-MATCH($AT$1,crash_skills!$1:$1,0)+1),MATCH(AV$1,crash_skills!$1:$1,0)-MATCH($AT$1,crash_skills!$1:$1,0)+1,FALSE)</f>
        <v>1体に特大ダメージ+_x000D_1ターン赤・黄属性ユニットの回復力をUP</v>
      </c>
      <c r="AW18" s="53">
        <f ca="1">VLOOKUP($AT18,OFFSET(crash_skills!$A$1,0,0,COUNTA(crash_skills!$A:$A),MATCH(AW$1,crash_skills!$1:$1,0)-MATCH($AT$1,crash_skills!$1:$1,0)+1),MATCH(AW$1,crash_skills!$1:$1,0)-MATCH($AT$1,crash_skills!$1:$1,0)+1,FALSE)</f>
        <v>0</v>
      </c>
      <c r="AX18" s="54">
        <f ca="1">VLOOKUP($A18,OFFSET([1]characters!$A$1,0,0,COUNTA([1]characters!$A:$A),MATCH(AX$1,[1]characters!$1:$1,0)-MATCH($A$1,[1]characters!$1:$1,0)+1),MATCH(AX$1,[1]characters!$1:$1,0)-MATCH($A$1,[1]characters!$1:$1,0)+1,FALSE)</f>
        <v>3</v>
      </c>
      <c r="AY18" s="64">
        <v>1.2</v>
      </c>
      <c r="AZ18" s="64">
        <v>1.3</v>
      </c>
      <c r="BA18" s="64">
        <v>0</v>
      </c>
      <c r="BB18" s="64">
        <v>1.1000000000000001</v>
      </c>
      <c r="BC18" s="10">
        <f ca="1">INDEX('RC6SV'!$A$1:$G$21,MATCH(H18,'RC6SV'!$A$1:$A$21,FALSE),MATCH(G18,'RC6SV'!$A$1:$G$1,FALSE))</f>
        <v>9000</v>
      </c>
      <c r="BD18" s="44">
        <f t="shared" ca="1" si="18"/>
        <v>9000</v>
      </c>
      <c r="BE18" s="10">
        <f t="shared" ca="1" si="3"/>
        <v>9000</v>
      </c>
      <c r="BF18" s="10">
        <f t="shared" ca="1" si="4"/>
        <v>1</v>
      </c>
      <c r="BG18" s="15">
        <f ca="1">IF($BE18&lt;=0,ROUND(BK18*0.5,0), ROUND($BE18*S18*AA18*J18*AY18*0.8*[1]ステータス!$B$2,0))</f>
        <v>4061</v>
      </c>
      <c r="BH18" s="15">
        <f ca="1">IF($BE18&lt;=0,ROUND(BL18*0.5,0), ROUND($BE18*T18*AB18*K18*AZ18*0.8*[1]ステータス!$C$2,0))</f>
        <v>2836</v>
      </c>
      <c r="BI18" s="15">
        <f ca="1">IF($BE18&lt;=0,ROUND(BM18*0.5,0), ROUND($BE18*U18*AC18*L18*BA18*0.8*[1]ステータス!$D$2,0))</f>
        <v>0</v>
      </c>
      <c r="BJ18" s="15">
        <f ca="1">IF($BE18&lt;=0,ROUND(BN18*0.5,0), ROUND($BE18*V18*AD18*M18*BB18*0.8*[1]ステータス!$E$2,0))</f>
        <v>2076</v>
      </c>
      <c r="BK18" s="10">
        <f ca="1">ROUND(BD18*S18*AA18*J18*AY18*[1]ステータス!$B$2,0)</f>
        <v>5076</v>
      </c>
      <c r="BL18" s="10">
        <f ca="1">ROUND(BD18*T18*AB18*K18*AZ18*[1]ステータス!$C$2,0)</f>
        <v>3544</v>
      </c>
      <c r="BM18" s="10">
        <f ca="1">ROUND(BD18*U18*AC18*L18*BA18*[1]ステータス!$D$2,0)</f>
        <v>0</v>
      </c>
      <c r="BN18" s="10">
        <f ca="1">ROUND(BD18*V18*AD18*M18*BB18*[1]ステータス!$E$2,0)</f>
        <v>2595</v>
      </c>
      <c r="BO18" s="9">
        <v>0</v>
      </c>
      <c r="BP18" s="9">
        <v>1</v>
      </c>
      <c r="BQ18" s="36" t="s">
        <v>47</v>
      </c>
      <c r="BR18" s="207">
        <v>512</v>
      </c>
    </row>
    <row r="19" spans="1:70" ht="26" customHeight="1" x14ac:dyDescent="0.15">
      <c r="A19" s="186">
        <v>1714</v>
      </c>
      <c r="B19" s="53" t="str">
        <f ca="1">VLOOKUP($A19,OFFSET([1]characters!$A$1,0,0,COUNTA([1]characters!$A:$A),MATCH(B$1,[1]characters!$1:$1,0)-MATCH($A$1,[1]characters!$1:$1,0)+1),MATCH(B$1,[1]characters!$1:$1,0)-MATCH($A$1,[1]characters!$1:$1,0)+1,FALSE)</f>
        <v>仁愛の祝賀剣 ジークフリート</v>
      </c>
      <c r="C19" s="53">
        <f ca="1">VLOOKUP($A19,OFFSET([1]characters!$A$1,0,0,COUNTA([1]characters!$A:$A),MATCH(C$1,[1]characters!$1:$1,0)-MATCH($A$1,[1]characters!$1:$1,0)+1),MATCH(C$1,[1]characters!$1:$1,0)-MATCH($A$1,[1]characters!$1:$1,0)+1,FALSE)</f>
        <v>0</v>
      </c>
      <c r="D19" s="53">
        <f ca="1">VLOOKUP($A19,OFFSET([1]characters!$A$1,0,0,COUNTA([1]characters!$A:$A),MATCH(D$1,[1]characters!$1:$1,0)-MATCH($A$1,[1]characters!$1:$1,0)+1),MATCH(D$1,[1]characters!$1:$1,0)-MATCH($A$1,[1]characters!$1:$1,0)+1,FALSE)</f>
        <v>0</v>
      </c>
      <c r="E19" s="53">
        <f ca="1">VLOOKUP($A19,OFFSET([1]characters!$A$1,0,0,COUNTA([1]characters!$A:$A),MATCH(E$1,[1]characters!$1:$1,0)-MATCH($A$1,[1]characters!$1:$1,0)+1),MATCH(E$1,[1]characters!$1:$1,0)-MATCH($A$1,[1]characters!$1:$1,0)+1,FALSE)</f>
        <v>0</v>
      </c>
      <c r="F19" s="53">
        <f ca="1">VLOOKUP($A19,OFFSET([1]characters!$A$1,0,0,COUNTA([1]characters!$A:$A),MATCH(F$1,[1]characters!$1:$1,0)-MATCH($A$1,[1]characters!$1:$1,0)+1),MATCH(F$1,[1]characters!$1:$1,0)-MATCH($A$1,[1]characters!$1:$1,0)+1,FALSE)</f>
        <v>0</v>
      </c>
      <c r="G19" s="53">
        <f ca="1">VLOOKUP($A19,OFFSET([1]characters!$A$1,0,0,COUNTA([1]characters!$A:$A),MATCH(G$1,[1]characters!$1:$1,0)-MATCH($A$1,[1]characters!$1:$1,0)+1),MATCH(G$1,[1]characters!$1:$1,0)-MATCH($A$1,[1]characters!$1:$1,0)+1,FALSE)</f>
        <v>5</v>
      </c>
      <c r="H19" s="53" t="str">
        <f ca="1">VLOOKUP($A19,OFFSET([1]characters!$A$1,0,0,COUNTA([1]characters!$A:$A),MATCH(H$1,[1]characters!$1:$1,0)-MATCH($A$1,[1]characters!$1:$1,0)+1),MATCH(H$1,[1]characters!$1:$1,0)-MATCH($A$1,[1]characters!$1:$1,0)+1,FALSE)</f>
        <v>PremiumS</v>
      </c>
      <c r="I19" s="53" t="str">
        <f ca="1">VLOOKUP($A19,OFFSET([1]characters!$A$1,0,0,COUNTA([1]characters!$A:$A),MATCH(I$1,[1]characters!$1:$1,0)-MATCH($A$1,[1]characters!$1:$1,0)+1),MATCH(I$1,[1]characters!$1:$1,0)-MATCH($A$1,[1]characters!$1:$1,0)+1,FALSE)</f>
        <v>red</v>
      </c>
      <c r="J19" s="10">
        <f ca="1">VLOOKUP(I19,[1]属性!$A:$E,2,FALSE)</f>
        <v>1</v>
      </c>
      <c r="K19" s="10">
        <f ca="1">VLOOKUP(I19,[1]属性!$A:$E,3,FALSE)</f>
        <v>1.02</v>
      </c>
      <c r="L19" s="10">
        <f ca="1">VLOOKUP(I19,[1]属性!$A:$E,4,FALSE)</f>
        <v>1</v>
      </c>
      <c r="M19" s="10">
        <f ca="1">VLOOKUP(I19,[1]属性!$A:$E,5,FALSE)</f>
        <v>0.98</v>
      </c>
      <c r="N19" s="10">
        <f ca="1">INDEX(コスト!$A$1:$I$21,MATCH(H19,コスト!$A$1:$A$21,FALSE),MATCH(G19,コスト!$A$1:$I$1,FALSE))</f>
        <v>30</v>
      </c>
      <c r="O19" s="10">
        <f ca="1">INDEX(レベル!$A$1:$I$22,MATCH(H19,レベル!$A$1:$A$22,FALSE),MATCH(G19,レベル!$A$1:$I$1,FALSE))</f>
        <v>80</v>
      </c>
      <c r="P19" s="44">
        <f t="shared" ref="P19" ca="1" si="34">IF(G19 &gt;= 6, 99,G19*15)</f>
        <v>75</v>
      </c>
      <c r="Q19" s="53" t="str">
        <f ca="1">VLOOKUP($A19,OFFSET([1]characters!$A$1,0,0,COUNTA([1]characters!$A:$A),MATCH(Q$1,[1]characters!$1:$1,0)-MATCH($A$1,[1]characters!$1:$1,0)+1),MATCH(Q$1,[1]characters!$1:$1,0)-MATCH($A$1,[1]characters!$1:$1,0)+1,FALSE)</f>
        <v>balance</v>
      </c>
      <c r="R19" s="5" t="str">
        <f ca="1">VLOOKUP(Q19,[1]character_type_i18n!$A:$H,3,FALSE)</f>
        <v>バランスタイプ</v>
      </c>
      <c r="S19" s="10">
        <f ca="1">VLOOKUP(Q19,[1]character_type_i18n!$A:$H,4,FALSE)</f>
        <v>1</v>
      </c>
      <c r="T19" s="10">
        <f ca="1">VLOOKUP(Q19,[1]character_type_i18n!$A:$H,5,FALSE)</f>
        <v>1</v>
      </c>
      <c r="U19" s="10">
        <f ca="1">VLOOKUP(Q19,[1]character_type_i18n!$A:$H,6,FALSE)</f>
        <v>1</v>
      </c>
      <c r="V19" s="10">
        <f ca="1">VLOOKUP(Q19,[1]character_type_i18n!$A:$H,7,FALSE)</f>
        <v>1</v>
      </c>
      <c r="W19" s="53" t="str">
        <f ca="1">VLOOKUP($A19,OFFSET([1]characters!$A$1,0,0,COUNTA([1]characters!$A:$A),MATCH(W$1,[1]characters!$1:$1,0)-MATCH($A$1,[1]characters!$1:$1,0)+1),MATCH(W$1,[1]characters!$1:$1,0)-MATCH($A$1,[1]characters!$1:$1,0)+1,FALSE)</f>
        <v>human</v>
      </c>
      <c r="X19" s="5" t="str">
        <f ca="1">VLOOKUP(W19,[1]character_tribe_i18n!$A:$H,3,FALSE)</f>
        <v>ヒューマン</v>
      </c>
      <c r="Y19" s="53" t="str">
        <f ca="1">VLOOKUP($A19,OFFSET([1]characters!$A$1,0,0,COUNTA([1]characters!$A:$A),MATCH(Y$1,[1]characters!$1:$1,0)-MATCH($A$1,[1]characters!$1:$1,0)+1),MATCH(Y$1,[1]characters!$1:$1,0)-MATCH($A$1,[1]characters!$1:$1,0)+1,FALSE)</f>
        <v>none</v>
      </c>
      <c r="Z19" s="5" t="str">
        <f ca="1">VLOOKUP(Y19,[1]character_tribe_i18n!$A:$H,3,FALSE)</f>
        <v>種族なし</v>
      </c>
      <c r="AA19" s="10">
        <f ca="1">VLOOKUP(W19,[1]character_tribe_i18n!$A:$H,4,FALSE)</f>
        <v>0.94</v>
      </c>
      <c r="AB19" s="10">
        <f ca="1">VLOOKUP(W19,[1]character_tribe_i18n!$A:$H,5,FALSE)</f>
        <v>0.99</v>
      </c>
      <c r="AC19" s="10">
        <f ca="1">VLOOKUP(W19,[1]character_tribe_i18n!$A:$H,6,FALSE)</f>
        <v>1</v>
      </c>
      <c r="AD19" s="10">
        <f ca="1">VLOOKUP(W19,[1]character_tribe_i18n!$A:$H,7,FALSE)</f>
        <v>1.07</v>
      </c>
      <c r="AE19" s="187">
        <v>1713</v>
      </c>
      <c r="AF19" s="58" t="str">
        <f ca="1">IF(AE19="NULL","",VLOOKUP($AE19,OFFSET([1]characters!$A$1,0,0,COUNTA([1]characters!$A:$A),MATCH(AF$1,[1]characters!$1:$1,0)-MATCH($A$1,[1]characters!$1:$1,0)+1),MATCH(AF$1,[1]characters!$1:$1,0)-MATCH($A$1,[1]characters!$1:$1,0)+1,FALSE))</f>
        <v>誓約の挙剣 ジークフリート</v>
      </c>
      <c r="AG19" s="187">
        <v>1713</v>
      </c>
      <c r="AH19" s="58" t="str">
        <f ca="1">VLOOKUP($AG19,OFFSET([1]characters!$A$1,0,0,COUNTA([1]characters!$A:$A),MATCH(AH$1,[1]characters!$1:$1,0)-MATCH($A$1,[1]characters!$1:$1,0)+1),MATCH(AH$1,[1]characters!$1:$1,0)-MATCH($A$1,[1]characters!$1:$1,0)+1,FALSE)</f>
        <v>誓約の挙剣 ジークフリート</v>
      </c>
      <c r="AI19" s="10">
        <f ca="1">IF(AE19="NULL","NULL",VLOOKUP(G19,ビット!$A$2:$B$7,2))</f>
        <v>200000</v>
      </c>
      <c r="AJ19" s="6">
        <v>2</v>
      </c>
      <c r="AK19" s="7" t="str">
        <f t="shared" ref="AK19" si="35">IF(AJ19=1,"早熟",IF(AJ19=2,"普通",IF(AJ19=3,"晩成","")))</f>
        <v>普通</v>
      </c>
      <c r="AL19" s="10" t="str">
        <f ca="1">INDEX(経験値!$A$1:$I$21,MATCH(H19,経験値!$A$1:$A$21,FALSE),MATCH(G19,経験値!$A$1:$I$1,FALSE))</f>
        <v>required_exp_200</v>
      </c>
      <c r="AM19" s="8">
        <f ca="1">VLOOKUP(G19,経験値!$A$28:$B$32,2)</f>
        <v>6400</v>
      </c>
      <c r="AN19" s="16">
        <f ca="1">VLOOKUP(G19,ビット!$G$2:$H$7,2)</f>
        <v>900</v>
      </c>
      <c r="AO19" s="41"/>
      <c r="AP19" s="63">
        <v>1714</v>
      </c>
      <c r="AQ19" s="53" t="str">
        <f ca="1">VLOOKUP($AP19,OFFSET(unit_skills!$A$1,0,0,COUNTA(unit_skills!$A:$A),MATCH(AQ$1,unit_skills!$1:$1,0)-MATCH($AP$1,unit_skills!$1:$1,0)+1),MATCH(AQ$1,unit_skills!$1:$1,0)-MATCH($AP$1,unit_skills!$1:$1,0)+1,FALSE)</f>
        <v>誓婚の大入刀</v>
      </c>
      <c r="AR19" s="53" t="str">
        <f ca="1">VLOOKUP($AP19,OFFSET(unit_skills!$A$1,0,0,COUNTA(unit_skills!$A:$A),MATCH(AR$1,unit_skills!$1:$1,0)-MATCH($AP$1,unit_skills!$1:$1,0)+1),MATCH(AR$1,unit_skills!$1:$1,0)-MATCH($AP$1,unit_skills!$1:$1,0)+1,FALSE)</f>
        <v>ランダムでパネルを最大1個SCパネル(大)に、ハートパネルをハートボムパネルに変換+2ターン赤属性ユニットの攻撃力を特大UP</v>
      </c>
      <c r="AS19" s="53">
        <f ca="1">VLOOKUP($AP19,OFFSET(unit_skills!$A$1,0,0,COUNTA(unit_skills!$A:$A),MATCH(AS$1,unit_skills!$1:$1,0)-MATCH($AP$1,unit_skills!$1:$1,0)+1),MATCH(AS$1,unit_skills!$1:$1,0)-MATCH($AP$1,unit_skills!$1:$1,0)+1,FALSE)</f>
        <v>0</v>
      </c>
      <c r="AT19" s="63">
        <v>1714</v>
      </c>
      <c r="AU19" s="53" t="str">
        <f ca="1">VLOOKUP($AT19,OFFSET(crash_skills!$A$1,0,0,COUNTA(crash_skills!$A:$A),MATCH(AU$1,crash_skills!$1:$1,0)-MATCH($AT$1,crash_skills!$1:$1,0)+1),MATCH(AU$1,crash_skills!$1:$1,0)-MATCH($AT$1,crash_skills!$1:$1,0)+1,FALSE)</f>
        <v>ロンゲストラブストーリー</v>
      </c>
      <c r="AV19" s="53" t="str">
        <f ca="1">VLOOKUP($AT19,OFFSET(crash_skills!$A$1,0,0,COUNTA(crash_skills!$A:$A),MATCH(AV$1,crash_skills!$1:$1,0)-MATCH($AT$1,crash_skills!$1:$1,0)+1),MATCH(AV$1,crash_skills!$1:$1,0)-MATCH($AT$1,crash_skills!$1:$1,0)+1,FALSE)</f>
        <v>1体に特大ダメージ+_x000D_1ターン赤・黄属性ユニットの回復力をUP</v>
      </c>
      <c r="AW19" s="53">
        <f ca="1">VLOOKUP($AT19,OFFSET(crash_skills!$A$1,0,0,COUNTA(crash_skills!$A:$A),MATCH(AW$1,crash_skills!$1:$1,0)-MATCH($AT$1,crash_skills!$1:$1,0)+1),MATCH(AW$1,crash_skills!$1:$1,0)-MATCH($AT$1,crash_skills!$1:$1,0)+1,FALSE)</f>
        <v>0</v>
      </c>
      <c r="AX19" s="54">
        <f ca="1">VLOOKUP($A19,OFFSET([1]characters!$A$1,0,0,COUNTA([1]characters!$A:$A),MATCH(AX$1,[1]characters!$1:$1,0)-MATCH($A$1,[1]characters!$1:$1,0)+1),MATCH(AX$1,[1]characters!$1:$1,0)-MATCH($A$1,[1]characters!$1:$1,0)+1,FALSE)</f>
        <v>3</v>
      </c>
      <c r="AY19" s="64">
        <v>1.2</v>
      </c>
      <c r="AZ19" s="64">
        <v>1.3</v>
      </c>
      <c r="BA19" s="64">
        <v>0</v>
      </c>
      <c r="BB19" s="64">
        <v>1.1000000000000001</v>
      </c>
      <c r="BC19" s="10">
        <f ca="1">INDEX('RC6SV'!$A$1:$G$21,MATCH(H19,'RC6SV'!$A$1:$A$21,FALSE),MATCH(G19,'RC6SV'!$A$1:$G$1,FALSE))</f>
        <v>9000</v>
      </c>
      <c r="BD19" s="44">
        <f t="shared" ref="BD19" ca="1" si="36">ROUND(BC19*IF(AJ19=1,0.95,IF(AJ19=2,1,IF(AJ19,1.05,0))),0)</f>
        <v>9000</v>
      </c>
      <c r="BE19" s="10">
        <f t="shared" ca="1" si="3"/>
        <v>9000</v>
      </c>
      <c r="BF19" s="10">
        <f t="shared" ca="1" si="4"/>
        <v>1</v>
      </c>
      <c r="BG19" s="15">
        <f ca="1">IF($BE19&lt;=0,ROUND(BK19*0.5,0), ROUND($BE19*S19*AA19*J19*AY19*0.8*[1]ステータス!$B$2,0))</f>
        <v>4061</v>
      </c>
      <c r="BH19" s="15">
        <f ca="1">IF($BE19&lt;=0,ROUND(BL19*0.5,0), ROUND($BE19*T19*AB19*K19*AZ19*0.8*[1]ステータス!$C$2,0))</f>
        <v>2836</v>
      </c>
      <c r="BI19" s="15">
        <f ca="1">IF($BE19&lt;=0,ROUND(BM19*0.5,0), ROUND($BE19*U19*AC19*L19*BA19*0.8*[1]ステータス!$D$2,0))</f>
        <v>0</v>
      </c>
      <c r="BJ19" s="15">
        <f ca="1">IF($BE19&lt;=0,ROUND(BN19*0.5,0), ROUND($BE19*V19*AD19*M19*BB19*0.8*[1]ステータス!$E$2,0))</f>
        <v>2076</v>
      </c>
      <c r="BK19" s="10">
        <f ca="1">ROUND(BD19*S19*AA19*J19*AY19*[1]ステータス!$B$2,0)</f>
        <v>5076</v>
      </c>
      <c r="BL19" s="10">
        <f ca="1">ROUND(BD19*T19*AB19*K19*AZ19*[1]ステータス!$C$2,0)</f>
        <v>3544</v>
      </c>
      <c r="BM19" s="10">
        <f ca="1">ROUND(BD19*U19*AC19*L19*BA19*[1]ステータス!$D$2,0)</f>
        <v>0</v>
      </c>
      <c r="BN19" s="10">
        <f ca="1">ROUND(BD19*V19*AD19*M19*BB19*[1]ステータス!$E$2,0)</f>
        <v>2595</v>
      </c>
      <c r="BO19" s="9">
        <v>0</v>
      </c>
      <c r="BP19" s="9">
        <v>1</v>
      </c>
      <c r="BQ19" s="36" t="s">
        <v>47</v>
      </c>
      <c r="BR19" s="207">
        <v>512</v>
      </c>
    </row>
    <row r="20" spans="1:70" ht="26" customHeight="1" x14ac:dyDescent="0.15">
      <c r="A20" s="186">
        <v>1715</v>
      </c>
      <c r="B20" s="53" t="str">
        <f ca="1">VLOOKUP($A20,OFFSET([1]characters!$A$1,0,0,COUNTA([1]characters!$A:$A),MATCH(B$1,[1]characters!$1:$1,0)-MATCH($A$1,[1]characters!$1:$1,0)+1),MATCH(B$1,[1]characters!$1:$1,0)-MATCH($A$1,[1]characters!$1:$1,0)+1,FALSE)</f>
        <v>森歓の祝宴 アマラ</v>
      </c>
      <c r="C20" s="53">
        <f ca="1">VLOOKUP($A20,OFFSET([1]characters!$A$1,0,0,COUNTA([1]characters!$A:$A),MATCH(C$1,[1]characters!$1:$1,0)-MATCH($A$1,[1]characters!$1:$1,0)+1),MATCH(C$1,[1]characters!$1:$1,0)-MATCH($A$1,[1]characters!$1:$1,0)+1,FALSE)</f>
        <v>0</v>
      </c>
      <c r="D20" s="53">
        <f ca="1">VLOOKUP($A20,OFFSET([1]characters!$A$1,0,0,COUNTA([1]characters!$A:$A),MATCH(D$1,[1]characters!$1:$1,0)-MATCH($A$1,[1]characters!$1:$1,0)+1),MATCH(D$1,[1]characters!$1:$1,0)-MATCH($A$1,[1]characters!$1:$1,0)+1,FALSE)</f>
        <v>0</v>
      </c>
      <c r="E20" s="53">
        <f ca="1">VLOOKUP($A20,OFFSET([1]characters!$A$1,0,0,COUNTA([1]characters!$A:$A),MATCH(E$1,[1]characters!$1:$1,0)-MATCH($A$1,[1]characters!$1:$1,0)+1),MATCH(E$1,[1]characters!$1:$1,0)-MATCH($A$1,[1]characters!$1:$1,0)+1,FALSE)</f>
        <v>0</v>
      </c>
      <c r="F20" s="53">
        <f ca="1">VLOOKUP($A20,OFFSET([1]characters!$A$1,0,0,COUNTA([1]characters!$A:$A),MATCH(F$1,[1]characters!$1:$1,0)-MATCH($A$1,[1]characters!$1:$1,0)+1),MATCH(F$1,[1]characters!$1:$1,0)-MATCH($A$1,[1]characters!$1:$1,0)+1,FALSE)</f>
        <v>0</v>
      </c>
      <c r="G20" s="53">
        <f ca="1">VLOOKUP($A20,OFFSET([1]characters!$A$1,0,0,COUNTA([1]characters!$A:$A),MATCH(G$1,[1]characters!$1:$1,0)-MATCH($A$1,[1]characters!$1:$1,0)+1),MATCH(G$1,[1]characters!$1:$1,0)-MATCH($A$1,[1]characters!$1:$1,0)+1,FALSE)</f>
        <v>5</v>
      </c>
      <c r="H20" s="53" t="str">
        <f ca="1">VLOOKUP($A20,OFFSET([1]characters!$A$1,0,0,COUNTA([1]characters!$A:$A),MATCH(H$1,[1]characters!$1:$1,0)-MATCH($A$1,[1]characters!$1:$1,0)+1),MATCH(H$1,[1]characters!$1:$1,0)-MATCH($A$1,[1]characters!$1:$1,0)+1,FALSE)</f>
        <v>PremiumS</v>
      </c>
      <c r="I20" s="53" t="str">
        <f ca="1">VLOOKUP($A20,OFFSET([1]characters!$A$1,0,0,COUNTA([1]characters!$A:$A),MATCH(I$1,[1]characters!$1:$1,0)-MATCH($A$1,[1]characters!$1:$1,0)+1),MATCH(I$1,[1]characters!$1:$1,0)-MATCH($A$1,[1]characters!$1:$1,0)+1,FALSE)</f>
        <v>blue</v>
      </c>
      <c r="J20" s="10">
        <f ca="1">VLOOKUP(I20,[1]属性!$A:$E,2,FALSE)</f>
        <v>1</v>
      </c>
      <c r="K20" s="10">
        <f ca="1">VLOOKUP(I20,[1]属性!$A:$E,3,FALSE)</f>
        <v>0.98</v>
      </c>
      <c r="L20" s="10">
        <f ca="1">VLOOKUP(I20,[1]属性!$A:$E,4,FALSE)</f>
        <v>1</v>
      </c>
      <c r="M20" s="10">
        <f ca="1">VLOOKUP(I20,[1]属性!$A:$E,5,FALSE)</f>
        <v>1.02</v>
      </c>
      <c r="N20" s="10">
        <f ca="1">INDEX(コスト!$A$1:$I$21,MATCH(H20,コスト!$A$1:$A$21,FALSE),MATCH(G20,コスト!$A$1:$I$1,FALSE))</f>
        <v>30</v>
      </c>
      <c r="O20" s="10">
        <f ca="1">INDEX(レベル!$A$1:$I$22,MATCH(H20,レベル!$A$1:$A$22,FALSE),MATCH(G20,レベル!$A$1:$I$1,FALSE))</f>
        <v>80</v>
      </c>
      <c r="P20" s="44">
        <f t="shared" ca="1" si="13"/>
        <v>75</v>
      </c>
      <c r="Q20" s="53" t="str">
        <f ca="1">VLOOKUP($A20,OFFSET([1]characters!$A$1,0,0,COUNTA([1]characters!$A:$A),MATCH(Q$1,[1]characters!$1:$1,0)-MATCH($A$1,[1]characters!$1:$1,0)+1),MATCH(Q$1,[1]characters!$1:$1,0)-MATCH($A$1,[1]characters!$1:$1,0)+1,FALSE)</f>
        <v>attack</v>
      </c>
      <c r="R20" s="5" t="str">
        <f ca="1">VLOOKUP(Q20,[1]character_type_i18n!$A:$H,3,FALSE)</f>
        <v>攻撃タイプ</v>
      </c>
      <c r="S20" s="10">
        <f ca="1">VLOOKUP(Q20,[1]character_type_i18n!$A:$H,4,FALSE)</f>
        <v>1</v>
      </c>
      <c r="T20" s="10">
        <f ca="1">VLOOKUP(Q20,[1]character_type_i18n!$A:$H,5,FALSE)</f>
        <v>1.33</v>
      </c>
      <c r="U20" s="10">
        <f ca="1">VLOOKUP(Q20,[1]character_type_i18n!$A:$H,6,FALSE)</f>
        <v>1</v>
      </c>
      <c r="V20" s="10">
        <f ca="1">VLOOKUP(Q20,[1]character_type_i18n!$A:$H,7,FALSE)</f>
        <v>0.67</v>
      </c>
      <c r="W20" s="53" t="str">
        <f ca="1">VLOOKUP($A20,OFFSET([1]characters!$A$1,0,0,COUNTA([1]characters!$A:$A),MATCH(W$1,[1]characters!$1:$1,0)-MATCH($A$1,[1]characters!$1:$1,0)+1),MATCH(W$1,[1]characters!$1:$1,0)-MATCH($A$1,[1]characters!$1:$1,0)+1,FALSE)</f>
        <v>animal</v>
      </c>
      <c r="X20" s="5" t="str">
        <f ca="1">VLOOKUP(W20,[1]character_tribe_i18n!$A:$H,3,FALSE)</f>
        <v>アニマル</v>
      </c>
      <c r="Y20" s="53" t="str">
        <f ca="1">VLOOKUP($A20,OFFSET([1]characters!$A$1,0,0,COUNTA([1]characters!$A:$A),MATCH(Y$1,[1]characters!$1:$1,0)-MATCH($A$1,[1]characters!$1:$1,0)+1),MATCH(Y$1,[1]characters!$1:$1,0)-MATCH($A$1,[1]characters!$1:$1,0)+1,FALSE)</f>
        <v>fantasy</v>
      </c>
      <c r="Z20" s="5" t="str">
        <f ca="1">VLOOKUP(Y20,[1]character_tribe_i18n!$A:$H,3,FALSE)</f>
        <v>ファンタジー</v>
      </c>
      <c r="AA20" s="10">
        <f ca="1">VLOOKUP(W20,[1]character_tribe_i18n!$A:$H,4,FALSE)</f>
        <v>1</v>
      </c>
      <c r="AB20" s="10">
        <f ca="1">VLOOKUP(W20,[1]character_tribe_i18n!$A:$H,5,FALSE)</f>
        <v>1.1000000000000001</v>
      </c>
      <c r="AC20" s="10">
        <f ca="1">VLOOKUP(W20,[1]character_tribe_i18n!$A:$H,6,FALSE)</f>
        <v>1</v>
      </c>
      <c r="AD20" s="10">
        <f ca="1">VLOOKUP(W20,[1]character_tribe_i18n!$A:$H,7,FALSE)</f>
        <v>0.9</v>
      </c>
      <c r="AE20" s="187">
        <v>1716</v>
      </c>
      <c r="AF20" s="58" t="str">
        <f ca="1">IF(AE20="NULL","",VLOOKUP($AE20,OFFSET([1]characters!$A$1,0,0,COUNTA([1]characters!$A:$A),MATCH(AF$1,[1]characters!$1:$1,0)-MATCH($A$1,[1]characters!$1:$1,0)+1),MATCH(AF$1,[1]characters!$1:$1,0)-MATCH($A$1,[1]characters!$1:$1,0)+1,FALSE))</f>
        <v>森婚の祝福祭 アマラ</v>
      </c>
      <c r="AG20" s="187">
        <v>1715</v>
      </c>
      <c r="AH20" s="58" t="str">
        <f ca="1">VLOOKUP($AG20,OFFSET([1]characters!$A$1,0,0,COUNTA([1]characters!$A:$A),MATCH(AH$1,[1]characters!$1:$1,0)-MATCH($A$1,[1]characters!$1:$1,0)+1),MATCH(AH$1,[1]characters!$1:$1,0)-MATCH($A$1,[1]characters!$1:$1,0)+1,FALSE)</f>
        <v>森歓の祝宴 アマラ</v>
      </c>
      <c r="AI20" s="10">
        <f ca="1">IF(AE20="NULL","NULL",VLOOKUP(G20,ビット!$A$2:$B$7,2))</f>
        <v>200000</v>
      </c>
      <c r="AJ20" s="6">
        <v>2</v>
      </c>
      <c r="AK20" s="7" t="str">
        <f t="shared" si="17"/>
        <v>普通</v>
      </c>
      <c r="AL20" s="10" t="str">
        <f ca="1">INDEX(経験値!$A$1:$I$21,MATCH(H20,経験値!$A$1:$A$21,FALSE),MATCH(G20,経験値!$A$1:$I$1,FALSE))</f>
        <v>required_exp_200</v>
      </c>
      <c r="AM20" s="8">
        <f ca="1">VLOOKUP(G20,経験値!$A$28:$B$32,2)</f>
        <v>6400</v>
      </c>
      <c r="AN20" s="16">
        <f ca="1">VLOOKUP(G20,ビット!$G$2:$H$7,2)</f>
        <v>900</v>
      </c>
      <c r="AO20" s="41"/>
      <c r="AP20" s="63">
        <v>1715</v>
      </c>
      <c r="AQ20" s="53" t="str">
        <f ca="1">VLOOKUP($AP20,OFFSET(unit_skills!$A$1,0,0,COUNTA(unit_skills!$A:$A),MATCH(AQ$1,unit_skills!$1:$1,0)-MATCH($AP$1,unit_skills!$1:$1,0)+1),MATCH(AQ$1,unit_skills!$1:$1,0)-MATCH($AP$1,unit_skills!$1:$1,0)+1,FALSE)</f>
        <v>相思相愛の宣風</v>
      </c>
      <c r="AR20" s="53" t="str">
        <f ca="1">VLOOKUP($AP20,OFFSET(unit_skills!$A$1,0,0,COUNTA(unit_skills!$A:$A),MATCH(AR$1,unit_skills!$1:$1,0)-MATCH($AP$1,unit_skills!$1:$1,0)+1),MATCH(AR$1,unit_skills!$1:$1,0)-MATCH($AP$1,unit_skills!$1:$1,0)+1,FALSE)</f>
        <v>2ターン青属性ユニットの攻撃力を超大UPし、種族アニマルユニットのタップ回数を1増加し、Cパネル生成短縮(効果特大)</v>
      </c>
      <c r="AS20" s="53">
        <f ca="1">VLOOKUP($AP20,OFFSET(unit_skills!$A$1,0,0,COUNTA(unit_skills!$A:$A),MATCH(AS$1,unit_skills!$1:$1,0)-MATCH($AP$1,unit_skills!$1:$1,0)+1),MATCH(AS$1,unit_skills!$1:$1,0)-MATCH($AP$1,unit_skills!$1:$1,0)+1,FALSE)</f>
        <v>0</v>
      </c>
      <c r="AT20" s="63">
        <v>1715</v>
      </c>
      <c r="AU20" s="53" t="str">
        <f ca="1">VLOOKUP($AT20,OFFSET(crash_skills!$A$1,0,0,COUNTA(crash_skills!$A:$A),MATCH(AU$1,crash_skills!$1:$1,0)-MATCH($AT$1,crash_skills!$1:$1,0)+1),MATCH(AU$1,crash_skills!$1:$1,0)-MATCH($AT$1,crash_skills!$1:$1,0)+1,FALSE)</f>
        <v>恵愛の森式結納</v>
      </c>
      <c r="AV20" s="53" t="str">
        <f ca="1">VLOOKUP($AT20,OFFSET(crash_skills!$A$1,0,0,COUNTA(crash_skills!$A:$A),MATCH(AV$1,crash_skills!$1:$1,0)-MATCH($AT$1,crash_skills!$1:$1,0)+1),MATCH(AV$1,crash_skills!$1:$1,0)-MATCH($AT$1,crash_skills!$1:$1,0)+1,FALSE)</f>
        <v>単体に3回ダメージ</v>
      </c>
      <c r="AW20" s="53">
        <f ca="1">VLOOKUP($AT20,OFFSET(crash_skills!$A$1,0,0,COUNTA(crash_skills!$A:$A),MATCH(AW$1,crash_skills!$1:$1,0)-MATCH($AT$1,crash_skills!$1:$1,0)+1),MATCH(AW$1,crash_skills!$1:$1,0)-MATCH($AT$1,crash_skills!$1:$1,0)+1,FALSE)</f>
        <v>0</v>
      </c>
      <c r="AX20" s="54">
        <f ca="1">VLOOKUP($A20,OFFSET([1]characters!$A$1,0,0,COUNTA([1]characters!$A:$A),MATCH(AX$1,[1]characters!$1:$1,0)-MATCH($A$1,[1]characters!$1:$1,0)+1),MATCH(AX$1,[1]characters!$1:$1,0)-MATCH($A$1,[1]characters!$1:$1,0)+1,FALSE)</f>
        <v>3</v>
      </c>
      <c r="AY20" s="64">
        <v>1.081</v>
      </c>
      <c r="AZ20" s="64">
        <v>0.99750000000000005</v>
      </c>
      <c r="BA20" s="64">
        <v>0</v>
      </c>
      <c r="BB20" s="64">
        <v>1.4530000000000001</v>
      </c>
      <c r="BC20" s="10">
        <f ca="1">INDEX('RC6SV'!$A$1:$G$21,MATCH(H20,'RC6SV'!$A$1:$A$21,FALSE),MATCH(G20,'RC6SV'!$A$1:$G$1,FALSE))</f>
        <v>9000</v>
      </c>
      <c r="BD20" s="44">
        <f t="shared" ca="1" si="18"/>
        <v>9000</v>
      </c>
      <c r="BE20" s="10">
        <f t="shared" ca="1" si="3"/>
        <v>9000</v>
      </c>
      <c r="BF20" s="10">
        <f t="shared" ca="1" si="4"/>
        <v>1</v>
      </c>
      <c r="BG20" s="15">
        <f ca="1">IF($BE20&lt;=0,ROUND(BK20*0.5,0), ROUND($BE20*S20*AA20*J20*AY20*0.8*[1]ステータス!$B$2,0))</f>
        <v>3892</v>
      </c>
      <c r="BH20" s="15">
        <f ca="1">IF($BE20&lt;=0,ROUND(BL20*0.5,0), ROUND($BE20*T20*AB20*K20*AZ20*0.8*[1]ステータス!$C$2,0))</f>
        <v>3089</v>
      </c>
      <c r="BI20" s="15">
        <f ca="1">IF($BE20&lt;=0,ROUND(BM20*0.5,0), ROUND($BE20*U20*AC20*L20*BA20*0.8*[1]ステータス!$D$2,0))</f>
        <v>0</v>
      </c>
      <c r="BJ20" s="15">
        <f ca="1">IF($BE20&lt;=0,ROUND(BN20*0.5,0), ROUND($BE20*V20*AD20*M20*BB20*0.8*[1]ステータス!$E$2,0))</f>
        <v>1609</v>
      </c>
      <c r="BK20" s="10">
        <f ca="1">ROUND(BD20*S20*AA20*J20*AY20*[1]ステータス!$B$2,0)</f>
        <v>4865</v>
      </c>
      <c r="BL20" s="10">
        <f ca="1">ROUND(BD20*T20*AB20*K20*AZ20*[1]ステータス!$C$2,0)</f>
        <v>3861</v>
      </c>
      <c r="BM20" s="10">
        <f ca="1">ROUND(BD20*U20*AC20*L20*BA20*[1]ステータス!$D$2,0)</f>
        <v>0</v>
      </c>
      <c r="BN20" s="10">
        <f ca="1">ROUND(BD20*V20*AD20*M20*BB20*[1]ステータス!$E$2,0)</f>
        <v>2011</v>
      </c>
      <c r="BO20" s="9">
        <v>0</v>
      </c>
      <c r="BP20" s="9">
        <v>1</v>
      </c>
      <c r="BQ20" s="9" t="s">
        <v>47</v>
      </c>
      <c r="BR20" s="207">
        <v>512</v>
      </c>
    </row>
    <row r="21" spans="1:70" ht="26" customHeight="1" x14ac:dyDescent="0.15">
      <c r="A21" s="186">
        <v>1716</v>
      </c>
      <c r="B21" s="53" t="str">
        <f ca="1">VLOOKUP($A21,OFFSET([1]characters!$A$1,0,0,COUNTA([1]characters!$A:$A),MATCH(B$1,[1]characters!$1:$1,0)-MATCH($A$1,[1]characters!$1:$1,0)+1),MATCH(B$1,[1]characters!$1:$1,0)-MATCH($A$1,[1]characters!$1:$1,0)+1,FALSE)</f>
        <v>森婚の祝福祭 アマラ</v>
      </c>
      <c r="C21" s="53">
        <f ca="1">VLOOKUP($A21,OFFSET([1]characters!$A$1,0,0,COUNTA([1]characters!$A:$A),MATCH(C$1,[1]characters!$1:$1,0)-MATCH($A$1,[1]characters!$1:$1,0)+1),MATCH(C$1,[1]characters!$1:$1,0)-MATCH($A$1,[1]characters!$1:$1,0)+1,FALSE)</f>
        <v>0</v>
      </c>
      <c r="D21" s="53">
        <f ca="1">VLOOKUP($A21,OFFSET([1]characters!$A$1,0,0,COUNTA([1]characters!$A:$A),MATCH(D$1,[1]characters!$1:$1,0)-MATCH($A$1,[1]characters!$1:$1,0)+1),MATCH(D$1,[1]characters!$1:$1,0)-MATCH($A$1,[1]characters!$1:$1,0)+1,FALSE)</f>
        <v>0</v>
      </c>
      <c r="E21" s="53">
        <f ca="1">VLOOKUP($A21,OFFSET([1]characters!$A$1,0,0,COUNTA([1]characters!$A:$A),MATCH(E$1,[1]characters!$1:$1,0)-MATCH($A$1,[1]characters!$1:$1,0)+1),MATCH(E$1,[1]characters!$1:$1,0)-MATCH($A$1,[1]characters!$1:$1,0)+1,FALSE)</f>
        <v>0</v>
      </c>
      <c r="F21" s="53">
        <f ca="1">VLOOKUP($A21,OFFSET([1]characters!$A$1,0,0,COUNTA([1]characters!$A:$A),MATCH(F$1,[1]characters!$1:$1,0)-MATCH($A$1,[1]characters!$1:$1,0)+1),MATCH(F$1,[1]characters!$1:$1,0)-MATCH($A$1,[1]characters!$1:$1,0)+1,FALSE)</f>
        <v>0</v>
      </c>
      <c r="G21" s="53">
        <f ca="1">VLOOKUP($A21,OFFSET([1]characters!$A$1,0,0,COUNTA([1]characters!$A:$A),MATCH(G$1,[1]characters!$1:$1,0)-MATCH($A$1,[1]characters!$1:$1,0)+1),MATCH(G$1,[1]characters!$1:$1,0)-MATCH($A$1,[1]characters!$1:$1,0)+1,FALSE)</f>
        <v>5</v>
      </c>
      <c r="H21" s="53" t="str">
        <f ca="1">VLOOKUP($A21,OFFSET([1]characters!$A$1,0,0,COUNTA([1]characters!$A:$A),MATCH(H$1,[1]characters!$1:$1,0)-MATCH($A$1,[1]characters!$1:$1,0)+1),MATCH(H$1,[1]characters!$1:$1,0)-MATCH($A$1,[1]characters!$1:$1,0)+1,FALSE)</f>
        <v>PremiumS</v>
      </c>
      <c r="I21" s="53" t="str">
        <f ca="1">VLOOKUP($A21,OFFSET([1]characters!$A$1,0,0,COUNTA([1]characters!$A:$A),MATCH(I$1,[1]characters!$1:$1,0)-MATCH($A$1,[1]characters!$1:$1,0)+1),MATCH(I$1,[1]characters!$1:$1,0)-MATCH($A$1,[1]characters!$1:$1,0)+1,FALSE)</f>
        <v>blue</v>
      </c>
      <c r="J21" s="10">
        <f ca="1">VLOOKUP(I21,[1]属性!$A:$E,2,FALSE)</f>
        <v>1</v>
      </c>
      <c r="K21" s="10">
        <f ca="1">VLOOKUP(I21,[1]属性!$A:$E,3,FALSE)</f>
        <v>0.98</v>
      </c>
      <c r="L21" s="10">
        <f ca="1">VLOOKUP(I21,[1]属性!$A:$E,4,FALSE)</f>
        <v>1</v>
      </c>
      <c r="M21" s="10">
        <f ca="1">VLOOKUP(I21,[1]属性!$A:$E,5,FALSE)</f>
        <v>1.02</v>
      </c>
      <c r="N21" s="10">
        <f ca="1">INDEX(コスト!$A$1:$I$21,MATCH(H21,コスト!$A$1:$A$21,FALSE),MATCH(G21,コスト!$A$1:$I$1,FALSE))</f>
        <v>30</v>
      </c>
      <c r="O21" s="10">
        <f ca="1">INDEX(レベル!$A$1:$I$22,MATCH(H21,レベル!$A$1:$A$22,FALSE),MATCH(G21,レベル!$A$1:$I$1,FALSE))</f>
        <v>80</v>
      </c>
      <c r="P21" s="44">
        <f t="shared" ref="P21:P23" ca="1" si="37">IF(G21 &gt;= 6, 99,G21*15)</f>
        <v>75</v>
      </c>
      <c r="Q21" s="53" t="str">
        <f ca="1">VLOOKUP($A21,OFFSET([1]characters!$A$1,0,0,COUNTA([1]characters!$A:$A),MATCH(Q$1,[1]characters!$1:$1,0)-MATCH($A$1,[1]characters!$1:$1,0)+1),MATCH(Q$1,[1]characters!$1:$1,0)-MATCH($A$1,[1]characters!$1:$1,0)+1,FALSE)</f>
        <v>attack</v>
      </c>
      <c r="R21" s="5" t="str">
        <f ca="1">VLOOKUP(Q21,[1]character_type_i18n!$A:$H,3,FALSE)</f>
        <v>攻撃タイプ</v>
      </c>
      <c r="S21" s="10">
        <f ca="1">VLOOKUP(Q21,[1]character_type_i18n!$A:$H,4,FALSE)</f>
        <v>1</v>
      </c>
      <c r="T21" s="10">
        <f ca="1">VLOOKUP(Q21,[1]character_type_i18n!$A:$H,5,FALSE)</f>
        <v>1.33</v>
      </c>
      <c r="U21" s="10">
        <f ca="1">VLOOKUP(Q21,[1]character_type_i18n!$A:$H,6,FALSE)</f>
        <v>1</v>
      </c>
      <c r="V21" s="10">
        <f ca="1">VLOOKUP(Q21,[1]character_type_i18n!$A:$H,7,FALSE)</f>
        <v>0.67</v>
      </c>
      <c r="W21" s="53" t="str">
        <f ca="1">VLOOKUP($A21,OFFSET([1]characters!$A$1,0,0,COUNTA([1]characters!$A:$A),MATCH(W$1,[1]characters!$1:$1,0)-MATCH($A$1,[1]characters!$1:$1,0)+1),MATCH(W$1,[1]characters!$1:$1,0)-MATCH($A$1,[1]characters!$1:$1,0)+1,FALSE)</f>
        <v>animal</v>
      </c>
      <c r="X21" s="5" t="str">
        <f ca="1">VLOOKUP(W21,[1]character_tribe_i18n!$A:$H,3,FALSE)</f>
        <v>アニマル</v>
      </c>
      <c r="Y21" s="53" t="str">
        <f ca="1">VLOOKUP($A21,OFFSET([1]characters!$A$1,0,0,COUNTA([1]characters!$A:$A),MATCH(Y$1,[1]characters!$1:$1,0)-MATCH($A$1,[1]characters!$1:$1,0)+1),MATCH(Y$1,[1]characters!$1:$1,0)-MATCH($A$1,[1]characters!$1:$1,0)+1,FALSE)</f>
        <v>fantasy</v>
      </c>
      <c r="Z21" s="5" t="str">
        <f ca="1">VLOOKUP(Y21,[1]character_tribe_i18n!$A:$H,3,FALSE)</f>
        <v>ファンタジー</v>
      </c>
      <c r="AA21" s="10">
        <f ca="1">VLOOKUP(W21,[1]character_tribe_i18n!$A:$H,4,FALSE)</f>
        <v>1</v>
      </c>
      <c r="AB21" s="10">
        <f ca="1">VLOOKUP(W21,[1]character_tribe_i18n!$A:$H,5,FALSE)</f>
        <v>1.1000000000000001</v>
      </c>
      <c r="AC21" s="10">
        <f ca="1">VLOOKUP(W21,[1]character_tribe_i18n!$A:$H,6,FALSE)</f>
        <v>1</v>
      </c>
      <c r="AD21" s="10">
        <f ca="1">VLOOKUP(W21,[1]character_tribe_i18n!$A:$H,7,FALSE)</f>
        <v>0.9</v>
      </c>
      <c r="AE21" s="187">
        <v>1715</v>
      </c>
      <c r="AF21" s="58" t="str">
        <f ca="1">IF(AE21="NULL","",VLOOKUP($AE21,OFFSET([1]characters!$A$1,0,0,COUNTA([1]characters!$A:$A),MATCH(AF$1,[1]characters!$1:$1,0)-MATCH($A$1,[1]characters!$1:$1,0)+1),MATCH(AF$1,[1]characters!$1:$1,0)-MATCH($A$1,[1]characters!$1:$1,0)+1,FALSE))</f>
        <v>森歓の祝宴 アマラ</v>
      </c>
      <c r="AG21" s="187">
        <v>1715</v>
      </c>
      <c r="AH21" s="58" t="str">
        <f ca="1">VLOOKUP($AG21,OFFSET([1]characters!$A$1,0,0,COUNTA([1]characters!$A:$A),MATCH(AH$1,[1]characters!$1:$1,0)-MATCH($A$1,[1]characters!$1:$1,0)+1),MATCH(AH$1,[1]characters!$1:$1,0)-MATCH($A$1,[1]characters!$1:$1,0)+1,FALSE)</f>
        <v>森歓の祝宴 アマラ</v>
      </c>
      <c r="AI21" s="10">
        <f ca="1">IF(AE21="NULL","NULL",VLOOKUP(G21,ビット!$A$2:$B$7,2))</f>
        <v>200000</v>
      </c>
      <c r="AJ21" s="6">
        <v>2</v>
      </c>
      <c r="AK21" s="7" t="str">
        <f t="shared" ref="AK21:AK23" si="38">IF(AJ21=1,"早熟",IF(AJ21=2,"普通",IF(AJ21=3,"晩成","")))</f>
        <v>普通</v>
      </c>
      <c r="AL21" s="10" t="str">
        <f ca="1">INDEX(経験値!$A$1:$I$21,MATCH(H21,経験値!$A$1:$A$21,FALSE),MATCH(G21,経験値!$A$1:$I$1,FALSE))</f>
        <v>required_exp_200</v>
      </c>
      <c r="AM21" s="8">
        <f ca="1">VLOOKUP(G21,経験値!$A$28:$B$32,2)</f>
        <v>6400</v>
      </c>
      <c r="AN21" s="16">
        <f ca="1">VLOOKUP(G21,ビット!$G$2:$H$7,2)</f>
        <v>900</v>
      </c>
      <c r="AO21" s="41"/>
      <c r="AP21" s="63">
        <v>1716</v>
      </c>
      <c r="AQ21" s="53" t="str">
        <f ca="1">VLOOKUP($AP21,OFFSET(unit_skills!$A$1,0,0,COUNTA(unit_skills!$A:$A),MATCH(AQ$1,unit_skills!$1:$1,0)-MATCH($AP$1,unit_skills!$1:$1,0)+1),MATCH(AQ$1,unit_skills!$1:$1,0)-MATCH($AP$1,unit_skills!$1:$1,0)+1,FALSE)</f>
        <v>相思相愛の宣風</v>
      </c>
      <c r="AR21" s="53" t="str">
        <f ca="1">VLOOKUP($AP21,OFFSET(unit_skills!$A$1,0,0,COUNTA(unit_skills!$A:$A),MATCH(AR$1,unit_skills!$1:$1,0)-MATCH($AP$1,unit_skills!$1:$1,0)+1),MATCH(AR$1,unit_skills!$1:$1,0)-MATCH($AP$1,unit_skills!$1:$1,0)+1,FALSE)</f>
        <v>2ターン青属性ユニットの攻撃力を超大UPし、種族アニマルユニットのタップ回数を1増加し、Cパネル生成短縮(効果特大)</v>
      </c>
      <c r="AS21" s="53">
        <f ca="1">VLOOKUP($AP21,OFFSET(unit_skills!$A$1,0,0,COUNTA(unit_skills!$A:$A),MATCH(AS$1,unit_skills!$1:$1,0)-MATCH($AP$1,unit_skills!$1:$1,0)+1),MATCH(AS$1,unit_skills!$1:$1,0)-MATCH($AP$1,unit_skills!$1:$1,0)+1,FALSE)</f>
        <v>0</v>
      </c>
      <c r="AT21" s="63">
        <v>1716</v>
      </c>
      <c r="AU21" s="53" t="str">
        <f ca="1">VLOOKUP($AT21,OFFSET(crash_skills!$A$1,0,0,COUNTA(crash_skills!$A:$A),MATCH(AU$1,crash_skills!$1:$1,0)-MATCH($AT$1,crash_skills!$1:$1,0)+1),MATCH(AU$1,crash_skills!$1:$1,0)-MATCH($AT$1,crash_skills!$1:$1,0)+1,FALSE)</f>
        <v>恵愛の森式結納</v>
      </c>
      <c r="AV21" s="53" t="str">
        <f ca="1">VLOOKUP($AT21,OFFSET(crash_skills!$A$1,0,0,COUNTA(crash_skills!$A:$A),MATCH(AV$1,crash_skills!$1:$1,0)-MATCH($AT$1,crash_skills!$1:$1,0)+1),MATCH(AV$1,crash_skills!$1:$1,0)-MATCH($AT$1,crash_skills!$1:$1,0)+1,FALSE)</f>
        <v>単体に3回ダメージ</v>
      </c>
      <c r="AW21" s="53">
        <f ca="1">VLOOKUP($AT21,OFFSET(crash_skills!$A$1,0,0,COUNTA(crash_skills!$A:$A),MATCH(AW$1,crash_skills!$1:$1,0)-MATCH($AT$1,crash_skills!$1:$1,0)+1),MATCH(AW$1,crash_skills!$1:$1,0)-MATCH($AT$1,crash_skills!$1:$1,0)+1,FALSE)</f>
        <v>0</v>
      </c>
      <c r="AX21" s="54">
        <f ca="1">VLOOKUP($A21,OFFSET([1]characters!$A$1,0,0,COUNTA([1]characters!$A:$A),MATCH(AX$1,[1]characters!$1:$1,0)-MATCH($A$1,[1]characters!$1:$1,0)+1),MATCH(AX$1,[1]characters!$1:$1,0)-MATCH($A$1,[1]characters!$1:$1,0)+1,FALSE)</f>
        <v>3</v>
      </c>
      <c r="AY21" s="64">
        <v>1.081</v>
      </c>
      <c r="AZ21" s="64">
        <v>0.99750000000000005</v>
      </c>
      <c r="BA21" s="64">
        <v>0</v>
      </c>
      <c r="BB21" s="64">
        <v>1.4530000000000001</v>
      </c>
      <c r="BC21" s="10">
        <f ca="1">INDEX('RC6SV'!$A$1:$G$21,MATCH(H21,'RC6SV'!$A$1:$A$21,FALSE),MATCH(G21,'RC6SV'!$A$1:$G$1,FALSE))</f>
        <v>9000</v>
      </c>
      <c r="BD21" s="44">
        <f t="shared" ref="BD21:BD23" ca="1" si="39">ROUND(BC21*IF(AJ21=1,0.95,IF(AJ21=2,1,IF(AJ21,1.05,0))),0)</f>
        <v>9000</v>
      </c>
      <c r="BE21" s="10">
        <f t="shared" ca="1" si="3"/>
        <v>9000</v>
      </c>
      <c r="BF21" s="10">
        <f t="shared" ca="1" si="4"/>
        <v>1</v>
      </c>
      <c r="BG21" s="15">
        <f ca="1">IF($BE21&lt;=0,ROUND(BK21*0.5,0), ROUND($BE21*S21*AA21*J21*AY21*0.8*[1]ステータス!$B$2,0))</f>
        <v>3892</v>
      </c>
      <c r="BH21" s="15">
        <f ca="1">IF($BE21&lt;=0,ROUND(BL21*0.5,0), ROUND($BE21*T21*AB21*K21*AZ21*0.8*[1]ステータス!$C$2,0))</f>
        <v>3089</v>
      </c>
      <c r="BI21" s="15">
        <f ca="1">IF($BE21&lt;=0,ROUND(BM21*0.5,0), ROUND($BE21*U21*AC21*L21*BA21*0.8*[1]ステータス!$D$2,0))</f>
        <v>0</v>
      </c>
      <c r="BJ21" s="15">
        <f ca="1">IF($BE21&lt;=0,ROUND(BN21*0.5,0), ROUND($BE21*V21*AD21*M21*BB21*0.8*[1]ステータス!$E$2,0))</f>
        <v>1609</v>
      </c>
      <c r="BK21" s="10">
        <f ca="1">ROUND(BD21*S21*AA21*J21*AY21*[1]ステータス!$B$2,0)</f>
        <v>4865</v>
      </c>
      <c r="BL21" s="10">
        <f ca="1">ROUND(BD21*T21*AB21*K21*AZ21*[1]ステータス!$C$2,0)</f>
        <v>3861</v>
      </c>
      <c r="BM21" s="10">
        <f ca="1">ROUND(BD21*U21*AC21*L21*BA21*[1]ステータス!$D$2,0)</f>
        <v>0</v>
      </c>
      <c r="BN21" s="10">
        <f ca="1">ROUND(BD21*V21*AD21*M21*BB21*[1]ステータス!$E$2,0)</f>
        <v>2011</v>
      </c>
      <c r="BO21" s="9">
        <v>0</v>
      </c>
      <c r="BP21" s="9">
        <v>1</v>
      </c>
      <c r="BQ21" s="9" t="s">
        <v>47</v>
      </c>
      <c r="BR21" s="207">
        <v>512</v>
      </c>
    </row>
    <row r="22" spans="1:70" ht="26" customHeight="1" x14ac:dyDescent="0.15">
      <c r="A22" s="186">
        <v>1717</v>
      </c>
      <c r="B22" s="53" t="str">
        <f ca="1">VLOOKUP($A22,OFFSET([1]characters!$A$1,0,0,COUNTA([1]characters!$A:$A),MATCH(B$1,[1]characters!$1:$1,0)-MATCH($A$1,[1]characters!$1:$1,0)+1),MATCH(B$1,[1]characters!$1:$1,0)-MATCH($A$1,[1]characters!$1:$1,0)+1,FALSE)</f>
        <v>ラブリーエンジェル</v>
      </c>
      <c r="C22" s="53">
        <f ca="1">VLOOKUP($A22,OFFSET([1]characters!$A$1,0,0,COUNTA([1]characters!$A:$A),MATCH(C$1,[1]characters!$1:$1,0)-MATCH($A$1,[1]characters!$1:$1,0)+1),MATCH(C$1,[1]characters!$1:$1,0)-MATCH($A$1,[1]characters!$1:$1,0)+1,FALSE)</f>
        <v>0</v>
      </c>
      <c r="D22" s="53">
        <f ca="1">VLOOKUP($A22,OFFSET([1]characters!$A$1,0,0,COUNTA([1]characters!$A:$A),MATCH(D$1,[1]characters!$1:$1,0)-MATCH($A$1,[1]characters!$1:$1,0)+1),MATCH(D$1,[1]characters!$1:$1,0)-MATCH($A$1,[1]characters!$1:$1,0)+1,FALSE)</f>
        <v>0</v>
      </c>
      <c r="E22" s="53">
        <f ca="1">VLOOKUP($A22,OFFSET([1]characters!$A$1,0,0,COUNTA([1]characters!$A:$A),MATCH(E$1,[1]characters!$1:$1,0)-MATCH($A$1,[1]characters!$1:$1,0)+1),MATCH(E$1,[1]characters!$1:$1,0)-MATCH($A$1,[1]characters!$1:$1,0)+1,FALSE)</f>
        <v>0</v>
      </c>
      <c r="F22" s="53">
        <f ca="1">VLOOKUP($A22,OFFSET([1]characters!$A$1,0,0,COUNTA([1]characters!$A:$A),MATCH(F$1,[1]characters!$1:$1,0)-MATCH($A$1,[1]characters!$1:$1,0)+1),MATCH(F$1,[1]characters!$1:$1,0)-MATCH($A$1,[1]characters!$1:$1,0)+1,FALSE)</f>
        <v>0</v>
      </c>
      <c r="G22" s="53">
        <f ca="1">VLOOKUP($A22,OFFSET([1]characters!$A$1,0,0,COUNTA([1]characters!$A:$A),MATCH(G$1,[1]characters!$1:$1,0)-MATCH($A$1,[1]characters!$1:$1,0)+1),MATCH(G$1,[1]characters!$1:$1,0)-MATCH($A$1,[1]characters!$1:$1,0)+1,FALSE)</f>
        <v>4</v>
      </c>
      <c r="H22" s="53" t="str">
        <f ca="1">VLOOKUP($A22,OFFSET([1]characters!$A$1,0,0,COUNTA([1]characters!$A:$A),MATCH(H$1,[1]characters!$1:$1,0)-MATCH($A$1,[1]characters!$1:$1,0)+1),MATCH(H$1,[1]characters!$1:$1,0)-MATCH($A$1,[1]characters!$1:$1,0)+1,FALSE)</f>
        <v>Material</v>
      </c>
      <c r="I22" s="53" t="str">
        <f ca="1">VLOOKUP($A22,OFFSET([1]characters!$A$1,0,0,COUNTA([1]characters!$A:$A),MATCH(I$1,[1]characters!$1:$1,0)-MATCH($A$1,[1]characters!$1:$1,0)+1),MATCH(I$1,[1]characters!$1:$1,0)-MATCH($A$1,[1]characters!$1:$1,0)+1,FALSE)</f>
        <v>red</v>
      </c>
      <c r="J22" s="10">
        <f ca="1">VLOOKUP(I22,[1]属性!$A:$E,2,FALSE)</f>
        <v>1</v>
      </c>
      <c r="K22" s="10">
        <f ca="1">VLOOKUP(I22,[1]属性!$A:$E,3,FALSE)</f>
        <v>1.02</v>
      </c>
      <c r="L22" s="10">
        <f ca="1">VLOOKUP(I22,[1]属性!$A:$E,4,FALSE)</f>
        <v>1</v>
      </c>
      <c r="M22" s="10">
        <f ca="1">VLOOKUP(I22,[1]属性!$A:$E,5,FALSE)</f>
        <v>0.98</v>
      </c>
      <c r="N22" s="10">
        <f ca="1">INDEX(コスト!$A$1:$I$21,MATCH(H22,コスト!$A$1:$A$21,FALSE),MATCH(G22,コスト!$A$1:$I$1,FALSE))</f>
        <v>99</v>
      </c>
      <c r="O22" s="10">
        <f ca="1">INDEX(レベル!$A$1:$I$22,MATCH(H22,レベル!$A$1:$A$22,FALSE),MATCH(G22,レベル!$A$1:$I$1,FALSE))</f>
        <v>1</v>
      </c>
      <c r="P22" s="208">
        <v>50</v>
      </c>
      <c r="Q22" s="53" t="str">
        <f ca="1">VLOOKUP($A22,OFFSET([1]characters!$A$1,0,0,COUNTA([1]characters!$A:$A),MATCH(Q$1,[1]characters!$1:$1,0)-MATCH($A$1,[1]characters!$1:$1,0)+1),MATCH(Q$1,[1]characters!$1:$1,0)-MATCH($A$1,[1]characters!$1:$1,0)+1,FALSE)</f>
        <v>technical</v>
      </c>
      <c r="R22" s="5" t="str">
        <f ca="1">VLOOKUP(Q22,[1]character_type_i18n!$A:$H,3,FALSE)</f>
        <v>テクニカルタイプ</v>
      </c>
      <c r="S22" s="10">
        <f ca="1">VLOOKUP(Q22,[1]character_type_i18n!$A:$H,4,FALSE)</f>
        <v>0.9</v>
      </c>
      <c r="T22" s="10">
        <f ca="1">VLOOKUP(Q22,[1]character_type_i18n!$A:$H,5,FALSE)</f>
        <v>0.9</v>
      </c>
      <c r="U22" s="10">
        <f ca="1">VLOOKUP(Q22,[1]character_type_i18n!$A:$H,6,FALSE)</f>
        <v>1</v>
      </c>
      <c r="V22" s="10">
        <f ca="1">VLOOKUP(Q22,[1]character_type_i18n!$A:$H,7,FALSE)</f>
        <v>0.9</v>
      </c>
      <c r="W22" s="53" t="str">
        <f ca="1">VLOOKUP($A22,OFFSET([1]characters!$A$1,0,0,COUNTA([1]characters!$A:$A),MATCH(W$1,[1]characters!$1:$1,0)-MATCH($A$1,[1]characters!$1:$1,0)+1),MATCH(W$1,[1]characters!$1:$1,0)-MATCH($A$1,[1]characters!$1:$1,0)+1,FALSE)</f>
        <v>unknown</v>
      </c>
      <c r="X22" s="5" t="str">
        <f ca="1">VLOOKUP(W22,[1]character_tribe_i18n!$A:$H,3,FALSE)</f>
        <v>Unknown</v>
      </c>
      <c r="Y22" s="53" t="str">
        <f ca="1">VLOOKUP($A22,OFFSET([1]characters!$A$1,0,0,COUNTA([1]characters!$A:$A),MATCH(Y$1,[1]characters!$1:$1,0)-MATCH($A$1,[1]characters!$1:$1,0)+1),MATCH(Y$1,[1]characters!$1:$1,0)-MATCH($A$1,[1]characters!$1:$1,0)+1,FALSE)</f>
        <v>none</v>
      </c>
      <c r="Z22" s="5" t="str">
        <f ca="1">VLOOKUP(Y22,[1]character_tribe_i18n!$A:$H,3,FALSE)</f>
        <v>種族なし</v>
      </c>
      <c r="AA22" s="10">
        <f ca="1">VLOOKUP(W22,[1]character_tribe_i18n!$A:$H,4,FALSE)</f>
        <v>1</v>
      </c>
      <c r="AB22" s="10">
        <f ca="1">VLOOKUP(W22,[1]character_tribe_i18n!$A:$H,5,FALSE)</f>
        <v>1</v>
      </c>
      <c r="AC22" s="10">
        <f ca="1">VLOOKUP(W22,[1]character_tribe_i18n!$A:$H,6,FALSE)</f>
        <v>1</v>
      </c>
      <c r="AD22" s="10">
        <f ca="1">VLOOKUP(W22,[1]character_tribe_i18n!$A:$H,7,FALSE)</f>
        <v>1</v>
      </c>
      <c r="AE22" s="187" t="s">
        <v>351</v>
      </c>
      <c r="AF22" s="58" t="str">
        <f ca="1">IF(AE22="NULL","",VLOOKUP($AE22,OFFSET([1]characters!$A$1,0,0,COUNTA([1]characters!$A:$A),MATCH(AF$1,[1]characters!$1:$1,0)-MATCH($A$1,[1]characters!$1:$1,0)+1),MATCH(AF$1,[1]characters!$1:$1,0)-MATCH($A$1,[1]characters!$1:$1,0)+1,FALSE))</f>
        <v/>
      </c>
      <c r="AG22" s="187">
        <v>1717</v>
      </c>
      <c r="AH22" s="58" t="str">
        <f ca="1">VLOOKUP($AG22,OFFSET([1]characters!$A$1,0,0,COUNTA([1]characters!$A:$A),MATCH(AH$1,[1]characters!$1:$1,0)-MATCH($A$1,[1]characters!$1:$1,0)+1),MATCH(AH$1,[1]characters!$1:$1,0)-MATCH($A$1,[1]characters!$1:$1,0)+1,FALSE)</f>
        <v>ラブリーエンジェル</v>
      </c>
      <c r="AI22" s="10" t="str">
        <f>IF(AE22="NULL","NULL",VLOOKUP(G22,ビット!$A$2:$B$7,2))</f>
        <v>NULL</v>
      </c>
      <c r="AJ22" s="6">
        <v>2</v>
      </c>
      <c r="AK22" s="7" t="str">
        <f t="shared" si="38"/>
        <v>普通</v>
      </c>
      <c r="AL22" s="10" t="str">
        <f ca="1">INDEX(経験値!$A$1:$I$21,MATCH(H22,経験値!$A$1:$A$21,FALSE),MATCH(G22,経験値!$A$1:$I$1,FALSE))</f>
        <v>NULL</v>
      </c>
      <c r="AM22" s="206">
        <v>15000</v>
      </c>
      <c r="AN22" s="206">
        <v>15000</v>
      </c>
      <c r="AO22" s="41"/>
      <c r="AP22" s="63">
        <v>1717</v>
      </c>
      <c r="AQ22" s="53" t="str">
        <f ca="1">VLOOKUP($AP22,OFFSET(unit_skills!$A$1,0,0,COUNTA(unit_skills!$A:$A),MATCH(AQ$1,unit_skills!$1:$1,0)-MATCH($AP$1,unit_skills!$1:$1,0)+1),MATCH(AQ$1,unit_skills!$1:$1,0)-MATCH($AP$1,unit_skills!$1:$1,0)+1,FALSE)</f>
        <v>覚醒素材</v>
      </c>
      <c r="AR22" s="53" t="str">
        <f ca="1">VLOOKUP($AP22,OFFSET(unit_skills!$A$1,0,0,COUNTA(unit_skills!$A:$A),MATCH(AR$1,unit_skills!$1:$1,0)-MATCH($AP$1,unit_skills!$1:$1,0)+1),MATCH(AR$1,unit_skills!$1:$1,0)-MATCH($AP$1,unit_skills!$1:$1,0)+1,FALSE)</f>
        <v>ユニット覚醒の素材にすると特定ユニットを覚醒することができる</v>
      </c>
      <c r="AS22" s="53">
        <f ca="1">VLOOKUP($AP22,OFFSET(unit_skills!$A$1,0,0,COUNTA(unit_skills!$A:$A),MATCH(AS$1,unit_skills!$1:$1,0)-MATCH($AP$1,unit_skills!$1:$1,0)+1),MATCH(AS$1,unit_skills!$1:$1,0)-MATCH($AP$1,unit_skills!$1:$1,0)+1,FALSE)</f>
        <v>0</v>
      </c>
      <c r="AT22" s="63">
        <v>1717</v>
      </c>
      <c r="AU22" s="53" t="str">
        <f ca="1">VLOOKUP($AT22,OFFSET(crash_skills!$A$1,0,0,COUNTA(crash_skills!$A:$A),MATCH(AU$1,crash_skills!$1:$1,0)-MATCH($AT$1,crash_skills!$1:$1,0)+1),MATCH(AU$1,crash_skills!$1:$1,0)-MATCH($AT$1,crash_skills!$1:$1,0)+1,FALSE)</f>
        <v>なし</v>
      </c>
      <c r="AV22" s="53" t="str">
        <f ca="1">VLOOKUP($AT22,OFFSET(crash_skills!$A$1,0,0,COUNTA(crash_skills!$A:$A),MATCH(AV$1,crash_skills!$1:$1,0)-MATCH($AT$1,crash_skills!$1:$1,0)+1),MATCH(AV$1,crash_skills!$1:$1,0)-MATCH($AT$1,crash_skills!$1:$1,0)+1,FALSE)</f>
        <v>なし</v>
      </c>
      <c r="AW22" s="53">
        <f ca="1">VLOOKUP($AT22,OFFSET(crash_skills!$A$1,0,0,COUNTA(crash_skills!$A:$A),MATCH(AW$1,crash_skills!$1:$1,0)-MATCH($AT$1,crash_skills!$1:$1,0)+1),MATCH(AW$1,crash_skills!$1:$1,0)-MATCH($AT$1,crash_skills!$1:$1,0)+1,FALSE)</f>
        <v>0</v>
      </c>
      <c r="AX22" s="54">
        <f ca="1">VLOOKUP($A22,OFFSET([1]characters!$A$1,0,0,COUNTA([1]characters!$A:$A),MATCH(AX$1,[1]characters!$1:$1,0)-MATCH($A$1,[1]characters!$1:$1,0)+1),MATCH(AX$1,[1]characters!$1:$1,0)-MATCH($A$1,[1]characters!$1:$1,0)+1,FALSE)</f>
        <v>3</v>
      </c>
      <c r="AY22" s="64">
        <v>1</v>
      </c>
      <c r="AZ22" s="64">
        <v>1</v>
      </c>
      <c r="BA22" s="64">
        <v>0</v>
      </c>
      <c r="BB22" s="64">
        <v>1</v>
      </c>
      <c r="BC22" s="10">
        <f ca="1">INDEX('RC6SV'!$A$1:$G$21,MATCH(H22,'RC6SV'!$A$1:$A$21,FALSE),MATCH(G22,'RC6SV'!$A$1:$G$1,FALSE))</f>
        <v>1000</v>
      </c>
      <c r="BD22" s="44">
        <f t="shared" ca="1" si="39"/>
        <v>1000</v>
      </c>
      <c r="BE22" s="10">
        <f t="shared" ca="1" si="3"/>
        <v>0</v>
      </c>
      <c r="BF22" s="10">
        <f t="shared" ca="1" si="4"/>
        <v>1</v>
      </c>
      <c r="BG22" s="205">
        <v>1</v>
      </c>
      <c r="BH22" s="205">
        <v>1</v>
      </c>
      <c r="BI22" s="15">
        <f ca="1">IF($BE22&lt;=0,ROUND(BM22*0.5,0), ROUND($BE22*U22*AC22*L22*BA22*0.8*[1]ステータス!$D$2,0))</f>
        <v>0</v>
      </c>
      <c r="BJ22" s="205">
        <v>1</v>
      </c>
      <c r="BK22" s="191">
        <v>1</v>
      </c>
      <c r="BL22" s="191">
        <v>1</v>
      </c>
      <c r="BM22" s="10">
        <f ca="1">ROUND(BD22*U22*AC22*L22*BA22*[1]ステータス!$D$2,0)</f>
        <v>0</v>
      </c>
      <c r="BN22" s="191">
        <v>1</v>
      </c>
      <c r="BO22" s="9">
        <v>0</v>
      </c>
      <c r="BP22" s="9">
        <v>1</v>
      </c>
      <c r="BQ22" s="36" t="s">
        <v>47</v>
      </c>
      <c r="BR22" s="9">
        <f ca="1">VLOOKUP(H22,[2]ghosts_label!$A$2:$B$19,2,FALSE)</f>
        <v>0</v>
      </c>
    </row>
    <row r="23" spans="1:70" ht="26" customHeight="1" x14ac:dyDescent="0.15">
      <c r="A23" s="186">
        <v>1718</v>
      </c>
      <c r="B23" s="53" t="str">
        <f ca="1">VLOOKUP($A23,OFFSET([1]characters!$A$1,0,0,COUNTA([1]characters!$A:$A),MATCH(B$1,[1]characters!$1:$1,0)-MATCH($A$1,[1]characters!$1:$1,0)+1),MATCH(B$1,[1]characters!$1:$1,0)-MATCH($A$1,[1]characters!$1:$1,0)+1,FALSE)</f>
        <v>マリッジリング</v>
      </c>
      <c r="C23" s="53">
        <f ca="1">VLOOKUP($A23,OFFSET([1]characters!$A$1,0,0,COUNTA([1]characters!$A:$A),MATCH(C$1,[1]characters!$1:$1,0)-MATCH($A$1,[1]characters!$1:$1,0)+1),MATCH(C$1,[1]characters!$1:$1,0)-MATCH($A$1,[1]characters!$1:$1,0)+1,FALSE)</f>
        <v>0</v>
      </c>
      <c r="D23" s="53">
        <f ca="1">VLOOKUP($A23,OFFSET([1]characters!$A$1,0,0,COUNTA([1]characters!$A:$A),MATCH(D$1,[1]characters!$1:$1,0)-MATCH($A$1,[1]characters!$1:$1,0)+1),MATCH(D$1,[1]characters!$1:$1,0)-MATCH($A$1,[1]characters!$1:$1,0)+1,FALSE)</f>
        <v>0</v>
      </c>
      <c r="E23" s="53">
        <f ca="1">VLOOKUP($A23,OFFSET([1]characters!$A$1,0,0,COUNTA([1]characters!$A:$A),MATCH(E$1,[1]characters!$1:$1,0)-MATCH($A$1,[1]characters!$1:$1,0)+1),MATCH(E$1,[1]characters!$1:$1,0)-MATCH($A$1,[1]characters!$1:$1,0)+1,FALSE)</f>
        <v>0</v>
      </c>
      <c r="F23" s="53">
        <f ca="1">VLOOKUP($A23,OFFSET([1]characters!$A$1,0,0,COUNTA([1]characters!$A:$A),MATCH(F$1,[1]characters!$1:$1,0)-MATCH($A$1,[1]characters!$1:$1,0)+1),MATCH(F$1,[1]characters!$1:$1,0)-MATCH($A$1,[1]characters!$1:$1,0)+1,FALSE)</f>
        <v>0</v>
      </c>
      <c r="G23" s="53">
        <f ca="1">VLOOKUP($A23,OFFSET([1]characters!$A$1,0,0,COUNTA([1]characters!$A:$A),MATCH(G$1,[1]characters!$1:$1,0)-MATCH($A$1,[1]characters!$1:$1,0)+1),MATCH(G$1,[1]characters!$1:$1,0)-MATCH($A$1,[1]characters!$1:$1,0)+1,FALSE)</f>
        <v>5</v>
      </c>
      <c r="H23" s="53" t="str">
        <f ca="1">VLOOKUP($A23,OFFSET([1]characters!$A$1,0,0,COUNTA([1]characters!$A:$A),MATCH(H$1,[1]characters!$1:$1,0)-MATCH($A$1,[1]characters!$1:$1,0)+1),MATCH(H$1,[1]characters!$1:$1,0)-MATCH($A$1,[1]characters!$1:$1,0)+1,FALSE)</f>
        <v>Material</v>
      </c>
      <c r="I23" s="53" t="str">
        <f ca="1">VLOOKUP($A23,OFFSET([1]characters!$A$1,0,0,COUNTA([1]characters!$A:$A),MATCH(I$1,[1]characters!$1:$1,0)-MATCH($A$1,[1]characters!$1:$1,0)+1),MATCH(I$1,[1]characters!$1:$1,0)-MATCH($A$1,[1]characters!$1:$1,0)+1,FALSE)</f>
        <v>yellow</v>
      </c>
      <c r="J23" s="10">
        <f ca="1">VLOOKUP(I23,[1]属性!$A:$E,2,FALSE)</f>
        <v>0.98</v>
      </c>
      <c r="K23" s="10">
        <f ca="1">VLOOKUP(I23,[1]属性!$A:$E,3,FALSE)</f>
        <v>1.01</v>
      </c>
      <c r="L23" s="10">
        <f ca="1">VLOOKUP(I23,[1]属性!$A:$E,4,FALSE)</f>
        <v>1</v>
      </c>
      <c r="M23" s="10">
        <f ca="1">VLOOKUP(I23,[1]属性!$A:$E,5,FALSE)</f>
        <v>1.01</v>
      </c>
      <c r="N23" s="10">
        <f ca="1">INDEX(コスト!$A$1:$I$21,MATCH(H23,コスト!$A$1:$A$21,FALSE),MATCH(G23,コスト!$A$1:$I$1,FALSE))</f>
        <v>99</v>
      </c>
      <c r="O23" s="10">
        <f ca="1">INDEX(レベル!$A$1:$I$22,MATCH(H23,レベル!$A$1:$A$22,FALSE),MATCH(G23,レベル!$A$1:$I$1,FALSE))</f>
        <v>1</v>
      </c>
      <c r="P23" s="44">
        <f t="shared" ca="1" si="37"/>
        <v>75</v>
      </c>
      <c r="Q23" s="53" t="str">
        <f ca="1">VLOOKUP($A23,OFFSET([1]characters!$A$1,0,0,COUNTA([1]characters!$A:$A),MATCH(Q$1,[1]characters!$1:$1,0)-MATCH($A$1,[1]characters!$1:$1,0)+1),MATCH(Q$1,[1]characters!$1:$1,0)-MATCH($A$1,[1]characters!$1:$1,0)+1,FALSE)</f>
        <v>technical</v>
      </c>
      <c r="R23" s="5" t="str">
        <f ca="1">VLOOKUP(Q23,[1]character_type_i18n!$A:$H,3,FALSE)</f>
        <v>テクニカルタイプ</v>
      </c>
      <c r="S23" s="10">
        <f ca="1">VLOOKUP(Q23,[1]character_type_i18n!$A:$H,4,FALSE)</f>
        <v>0.9</v>
      </c>
      <c r="T23" s="10">
        <f ca="1">VLOOKUP(Q23,[1]character_type_i18n!$A:$H,5,FALSE)</f>
        <v>0.9</v>
      </c>
      <c r="U23" s="10">
        <f ca="1">VLOOKUP(Q23,[1]character_type_i18n!$A:$H,6,FALSE)</f>
        <v>1</v>
      </c>
      <c r="V23" s="10">
        <f ca="1">VLOOKUP(Q23,[1]character_type_i18n!$A:$H,7,FALSE)</f>
        <v>0.9</v>
      </c>
      <c r="W23" s="53" t="str">
        <f ca="1">VLOOKUP($A23,OFFSET([1]characters!$A$1,0,0,COUNTA([1]characters!$A:$A),MATCH(W$1,[1]characters!$1:$1,0)-MATCH($A$1,[1]characters!$1:$1,0)+1),MATCH(W$1,[1]characters!$1:$1,0)-MATCH($A$1,[1]characters!$1:$1,0)+1,FALSE)</f>
        <v>unknown</v>
      </c>
      <c r="X23" s="5" t="str">
        <f ca="1">VLOOKUP(W23,[1]character_tribe_i18n!$A:$H,3,FALSE)</f>
        <v>Unknown</v>
      </c>
      <c r="Y23" s="53" t="str">
        <f ca="1">VLOOKUP($A23,OFFSET([1]characters!$A$1,0,0,COUNTA([1]characters!$A:$A),MATCH(Y$1,[1]characters!$1:$1,0)-MATCH($A$1,[1]characters!$1:$1,0)+1),MATCH(Y$1,[1]characters!$1:$1,0)-MATCH($A$1,[1]characters!$1:$1,0)+1,FALSE)</f>
        <v>none</v>
      </c>
      <c r="Z23" s="5" t="str">
        <f ca="1">VLOOKUP(Y23,[1]character_tribe_i18n!$A:$H,3,FALSE)</f>
        <v>種族なし</v>
      </c>
      <c r="AA23" s="10">
        <f ca="1">VLOOKUP(W23,[1]character_tribe_i18n!$A:$H,4,FALSE)</f>
        <v>1</v>
      </c>
      <c r="AB23" s="10">
        <f ca="1">VLOOKUP(W23,[1]character_tribe_i18n!$A:$H,5,FALSE)</f>
        <v>1</v>
      </c>
      <c r="AC23" s="10">
        <f ca="1">VLOOKUP(W23,[1]character_tribe_i18n!$A:$H,6,FALSE)</f>
        <v>1</v>
      </c>
      <c r="AD23" s="10">
        <f ca="1">VLOOKUP(W23,[1]character_tribe_i18n!$A:$H,7,FALSE)</f>
        <v>1</v>
      </c>
      <c r="AE23" s="187">
        <v>1719</v>
      </c>
      <c r="AF23" s="58" t="str">
        <f ca="1">IF(AE23="NULL","",VLOOKUP($AE23,OFFSET([1]characters!$A$1,0,0,COUNTA([1]characters!$A:$A),MATCH(AF$1,[1]characters!$1:$1,0)-MATCH($A$1,[1]characters!$1:$1,0)+1),MATCH(AF$1,[1]characters!$1:$1,0)-MATCH($A$1,[1]characters!$1:$1,0)+1,FALSE))</f>
        <v>トゥルー・マリッジリング</v>
      </c>
      <c r="AG23" s="187">
        <v>1718</v>
      </c>
      <c r="AH23" s="58" t="str">
        <f ca="1">VLOOKUP($AG23,OFFSET([1]characters!$A$1,0,0,COUNTA([1]characters!$A:$A),MATCH(AH$1,[1]characters!$1:$1,0)-MATCH($A$1,[1]characters!$1:$1,0)+1),MATCH(AH$1,[1]characters!$1:$1,0)-MATCH($A$1,[1]characters!$1:$1,0)+1,FALSE)</f>
        <v>マリッジリング</v>
      </c>
      <c r="AI23" s="10">
        <f ca="1">IF(AE23="NULL","NULL",VLOOKUP(G23,ビット!$A$2:$B$7,2))</f>
        <v>200000</v>
      </c>
      <c r="AJ23" s="6">
        <v>2</v>
      </c>
      <c r="AK23" s="7" t="str">
        <f t="shared" si="38"/>
        <v>普通</v>
      </c>
      <c r="AL23" s="10" t="str">
        <f ca="1">INDEX(経験値!$A$1:$I$21,MATCH(H23,経験値!$A$1:$A$21,FALSE),MATCH(G23,経験値!$A$1:$I$1,FALSE))</f>
        <v>NULL</v>
      </c>
      <c r="AM23" s="206">
        <v>15000</v>
      </c>
      <c r="AN23" s="206">
        <v>15000</v>
      </c>
      <c r="AO23" s="41"/>
      <c r="AP23" s="63">
        <v>1718</v>
      </c>
      <c r="AQ23" s="53" t="str">
        <f ca="1">VLOOKUP($AP23,OFFSET(unit_skills!$A$1,0,0,COUNTA(unit_skills!$A:$A),MATCH(AQ$1,unit_skills!$1:$1,0)-MATCH($AP$1,unit_skills!$1:$1,0)+1),MATCH(AQ$1,unit_skills!$1:$1,0)-MATCH($AP$1,unit_skills!$1:$1,0)+1,FALSE)</f>
        <v>なし</v>
      </c>
      <c r="AR23" s="53" t="str">
        <f ca="1">VLOOKUP($AP23,OFFSET(unit_skills!$A$1,0,0,COUNTA(unit_skills!$A:$A),MATCH(AR$1,unit_skills!$1:$1,0)-MATCH($AP$1,unit_skills!$1:$1,0)+1),MATCH(AR$1,unit_skills!$1:$1,0)-MATCH($AP$1,unit_skills!$1:$1,0)+1,FALSE)</f>
        <v>なし</v>
      </c>
      <c r="AS23" s="53">
        <f ca="1">VLOOKUP($AP23,OFFSET(unit_skills!$A$1,0,0,COUNTA(unit_skills!$A:$A),MATCH(AS$1,unit_skills!$1:$1,0)-MATCH($AP$1,unit_skills!$1:$1,0)+1),MATCH(AS$1,unit_skills!$1:$1,0)-MATCH($AP$1,unit_skills!$1:$1,0)+1,FALSE)</f>
        <v>0</v>
      </c>
      <c r="AT23" s="63">
        <v>1718</v>
      </c>
      <c r="AU23" s="53" t="str">
        <f ca="1">VLOOKUP($AT23,OFFSET(crash_skills!$A$1,0,0,COUNTA(crash_skills!$A:$A),MATCH(AU$1,crash_skills!$1:$1,0)-MATCH($AT$1,crash_skills!$1:$1,0)+1),MATCH(AU$1,crash_skills!$1:$1,0)-MATCH($AT$1,crash_skills!$1:$1,0)+1,FALSE)</f>
        <v>なし</v>
      </c>
      <c r="AV23" s="53" t="str">
        <f ca="1">VLOOKUP($AT23,OFFSET(crash_skills!$A$1,0,0,COUNTA(crash_skills!$A:$A),MATCH(AV$1,crash_skills!$1:$1,0)-MATCH($AT$1,crash_skills!$1:$1,0)+1),MATCH(AV$1,crash_skills!$1:$1,0)-MATCH($AT$1,crash_skills!$1:$1,0)+1,FALSE)</f>
        <v>なし</v>
      </c>
      <c r="AW23" s="53">
        <f ca="1">VLOOKUP($AT23,OFFSET(crash_skills!$A$1,0,0,COUNTA(crash_skills!$A:$A),MATCH(AW$1,crash_skills!$1:$1,0)-MATCH($AT$1,crash_skills!$1:$1,0)+1),MATCH(AW$1,crash_skills!$1:$1,0)-MATCH($AT$1,crash_skills!$1:$1,0)+1,FALSE)</f>
        <v>0</v>
      </c>
      <c r="AX23" s="54">
        <f ca="1">VLOOKUP($A23,OFFSET([1]characters!$A$1,0,0,COUNTA([1]characters!$A:$A),MATCH(AX$1,[1]characters!$1:$1,0)-MATCH($A$1,[1]characters!$1:$1,0)+1),MATCH(AX$1,[1]characters!$1:$1,0)-MATCH($A$1,[1]characters!$1:$1,0)+1,FALSE)</f>
        <v>3</v>
      </c>
      <c r="AY23" s="64">
        <v>1</v>
      </c>
      <c r="AZ23" s="64">
        <v>1</v>
      </c>
      <c r="BA23" s="64">
        <v>0</v>
      </c>
      <c r="BB23" s="64">
        <v>1</v>
      </c>
      <c r="BC23" s="10">
        <f ca="1">INDEX('RC6SV'!$A$1:$G$21,MATCH(H23,'RC6SV'!$A$1:$A$21,FALSE),MATCH(G23,'RC6SV'!$A$1:$G$1,FALSE))</f>
        <v>1000</v>
      </c>
      <c r="BD23" s="44">
        <f t="shared" ca="1" si="39"/>
        <v>1000</v>
      </c>
      <c r="BE23" s="10">
        <f t="shared" ca="1" si="3"/>
        <v>0</v>
      </c>
      <c r="BF23" s="10">
        <f t="shared" ca="1" si="4"/>
        <v>1</v>
      </c>
      <c r="BG23" s="205">
        <v>1</v>
      </c>
      <c r="BH23" s="205">
        <v>1</v>
      </c>
      <c r="BI23" s="15">
        <f ca="1">IF($BE23&lt;=0,ROUND(BM23*0.5,0), ROUND($BE23*U23*AC23*L23*BA23*0.8*[1]ステータス!$D$2,0))</f>
        <v>0</v>
      </c>
      <c r="BJ23" s="205">
        <v>1</v>
      </c>
      <c r="BK23" s="191">
        <v>1</v>
      </c>
      <c r="BL23" s="191">
        <v>1</v>
      </c>
      <c r="BM23" s="10">
        <f ca="1">ROUND(BD23*U23*AC23*L23*BA23*[1]ステータス!$D$2,0)</f>
        <v>0</v>
      </c>
      <c r="BN23" s="191">
        <v>1</v>
      </c>
      <c r="BO23" s="9">
        <v>0</v>
      </c>
      <c r="BP23" s="9">
        <v>1</v>
      </c>
      <c r="BQ23" s="9" t="s">
        <v>47</v>
      </c>
      <c r="BR23" s="9">
        <f ca="1">VLOOKUP(H23,[2]ghosts_label!$A$2:$B$19,2,FALSE)</f>
        <v>0</v>
      </c>
    </row>
    <row r="24" spans="1:70" ht="26" customHeight="1" x14ac:dyDescent="0.15">
      <c r="A24" s="186">
        <v>1719</v>
      </c>
      <c r="B24" s="53" t="str">
        <f ca="1">VLOOKUP($A24,OFFSET([1]characters!$A$1,0,0,COUNTA([1]characters!$A:$A),MATCH(B$1,[1]characters!$1:$1,0)-MATCH($A$1,[1]characters!$1:$1,0)+1),MATCH(B$1,[1]characters!$1:$1,0)-MATCH($A$1,[1]characters!$1:$1,0)+1,FALSE)</f>
        <v>トゥルー・マリッジリング</v>
      </c>
      <c r="C24" s="53">
        <f ca="1">VLOOKUP($A24,OFFSET([1]characters!$A$1,0,0,COUNTA([1]characters!$A:$A),MATCH(C$1,[1]characters!$1:$1,0)-MATCH($A$1,[1]characters!$1:$1,0)+1),MATCH(C$1,[1]characters!$1:$1,0)-MATCH($A$1,[1]characters!$1:$1,0)+1,FALSE)</f>
        <v>0</v>
      </c>
      <c r="D24" s="53">
        <f ca="1">VLOOKUP($A24,OFFSET([1]characters!$A$1,0,0,COUNTA([1]characters!$A:$A),MATCH(D$1,[1]characters!$1:$1,0)-MATCH($A$1,[1]characters!$1:$1,0)+1),MATCH(D$1,[1]characters!$1:$1,0)-MATCH($A$1,[1]characters!$1:$1,0)+1,FALSE)</f>
        <v>0</v>
      </c>
      <c r="E24" s="53">
        <f ca="1">VLOOKUP($A24,OFFSET([1]characters!$A$1,0,0,COUNTA([1]characters!$A:$A),MATCH(E$1,[1]characters!$1:$1,0)-MATCH($A$1,[1]characters!$1:$1,0)+1),MATCH(E$1,[1]characters!$1:$1,0)-MATCH($A$1,[1]characters!$1:$1,0)+1,FALSE)</f>
        <v>0</v>
      </c>
      <c r="F24" s="53">
        <f ca="1">VLOOKUP($A24,OFFSET([1]characters!$A$1,0,0,COUNTA([1]characters!$A:$A),MATCH(F$1,[1]characters!$1:$1,0)-MATCH($A$1,[1]characters!$1:$1,0)+1),MATCH(F$1,[1]characters!$1:$1,0)-MATCH($A$1,[1]characters!$1:$1,0)+1,FALSE)</f>
        <v>0</v>
      </c>
      <c r="G24" s="53">
        <f ca="1">VLOOKUP($A24,OFFSET([1]characters!$A$1,0,0,COUNTA([1]characters!$A:$A),MATCH(G$1,[1]characters!$1:$1,0)-MATCH($A$1,[1]characters!$1:$1,0)+1),MATCH(G$1,[1]characters!$1:$1,0)-MATCH($A$1,[1]characters!$1:$1,0)+1,FALSE)</f>
        <v>6</v>
      </c>
      <c r="H24" s="53" t="str">
        <f ca="1">VLOOKUP($A24,OFFSET([1]characters!$A$1,0,0,COUNTA([1]characters!$A:$A),MATCH(H$1,[1]characters!$1:$1,0)-MATCH($A$1,[1]characters!$1:$1,0)+1),MATCH(H$1,[1]characters!$1:$1,0)-MATCH($A$1,[1]characters!$1:$1,0)+1,FALSE)</f>
        <v>Material</v>
      </c>
      <c r="I24" s="53" t="str">
        <f ca="1">VLOOKUP($A24,OFFSET([1]characters!$A$1,0,0,COUNTA([1]characters!$A:$A),MATCH(I$1,[1]characters!$1:$1,0)-MATCH($A$1,[1]characters!$1:$1,0)+1),MATCH(I$1,[1]characters!$1:$1,0)-MATCH($A$1,[1]characters!$1:$1,0)+1,FALSE)</f>
        <v>yellow</v>
      </c>
      <c r="J24" s="10">
        <f ca="1">VLOOKUP(I24,[1]属性!$A:$E,2,FALSE)</f>
        <v>0.98</v>
      </c>
      <c r="K24" s="10">
        <f ca="1">VLOOKUP(I24,[1]属性!$A:$E,3,FALSE)</f>
        <v>1.01</v>
      </c>
      <c r="L24" s="10">
        <f ca="1">VLOOKUP(I24,[1]属性!$A:$E,4,FALSE)</f>
        <v>1</v>
      </c>
      <c r="M24" s="10">
        <f ca="1">VLOOKUP(I24,[1]属性!$A:$E,5,FALSE)</f>
        <v>1.01</v>
      </c>
      <c r="N24" s="10">
        <f ca="1">INDEX(コスト!$A$1:$I$21,MATCH(H24,コスト!$A$1:$A$21,FALSE),MATCH(G24,コスト!$A$1:$I$1,FALSE))</f>
        <v>99</v>
      </c>
      <c r="O24" s="10">
        <f ca="1">INDEX(レベル!$A$1:$I$22,MATCH(H24,レベル!$A$1:$A$22,FALSE),MATCH(G24,レベル!$A$1:$I$1,FALSE))</f>
        <v>1</v>
      </c>
      <c r="P24" s="44">
        <f t="shared" ref="P24" ca="1" si="40">IF(G24 &gt;= 6, 99,G24*15)</f>
        <v>99</v>
      </c>
      <c r="Q24" s="53" t="str">
        <f ca="1">VLOOKUP($A24,OFFSET([1]characters!$A$1,0,0,COUNTA([1]characters!$A:$A),MATCH(Q$1,[1]characters!$1:$1,0)-MATCH($A$1,[1]characters!$1:$1,0)+1),MATCH(Q$1,[1]characters!$1:$1,0)-MATCH($A$1,[1]characters!$1:$1,0)+1,FALSE)</f>
        <v>evolution</v>
      </c>
      <c r="R24" s="5" t="str">
        <f ca="1">VLOOKUP(Q24,[1]character_type_i18n!$A:$H,3,FALSE)</f>
        <v>覚醒素材タイプ</v>
      </c>
      <c r="S24" s="10">
        <f ca="1">VLOOKUP(Q24,[1]character_type_i18n!$A:$H,4,FALSE)</f>
        <v>0.1</v>
      </c>
      <c r="T24" s="10">
        <f ca="1">VLOOKUP(Q24,[1]character_type_i18n!$A:$H,5,FALSE)</f>
        <v>0.05</v>
      </c>
      <c r="U24" s="10">
        <f ca="1">VLOOKUP(Q24,[1]character_type_i18n!$A:$H,6,FALSE)</f>
        <v>1</v>
      </c>
      <c r="V24" s="10">
        <f ca="1">VLOOKUP(Q24,[1]character_type_i18n!$A:$H,7,FALSE)</f>
        <v>0.05</v>
      </c>
      <c r="W24" s="53" t="str">
        <f ca="1">VLOOKUP($A24,OFFSET([1]characters!$A$1,0,0,COUNTA([1]characters!$A:$A),MATCH(W$1,[1]characters!$1:$1,0)-MATCH($A$1,[1]characters!$1:$1,0)+1),MATCH(W$1,[1]characters!$1:$1,0)-MATCH($A$1,[1]characters!$1:$1,0)+1,FALSE)</f>
        <v>unknown</v>
      </c>
      <c r="X24" s="5" t="str">
        <f ca="1">VLOOKUP(W24,[1]character_tribe_i18n!$A:$H,3,FALSE)</f>
        <v>Unknown</v>
      </c>
      <c r="Y24" s="53" t="str">
        <f ca="1">VLOOKUP($A24,OFFSET([1]characters!$A$1,0,0,COUNTA([1]characters!$A:$A),MATCH(Y$1,[1]characters!$1:$1,0)-MATCH($A$1,[1]characters!$1:$1,0)+1),MATCH(Y$1,[1]characters!$1:$1,0)-MATCH($A$1,[1]characters!$1:$1,0)+1,FALSE)</f>
        <v>none</v>
      </c>
      <c r="Z24" s="5" t="str">
        <f ca="1">VLOOKUP(Y24,[1]character_tribe_i18n!$A:$H,3,FALSE)</f>
        <v>種族なし</v>
      </c>
      <c r="AA24" s="10">
        <f ca="1">VLOOKUP(W24,[1]character_tribe_i18n!$A:$H,4,FALSE)</f>
        <v>1</v>
      </c>
      <c r="AB24" s="10">
        <f ca="1">VLOOKUP(W24,[1]character_tribe_i18n!$A:$H,5,FALSE)</f>
        <v>1</v>
      </c>
      <c r="AC24" s="10">
        <f ca="1">VLOOKUP(W24,[1]character_tribe_i18n!$A:$H,6,FALSE)</f>
        <v>1</v>
      </c>
      <c r="AD24" s="10">
        <f ca="1">VLOOKUP(W24,[1]character_tribe_i18n!$A:$H,7,FALSE)</f>
        <v>1</v>
      </c>
      <c r="AE24" s="187" t="s">
        <v>183</v>
      </c>
      <c r="AF24" s="58" t="str">
        <f ca="1">IF(AE24="NULL","",VLOOKUP($AE24,OFFSET([1]characters!$A$1,0,0,COUNTA([1]characters!$A:$A),MATCH(AF$1,[1]characters!$1:$1,0)-MATCH($A$1,[1]characters!$1:$1,0)+1),MATCH(AF$1,[1]characters!$1:$1,0)-MATCH($A$1,[1]characters!$1:$1,0)+1,FALSE))</f>
        <v/>
      </c>
      <c r="AG24" s="187">
        <v>1718</v>
      </c>
      <c r="AH24" s="58" t="str">
        <f ca="1">VLOOKUP($AG24,OFFSET([1]characters!$A$1,0,0,COUNTA([1]characters!$A:$A),MATCH(AH$1,[1]characters!$1:$1,0)-MATCH($A$1,[1]characters!$1:$1,0)+1),MATCH(AH$1,[1]characters!$1:$1,0)-MATCH($A$1,[1]characters!$1:$1,0)+1,FALSE)</f>
        <v>マリッジリング</v>
      </c>
      <c r="AI24" s="10" t="str">
        <f>IF(AE24="NULL","NULL",VLOOKUP(G24,ビット!$A$2:$B$7,2))</f>
        <v>NULL</v>
      </c>
      <c r="AJ24" s="6">
        <v>2</v>
      </c>
      <c r="AK24" s="7" t="str">
        <f t="shared" ref="AK24" si="41">IF(AJ24=1,"早熟",IF(AJ24=2,"普通",IF(AJ24=3,"晩成","")))</f>
        <v>普通</v>
      </c>
      <c r="AL24" s="10" t="str">
        <f ca="1">INDEX(経験値!$A$1:$I$21,MATCH(H24,経験値!$A$1:$A$21,FALSE),MATCH(G24,経験値!$A$1:$I$1,FALSE))</f>
        <v>NULL</v>
      </c>
      <c r="AM24" s="206">
        <v>15000</v>
      </c>
      <c r="AN24" s="206">
        <v>15000</v>
      </c>
      <c r="AO24" s="41"/>
      <c r="AP24" s="63">
        <v>1719</v>
      </c>
      <c r="AQ24" s="53" t="str">
        <f ca="1">VLOOKUP($AP24,OFFSET(unit_skills!$A$1,0,0,COUNTA(unit_skills!$A:$A),MATCH(AQ$1,unit_skills!$1:$1,0)-MATCH($AP$1,unit_skills!$1:$1,0)+1),MATCH(AQ$1,unit_skills!$1:$1,0)-MATCH($AP$1,unit_skills!$1:$1,0)+1,FALSE)</f>
        <v>覚醒素材</v>
      </c>
      <c r="AR24" s="53" t="str">
        <f ca="1">VLOOKUP($AP24,OFFSET(unit_skills!$A$1,0,0,COUNTA(unit_skills!$A:$A),MATCH(AR$1,unit_skills!$1:$1,0)-MATCH($AP$1,unit_skills!$1:$1,0)+1),MATCH(AR$1,unit_skills!$1:$1,0)-MATCH($AP$1,unit_skills!$1:$1,0)+1,FALSE)</f>
        <v>ユニット覚醒の素材にすると特定ユニットを覚醒することができる</v>
      </c>
      <c r="AS24" s="53">
        <f ca="1">VLOOKUP($AP24,OFFSET(unit_skills!$A$1,0,0,COUNTA(unit_skills!$A:$A),MATCH(AS$1,unit_skills!$1:$1,0)-MATCH($AP$1,unit_skills!$1:$1,0)+1),MATCH(AS$1,unit_skills!$1:$1,0)-MATCH($AP$1,unit_skills!$1:$1,0)+1,FALSE)</f>
        <v>0</v>
      </c>
      <c r="AT24" s="63">
        <v>1719</v>
      </c>
      <c r="AU24" s="53" t="str">
        <f ca="1">VLOOKUP($AT24,OFFSET(crash_skills!$A$1,0,0,COUNTA(crash_skills!$A:$A),MATCH(AU$1,crash_skills!$1:$1,0)-MATCH($AT$1,crash_skills!$1:$1,0)+1),MATCH(AU$1,crash_skills!$1:$1,0)-MATCH($AT$1,crash_skills!$1:$1,0)+1,FALSE)</f>
        <v>なし</v>
      </c>
      <c r="AV24" s="53" t="str">
        <f ca="1">VLOOKUP($AT24,OFFSET(crash_skills!$A$1,0,0,COUNTA(crash_skills!$A:$A),MATCH(AV$1,crash_skills!$1:$1,0)-MATCH($AT$1,crash_skills!$1:$1,0)+1),MATCH(AV$1,crash_skills!$1:$1,0)-MATCH($AT$1,crash_skills!$1:$1,0)+1,FALSE)</f>
        <v>なし</v>
      </c>
      <c r="AW24" s="53">
        <f ca="1">VLOOKUP($AT24,OFFSET(crash_skills!$A$1,0,0,COUNTA(crash_skills!$A:$A),MATCH(AW$1,crash_skills!$1:$1,0)-MATCH($AT$1,crash_skills!$1:$1,0)+1),MATCH(AW$1,crash_skills!$1:$1,0)-MATCH($AT$1,crash_skills!$1:$1,0)+1,FALSE)</f>
        <v>0</v>
      </c>
      <c r="AX24" s="54">
        <f ca="1">VLOOKUP($A24,OFFSET([1]characters!$A$1,0,0,COUNTA([1]characters!$A:$A),MATCH(AX$1,[1]characters!$1:$1,0)-MATCH($A$1,[1]characters!$1:$1,0)+1),MATCH(AX$1,[1]characters!$1:$1,0)-MATCH($A$1,[1]characters!$1:$1,0)+1,FALSE)</f>
        <v>3</v>
      </c>
      <c r="AY24" s="64">
        <v>1</v>
      </c>
      <c r="AZ24" s="64">
        <v>1</v>
      </c>
      <c r="BA24" s="64">
        <v>0</v>
      </c>
      <c r="BB24" s="64">
        <v>1</v>
      </c>
      <c r="BC24" s="10">
        <f ca="1">INDEX('RC6SV'!$A$1:$G$21,MATCH(H24,'RC6SV'!$A$1:$A$21,FALSE),MATCH(G24,'RC6SV'!$A$1:$G$1,FALSE))</f>
        <v>1000</v>
      </c>
      <c r="BD24" s="44">
        <f t="shared" ref="BD24" ca="1" si="42">ROUND(BC24*IF(AJ24=1,0.95,IF(AJ24=2,1,IF(AJ24,1.05,0))),0)</f>
        <v>1000</v>
      </c>
      <c r="BE24" s="10">
        <f t="shared" ca="1" si="3"/>
        <v>1000</v>
      </c>
      <c r="BF24" s="10">
        <f t="shared" ca="1" si="4"/>
        <v>1</v>
      </c>
      <c r="BG24" s="205">
        <v>1</v>
      </c>
      <c r="BH24" s="205">
        <v>1</v>
      </c>
      <c r="BI24" s="15">
        <f ca="1">IF($BE24&lt;=0,ROUND(BM24*0.5,0), ROUND($BE24*U24*AC24*L24*BA24*0.8*[1]ステータス!$D$2,0))</f>
        <v>0</v>
      </c>
      <c r="BJ24" s="205">
        <v>1</v>
      </c>
      <c r="BK24" s="191">
        <v>1</v>
      </c>
      <c r="BL24" s="191">
        <v>1</v>
      </c>
      <c r="BM24" s="10">
        <f ca="1">ROUND(BD24*U24*AC24*L24*BA24*[1]ステータス!$D$2,0)</f>
        <v>0</v>
      </c>
      <c r="BN24" s="191">
        <v>1</v>
      </c>
      <c r="BO24" s="9">
        <v>0</v>
      </c>
      <c r="BP24" s="9">
        <v>1</v>
      </c>
      <c r="BQ24" s="9" t="s">
        <v>47</v>
      </c>
      <c r="BR24" s="9">
        <f ca="1">VLOOKUP(H24,[2]ghosts_label!$A$2:$B$19,2,FALSE)</f>
        <v>0</v>
      </c>
    </row>
  </sheetData>
  <autoFilter ref="A1:BQ1"/>
  <phoneticPr fontId="10"/>
  <conditionalFormatting sqref="BO1">
    <cfRule type="cellIs" dxfId="93" priority="120" stopIfTrue="1" operator="equal">
      <formula>1</formula>
    </cfRule>
  </conditionalFormatting>
  <conditionalFormatting sqref="BQ1">
    <cfRule type="cellIs" dxfId="92"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24"/>
  <sheetViews>
    <sheetView showGridLines="0" zoomScale="115" workbookViewId="0">
      <pane xSplit="4" ySplit="1" topLeftCell="I2" activePane="bottomRight" state="frozen"/>
      <selection pane="topRight" activeCell="D1" sqref="D1"/>
      <selection pane="bottomLeft" activeCell="A2" sqref="A2"/>
      <selection pane="bottomRight" activeCell="D12" sqref="D12"/>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1697</v>
      </c>
      <c r="B2" s="129" t="s">
        <v>186</v>
      </c>
      <c r="C2" s="188" t="s">
        <v>390</v>
      </c>
      <c r="D2" s="188" t="s">
        <v>373</v>
      </c>
      <c r="E2" s="131">
        <f t="shared" ref="E2:E24" si="0">LEN(D2)</f>
        <v>64</v>
      </c>
      <c r="F2" s="63">
        <v>14</v>
      </c>
      <c r="G2" s="113">
        <v>7</v>
      </c>
      <c r="H2" s="132">
        <f>2001</f>
        <v>2001</v>
      </c>
      <c r="I2" s="189" t="s">
        <v>372</v>
      </c>
      <c r="J2" s="53" t="str">
        <f ca="1">VLOOKUP($A2,OFFSET([1]characters!$A$1,0,0,COUNTA([1]characters!$A:$A),MATCH("name",[1]characters!$1:$1,0)-MATCH("character_id",[1]characters!$1:$1,0)+1),MATCH("name",[1]characters!$1:$1,0)-MATCH("character_id",[1]characters!$1:$1,0)+1,FALSE)</f>
        <v>駆動する機会 ガーネット</v>
      </c>
      <c r="K2" s="133">
        <f>IFERROR(VLOOKUP(A2,[1]characters!$A:$R,18),0)</f>
        <v>3</v>
      </c>
      <c r="L2" s="134"/>
      <c r="M2" s="135"/>
      <c r="N2" s="135"/>
      <c r="O2" s="135"/>
      <c r="P2" s="135"/>
      <c r="Q2" s="135"/>
      <c r="R2" s="130"/>
      <c r="S2" s="136"/>
    </row>
    <row r="3" spans="1:19" ht="21" customHeight="1" x14ac:dyDescent="0.15">
      <c r="A3" s="186">
        <v>1698</v>
      </c>
      <c r="B3" s="129" t="s">
        <v>186</v>
      </c>
      <c r="C3" s="188" t="s">
        <v>390</v>
      </c>
      <c r="D3" s="188" t="s">
        <v>373</v>
      </c>
      <c r="E3" s="131">
        <f t="shared" si="0"/>
        <v>64</v>
      </c>
      <c r="F3" s="63">
        <v>14</v>
      </c>
      <c r="G3" s="113">
        <v>7</v>
      </c>
      <c r="H3" s="132">
        <f>2001</f>
        <v>2001</v>
      </c>
      <c r="I3" s="189" t="s">
        <v>372</v>
      </c>
      <c r="J3" s="53" t="str">
        <f ca="1">VLOOKUP($A3,OFFSET([1]characters!$A$1,0,0,COUNTA([1]characters!$A:$A),MATCH("name",[1]characters!$1:$1,0)-MATCH("character_id",[1]characters!$1:$1,0)+1),MATCH("name",[1]characters!$1:$1,0)-MATCH("character_id",[1]characters!$1:$1,0)+1,FALSE)</f>
        <v>炎断の華嫁 ガーネット</v>
      </c>
      <c r="K3" s="133">
        <f>IFERROR(VLOOKUP(A3,[1]characters!$A:$R,18),0)</f>
        <v>3</v>
      </c>
      <c r="L3" s="134"/>
      <c r="M3" s="135"/>
      <c r="N3" s="135"/>
      <c r="O3" s="135"/>
      <c r="P3" s="135"/>
      <c r="Q3" s="135"/>
      <c r="R3" s="130"/>
      <c r="S3" s="136"/>
    </row>
    <row r="4" spans="1:19" ht="21" customHeight="1" x14ac:dyDescent="0.15">
      <c r="A4" s="186">
        <v>1699</v>
      </c>
      <c r="B4" s="129" t="s">
        <v>186</v>
      </c>
      <c r="C4" s="188" t="s">
        <v>391</v>
      </c>
      <c r="D4" s="188" t="s">
        <v>370</v>
      </c>
      <c r="E4" s="131">
        <f t="shared" si="0"/>
        <v>57</v>
      </c>
      <c r="F4" s="63">
        <v>13</v>
      </c>
      <c r="G4" s="113">
        <v>7</v>
      </c>
      <c r="H4" s="132">
        <f>2001</f>
        <v>2001</v>
      </c>
      <c r="I4" s="189" t="s">
        <v>353</v>
      </c>
      <c r="J4" s="53" t="str">
        <f ca="1">VLOOKUP($A4,OFFSET([1]characters!$A$1,0,0,COUNTA([1]characters!$A:$A),MATCH("name",[1]characters!$1:$1,0)-MATCH("character_id",[1]characters!$1:$1,0)+1),MATCH("name",[1]characters!$1:$1,0)-MATCH("character_id",[1]characters!$1:$1,0)+1,FALSE)</f>
        <v>崇高祝言 アマテラス</v>
      </c>
      <c r="K4" s="133">
        <f>IFERROR(VLOOKUP(A4,[1]characters!$A:$R,18),0)</f>
        <v>3</v>
      </c>
      <c r="L4" s="134"/>
      <c r="M4" s="135"/>
      <c r="N4" s="135"/>
      <c r="O4" s="135"/>
      <c r="P4" s="135"/>
      <c r="Q4" s="135"/>
      <c r="R4" s="130"/>
      <c r="S4" s="136"/>
    </row>
    <row r="5" spans="1:19" ht="21" customHeight="1" x14ac:dyDescent="0.15">
      <c r="A5" s="186">
        <v>1700</v>
      </c>
      <c r="B5" s="129" t="s">
        <v>186</v>
      </c>
      <c r="C5" s="188" t="s">
        <v>391</v>
      </c>
      <c r="D5" s="188" t="s">
        <v>370</v>
      </c>
      <c r="E5" s="131">
        <f t="shared" si="0"/>
        <v>57</v>
      </c>
      <c r="F5" s="63">
        <v>13</v>
      </c>
      <c r="G5" s="113">
        <v>7</v>
      </c>
      <c r="H5" s="132">
        <f>2001</f>
        <v>2001</v>
      </c>
      <c r="I5" s="189" t="s">
        <v>353</v>
      </c>
      <c r="J5" s="53" t="str">
        <f ca="1">VLOOKUP($A5,OFFSET([1]characters!$A$1,0,0,COUNTA([1]characters!$A:$A),MATCH("name",[1]characters!$1:$1,0)-MATCH("character_id",[1]characters!$1:$1,0)+1),MATCH("name",[1]characters!$1:$1,0)-MATCH("character_id",[1]characters!$1:$1,0)+1,FALSE)</f>
        <v>大慶総氏神 アマテラス</v>
      </c>
      <c r="K5" s="133">
        <f>IFERROR(VLOOKUP(A5,[1]characters!$A:$R,18),0)</f>
        <v>3</v>
      </c>
      <c r="L5" s="134"/>
      <c r="M5" s="135"/>
      <c r="N5" s="135"/>
      <c r="O5" s="135"/>
      <c r="P5" s="135"/>
      <c r="Q5" s="135"/>
      <c r="R5" s="130"/>
      <c r="S5" s="136"/>
    </row>
    <row r="6" spans="1:19" ht="21" customHeight="1" x14ac:dyDescent="0.15">
      <c r="A6" s="186">
        <v>1701</v>
      </c>
      <c r="B6" s="129" t="s">
        <v>186</v>
      </c>
      <c r="C6" s="188" t="s">
        <v>392</v>
      </c>
      <c r="D6" s="188" t="s">
        <v>386</v>
      </c>
      <c r="E6" s="131">
        <f t="shared" si="0"/>
        <v>65</v>
      </c>
      <c r="F6" s="63">
        <v>12</v>
      </c>
      <c r="G6" s="113">
        <v>5</v>
      </c>
      <c r="H6" s="132">
        <f>2001</f>
        <v>2001</v>
      </c>
      <c r="I6" s="189" t="s">
        <v>387</v>
      </c>
      <c r="J6" s="53" t="str">
        <f ca="1">VLOOKUP($A6,OFFSET([1]characters!$A$1,0,0,COUNTA([1]characters!$A:$A),MATCH("name",[1]characters!$1:$1,0)-MATCH("character_id",[1]characters!$1:$1,0)+1),MATCH("name",[1]characters!$1:$1,0)-MATCH("character_id",[1]characters!$1:$1,0)+1,FALSE)</f>
        <v>蒼嵐の婚戦 フォルトゥナ</v>
      </c>
      <c r="K6" s="133">
        <f>IFERROR(VLOOKUP(A6,[1]characters!$A:$R,18),0)</f>
        <v>3</v>
      </c>
      <c r="L6" s="134"/>
      <c r="M6" s="135"/>
      <c r="N6" s="135"/>
      <c r="O6" s="135"/>
      <c r="P6" s="135"/>
      <c r="Q6" s="135"/>
      <c r="R6" s="130"/>
      <c r="S6" s="136"/>
    </row>
    <row r="7" spans="1:19" ht="21" customHeight="1" x14ac:dyDescent="0.15">
      <c r="A7" s="186">
        <v>1702</v>
      </c>
      <c r="B7" s="129" t="s">
        <v>186</v>
      </c>
      <c r="C7" s="188" t="s">
        <v>392</v>
      </c>
      <c r="D7" s="188" t="s">
        <v>386</v>
      </c>
      <c r="E7" s="131">
        <f t="shared" si="0"/>
        <v>65</v>
      </c>
      <c r="F7" s="63">
        <v>12</v>
      </c>
      <c r="G7" s="113">
        <v>5</v>
      </c>
      <c r="H7" s="132">
        <f>2001</f>
        <v>2001</v>
      </c>
      <c r="I7" s="189" t="s">
        <v>387</v>
      </c>
      <c r="J7" s="53" t="str">
        <f ca="1">VLOOKUP($A7,OFFSET([1]characters!$A$1,0,0,COUNTA([1]characters!$A:$A),MATCH("name",[1]characters!$1:$1,0)-MATCH("character_id",[1]characters!$1:$1,0)+1),MATCH("name",[1]characters!$1:$1,0)-MATCH("character_id",[1]characters!$1:$1,0)+1,FALSE)</f>
        <v>求愛の夢想剣 フォルトゥナ</v>
      </c>
      <c r="K7" s="133">
        <f>IFERROR(VLOOKUP(A7,[1]characters!$A:$R,18),0)</f>
        <v>3</v>
      </c>
      <c r="L7" s="134"/>
      <c r="M7" s="135"/>
      <c r="N7" s="135"/>
      <c r="O7" s="135"/>
      <c r="P7" s="135"/>
      <c r="Q7" s="135"/>
      <c r="R7" s="130"/>
      <c r="S7" s="136"/>
    </row>
    <row r="8" spans="1:19" ht="21" customHeight="1" x14ac:dyDescent="0.15">
      <c r="A8" s="186">
        <v>1703</v>
      </c>
      <c r="B8" s="129" t="s">
        <v>186</v>
      </c>
      <c r="C8" s="188" t="s">
        <v>393</v>
      </c>
      <c r="D8" s="209" t="s">
        <v>482</v>
      </c>
      <c r="E8" s="131">
        <f t="shared" si="0"/>
        <v>64</v>
      </c>
      <c r="F8" s="63">
        <v>11</v>
      </c>
      <c r="G8" s="113">
        <v>5</v>
      </c>
      <c r="H8" s="132">
        <f>2001</f>
        <v>2001</v>
      </c>
      <c r="I8" s="210" t="s">
        <v>485</v>
      </c>
      <c r="J8" s="53" t="str">
        <f ca="1">VLOOKUP($A8,OFFSET([1]characters!$A$1,0,0,COUNTA([1]characters!$A:$A),MATCH("name",[1]characters!$1:$1,0)-MATCH("character_id",[1]characters!$1:$1,0)+1),MATCH("name",[1]characters!$1:$1,0)-MATCH("character_id",[1]characters!$1:$1,0)+1,FALSE)</f>
        <v>可恋なる花乙女 リリィ</v>
      </c>
      <c r="K8" s="133">
        <f>IFERROR(VLOOKUP(A8,[1]characters!$A:$R,18),0)</f>
        <v>3</v>
      </c>
      <c r="L8" s="134"/>
      <c r="M8" s="135"/>
      <c r="N8" s="135"/>
      <c r="O8" s="135"/>
      <c r="P8" s="135"/>
      <c r="Q8" s="135"/>
      <c r="R8" s="130"/>
      <c r="S8" s="136"/>
    </row>
    <row r="9" spans="1:19" ht="21" customHeight="1" x14ac:dyDescent="0.15">
      <c r="A9" s="186">
        <v>1704</v>
      </c>
      <c r="B9" s="129" t="s">
        <v>186</v>
      </c>
      <c r="C9" s="188" t="s">
        <v>393</v>
      </c>
      <c r="D9" s="209" t="s">
        <v>482</v>
      </c>
      <c r="E9" s="131">
        <f t="shared" si="0"/>
        <v>64</v>
      </c>
      <c r="F9" s="63">
        <v>11</v>
      </c>
      <c r="G9" s="113">
        <v>5</v>
      </c>
      <c r="H9" s="132">
        <f>2001</f>
        <v>2001</v>
      </c>
      <c r="I9" s="210" t="s">
        <v>485</v>
      </c>
      <c r="J9" s="53" t="str">
        <f ca="1">VLOOKUP($A9,OFFSET([1]characters!$A$1,0,0,COUNTA([1]characters!$A:$A),MATCH("name",[1]characters!$1:$1,0)-MATCH("character_id",[1]characters!$1:$1,0)+1),MATCH("name",[1]characters!$1:$1,0)-MATCH("character_id",[1]characters!$1:$1,0)+1,FALSE)</f>
        <v>恋焦がす夢乙女 リリィ</v>
      </c>
      <c r="K9" s="133">
        <f>IFERROR(VLOOKUP(A9,[1]characters!$A:$R,18),0)</f>
        <v>3</v>
      </c>
      <c r="L9" s="134"/>
      <c r="M9" s="135"/>
      <c r="N9" s="135"/>
      <c r="O9" s="135"/>
      <c r="P9" s="135"/>
      <c r="Q9" s="135"/>
      <c r="R9" s="130"/>
      <c r="S9" s="136"/>
    </row>
    <row r="10" spans="1:19" ht="21" customHeight="1" x14ac:dyDescent="0.15">
      <c r="A10" s="186">
        <v>1705</v>
      </c>
      <c r="B10" s="129" t="s">
        <v>186</v>
      </c>
      <c r="C10" s="188" t="s">
        <v>396</v>
      </c>
      <c r="D10" s="188" t="s">
        <v>383</v>
      </c>
      <c r="E10" s="131">
        <f t="shared" si="0"/>
        <v>61</v>
      </c>
      <c r="F10" s="63">
        <v>10</v>
      </c>
      <c r="G10" s="113">
        <v>5</v>
      </c>
      <c r="H10" s="132">
        <f>2001</f>
        <v>2001</v>
      </c>
      <c r="I10" s="189" t="s">
        <v>375</v>
      </c>
      <c r="J10" s="53" t="str">
        <f ca="1">VLOOKUP($A10,OFFSET([1]characters!$A$1,0,0,COUNTA([1]characters!$A:$A),MATCH("name",[1]characters!$1:$1,0)-MATCH("character_id",[1]characters!$1:$1,0)+1),MATCH("name",[1]characters!$1:$1,0)-MATCH("character_id",[1]characters!$1:$1,0)+1,FALSE)</f>
        <v>純白の新婦軍 白雪姫</v>
      </c>
      <c r="K10" s="133">
        <f>IFERROR(VLOOKUP(A10,[1]characters!$A:$R,18),0)</f>
        <v>3</v>
      </c>
      <c r="L10" s="134"/>
      <c r="M10" s="135"/>
      <c r="N10" s="135"/>
      <c r="O10" s="135"/>
      <c r="P10" s="135"/>
      <c r="Q10" s="135"/>
      <c r="R10" s="130"/>
      <c r="S10" s="136"/>
    </row>
    <row r="11" spans="1:19" ht="21" customHeight="1" x14ac:dyDescent="0.15">
      <c r="A11" s="186">
        <v>1706</v>
      </c>
      <c r="B11" s="129" t="s">
        <v>186</v>
      </c>
      <c r="C11" s="188" t="s">
        <v>396</v>
      </c>
      <c r="D11" s="188" t="s">
        <v>383</v>
      </c>
      <c r="E11" s="131">
        <f t="shared" si="0"/>
        <v>61</v>
      </c>
      <c r="F11" s="63">
        <v>10</v>
      </c>
      <c r="G11" s="113">
        <v>5</v>
      </c>
      <c r="H11" s="132">
        <f>2001</f>
        <v>2001</v>
      </c>
      <c r="I11" s="189" t="s">
        <v>375</v>
      </c>
      <c r="J11" s="53" t="str">
        <f ca="1">VLOOKUP($A11,OFFSET([1]characters!$A$1,0,0,COUNTA([1]characters!$A:$A),MATCH("name",[1]characters!$1:$1,0)-MATCH("character_id",[1]characters!$1:$1,0)+1),MATCH("name",[1]characters!$1:$1,0)-MATCH("character_id",[1]characters!$1:$1,0)+1,FALSE)</f>
        <v>幸福なる大祝砲 白雪姫</v>
      </c>
      <c r="K11" s="133">
        <f>IFERROR(VLOOKUP(A11,[1]characters!$A:$R,18),0)</f>
        <v>3</v>
      </c>
      <c r="L11" s="134"/>
      <c r="M11" s="135"/>
      <c r="N11" s="135"/>
      <c r="O11" s="135"/>
      <c r="P11" s="135"/>
      <c r="Q11" s="135"/>
      <c r="R11" s="130"/>
      <c r="S11" s="136"/>
    </row>
    <row r="12" spans="1:19" ht="21" customHeight="1" x14ac:dyDescent="0.15">
      <c r="A12" s="186">
        <v>1707</v>
      </c>
      <c r="B12" s="129" t="s">
        <v>186</v>
      </c>
      <c r="C12" s="188" t="s">
        <v>394</v>
      </c>
      <c r="D12" s="188" t="s">
        <v>377</v>
      </c>
      <c r="E12" s="131">
        <f t="shared" si="0"/>
        <v>41</v>
      </c>
      <c r="F12" s="63">
        <v>11</v>
      </c>
      <c r="G12" s="113">
        <v>5</v>
      </c>
      <c r="H12" s="132">
        <f>2001</f>
        <v>2001</v>
      </c>
      <c r="I12" s="189" t="s">
        <v>367</v>
      </c>
      <c r="J12" s="53" t="str">
        <f ca="1">VLOOKUP($A12,OFFSET([1]characters!$A$1,0,0,COUNTA([1]characters!$A:$A),MATCH("name",[1]characters!$1:$1,0)-MATCH("character_id",[1]characters!$1:$1,0)+1),MATCH("name",[1]characters!$1:$1,0)-MATCH("character_id",[1]characters!$1:$1,0)+1,FALSE)</f>
        <v>親愛なる猫嫁神 バステト</v>
      </c>
      <c r="K12" s="133">
        <f>IFERROR(VLOOKUP(A12,[1]characters!$A:$R,18),0)</f>
        <v>3</v>
      </c>
      <c r="L12" s="134"/>
      <c r="M12" s="135"/>
      <c r="N12" s="135"/>
      <c r="O12" s="135"/>
      <c r="P12" s="135"/>
      <c r="Q12" s="135"/>
      <c r="R12" s="130"/>
      <c r="S12" s="136"/>
    </row>
    <row r="13" spans="1:19" ht="21" customHeight="1" x14ac:dyDescent="0.15">
      <c r="A13" s="186">
        <v>1708</v>
      </c>
      <c r="B13" s="129" t="s">
        <v>186</v>
      </c>
      <c r="C13" s="188" t="s">
        <v>394</v>
      </c>
      <c r="D13" s="188" t="s">
        <v>377</v>
      </c>
      <c r="E13" s="131">
        <f t="shared" si="0"/>
        <v>41</v>
      </c>
      <c r="F13" s="63">
        <v>11</v>
      </c>
      <c r="G13" s="113">
        <v>5</v>
      </c>
      <c r="H13" s="132">
        <f>2001</f>
        <v>2001</v>
      </c>
      <c r="I13" s="189" t="s">
        <v>367</v>
      </c>
      <c r="J13" s="53" t="str">
        <f ca="1">VLOOKUP($A13,OFFSET([1]characters!$A$1,0,0,COUNTA([1]characters!$A:$A),MATCH("name",[1]characters!$1:$1,0)-MATCH("character_id",[1]characters!$1:$1,0)+1),MATCH("name",[1]characters!$1:$1,0)-MATCH("character_id",[1]characters!$1:$1,0)+1,FALSE)</f>
        <v>御聖婚の幸猫神 バステト</v>
      </c>
      <c r="K13" s="133">
        <f>IFERROR(VLOOKUP(A13,[1]characters!$A:$R,18),0)</f>
        <v>3</v>
      </c>
      <c r="L13" s="134"/>
      <c r="M13" s="135"/>
      <c r="N13" s="135"/>
      <c r="O13" s="135"/>
      <c r="P13" s="135"/>
      <c r="Q13" s="135"/>
      <c r="R13" s="130"/>
      <c r="S13" s="136"/>
    </row>
    <row r="14" spans="1:19" ht="21" customHeight="1" x14ac:dyDescent="0.15">
      <c r="A14" s="186">
        <v>1709</v>
      </c>
      <c r="B14" s="129" t="s">
        <v>186</v>
      </c>
      <c r="C14" s="188" t="s">
        <v>395</v>
      </c>
      <c r="D14" s="209" t="s">
        <v>483</v>
      </c>
      <c r="E14" s="131">
        <f t="shared" si="0"/>
        <v>64</v>
      </c>
      <c r="F14" s="63">
        <v>11</v>
      </c>
      <c r="G14" s="113">
        <v>5</v>
      </c>
      <c r="H14" s="132">
        <f>2001</f>
        <v>2001</v>
      </c>
      <c r="I14" s="210" t="s">
        <v>484</v>
      </c>
      <c r="J14" s="53" t="str">
        <f ca="1">VLOOKUP($A14,OFFSET([1]characters!$A$1,0,0,COUNTA([1]characters!$A:$A),MATCH("name",[1]characters!$1:$1,0)-MATCH("character_id",[1]characters!$1:$1,0)+1),MATCH("name",[1]characters!$1:$1,0)-MATCH("character_id",[1]characters!$1:$1,0)+1,FALSE)</f>
        <v>情花降る神婦 イズン</v>
      </c>
      <c r="K14" s="133">
        <f>IFERROR(VLOOKUP(A14,[1]characters!$A:$R,18),0)</f>
        <v>3</v>
      </c>
      <c r="L14" s="134"/>
      <c r="M14" s="135"/>
      <c r="N14" s="135"/>
      <c r="O14" s="135"/>
      <c r="P14" s="135"/>
      <c r="Q14" s="135"/>
      <c r="R14" s="130"/>
      <c r="S14" s="136"/>
    </row>
    <row r="15" spans="1:19" ht="21" customHeight="1" x14ac:dyDescent="0.15">
      <c r="A15" s="186">
        <v>1710</v>
      </c>
      <c r="B15" s="129" t="s">
        <v>186</v>
      </c>
      <c r="C15" s="188" t="s">
        <v>395</v>
      </c>
      <c r="D15" s="209" t="s">
        <v>483</v>
      </c>
      <c r="E15" s="131">
        <f t="shared" si="0"/>
        <v>64</v>
      </c>
      <c r="F15" s="63">
        <v>11</v>
      </c>
      <c r="G15" s="113">
        <v>5</v>
      </c>
      <c r="H15" s="132">
        <f>2001</f>
        <v>2001</v>
      </c>
      <c r="I15" s="210" t="s">
        <v>484</v>
      </c>
      <c r="J15" s="53" t="str">
        <f ca="1">VLOOKUP($A15,OFFSET([1]characters!$A$1,0,0,COUNTA([1]characters!$A:$A),MATCH("name",[1]characters!$1:$1,0)-MATCH("character_id",[1]characters!$1:$1,0)+1),MATCH("name",[1]characters!$1:$1,0)-MATCH("character_id",[1]characters!$1:$1,0)+1,FALSE)</f>
        <v>慎愛なる女神の契 イズン</v>
      </c>
      <c r="K15" s="133">
        <f>IFERROR(VLOOKUP(A15,[1]characters!$A:$R,18),0)</f>
        <v>3</v>
      </c>
      <c r="L15" s="134"/>
      <c r="M15" s="135"/>
      <c r="N15" s="135"/>
      <c r="O15" s="135"/>
      <c r="P15" s="135"/>
      <c r="Q15" s="135"/>
      <c r="R15" s="130"/>
      <c r="S15" s="136"/>
    </row>
    <row r="16" spans="1:19" ht="21" customHeight="1" x14ac:dyDescent="0.15">
      <c r="A16" s="186">
        <v>1711</v>
      </c>
      <c r="B16" s="129" t="s">
        <v>186</v>
      </c>
      <c r="C16" s="188" t="s">
        <v>397</v>
      </c>
      <c r="D16" s="188" t="s">
        <v>380</v>
      </c>
      <c r="E16" s="131">
        <f t="shared" si="0"/>
        <v>57</v>
      </c>
      <c r="F16" s="63">
        <v>12</v>
      </c>
      <c r="G16" s="113">
        <v>5</v>
      </c>
      <c r="H16" s="132">
        <f>2001</f>
        <v>2001</v>
      </c>
      <c r="I16" s="189" t="s">
        <v>364</v>
      </c>
      <c r="J16" s="53" t="str">
        <f ca="1">VLOOKUP($A16,OFFSET([1]characters!$A$1,0,0,COUNTA([1]characters!$A:$A),MATCH("name",[1]characters!$1:$1,0)-MATCH("character_id",[1]characters!$1:$1,0)+1),MATCH("name",[1]characters!$1:$1,0)-MATCH("character_id",[1]characters!$1:$1,0)+1,FALSE)</f>
        <v>誓愛求婚の新郎 諸葛亮</v>
      </c>
      <c r="K16" s="133">
        <f>IFERROR(VLOOKUP(A16,[1]characters!$A:$R,18),0)</f>
        <v>3</v>
      </c>
      <c r="L16" s="134"/>
      <c r="M16" s="135"/>
      <c r="N16" s="135"/>
      <c r="O16" s="135"/>
      <c r="P16" s="135"/>
      <c r="Q16" s="135"/>
      <c r="R16" s="130"/>
      <c r="S16" s="136"/>
    </row>
    <row r="17" spans="1:19" ht="21" customHeight="1" x14ac:dyDescent="0.15">
      <c r="A17" s="186">
        <v>1712</v>
      </c>
      <c r="B17" s="129" t="s">
        <v>186</v>
      </c>
      <c r="C17" s="188" t="s">
        <v>397</v>
      </c>
      <c r="D17" s="188" t="s">
        <v>380</v>
      </c>
      <c r="E17" s="131">
        <f t="shared" si="0"/>
        <v>57</v>
      </c>
      <c r="F17" s="63">
        <v>12</v>
      </c>
      <c r="G17" s="113">
        <v>5</v>
      </c>
      <c r="H17" s="132">
        <f>2001</f>
        <v>2001</v>
      </c>
      <c r="I17" s="189" t="s">
        <v>364</v>
      </c>
      <c r="J17" s="53" t="str">
        <f ca="1">VLOOKUP($A17,OFFSET([1]characters!$A$1,0,0,COUNTA([1]characters!$A:$A),MATCH("name",[1]characters!$1:$1,0)-MATCH("character_id",[1]characters!$1:$1,0)+1),MATCH("name",[1]characters!$1:$1,0)-MATCH("character_id",[1]characters!$1:$1,0)+1,FALSE)</f>
        <v>一蓮托生の双環 諸葛亮</v>
      </c>
      <c r="K17" s="133">
        <f>IFERROR(VLOOKUP(A17,[1]characters!$A:$R,18),0)</f>
        <v>3</v>
      </c>
      <c r="L17" s="134"/>
      <c r="M17" s="135"/>
      <c r="N17" s="135"/>
      <c r="O17" s="135"/>
      <c r="P17" s="135"/>
      <c r="Q17" s="135"/>
      <c r="R17" s="130"/>
      <c r="S17" s="136"/>
    </row>
    <row r="18" spans="1:19" ht="21" customHeight="1" x14ac:dyDescent="0.15">
      <c r="A18" s="186">
        <v>1713</v>
      </c>
      <c r="B18" s="129" t="s">
        <v>186</v>
      </c>
      <c r="C18" s="188" t="s">
        <v>398</v>
      </c>
      <c r="D18" s="188" t="s">
        <v>378</v>
      </c>
      <c r="E18" s="131">
        <f t="shared" si="0"/>
        <v>62</v>
      </c>
      <c r="F18" s="63">
        <v>10</v>
      </c>
      <c r="G18" s="113">
        <v>5</v>
      </c>
      <c r="H18" s="132">
        <f>2001</f>
        <v>2001</v>
      </c>
      <c r="I18" s="189" t="s">
        <v>480</v>
      </c>
      <c r="J18" s="53" t="str">
        <f ca="1">VLOOKUP($A18,OFFSET([1]characters!$A$1,0,0,COUNTA([1]characters!$A:$A),MATCH("name",[1]characters!$1:$1,0)-MATCH("character_id",[1]characters!$1:$1,0)+1),MATCH("name",[1]characters!$1:$1,0)-MATCH("character_id",[1]characters!$1:$1,0)+1,FALSE)</f>
        <v>誓約の挙剣 ジークフリート</v>
      </c>
      <c r="K18" s="133">
        <f>IFERROR(VLOOKUP(A18,[1]characters!$A:$R,18),0)</f>
        <v>3</v>
      </c>
      <c r="L18" s="134"/>
      <c r="M18" s="135"/>
      <c r="N18" s="135"/>
      <c r="O18" s="135"/>
      <c r="P18" s="135"/>
      <c r="Q18" s="135"/>
      <c r="R18" s="130"/>
      <c r="S18" s="136"/>
    </row>
    <row r="19" spans="1:19" ht="21" customHeight="1" x14ac:dyDescent="0.15">
      <c r="A19" s="186">
        <v>1714</v>
      </c>
      <c r="B19" s="129" t="s">
        <v>186</v>
      </c>
      <c r="C19" s="188" t="s">
        <v>398</v>
      </c>
      <c r="D19" s="188" t="s">
        <v>378</v>
      </c>
      <c r="E19" s="131">
        <f t="shared" si="0"/>
        <v>62</v>
      </c>
      <c r="F19" s="63">
        <v>10</v>
      </c>
      <c r="G19" s="113">
        <v>5</v>
      </c>
      <c r="H19" s="132">
        <f>2001</f>
        <v>2001</v>
      </c>
      <c r="I19" s="189" t="s">
        <v>480</v>
      </c>
      <c r="J19" s="53" t="str">
        <f ca="1">VLOOKUP($A19,OFFSET([1]characters!$A$1,0,0,COUNTA([1]characters!$A:$A),MATCH("name",[1]characters!$1:$1,0)-MATCH("character_id",[1]characters!$1:$1,0)+1),MATCH("name",[1]characters!$1:$1,0)-MATCH("character_id",[1]characters!$1:$1,0)+1,FALSE)</f>
        <v>仁愛の祝賀剣 ジークフリート</v>
      </c>
      <c r="K19" s="133">
        <f>IFERROR(VLOOKUP(A19,[1]characters!$A:$R,18),0)</f>
        <v>3</v>
      </c>
      <c r="L19" s="134"/>
      <c r="M19" s="135"/>
      <c r="N19" s="135"/>
      <c r="O19" s="135"/>
      <c r="P19" s="135"/>
      <c r="Q19" s="135"/>
      <c r="R19" s="130"/>
      <c r="S19" s="136"/>
    </row>
    <row r="20" spans="1:19" ht="21" customHeight="1" x14ac:dyDescent="0.15">
      <c r="A20" s="186">
        <v>1715</v>
      </c>
      <c r="B20" s="129" t="s">
        <v>186</v>
      </c>
      <c r="C20" s="188" t="s">
        <v>399</v>
      </c>
      <c r="D20" s="188" t="s">
        <v>381</v>
      </c>
      <c r="E20" s="131">
        <f t="shared" si="0"/>
        <v>58</v>
      </c>
      <c r="F20" s="63">
        <v>11</v>
      </c>
      <c r="G20" s="113">
        <v>5</v>
      </c>
      <c r="H20" s="132">
        <f>2001</f>
        <v>2001</v>
      </c>
      <c r="I20" s="189" t="s">
        <v>365</v>
      </c>
      <c r="J20" s="53" t="str">
        <f ca="1">VLOOKUP($A20,OFFSET([1]characters!$A$1,0,0,COUNTA([1]characters!$A:$A),MATCH("name",[1]characters!$1:$1,0)-MATCH("character_id",[1]characters!$1:$1,0)+1),MATCH("name",[1]characters!$1:$1,0)-MATCH("character_id",[1]characters!$1:$1,0)+1,FALSE)</f>
        <v>森歓の祝宴 アマラ</v>
      </c>
      <c r="K20" s="133">
        <f>IFERROR(VLOOKUP(A20,[1]characters!$A:$R,18),0)</f>
        <v>3</v>
      </c>
      <c r="L20" s="134"/>
      <c r="M20" s="135"/>
      <c r="N20" s="135"/>
      <c r="O20" s="135"/>
      <c r="P20" s="135"/>
      <c r="Q20" s="135"/>
      <c r="R20" s="130"/>
      <c r="S20" s="136"/>
    </row>
    <row r="21" spans="1:19" ht="21" customHeight="1" x14ac:dyDescent="0.15">
      <c r="A21" s="186">
        <v>1716</v>
      </c>
      <c r="B21" s="129" t="s">
        <v>186</v>
      </c>
      <c r="C21" s="188" t="s">
        <v>399</v>
      </c>
      <c r="D21" s="188" t="s">
        <v>381</v>
      </c>
      <c r="E21" s="131">
        <f t="shared" si="0"/>
        <v>58</v>
      </c>
      <c r="F21" s="63">
        <v>11</v>
      </c>
      <c r="G21" s="113">
        <v>5</v>
      </c>
      <c r="H21" s="132">
        <f>2001</f>
        <v>2001</v>
      </c>
      <c r="I21" s="189" t="s">
        <v>365</v>
      </c>
      <c r="J21" s="53" t="str">
        <f ca="1">VLOOKUP($A21,OFFSET([1]characters!$A$1,0,0,COUNTA([1]characters!$A:$A),MATCH("name",[1]characters!$1:$1,0)-MATCH("character_id",[1]characters!$1:$1,0)+1),MATCH("name",[1]characters!$1:$1,0)-MATCH("character_id",[1]characters!$1:$1,0)+1,FALSE)</f>
        <v>森婚の祝福祭 アマラ</v>
      </c>
      <c r="K21" s="133">
        <f>IFERROR(VLOOKUP(A21,[1]characters!$A:$R,18),0)</f>
        <v>3</v>
      </c>
      <c r="L21" s="134"/>
      <c r="M21" s="135"/>
      <c r="N21" s="135"/>
      <c r="O21" s="135"/>
      <c r="P21" s="135"/>
      <c r="Q21" s="135"/>
      <c r="R21" s="130"/>
      <c r="S21" s="136"/>
    </row>
    <row r="22" spans="1:19" ht="21" customHeight="1" x14ac:dyDescent="0.15">
      <c r="A22" s="186">
        <v>1717</v>
      </c>
      <c r="B22" s="129" t="s">
        <v>186</v>
      </c>
      <c r="C22" s="188" t="s">
        <v>206</v>
      </c>
      <c r="D22" s="188" t="s">
        <v>368</v>
      </c>
      <c r="E22" s="131">
        <f t="shared" si="0"/>
        <v>30</v>
      </c>
      <c r="F22" s="63">
        <v>0</v>
      </c>
      <c r="G22" s="113">
        <v>1</v>
      </c>
      <c r="H22" s="132">
        <f>2001</f>
        <v>2001</v>
      </c>
      <c r="I22" s="189"/>
      <c r="J22" s="53" t="str">
        <f ca="1">VLOOKUP($A22,OFFSET([1]characters!$A$1,0,0,COUNTA([1]characters!$A:$A),MATCH("name",[1]characters!$1:$1,0)-MATCH("character_id",[1]characters!$1:$1,0)+1),MATCH("name",[1]characters!$1:$1,0)-MATCH("character_id",[1]characters!$1:$1,0)+1,FALSE)</f>
        <v>ラブリーエンジェル</v>
      </c>
      <c r="K22" s="133">
        <f>IFERROR(VLOOKUP(A22,[1]characters!$A:$R,18),0)</f>
        <v>3</v>
      </c>
      <c r="L22" s="134"/>
      <c r="M22" s="135"/>
      <c r="N22" s="135"/>
      <c r="O22" s="135"/>
      <c r="P22" s="135"/>
      <c r="Q22" s="135"/>
      <c r="R22" s="130"/>
      <c r="S22" s="136"/>
    </row>
    <row r="23" spans="1:19" ht="21" customHeight="1" x14ac:dyDescent="0.15">
      <c r="A23" s="186">
        <v>1718</v>
      </c>
      <c r="B23" s="129" t="s">
        <v>186</v>
      </c>
      <c r="C23" s="188" t="s">
        <v>481</v>
      </c>
      <c r="D23" s="188" t="s">
        <v>481</v>
      </c>
      <c r="E23" s="131">
        <f t="shared" si="0"/>
        <v>2</v>
      </c>
      <c r="F23" s="63">
        <v>0</v>
      </c>
      <c r="G23" s="113">
        <v>1</v>
      </c>
      <c r="H23" s="132">
        <f>2001</f>
        <v>2001</v>
      </c>
      <c r="I23" s="189"/>
      <c r="J23" s="53" t="str">
        <f ca="1">VLOOKUP($A23,OFFSET([1]characters!$A$1,0,0,COUNTA([1]characters!$A:$A),MATCH("name",[1]characters!$1:$1,0)-MATCH("character_id",[1]characters!$1:$1,0)+1),MATCH("name",[1]characters!$1:$1,0)-MATCH("character_id",[1]characters!$1:$1,0)+1,FALSE)</f>
        <v>マリッジリング</v>
      </c>
      <c r="K23" s="133">
        <f>IFERROR(VLOOKUP(A23,[1]characters!$A:$R,18),0)</f>
        <v>3</v>
      </c>
      <c r="L23" s="134"/>
      <c r="M23" s="135"/>
      <c r="N23" s="135"/>
      <c r="O23" s="135"/>
      <c r="P23" s="135"/>
      <c r="Q23" s="135"/>
      <c r="R23" s="130"/>
      <c r="S23" s="136"/>
    </row>
    <row r="24" spans="1:19" ht="21" customHeight="1" x14ac:dyDescent="0.15">
      <c r="A24" s="186">
        <v>1719</v>
      </c>
      <c r="B24" s="129" t="s">
        <v>186</v>
      </c>
      <c r="C24" s="188" t="s">
        <v>206</v>
      </c>
      <c r="D24" s="188" t="s">
        <v>368</v>
      </c>
      <c r="E24" s="131">
        <f t="shared" si="0"/>
        <v>30</v>
      </c>
      <c r="F24" s="63">
        <v>0</v>
      </c>
      <c r="G24" s="113">
        <v>1</v>
      </c>
      <c r="H24" s="132">
        <f>2001</f>
        <v>2001</v>
      </c>
      <c r="I24" s="189"/>
      <c r="J24" s="53" t="str">
        <f ca="1">VLOOKUP($A24,OFFSET([1]characters!$A$1,0,0,COUNTA([1]characters!$A:$A),MATCH("name",[1]characters!$1:$1,0)-MATCH("character_id",[1]characters!$1:$1,0)+1),MATCH("name",[1]characters!$1:$1,0)-MATCH("character_id",[1]characters!$1:$1,0)+1,FALSE)</f>
        <v>トゥルー・マリッジリング</v>
      </c>
      <c r="K24" s="133">
        <f>IFERROR(VLOOKUP(A24,[1]characters!$A:$R,18),0)</f>
        <v>3</v>
      </c>
      <c r="L24" s="134"/>
      <c r="M24" s="135"/>
      <c r="N24" s="135"/>
      <c r="O24" s="135"/>
      <c r="P24" s="135"/>
      <c r="Q24" s="135"/>
      <c r="R24" s="130"/>
      <c r="S24" s="136"/>
    </row>
  </sheetData>
  <sheetProtection selectLockedCells="1" selectUnlockedCells="1"/>
  <autoFilter ref="A1:S1">
    <sortState ref="A2:T432">
      <sortCondition ref="A1:A432"/>
    </sortState>
  </autoFilter>
  <sortState ref="A2:S21">
    <sortCondition ref="A2:A21"/>
  </sortState>
  <phoneticPr fontId="22"/>
  <conditionalFormatting sqref="E1 E25:E1048576">
    <cfRule type="cellIs" dxfId="91" priority="45" operator="greaterThan">
      <formula>41</formula>
    </cfRule>
  </conditionalFormatting>
  <conditionalFormatting sqref="E2">
    <cfRule type="cellIs" dxfId="90" priority="39" operator="greaterThan">
      <formula>57</formula>
    </cfRule>
  </conditionalFormatting>
  <conditionalFormatting sqref="E3">
    <cfRule type="cellIs" dxfId="89" priority="38" operator="greaterThan">
      <formula>57</formula>
    </cfRule>
  </conditionalFormatting>
  <conditionalFormatting sqref="E4">
    <cfRule type="cellIs" dxfId="88" priority="21" operator="greaterThan">
      <formula>57</formula>
    </cfRule>
  </conditionalFormatting>
  <conditionalFormatting sqref="E5">
    <cfRule type="cellIs" dxfId="87" priority="20" operator="greaterThan">
      <formula>57</formula>
    </cfRule>
  </conditionalFormatting>
  <conditionalFormatting sqref="E6">
    <cfRule type="cellIs" dxfId="86" priority="19" operator="greaterThan">
      <formula>57</formula>
    </cfRule>
  </conditionalFormatting>
  <conditionalFormatting sqref="E7">
    <cfRule type="cellIs" dxfId="85" priority="18" operator="greaterThan">
      <formula>57</formula>
    </cfRule>
  </conditionalFormatting>
  <conditionalFormatting sqref="E8">
    <cfRule type="cellIs" dxfId="84" priority="17" operator="greaterThan">
      <formula>57</formula>
    </cfRule>
  </conditionalFormatting>
  <conditionalFormatting sqref="E9">
    <cfRule type="cellIs" dxfId="83" priority="16" operator="greaterThan">
      <formula>57</formula>
    </cfRule>
  </conditionalFormatting>
  <conditionalFormatting sqref="E10">
    <cfRule type="cellIs" dxfId="82" priority="15" operator="greaterThan">
      <formula>57</formula>
    </cfRule>
  </conditionalFormatting>
  <conditionalFormatting sqref="E11">
    <cfRule type="cellIs" dxfId="81" priority="14" operator="greaterThan">
      <formula>57</formula>
    </cfRule>
  </conditionalFormatting>
  <conditionalFormatting sqref="E12">
    <cfRule type="cellIs" dxfId="80" priority="13" operator="greaterThan">
      <formula>57</formula>
    </cfRule>
  </conditionalFormatting>
  <conditionalFormatting sqref="E13">
    <cfRule type="cellIs" dxfId="79" priority="12" operator="greaterThan">
      <formula>57</formula>
    </cfRule>
  </conditionalFormatting>
  <conditionalFormatting sqref="E14">
    <cfRule type="cellIs" dxfId="78" priority="11" operator="greaterThan">
      <formula>57</formula>
    </cfRule>
  </conditionalFormatting>
  <conditionalFormatting sqref="E15">
    <cfRule type="cellIs" dxfId="77" priority="10" operator="greaterThan">
      <formula>57</formula>
    </cfRule>
  </conditionalFormatting>
  <conditionalFormatting sqref="E16">
    <cfRule type="cellIs" dxfId="76" priority="9" operator="greaterThan">
      <formula>57</formula>
    </cfRule>
  </conditionalFormatting>
  <conditionalFormatting sqref="E17">
    <cfRule type="cellIs" dxfId="75" priority="8" operator="greaterThan">
      <formula>57</formula>
    </cfRule>
  </conditionalFormatting>
  <conditionalFormatting sqref="E18">
    <cfRule type="cellIs" dxfId="74" priority="7" operator="greaterThan">
      <formula>57</formula>
    </cfRule>
  </conditionalFormatting>
  <conditionalFormatting sqref="E19">
    <cfRule type="cellIs" dxfId="73" priority="6" operator="greaterThan">
      <formula>57</formula>
    </cfRule>
  </conditionalFormatting>
  <conditionalFormatting sqref="E20">
    <cfRule type="cellIs" dxfId="72" priority="5" operator="greaterThan">
      <formula>57</formula>
    </cfRule>
  </conditionalFormatting>
  <conditionalFormatting sqref="E21">
    <cfRule type="cellIs" dxfId="71" priority="4" operator="greaterThan">
      <formula>57</formula>
    </cfRule>
  </conditionalFormatting>
  <conditionalFormatting sqref="E22">
    <cfRule type="cellIs" dxfId="70" priority="3" operator="greaterThan">
      <formula>57</formula>
    </cfRule>
  </conditionalFormatting>
  <conditionalFormatting sqref="E23">
    <cfRule type="cellIs" dxfId="69" priority="2" operator="greaterThan">
      <formula>57</formula>
    </cfRule>
  </conditionalFormatting>
  <conditionalFormatting sqref="E24">
    <cfRule type="cellIs" dxfId="68"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24"/>
  <sheetViews>
    <sheetView showGridLines="0" workbookViewId="0">
      <pane xSplit="4" ySplit="1" topLeftCell="E2" activePane="bottomRight" state="frozen"/>
      <selection pane="topRight" activeCell="D1" sqref="D1"/>
      <selection pane="bottomLeft" activeCell="A3" sqref="A3"/>
      <selection pane="bottomRight" activeCell="F7" sqref="F7"/>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1697</v>
      </c>
      <c r="B2" s="129" t="s">
        <v>187</v>
      </c>
      <c r="C2" s="188" t="s">
        <v>400</v>
      </c>
      <c r="D2" s="188" t="s">
        <v>354</v>
      </c>
      <c r="E2" s="131">
        <f t="shared" ref="E2:E24" si="0">LEN(D2)</f>
        <v>21</v>
      </c>
      <c r="F2" s="190" t="s">
        <v>374</v>
      </c>
      <c r="G2" s="53" t="str">
        <f ca="1">VLOOKUP($A2,OFFSET([1]characters!$A$1,0,0,COUNTA([1]characters!$A:$A),MATCH("name",[1]characters!$1:$1,0)-MATCH("character_id",[1]characters!$1:$1,0)+1),MATCH("name",[1]characters!$1:$1,0)-MATCH("character_id",[1]characters!$1:$1,0)+1,FALSE)</f>
        <v>駆動する機会 ガーネット</v>
      </c>
      <c r="H2" s="132">
        <f>IFERROR(VLOOKUP(A2,[1]characters!$A:$R,18),0)</f>
        <v>3</v>
      </c>
      <c r="I2" s="132"/>
      <c r="J2" s="137"/>
      <c r="K2" s="133">
        <v>1</v>
      </c>
      <c r="L2" s="134"/>
      <c r="M2" s="135"/>
      <c r="N2" s="135"/>
      <c r="O2" s="135"/>
      <c r="P2" s="135"/>
      <c r="Q2" s="135"/>
      <c r="R2" s="130"/>
      <c r="S2" s="136"/>
    </row>
    <row r="3" spans="1:19" ht="21" customHeight="1" x14ac:dyDescent="0.15">
      <c r="A3" s="186">
        <v>1698</v>
      </c>
      <c r="B3" s="129" t="s">
        <v>186</v>
      </c>
      <c r="C3" s="188" t="s">
        <v>400</v>
      </c>
      <c r="D3" s="188" t="s">
        <v>354</v>
      </c>
      <c r="E3" s="131">
        <f t="shared" si="0"/>
        <v>21</v>
      </c>
      <c r="F3" s="190" t="s">
        <v>374</v>
      </c>
      <c r="G3" s="53" t="str">
        <f ca="1">VLOOKUP($A3,OFFSET([1]characters!$A$1,0,0,COUNTA([1]characters!$A:$A),MATCH("name",[1]characters!$1:$1,0)-MATCH("character_id",[1]characters!$1:$1,0)+1),MATCH("name",[1]characters!$1:$1,0)-MATCH("character_id",[1]characters!$1:$1,0)+1,FALSE)</f>
        <v>炎断の華嫁 ガーネット</v>
      </c>
      <c r="H3" s="132">
        <f>IFERROR(VLOOKUP(A3,[1]characters!$A:$R,18),0)</f>
        <v>3</v>
      </c>
      <c r="I3" s="132"/>
      <c r="J3" s="137"/>
      <c r="K3" s="133">
        <v>1</v>
      </c>
      <c r="L3" s="134"/>
      <c r="M3" s="135"/>
      <c r="N3" s="135"/>
      <c r="O3" s="135"/>
      <c r="P3" s="135"/>
      <c r="Q3" s="135"/>
      <c r="R3" s="130"/>
      <c r="S3" s="136"/>
    </row>
    <row r="4" spans="1:19" ht="21" customHeight="1" x14ac:dyDescent="0.15">
      <c r="A4" s="186">
        <v>1699</v>
      </c>
      <c r="B4" s="129" t="s">
        <v>187</v>
      </c>
      <c r="C4" s="188" t="s">
        <v>401</v>
      </c>
      <c r="D4" s="188" t="s">
        <v>382</v>
      </c>
      <c r="E4" s="131">
        <f t="shared" si="0"/>
        <v>29</v>
      </c>
      <c r="F4" s="190" t="s">
        <v>371</v>
      </c>
      <c r="G4" s="53" t="str">
        <f ca="1">VLOOKUP($A4,OFFSET([1]characters!$A$1,0,0,COUNTA([1]characters!$A:$A),MATCH("name",[1]characters!$1:$1,0)-MATCH("character_id",[1]characters!$1:$1,0)+1),MATCH("name",[1]characters!$1:$1,0)-MATCH("character_id",[1]characters!$1:$1,0)+1,FALSE)</f>
        <v>崇高祝言 アマテラス</v>
      </c>
      <c r="H4" s="132">
        <f>IFERROR(VLOOKUP(A4,[1]characters!$A:$R,18),0)</f>
        <v>3</v>
      </c>
      <c r="I4" s="132"/>
      <c r="J4" s="137"/>
      <c r="K4" s="133">
        <v>1</v>
      </c>
      <c r="L4" s="134"/>
      <c r="M4" s="135"/>
      <c r="N4" s="135"/>
      <c r="O4" s="135"/>
      <c r="P4" s="135"/>
      <c r="Q4" s="135"/>
      <c r="R4" s="130"/>
      <c r="S4" s="136"/>
    </row>
    <row r="5" spans="1:19" ht="21" customHeight="1" x14ac:dyDescent="0.15">
      <c r="A5" s="186">
        <v>1700</v>
      </c>
      <c r="B5" s="129" t="s">
        <v>186</v>
      </c>
      <c r="C5" s="188" t="s">
        <v>401</v>
      </c>
      <c r="D5" s="188" t="s">
        <v>382</v>
      </c>
      <c r="E5" s="131">
        <f t="shared" si="0"/>
        <v>29</v>
      </c>
      <c r="F5" s="190" t="s">
        <v>371</v>
      </c>
      <c r="G5" s="53" t="str">
        <f ca="1">VLOOKUP($A5,OFFSET([1]characters!$A$1,0,0,COUNTA([1]characters!$A:$A),MATCH("name",[1]characters!$1:$1,0)-MATCH("character_id",[1]characters!$1:$1,0)+1),MATCH("name",[1]characters!$1:$1,0)-MATCH("character_id",[1]characters!$1:$1,0)+1,FALSE)</f>
        <v>大慶総氏神 アマテラス</v>
      </c>
      <c r="H5" s="132">
        <f>IFERROR(VLOOKUP(A5,[1]characters!$A:$R,18),0)</f>
        <v>3</v>
      </c>
      <c r="I5" s="132"/>
      <c r="J5" s="137"/>
      <c r="K5" s="133">
        <v>1</v>
      </c>
      <c r="L5" s="134"/>
      <c r="M5" s="135"/>
      <c r="N5" s="135"/>
      <c r="O5" s="135"/>
      <c r="P5" s="135"/>
      <c r="Q5" s="135"/>
      <c r="R5" s="130"/>
      <c r="S5" s="136"/>
    </row>
    <row r="6" spans="1:19" ht="21" customHeight="1" x14ac:dyDescent="0.15">
      <c r="A6" s="186">
        <v>1701</v>
      </c>
      <c r="B6" s="129" t="s">
        <v>187</v>
      </c>
      <c r="C6" s="188" t="s">
        <v>402</v>
      </c>
      <c r="D6" s="188" t="s">
        <v>486</v>
      </c>
      <c r="E6" s="131">
        <f t="shared" si="0"/>
        <v>29</v>
      </c>
      <c r="F6" s="190" t="s">
        <v>487</v>
      </c>
      <c r="G6" s="53" t="str">
        <f ca="1">VLOOKUP($A6,OFFSET([1]characters!$A$1,0,0,COUNTA([1]characters!$A:$A),MATCH("name",[1]characters!$1:$1,0)-MATCH("character_id",[1]characters!$1:$1,0)+1),MATCH("name",[1]characters!$1:$1,0)-MATCH("character_id",[1]characters!$1:$1,0)+1,FALSE)</f>
        <v>蒼嵐の婚戦 フォルトゥナ</v>
      </c>
      <c r="H6" s="132">
        <f>IFERROR(VLOOKUP(A6,[1]characters!$A:$R,18),0)</f>
        <v>3</v>
      </c>
      <c r="I6" s="132"/>
      <c r="J6" s="137"/>
      <c r="K6" s="133">
        <v>1</v>
      </c>
      <c r="L6" s="134"/>
      <c r="M6" s="135"/>
      <c r="N6" s="135"/>
      <c r="O6" s="135"/>
      <c r="P6" s="135"/>
      <c r="Q6" s="135"/>
      <c r="R6" s="130"/>
      <c r="S6" s="136"/>
    </row>
    <row r="7" spans="1:19" ht="21" customHeight="1" x14ac:dyDescent="0.15">
      <c r="A7" s="186">
        <v>1702</v>
      </c>
      <c r="B7" s="129" t="s">
        <v>186</v>
      </c>
      <c r="C7" s="188" t="s">
        <v>402</v>
      </c>
      <c r="D7" s="188" t="s">
        <v>486</v>
      </c>
      <c r="E7" s="131">
        <f t="shared" si="0"/>
        <v>29</v>
      </c>
      <c r="F7" s="190" t="s">
        <v>487</v>
      </c>
      <c r="G7" s="53" t="str">
        <f ca="1">VLOOKUP($A7,OFFSET([1]characters!$A$1,0,0,COUNTA([1]characters!$A:$A),MATCH("name",[1]characters!$1:$1,0)-MATCH("character_id",[1]characters!$1:$1,0)+1),MATCH("name",[1]characters!$1:$1,0)-MATCH("character_id",[1]characters!$1:$1,0)+1,FALSE)</f>
        <v>求愛の夢想剣 フォルトゥナ</v>
      </c>
      <c r="H7" s="132">
        <f>IFERROR(VLOOKUP(A7,[1]characters!$A:$R,18),0)</f>
        <v>3</v>
      </c>
      <c r="I7" s="132"/>
      <c r="J7" s="137"/>
      <c r="K7" s="133">
        <v>1</v>
      </c>
      <c r="L7" s="134"/>
      <c r="M7" s="135"/>
      <c r="N7" s="135"/>
      <c r="O7" s="135"/>
      <c r="P7" s="135"/>
      <c r="Q7" s="135"/>
      <c r="R7" s="130"/>
      <c r="S7" s="136"/>
    </row>
    <row r="8" spans="1:19" ht="21" customHeight="1" x14ac:dyDescent="0.15">
      <c r="A8" s="186">
        <v>1703</v>
      </c>
      <c r="B8" s="129" t="s">
        <v>187</v>
      </c>
      <c r="C8" s="188" t="s">
        <v>403</v>
      </c>
      <c r="D8" s="188" t="s">
        <v>384</v>
      </c>
      <c r="E8" s="131">
        <f t="shared" si="0"/>
        <v>30</v>
      </c>
      <c r="F8" s="190" t="s">
        <v>385</v>
      </c>
      <c r="G8" s="53" t="str">
        <f ca="1">VLOOKUP($A8,OFFSET([1]characters!$A$1,0,0,COUNTA([1]characters!$A:$A),MATCH("name",[1]characters!$1:$1,0)-MATCH("character_id",[1]characters!$1:$1,0)+1),MATCH("name",[1]characters!$1:$1,0)-MATCH("character_id",[1]characters!$1:$1,0)+1,FALSE)</f>
        <v>可恋なる花乙女 リリィ</v>
      </c>
      <c r="H8" s="132">
        <f>IFERROR(VLOOKUP(A8,[1]characters!$A:$R,18),0)</f>
        <v>3</v>
      </c>
      <c r="I8" s="132"/>
      <c r="J8" s="137"/>
      <c r="K8" s="133">
        <v>1</v>
      </c>
      <c r="L8" s="134"/>
      <c r="M8" s="135"/>
      <c r="N8" s="135"/>
      <c r="O8" s="135"/>
      <c r="P8" s="135"/>
      <c r="Q8" s="135"/>
      <c r="R8" s="130"/>
      <c r="S8" s="136"/>
    </row>
    <row r="9" spans="1:19" ht="21" customHeight="1" x14ac:dyDescent="0.15">
      <c r="A9" s="186">
        <v>1704</v>
      </c>
      <c r="B9" s="129" t="s">
        <v>186</v>
      </c>
      <c r="C9" s="188" t="s">
        <v>403</v>
      </c>
      <c r="D9" s="188" t="s">
        <v>384</v>
      </c>
      <c r="E9" s="131">
        <f t="shared" si="0"/>
        <v>30</v>
      </c>
      <c r="F9" s="190" t="s">
        <v>385</v>
      </c>
      <c r="G9" s="53" t="str">
        <f ca="1">VLOOKUP($A9,OFFSET([1]characters!$A$1,0,0,COUNTA([1]characters!$A:$A),MATCH("name",[1]characters!$1:$1,0)-MATCH("character_id",[1]characters!$1:$1,0)+1),MATCH("name",[1]characters!$1:$1,0)-MATCH("character_id",[1]characters!$1:$1,0)+1,FALSE)</f>
        <v>恋焦がす夢乙女 リリィ</v>
      </c>
      <c r="H9" s="132">
        <f>IFERROR(VLOOKUP(A9,[1]characters!$A:$R,18),0)</f>
        <v>3</v>
      </c>
      <c r="I9" s="132"/>
      <c r="J9" s="137"/>
      <c r="K9" s="133">
        <v>1</v>
      </c>
      <c r="L9" s="134"/>
      <c r="M9" s="135"/>
      <c r="N9" s="135"/>
      <c r="O9" s="135"/>
      <c r="P9" s="135"/>
      <c r="Q9" s="135"/>
      <c r="R9" s="130"/>
      <c r="S9" s="136"/>
    </row>
    <row r="10" spans="1:19" ht="21" customHeight="1" x14ac:dyDescent="0.15">
      <c r="A10" s="186">
        <v>1705</v>
      </c>
      <c r="B10" s="129" t="s">
        <v>187</v>
      </c>
      <c r="C10" s="188" t="s">
        <v>406</v>
      </c>
      <c r="D10" s="188" t="s">
        <v>356</v>
      </c>
      <c r="E10" s="131">
        <f t="shared" si="0"/>
        <v>21</v>
      </c>
      <c r="F10" s="190" t="s">
        <v>355</v>
      </c>
      <c r="G10" s="53" t="str">
        <f ca="1">VLOOKUP($A10,OFFSET([1]characters!$A$1,0,0,COUNTA([1]characters!$A:$A),MATCH("name",[1]characters!$1:$1,0)-MATCH("character_id",[1]characters!$1:$1,0)+1),MATCH("name",[1]characters!$1:$1,0)-MATCH("character_id",[1]characters!$1:$1,0)+1,FALSE)</f>
        <v>純白の新婦軍 白雪姫</v>
      </c>
      <c r="H10" s="132">
        <f>IFERROR(VLOOKUP(A10,[1]characters!$A:$R,18),0)</f>
        <v>3</v>
      </c>
      <c r="I10" s="132"/>
      <c r="J10" s="137"/>
      <c r="K10" s="133">
        <v>1</v>
      </c>
      <c r="L10" s="134"/>
      <c r="M10" s="135"/>
      <c r="N10" s="135"/>
      <c r="O10" s="135"/>
      <c r="P10" s="135"/>
      <c r="Q10" s="135"/>
      <c r="R10" s="130"/>
      <c r="S10" s="136"/>
    </row>
    <row r="11" spans="1:19" ht="21" customHeight="1" x14ac:dyDescent="0.15">
      <c r="A11" s="186">
        <v>1706</v>
      </c>
      <c r="B11" s="129" t="s">
        <v>186</v>
      </c>
      <c r="C11" s="188" t="s">
        <v>406</v>
      </c>
      <c r="D11" s="188" t="s">
        <v>356</v>
      </c>
      <c r="E11" s="131">
        <f t="shared" si="0"/>
        <v>21</v>
      </c>
      <c r="F11" s="190" t="s">
        <v>355</v>
      </c>
      <c r="G11" s="53" t="str">
        <f ca="1">VLOOKUP($A11,OFFSET([1]characters!$A$1,0,0,COUNTA([1]characters!$A:$A),MATCH("name",[1]characters!$1:$1,0)-MATCH("character_id",[1]characters!$1:$1,0)+1),MATCH("name",[1]characters!$1:$1,0)-MATCH("character_id",[1]characters!$1:$1,0)+1,FALSE)</f>
        <v>幸福なる大祝砲 白雪姫</v>
      </c>
      <c r="H11" s="132">
        <f>IFERROR(VLOOKUP(A11,[1]characters!$A:$R,18),0)</f>
        <v>3</v>
      </c>
      <c r="I11" s="132"/>
      <c r="J11" s="137"/>
      <c r="K11" s="133">
        <v>1</v>
      </c>
      <c r="L11" s="134"/>
      <c r="M11" s="135"/>
      <c r="N11" s="135"/>
      <c r="O11" s="135"/>
      <c r="P11" s="135"/>
      <c r="Q11" s="135"/>
      <c r="R11" s="130"/>
      <c r="S11" s="136"/>
    </row>
    <row r="12" spans="1:19" ht="21" customHeight="1" x14ac:dyDescent="0.15">
      <c r="A12" s="186">
        <v>1707</v>
      </c>
      <c r="B12" s="129" t="s">
        <v>187</v>
      </c>
      <c r="C12" s="188" t="s">
        <v>404</v>
      </c>
      <c r="D12" s="188" t="s">
        <v>363</v>
      </c>
      <c r="E12" s="131">
        <f t="shared" si="0"/>
        <v>19</v>
      </c>
      <c r="F12" s="190" t="s">
        <v>362</v>
      </c>
      <c r="G12" s="53" t="str">
        <f ca="1">VLOOKUP($A12,OFFSET([1]characters!$A$1,0,0,COUNTA([1]characters!$A:$A),MATCH("name",[1]characters!$1:$1,0)-MATCH("character_id",[1]characters!$1:$1,0)+1),MATCH("name",[1]characters!$1:$1,0)-MATCH("character_id",[1]characters!$1:$1,0)+1,FALSE)</f>
        <v>親愛なる猫嫁神 バステト</v>
      </c>
      <c r="H12" s="132">
        <f>IFERROR(VLOOKUP(A12,[1]characters!$A:$R,18),0)</f>
        <v>3</v>
      </c>
      <c r="I12" s="132"/>
      <c r="J12" s="137"/>
      <c r="K12" s="133">
        <v>1</v>
      </c>
      <c r="L12" s="134"/>
      <c r="M12" s="135"/>
      <c r="N12" s="135"/>
      <c r="O12" s="135"/>
      <c r="P12" s="135"/>
      <c r="Q12" s="135"/>
      <c r="R12" s="130"/>
      <c r="S12" s="136"/>
    </row>
    <row r="13" spans="1:19" ht="21" customHeight="1" x14ac:dyDescent="0.15">
      <c r="A13" s="186">
        <v>1708</v>
      </c>
      <c r="B13" s="129" t="s">
        <v>186</v>
      </c>
      <c r="C13" s="188" t="s">
        <v>404</v>
      </c>
      <c r="D13" s="188" t="s">
        <v>363</v>
      </c>
      <c r="E13" s="131">
        <f t="shared" si="0"/>
        <v>19</v>
      </c>
      <c r="F13" s="190" t="s">
        <v>362</v>
      </c>
      <c r="G13" s="53" t="str">
        <f ca="1">VLOOKUP($A13,OFFSET([1]characters!$A$1,0,0,COUNTA([1]characters!$A:$A),MATCH("name",[1]characters!$1:$1,0)-MATCH("character_id",[1]characters!$1:$1,0)+1),MATCH("name",[1]characters!$1:$1,0)-MATCH("character_id",[1]characters!$1:$1,0)+1,FALSE)</f>
        <v>御聖婚の幸猫神 バステト</v>
      </c>
      <c r="H13" s="132">
        <f>IFERROR(VLOOKUP(A13,[1]characters!$A:$R,18),0)</f>
        <v>3</v>
      </c>
      <c r="I13" s="132"/>
      <c r="J13" s="137"/>
      <c r="K13" s="133">
        <v>1</v>
      </c>
      <c r="L13" s="134"/>
      <c r="M13" s="135"/>
      <c r="N13" s="135"/>
      <c r="O13" s="135"/>
      <c r="P13" s="135"/>
      <c r="Q13" s="135"/>
      <c r="R13" s="130"/>
      <c r="S13" s="136"/>
    </row>
    <row r="14" spans="1:19" ht="21" customHeight="1" x14ac:dyDescent="0.15">
      <c r="A14" s="186">
        <v>1709</v>
      </c>
      <c r="B14" s="129" t="s">
        <v>187</v>
      </c>
      <c r="C14" s="188" t="s">
        <v>405</v>
      </c>
      <c r="D14" s="188" t="s">
        <v>358</v>
      </c>
      <c r="E14" s="131">
        <f t="shared" si="0"/>
        <v>20</v>
      </c>
      <c r="F14" s="190" t="s">
        <v>357</v>
      </c>
      <c r="G14" s="53" t="str">
        <f ca="1">VLOOKUP($A14,OFFSET([1]characters!$A$1,0,0,COUNTA([1]characters!$A:$A),MATCH("name",[1]characters!$1:$1,0)-MATCH("character_id",[1]characters!$1:$1,0)+1),MATCH("name",[1]characters!$1:$1,0)-MATCH("character_id",[1]characters!$1:$1,0)+1,FALSE)</f>
        <v>情花降る神婦 イズン</v>
      </c>
      <c r="H14" s="132">
        <f>IFERROR(VLOOKUP(A14,[1]characters!$A:$R,18),0)</f>
        <v>3</v>
      </c>
      <c r="I14" s="132"/>
      <c r="J14" s="137"/>
      <c r="K14" s="133">
        <v>1</v>
      </c>
      <c r="L14" s="134"/>
      <c r="M14" s="135"/>
      <c r="N14" s="135"/>
      <c r="O14" s="135"/>
      <c r="P14" s="135"/>
      <c r="Q14" s="135"/>
      <c r="R14" s="130"/>
      <c r="S14" s="136"/>
    </row>
    <row r="15" spans="1:19" ht="21" customHeight="1" x14ac:dyDescent="0.15">
      <c r="A15" s="186">
        <v>1710</v>
      </c>
      <c r="B15" s="129" t="s">
        <v>186</v>
      </c>
      <c r="C15" s="188" t="s">
        <v>405</v>
      </c>
      <c r="D15" s="188" t="s">
        <v>358</v>
      </c>
      <c r="E15" s="131">
        <f t="shared" si="0"/>
        <v>20</v>
      </c>
      <c r="F15" s="190" t="s">
        <v>357</v>
      </c>
      <c r="G15" s="53" t="str">
        <f ca="1">VLOOKUP($A15,OFFSET([1]characters!$A$1,0,0,COUNTA([1]characters!$A:$A),MATCH("name",[1]characters!$1:$1,0)-MATCH("character_id",[1]characters!$1:$1,0)+1),MATCH("name",[1]characters!$1:$1,0)-MATCH("character_id",[1]characters!$1:$1,0)+1,FALSE)</f>
        <v>慎愛なる女神の契 イズン</v>
      </c>
      <c r="H15" s="132">
        <f>IFERROR(VLOOKUP(A15,[1]characters!$A:$R,18),0)</f>
        <v>3</v>
      </c>
      <c r="I15" s="132"/>
      <c r="J15" s="137"/>
      <c r="K15" s="133">
        <v>1</v>
      </c>
      <c r="L15" s="134"/>
      <c r="M15" s="135"/>
      <c r="N15" s="135"/>
      <c r="O15" s="135"/>
      <c r="P15" s="135"/>
      <c r="Q15" s="135"/>
      <c r="R15" s="130"/>
      <c r="S15" s="136"/>
    </row>
    <row r="16" spans="1:19" ht="21" customHeight="1" x14ac:dyDescent="0.15">
      <c r="A16" s="186">
        <v>1711</v>
      </c>
      <c r="B16" s="129" t="s">
        <v>187</v>
      </c>
      <c r="C16" s="188" t="s">
        <v>407</v>
      </c>
      <c r="D16" s="188" t="s">
        <v>376</v>
      </c>
      <c r="E16" s="131">
        <f t="shared" si="0"/>
        <v>42</v>
      </c>
      <c r="F16" s="190" t="s">
        <v>361</v>
      </c>
      <c r="G16" s="53" t="str">
        <f ca="1">VLOOKUP($A16,OFFSET([1]characters!$A$1,0,0,COUNTA([1]characters!$A:$A),MATCH("name",[1]characters!$1:$1,0)-MATCH("character_id",[1]characters!$1:$1,0)+1),MATCH("name",[1]characters!$1:$1,0)-MATCH("character_id",[1]characters!$1:$1,0)+1,FALSE)</f>
        <v>誓愛求婚の新郎 諸葛亮</v>
      </c>
      <c r="H16" s="132">
        <f>IFERROR(VLOOKUP(A16,[1]characters!$A:$R,18),0)</f>
        <v>3</v>
      </c>
      <c r="I16" s="132"/>
      <c r="J16" s="137"/>
      <c r="K16" s="133">
        <v>1</v>
      </c>
      <c r="L16" s="134"/>
      <c r="M16" s="135"/>
      <c r="N16" s="135"/>
      <c r="O16" s="135"/>
      <c r="P16" s="135"/>
      <c r="Q16" s="135"/>
      <c r="R16" s="130"/>
      <c r="S16" s="136"/>
    </row>
    <row r="17" spans="1:19" ht="21" customHeight="1" x14ac:dyDescent="0.15">
      <c r="A17" s="186">
        <v>1712</v>
      </c>
      <c r="B17" s="129" t="s">
        <v>186</v>
      </c>
      <c r="C17" s="188" t="s">
        <v>407</v>
      </c>
      <c r="D17" s="188" t="s">
        <v>376</v>
      </c>
      <c r="E17" s="131">
        <f t="shared" si="0"/>
        <v>42</v>
      </c>
      <c r="F17" s="190" t="s">
        <v>361</v>
      </c>
      <c r="G17" s="53" t="str">
        <f ca="1">VLOOKUP($A17,OFFSET([1]characters!$A$1,0,0,COUNTA([1]characters!$A:$A),MATCH("name",[1]characters!$1:$1,0)-MATCH("character_id",[1]characters!$1:$1,0)+1),MATCH("name",[1]characters!$1:$1,0)-MATCH("character_id",[1]characters!$1:$1,0)+1,FALSE)</f>
        <v>一蓮托生の双環 諸葛亮</v>
      </c>
      <c r="H17" s="132">
        <f>IFERROR(VLOOKUP(A17,[1]characters!$A:$R,18),0)</f>
        <v>3</v>
      </c>
      <c r="I17" s="132"/>
      <c r="J17" s="137"/>
      <c r="K17" s="133">
        <v>1</v>
      </c>
      <c r="L17" s="134"/>
      <c r="M17" s="135"/>
      <c r="N17" s="135"/>
      <c r="O17" s="135"/>
      <c r="P17" s="135"/>
      <c r="Q17" s="135"/>
      <c r="R17" s="130"/>
      <c r="S17" s="136"/>
    </row>
    <row r="18" spans="1:19" ht="21" customHeight="1" x14ac:dyDescent="0.15">
      <c r="A18" s="186">
        <v>1713</v>
      </c>
      <c r="B18" s="129" t="s">
        <v>187</v>
      </c>
      <c r="C18" s="188" t="s">
        <v>408</v>
      </c>
      <c r="D18" s="188" t="s">
        <v>388</v>
      </c>
      <c r="E18" s="131">
        <f t="shared" si="0"/>
        <v>31</v>
      </c>
      <c r="F18" s="190" t="s">
        <v>389</v>
      </c>
      <c r="G18" s="53" t="str">
        <f ca="1">VLOOKUP($A18,OFFSET([1]characters!$A$1,0,0,COUNTA([1]characters!$A:$A),MATCH("name",[1]characters!$1:$1,0)-MATCH("character_id",[1]characters!$1:$1,0)+1),MATCH("name",[1]characters!$1:$1,0)-MATCH("character_id",[1]characters!$1:$1,0)+1,FALSE)</f>
        <v>誓約の挙剣 ジークフリート</v>
      </c>
      <c r="H18" s="132">
        <f>IFERROR(VLOOKUP(A18,[1]characters!$A:$R,18),0)</f>
        <v>3</v>
      </c>
      <c r="I18" s="132"/>
      <c r="J18" s="137"/>
      <c r="K18" s="133">
        <v>1</v>
      </c>
      <c r="L18" s="134"/>
      <c r="M18" s="135"/>
      <c r="N18" s="135"/>
      <c r="O18" s="135"/>
      <c r="P18" s="135"/>
      <c r="Q18" s="135"/>
      <c r="R18" s="130"/>
      <c r="S18" s="136"/>
    </row>
    <row r="19" spans="1:19" ht="21" customHeight="1" x14ac:dyDescent="0.15">
      <c r="A19" s="186">
        <v>1714</v>
      </c>
      <c r="B19" s="129" t="s">
        <v>186</v>
      </c>
      <c r="C19" s="188" t="s">
        <v>408</v>
      </c>
      <c r="D19" s="188" t="s">
        <v>388</v>
      </c>
      <c r="E19" s="131">
        <f t="shared" si="0"/>
        <v>31</v>
      </c>
      <c r="F19" s="190" t="s">
        <v>389</v>
      </c>
      <c r="G19" s="53" t="str">
        <f ca="1">VLOOKUP($A19,OFFSET([1]characters!$A$1,0,0,COUNTA([1]characters!$A:$A),MATCH("name",[1]characters!$1:$1,0)-MATCH("character_id",[1]characters!$1:$1,0)+1),MATCH("name",[1]characters!$1:$1,0)-MATCH("character_id",[1]characters!$1:$1,0)+1,FALSE)</f>
        <v>仁愛の祝賀剣 ジークフリート</v>
      </c>
      <c r="H19" s="132">
        <f>IFERROR(VLOOKUP(A19,[1]characters!$A:$R,18),0)</f>
        <v>3</v>
      </c>
      <c r="I19" s="132"/>
      <c r="J19" s="137"/>
      <c r="K19" s="133">
        <v>1</v>
      </c>
      <c r="L19" s="134"/>
      <c r="M19" s="135"/>
      <c r="N19" s="135"/>
      <c r="O19" s="135"/>
      <c r="P19" s="135"/>
      <c r="Q19" s="135"/>
      <c r="R19" s="130"/>
      <c r="S19" s="136"/>
    </row>
    <row r="20" spans="1:19" ht="21" customHeight="1" x14ac:dyDescent="0.15">
      <c r="A20" s="186">
        <v>1715</v>
      </c>
      <c r="B20" s="129" t="s">
        <v>187</v>
      </c>
      <c r="C20" s="188" t="s">
        <v>409</v>
      </c>
      <c r="D20" s="188" t="s">
        <v>379</v>
      </c>
      <c r="E20" s="131">
        <f t="shared" si="0"/>
        <v>9</v>
      </c>
      <c r="F20" s="190" t="s">
        <v>366</v>
      </c>
      <c r="G20" s="53" t="str">
        <f ca="1">VLOOKUP($A20,OFFSET([1]characters!$A$1,0,0,COUNTA([1]characters!$A:$A),MATCH("name",[1]characters!$1:$1,0)-MATCH("character_id",[1]characters!$1:$1,0)+1),MATCH("name",[1]characters!$1:$1,0)-MATCH("character_id",[1]characters!$1:$1,0)+1,FALSE)</f>
        <v>森歓の祝宴 アマラ</v>
      </c>
      <c r="H20" s="132">
        <f>IFERROR(VLOOKUP(A20,[1]characters!$A:$R,18),0)</f>
        <v>3</v>
      </c>
      <c r="I20" s="132"/>
      <c r="J20" s="137"/>
      <c r="K20" s="133">
        <v>1</v>
      </c>
      <c r="L20" s="134"/>
      <c r="M20" s="135"/>
      <c r="N20" s="135"/>
      <c r="O20" s="135"/>
      <c r="P20" s="135"/>
      <c r="Q20" s="135"/>
      <c r="R20" s="130"/>
      <c r="S20" s="136"/>
    </row>
    <row r="21" spans="1:19" ht="21" customHeight="1" x14ac:dyDescent="0.15">
      <c r="A21" s="186">
        <v>1716</v>
      </c>
      <c r="B21" s="129" t="s">
        <v>186</v>
      </c>
      <c r="C21" s="188" t="s">
        <v>409</v>
      </c>
      <c r="D21" s="188" t="s">
        <v>379</v>
      </c>
      <c r="E21" s="131">
        <f t="shared" si="0"/>
        <v>9</v>
      </c>
      <c r="F21" s="190" t="s">
        <v>366</v>
      </c>
      <c r="G21" s="53" t="str">
        <f ca="1">VLOOKUP($A21,OFFSET([1]characters!$A$1,0,0,COUNTA([1]characters!$A:$A),MATCH("name",[1]characters!$1:$1,0)-MATCH("character_id",[1]characters!$1:$1,0)+1),MATCH("name",[1]characters!$1:$1,0)-MATCH("character_id",[1]characters!$1:$1,0)+1,FALSE)</f>
        <v>森婚の祝福祭 アマラ</v>
      </c>
      <c r="H21" s="132">
        <f>IFERROR(VLOOKUP(A21,[1]characters!$A:$R,18),0)</f>
        <v>3</v>
      </c>
      <c r="I21" s="132"/>
      <c r="J21" s="137"/>
      <c r="K21" s="133">
        <v>1</v>
      </c>
      <c r="L21" s="134"/>
      <c r="M21" s="135"/>
      <c r="N21" s="135"/>
      <c r="O21" s="135"/>
      <c r="P21" s="135"/>
      <c r="Q21" s="135"/>
      <c r="R21" s="130"/>
      <c r="S21" s="136"/>
    </row>
    <row r="22" spans="1:19" ht="21" customHeight="1" x14ac:dyDescent="0.15">
      <c r="A22" s="186">
        <v>1717</v>
      </c>
      <c r="B22" s="129" t="s">
        <v>186</v>
      </c>
      <c r="C22" s="188" t="s">
        <v>369</v>
      </c>
      <c r="D22" s="188" t="s">
        <v>369</v>
      </c>
      <c r="E22" s="131">
        <f t="shared" si="0"/>
        <v>2</v>
      </c>
      <c r="F22" s="190"/>
      <c r="G22" s="53" t="str">
        <f ca="1">VLOOKUP($A22,OFFSET([1]characters!$A$1,0,0,COUNTA([1]characters!$A:$A),MATCH("name",[1]characters!$1:$1,0)-MATCH("character_id",[1]characters!$1:$1,0)+1),MATCH("name",[1]characters!$1:$1,0)-MATCH("character_id",[1]characters!$1:$1,0)+1,FALSE)</f>
        <v>ラブリーエンジェル</v>
      </c>
      <c r="H22" s="132">
        <f>IFERROR(VLOOKUP(A22,[1]characters!$A:$R,18),0)</f>
        <v>3</v>
      </c>
      <c r="I22" s="132"/>
      <c r="J22" s="137"/>
      <c r="K22" s="133">
        <v>1</v>
      </c>
      <c r="L22" s="134"/>
      <c r="M22" s="135"/>
      <c r="N22" s="135"/>
      <c r="O22" s="135"/>
      <c r="P22" s="135"/>
      <c r="Q22" s="135"/>
      <c r="R22" s="130"/>
      <c r="S22" s="136"/>
    </row>
    <row r="23" spans="1:19" ht="21" customHeight="1" x14ac:dyDescent="0.15">
      <c r="A23" s="186">
        <v>1718</v>
      </c>
      <c r="B23" s="129" t="s">
        <v>186</v>
      </c>
      <c r="C23" s="188" t="s">
        <v>369</v>
      </c>
      <c r="D23" s="188" t="s">
        <v>369</v>
      </c>
      <c r="E23" s="131">
        <f t="shared" si="0"/>
        <v>2</v>
      </c>
      <c r="F23" s="190"/>
      <c r="G23" s="53" t="str">
        <f ca="1">VLOOKUP($A23,OFFSET([1]characters!$A$1,0,0,COUNTA([1]characters!$A:$A),MATCH("name",[1]characters!$1:$1,0)-MATCH("character_id",[1]characters!$1:$1,0)+1),MATCH("name",[1]characters!$1:$1,0)-MATCH("character_id",[1]characters!$1:$1,0)+1,FALSE)</f>
        <v>マリッジリング</v>
      </c>
      <c r="H23" s="132">
        <f>IFERROR(VLOOKUP(A23,[1]characters!$A:$R,18),0)</f>
        <v>3</v>
      </c>
      <c r="I23" s="132"/>
      <c r="J23" s="137"/>
      <c r="K23" s="133">
        <v>1</v>
      </c>
      <c r="L23" s="134"/>
      <c r="M23" s="135"/>
      <c r="N23" s="135"/>
      <c r="O23" s="135"/>
      <c r="P23" s="135"/>
      <c r="Q23" s="135"/>
      <c r="R23" s="130"/>
      <c r="S23" s="136"/>
    </row>
    <row r="24" spans="1:19" ht="21" customHeight="1" x14ac:dyDescent="0.15">
      <c r="A24" s="186">
        <v>1719</v>
      </c>
      <c r="B24" s="129" t="s">
        <v>186</v>
      </c>
      <c r="C24" s="188" t="s">
        <v>369</v>
      </c>
      <c r="D24" s="188" t="s">
        <v>369</v>
      </c>
      <c r="E24" s="131">
        <f t="shared" si="0"/>
        <v>2</v>
      </c>
      <c r="F24" s="190"/>
      <c r="G24" s="53" t="str">
        <f ca="1">VLOOKUP($A24,OFFSET([1]characters!$A$1,0,0,COUNTA([1]characters!$A:$A),MATCH("name",[1]characters!$1:$1,0)-MATCH("character_id",[1]characters!$1:$1,0)+1),MATCH("name",[1]characters!$1:$1,0)-MATCH("character_id",[1]characters!$1:$1,0)+1,FALSE)</f>
        <v>トゥルー・マリッジリング</v>
      </c>
      <c r="H24" s="132">
        <f>IFERROR(VLOOKUP(A24,[1]characters!$A:$R,18),0)</f>
        <v>3</v>
      </c>
      <c r="I24" s="132"/>
      <c r="J24" s="137"/>
      <c r="K24" s="133">
        <v>1</v>
      </c>
      <c r="L24" s="134"/>
      <c r="M24" s="135"/>
      <c r="N24" s="135"/>
      <c r="O24" s="135"/>
      <c r="P24" s="135"/>
      <c r="Q24" s="135"/>
      <c r="R24" s="130"/>
      <c r="S24" s="136"/>
    </row>
  </sheetData>
  <sheetProtection selectLockedCells="1" selectUnlockedCells="1"/>
  <autoFilter ref="A1:J1"/>
  <sortState ref="A2:S21">
    <sortCondition ref="A2:A21"/>
  </sortState>
  <phoneticPr fontId="22"/>
  <conditionalFormatting sqref="E2">
    <cfRule type="cellIs" dxfId="67" priority="39" operator="greaterThan">
      <formula>57</formula>
    </cfRule>
  </conditionalFormatting>
  <conditionalFormatting sqref="E3">
    <cfRule type="cellIs" dxfId="66" priority="38" operator="greaterThan">
      <formula>57</formula>
    </cfRule>
  </conditionalFormatting>
  <conditionalFormatting sqref="E4">
    <cfRule type="cellIs" dxfId="65" priority="21" operator="greaterThan">
      <formula>57</formula>
    </cfRule>
  </conditionalFormatting>
  <conditionalFormatting sqref="E5">
    <cfRule type="cellIs" dxfId="64" priority="20" operator="greaterThan">
      <formula>57</formula>
    </cfRule>
  </conditionalFormatting>
  <conditionalFormatting sqref="E6">
    <cfRule type="cellIs" dxfId="63" priority="19" operator="greaterThan">
      <formula>57</formula>
    </cfRule>
  </conditionalFormatting>
  <conditionalFormatting sqref="E7">
    <cfRule type="cellIs" dxfId="62" priority="18" operator="greaterThan">
      <formula>57</formula>
    </cfRule>
  </conditionalFormatting>
  <conditionalFormatting sqref="E8">
    <cfRule type="cellIs" dxfId="61" priority="17" operator="greaterThan">
      <formula>57</formula>
    </cfRule>
  </conditionalFormatting>
  <conditionalFormatting sqref="E9">
    <cfRule type="cellIs" dxfId="60" priority="16" operator="greaterThan">
      <formula>57</formula>
    </cfRule>
  </conditionalFormatting>
  <conditionalFormatting sqref="E10">
    <cfRule type="cellIs" dxfId="59" priority="15" operator="greaterThan">
      <formula>57</formula>
    </cfRule>
  </conditionalFormatting>
  <conditionalFormatting sqref="E11">
    <cfRule type="cellIs" dxfId="58" priority="14" operator="greaterThan">
      <formula>57</formula>
    </cfRule>
  </conditionalFormatting>
  <conditionalFormatting sqref="E12">
    <cfRule type="cellIs" dxfId="57" priority="13" operator="greaterThan">
      <formula>57</formula>
    </cfRule>
  </conditionalFormatting>
  <conditionalFormatting sqref="E13">
    <cfRule type="cellIs" dxfId="56" priority="12" operator="greaterThan">
      <formula>57</formula>
    </cfRule>
  </conditionalFormatting>
  <conditionalFormatting sqref="E14">
    <cfRule type="cellIs" dxfId="55" priority="11" operator="greaterThan">
      <formula>57</formula>
    </cfRule>
  </conditionalFormatting>
  <conditionalFormatting sqref="E15">
    <cfRule type="cellIs" dxfId="54" priority="10" operator="greaterThan">
      <formula>57</formula>
    </cfRule>
  </conditionalFormatting>
  <conditionalFormatting sqref="E16">
    <cfRule type="cellIs" dxfId="53" priority="9" operator="greaterThan">
      <formula>57</formula>
    </cfRule>
  </conditionalFormatting>
  <conditionalFormatting sqref="E17">
    <cfRule type="cellIs" dxfId="52" priority="8" operator="greaterThan">
      <formula>57</formula>
    </cfRule>
  </conditionalFormatting>
  <conditionalFormatting sqref="E18">
    <cfRule type="cellIs" dxfId="51" priority="7" operator="greaterThan">
      <formula>57</formula>
    </cfRule>
  </conditionalFormatting>
  <conditionalFormatting sqref="E19">
    <cfRule type="cellIs" dxfId="50" priority="6" operator="greaterThan">
      <formula>57</formula>
    </cfRule>
  </conditionalFormatting>
  <conditionalFormatting sqref="E20">
    <cfRule type="cellIs" dxfId="49" priority="5" operator="greaterThan">
      <formula>57</formula>
    </cfRule>
  </conditionalFormatting>
  <conditionalFormatting sqref="E21">
    <cfRule type="cellIs" dxfId="48" priority="4" operator="greaterThan">
      <formula>57</formula>
    </cfRule>
  </conditionalFormatting>
  <conditionalFormatting sqref="E22">
    <cfRule type="cellIs" dxfId="47" priority="3" operator="greaterThan">
      <formula>57</formula>
    </cfRule>
  </conditionalFormatting>
  <conditionalFormatting sqref="E23">
    <cfRule type="cellIs" dxfId="46" priority="2" operator="greaterThan">
      <formula>57</formula>
    </cfRule>
  </conditionalFormatting>
  <conditionalFormatting sqref="E24">
    <cfRule type="cellIs" dxfId="45"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97"/>
  <sheetViews>
    <sheetView topLeftCell="C70" zoomScale="110" workbookViewId="0">
      <selection activeCell="G94" sqref="G94"/>
    </sheetView>
  </sheetViews>
  <sheetFormatPr baseColWidth="12" defaultRowHeight="15" outlineLevelCol="1" x14ac:dyDescent="0.15"/>
  <cols>
    <col min="2" max="2" width="24.6640625" style="139" customWidth="1"/>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1697</v>
      </c>
      <c r="B2" s="138" t="str">
        <f>VLOOKUP(A2,[1]characters!$A:$C,3,FALSE)</f>
        <v>駆動する機会 ガーネット</v>
      </c>
      <c r="C2" s="105" t="s">
        <v>196</v>
      </c>
      <c r="D2" s="138" t="str">
        <f t="shared" ref="D2:D33" si="0">A2&amp;C2</f>
        <v>1697skill</v>
      </c>
      <c r="E2" s="138" t="str">
        <f>A2&amp;+(COUNTIF(A2:A$101,A2)-1)</f>
        <v>16974</v>
      </c>
      <c r="F2" s="105" t="s">
        <v>198</v>
      </c>
      <c r="G2" s="162" t="s">
        <v>411</v>
      </c>
      <c r="H2" s="162" t="s">
        <v>410</v>
      </c>
    </row>
    <row r="3" spans="1:8" x14ac:dyDescent="0.15">
      <c r="A3" s="105">
        <v>1697</v>
      </c>
      <c r="B3" s="138" t="str">
        <f>VLOOKUP(A3,[1]characters!$A:$C,3,FALSE)</f>
        <v>駆動する機会 ガーネット</v>
      </c>
      <c r="C3" s="105" t="s">
        <v>199</v>
      </c>
      <c r="D3" s="138" t="str">
        <f t="shared" si="0"/>
        <v>1697cskill</v>
      </c>
      <c r="E3" s="138" t="str">
        <f>A3&amp;+(COUNTIF(A3:A$101,A3)-1)</f>
        <v>16973</v>
      </c>
      <c r="F3" s="105" t="s">
        <v>187</v>
      </c>
      <c r="G3" s="162" t="s">
        <v>411</v>
      </c>
      <c r="H3" s="162" t="s">
        <v>412</v>
      </c>
    </row>
    <row r="4" spans="1:8" x14ac:dyDescent="0.15">
      <c r="A4" s="105">
        <v>1697</v>
      </c>
      <c r="B4" s="138" t="str">
        <f>VLOOKUP(A4,[1]characters!$A:$C,3,FALSE)</f>
        <v>駆動する機会 ガーネット</v>
      </c>
      <c r="C4" s="105" t="s">
        <v>199</v>
      </c>
      <c r="D4" s="138" t="str">
        <f t="shared" si="0"/>
        <v>1697cskill</v>
      </c>
      <c r="E4" s="138" t="str">
        <f>A4&amp;+(COUNTIF(A4:A$101,A4)-1)</f>
        <v>16972</v>
      </c>
      <c r="F4" s="105" t="s">
        <v>187</v>
      </c>
      <c r="G4" s="162" t="s">
        <v>411</v>
      </c>
      <c r="H4" s="162" t="s">
        <v>413</v>
      </c>
    </row>
    <row r="5" spans="1:8" x14ac:dyDescent="0.15">
      <c r="A5" s="105">
        <v>1697</v>
      </c>
      <c r="B5" s="138" t="str">
        <f>VLOOKUP(A5,[1]characters!$A:$C,3,FALSE)</f>
        <v>駆動する機会 ガーネット</v>
      </c>
      <c r="C5" s="105" t="s">
        <v>199</v>
      </c>
      <c r="D5" s="138" t="str">
        <f t="shared" si="0"/>
        <v>1697cskill</v>
      </c>
      <c r="E5" s="138" t="str">
        <f>A5&amp;+(COUNTIF(A5:A$101,A5)-1)</f>
        <v>16971</v>
      </c>
      <c r="F5" s="105" t="s">
        <v>198</v>
      </c>
      <c r="G5" s="162" t="s">
        <v>411</v>
      </c>
      <c r="H5" s="162" t="s">
        <v>414</v>
      </c>
    </row>
    <row r="6" spans="1:8" x14ac:dyDescent="0.15">
      <c r="A6" s="105">
        <v>1697</v>
      </c>
      <c r="B6" s="138" t="str">
        <f>VLOOKUP(A6,[1]characters!$A:$C,3,FALSE)</f>
        <v>駆動する機会 ガーネット</v>
      </c>
      <c r="C6" s="105" t="s">
        <v>199</v>
      </c>
      <c r="D6" s="138" t="str">
        <f t="shared" si="0"/>
        <v>1697cskill</v>
      </c>
      <c r="E6" s="138" t="str">
        <f>A6&amp;+(COUNTIF(A6:A$101,A6)-1)</f>
        <v>16970</v>
      </c>
      <c r="F6" s="105" t="s">
        <v>198</v>
      </c>
      <c r="G6" s="162" t="s">
        <v>411</v>
      </c>
      <c r="H6" s="162" t="s">
        <v>415</v>
      </c>
    </row>
    <row r="7" spans="1:8" x14ac:dyDescent="0.15">
      <c r="A7" s="105">
        <v>1698</v>
      </c>
      <c r="B7" s="138" t="str">
        <f>VLOOKUP(A7,[1]characters!$A:$C,3,FALSE)</f>
        <v>炎断の華嫁 ガーネット</v>
      </c>
      <c r="C7" s="105" t="s">
        <v>196</v>
      </c>
      <c r="D7" s="138" t="str">
        <f t="shared" si="0"/>
        <v>1698skill</v>
      </c>
      <c r="E7" s="138" t="str">
        <f>A7&amp;+(COUNTIF(A7:A$101,A7)-1)</f>
        <v>16984</v>
      </c>
      <c r="F7" s="105" t="s">
        <v>198</v>
      </c>
      <c r="G7" s="162" t="s">
        <v>411</v>
      </c>
      <c r="H7" s="162" t="s">
        <v>416</v>
      </c>
    </row>
    <row r="8" spans="1:8" x14ac:dyDescent="0.15">
      <c r="A8" s="105">
        <v>1698</v>
      </c>
      <c r="B8" s="138" t="str">
        <f>VLOOKUP(A8,[1]characters!$A:$C,3,FALSE)</f>
        <v>炎断の華嫁 ガーネット</v>
      </c>
      <c r="C8" s="105" t="s">
        <v>199</v>
      </c>
      <c r="D8" s="138" t="str">
        <f t="shared" si="0"/>
        <v>1698cskill</v>
      </c>
      <c r="E8" s="138" t="str">
        <f>A8&amp;+(COUNTIF(A8:A$101,A8)-1)</f>
        <v>16983</v>
      </c>
      <c r="F8" s="105" t="s">
        <v>186</v>
      </c>
      <c r="G8" s="162" t="s">
        <v>197</v>
      </c>
      <c r="H8" s="162" t="s">
        <v>417</v>
      </c>
    </row>
    <row r="9" spans="1:8" x14ac:dyDescent="0.15">
      <c r="A9" s="105">
        <v>1698</v>
      </c>
      <c r="B9" s="138" t="str">
        <f>VLOOKUP(A9,[1]characters!$A:$C,3,FALSE)</f>
        <v>炎断の華嫁 ガーネット</v>
      </c>
      <c r="C9" s="105" t="s">
        <v>199</v>
      </c>
      <c r="D9" s="138" t="str">
        <f t="shared" si="0"/>
        <v>1698cskill</v>
      </c>
      <c r="E9" s="138" t="str">
        <f>A9&amp;+(COUNTIF(A9:A$101,A9)-1)</f>
        <v>16982</v>
      </c>
      <c r="F9" s="105" t="s">
        <v>186</v>
      </c>
      <c r="G9" s="162" t="s">
        <v>411</v>
      </c>
      <c r="H9" s="162" t="s">
        <v>413</v>
      </c>
    </row>
    <row r="10" spans="1:8" x14ac:dyDescent="0.15">
      <c r="A10" s="105">
        <v>1698</v>
      </c>
      <c r="B10" s="138" t="str">
        <f>VLOOKUP(A10,[1]characters!$A:$C,3,FALSE)</f>
        <v>炎断の華嫁 ガーネット</v>
      </c>
      <c r="C10" s="105" t="s">
        <v>199</v>
      </c>
      <c r="D10" s="138" t="str">
        <f t="shared" si="0"/>
        <v>1698cskill</v>
      </c>
      <c r="E10" s="138" t="str">
        <f>A10&amp;+(COUNTIF(A10:A$101,A10)-1)</f>
        <v>16981</v>
      </c>
      <c r="F10" s="105" t="s">
        <v>198</v>
      </c>
      <c r="G10" s="162" t="s">
        <v>411</v>
      </c>
      <c r="H10" s="162" t="s">
        <v>414</v>
      </c>
    </row>
    <row r="11" spans="1:8" x14ac:dyDescent="0.15">
      <c r="A11" s="105">
        <v>1698</v>
      </c>
      <c r="B11" s="138" t="str">
        <f>VLOOKUP(A11,[1]characters!$A:$C,3,FALSE)</f>
        <v>炎断の華嫁 ガーネット</v>
      </c>
      <c r="C11" s="105" t="s">
        <v>199</v>
      </c>
      <c r="D11" s="138" t="str">
        <f t="shared" si="0"/>
        <v>1698cskill</v>
      </c>
      <c r="E11" s="138" t="str">
        <f>A11&amp;+(COUNTIF(A11:A$101,A11)-1)</f>
        <v>16980</v>
      </c>
      <c r="F11" s="105" t="s">
        <v>198</v>
      </c>
      <c r="G11" s="162" t="s">
        <v>411</v>
      </c>
      <c r="H11" s="162" t="s">
        <v>415</v>
      </c>
    </row>
    <row r="12" spans="1:8" x14ac:dyDescent="0.15">
      <c r="A12" s="105">
        <v>1699</v>
      </c>
      <c r="B12" s="138" t="str">
        <f>VLOOKUP(A12,[1]characters!$A:$C,3,FALSE)</f>
        <v>崇高祝言 アマテラス</v>
      </c>
      <c r="C12" s="105" t="s">
        <v>196</v>
      </c>
      <c r="D12" s="138" t="str">
        <f t="shared" si="0"/>
        <v>1699skill</v>
      </c>
      <c r="E12" s="138" t="str">
        <f>A12&amp;+(COUNTIF(A12:A$101,A12)-1)</f>
        <v>16994</v>
      </c>
      <c r="F12" s="105" t="s">
        <v>187</v>
      </c>
      <c r="G12" s="162" t="s">
        <v>411</v>
      </c>
      <c r="H12" s="162" t="s">
        <v>418</v>
      </c>
    </row>
    <row r="13" spans="1:8" x14ac:dyDescent="0.15">
      <c r="A13" s="105">
        <v>1699</v>
      </c>
      <c r="B13" s="138" t="str">
        <f>VLOOKUP(A13,[1]characters!$A:$C,3,FALSE)</f>
        <v>崇高祝言 アマテラス</v>
      </c>
      <c r="C13" s="105" t="s">
        <v>199</v>
      </c>
      <c r="D13" s="138" t="str">
        <f t="shared" si="0"/>
        <v>1699cskill</v>
      </c>
      <c r="E13" s="138" t="str">
        <f>A13&amp;+(COUNTIF(A13:A$101,A13)-1)</f>
        <v>16993</v>
      </c>
      <c r="F13" s="105" t="s">
        <v>187</v>
      </c>
      <c r="G13" s="162" t="s">
        <v>411</v>
      </c>
      <c r="H13" s="162" t="s">
        <v>419</v>
      </c>
    </row>
    <row r="14" spans="1:8" x14ac:dyDescent="0.15">
      <c r="A14" s="105">
        <v>1699</v>
      </c>
      <c r="B14" s="138" t="str">
        <f>VLOOKUP(A14,[1]characters!$A:$C,3,FALSE)</f>
        <v>崇高祝言 アマテラス</v>
      </c>
      <c r="C14" s="105" t="s">
        <v>199</v>
      </c>
      <c r="D14" s="138" t="str">
        <f t="shared" si="0"/>
        <v>1699cskill</v>
      </c>
      <c r="E14" s="138" t="str">
        <f>A14&amp;+(COUNTIF(A14:A$101,A14)-1)</f>
        <v>16992</v>
      </c>
      <c r="F14" s="105" t="s">
        <v>187</v>
      </c>
      <c r="G14" s="162" t="s">
        <v>197</v>
      </c>
      <c r="H14" s="162" t="s">
        <v>420</v>
      </c>
    </row>
    <row r="15" spans="1:8" x14ac:dyDescent="0.15">
      <c r="A15" s="105">
        <v>1699</v>
      </c>
      <c r="B15" s="138" t="str">
        <f>VLOOKUP(A15,[1]characters!$A:$C,3,FALSE)</f>
        <v>崇高祝言 アマテラス</v>
      </c>
      <c r="C15" s="105" t="s">
        <v>199</v>
      </c>
      <c r="D15" s="138" t="str">
        <f t="shared" si="0"/>
        <v>1699cskill</v>
      </c>
      <c r="E15" s="138" t="str">
        <f>A15&amp;+(COUNTIF(A15:A$101,A15)-1)</f>
        <v>16991</v>
      </c>
      <c r="F15" s="105" t="s">
        <v>187</v>
      </c>
      <c r="G15" s="162" t="s">
        <v>411</v>
      </c>
      <c r="H15" s="162" t="s">
        <v>421</v>
      </c>
    </row>
    <row r="16" spans="1:8" x14ac:dyDescent="0.15">
      <c r="A16" s="105">
        <v>1699</v>
      </c>
      <c r="B16" s="138" t="str">
        <f>VLOOKUP(A16,[1]characters!$A:$C,3,FALSE)</f>
        <v>崇高祝言 アマテラス</v>
      </c>
      <c r="C16" s="105" t="s">
        <v>199</v>
      </c>
      <c r="D16" s="138" t="str">
        <f t="shared" si="0"/>
        <v>1699cskill</v>
      </c>
      <c r="E16" s="138" t="str">
        <f>A16&amp;+(COUNTIF(A16:A$101,A16)-1)</f>
        <v>16990</v>
      </c>
      <c r="F16" s="105" t="s">
        <v>187</v>
      </c>
      <c r="G16" s="162" t="s">
        <v>411</v>
      </c>
      <c r="H16" s="162" t="s">
        <v>422</v>
      </c>
    </row>
    <row r="17" spans="1:8" x14ac:dyDescent="0.15">
      <c r="A17" s="105">
        <v>1700</v>
      </c>
      <c r="B17" s="138" t="str">
        <f>VLOOKUP(A17,[1]characters!$A:$C,3,FALSE)</f>
        <v>大慶総氏神 アマテラス</v>
      </c>
      <c r="C17" s="105" t="s">
        <v>196</v>
      </c>
      <c r="D17" s="138" t="str">
        <f t="shared" si="0"/>
        <v>1700skill</v>
      </c>
      <c r="E17" s="138" t="str">
        <f>A17&amp;+(COUNTIF(A17:A$101,A17)-1)</f>
        <v>17004</v>
      </c>
      <c r="F17" s="105" t="s">
        <v>186</v>
      </c>
      <c r="G17" s="162" t="s">
        <v>411</v>
      </c>
      <c r="H17" s="162" t="s">
        <v>423</v>
      </c>
    </row>
    <row r="18" spans="1:8" x14ac:dyDescent="0.15">
      <c r="A18" s="105">
        <v>1700</v>
      </c>
      <c r="B18" s="138" t="str">
        <f>VLOOKUP(A18,[1]characters!$A:$C,3,FALSE)</f>
        <v>大慶総氏神 アマテラス</v>
      </c>
      <c r="C18" s="105" t="s">
        <v>199</v>
      </c>
      <c r="D18" s="138" t="str">
        <f t="shared" si="0"/>
        <v>1700cskill</v>
      </c>
      <c r="E18" s="138" t="str">
        <f>A18&amp;+(COUNTIF(A18:A$101,A18)-1)</f>
        <v>17003</v>
      </c>
      <c r="F18" s="105" t="s">
        <v>186</v>
      </c>
      <c r="G18" s="162" t="s">
        <v>411</v>
      </c>
      <c r="H18" s="162" t="s">
        <v>419</v>
      </c>
    </row>
    <row r="19" spans="1:8" x14ac:dyDescent="0.15">
      <c r="A19" s="105">
        <v>1700</v>
      </c>
      <c r="B19" s="138" t="str">
        <f>VLOOKUP(A19,[1]characters!$A:$C,3,FALSE)</f>
        <v>大慶総氏神 アマテラス</v>
      </c>
      <c r="C19" s="105" t="s">
        <v>199</v>
      </c>
      <c r="D19" s="138" t="str">
        <f t="shared" si="0"/>
        <v>1700cskill</v>
      </c>
      <c r="E19" s="138" t="str">
        <f>A19&amp;+(COUNTIF(A19:A$101,A19)-1)</f>
        <v>17002</v>
      </c>
      <c r="F19" s="105" t="s">
        <v>186</v>
      </c>
      <c r="G19" s="162" t="s">
        <v>197</v>
      </c>
      <c r="H19" s="162" t="s">
        <v>420</v>
      </c>
    </row>
    <row r="20" spans="1:8" x14ac:dyDescent="0.15">
      <c r="A20" s="105">
        <v>1700</v>
      </c>
      <c r="B20" s="138" t="str">
        <f>VLOOKUP(A20,[1]characters!$A:$C,3,FALSE)</f>
        <v>大慶総氏神 アマテラス</v>
      </c>
      <c r="C20" s="105" t="s">
        <v>199</v>
      </c>
      <c r="D20" s="138" t="str">
        <f t="shared" si="0"/>
        <v>1700cskill</v>
      </c>
      <c r="E20" s="138" t="str">
        <f>A20&amp;+(COUNTIF(A20:A$101,A20)-1)</f>
        <v>17001</v>
      </c>
      <c r="F20" s="105" t="s">
        <v>186</v>
      </c>
      <c r="G20" s="162" t="s">
        <v>411</v>
      </c>
      <c r="H20" s="162" t="s">
        <v>424</v>
      </c>
    </row>
    <row r="21" spans="1:8" x14ac:dyDescent="0.15">
      <c r="A21" s="105">
        <v>1700</v>
      </c>
      <c r="B21" s="138" t="str">
        <f>VLOOKUP(A21,[1]characters!$A:$C,3,FALSE)</f>
        <v>大慶総氏神 アマテラス</v>
      </c>
      <c r="C21" s="105" t="s">
        <v>199</v>
      </c>
      <c r="D21" s="138" t="str">
        <f t="shared" si="0"/>
        <v>1700cskill</v>
      </c>
      <c r="E21" s="138" t="str">
        <f>A21&amp;+(COUNTIF(A21:A$101,A21)-1)</f>
        <v>17000</v>
      </c>
      <c r="F21" s="105" t="s">
        <v>186</v>
      </c>
      <c r="G21" s="162" t="s">
        <v>411</v>
      </c>
      <c r="H21" s="162" t="s">
        <v>422</v>
      </c>
    </row>
    <row r="22" spans="1:8" x14ac:dyDescent="0.15">
      <c r="A22" s="105">
        <v>1701</v>
      </c>
      <c r="B22" s="138" t="str">
        <f>VLOOKUP(A22,[1]characters!$A:$C,3,FALSE)</f>
        <v>蒼嵐の婚戦 フォルトゥナ</v>
      </c>
      <c r="C22" s="105" t="s">
        <v>196</v>
      </c>
      <c r="D22" s="138" t="str">
        <f t="shared" si="0"/>
        <v>1701skill</v>
      </c>
      <c r="E22" s="138" t="str">
        <f>A22&amp;+(COUNTIF(A22:A$101,A22)-1)</f>
        <v>17014</v>
      </c>
      <c r="F22" s="105" t="s">
        <v>198</v>
      </c>
      <c r="G22" s="162" t="s">
        <v>411</v>
      </c>
      <c r="H22" s="162" t="s">
        <v>425</v>
      </c>
    </row>
    <row r="23" spans="1:8" x14ac:dyDescent="0.15">
      <c r="A23" s="105">
        <v>1701</v>
      </c>
      <c r="B23" s="138" t="str">
        <f>VLOOKUP(A23,[1]characters!$A:$C,3,FALSE)</f>
        <v>蒼嵐の婚戦 フォルトゥナ</v>
      </c>
      <c r="C23" s="105" t="s">
        <v>199</v>
      </c>
      <c r="D23" s="138" t="str">
        <f t="shared" si="0"/>
        <v>1701cskill</v>
      </c>
      <c r="E23" s="138" t="str">
        <f>A23&amp;+(COUNTIF(A23:A$101,A23)-1)</f>
        <v>17013</v>
      </c>
      <c r="F23" s="105" t="s">
        <v>187</v>
      </c>
      <c r="G23" s="162" t="s">
        <v>411</v>
      </c>
      <c r="H23" s="162" t="s">
        <v>426</v>
      </c>
    </row>
    <row r="24" spans="1:8" x14ac:dyDescent="0.15">
      <c r="A24" s="105">
        <v>1701</v>
      </c>
      <c r="B24" s="138" t="str">
        <f>VLOOKUP(A24,[1]characters!$A:$C,3,FALSE)</f>
        <v>蒼嵐の婚戦 フォルトゥナ</v>
      </c>
      <c r="C24" s="105" t="s">
        <v>199</v>
      </c>
      <c r="D24" s="138" t="str">
        <f t="shared" si="0"/>
        <v>1701cskill</v>
      </c>
      <c r="E24" s="138" t="str">
        <f>A24&amp;+(COUNTIF(A24:A$101,A24)-1)</f>
        <v>17012</v>
      </c>
      <c r="F24" s="105" t="s">
        <v>187</v>
      </c>
      <c r="G24" s="162" t="s">
        <v>197</v>
      </c>
      <c r="H24" s="162" t="s">
        <v>427</v>
      </c>
    </row>
    <row r="25" spans="1:8" x14ac:dyDescent="0.15">
      <c r="A25" s="105">
        <v>1701</v>
      </c>
      <c r="B25" s="138" t="str">
        <f>VLOOKUP(A25,[1]characters!$A:$C,3,FALSE)</f>
        <v>蒼嵐の婚戦 フォルトゥナ</v>
      </c>
      <c r="C25" s="105" t="s">
        <v>199</v>
      </c>
      <c r="D25" s="138" t="str">
        <f t="shared" si="0"/>
        <v>1701cskill</v>
      </c>
      <c r="E25" s="138" t="str">
        <f>A25&amp;+(COUNTIF(A25:A$101,A25)-1)</f>
        <v>17011</v>
      </c>
      <c r="F25" s="105" t="s">
        <v>198</v>
      </c>
      <c r="G25" s="162" t="s">
        <v>411</v>
      </c>
      <c r="H25" s="162" t="s">
        <v>428</v>
      </c>
    </row>
    <row r="26" spans="1:8" x14ac:dyDescent="0.15">
      <c r="A26" s="105">
        <v>1701</v>
      </c>
      <c r="B26" s="138" t="str">
        <f>VLOOKUP(A26,[1]characters!$A:$C,3,FALSE)</f>
        <v>蒼嵐の婚戦 フォルトゥナ</v>
      </c>
      <c r="C26" s="105" t="s">
        <v>199</v>
      </c>
      <c r="D26" s="138" t="str">
        <f t="shared" si="0"/>
        <v>1701cskill</v>
      </c>
      <c r="E26" s="138" t="str">
        <f>A26&amp;+(COUNTIF(A26:A$101,A26)-1)</f>
        <v>17010</v>
      </c>
      <c r="F26" s="105" t="s">
        <v>198</v>
      </c>
      <c r="G26" s="162" t="s">
        <v>411</v>
      </c>
      <c r="H26" s="162" t="s">
        <v>429</v>
      </c>
    </row>
    <row r="27" spans="1:8" x14ac:dyDescent="0.15">
      <c r="A27" s="105">
        <v>1702</v>
      </c>
      <c r="B27" s="138" t="str">
        <f>VLOOKUP(A27,[1]characters!$A:$C,3,FALSE)</f>
        <v>求愛の夢想剣 フォルトゥナ</v>
      </c>
      <c r="C27" s="105" t="s">
        <v>196</v>
      </c>
      <c r="D27" s="138" t="str">
        <f t="shared" si="0"/>
        <v>1702skill</v>
      </c>
      <c r="E27" s="138" t="str">
        <f>A27&amp;+(COUNTIF(A27:A$101,A27)-1)</f>
        <v>17024</v>
      </c>
      <c r="F27" s="105" t="s">
        <v>198</v>
      </c>
      <c r="G27" s="162" t="s">
        <v>411</v>
      </c>
      <c r="H27" s="162" t="s">
        <v>430</v>
      </c>
    </row>
    <row r="28" spans="1:8" x14ac:dyDescent="0.15">
      <c r="A28" s="105">
        <v>1702</v>
      </c>
      <c r="B28" s="138" t="str">
        <f>VLOOKUP(A28,[1]characters!$A:$C,3,FALSE)</f>
        <v>求愛の夢想剣 フォルトゥナ</v>
      </c>
      <c r="C28" s="105" t="s">
        <v>199</v>
      </c>
      <c r="D28" s="138" t="str">
        <f t="shared" si="0"/>
        <v>1702cskill</v>
      </c>
      <c r="E28" s="138" t="str">
        <f>A28&amp;+(COUNTIF(A28:A$101,A28)-1)</f>
        <v>17023</v>
      </c>
      <c r="F28" s="105" t="s">
        <v>186</v>
      </c>
      <c r="G28" s="162" t="s">
        <v>197</v>
      </c>
      <c r="H28" s="162" t="s">
        <v>431</v>
      </c>
    </row>
    <row r="29" spans="1:8" x14ac:dyDescent="0.15">
      <c r="A29" s="105">
        <v>1702</v>
      </c>
      <c r="B29" s="138" t="str">
        <f>VLOOKUP(A29,[1]characters!$A:$C,3,FALSE)</f>
        <v>求愛の夢想剣 フォルトゥナ</v>
      </c>
      <c r="C29" s="105" t="s">
        <v>199</v>
      </c>
      <c r="D29" s="138" t="str">
        <f t="shared" si="0"/>
        <v>1702cskill</v>
      </c>
      <c r="E29" s="138" t="str">
        <f>A29&amp;+(COUNTIF(A29:A$101,A29)-1)</f>
        <v>17022</v>
      </c>
      <c r="F29" s="105" t="s">
        <v>186</v>
      </c>
      <c r="G29" s="162" t="s">
        <v>197</v>
      </c>
      <c r="H29" s="162" t="s">
        <v>427</v>
      </c>
    </row>
    <row r="30" spans="1:8" x14ac:dyDescent="0.15">
      <c r="A30" s="105">
        <v>1702</v>
      </c>
      <c r="B30" s="138" t="str">
        <f>VLOOKUP(A30,[1]characters!$A:$C,3,FALSE)</f>
        <v>求愛の夢想剣 フォルトゥナ</v>
      </c>
      <c r="C30" s="105" t="s">
        <v>199</v>
      </c>
      <c r="D30" s="138" t="str">
        <f t="shared" si="0"/>
        <v>1702cskill</v>
      </c>
      <c r="E30" s="138" t="str">
        <f>A30&amp;+(COUNTIF(A30:A$101,A30)-1)</f>
        <v>17021</v>
      </c>
      <c r="F30" s="105" t="s">
        <v>198</v>
      </c>
      <c r="G30" s="162" t="s">
        <v>411</v>
      </c>
      <c r="H30" s="162" t="s">
        <v>428</v>
      </c>
    </row>
    <row r="31" spans="1:8" x14ac:dyDescent="0.15">
      <c r="A31" s="105">
        <v>1702</v>
      </c>
      <c r="B31" s="138" t="str">
        <f>VLOOKUP(A31,[1]characters!$A:$C,3,FALSE)</f>
        <v>求愛の夢想剣 フォルトゥナ</v>
      </c>
      <c r="C31" s="105" t="s">
        <v>199</v>
      </c>
      <c r="D31" s="138" t="str">
        <f t="shared" si="0"/>
        <v>1702cskill</v>
      </c>
      <c r="E31" s="138" t="str">
        <f>A31&amp;+(COUNTIF(A31:A$101,A31)-1)</f>
        <v>17020</v>
      </c>
      <c r="F31" s="105" t="s">
        <v>198</v>
      </c>
      <c r="G31" s="162" t="s">
        <v>411</v>
      </c>
      <c r="H31" s="162" t="s">
        <v>429</v>
      </c>
    </row>
    <row r="32" spans="1:8" x14ac:dyDescent="0.15">
      <c r="A32" s="105">
        <v>1703</v>
      </c>
      <c r="B32" s="138" t="str">
        <f>VLOOKUP(A32,[1]characters!$A:$C,3,FALSE)</f>
        <v>可恋なる花乙女 リリィ</v>
      </c>
      <c r="C32" s="105" t="s">
        <v>196</v>
      </c>
      <c r="D32" s="138" t="str">
        <f t="shared" si="0"/>
        <v>1703skill</v>
      </c>
      <c r="E32" s="138" t="str">
        <f>A32&amp;+(COUNTIF(A32:A$101,A32)-1)</f>
        <v>17034</v>
      </c>
      <c r="F32" s="105" t="s">
        <v>187</v>
      </c>
      <c r="G32" s="162" t="s">
        <v>197</v>
      </c>
      <c r="H32" s="162" t="s">
        <v>432</v>
      </c>
    </row>
    <row r="33" spans="1:8" x14ac:dyDescent="0.15">
      <c r="A33" s="105">
        <v>1703</v>
      </c>
      <c r="B33" s="138" t="str">
        <f>VLOOKUP(A33,[1]characters!$A:$C,3,FALSE)</f>
        <v>可恋なる花乙女 リリィ</v>
      </c>
      <c r="C33" s="105" t="s">
        <v>199</v>
      </c>
      <c r="D33" s="138" t="str">
        <f t="shared" si="0"/>
        <v>1703cskill</v>
      </c>
      <c r="E33" s="138" t="str">
        <f>A33&amp;+(COUNTIF(A33:A$101,A33)-1)</f>
        <v>17033</v>
      </c>
      <c r="F33" s="105" t="s">
        <v>187</v>
      </c>
      <c r="G33" s="162" t="s">
        <v>197</v>
      </c>
      <c r="H33" s="162" t="s">
        <v>433</v>
      </c>
    </row>
    <row r="34" spans="1:8" x14ac:dyDescent="0.15">
      <c r="A34" s="105">
        <v>1703</v>
      </c>
      <c r="B34" s="138" t="str">
        <f>VLOOKUP(A34,[1]characters!$A:$C,3,FALSE)</f>
        <v>可恋なる花乙女 リリィ</v>
      </c>
      <c r="C34" s="105" t="s">
        <v>199</v>
      </c>
      <c r="D34" s="138" t="str">
        <f t="shared" ref="D34:D65" si="1">A34&amp;C34</f>
        <v>1703cskill</v>
      </c>
      <c r="E34" s="138" t="str">
        <f>A34&amp;+(COUNTIF(A34:A$101,A34)-1)</f>
        <v>17032</v>
      </c>
      <c r="F34" s="105" t="s">
        <v>187</v>
      </c>
      <c r="G34" s="162" t="s">
        <v>197</v>
      </c>
      <c r="H34" s="162" t="s">
        <v>434</v>
      </c>
    </row>
    <row r="35" spans="1:8" x14ac:dyDescent="0.15">
      <c r="A35" s="105">
        <v>1703</v>
      </c>
      <c r="B35" s="138" t="str">
        <f>VLOOKUP(A35,[1]characters!$A:$C,3,FALSE)</f>
        <v>可恋なる花乙女 リリィ</v>
      </c>
      <c r="C35" s="105" t="s">
        <v>199</v>
      </c>
      <c r="D35" s="138" t="str">
        <f t="shared" si="1"/>
        <v>1703cskill</v>
      </c>
      <c r="E35" s="138" t="str">
        <f>A35&amp;+(COUNTIF(A35:A$101,A35)-1)</f>
        <v>17031</v>
      </c>
      <c r="F35" s="105" t="s">
        <v>187</v>
      </c>
      <c r="G35" s="162" t="s">
        <v>411</v>
      </c>
      <c r="H35" s="162" t="s">
        <v>435</v>
      </c>
    </row>
    <row r="36" spans="1:8" x14ac:dyDescent="0.15">
      <c r="A36" s="105">
        <v>1703</v>
      </c>
      <c r="B36" s="138" t="str">
        <f>VLOOKUP(A36,[1]characters!$A:$C,3,FALSE)</f>
        <v>可恋なる花乙女 リリィ</v>
      </c>
      <c r="C36" s="105" t="s">
        <v>199</v>
      </c>
      <c r="D36" s="138" t="str">
        <f t="shared" si="1"/>
        <v>1703cskill</v>
      </c>
      <c r="E36" s="138" t="str">
        <f>A36&amp;+(COUNTIF(A36:A$101,A36)-1)</f>
        <v>17030</v>
      </c>
      <c r="F36" s="105" t="s">
        <v>187</v>
      </c>
      <c r="G36" s="162" t="s">
        <v>197</v>
      </c>
      <c r="H36" s="162" t="s">
        <v>436</v>
      </c>
    </row>
    <row r="37" spans="1:8" x14ac:dyDescent="0.15">
      <c r="A37" s="105">
        <v>1704</v>
      </c>
      <c r="B37" s="138" t="str">
        <f>VLOOKUP(A37,[1]characters!$A:$C,3,FALSE)</f>
        <v>恋焦がす夢乙女 リリィ</v>
      </c>
      <c r="C37" s="105" t="s">
        <v>196</v>
      </c>
      <c r="D37" s="138" t="str">
        <f t="shared" si="1"/>
        <v>1704skill</v>
      </c>
      <c r="E37" s="138" t="str">
        <f>A37&amp;+(COUNTIF(A37:A$101,A37)-1)</f>
        <v>17044</v>
      </c>
      <c r="F37" s="105" t="s">
        <v>186</v>
      </c>
      <c r="G37" s="162" t="s">
        <v>197</v>
      </c>
      <c r="H37" s="162" t="s">
        <v>437</v>
      </c>
    </row>
    <row r="38" spans="1:8" x14ac:dyDescent="0.15">
      <c r="A38" s="105">
        <v>1704</v>
      </c>
      <c r="B38" s="138" t="str">
        <f>VLOOKUP(A38,[1]characters!$A:$C,3,FALSE)</f>
        <v>恋焦がす夢乙女 リリィ</v>
      </c>
      <c r="C38" s="105" t="s">
        <v>199</v>
      </c>
      <c r="D38" s="138" t="str">
        <f t="shared" si="1"/>
        <v>1704cskill</v>
      </c>
      <c r="E38" s="138" t="str">
        <f>A38&amp;+(COUNTIF(A38:A$101,A38)-1)</f>
        <v>17043</v>
      </c>
      <c r="F38" s="105" t="s">
        <v>186</v>
      </c>
      <c r="G38" s="162" t="s">
        <v>411</v>
      </c>
      <c r="H38" s="162" t="s">
        <v>438</v>
      </c>
    </row>
    <row r="39" spans="1:8" x14ac:dyDescent="0.15">
      <c r="A39" s="105">
        <v>1704</v>
      </c>
      <c r="B39" s="138" t="str">
        <f>VLOOKUP(A39,[1]characters!$A:$C,3,FALSE)</f>
        <v>恋焦がす夢乙女 リリィ</v>
      </c>
      <c r="C39" s="105" t="s">
        <v>199</v>
      </c>
      <c r="D39" s="138" t="str">
        <f t="shared" si="1"/>
        <v>1704cskill</v>
      </c>
      <c r="E39" s="138" t="str">
        <f>A39&amp;+(COUNTIF(A39:A$101,A39)-1)</f>
        <v>17042</v>
      </c>
      <c r="F39" s="105" t="s">
        <v>186</v>
      </c>
      <c r="G39" s="162" t="s">
        <v>197</v>
      </c>
      <c r="H39" s="162" t="s">
        <v>434</v>
      </c>
    </row>
    <row r="40" spans="1:8" x14ac:dyDescent="0.15">
      <c r="A40" s="105">
        <v>1704</v>
      </c>
      <c r="B40" s="138" t="str">
        <f>VLOOKUP(A40,[1]characters!$A:$C,3,FALSE)</f>
        <v>恋焦がす夢乙女 リリィ</v>
      </c>
      <c r="C40" s="105" t="s">
        <v>199</v>
      </c>
      <c r="D40" s="138" t="str">
        <f t="shared" si="1"/>
        <v>1704cskill</v>
      </c>
      <c r="E40" s="138" t="str">
        <f>A40&amp;+(COUNTIF(A40:A$101,A40)-1)</f>
        <v>17041</v>
      </c>
      <c r="F40" s="105" t="s">
        <v>186</v>
      </c>
      <c r="G40" s="162" t="s">
        <v>411</v>
      </c>
      <c r="H40" s="162" t="s">
        <v>435</v>
      </c>
    </row>
    <row r="41" spans="1:8" x14ac:dyDescent="0.15">
      <c r="A41" s="105">
        <v>1704</v>
      </c>
      <c r="B41" s="138" t="str">
        <f>VLOOKUP(A41,[1]characters!$A:$C,3,FALSE)</f>
        <v>恋焦がす夢乙女 リリィ</v>
      </c>
      <c r="C41" s="105" t="s">
        <v>199</v>
      </c>
      <c r="D41" s="138" t="str">
        <f t="shared" si="1"/>
        <v>1704cskill</v>
      </c>
      <c r="E41" s="138" t="str">
        <f>A41&amp;+(COUNTIF(A41:A$101,A41)-1)</f>
        <v>17040</v>
      </c>
      <c r="F41" s="105" t="s">
        <v>186</v>
      </c>
      <c r="G41" s="162" t="s">
        <v>197</v>
      </c>
      <c r="H41" s="162" t="s">
        <v>436</v>
      </c>
    </row>
    <row r="42" spans="1:8" x14ac:dyDescent="0.15">
      <c r="A42" s="105">
        <v>1705</v>
      </c>
      <c r="B42" s="138" t="str">
        <f>VLOOKUP(A42,[1]characters!$A:$C,3,FALSE)</f>
        <v>純白の新婦軍 白雪姫</v>
      </c>
      <c r="C42" s="105" t="s">
        <v>196</v>
      </c>
      <c r="D42" s="138" t="str">
        <f t="shared" si="1"/>
        <v>1705skill</v>
      </c>
      <c r="E42" s="138" t="str">
        <f>A42&amp;+(COUNTIF(A42:A$101,A42)-1)</f>
        <v>17054</v>
      </c>
      <c r="F42" s="105" t="s">
        <v>198</v>
      </c>
      <c r="G42" s="162" t="s">
        <v>411</v>
      </c>
      <c r="H42" s="162" t="s">
        <v>439</v>
      </c>
    </row>
    <row r="43" spans="1:8" x14ac:dyDescent="0.15">
      <c r="A43" s="105">
        <v>1705</v>
      </c>
      <c r="B43" s="138" t="str">
        <f>VLOOKUP(A43,[1]characters!$A:$C,3,FALSE)</f>
        <v>純白の新婦軍 白雪姫</v>
      </c>
      <c r="C43" s="105" t="s">
        <v>199</v>
      </c>
      <c r="D43" s="138" t="str">
        <f t="shared" si="1"/>
        <v>1705cskill</v>
      </c>
      <c r="E43" s="138" t="str">
        <f>A43&amp;+(COUNTIF(A43:A$101,A43)-1)</f>
        <v>17053</v>
      </c>
      <c r="F43" s="105" t="s">
        <v>187</v>
      </c>
      <c r="G43" s="162" t="s">
        <v>411</v>
      </c>
      <c r="H43" s="162" t="s">
        <v>440</v>
      </c>
    </row>
    <row r="44" spans="1:8" x14ac:dyDescent="0.15">
      <c r="A44" s="105">
        <v>1705</v>
      </c>
      <c r="B44" s="138" t="str">
        <f>VLOOKUP(A44,[1]characters!$A:$C,3,FALSE)</f>
        <v>純白の新婦軍 白雪姫</v>
      </c>
      <c r="C44" s="105" t="s">
        <v>199</v>
      </c>
      <c r="D44" s="138" t="str">
        <f t="shared" si="1"/>
        <v>1705cskill</v>
      </c>
      <c r="E44" s="138" t="str">
        <f>A44&amp;+(COUNTIF(A44:A$101,A44)-1)</f>
        <v>17052</v>
      </c>
      <c r="F44" s="105" t="s">
        <v>187</v>
      </c>
      <c r="G44" s="162" t="s">
        <v>411</v>
      </c>
      <c r="H44" s="162" t="s">
        <v>441</v>
      </c>
    </row>
    <row r="45" spans="1:8" x14ac:dyDescent="0.15">
      <c r="A45" s="105">
        <v>1705</v>
      </c>
      <c r="B45" s="138" t="str">
        <f>VLOOKUP(A45,[1]characters!$A:$C,3,FALSE)</f>
        <v>純白の新婦軍 白雪姫</v>
      </c>
      <c r="C45" s="105" t="s">
        <v>199</v>
      </c>
      <c r="D45" s="138" t="str">
        <f t="shared" si="1"/>
        <v>1705cskill</v>
      </c>
      <c r="E45" s="138" t="str">
        <f>A45&amp;+(COUNTIF(A45:A$101,A45)-1)</f>
        <v>17051</v>
      </c>
      <c r="F45" s="105" t="s">
        <v>198</v>
      </c>
      <c r="G45" s="162" t="s">
        <v>411</v>
      </c>
      <c r="H45" s="162" t="s">
        <v>442</v>
      </c>
    </row>
    <row r="46" spans="1:8" x14ac:dyDescent="0.15">
      <c r="A46" s="105">
        <v>1705</v>
      </c>
      <c r="B46" s="138" t="str">
        <f>VLOOKUP(A46,[1]characters!$A:$C,3,FALSE)</f>
        <v>純白の新婦軍 白雪姫</v>
      </c>
      <c r="C46" s="105" t="s">
        <v>199</v>
      </c>
      <c r="D46" s="138" t="str">
        <f t="shared" si="1"/>
        <v>1705cskill</v>
      </c>
      <c r="E46" s="138" t="str">
        <f>A46&amp;+(COUNTIF(A46:A$101,A46)-1)</f>
        <v>17050</v>
      </c>
      <c r="F46" s="105" t="s">
        <v>198</v>
      </c>
      <c r="G46" s="162" t="s">
        <v>197</v>
      </c>
      <c r="H46" s="162" t="s">
        <v>443</v>
      </c>
    </row>
    <row r="47" spans="1:8" x14ac:dyDescent="0.15">
      <c r="A47" s="105">
        <v>1706</v>
      </c>
      <c r="B47" s="138" t="str">
        <f>VLOOKUP(A47,[1]characters!$A:$C,3,FALSE)</f>
        <v>幸福なる大祝砲 白雪姫</v>
      </c>
      <c r="C47" s="105" t="s">
        <v>196</v>
      </c>
      <c r="D47" s="138" t="str">
        <f t="shared" si="1"/>
        <v>1706skill</v>
      </c>
      <c r="E47" s="138" t="str">
        <f>A47&amp;+(COUNTIF(A47:A$101,A47)-1)</f>
        <v>17064</v>
      </c>
      <c r="F47" s="105" t="s">
        <v>198</v>
      </c>
      <c r="G47" s="162" t="s">
        <v>411</v>
      </c>
      <c r="H47" s="162" t="s">
        <v>444</v>
      </c>
    </row>
    <row r="48" spans="1:8" x14ac:dyDescent="0.15">
      <c r="A48" s="105">
        <v>1706</v>
      </c>
      <c r="B48" s="138" t="str">
        <f>VLOOKUP(A48,[1]characters!$A:$C,3,FALSE)</f>
        <v>幸福なる大祝砲 白雪姫</v>
      </c>
      <c r="C48" s="105" t="s">
        <v>199</v>
      </c>
      <c r="D48" s="138" t="str">
        <f t="shared" si="1"/>
        <v>1706cskill</v>
      </c>
      <c r="E48" s="138" t="str">
        <f>A48&amp;+(COUNTIF(A48:A$101,A48)-1)</f>
        <v>17063</v>
      </c>
      <c r="F48" s="105" t="s">
        <v>186</v>
      </c>
      <c r="G48" s="162" t="s">
        <v>411</v>
      </c>
      <c r="H48" s="162" t="s">
        <v>440</v>
      </c>
    </row>
    <row r="49" spans="1:8" x14ac:dyDescent="0.15">
      <c r="A49" s="105">
        <v>1706</v>
      </c>
      <c r="B49" s="138" t="str">
        <f>VLOOKUP(A49,[1]characters!$A:$C,3,FALSE)</f>
        <v>幸福なる大祝砲 白雪姫</v>
      </c>
      <c r="C49" s="105" t="s">
        <v>199</v>
      </c>
      <c r="D49" s="138" t="str">
        <f t="shared" si="1"/>
        <v>1706cskill</v>
      </c>
      <c r="E49" s="138" t="str">
        <f>A49&amp;+(COUNTIF(A49:A$101,A49)-1)</f>
        <v>17062</v>
      </c>
      <c r="F49" s="105" t="s">
        <v>186</v>
      </c>
      <c r="G49" s="162" t="s">
        <v>411</v>
      </c>
      <c r="H49" s="162" t="s">
        <v>445</v>
      </c>
    </row>
    <row r="50" spans="1:8" x14ac:dyDescent="0.15">
      <c r="A50" s="105">
        <v>1706</v>
      </c>
      <c r="B50" s="138" t="str">
        <f>VLOOKUP(A50,[1]characters!$A:$C,3,FALSE)</f>
        <v>幸福なる大祝砲 白雪姫</v>
      </c>
      <c r="C50" s="105" t="s">
        <v>199</v>
      </c>
      <c r="D50" s="138" t="str">
        <f t="shared" si="1"/>
        <v>1706cskill</v>
      </c>
      <c r="E50" s="138" t="str">
        <f>A50&amp;+(COUNTIF(A50:A$101,A50)-1)</f>
        <v>17061</v>
      </c>
      <c r="F50" s="105" t="s">
        <v>198</v>
      </c>
      <c r="G50" s="162" t="s">
        <v>411</v>
      </c>
      <c r="H50" s="162" t="s">
        <v>442</v>
      </c>
    </row>
    <row r="51" spans="1:8" x14ac:dyDescent="0.15">
      <c r="A51" s="105">
        <v>1706</v>
      </c>
      <c r="B51" s="138" t="str">
        <f>VLOOKUP(A51,[1]characters!$A:$C,3,FALSE)</f>
        <v>幸福なる大祝砲 白雪姫</v>
      </c>
      <c r="C51" s="105" t="s">
        <v>199</v>
      </c>
      <c r="D51" s="138" t="str">
        <f t="shared" si="1"/>
        <v>1706cskill</v>
      </c>
      <c r="E51" s="138" t="str">
        <f>A51&amp;+(COUNTIF(A51:A$101,A51)-1)</f>
        <v>17060</v>
      </c>
      <c r="F51" s="105" t="s">
        <v>198</v>
      </c>
      <c r="G51" s="162" t="s">
        <v>197</v>
      </c>
      <c r="H51" s="162" t="s">
        <v>443</v>
      </c>
    </row>
    <row r="52" spans="1:8" x14ac:dyDescent="0.15">
      <c r="A52" s="105">
        <v>1707</v>
      </c>
      <c r="B52" s="138" t="str">
        <f>VLOOKUP(A52,[1]characters!$A:$C,3,FALSE)</f>
        <v>親愛なる猫嫁神 バステト</v>
      </c>
      <c r="C52" s="105" t="s">
        <v>196</v>
      </c>
      <c r="D52" s="138" t="str">
        <f t="shared" si="1"/>
        <v>1707skill</v>
      </c>
      <c r="E52" s="138" t="str">
        <f>A52&amp;+(COUNTIF(A52:A$101,A52)-1)</f>
        <v>17074</v>
      </c>
      <c r="F52" s="105" t="s">
        <v>187</v>
      </c>
      <c r="G52" s="162" t="s">
        <v>411</v>
      </c>
      <c r="H52" s="162" t="s">
        <v>446</v>
      </c>
    </row>
    <row r="53" spans="1:8" x14ac:dyDescent="0.15">
      <c r="A53" s="105">
        <v>1707</v>
      </c>
      <c r="B53" s="138" t="str">
        <f>VLOOKUP(A53,[1]characters!$A:$C,3,FALSE)</f>
        <v>親愛なる猫嫁神 バステト</v>
      </c>
      <c r="C53" s="105" t="s">
        <v>199</v>
      </c>
      <c r="D53" s="138" t="str">
        <f t="shared" si="1"/>
        <v>1707cskill</v>
      </c>
      <c r="E53" s="138" t="str">
        <f>A53&amp;+(COUNTIF(A53:A$101,A53)-1)</f>
        <v>17073</v>
      </c>
      <c r="F53" s="105" t="s">
        <v>187</v>
      </c>
      <c r="G53" s="162" t="s">
        <v>197</v>
      </c>
      <c r="H53" s="162" t="s">
        <v>448</v>
      </c>
    </row>
    <row r="54" spans="1:8" x14ac:dyDescent="0.15">
      <c r="A54" s="105">
        <v>1707</v>
      </c>
      <c r="B54" s="138" t="str">
        <f>VLOOKUP(A54,[1]characters!$A:$C,3,FALSE)</f>
        <v>親愛なる猫嫁神 バステト</v>
      </c>
      <c r="C54" s="105" t="s">
        <v>199</v>
      </c>
      <c r="D54" s="138" t="str">
        <f t="shared" si="1"/>
        <v>1707cskill</v>
      </c>
      <c r="E54" s="138" t="str">
        <f>A54&amp;+(COUNTIF(A54:A$101,A54)-1)</f>
        <v>17072</v>
      </c>
      <c r="F54" s="105" t="s">
        <v>187</v>
      </c>
      <c r="G54" s="162" t="s">
        <v>411</v>
      </c>
      <c r="H54" s="162" t="s">
        <v>449</v>
      </c>
    </row>
    <row r="55" spans="1:8" x14ac:dyDescent="0.15">
      <c r="A55" s="105">
        <v>1707</v>
      </c>
      <c r="B55" s="138" t="str">
        <f>VLOOKUP(A55,[1]characters!$A:$C,3,FALSE)</f>
        <v>親愛なる猫嫁神 バステト</v>
      </c>
      <c r="C55" s="105" t="s">
        <v>199</v>
      </c>
      <c r="D55" s="138" t="str">
        <f t="shared" si="1"/>
        <v>1707cskill</v>
      </c>
      <c r="E55" s="138" t="str">
        <f>A55&amp;+(COUNTIF(A55:A$101,A55)-1)</f>
        <v>17071</v>
      </c>
      <c r="F55" s="105" t="s">
        <v>187</v>
      </c>
      <c r="G55" s="162" t="s">
        <v>197</v>
      </c>
      <c r="H55" s="162" t="s">
        <v>450</v>
      </c>
    </row>
    <row r="56" spans="1:8" x14ac:dyDescent="0.15">
      <c r="A56" s="105">
        <v>1707</v>
      </c>
      <c r="B56" s="138" t="str">
        <f>VLOOKUP(A56,[1]characters!$A:$C,3,FALSE)</f>
        <v>親愛なる猫嫁神 バステト</v>
      </c>
      <c r="C56" s="105" t="s">
        <v>199</v>
      </c>
      <c r="D56" s="138" t="str">
        <f t="shared" si="1"/>
        <v>1707cskill</v>
      </c>
      <c r="E56" s="138" t="str">
        <f>A56&amp;+(COUNTIF(A56:A$101,A56)-1)</f>
        <v>17070</v>
      </c>
      <c r="F56" s="105" t="s">
        <v>187</v>
      </c>
      <c r="G56" s="162" t="s">
        <v>197</v>
      </c>
      <c r="H56" s="162" t="s">
        <v>451</v>
      </c>
    </row>
    <row r="57" spans="1:8" x14ac:dyDescent="0.15">
      <c r="A57" s="105">
        <v>1708</v>
      </c>
      <c r="B57" s="138" t="str">
        <f>VLOOKUP(A57,[1]characters!$A:$C,3,FALSE)</f>
        <v>御聖婚の幸猫神 バステト</v>
      </c>
      <c r="C57" s="105" t="s">
        <v>196</v>
      </c>
      <c r="D57" s="138" t="str">
        <f t="shared" si="1"/>
        <v>1708skill</v>
      </c>
      <c r="E57" s="138" t="str">
        <f>A57&amp;+(COUNTIF(A57:A$101,A57)-1)</f>
        <v>17084</v>
      </c>
      <c r="F57" s="105" t="s">
        <v>186</v>
      </c>
      <c r="G57" s="162" t="s">
        <v>411</v>
      </c>
      <c r="H57" s="162" t="s">
        <v>447</v>
      </c>
    </row>
    <row r="58" spans="1:8" x14ac:dyDescent="0.15">
      <c r="A58" s="105">
        <v>1708</v>
      </c>
      <c r="B58" s="138" t="str">
        <f>VLOOKUP(A58,[1]characters!$A:$C,3,FALSE)</f>
        <v>御聖婚の幸猫神 バステト</v>
      </c>
      <c r="C58" s="105" t="s">
        <v>199</v>
      </c>
      <c r="D58" s="138" t="str">
        <f t="shared" si="1"/>
        <v>1708cskill</v>
      </c>
      <c r="E58" s="138" t="str">
        <f>A58&amp;+(COUNTIF(A58:A$101,A58)-1)</f>
        <v>17083</v>
      </c>
      <c r="F58" s="105" t="s">
        <v>186</v>
      </c>
      <c r="G58" s="162" t="s">
        <v>197</v>
      </c>
      <c r="H58" s="162" t="s">
        <v>448</v>
      </c>
    </row>
    <row r="59" spans="1:8" x14ac:dyDescent="0.15">
      <c r="A59" s="105">
        <v>1708</v>
      </c>
      <c r="B59" s="138" t="str">
        <f>VLOOKUP(A59,[1]characters!$A:$C,3,FALSE)</f>
        <v>御聖婚の幸猫神 バステト</v>
      </c>
      <c r="C59" s="105" t="s">
        <v>199</v>
      </c>
      <c r="D59" s="138" t="str">
        <f t="shared" si="1"/>
        <v>1708cskill</v>
      </c>
      <c r="E59" s="138" t="str">
        <f>A59&amp;+(COUNTIF(A59:A$101,A59)-1)</f>
        <v>17082</v>
      </c>
      <c r="F59" s="105" t="s">
        <v>186</v>
      </c>
      <c r="G59" s="162" t="s">
        <v>411</v>
      </c>
      <c r="H59" s="162" t="s">
        <v>449</v>
      </c>
    </row>
    <row r="60" spans="1:8" x14ac:dyDescent="0.15">
      <c r="A60" s="105">
        <v>1708</v>
      </c>
      <c r="B60" s="138" t="str">
        <f>VLOOKUP(A60,[1]characters!$A:$C,3,FALSE)</f>
        <v>御聖婚の幸猫神 バステト</v>
      </c>
      <c r="C60" s="105" t="s">
        <v>199</v>
      </c>
      <c r="D60" s="138" t="str">
        <f t="shared" si="1"/>
        <v>1708cskill</v>
      </c>
      <c r="E60" s="138" t="str">
        <f>A60&amp;+(COUNTIF(A60:A$101,A60)-1)</f>
        <v>17081</v>
      </c>
      <c r="F60" s="105" t="s">
        <v>186</v>
      </c>
      <c r="G60" s="162" t="s">
        <v>411</v>
      </c>
      <c r="H60" s="162" t="s">
        <v>452</v>
      </c>
    </row>
    <row r="61" spans="1:8" x14ac:dyDescent="0.15">
      <c r="A61" s="105">
        <v>1708</v>
      </c>
      <c r="B61" s="138" t="str">
        <f>VLOOKUP(A61,[1]characters!$A:$C,3,FALSE)</f>
        <v>御聖婚の幸猫神 バステト</v>
      </c>
      <c r="C61" s="105" t="s">
        <v>199</v>
      </c>
      <c r="D61" s="138" t="str">
        <f t="shared" si="1"/>
        <v>1708cskill</v>
      </c>
      <c r="E61" s="138" t="str">
        <f>A61&amp;+(COUNTIF(A61:A$101,A61)-1)</f>
        <v>17080</v>
      </c>
      <c r="F61" s="105" t="s">
        <v>186</v>
      </c>
      <c r="G61" s="162" t="s">
        <v>197</v>
      </c>
      <c r="H61" s="162" t="s">
        <v>451</v>
      </c>
    </row>
    <row r="62" spans="1:8" x14ac:dyDescent="0.15">
      <c r="A62" s="105">
        <v>1709</v>
      </c>
      <c r="B62" s="138" t="str">
        <f>VLOOKUP(A62,[1]characters!$A:$C,3,FALSE)</f>
        <v>情花降る神婦 イズン</v>
      </c>
      <c r="C62" s="105" t="s">
        <v>196</v>
      </c>
      <c r="D62" s="138" t="str">
        <f t="shared" si="1"/>
        <v>1709skill</v>
      </c>
      <c r="E62" s="138" t="str">
        <f>A62&amp;+(COUNTIF(A62:A$101,A62)-1)</f>
        <v>17094</v>
      </c>
      <c r="F62" s="105" t="s">
        <v>198</v>
      </c>
      <c r="G62" s="162" t="s">
        <v>316</v>
      </c>
      <c r="H62" s="162" t="s">
        <v>453</v>
      </c>
    </row>
    <row r="63" spans="1:8" x14ac:dyDescent="0.15">
      <c r="A63" s="105">
        <v>1709</v>
      </c>
      <c r="B63" s="138" t="str">
        <f>VLOOKUP(A63,[1]characters!$A:$C,3,FALSE)</f>
        <v>情花降る神婦 イズン</v>
      </c>
      <c r="C63" s="105" t="s">
        <v>199</v>
      </c>
      <c r="D63" s="138" t="str">
        <f t="shared" si="1"/>
        <v>1709cskill</v>
      </c>
      <c r="E63" s="138" t="str">
        <f>A63&amp;+(COUNTIF(A63:A$101,A63)-1)</f>
        <v>17093</v>
      </c>
      <c r="F63" s="105" t="s">
        <v>187</v>
      </c>
      <c r="G63" s="162" t="s">
        <v>197</v>
      </c>
      <c r="H63" s="162" t="s">
        <v>455</v>
      </c>
    </row>
    <row r="64" spans="1:8" x14ac:dyDescent="0.15">
      <c r="A64" s="105">
        <v>1709</v>
      </c>
      <c r="B64" s="138" t="str">
        <f>VLOOKUP(A64,[1]characters!$A:$C,3,FALSE)</f>
        <v>情花降る神婦 イズン</v>
      </c>
      <c r="C64" s="105" t="s">
        <v>199</v>
      </c>
      <c r="D64" s="138" t="str">
        <f t="shared" si="1"/>
        <v>1709cskill</v>
      </c>
      <c r="E64" s="138" t="str">
        <f>A64&amp;+(COUNTIF(A64:A$101,A64)-1)</f>
        <v>17092</v>
      </c>
      <c r="F64" s="105" t="s">
        <v>187</v>
      </c>
      <c r="G64" s="162" t="s">
        <v>316</v>
      </c>
      <c r="H64" s="162" t="s">
        <v>456</v>
      </c>
    </row>
    <row r="65" spans="1:8" x14ac:dyDescent="0.15">
      <c r="A65" s="105">
        <v>1709</v>
      </c>
      <c r="B65" s="138" t="str">
        <f>VLOOKUP(A65,[1]characters!$A:$C,3,FALSE)</f>
        <v>情花降る神婦 イズン</v>
      </c>
      <c r="C65" s="105" t="s">
        <v>199</v>
      </c>
      <c r="D65" s="138" t="str">
        <f t="shared" si="1"/>
        <v>1709cskill</v>
      </c>
      <c r="E65" s="138" t="str">
        <f>A65&amp;+(COUNTIF(A65:A$101,A65)-1)</f>
        <v>17091</v>
      </c>
      <c r="F65" s="105" t="s">
        <v>198</v>
      </c>
      <c r="G65" s="162" t="s">
        <v>197</v>
      </c>
      <c r="H65" s="162" t="s">
        <v>457</v>
      </c>
    </row>
    <row r="66" spans="1:8" x14ac:dyDescent="0.15">
      <c r="A66" s="105">
        <v>1709</v>
      </c>
      <c r="B66" s="138" t="str">
        <f>VLOOKUP(A66,[1]characters!$A:$C,3,FALSE)</f>
        <v>情花降る神婦 イズン</v>
      </c>
      <c r="C66" s="105" t="s">
        <v>199</v>
      </c>
      <c r="D66" s="138" t="str">
        <f t="shared" ref="D66:D97" si="2">A66&amp;C66</f>
        <v>1709cskill</v>
      </c>
      <c r="E66" s="138" t="str">
        <f>A66&amp;+(COUNTIF(A66:A$101,A66)-1)</f>
        <v>17090</v>
      </c>
      <c r="F66" s="105" t="s">
        <v>198</v>
      </c>
      <c r="G66" s="162" t="s">
        <v>316</v>
      </c>
      <c r="H66" s="162" t="s">
        <v>458</v>
      </c>
    </row>
    <row r="67" spans="1:8" x14ac:dyDescent="0.15">
      <c r="A67" s="105">
        <v>1710</v>
      </c>
      <c r="B67" s="138" t="str">
        <f>VLOOKUP(A67,[1]characters!$A:$C,3,FALSE)</f>
        <v>慎愛なる女神の契 イズン</v>
      </c>
      <c r="C67" s="105" t="s">
        <v>196</v>
      </c>
      <c r="D67" s="138" t="str">
        <f t="shared" si="2"/>
        <v>1710skill</v>
      </c>
      <c r="E67" s="138" t="str">
        <f>A67&amp;+(COUNTIF(A67:A$101,A67)-1)</f>
        <v>17104</v>
      </c>
      <c r="F67" s="105" t="s">
        <v>198</v>
      </c>
      <c r="G67" s="162" t="s">
        <v>197</v>
      </c>
      <c r="H67" s="162" t="s">
        <v>454</v>
      </c>
    </row>
    <row r="68" spans="1:8" x14ac:dyDescent="0.15">
      <c r="A68" s="105">
        <v>1710</v>
      </c>
      <c r="B68" s="138" t="str">
        <f>VLOOKUP(A68,[1]characters!$A:$C,3,FALSE)</f>
        <v>慎愛なる女神の契 イズン</v>
      </c>
      <c r="C68" s="105" t="s">
        <v>199</v>
      </c>
      <c r="D68" s="138" t="str">
        <f t="shared" si="2"/>
        <v>1710cskill</v>
      </c>
      <c r="E68" s="138" t="str">
        <f>A68&amp;+(COUNTIF(A68:A$101,A68)-1)</f>
        <v>17103</v>
      </c>
      <c r="F68" s="105" t="s">
        <v>186</v>
      </c>
      <c r="G68" s="162" t="s">
        <v>197</v>
      </c>
      <c r="H68" s="162" t="s">
        <v>459</v>
      </c>
    </row>
    <row r="69" spans="1:8" x14ac:dyDescent="0.15">
      <c r="A69" s="105">
        <v>1710</v>
      </c>
      <c r="B69" s="138" t="str">
        <f>VLOOKUP(A69,[1]characters!$A:$C,3,FALSE)</f>
        <v>慎愛なる女神の契 イズン</v>
      </c>
      <c r="C69" s="105" t="s">
        <v>199</v>
      </c>
      <c r="D69" s="138" t="str">
        <f t="shared" si="2"/>
        <v>1710cskill</v>
      </c>
      <c r="E69" s="138" t="str">
        <f>A69&amp;+(COUNTIF(A69:A$101,A69)-1)</f>
        <v>17102</v>
      </c>
      <c r="F69" s="105" t="s">
        <v>186</v>
      </c>
      <c r="G69" s="162" t="s">
        <v>316</v>
      </c>
      <c r="H69" s="162" t="s">
        <v>456</v>
      </c>
    </row>
    <row r="70" spans="1:8" x14ac:dyDescent="0.15">
      <c r="A70" s="105">
        <v>1710</v>
      </c>
      <c r="B70" s="138" t="str">
        <f>VLOOKUP(A70,[1]characters!$A:$C,3,FALSE)</f>
        <v>慎愛なる女神の契 イズン</v>
      </c>
      <c r="C70" s="105" t="s">
        <v>199</v>
      </c>
      <c r="D70" s="138" t="str">
        <f t="shared" si="2"/>
        <v>1710cskill</v>
      </c>
      <c r="E70" s="138" t="str">
        <f>A70&amp;+(COUNTIF(A70:A$101,A70)-1)</f>
        <v>17101</v>
      </c>
      <c r="F70" s="105" t="s">
        <v>198</v>
      </c>
      <c r="G70" s="162" t="s">
        <v>197</v>
      </c>
      <c r="H70" s="162" t="s">
        <v>457</v>
      </c>
    </row>
    <row r="71" spans="1:8" x14ac:dyDescent="0.15">
      <c r="A71" s="105">
        <v>1710</v>
      </c>
      <c r="B71" s="138" t="str">
        <f>VLOOKUP(A71,[1]characters!$A:$C,3,FALSE)</f>
        <v>慎愛なる女神の契 イズン</v>
      </c>
      <c r="C71" s="105" t="s">
        <v>199</v>
      </c>
      <c r="D71" s="138" t="str">
        <f t="shared" si="2"/>
        <v>1710cskill</v>
      </c>
      <c r="E71" s="138" t="str">
        <f>A71&amp;+(COUNTIF(A71:A$101,A71)-1)</f>
        <v>17100</v>
      </c>
      <c r="F71" s="105" t="s">
        <v>198</v>
      </c>
      <c r="G71" s="162" t="s">
        <v>316</v>
      </c>
      <c r="H71" s="162" t="s">
        <v>458</v>
      </c>
    </row>
    <row r="72" spans="1:8" x14ac:dyDescent="0.15">
      <c r="A72" s="105">
        <v>1711</v>
      </c>
      <c r="B72" s="138" t="str">
        <f>VLOOKUP(A72,[1]characters!$A:$C,3,FALSE)</f>
        <v>誓愛求婚の新郎 諸葛亮</v>
      </c>
      <c r="C72" s="105" t="s">
        <v>196</v>
      </c>
      <c r="D72" s="138" t="str">
        <f t="shared" si="2"/>
        <v>1711skill</v>
      </c>
      <c r="E72" s="138" t="str">
        <f>A72&amp;+(COUNTIF(A72:A$101,A72)-1)</f>
        <v>17114</v>
      </c>
      <c r="F72" s="105" t="s">
        <v>187</v>
      </c>
      <c r="G72" s="162" t="s">
        <v>197</v>
      </c>
      <c r="H72" s="162" t="s">
        <v>460</v>
      </c>
    </row>
    <row r="73" spans="1:8" x14ac:dyDescent="0.15">
      <c r="A73" s="105">
        <v>1711</v>
      </c>
      <c r="B73" s="138" t="str">
        <f>VLOOKUP(A73,[1]characters!$A:$C,3,FALSE)</f>
        <v>誓愛求婚の新郎 諸葛亮</v>
      </c>
      <c r="C73" s="105" t="s">
        <v>199</v>
      </c>
      <c r="D73" s="138" t="str">
        <f t="shared" si="2"/>
        <v>1711cskill</v>
      </c>
      <c r="E73" s="138" t="str">
        <f>A73&amp;+(COUNTIF(A73:A$101,A73)-1)</f>
        <v>17113</v>
      </c>
      <c r="F73" s="105" t="s">
        <v>187</v>
      </c>
      <c r="G73" s="162" t="s">
        <v>197</v>
      </c>
      <c r="H73" s="162" t="s">
        <v>462</v>
      </c>
    </row>
    <row r="74" spans="1:8" x14ac:dyDescent="0.15">
      <c r="A74" s="105">
        <v>1711</v>
      </c>
      <c r="B74" s="138" t="str">
        <f>VLOOKUP(A74,[1]characters!$A:$C,3,FALSE)</f>
        <v>誓愛求婚の新郎 諸葛亮</v>
      </c>
      <c r="C74" s="105" t="s">
        <v>199</v>
      </c>
      <c r="D74" s="138" t="str">
        <f t="shared" si="2"/>
        <v>1711cskill</v>
      </c>
      <c r="E74" s="138" t="str">
        <f>A74&amp;+(COUNTIF(A74:A$101,A74)-1)</f>
        <v>17112</v>
      </c>
      <c r="F74" s="105" t="s">
        <v>187</v>
      </c>
      <c r="G74" s="162" t="s">
        <v>197</v>
      </c>
      <c r="H74" s="162" t="s">
        <v>463</v>
      </c>
    </row>
    <row r="75" spans="1:8" x14ac:dyDescent="0.15">
      <c r="A75" s="105">
        <v>1711</v>
      </c>
      <c r="B75" s="138" t="str">
        <f>VLOOKUP(A75,[1]characters!$A:$C,3,FALSE)</f>
        <v>誓愛求婚の新郎 諸葛亮</v>
      </c>
      <c r="C75" s="105" t="s">
        <v>199</v>
      </c>
      <c r="D75" s="138" t="str">
        <f t="shared" si="2"/>
        <v>1711cskill</v>
      </c>
      <c r="E75" s="138" t="str">
        <f>A75&amp;+(COUNTIF(A75:A$101,A75)-1)</f>
        <v>17111</v>
      </c>
      <c r="F75" s="105" t="s">
        <v>187</v>
      </c>
      <c r="G75" s="162" t="s">
        <v>197</v>
      </c>
      <c r="H75" s="162" t="s">
        <v>464</v>
      </c>
    </row>
    <row r="76" spans="1:8" x14ac:dyDescent="0.15">
      <c r="A76" s="105">
        <v>1711</v>
      </c>
      <c r="B76" s="138" t="str">
        <f>VLOOKUP(A76,[1]characters!$A:$C,3,FALSE)</f>
        <v>誓愛求婚の新郎 諸葛亮</v>
      </c>
      <c r="C76" s="105" t="s">
        <v>199</v>
      </c>
      <c r="D76" s="138" t="str">
        <f t="shared" si="2"/>
        <v>1711cskill</v>
      </c>
      <c r="E76" s="138" t="str">
        <f>A76&amp;+(COUNTIF(A76:A$101,A76)-1)</f>
        <v>17110</v>
      </c>
      <c r="F76" s="105" t="s">
        <v>187</v>
      </c>
      <c r="G76" s="162" t="s">
        <v>466</v>
      </c>
      <c r="H76" s="162" t="s">
        <v>465</v>
      </c>
    </row>
    <row r="77" spans="1:8" x14ac:dyDescent="0.15">
      <c r="A77" s="105">
        <v>1712</v>
      </c>
      <c r="B77" s="138" t="str">
        <f>VLOOKUP(A77,[1]characters!$A:$C,3,FALSE)</f>
        <v>一蓮托生の双環 諸葛亮</v>
      </c>
      <c r="C77" s="105" t="s">
        <v>196</v>
      </c>
      <c r="D77" s="138" t="str">
        <f t="shared" si="2"/>
        <v>1712skill</v>
      </c>
      <c r="E77" s="138" t="str">
        <f>A77&amp;+(COUNTIF(A77:A$101,A77)-1)</f>
        <v>17124</v>
      </c>
      <c r="F77" s="105" t="s">
        <v>186</v>
      </c>
      <c r="G77" s="162" t="s">
        <v>197</v>
      </c>
      <c r="H77" s="162" t="s">
        <v>461</v>
      </c>
    </row>
    <row r="78" spans="1:8" x14ac:dyDescent="0.15">
      <c r="A78" s="105">
        <v>1712</v>
      </c>
      <c r="B78" s="138" t="str">
        <f>VLOOKUP(A78,[1]characters!$A:$C,3,FALSE)</f>
        <v>一蓮托生の双環 諸葛亮</v>
      </c>
      <c r="C78" s="105" t="s">
        <v>199</v>
      </c>
      <c r="D78" s="138" t="str">
        <f t="shared" si="2"/>
        <v>1712cskill</v>
      </c>
      <c r="E78" s="138" t="str">
        <f>A78&amp;+(COUNTIF(A78:A$101,A78)-1)</f>
        <v>17123</v>
      </c>
      <c r="F78" s="105" t="s">
        <v>186</v>
      </c>
      <c r="G78" s="162" t="s">
        <v>197</v>
      </c>
      <c r="H78" s="162" t="s">
        <v>462</v>
      </c>
    </row>
    <row r="79" spans="1:8" x14ac:dyDescent="0.15">
      <c r="A79" s="105">
        <v>1712</v>
      </c>
      <c r="B79" s="138" t="str">
        <f>VLOOKUP(A79,[1]characters!$A:$C,3,FALSE)</f>
        <v>一蓮托生の双環 諸葛亮</v>
      </c>
      <c r="C79" s="105" t="s">
        <v>199</v>
      </c>
      <c r="D79" s="138" t="str">
        <f t="shared" si="2"/>
        <v>1712cskill</v>
      </c>
      <c r="E79" s="138" t="str">
        <f>A79&amp;+(COUNTIF(A79:A$101,A79)-1)</f>
        <v>17122</v>
      </c>
      <c r="F79" s="105" t="s">
        <v>186</v>
      </c>
      <c r="G79" s="162" t="s">
        <v>197</v>
      </c>
      <c r="H79" s="162" t="s">
        <v>467</v>
      </c>
    </row>
    <row r="80" spans="1:8" x14ac:dyDescent="0.15">
      <c r="A80" s="105">
        <v>1712</v>
      </c>
      <c r="B80" s="138" t="str">
        <f>VLOOKUP(A80,[1]characters!$A:$C,3,FALSE)</f>
        <v>一蓮托生の双環 諸葛亮</v>
      </c>
      <c r="C80" s="105" t="s">
        <v>199</v>
      </c>
      <c r="D80" s="138" t="str">
        <f t="shared" si="2"/>
        <v>1712cskill</v>
      </c>
      <c r="E80" s="138" t="str">
        <f>A80&amp;+(COUNTIF(A80:A$101,A80)-1)</f>
        <v>17121</v>
      </c>
      <c r="F80" s="105" t="s">
        <v>186</v>
      </c>
      <c r="G80" s="162" t="s">
        <v>197</v>
      </c>
      <c r="H80" s="162" t="s">
        <v>464</v>
      </c>
    </row>
    <row r="81" spans="1:8" x14ac:dyDescent="0.15">
      <c r="A81" s="105">
        <v>1712</v>
      </c>
      <c r="B81" s="138" t="str">
        <f>VLOOKUP(A81,[1]characters!$A:$C,3,FALSE)</f>
        <v>一蓮托生の双環 諸葛亮</v>
      </c>
      <c r="C81" s="105" t="s">
        <v>199</v>
      </c>
      <c r="D81" s="138" t="str">
        <f t="shared" si="2"/>
        <v>1712cskill</v>
      </c>
      <c r="E81" s="138" t="str">
        <f>A81&amp;+(COUNTIF(A81:A$101,A81)-1)</f>
        <v>17120</v>
      </c>
      <c r="F81" s="105" t="s">
        <v>186</v>
      </c>
      <c r="G81" s="162" t="s">
        <v>466</v>
      </c>
      <c r="H81" s="162" t="s">
        <v>465</v>
      </c>
    </row>
    <row r="82" spans="1:8" x14ac:dyDescent="0.15">
      <c r="A82" s="105">
        <v>1713</v>
      </c>
      <c r="B82" s="138" t="str">
        <f>VLOOKUP(A82,[1]characters!$A:$C,3,FALSE)</f>
        <v>誓約の挙剣 ジークフリート</v>
      </c>
      <c r="C82" s="105" t="s">
        <v>196</v>
      </c>
      <c r="D82" s="138" t="str">
        <f t="shared" si="2"/>
        <v>1713skill</v>
      </c>
      <c r="E82" s="138" t="str">
        <f>A82&amp;+(COUNTIF(A82:A$101,A82)-1)</f>
        <v>17133</v>
      </c>
      <c r="F82" s="105" t="s">
        <v>187</v>
      </c>
      <c r="G82" s="162" t="s">
        <v>411</v>
      </c>
      <c r="H82" s="162" t="s">
        <v>468</v>
      </c>
    </row>
    <row r="83" spans="1:8" x14ac:dyDescent="0.15">
      <c r="A83" s="105">
        <v>1713</v>
      </c>
      <c r="B83" s="138" t="str">
        <f>VLOOKUP(A83,[1]characters!$A:$C,3,FALSE)</f>
        <v>誓約の挙剣 ジークフリート</v>
      </c>
      <c r="C83" s="105" t="s">
        <v>199</v>
      </c>
      <c r="D83" s="138" t="str">
        <f t="shared" si="2"/>
        <v>1713cskill</v>
      </c>
      <c r="E83" s="138" t="str">
        <f>A83&amp;+(COUNTIF(A83:A$101,A83)-1)</f>
        <v>17132</v>
      </c>
      <c r="F83" s="105" t="s">
        <v>187</v>
      </c>
      <c r="G83" s="162" t="s">
        <v>411</v>
      </c>
      <c r="H83" s="162" t="s">
        <v>470</v>
      </c>
    </row>
    <row r="84" spans="1:8" x14ac:dyDescent="0.15">
      <c r="A84" s="105">
        <v>1713</v>
      </c>
      <c r="B84" s="138" t="str">
        <f>VLOOKUP(A84,[1]characters!$A:$C,3,FALSE)</f>
        <v>誓約の挙剣 ジークフリート</v>
      </c>
      <c r="C84" s="105" t="s">
        <v>199</v>
      </c>
      <c r="D84" s="138" t="str">
        <f t="shared" si="2"/>
        <v>1713cskill</v>
      </c>
      <c r="E84" s="138" t="str">
        <f>A84&amp;+(COUNTIF(A84:A$101,A84)-1)</f>
        <v>17131</v>
      </c>
      <c r="F84" s="105" t="s">
        <v>187</v>
      </c>
      <c r="G84" s="162" t="s">
        <v>197</v>
      </c>
      <c r="H84" s="162" t="s">
        <v>471</v>
      </c>
    </row>
    <row r="85" spans="1:8" x14ac:dyDescent="0.15">
      <c r="A85" s="105">
        <v>1713</v>
      </c>
      <c r="B85" s="138" t="str">
        <f>VLOOKUP(A85,[1]characters!$A:$C,3,FALSE)</f>
        <v>誓約の挙剣 ジークフリート</v>
      </c>
      <c r="C85" s="105" t="s">
        <v>199</v>
      </c>
      <c r="D85" s="138" t="str">
        <f t="shared" si="2"/>
        <v>1713cskill</v>
      </c>
      <c r="E85" s="138" t="str">
        <f>A85&amp;+(COUNTIF(A85:A$101,A85)-1)</f>
        <v>17130</v>
      </c>
      <c r="F85" s="105" t="s">
        <v>187</v>
      </c>
      <c r="G85" s="162" t="s">
        <v>411</v>
      </c>
      <c r="H85" s="162" t="s">
        <v>472</v>
      </c>
    </row>
    <row r="86" spans="1:8" x14ac:dyDescent="0.15">
      <c r="A86" s="105">
        <v>1714</v>
      </c>
      <c r="B86" s="138" t="str">
        <f>VLOOKUP(A86,[1]characters!$A:$C,3,FALSE)</f>
        <v>仁愛の祝賀剣 ジークフリート</v>
      </c>
      <c r="C86" s="105" t="s">
        <v>196</v>
      </c>
      <c r="D86" s="138" t="str">
        <f t="shared" si="2"/>
        <v>1714skill</v>
      </c>
      <c r="E86" s="138" t="str">
        <f>A86&amp;+(COUNTIF(A86:A$101,A86)-1)</f>
        <v>17143</v>
      </c>
      <c r="F86" s="105" t="s">
        <v>186</v>
      </c>
      <c r="G86" s="162" t="s">
        <v>411</v>
      </c>
      <c r="H86" s="162" t="s">
        <v>469</v>
      </c>
    </row>
    <row r="87" spans="1:8" x14ac:dyDescent="0.15">
      <c r="A87" s="105">
        <v>1714</v>
      </c>
      <c r="B87" s="138" t="str">
        <f>VLOOKUP(A87,[1]characters!$A:$C,3,FALSE)</f>
        <v>仁愛の祝賀剣 ジークフリート</v>
      </c>
      <c r="C87" s="105" t="s">
        <v>199</v>
      </c>
      <c r="D87" s="138" t="str">
        <f t="shared" si="2"/>
        <v>1714cskill</v>
      </c>
      <c r="E87" s="138" t="str">
        <f>A87&amp;+(COUNTIF(A87:A$101,A87)-1)</f>
        <v>17142</v>
      </c>
      <c r="F87" s="105" t="s">
        <v>186</v>
      </c>
      <c r="G87" s="162" t="s">
        <v>411</v>
      </c>
      <c r="H87" s="162" t="s">
        <v>470</v>
      </c>
    </row>
    <row r="88" spans="1:8" x14ac:dyDescent="0.15">
      <c r="A88" s="105">
        <v>1714</v>
      </c>
      <c r="B88" s="138" t="str">
        <f>VLOOKUP(A88,[1]characters!$A:$C,3,FALSE)</f>
        <v>仁愛の祝賀剣 ジークフリート</v>
      </c>
      <c r="C88" s="105" t="s">
        <v>199</v>
      </c>
      <c r="D88" s="138" t="str">
        <f t="shared" si="2"/>
        <v>1714cskill</v>
      </c>
      <c r="E88" s="138" t="str">
        <f>A88&amp;+(COUNTIF(A88:A$101,A88)-1)</f>
        <v>17141</v>
      </c>
      <c r="F88" s="105" t="s">
        <v>186</v>
      </c>
      <c r="G88" s="162" t="s">
        <v>197</v>
      </c>
      <c r="H88" s="162" t="s">
        <v>471</v>
      </c>
    </row>
    <row r="89" spans="1:8" x14ac:dyDescent="0.15">
      <c r="A89" s="105">
        <v>1714</v>
      </c>
      <c r="B89" s="138" t="str">
        <f>VLOOKUP(A89,[1]characters!$A:$C,3,FALSE)</f>
        <v>仁愛の祝賀剣 ジークフリート</v>
      </c>
      <c r="C89" s="105" t="s">
        <v>199</v>
      </c>
      <c r="D89" s="138" t="str">
        <f t="shared" si="2"/>
        <v>1714cskill</v>
      </c>
      <c r="E89" s="138" t="str">
        <f>A89&amp;+(COUNTIF(A89:A$101,A89)-1)</f>
        <v>17140</v>
      </c>
      <c r="F89" s="105" t="s">
        <v>186</v>
      </c>
      <c r="G89" s="162" t="s">
        <v>411</v>
      </c>
      <c r="H89" s="162" t="s">
        <v>473</v>
      </c>
    </row>
    <row r="90" spans="1:8" x14ac:dyDescent="0.15">
      <c r="A90" s="105">
        <v>1715</v>
      </c>
      <c r="B90" s="138" t="str">
        <f>VLOOKUP(A90,[1]characters!$A:$C,3,FALSE)</f>
        <v>森歓の祝宴 アマラ</v>
      </c>
      <c r="C90" s="105" t="s">
        <v>196</v>
      </c>
      <c r="D90" s="138" t="str">
        <f t="shared" si="2"/>
        <v>1715skill</v>
      </c>
      <c r="E90" s="138" t="str">
        <f>A90&amp;+(COUNTIF(A90:A$101,A90)-1)</f>
        <v>17153</v>
      </c>
      <c r="F90" s="105" t="s">
        <v>187</v>
      </c>
      <c r="G90" s="162" t="s">
        <v>197</v>
      </c>
      <c r="H90" s="162" t="s">
        <v>474</v>
      </c>
    </row>
    <row r="91" spans="1:8" x14ac:dyDescent="0.15">
      <c r="A91" s="105">
        <v>1715</v>
      </c>
      <c r="B91" s="138" t="str">
        <f>VLOOKUP(A91,[1]characters!$A:$C,3,FALSE)</f>
        <v>森歓の祝宴 アマラ</v>
      </c>
      <c r="C91" s="105" t="s">
        <v>199</v>
      </c>
      <c r="D91" s="138" t="str">
        <f t="shared" si="2"/>
        <v>1715cskill</v>
      </c>
      <c r="E91" s="138" t="str">
        <f>A91&amp;+(COUNTIF(A91:A$101,A91)-1)</f>
        <v>17152</v>
      </c>
      <c r="F91" s="105" t="s">
        <v>187</v>
      </c>
      <c r="G91" s="162" t="s">
        <v>197</v>
      </c>
      <c r="H91" s="162" t="s">
        <v>476</v>
      </c>
    </row>
    <row r="92" spans="1:8" x14ac:dyDescent="0.15">
      <c r="A92" s="105">
        <v>1715</v>
      </c>
      <c r="B92" s="138" t="str">
        <f>VLOOKUP(A92,[1]characters!$A:$C,3,FALSE)</f>
        <v>森歓の祝宴 アマラ</v>
      </c>
      <c r="C92" s="105" t="s">
        <v>199</v>
      </c>
      <c r="D92" s="138" t="str">
        <f t="shared" si="2"/>
        <v>1715cskill</v>
      </c>
      <c r="E92" s="138" t="str">
        <f>A92&amp;+(COUNTIF(A92:A$101,A92)-1)</f>
        <v>17151</v>
      </c>
      <c r="F92" s="105" t="s">
        <v>187</v>
      </c>
      <c r="G92" s="162" t="s">
        <v>197</v>
      </c>
      <c r="H92" s="162" t="s">
        <v>477</v>
      </c>
    </row>
    <row r="93" spans="1:8" x14ac:dyDescent="0.15">
      <c r="A93" s="105">
        <v>1715</v>
      </c>
      <c r="B93" s="138" t="str">
        <f>VLOOKUP(A93,[1]characters!$A:$C,3,FALSE)</f>
        <v>森歓の祝宴 アマラ</v>
      </c>
      <c r="C93" s="105" t="s">
        <v>199</v>
      </c>
      <c r="D93" s="138" t="str">
        <f t="shared" si="2"/>
        <v>1715cskill</v>
      </c>
      <c r="E93" s="138" t="str">
        <f>A93&amp;+(COUNTIF(A93:A$101,A93)-1)</f>
        <v>17150</v>
      </c>
      <c r="F93" s="105" t="s">
        <v>187</v>
      </c>
      <c r="G93" s="162" t="s">
        <v>411</v>
      </c>
      <c r="H93" s="162" t="s">
        <v>478</v>
      </c>
    </row>
    <row r="94" spans="1:8" x14ac:dyDescent="0.15">
      <c r="A94" s="105">
        <v>1716</v>
      </c>
      <c r="B94" s="138" t="str">
        <f>VLOOKUP(A94,[1]characters!$A:$C,3,FALSE)</f>
        <v>森婚の祝福祭 アマラ</v>
      </c>
      <c r="C94" s="105" t="s">
        <v>196</v>
      </c>
      <c r="D94" s="138" t="str">
        <f t="shared" si="2"/>
        <v>1716skill</v>
      </c>
      <c r="E94" s="138" t="str">
        <f>A94&amp;+(COUNTIF(A94:A$101,A94)-1)</f>
        <v>17163</v>
      </c>
      <c r="F94" s="105" t="s">
        <v>186</v>
      </c>
      <c r="G94" s="162" t="s">
        <v>197</v>
      </c>
      <c r="H94" s="162" t="s">
        <v>475</v>
      </c>
    </row>
    <row r="95" spans="1:8" x14ac:dyDescent="0.15">
      <c r="A95" s="105">
        <v>1716</v>
      </c>
      <c r="B95" s="138" t="str">
        <f>VLOOKUP(A95,[1]characters!$A:$C,3,FALSE)</f>
        <v>森婚の祝福祭 アマラ</v>
      </c>
      <c r="C95" s="105" t="s">
        <v>199</v>
      </c>
      <c r="D95" s="138" t="str">
        <f t="shared" si="2"/>
        <v>1716cskill</v>
      </c>
      <c r="E95" s="138" t="str">
        <f>A95&amp;+(COUNTIF(A95:A$101,A95)-1)</f>
        <v>17162</v>
      </c>
      <c r="F95" s="105" t="s">
        <v>186</v>
      </c>
      <c r="G95" s="162" t="s">
        <v>197</v>
      </c>
      <c r="H95" s="162" t="s">
        <v>476</v>
      </c>
    </row>
    <row r="96" spans="1:8" x14ac:dyDescent="0.15">
      <c r="A96" s="105">
        <v>1716</v>
      </c>
      <c r="B96" s="138" t="str">
        <f>VLOOKUP(A96,[1]characters!$A:$C,3,FALSE)</f>
        <v>森婚の祝福祭 アマラ</v>
      </c>
      <c r="C96" s="105" t="s">
        <v>199</v>
      </c>
      <c r="D96" s="138" t="str">
        <f t="shared" si="2"/>
        <v>1716cskill</v>
      </c>
      <c r="E96" s="138" t="str">
        <f>A96&amp;+(COUNTIF(A96:A$101,A96)-1)</f>
        <v>17161</v>
      </c>
      <c r="F96" s="105" t="s">
        <v>186</v>
      </c>
      <c r="G96" s="162" t="s">
        <v>411</v>
      </c>
      <c r="H96" s="162" t="s">
        <v>479</v>
      </c>
    </row>
    <row r="97" spans="1:8" x14ac:dyDescent="0.15">
      <c r="A97" s="105">
        <v>1716</v>
      </c>
      <c r="B97" s="138" t="str">
        <f>VLOOKUP(A97,[1]characters!$A:$C,3,FALSE)</f>
        <v>森婚の祝福祭 アマラ</v>
      </c>
      <c r="C97" s="105" t="s">
        <v>199</v>
      </c>
      <c r="D97" s="138" t="str">
        <f t="shared" si="2"/>
        <v>1716cskill</v>
      </c>
      <c r="E97" s="138" t="str">
        <f>A97&amp;+(COUNTIF(A97:A$101,A97)-1)</f>
        <v>17160</v>
      </c>
      <c r="F97" s="105" t="s">
        <v>186</v>
      </c>
      <c r="G97" s="162" t="s">
        <v>411</v>
      </c>
      <c r="H97" s="162" t="s">
        <v>478</v>
      </c>
    </row>
  </sheetData>
  <sortState ref="A2:H97">
    <sortCondition ref="A2:A97"/>
  </sortState>
  <phoneticPr fontId="22"/>
  <dataValidations count="2">
    <dataValidation type="list" allowBlank="1" showInputMessage="1" showErrorMessage="1" sqref="G2:G97">
      <formula1>"maru,giza,kumo"</formula1>
    </dataValidation>
    <dataValidation type="list" allowBlank="1" showInputMessage="1" showErrorMessage="1" sqref="C2:C97">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2"/>
  <sheetViews>
    <sheetView showGridLines="0" tabSelected="1" workbookViewId="0">
      <pane xSplit="9" ySplit="1" topLeftCell="P2" activePane="bottomRight" state="frozen"/>
      <selection pane="topRight" activeCell="J1" sqref="J1"/>
      <selection pane="bottomLeft" activeCell="A3" sqref="A3"/>
      <selection pane="bottomRight" activeCell="R25" sqref="R25"/>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v>1697</v>
      </c>
      <c r="B2" s="53" t="str">
        <f ca="1">VLOOKUP($A2,OFFSET([1]characters!$A$1,0,0,COUNTA([1]characters!$A:$A),MATCH(B$1,[1]characters!$1:$1,0)-MATCH($A$1,[1]characters!$1:$1,0)+1),MATCH(B$1,[1]characters!$1:$1,0)-MATCH($A$1,[1]characters!$1:$1,0)+1,FALSE)</f>
        <v>駆動する機会 ガーネット</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6</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fantasy</v>
      </c>
      <c r="K2" s="5" t="str">
        <f ca="1">VLOOKUP(J2,[1]character_tribe_i18n!$A:$H,3,FALSE)</f>
        <v>ファンタジー</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super</v>
      </c>
      <c r="Q2" s="187">
        <v>1698</v>
      </c>
      <c r="R2" s="58" t="str">
        <f ca="1">IF(Q2="NULL","",VLOOKUP($Q2,OFFSET([1]characters!$A$1,0,0,COUNTA([1]characters!$A:$A),MATCH(R$1,[1]characters!$1:$1,0)-MATCH($A$1,[1]characters!$1:$1,0)+1),MATCH(R$1,[1]characters!$1:$1,0)-MATCH($A$1,[1]characters!$1:$1,0)+1,FALSE))</f>
        <v>炎断の華嫁 ガーネット</v>
      </c>
      <c r="S2" s="5">
        <f>VLOOKUP(Q2,units!A:AG,33,FALSE)</f>
        <v>1697</v>
      </c>
      <c r="T2" s="58" t="str">
        <f ca="1">VLOOKUP($S2,OFFSET([1]characters!$A$1,0,0,COUNTA([1]characters!$A:$A),MATCH(T$1,[1]characters!$1:$1,0)-MATCH($A$1,[1]characters!$1:$1,0)+1),MATCH(T$1,[1]characters!$1:$1,0)-MATCH($A$1,[1]characters!$1:$1,0)+1,FALSE)</f>
        <v>駆動する機会 ガーネット</v>
      </c>
      <c r="U2" s="10">
        <f ca="1">IF(Q2="NULL","NULL",VLOOKUP(G2,[3]ビット!$A$2:$B$7,2))</f>
        <v>200000</v>
      </c>
    </row>
    <row r="3" spans="1:21" ht="21" customHeight="1" x14ac:dyDescent="0.15">
      <c r="A3" s="191">
        <v>1699</v>
      </c>
      <c r="B3" s="53" t="str">
        <f ca="1">VLOOKUP($A3,OFFSET([1]characters!$A$1,0,0,COUNTA([1]characters!$A:$A),MATCH(B$1,[1]characters!$1:$1,0)-MATCH($A$1,[1]characters!$1:$1,0)+1),MATCH(B$1,[1]characters!$1:$1,0)-MATCH($A$1,[1]characters!$1:$1,0)+1,FALSE)</f>
        <v>崇高祝言 アマテラス</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fantasy</v>
      </c>
      <c r="K3" s="5" t="str">
        <f ca="1">VLOOKUP(J3,[1]character_tribe_i18n!$A:$H,3,FALSE)</f>
        <v>ファンタジー</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super</v>
      </c>
      <c r="Q3" s="187">
        <v>1700</v>
      </c>
      <c r="R3" s="58" t="str">
        <f ca="1">IF(Q3="NULL","",VLOOKUP($Q3,OFFSET([1]characters!$A$1,0,0,COUNTA([1]characters!$A:$A),MATCH(R$1,[1]characters!$1:$1,0)-MATCH($A$1,[1]characters!$1:$1,0)+1),MATCH(R$1,[1]characters!$1:$1,0)-MATCH($A$1,[1]characters!$1:$1,0)+1,FALSE))</f>
        <v>大慶総氏神 アマテラス</v>
      </c>
      <c r="S3" s="5">
        <f>VLOOKUP(Q3,units!A:AG,33,FALSE)</f>
        <v>1699</v>
      </c>
      <c r="T3" s="58" t="str">
        <f ca="1">VLOOKUP($S3,OFFSET([1]characters!$A$1,0,0,COUNTA([1]characters!$A:$A),MATCH(T$1,[1]characters!$1:$1,0)-MATCH($A$1,[1]characters!$1:$1,0)+1),MATCH(T$1,[1]characters!$1:$1,0)-MATCH($A$1,[1]characters!$1:$1,0)+1,FALSE)</f>
        <v>崇高祝言 アマテラス</v>
      </c>
      <c r="U3" s="10">
        <f ca="1">IF(Q3="NULL","NULL",VLOOKUP(G3,[3]ビット!$A$2:$B$7,2))</f>
        <v>200000</v>
      </c>
    </row>
    <row r="4" spans="1:21" ht="21" customHeight="1" x14ac:dyDescent="0.15">
      <c r="A4" s="191">
        <v>1701</v>
      </c>
      <c r="B4" s="53" t="str">
        <f ca="1">VLOOKUP($A4,OFFSET([1]characters!$A$1,0,0,COUNTA([1]characters!$A:$A),MATCH(B$1,[1]characters!$1:$1,0)-MATCH($A$1,[1]characters!$1:$1,0)+1),MATCH(B$1,[1]characters!$1:$1,0)-MATCH($A$1,[1]characters!$1:$1,0)+1,FALSE)</f>
        <v>蒼嵐の婚戦 フォルトゥナ</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アリス</v>
      </c>
      <c r="E4" s="53" t="str">
        <f ca="1">VLOOKUP($A4,OFFSET([1]characters!$A$1,0,0,COUNTA([1]characters!$A:$A),MATCH(E$1,[1]characters!$1:$1,0)-MATCH($A$1,[1]characters!$1:$1,0)+1),MATCH(E$1,[1]characters!$1:$1,0)-MATCH($A$1,[1]characters!$1:$1,0)+1,FALSE)</f>
        <v>世界観</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PremiumSSw</v>
      </c>
      <c r="I4" s="53" t="str">
        <f ca="1">VLOOKUP($A4,OFFSET([1]characters!$A$1,0,0,COUNTA([1]characters!$A:$A),MATCH(I$1,[1]characters!$1:$1,0)-MATCH($A$1,[1]characters!$1:$1,0)+1),MATCH(I$1,[1]characters!$1:$1,0)-MATCH($A$1,[1]characters!$1:$1,0)+1,FALSE)</f>
        <v>blue</v>
      </c>
      <c r="J4" s="53" t="str">
        <f ca="1">VLOOKUP($A4,OFFSET([1]characters!$A$1,0,0,COUNTA([1]characters!$A:$A),MATCH(J$1,[1]characters!$1:$1,0)-MATCH($A$1,[1]characters!$1:$1,0)+1),MATCH(J$1,[1]characters!$1:$1,0)-MATCH($A$1,[1]characters!$1:$1,0)+1,FALSE)</f>
        <v>fantasy</v>
      </c>
      <c r="K4" s="5" t="str">
        <f ca="1">VLOOKUP(J4,[1]character_tribe_i18n!$A:$H,3,FALSE)</f>
        <v>ファンタジー</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super</v>
      </c>
      <c r="Q4" s="187">
        <v>1702</v>
      </c>
      <c r="R4" s="58" t="str">
        <f ca="1">IF(Q4="NULL","",VLOOKUP($Q4,OFFSET([1]characters!$A$1,0,0,COUNTA([1]characters!$A:$A),MATCH(R$1,[1]characters!$1:$1,0)-MATCH($A$1,[1]characters!$1:$1,0)+1),MATCH(R$1,[1]characters!$1:$1,0)-MATCH($A$1,[1]characters!$1:$1,0)+1,FALSE))</f>
        <v>求愛の夢想剣 フォルトゥナ</v>
      </c>
      <c r="S4" s="5">
        <f>VLOOKUP(Q4,units!A:AG,33,FALSE)</f>
        <v>1701</v>
      </c>
      <c r="T4" s="58" t="str">
        <f ca="1">VLOOKUP($S4,OFFSET([1]characters!$A$1,0,0,COUNTA([1]characters!$A:$A),MATCH(T$1,[1]characters!$1:$1,0)-MATCH($A$1,[1]characters!$1:$1,0)+1),MATCH(T$1,[1]characters!$1:$1,0)-MATCH($A$1,[1]characters!$1:$1,0)+1,FALSE)</f>
        <v>蒼嵐の婚戦 フォルトゥナ</v>
      </c>
      <c r="U4" s="10">
        <f ca="1">IF(Q4="NULL","NULL",VLOOKUP(G4,[3]ビット!$A$2:$B$7,2))</f>
        <v>200000</v>
      </c>
    </row>
    <row r="5" spans="1:21" ht="21" customHeight="1" x14ac:dyDescent="0.15">
      <c r="A5" s="191">
        <v>1703</v>
      </c>
      <c r="B5" s="53" t="str">
        <f ca="1">VLOOKUP($A5,OFFSET([1]characters!$A$1,0,0,COUNTA([1]characters!$A:$A),MATCH(B$1,[1]characters!$1:$1,0)-MATCH($A$1,[1]characters!$1:$1,0)+1),MATCH(B$1,[1]characters!$1:$1,0)-MATCH($A$1,[1]characters!$1:$1,0)+1,FALSE)</f>
        <v>可恋なる花乙女 リリィ</v>
      </c>
      <c r="C5" s="53" t="str">
        <f ca="1">VLOOKUP($A5,OFFSET([1]characters!$A$1,0,0,COUNTA([1]characters!$A:$A),MATCH(C$1,[1]characters!$1:$1,0)-MATCH($A$1,[1]characters!$1:$1,0)+1),MATCH(C$1,[1]characters!$1:$1,0)-MATCH($A$1,[1]characters!$1:$1,0)+1,FALSE)</f>
        <v>未定</v>
      </c>
      <c r="D5" s="53" t="str">
        <f ca="1">VLOOKUP($A5,OFFSET([1]characters!$A$1,0,0,COUNTA([1]characters!$A:$A),MATCH(D$1,[1]characters!$1:$1,0)-MATCH($A$1,[1]characters!$1:$1,0)+1),MATCH(D$1,[1]characters!$1:$1,0)-MATCH($A$1,[1]characters!$1:$1,0)+1,FALSE)</f>
        <v>アリス</v>
      </c>
      <c r="E5" s="53" t="str">
        <f ca="1">VLOOKUP($A5,OFFSET([1]characters!$A$1,0,0,COUNTA([1]characters!$A:$A),MATCH(E$1,[1]characters!$1:$1,0)-MATCH($A$1,[1]characters!$1:$1,0)+1),MATCH(E$1,[1]characters!$1:$1,0)-MATCH($A$1,[1]characters!$1:$1,0)+1,FALSE)</f>
        <v>世界観</v>
      </c>
      <c r="F5" s="53" t="str">
        <f ca="1">VLOOKUP($A5,OFFSET([1]characters!$A$1,0,0,COUNTA([1]characters!$A:$A),MATCH(F$1,[1]characters!$1:$1,0)-MATCH($A$1,[1]characters!$1:$1,0)+1),MATCH(F$1,[1]characters!$1:$1,0)-MATCH($A$1,[1]characters!$1:$1,0)+1,FALSE)</f>
        <v>不明</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PremiumSSw</v>
      </c>
      <c r="I5" s="53" t="str">
        <f ca="1">VLOOKUP($A5,OFFSET([1]characters!$A$1,0,0,COUNTA([1]characters!$A:$A),MATCH(I$1,[1]characters!$1:$1,0)-MATCH($A$1,[1]characters!$1:$1,0)+1),MATCH(I$1,[1]characters!$1:$1,0)-MATCH($A$1,[1]characters!$1:$1,0)+1,FALSE)</f>
        <v>red</v>
      </c>
      <c r="J5" s="53" t="str">
        <f ca="1">VLOOKUP($A5,OFFSET([1]characters!$A$1,0,0,COUNTA([1]characters!$A:$A),MATCH(J$1,[1]characters!$1:$1,0)-MATCH($A$1,[1]characters!$1:$1,0)+1),MATCH(J$1,[1]characters!$1:$1,0)-MATCH($A$1,[1]characters!$1:$1,0)+1,FALSE)</f>
        <v>fantasy</v>
      </c>
      <c r="K5" s="5" t="str">
        <f ca="1">VLOOKUP(J5,[1]character_tribe_i18n!$A:$H,3,FALSE)</f>
        <v>ファンタジー</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super</v>
      </c>
      <c r="Q5" s="187">
        <v>1704</v>
      </c>
      <c r="R5" s="58" t="str">
        <f ca="1">IF(Q5="NULL","",VLOOKUP($Q5,OFFSET([1]characters!$A$1,0,0,COUNTA([1]characters!$A:$A),MATCH(R$1,[1]characters!$1:$1,0)-MATCH($A$1,[1]characters!$1:$1,0)+1),MATCH(R$1,[1]characters!$1:$1,0)-MATCH($A$1,[1]characters!$1:$1,0)+1,FALSE))</f>
        <v>恋焦がす夢乙女 リリィ</v>
      </c>
      <c r="S5" s="5">
        <f>VLOOKUP(Q5,units!A:AG,33,FALSE)</f>
        <v>1703</v>
      </c>
      <c r="T5" s="58" t="str">
        <f ca="1">VLOOKUP($S5,OFFSET([1]characters!$A$1,0,0,COUNTA([1]characters!$A:$A),MATCH(T$1,[1]characters!$1:$1,0)-MATCH($A$1,[1]characters!$1:$1,0)+1),MATCH(T$1,[1]characters!$1:$1,0)-MATCH($A$1,[1]characters!$1:$1,0)+1,FALSE)</f>
        <v>可恋なる花乙女 リリィ</v>
      </c>
      <c r="U5" s="10">
        <f ca="1">IF(Q5="NULL","NULL",VLOOKUP(G5,[3]ビット!$A$2:$B$7,2))</f>
        <v>200000</v>
      </c>
    </row>
    <row r="6" spans="1:21" ht="21" customHeight="1" x14ac:dyDescent="0.15">
      <c r="A6" s="191">
        <v>1705</v>
      </c>
      <c r="B6" s="53" t="str">
        <f ca="1">VLOOKUP($A6,OFFSET([1]characters!$A$1,0,0,COUNTA([1]characters!$A:$A),MATCH(B$1,[1]characters!$1:$1,0)-MATCH($A$1,[1]characters!$1:$1,0)+1),MATCH(B$1,[1]characters!$1:$1,0)-MATCH($A$1,[1]characters!$1:$1,0)+1,FALSE)</f>
        <v>純白の新婦軍 白雪姫</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PremiumSS</v>
      </c>
      <c r="I6" s="53" t="str">
        <f ca="1">VLOOKUP($A6,OFFSET([1]characters!$A$1,0,0,COUNTA([1]characters!$A:$A),MATCH(I$1,[1]characters!$1:$1,0)-MATCH($A$1,[1]characters!$1:$1,0)+1),MATCH(I$1,[1]characters!$1:$1,0)-MATCH($A$1,[1]characters!$1:$1,0)+1,FALSE)</f>
        <v>red</v>
      </c>
      <c r="J6" s="53" t="str">
        <f ca="1">VLOOKUP($A6,OFFSET([1]characters!$A$1,0,0,COUNTA([1]characters!$A:$A),MATCH(J$1,[1]characters!$1:$1,0)-MATCH($A$1,[1]characters!$1:$1,0)+1),MATCH(J$1,[1]characters!$1:$1,0)-MATCH($A$1,[1]characters!$1:$1,0)+1,FALSE)</f>
        <v>fantasy</v>
      </c>
      <c r="K6" s="5" t="str">
        <f ca="1">VLOOKUP(J6,[1]character_tribe_i18n!$A:$H,3,FALSE)</f>
        <v>ファンタジー</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super</v>
      </c>
      <c r="Q6" s="187">
        <v>1706</v>
      </c>
      <c r="R6" s="58" t="str">
        <f ca="1">IF(Q6="NULL","",VLOOKUP($Q6,OFFSET([1]characters!$A$1,0,0,COUNTA([1]characters!$A:$A),MATCH(R$1,[1]characters!$1:$1,0)-MATCH($A$1,[1]characters!$1:$1,0)+1),MATCH(R$1,[1]characters!$1:$1,0)-MATCH($A$1,[1]characters!$1:$1,0)+1,FALSE))</f>
        <v>幸福なる大祝砲 白雪姫</v>
      </c>
      <c r="S6" s="5">
        <f>VLOOKUP(Q6,units!A:AG,33,FALSE)</f>
        <v>1705</v>
      </c>
      <c r="T6" s="58" t="str">
        <f ca="1">VLOOKUP($S6,OFFSET([1]characters!$A$1,0,0,COUNTA([1]characters!$A:$A),MATCH(T$1,[1]characters!$1:$1,0)-MATCH($A$1,[1]characters!$1:$1,0)+1),MATCH(T$1,[1]characters!$1:$1,0)-MATCH($A$1,[1]characters!$1:$1,0)+1,FALSE)</f>
        <v>純白の新婦軍 白雪姫</v>
      </c>
      <c r="U6" s="10">
        <f ca="1">IF(Q6="NULL","NULL",VLOOKUP(G6,[3]ビット!$A$2:$B$7,2))</f>
        <v>200000</v>
      </c>
    </row>
    <row r="7" spans="1:21" ht="21" customHeight="1" x14ac:dyDescent="0.15">
      <c r="A7" s="191">
        <v>1707</v>
      </c>
      <c r="B7" s="53" t="str">
        <f ca="1">VLOOKUP($A7,OFFSET([1]characters!$A$1,0,0,COUNTA([1]characters!$A:$A),MATCH(B$1,[1]characters!$1:$1,0)-MATCH($A$1,[1]characters!$1:$1,0)+1),MATCH(B$1,[1]characters!$1:$1,0)-MATCH($A$1,[1]characters!$1:$1,0)+1,FALSE)</f>
        <v>親愛なる猫嫁神 バステト</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PremiumSS</v>
      </c>
      <c r="I7" s="53" t="str">
        <f ca="1">VLOOKUP($A7,OFFSET([1]characters!$A$1,0,0,COUNTA([1]characters!$A:$A),MATCH(I$1,[1]characters!$1:$1,0)-MATCH($A$1,[1]characters!$1:$1,0)+1),MATCH(I$1,[1]characters!$1:$1,0)-MATCH($A$1,[1]characters!$1:$1,0)+1,FALSE)</f>
        <v>green</v>
      </c>
      <c r="J7" s="53" t="str">
        <f ca="1">VLOOKUP($A7,OFFSET([1]characters!$A$1,0,0,COUNTA([1]characters!$A:$A),MATCH(J$1,[1]characters!$1:$1,0)-MATCH($A$1,[1]characters!$1:$1,0)+1),MATCH(J$1,[1]characters!$1:$1,0)-MATCH($A$1,[1]characters!$1:$1,0)+1,FALSE)</f>
        <v>god</v>
      </c>
      <c r="K7" s="5" t="str">
        <f ca="1">VLOOKUP(J7,[1]character_tribe_i18n!$A:$H,3,FALSE)</f>
        <v>ゴッド</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super</v>
      </c>
      <c r="Q7" s="187">
        <v>1708</v>
      </c>
      <c r="R7" s="58" t="str">
        <f ca="1">IF(Q7="NULL","",VLOOKUP($Q7,OFFSET([1]characters!$A$1,0,0,COUNTA([1]characters!$A:$A),MATCH(R$1,[1]characters!$1:$1,0)-MATCH($A$1,[1]characters!$1:$1,0)+1),MATCH(R$1,[1]characters!$1:$1,0)-MATCH($A$1,[1]characters!$1:$1,0)+1,FALSE))</f>
        <v>御聖婚の幸猫神 バステト</v>
      </c>
      <c r="S7" s="5">
        <f>VLOOKUP(Q7,units!A:AG,33,FALSE)</f>
        <v>1707</v>
      </c>
      <c r="T7" s="58" t="str">
        <f ca="1">VLOOKUP($S7,OFFSET([1]characters!$A$1,0,0,COUNTA([1]characters!$A:$A),MATCH(T$1,[1]characters!$1:$1,0)-MATCH($A$1,[1]characters!$1:$1,0)+1),MATCH(T$1,[1]characters!$1:$1,0)-MATCH($A$1,[1]characters!$1:$1,0)+1,FALSE)</f>
        <v>親愛なる猫嫁神 バステト</v>
      </c>
      <c r="U7" s="10">
        <f ca="1">IF(Q7="NULL","NULL",VLOOKUP(G7,[3]ビット!$A$2:$B$7,2))</f>
        <v>200000</v>
      </c>
    </row>
    <row r="8" spans="1:21" ht="21" customHeight="1" x14ac:dyDescent="0.15">
      <c r="A8" s="191">
        <v>1709</v>
      </c>
      <c r="B8" s="53" t="str">
        <f ca="1">VLOOKUP($A8,OFFSET([1]characters!$A$1,0,0,COUNTA([1]characters!$A:$A),MATCH(B$1,[1]characters!$1:$1,0)-MATCH($A$1,[1]characters!$1:$1,0)+1),MATCH(B$1,[1]characters!$1:$1,0)-MATCH($A$1,[1]characters!$1:$1,0)+1,FALSE)</f>
        <v>情花降る神婦 イズン</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PremiumSS</v>
      </c>
      <c r="I8" s="53" t="str">
        <f ca="1">VLOOKUP($A8,OFFSET([1]characters!$A$1,0,0,COUNTA([1]characters!$A:$A),MATCH(I$1,[1]characters!$1:$1,0)-MATCH($A$1,[1]characters!$1:$1,0)+1),MATCH(I$1,[1]characters!$1:$1,0)-MATCH($A$1,[1]characters!$1:$1,0)+1,FALSE)</f>
        <v>blue</v>
      </c>
      <c r="J8" s="53" t="str">
        <f ca="1">VLOOKUP($A8,OFFSET([1]characters!$A$1,0,0,COUNTA([1]characters!$A:$A),MATCH(J$1,[1]characters!$1:$1,0)-MATCH($A$1,[1]characters!$1:$1,0)+1),MATCH(J$1,[1]characters!$1:$1,0)-MATCH($A$1,[1]characters!$1:$1,0)+1,FALSE)</f>
        <v>fantasy</v>
      </c>
      <c r="K8" s="5" t="str">
        <f ca="1">VLOOKUP(J8,[1]character_tribe_i18n!$A:$H,3,FALSE)</f>
        <v>ファンタジー</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super</v>
      </c>
      <c r="Q8" s="187">
        <v>1710</v>
      </c>
      <c r="R8" s="58" t="str">
        <f ca="1">IF(Q8="NULL","",VLOOKUP($Q8,OFFSET([1]characters!$A$1,0,0,COUNTA([1]characters!$A:$A),MATCH(R$1,[1]characters!$1:$1,0)-MATCH($A$1,[1]characters!$1:$1,0)+1),MATCH(R$1,[1]characters!$1:$1,0)-MATCH($A$1,[1]characters!$1:$1,0)+1,FALSE))</f>
        <v>慎愛なる女神の契 イズン</v>
      </c>
      <c r="S8" s="5">
        <f>VLOOKUP(Q8,units!A:AG,33,FALSE)</f>
        <v>1709</v>
      </c>
      <c r="T8" s="58" t="str">
        <f ca="1">VLOOKUP($S8,OFFSET([1]characters!$A$1,0,0,COUNTA([1]characters!$A:$A),MATCH(T$1,[1]characters!$1:$1,0)-MATCH($A$1,[1]characters!$1:$1,0)+1),MATCH(T$1,[1]characters!$1:$1,0)-MATCH($A$1,[1]characters!$1:$1,0)+1,FALSE)</f>
        <v>情花降る神婦 イズン</v>
      </c>
      <c r="U8" s="10">
        <f ca="1">IF(Q8="NULL","NULL",VLOOKUP(G8,[3]ビット!$A$2:$B$7,2))</f>
        <v>200000</v>
      </c>
    </row>
    <row r="9" spans="1:21" ht="21" customHeight="1" x14ac:dyDescent="0.15">
      <c r="A9" s="191">
        <v>1711</v>
      </c>
      <c r="B9" s="53" t="str">
        <f ca="1">VLOOKUP($A9,OFFSET([1]characters!$A$1,0,0,COUNTA([1]characters!$A:$A),MATCH(B$1,[1]characters!$1:$1,0)-MATCH($A$1,[1]characters!$1:$1,0)+1),MATCH(B$1,[1]characters!$1:$1,0)-MATCH($A$1,[1]characters!$1:$1,0)+1,FALSE)</f>
        <v>誓愛求婚の新郎 諸葛亮</v>
      </c>
      <c r="C9" s="53" t="str">
        <f ca="1">VLOOKUP($A9,OFFSET([1]characters!$A$1,0,0,COUNTA([1]characters!$A:$A),MATCH(C$1,[1]characters!$1:$1,0)-MATCH($A$1,[1]characters!$1:$1,0)+1),MATCH(C$1,[1]characters!$1:$1,0)-MATCH($A$1,[1]characters!$1:$1,0)+1,FALSE)</f>
        <v>未定</v>
      </c>
      <c r="D9" s="53" t="str">
        <f ca="1">VLOOKUP($A9,OFFSET([1]characters!$A$1,0,0,COUNTA([1]characters!$A:$A),MATCH(D$1,[1]characters!$1:$1,0)-MATCH($A$1,[1]characters!$1:$1,0)+1),MATCH(D$1,[1]characters!$1:$1,0)-MATCH($A$1,[1]characters!$1:$1,0)+1,FALSE)</f>
        <v>アリス</v>
      </c>
      <c r="E9" s="53" t="str">
        <f ca="1">VLOOKUP($A9,OFFSET([1]characters!$A$1,0,0,COUNTA([1]characters!$A:$A),MATCH(E$1,[1]characters!$1:$1,0)-MATCH($A$1,[1]characters!$1:$1,0)+1),MATCH(E$1,[1]characters!$1:$1,0)-MATCH($A$1,[1]characters!$1:$1,0)+1,FALSE)</f>
        <v>世界観</v>
      </c>
      <c r="F9" s="53" t="str">
        <f ca="1">VLOOKUP($A9,OFFSET([1]characters!$A$1,0,0,COUNTA([1]characters!$A:$A),MATCH(F$1,[1]characters!$1:$1,0)-MATCH($A$1,[1]characters!$1:$1,0)+1),MATCH(F$1,[1]characters!$1:$1,0)-MATCH($A$1,[1]characters!$1:$1,0)+1,FALSE)</f>
        <v>不明</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PremiumSS</v>
      </c>
      <c r="I9" s="53" t="str">
        <f ca="1">VLOOKUP($A9,OFFSET([1]characters!$A$1,0,0,COUNTA([1]characters!$A:$A),MATCH(I$1,[1]characters!$1:$1,0)-MATCH($A$1,[1]characters!$1:$1,0)+1),MATCH(I$1,[1]characters!$1:$1,0)-MATCH($A$1,[1]characters!$1:$1,0)+1,FALSE)</f>
        <v>yellow</v>
      </c>
      <c r="J9" s="53" t="str">
        <f ca="1">VLOOKUP($A9,OFFSET([1]characters!$A$1,0,0,COUNTA([1]characters!$A:$A),MATCH(J$1,[1]characters!$1:$1,0)-MATCH($A$1,[1]characters!$1:$1,0)+1),MATCH(J$1,[1]characters!$1:$1,0)-MATCH($A$1,[1]characters!$1:$1,0)+1,FALSE)</f>
        <v>fantasy</v>
      </c>
      <c r="K9" s="5" t="str">
        <f ca="1">VLOOKUP(J9,[1]character_tribe_i18n!$A:$H,3,FALSE)</f>
        <v>ファンタジー</v>
      </c>
      <c r="L9" s="10" t="e">
        <f>VLOOKUP(#REF!,[1]character_tribe_i18n!$A:$H,4,FALSE)</f>
        <v>#REF!</v>
      </c>
      <c r="M9" s="10" t="e">
        <f>VLOOKUP(#REF!,[1]character_tribe_i18n!$A:$H,5,FALSE)</f>
        <v>#REF!</v>
      </c>
      <c r="N9" s="10" t="e">
        <f>VLOOKUP(#REF!,[1]character_tribe_i18n!$A:$H,6,FALSE)</f>
        <v>#REF!</v>
      </c>
      <c r="O9" s="10" t="e">
        <f>VLOOKUP(#REF!,[1]character_tribe_i18n!$A:$H,7,FALSE)</f>
        <v>#REF!</v>
      </c>
      <c r="P9" s="176" t="str">
        <f>VLOOKUP(Q9,[1]characters!$A:$AC,20)</f>
        <v>super</v>
      </c>
      <c r="Q9" s="187">
        <v>1712</v>
      </c>
      <c r="R9" s="58" t="str">
        <f ca="1">IF(Q9="NULL","",VLOOKUP($Q9,OFFSET([1]characters!$A$1,0,0,COUNTA([1]characters!$A:$A),MATCH(R$1,[1]characters!$1:$1,0)-MATCH($A$1,[1]characters!$1:$1,0)+1),MATCH(R$1,[1]characters!$1:$1,0)-MATCH($A$1,[1]characters!$1:$1,0)+1,FALSE))</f>
        <v>一蓮托生の双環 諸葛亮</v>
      </c>
      <c r="S9" s="5">
        <f>VLOOKUP(Q9,units!A:AG,33,FALSE)</f>
        <v>1711</v>
      </c>
      <c r="T9" s="58" t="str">
        <f ca="1">VLOOKUP($S9,OFFSET([1]characters!$A$1,0,0,COUNTA([1]characters!$A:$A),MATCH(T$1,[1]characters!$1:$1,0)-MATCH($A$1,[1]characters!$1:$1,0)+1),MATCH(T$1,[1]characters!$1:$1,0)-MATCH($A$1,[1]characters!$1:$1,0)+1,FALSE)</f>
        <v>誓愛求婚の新郎 諸葛亮</v>
      </c>
      <c r="U9" s="10">
        <f ca="1">IF(Q9="NULL","NULL",VLOOKUP(G9,[3]ビット!$A$2:$B$7,2))</f>
        <v>200000</v>
      </c>
    </row>
    <row r="10" spans="1:21" ht="21" customHeight="1" x14ac:dyDescent="0.15">
      <c r="A10" s="191">
        <v>1713</v>
      </c>
      <c r="B10" s="53" t="str">
        <f ca="1">VLOOKUP($A10,OFFSET([1]characters!$A$1,0,0,COUNTA([1]characters!$A:$A),MATCH(B$1,[1]characters!$1:$1,0)-MATCH($A$1,[1]characters!$1:$1,0)+1),MATCH(B$1,[1]characters!$1:$1,0)-MATCH($A$1,[1]characters!$1:$1,0)+1,FALSE)</f>
        <v>誓約の挙剣 ジークフリート</v>
      </c>
      <c r="C10" s="53" t="str">
        <f ca="1">VLOOKUP($A10,OFFSET([1]characters!$A$1,0,0,COUNTA([1]characters!$A:$A),MATCH(C$1,[1]characters!$1:$1,0)-MATCH($A$1,[1]characters!$1:$1,0)+1),MATCH(C$1,[1]characters!$1:$1,0)-MATCH($A$1,[1]characters!$1:$1,0)+1,FALSE)</f>
        <v>未定</v>
      </c>
      <c r="D10" s="53" t="str">
        <f ca="1">VLOOKUP($A10,OFFSET([1]characters!$A$1,0,0,COUNTA([1]characters!$A:$A),MATCH(D$1,[1]characters!$1:$1,0)-MATCH($A$1,[1]characters!$1:$1,0)+1),MATCH(D$1,[1]characters!$1:$1,0)-MATCH($A$1,[1]characters!$1:$1,0)+1,FALSE)</f>
        <v>アリス</v>
      </c>
      <c r="E10" s="53" t="str">
        <f ca="1">VLOOKUP($A10,OFFSET([1]characters!$A$1,0,0,COUNTA([1]characters!$A:$A),MATCH(E$1,[1]characters!$1:$1,0)-MATCH($A$1,[1]characters!$1:$1,0)+1),MATCH(E$1,[1]characters!$1:$1,0)-MATCH($A$1,[1]characters!$1:$1,0)+1,FALSE)</f>
        <v>世界観</v>
      </c>
      <c r="F10" s="53" t="str">
        <f ca="1">VLOOKUP($A10,OFFSET([1]characters!$A$1,0,0,COUNTA([1]characters!$A:$A),MATCH(F$1,[1]characters!$1:$1,0)-MATCH($A$1,[1]characters!$1:$1,0)+1),MATCH(F$1,[1]characters!$1:$1,0)-MATCH($A$1,[1]characters!$1:$1,0)+1,FALSE)</f>
        <v>不明</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PremiumS</v>
      </c>
      <c r="I10" s="53" t="str">
        <f ca="1">VLOOKUP($A10,OFFSET([1]characters!$A$1,0,0,COUNTA([1]characters!$A:$A),MATCH(I$1,[1]characters!$1:$1,0)-MATCH($A$1,[1]characters!$1:$1,0)+1),MATCH(I$1,[1]characters!$1:$1,0)-MATCH($A$1,[1]characters!$1:$1,0)+1,FALSE)</f>
        <v>red</v>
      </c>
      <c r="J10" s="53" t="str">
        <f ca="1">VLOOKUP($A10,OFFSET([1]characters!$A$1,0,0,COUNTA([1]characters!$A:$A),MATCH(J$1,[1]characters!$1:$1,0)-MATCH($A$1,[1]characters!$1:$1,0)+1),MATCH(J$1,[1]characters!$1:$1,0)-MATCH($A$1,[1]characters!$1:$1,0)+1,FALSE)</f>
        <v>none</v>
      </c>
      <c r="K10" s="5" t="str">
        <f ca="1">VLOOKUP(J10,[1]character_tribe_i18n!$A:$H,3,FALSE)</f>
        <v>種族なし</v>
      </c>
      <c r="L10" s="10" t="e">
        <f>VLOOKUP(#REF!,[1]character_tribe_i18n!$A:$H,4,FALSE)</f>
        <v>#REF!</v>
      </c>
      <c r="M10" s="10" t="e">
        <f>VLOOKUP(#REF!,[1]character_tribe_i18n!$A:$H,5,FALSE)</f>
        <v>#REF!</v>
      </c>
      <c r="N10" s="10" t="e">
        <f>VLOOKUP(#REF!,[1]character_tribe_i18n!$A:$H,6,FALSE)</f>
        <v>#REF!</v>
      </c>
      <c r="O10" s="10" t="e">
        <f>VLOOKUP(#REF!,[1]character_tribe_i18n!$A:$H,7,FALSE)</f>
        <v>#REF!</v>
      </c>
      <c r="P10" s="176" t="str">
        <f>VLOOKUP(Q10,[1]characters!$A:$AC,20)</f>
        <v>super</v>
      </c>
      <c r="Q10" s="187">
        <v>1714</v>
      </c>
      <c r="R10" s="58" t="str">
        <f ca="1">IF(Q10="NULL","",VLOOKUP($Q10,OFFSET([1]characters!$A$1,0,0,COUNTA([1]characters!$A:$A),MATCH(R$1,[1]characters!$1:$1,0)-MATCH($A$1,[1]characters!$1:$1,0)+1),MATCH(R$1,[1]characters!$1:$1,0)-MATCH($A$1,[1]characters!$1:$1,0)+1,FALSE))</f>
        <v>仁愛の祝賀剣 ジークフリート</v>
      </c>
      <c r="S10" s="5">
        <f>VLOOKUP(Q10,units!A:AG,33,FALSE)</f>
        <v>1713</v>
      </c>
      <c r="T10" s="58" t="str">
        <f ca="1">VLOOKUP($S10,OFFSET([1]characters!$A$1,0,0,COUNTA([1]characters!$A:$A),MATCH(T$1,[1]characters!$1:$1,0)-MATCH($A$1,[1]characters!$1:$1,0)+1),MATCH(T$1,[1]characters!$1:$1,0)-MATCH($A$1,[1]characters!$1:$1,0)+1,FALSE)</f>
        <v>誓約の挙剣 ジークフリート</v>
      </c>
      <c r="U10" s="10">
        <f ca="1">IF(Q10="NULL","NULL",VLOOKUP(G10,[3]ビット!$A$2:$B$7,2))</f>
        <v>200000</v>
      </c>
    </row>
    <row r="11" spans="1:21" ht="21" customHeight="1" x14ac:dyDescent="0.15">
      <c r="A11" s="191">
        <v>1715</v>
      </c>
      <c r="B11" s="53" t="str">
        <f ca="1">VLOOKUP($A11,OFFSET([1]characters!$A$1,0,0,COUNTA([1]characters!$A:$A),MATCH(B$1,[1]characters!$1:$1,0)-MATCH($A$1,[1]characters!$1:$1,0)+1),MATCH(B$1,[1]characters!$1:$1,0)-MATCH($A$1,[1]characters!$1:$1,0)+1,FALSE)</f>
        <v>森歓の祝宴 アマラ</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5</v>
      </c>
      <c r="H11" s="53" t="str">
        <f ca="1">VLOOKUP($A11,OFFSET([1]characters!$A$1,0,0,COUNTA([1]characters!$A:$A),MATCH(H$1,[1]characters!$1:$1,0)-MATCH($A$1,[1]characters!$1:$1,0)+1),MATCH(H$1,[1]characters!$1:$1,0)-MATCH($A$1,[1]characters!$1:$1,0)+1,FALSE)</f>
        <v>PremiumS</v>
      </c>
      <c r="I11" s="53" t="str">
        <f ca="1">VLOOKUP($A11,OFFSET([1]characters!$A$1,0,0,COUNTA([1]characters!$A:$A),MATCH(I$1,[1]characters!$1:$1,0)-MATCH($A$1,[1]characters!$1:$1,0)+1),MATCH(I$1,[1]characters!$1:$1,0)-MATCH($A$1,[1]characters!$1:$1,0)+1,FALSE)</f>
        <v>blue</v>
      </c>
      <c r="J11" s="53" t="str">
        <f ca="1">VLOOKUP($A11,OFFSET([1]characters!$A$1,0,0,COUNTA([1]characters!$A:$A),MATCH(J$1,[1]characters!$1:$1,0)-MATCH($A$1,[1]characters!$1:$1,0)+1),MATCH(J$1,[1]characters!$1:$1,0)-MATCH($A$1,[1]characters!$1:$1,0)+1,FALSE)</f>
        <v>fantasy</v>
      </c>
      <c r="K11" s="5" t="str">
        <f ca="1">VLOOKUP(J11,[1]character_tribe_i18n!$A:$H,3,FALSE)</f>
        <v>ファンタジー</v>
      </c>
      <c r="L11" s="10" t="e">
        <f>VLOOKUP(#REF!,[1]character_tribe_i18n!$A:$H,4,FALSE)</f>
        <v>#REF!</v>
      </c>
      <c r="M11" s="10" t="e">
        <f>VLOOKUP(#REF!,[1]character_tribe_i18n!$A:$H,5,FALSE)</f>
        <v>#REF!</v>
      </c>
      <c r="N11" s="10" t="e">
        <f>VLOOKUP(#REF!,[1]character_tribe_i18n!$A:$H,6,FALSE)</f>
        <v>#REF!</v>
      </c>
      <c r="O11" s="10" t="e">
        <f>VLOOKUP(#REF!,[1]character_tribe_i18n!$A:$H,7,FALSE)</f>
        <v>#REF!</v>
      </c>
      <c r="P11" s="176" t="str">
        <f>VLOOKUP(Q11,[1]characters!$A:$AC,20)</f>
        <v>super</v>
      </c>
      <c r="Q11" s="187">
        <v>1716</v>
      </c>
      <c r="R11" s="58" t="str">
        <f ca="1">IF(Q11="NULL","",VLOOKUP($Q11,OFFSET([1]characters!$A$1,0,0,COUNTA([1]characters!$A:$A),MATCH(R$1,[1]characters!$1:$1,0)-MATCH($A$1,[1]characters!$1:$1,0)+1),MATCH(R$1,[1]characters!$1:$1,0)-MATCH($A$1,[1]characters!$1:$1,0)+1,FALSE))</f>
        <v>森婚の祝福祭 アマラ</v>
      </c>
      <c r="S11" s="5">
        <f>VLOOKUP(Q11,units!A:AG,33,FALSE)</f>
        <v>1715</v>
      </c>
      <c r="T11" s="58" t="str">
        <f ca="1">VLOOKUP($S11,OFFSET([1]characters!$A$1,0,0,COUNTA([1]characters!$A:$A),MATCH(T$1,[1]characters!$1:$1,0)-MATCH($A$1,[1]characters!$1:$1,0)+1),MATCH(T$1,[1]characters!$1:$1,0)-MATCH($A$1,[1]characters!$1:$1,0)+1,FALSE)</f>
        <v>森歓の祝宴 アマラ</v>
      </c>
      <c r="U11" s="10">
        <f ca="1">IF(Q11="NULL","NULL",VLOOKUP(G11,[3]ビット!$A$2:$B$7,2))</f>
        <v>200000</v>
      </c>
    </row>
    <row r="12" spans="1:21" ht="21" customHeight="1" x14ac:dyDescent="0.15">
      <c r="A12" s="191">
        <v>1718</v>
      </c>
      <c r="B12" s="53" t="str">
        <f ca="1">VLOOKUP($A12,OFFSET([1]characters!$A$1,0,0,COUNTA([1]characters!$A:$A),MATCH(B$1,[1]characters!$1:$1,0)-MATCH($A$1,[1]characters!$1:$1,0)+1),MATCH(B$1,[1]characters!$1:$1,0)-MATCH($A$1,[1]characters!$1:$1,0)+1,FALSE)</f>
        <v>マリッジリング</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Material</v>
      </c>
      <c r="I12" s="53" t="str">
        <f ca="1">VLOOKUP($A12,OFFSET([1]characters!$A$1,0,0,COUNTA([1]characters!$A:$A),MATCH(I$1,[1]characters!$1:$1,0)-MATCH($A$1,[1]characters!$1:$1,0)+1),MATCH(I$1,[1]characters!$1:$1,0)-MATCH($A$1,[1]characters!$1:$1,0)+1,FALSE)</f>
        <v>yellow</v>
      </c>
      <c r="J12" s="53" t="str">
        <f ca="1">VLOOKUP($A12,OFFSET([1]characters!$A$1,0,0,COUNTA([1]characters!$A:$A),MATCH(J$1,[1]characters!$1:$1,0)-MATCH($A$1,[1]characters!$1:$1,0)+1),MATCH(J$1,[1]characters!$1:$1,0)-MATCH($A$1,[1]characters!$1:$1,0)+1,FALSE)</f>
        <v>none</v>
      </c>
      <c r="K12" s="5" t="str">
        <f ca="1">VLOOKUP(J12,[1]character_tribe_i18n!$A:$H,3,FALSE)</f>
        <v>種族なし</v>
      </c>
      <c r="L12" s="10" t="e">
        <f>VLOOKUP(#REF!,[1]character_tribe_i18n!$A:$H,4,FALSE)</f>
        <v>#REF!</v>
      </c>
      <c r="M12" s="10" t="e">
        <f>VLOOKUP(#REF!,[1]character_tribe_i18n!$A:$H,5,FALSE)</f>
        <v>#REF!</v>
      </c>
      <c r="N12" s="10" t="e">
        <f>VLOOKUP(#REF!,[1]character_tribe_i18n!$A:$H,6,FALSE)</f>
        <v>#REF!</v>
      </c>
      <c r="O12" s="10" t="e">
        <f>VLOOKUP(#REF!,[1]character_tribe_i18n!$A:$H,7,FALSE)</f>
        <v>#REF!</v>
      </c>
      <c r="P12" s="176" t="str">
        <f>VLOOKUP(Q12,[1]characters!$A:$AC,20)</f>
        <v>normal</v>
      </c>
      <c r="Q12" s="187">
        <v>1719</v>
      </c>
      <c r="R12" s="58" t="str">
        <f ca="1">IF(Q12="NULL","",VLOOKUP($Q12,OFFSET([1]characters!$A$1,0,0,COUNTA([1]characters!$A:$A),MATCH(R$1,[1]characters!$1:$1,0)-MATCH($A$1,[1]characters!$1:$1,0)+1),MATCH(R$1,[1]characters!$1:$1,0)-MATCH($A$1,[1]characters!$1:$1,0)+1,FALSE))</f>
        <v>トゥルー・マリッジリング</v>
      </c>
      <c r="S12" s="5">
        <f>VLOOKUP(Q12,units!A:AG,33,FALSE)</f>
        <v>1718</v>
      </c>
      <c r="T12" s="58" t="str">
        <f ca="1">VLOOKUP($S12,OFFSET([1]characters!$A$1,0,0,COUNTA([1]characters!$A:$A),MATCH(T$1,[1]characters!$1:$1,0)-MATCH($A$1,[1]characters!$1:$1,0)+1),MATCH(T$1,[1]characters!$1:$1,0)-MATCH($A$1,[1]characters!$1:$1,0)+1,FALSE)</f>
        <v>マリッジリング</v>
      </c>
      <c r="U12" s="10">
        <f ca="1">IF(Q12="NULL","NULL",VLOOKUP(G12,[3]ビット!$A$2:$B$7,2))</f>
        <v>200000</v>
      </c>
    </row>
    <row r="13" spans="1:21" ht="21" customHeight="1" x14ac:dyDescent="0.15">
      <c r="A13" s="187">
        <v>1698</v>
      </c>
      <c r="B13" s="53" t="str">
        <f ca="1">VLOOKUP($A13,OFFSET([1]characters!$A$1,0,0,COUNTA([1]characters!$A:$A),MATCH(B$1,[1]characters!$1:$1,0)-MATCH($A$1,[1]characters!$1:$1,0)+1),MATCH(B$1,[1]characters!$1:$1,0)-MATCH($A$1,[1]characters!$1:$1,0)+1,FALSE)</f>
        <v>炎断の華嫁 ガーネット</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6</v>
      </c>
      <c r="H13" s="53" t="str">
        <f ca="1">VLOOKUP($A13,OFFSET([1]characters!$A$1,0,0,COUNTA([1]characters!$A:$A),MATCH(H$1,[1]characters!$1:$1,0)-MATCH($A$1,[1]characters!$1:$1,0)+1),MATCH(H$1,[1]characters!$1:$1,0)-MATCH($A$1,[1]characters!$1:$1,0)+1,FALSE)</f>
        <v>DropWizS</v>
      </c>
      <c r="I13" s="53" t="str">
        <f ca="1">VLOOKUP($A13,OFFSET([1]characters!$A$1,0,0,COUNTA([1]characters!$A:$A),MATCH(I$1,[1]characters!$1:$1,0)-MATCH($A$1,[1]characters!$1:$1,0)+1),MATCH(I$1,[1]characters!$1:$1,0)-MATCH($A$1,[1]characters!$1:$1,0)+1,FALSE)</f>
        <v>red</v>
      </c>
      <c r="J13" s="53" t="str">
        <f ca="1">VLOOKUP($A13,OFFSET([1]characters!$A$1,0,0,COUNTA([1]characters!$A:$A),MATCH(J$1,[1]characters!$1:$1,0)-MATCH($A$1,[1]characters!$1:$1,0)+1),MATCH(J$1,[1]characters!$1:$1,0)-MATCH($A$1,[1]characters!$1:$1,0)+1,FALSE)</f>
        <v>fantasy</v>
      </c>
      <c r="K13" s="5" t="str">
        <f ca="1">VLOOKUP(J13,[1]character_tribe_i18n!$A:$H,3,FALSE)</f>
        <v>ファンタジー</v>
      </c>
      <c r="L13" s="10" t="e">
        <f>VLOOKUP(#REF!,[1]character_tribe_i18n!$A:$H,4,FALSE)</f>
        <v>#REF!</v>
      </c>
      <c r="M13" s="10" t="e">
        <f>VLOOKUP(#REF!,[1]character_tribe_i18n!$A:$H,5,FALSE)</f>
        <v>#REF!</v>
      </c>
      <c r="N13" s="10" t="e">
        <f>VLOOKUP(#REF!,[1]character_tribe_i18n!$A:$H,6,FALSE)</f>
        <v>#REF!</v>
      </c>
      <c r="O13" s="10" t="e">
        <f>VLOOKUP(#REF!,[1]character_tribe_i18n!$A:$H,7,FALSE)</f>
        <v>#REF!</v>
      </c>
      <c r="P13" s="176" t="str">
        <f>VLOOKUP(Q13,[1]characters!$A:$AC,20)</f>
        <v>normal</v>
      </c>
      <c r="Q13" s="191">
        <v>1697</v>
      </c>
      <c r="R13" s="58" t="str">
        <f ca="1">IF(Q13="NULL","",VLOOKUP($Q13,OFFSET([1]characters!$A$1,0,0,COUNTA([1]characters!$A:$A),MATCH(R$1,[1]characters!$1:$1,0)-MATCH($A$1,[1]characters!$1:$1,0)+1),MATCH(R$1,[1]characters!$1:$1,0)-MATCH($A$1,[1]characters!$1:$1,0)+1,FALSE))</f>
        <v>駆動する機会 ガーネット</v>
      </c>
      <c r="S13" s="5">
        <f>VLOOKUP(Q13,units!A:AG,33,FALSE)</f>
        <v>1697</v>
      </c>
      <c r="T13" s="58" t="str">
        <f ca="1">VLOOKUP($S13,OFFSET([1]characters!$A$1,0,0,COUNTA([1]characters!$A:$A),MATCH(T$1,[1]characters!$1:$1,0)-MATCH($A$1,[1]characters!$1:$1,0)+1),MATCH(T$1,[1]characters!$1:$1,0)-MATCH($A$1,[1]characters!$1:$1,0)+1,FALSE)</f>
        <v>駆動する機会 ガーネット</v>
      </c>
      <c r="U13" s="10">
        <f ca="1">IF(Q13="NULL","NULL",VLOOKUP(G13,[3]ビット!$A$2:$B$7,2))</f>
        <v>200000</v>
      </c>
    </row>
    <row r="14" spans="1:21" ht="21" customHeight="1" x14ac:dyDescent="0.15">
      <c r="A14" s="187">
        <v>1700</v>
      </c>
      <c r="B14" s="53" t="str">
        <f ca="1">VLOOKUP($A14,OFFSET([1]characters!$A$1,0,0,COUNTA([1]characters!$A:$A),MATCH(B$1,[1]characters!$1:$1,0)-MATCH($A$1,[1]characters!$1:$1,0)+1),MATCH(B$1,[1]characters!$1:$1,0)-MATCH($A$1,[1]characters!$1:$1,0)+1,FALSE)</f>
        <v>大慶総氏神 アマテラス</v>
      </c>
      <c r="C14" s="53" t="str">
        <f ca="1">VLOOKUP($A14,OFFSET([1]characters!$A$1,0,0,COUNTA([1]characters!$A:$A),MATCH(C$1,[1]characters!$1:$1,0)-MATCH($A$1,[1]characters!$1:$1,0)+1),MATCH(C$1,[1]characters!$1:$1,0)-MATCH($A$1,[1]characters!$1:$1,0)+1,FALSE)</f>
        <v>未定</v>
      </c>
      <c r="D14" s="53" t="str">
        <f ca="1">VLOOKUP($A14,OFFSET([1]characters!$A$1,0,0,COUNTA([1]characters!$A:$A),MATCH(D$1,[1]characters!$1:$1,0)-MATCH($A$1,[1]characters!$1:$1,0)+1),MATCH(D$1,[1]characters!$1:$1,0)-MATCH($A$1,[1]characters!$1:$1,0)+1,FALSE)</f>
        <v>アリス</v>
      </c>
      <c r="E14" s="53" t="str">
        <f ca="1">VLOOKUP($A14,OFFSET([1]characters!$A$1,0,0,COUNTA([1]characters!$A:$A),MATCH(E$1,[1]characters!$1:$1,0)-MATCH($A$1,[1]characters!$1:$1,0)+1),MATCH(E$1,[1]characters!$1:$1,0)-MATCH($A$1,[1]characters!$1:$1,0)+1,FALSE)</f>
        <v>世界観</v>
      </c>
      <c r="F14" s="53" t="str">
        <f ca="1">VLOOKUP($A14,OFFSET([1]characters!$A$1,0,0,COUNTA([1]characters!$A:$A),MATCH(F$1,[1]characters!$1:$1,0)-MATCH($A$1,[1]characters!$1:$1,0)+1),MATCH(F$1,[1]characters!$1:$1,0)-MATCH($A$1,[1]characters!$1:$1,0)+1,FALSE)</f>
        <v>不明</v>
      </c>
      <c r="G14" s="53">
        <f ca="1">VLOOKUP($A14,OFFSET([1]characters!$A$1,0,0,COUNTA([1]characters!$A:$A),MATCH(G$1,[1]characters!$1:$1,0)-MATCH($A$1,[1]characters!$1:$1,0)+1),MATCH(G$1,[1]characters!$1:$1,0)-MATCH($A$1,[1]characters!$1:$1,0)+1,FALSE)</f>
        <v>6</v>
      </c>
      <c r="H14" s="53" t="str">
        <f ca="1">VLOOKUP($A14,OFFSET([1]characters!$A$1,0,0,COUNTA([1]characters!$A:$A),MATCH(H$1,[1]characters!$1:$1,0)-MATCH($A$1,[1]characters!$1:$1,0)+1),MATCH(H$1,[1]characters!$1:$1,0)-MATCH($A$1,[1]characters!$1:$1,0)+1,FALSE)</f>
        <v>DropWizS</v>
      </c>
      <c r="I14" s="53" t="str">
        <f ca="1">VLOOKUP($A14,OFFSET([1]characters!$A$1,0,0,COUNTA([1]characters!$A:$A),MATCH(I$1,[1]characters!$1:$1,0)-MATCH($A$1,[1]characters!$1:$1,0)+1),MATCH(I$1,[1]characters!$1:$1,0)-MATCH($A$1,[1]characters!$1:$1,0)+1,FALSE)</f>
        <v>green</v>
      </c>
      <c r="J14" s="53" t="str">
        <f ca="1">VLOOKUP($A14,OFFSET([1]characters!$A$1,0,0,COUNTA([1]characters!$A:$A),MATCH(J$1,[1]characters!$1:$1,0)-MATCH($A$1,[1]characters!$1:$1,0)+1),MATCH(J$1,[1]characters!$1:$1,0)-MATCH($A$1,[1]characters!$1:$1,0)+1,FALSE)</f>
        <v>fantasy</v>
      </c>
      <c r="K14" s="5" t="str">
        <f ca="1">VLOOKUP(J14,[1]character_tribe_i18n!$A:$H,3,FALSE)</f>
        <v>ファンタジー</v>
      </c>
      <c r="L14" s="10" t="e">
        <f>VLOOKUP(#REF!,[1]character_tribe_i18n!$A:$H,4,FALSE)</f>
        <v>#REF!</v>
      </c>
      <c r="M14" s="10" t="e">
        <f>VLOOKUP(#REF!,[1]character_tribe_i18n!$A:$H,5,FALSE)</f>
        <v>#REF!</v>
      </c>
      <c r="N14" s="10" t="e">
        <f>VLOOKUP(#REF!,[1]character_tribe_i18n!$A:$H,6,FALSE)</f>
        <v>#REF!</v>
      </c>
      <c r="O14" s="10" t="e">
        <f>VLOOKUP(#REF!,[1]character_tribe_i18n!$A:$H,7,FALSE)</f>
        <v>#REF!</v>
      </c>
      <c r="P14" s="176" t="str">
        <f>VLOOKUP(Q14,[1]characters!$A:$AC,20)</f>
        <v>normal</v>
      </c>
      <c r="Q14" s="191">
        <v>1699</v>
      </c>
      <c r="R14" s="58" t="str">
        <f ca="1">IF(Q14="NULL","",VLOOKUP($Q14,OFFSET([1]characters!$A$1,0,0,COUNTA([1]characters!$A:$A),MATCH(R$1,[1]characters!$1:$1,0)-MATCH($A$1,[1]characters!$1:$1,0)+1),MATCH(R$1,[1]characters!$1:$1,0)-MATCH($A$1,[1]characters!$1:$1,0)+1,FALSE))</f>
        <v>崇高祝言 アマテラス</v>
      </c>
      <c r="S14" s="5">
        <f>VLOOKUP(Q14,units!A:AG,33,FALSE)</f>
        <v>1699</v>
      </c>
      <c r="T14" s="58" t="str">
        <f ca="1">VLOOKUP($S14,OFFSET([1]characters!$A$1,0,0,COUNTA([1]characters!$A:$A),MATCH(T$1,[1]characters!$1:$1,0)-MATCH($A$1,[1]characters!$1:$1,0)+1),MATCH(T$1,[1]characters!$1:$1,0)-MATCH($A$1,[1]characters!$1:$1,0)+1,FALSE)</f>
        <v>崇高祝言 アマテラス</v>
      </c>
      <c r="U14" s="10">
        <f ca="1">IF(Q14="NULL","NULL",VLOOKUP(G14,[3]ビット!$A$2:$B$7,2))</f>
        <v>200000</v>
      </c>
    </row>
    <row r="15" spans="1:21" ht="21" customHeight="1" x14ac:dyDescent="0.15">
      <c r="A15" s="187">
        <v>1702</v>
      </c>
      <c r="B15" s="53" t="str">
        <f ca="1">VLOOKUP($A15,OFFSET([1]characters!$A$1,0,0,COUNTA([1]characters!$A:$A),MATCH(B$1,[1]characters!$1:$1,0)-MATCH($A$1,[1]characters!$1:$1,0)+1),MATCH(B$1,[1]characters!$1:$1,0)-MATCH($A$1,[1]characters!$1:$1,0)+1,FALSE)</f>
        <v>求愛の夢想剣 フォルトゥナ</v>
      </c>
      <c r="C15" s="53" t="str">
        <f ca="1">VLOOKUP($A15,OFFSET([1]characters!$A$1,0,0,COUNTA([1]characters!$A:$A),MATCH(C$1,[1]characters!$1:$1,0)-MATCH($A$1,[1]characters!$1:$1,0)+1),MATCH(C$1,[1]characters!$1:$1,0)-MATCH($A$1,[1]characters!$1:$1,0)+1,FALSE)</f>
        <v>未定</v>
      </c>
      <c r="D15" s="53" t="str">
        <f ca="1">VLOOKUP($A15,OFFSET([1]characters!$A$1,0,0,COUNTA([1]characters!$A:$A),MATCH(D$1,[1]characters!$1:$1,0)-MATCH($A$1,[1]characters!$1:$1,0)+1),MATCH(D$1,[1]characters!$1:$1,0)-MATCH($A$1,[1]characters!$1:$1,0)+1,FALSE)</f>
        <v>アリス</v>
      </c>
      <c r="E15" s="53" t="str">
        <f ca="1">VLOOKUP($A15,OFFSET([1]characters!$A$1,0,0,COUNTA([1]characters!$A:$A),MATCH(E$1,[1]characters!$1:$1,0)-MATCH($A$1,[1]characters!$1:$1,0)+1),MATCH(E$1,[1]characters!$1:$1,0)-MATCH($A$1,[1]characters!$1:$1,0)+1,FALSE)</f>
        <v>世界観</v>
      </c>
      <c r="F15" s="53" t="str">
        <f ca="1">VLOOKUP($A15,OFFSET([1]characters!$A$1,0,0,COUNTA([1]characters!$A:$A),MATCH(F$1,[1]characters!$1:$1,0)-MATCH($A$1,[1]characters!$1:$1,0)+1),MATCH(F$1,[1]characters!$1:$1,0)-MATCH($A$1,[1]characters!$1:$1,0)+1,FALSE)</f>
        <v>不明</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PremiumSSw</v>
      </c>
      <c r="I15" s="53" t="str">
        <f ca="1">VLOOKUP($A15,OFFSET([1]characters!$A$1,0,0,COUNTA([1]characters!$A:$A),MATCH(I$1,[1]characters!$1:$1,0)-MATCH($A$1,[1]characters!$1:$1,0)+1),MATCH(I$1,[1]characters!$1:$1,0)-MATCH($A$1,[1]characters!$1:$1,0)+1,FALSE)</f>
        <v>blue</v>
      </c>
      <c r="J15" s="53" t="str">
        <f ca="1">VLOOKUP($A15,OFFSET([1]characters!$A$1,0,0,COUNTA([1]characters!$A:$A),MATCH(J$1,[1]characters!$1:$1,0)-MATCH($A$1,[1]characters!$1:$1,0)+1),MATCH(J$1,[1]characters!$1:$1,0)-MATCH($A$1,[1]characters!$1:$1,0)+1,FALSE)</f>
        <v>fantasy</v>
      </c>
      <c r="K15" s="5" t="str">
        <f ca="1">VLOOKUP(J15,[1]character_tribe_i18n!$A:$H,3,FALSE)</f>
        <v>ファンタジー</v>
      </c>
      <c r="L15" s="10" t="e">
        <f>VLOOKUP(#REF!,[1]character_tribe_i18n!$A:$H,4,FALSE)</f>
        <v>#REF!</v>
      </c>
      <c r="M15" s="10" t="e">
        <f>VLOOKUP(#REF!,[1]character_tribe_i18n!$A:$H,5,FALSE)</f>
        <v>#REF!</v>
      </c>
      <c r="N15" s="10" t="e">
        <f>VLOOKUP(#REF!,[1]character_tribe_i18n!$A:$H,6,FALSE)</f>
        <v>#REF!</v>
      </c>
      <c r="O15" s="10" t="e">
        <f>VLOOKUP(#REF!,[1]character_tribe_i18n!$A:$H,7,FALSE)</f>
        <v>#REF!</v>
      </c>
      <c r="P15" s="176" t="str">
        <f>VLOOKUP(Q15,[1]characters!$A:$AC,20)</f>
        <v>normal</v>
      </c>
      <c r="Q15" s="191">
        <v>1701</v>
      </c>
      <c r="R15" s="58" t="str">
        <f ca="1">IF(Q15="NULL","",VLOOKUP($Q15,OFFSET([1]characters!$A$1,0,0,COUNTA([1]characters!$A:$A),MATCH(R$1,[1]characters!$1:$1,0)-MATCH($A$1,[1]characters!$1:$1,0)+1),MATCH(R$1,[1]characters!$1:$1,0)-MATCH($A$1,[1]characters!$1:$1,0)+1,FALSE))</f>
        <v>蒼嵐の婚戦 フォルトゥナ</v>
      </c>
      <c r="S15" s="5">
        <f>VLOOKUP(Q15,units!A:AG,33,FALSE)</f>
        <v>1701</v>
      </c>
      <c r="T15" s="58" t="str">
        <f ca="1">VLOOKUP($S15,OFFSET([1]characters!$A$1,0,0,COUNTA([1]characters!$A:$A),MATCH(T$1,[1]characters!$1:$1,0)-MATCH($A$1,[1]characters!$1:$1,0)+1),MATCH(T$1,[1]characters!$1:$1,0)-MATCH($A$1,[1]characters!$1:$1,0)+1,FALSE)</f>
        <v>蒼嵐の婚戦 フォルトゥナ</v>
      </c>
      <c r="U15" s="10">
        <f ca="1">IF(Q15="NULL","NULL",VLOOKUP(G15,[3]ビット!$A$2:$B$7,2))</f>
        <v>200000</v>
      </c>
    </row>
    <row r="16" spans="1:21" ht="21" customHeight="1" x14ac:dyDescent="0.15">
      <c r="A16" s="187">
        <v>1704</v>
      </c>
      <c r="B16" s="53" t="str">
        <f ca="1">VLOOKUP($A16,OFFSET([1]characters!$A$1,0,0,COUNTA([1]characters!$A:$A),MATCH(B$1,[1]characters!$1:$1,0)-MATCH($A$1,[1]characters!$1:$1,0)+1),MATCH(B$1,[1]characters!$1:$1,0)-MATCH($A$1,[1]characters!$1:$1,0)+1,FALSE)</f>
        <v>恋焦がす夢乙女 リリィ</v>
      </c>
      <c r="C16" s="53">
        <f ca="1">VLOOKUP($A16,OFFSET([1]characters!$A$1,0,0,COUNTA([1]characters!$A:$A),MATCH(C$1,[1]characters!$1:$1,0)-MATCH($A$1,[1]characters!$1:$1,0)+1),MATCH(C$1,[1]characters!$1:$1,0)-MATCH($A$1,[1]characters!$1:$1,0)+1,FALSE)</f>
        <v>0</v>
      </c>
      <c r="D16" s="53">
        <f ca="1">VLOOKUP($A16,OFFSET([1]characters!$A$1,0,0,COUNTA([1]characters!$A:$A),MATCH(D$1,[1]characters!$1:$1,0)-MATCH($A$1,[1]characters!$1:$1,0)+1),MATCH(D$1,[1]characters!$1:$1,0)-MATCH($A$1,[1]characters!$1:$1,0)+1,FALSE)</f>
        <v>0</v>
      </c>
      <c r="E16" s="53">
        <f ca="1">VLOOKUP($A16,OFFSET([1]characters!$A$1,0,0,COUNTA([1]characters!$A:$A),MATCH(E$1,[1]characters!$1:$1,0)-MATCH($A$1,[1]characters!$1:$1,0)+1),MATCH(E$1,[1]characters!$1:$1,0)-MATCH($A$1,[1]characters!$1:$1,0)+1,FALSE)</f>
        <v>0</v>
      </c>
      <c r="F16" s="53">
        <f ca="1">VLOOKUP($A16,OFFSET([1]characters!$A$1,0,0,COUNTA([1]characters!$A:$A),MATCH(F$1,[1]characters!$1:$1,0)-MATCH($A$1,[1]characters!$1:$1,0)+1),MATCH(F$1,[1]characters!$1:$1,0)-MATCH($A$1,[1]characters!$1:$1,0)+1,FALSE)</f>
        <v>0</v>
      </c>
      <c r="G16" s="53">
        <f ca="1">VLOOKUP($A16,OFFSET([1]characters!$A$1,0,0,COUNTA([1]characters!$A:$A),MATCH(G$1,[1]characters!$1:$1,0)-MATCH($A$1,[1]characters!$1:$1,0)+1),MATCH(G$1,[1]characters!$1:$1,0)-MATCH($A$1,[1]characters!$1:$1,0)+1,FALSE)</f>
        <v>6</v>
      </c>
      <c r="H16" s="53" t="str">
        <f ca="1">VLOOKUP($A16,OFFSET([1]characters!$A$1,0,0,COUNTA([1]characters!$A:$A),MATCH(H$1,[1]characters!$1:$1,0)-MATCH($A$1,[1]characters!$1:$1,0)+1),MATCH(H$1,[1]characters!$1:$1,0)-MATCH($A$1,[1]characters!$1:$1,0)+1,FALSE)</f>
        <v>PremiumSSw</v>
      </c>
      <c r="I16" s="53" t="str">
        <f ca="1">VLOOKUP($A16,OFFSET([1]characters!$A$1,0,0,COUNTA([1]characters!$A:$A),MATCH(I$1,[1]characters!$1:$1,0)-MATCH($A$1,[1]characters!$1:$1,0)+1),MATCH(I$1,[1]characters!$1:$1,0)-MATCH($A$1,[1]characters!$1:$1,0)+1,FALSE)</f>
        <v>red</v>
      </c>
      <c r="J16" s="53" t="str">
        <f ca="1">VLOOKUP($A16,OFFSET([1]characters!$A$1,0,0,COUNTA([1]characters!$A:$A),MATCH(J$1,[1]characters!$1:$1,0)-MATCH($A$1,[1]characters!$1:$1,0)+1),MATCH(J$1,[1]characters!$1:$1,0)-MATCH($A$1,[1]characters!$1:$1,0)+1,FALSE)</f>
        <v>fantasy</v>
      </c>
      <c r="K16" s="5" t="str">
        <f ca="1">VLOOKUP(J16,[1]character_tribe_i18n!$A:$H,3,FALSE)</f>
        <v>ファンタジー</v>
      </c>
      <c r="L16" s="10" t="e">
        <f>VLOOKUP(#REF!,[1]character_tribe_i18n!$A:$H,4,FALSE)</f>
        <v>#REF!</v>
      </c>
      <c r="M16" s="10" t="e">
        <f>VLOOKUP(#REF!,[1]character_tribe_i18n!$A:$H,5,FALSE)</f>
        <v>#REF!</v>
      </c>
      <c r="N16" s="10" t="e">
        <f>VLOOKUP(#REF!,[1]character_tribe_i18n!$A:$H,6,FALSE)</f>
        <v>#REF!</v>
      </c>
      <c r="O16" s="10" t="e">
        <f>VLOOKUP(#REF!,[1]character_tribe_i18n!$A:$H,7,FALSE)</f>
        <v>#REF!</v>
      </c>
      <c r="P16" s="176" t="str">
        <f>VLOOKUP(Q16,[1]characters!$A:$AC,20)</f>
        <v>normal</v>
      </c>
      <c r="Q16" s="191">
        <v>1703</v>
      </c>
      <c r="R16" s="58" t="str">
        <f ca="1">IF(Q16="NULL","",VLOOKUP($Q16,OFFSET([1]characters!$A$1,0,0,COUNTA([1]characters!$A:$A),MATCH(R$1,[1]characters!$1:$1,0)-MATCH($A$1,[1]characters!$1:$1,0)+1),MATCH(R$1,[1]characters!$1:$1,0)-MATCH($A$1,[1]characters!$1:$1,0)+1,FALSE))</f>
        <v>可恋なる花乙女 リリィ</v>
      </c>
      <c r="S16" s="5">
        <f>VLOOKUP(Q16,units!A:AG,33,FALSE)</f>
        <v>1703</v>
      </c>
      <c r="T16" s="58" t="str">
        <f ca="1">VLOOKUP($S16,OFFSET([1]characters!$A$1,0,0,COUNTA([1]characters!$A:$A),MATCH(T$1,[1]characters!$1:$1,0)-MATCH($A$1,[1]characters!$1:$1,0)+1),MATCH(T$1,[1]characters!$1:$1,0)-MATCH($A$1,[1]characters!$1:$1,0)+1,FALSE)</f>
        <v>可恋なる花乙女 リリィ</v>
      </c>
      <c r="U16" s="10">
        <f ca="1">IF(Q16="NULL","NULL",VLOOKUP(G16,[3]ビット!$A$2:$B$7,2))</f>
        <v>200000</v>
      </c>
    </row>
    <row r="17" spans="1:21" ht="21" customHeight="1" x14ac:dyDescent="0.15">
      <c r="A17" s="187">
        <v>1706</v>
      </c>
      <c r="B17" s="53" t="str">
        <f ca="1">VLOOKUP($A17,OFFSET([1]characters!$A$1,0,0,COUNTA([1]characters!$A:$A),MATCH(B$1,[1]characters!$1:$1,0)-MATCH($A$1,[1]characters!$1:$1,0)+1),MATCH(B$1,[1]characters!$1:$1,0)-MATCH($A$1,[1]characters!$1:$1,0)+1,FALSE)</f>
        <v>幸福なる大祝砲 白雪姫</v>
      </c>
      <c r="C17" s="53">
        <f ca="1">VLOOKUP($A17,OFFSET([1]characters!$A$1,0,0,COUNTA([1]characters!$A:$A),MATCH(C$1,[1]characters!$1:$1,0)-MATCH($A$1,[1]characters!$1:$1,0)+1),MATCH(C$1,[1]characters!$1:$1,0)-MATCH($A$1,[1]characters!$1:$1,0)+1,FALSE)</f>
        <v>0</v>
      </c>
      <c r="D17" s="53">
        <f ca="1">VLOOKUP($A17,OFFSET([1]characters!$A$1,0,0,COUNTA([1]characters!$A:$A),MATCH(D$1,[1]characters!$1:$1,0)-MATCH($A$1,[1]characters!$1:$1,0)+1),MATCH(D$1,[1]characters!$1:$1,0)-MATCH($A$1,[1]characters!$1:$1,0)+1,FALSE)</f>
        <v>0</v>
      </c>
      <c r="E17" s="53">
        <f ca="1">VLOOKUP($A17,OFFSET([1]characters!$A$1,0,0,COUNTA([1]characters!$A:$A),MATCH(E$1,[1]characters!$1:$1,0)-MATCH($A$1,[1]characters!$1:$1,0)+1),MATCH(E$1,[1]characters!$1:$1,0)-MATCH($A$1,[1]characters!$1:$1,0)+1,FALSE)</f>
        <v>0</v>
      </c>
      <c r="F17" s="53">
        <f ca="1">VLOOKUP($A17,OFFSET([1]characters!$A$1,0,0,COUNTA([1]characters!$A:$A),MATCH(F$1,[1]characters!$1:$1,0)-MATCH($A$1,[1]characters!$1:$1,0)+1),MATCH(F$1,[1]characters!$1:$1,0)-MATCH($A$1,[1]characters!$1:$1,0)+1,FALSE)</f>
        <v>0</v>
      </c>
      <c r="G17" s="53">
        <f ca="1">VLOOKUP($A17,OFFSET([1]characters!$A$1,0,0,COUNTA([1]characters!$A:$A),MATCH(G$1,[1]characters!$1:$1,0)-MATCH($A$1,[1]characters!$1:$1,0)+1),MATCH(G$1,[1]characters!$1:$1,0)-MATCH($A$1,[1]characters!$1:$1,0)+1,FALSE)</f>
        <v>6</v>
      </c>
      <c r="H17" s="53" t="str">
        <f ca="1">VLOOKUP($A17,OFFSET([1]characters!$A$1,0,0,COUNTA([1]characters!$A:$A),MATCH(H$1,[1]characters!$1:$1,0)-MATCH($A$1,[1]characters!$1:$1,0)+1),MATCH(H$1,[1]characters!$1:$1,0)-MATCH($A$1,[1]characters!$1:$1,0)+1,FALSE)</f>
        <v>PremiumSS</v>
      </c>
      <c r="I17" s="53" t="str">
        <f ca="1">VLOOKUP($A17,OFFSET([1]characters!$A$1,0,0,COUNTA([1]characters!$A:$A),MATCH(I$1,[1]characters!$1:$1,0)-MATCH($A$1,[1]characters!$1:$1,0)+1),MATCH(I$1,[1]characters!$1:$1,0)-MATCH($A$1,[1]characters!$1:$1,0)+1,FALSE)</f>
        <v>red</v>
      </c>
      <c r="J17" s="53" t="str">
        <f ca="1">VLOOKUP($A17,OFFSET([1]characters!$A$1,0,0,COUNTA([1]characters!$A:$A),MATCH(J$1,[1]characters!$1:$1,0)-MATCH($A$1,[1]characters!$1:$1,0)+1),MATCH(J$1,[1]characters!$1:$1,0)-MATCH($A$1,[1]characters!$1:$1,0)+1,FALSE)</f>
        <v>fantasy</v>
      </c>
      <c r="K17" s="5" t="str">
        <f ca="1">VLOOKUP(J17,[1]character_tribe_i18n!$A:$H,3,FALSE)</f>
        <v>ファンタジー</v>
      </c>
      <c r="L17" s="10" t="e">
        <f>VLOOKUP(#REF!,[1]character_tribe_i18n!$A:$H,4,FALSE)</f>
        <v>#REF!</v>
      </c>
      <c r="M17" s="10" t="e">
        <f>VLOOKUP(#REF!,[1]character_tribe_i18n!$A:$H,5,FALSE)</f>
        <v>#REF!</v>
      </c>
      <c r="N17" s="10" t="e">
        <f>VLOOKUP(#REF!,[1]character_tribe_i18n!$A:$H,6,FALSE)</f>
        <v>#REF!</v>
      </c>
      <c r="O17" s="10" t="e">
        <f>VLOOKUP(#REF!,[1]character_tribe_i18n!$A:$H,7,FALSE)</f>
        <v>#REF!</v>
      </c>
      <c r="P17" s="176" t="str">
        <f>VLOOKUP(Q17,[1]characters!$A:$AC,20)</f>
        <v>normal</v>
      </c>
      <c r="Q17" s="191">
        <v>1705</v>
      </c>
      <c r="R17" s="58" t="str">
        <f ca="1">IF(Q17="NULL","",VLOOKUP($Q17,OFFSET([1]characters!$A$1,0,0,COUNTA([1]characters!$A:$A),MATCH(R$1,[1]characters!$1:$1,0)-MATCH($A$1,[1]characters!$1:$1,0)+1),MATCH(R$1,[1]characters!$1:$1,0)-MATCH($A$1,[1]characters!$1:$1,0)+1,FALSE))</f>
        <v>純白の新婦軍 白雪姫</v>
      </c>
      <c r="S17" s="5">
        <f>VLOOKUP(Q17,units!A:AG,33,FALSE)</f>
        <v>1705</v>
      </c>
      <c r="T17" s="58" t="str">
        <f ca="1">VLOOKUP($S17,OFFSET([1]characters!$A$1,0,0,COUNTA([1]characters!$A:$A),MATCH(T$1,[1]characters!$1:$1,0)-MATCH($A$1,[1]characters!$1:$1,0)+1),MATCH(T$1,[1]characters!$1:$1,0)-MATCH($A$1,[1]characters!$1:$1,0)+1,FALSE)</f>
        <v>純白の新婦軍 白雪姫</v>
      </c>
      <c r="U17" s="10">
        <f ca="1">IF(Q17="NULL","NULL",VLOOKUP(G17,[3]ビット!$A$2:$B$7,2))</f>
        <v>200000</v>
      </c>
    </row>
    <row r="18" spans="1:21" ht="21" customHeight="1" x14ac:dyDescent="0.15">
      <c r="A18" s="187">
        <v>1708</v>
      </c>
      <c r="B18" s="53" t="str">
        <f ca="1">VLOOKUP($A18,OFFSET([1]characters!$A$1,0,0,COUNTA([1]characters!$A:$A),MATCH(B$1,[1]characters!$1:$1,0)-MATCH($A$1,[1]characters!$1:$1,0)+1),MATCH(B$1,[1]characters!$1:$1,0)-MATCH($A$1,[1]characters!$1:$1,0)+1,FALSE)</f>
        <v>御聖婚の幸猫神 バステト</v>
      </c>
      <c r="C18" s="53">
        <f ca="1">VLOOKUP($A18,OFFSET([1]characters!$A$1,0,0,COUNTA([1]characters!$A:$A),MATCH(C$1,[1]characters!$1:$1,0)-MATCH($A$1,[1]characters!$1:$1,0)+1),MATCH(C$1,[1]characters!$1:$1,0)-MATCH($A$1,[1]characters!$1:$1,0)+1,FALSE)</f>
        <v>0</v>
      </c>
      <c r="D18" s="53">
        <f ca="1">VLOOKUP($A18,OFFSET([1]characters!$A$1,0,0,COUNTA([1]characters!$A:$A),MATCH(D$1,[1]characters!$1:$1,0)-MATCH($A$1,[1]characters!$1:$1,0)+1),MATCH(D$1,[1]characters!$1:$1,0)-MATCH($A$1,[1]characters!$1:$1,0)+1,FALSE)</f>
        <v>0</v>
      </c>
      <c r="E18" s="53">
        <f ca="1">VLOOKUP($A18,OFFSET([1]characters!$A$1,0,0,COUNTA([1]characters!$A:$A),MATCH(E$1,[1]characters!$1:$1,0)-MATCH($A$1,[1]characters!$1:$1,0)+1),MATCH(E$1,[1]characters!$1:$1,0)-MATCH($A$1,[1]characters!$1:$1,0)+1,FALSE)</f>
        <v>0</v>
      </c>
      <c r="F18" s="53">
        <f ca="1">VLOOKUP($A18,OFFSET([1]characters!$A$1,0,0,COUNTA([1]characters!$A:$A),MATCH(F$1,[1]characters!$1:$1,0)-MATCH($A$1,[1]characters!$1:$1,0)+1),MATCH(F$1,[1]characters!$1:$1,0)-MATCH($A$1,[1]characters!$1:$1,0)+1,FALSE)</f>
        <v>0</v>
      </c>
      <c r="G18" s="53">
        <f ca="1">VLOOKUP($A18,OFFSET([1]characters!$A$1,0,0,COUNTA([1]characters!$A:$A),MATCH(G$1,[1]characters!$1:$1,0)-MATCH($A$1,[1]characters!$1:$1,0)+1),MATCH(G$1,[1]characters!$1:$1,0)-MATCH($A$1,[1]characters!$1:$1,0)+1,FALSE)</f>
        <v>6</v>
      </c>
      <c r="H18" s="53" t="str">
        <f ca="1">VLOOKUP($A18,OFFSET([1]characters!$A$1,0,0,COUNTA([1]characters!$A:$A),MATCH(H$1,[1]characters!$1:$1,0)-MATCH($A$1,[1]characters!$1:$1,0)+1),MATCH(H$1,[1]characters!$1:$1,0)-MATCH($A$1,[1]characters!$1:$1,0)+1,FALSE)</f>
        <v>PremiumSS</v>
      </c>
      <c r="I18" s="53" t="str">
        <f ca="1">VLOOKUP($A18,OFFSET([1]characters!$A$1,0,0,COUNTA([1]characters!$A:$A),MATCH(I$1,[1]characters!$1:$1,0)-MATCH($A$1,[1]characters!$1:$1,0)+1),MATCH(I$1,[1]characters!$1:$1,0)-MATCH($A$1,[1]characters!$1:$1,0)+1,FALSE)</f>
        <v>green</v>
      </c>
      <c r="J18" s="53" t="str">
        <f ca="1">VLOOKUP($A18,OFFSET([1]characters!$A$1,0,0,COUNTA([1]characters!$A:$A),MATCH(J$1,[1]characters!$1:$1,0)-MATCH($A$1,[1]characters!$1:$1,0)+1),MATCH(J$1,[1]characters!$1:$1,0)-MATCH($A$1,[1]characters!$1:$1,0)+1,FALSE)</f>
        <v>god</v>
      </c>
      <c r="K18" s="5" t="str">
        <f ca="1">VLOOKUP(J18,[1]character_tribe_i18n!$A:$H,3,FALSE)</f>
        <v>ゴッド</v>
      </c>
      <c r="L18" s="10" t="e">
        <f>VLOOKUP(#REF!,[1]character_tribe_i18n!$A:$H,4,FALSE)</f>
        <v>#REF!</v>
      </c>
      <c r="M18" s="10" t="e">
        <f>VLOOKUP(#REF!,[1]character_tribe_i18n!$A:$H,5,FALSE)</f>
        <v>#REF!</v>
      </c>
      <c r="N18" s="10" t="e">
        <f>VLOOKUP(#REF!,[1]character_tribe_i18n!$A:$H,6,FALSE)</f>
        <v>#REF!</v>
      </c>
      <c r="O18" s="10" t="e">
        <f>VLOOKUP(#REF!,[1]character_tribe_i18n!$A:$H,7,FALSE)</f>
        <v>#REF!</v>
      </c>
      <c r="P18" s="176" t="str">
        <f>VLOOKUP(Q18,[1]characters!$A:$AC,20)</f>
        <v>normal</v>
      </c>
      <c r="Q18" s="191">
        <v>1707</v>
      </c>
      <c r="R18" s="58" t="str">
        <f ca="1">IF(Q18="NULL","",VLOOKUP($Q18,OFFSET([1]characters!$A$1,0,0,COUNTA([1]characters!$A:$A),MATCH(R$1,[1]characters!$1:$1,0)-MATCH($A$1,[1]characters!$1:$1,0)+1),MATCH(R$1,[1]characters!$1:$1,0)-MATCH($A$1,[1]characters!$1:$1,0)+1,FALSE))</f>
        <v>親愛なる猫嫁神 バステト</v>
      </c>
      <c r="S18" s="5">
        <f>VLOOKUP(Q18,units!A:AG,33,FALSE)</f>
        <v>1707</v>
      </c>
      <c r="T18" s="58" t="str">
        <f ca="1">VLOOKUP($S18,OFFSET([1]characters!$A$1,0,0,COUNTA([1]characters!$A:$A),MATCH(T$1,[1]characters!$1:$1,0)-MATCH($A$1,[1]characters!$1:$1,0)+1),MATCH(T$1,[1]characters!$1:$1,0)-MATCH($A$1,[1]characters!$1:$1,0)+1,FALSE)</f>
        <v>親愛なる猫嫁神 バステト</v>
      </c>
      <c r="U18" s="10">
        <f ca="1">IF(Q18="NULL","NULL",VLOOKUP(G18,[3]ビット!$A$2:$B$7,2))</f>
        <v>200000</v>
      </c>
    </row>
    <row r="19" spans="1:21" ht="21" customHeight="1" x14ac:dyDescent="0.15">
      <c r="A19" s="187">
        <v>1710</v>
      </c>
      <c r="B19" s="53" t="str">
        <f ca="1">VLOOKUP($A19,OFFSET([1]characters!$A$1,0,0,COUNTA([1]characters!$A:$A),MATCH(B$1,[1]characters!$1:$1,0)-MATCH($A$1,[1]characters!$1:$1,0)+1),MATCH(B$1,[1]characters!$1:$1,0)-MATCH($A$1,[1]characters!$1:$1,0)+1,FALSE)</f>
        <v>慎愛なる女神の契 イズン</v>
      </c>
      <c r="C19" s="53" t="str">
        <f ca="1">VLOOKUP($A19,OFFSET([1]characters!$A$1,0,0,COUNTA([1]characters!$A:$A),MATCH(C$1,[1]characters!$1:$1,0)-MATCH($A$1,[1]characters!$1:$1,0)+1),MATCH(C$1,[1]characters!$1:$1,0)-MATCH($A$1,[1]characters!$1:$1,0)+1,FALSE)</f>
        <v>未定</v>
      </c>
      <c r="D19" s="53" t="str">
        <f ca="1">VLOOKUP($A19,OFFSET([1]characters!$A$1,0,0,COUNTA([1]characters!$A:$A),MATCH(D$1,[1]characters!$1:$1,0)-MATCH($A$1,[1]characters!$1:$1,0)+1),MATCH(D$1,[1]characters!$1:$1,0)-MATCH($A$1,[1]characters!$1:$1,0)+1,FALSE)</f>
        <v>アリス</v>
      </c>
      <c r="E19" s="53" t="str">
        <f ca="1">VLOOKUP($A19,OFFSET([1]characters!$A$1,0,0,COUNTA([1]characters!$A:$A),MATCH(E$1,[1]characters!$1:$1,0)-MATCH($A$1,[1]characters!$1:$1,0)+1),MATCH(E$1,[1]characters!$1:$1,0)-MATCH($A$1,[1]characters!$1:$1,0)+1,FALSE)</f>
        <v>世界観</v>
      </c>
      <c r="F19" s="53" t="str">
        <f ca="1">VLOOKUP($A19,OFFSET([1]characters!$A$1,0,0,COUNTA([1]characters!$A:$A),MATCH(F$1,[1]characters!$1:$1,0)-MATCH($A$1,[1]characters!$1:$1,0)+1),MATCH(F$1,[1]characters!$1:$1,0)-MATCH($A$1,[1]characters!$1:$1,0)+1,FALSE)</f>
        <v>不明</v>
      </c>
      <c r="G19" s="53">
        <f ca="1">VLOOKUP($A19,OFFSET([1]characters!$A$1,0,0,COUNTA([1]characters!$A:$A),MATCH(G$1,[1]characters!$1:$1,0)-MATCH($A$1,[1]characters!$1:$1,0)+1),MATCH(G$1,[1]characters!$1:$1,0)-MATCH($A$1,[1]characters!$1:$1,0)+1,FALSE)</f>
        <v>6</v>
      </c>
      <c r="H19" s="53" t="str">
        <f ca="1">VLOOKUP($A19,OFFSET([1]characters!$A$1,0,0,COUNTA([1]characters!$A:$A),MATCH(H$1,[1]characters!$1:$1,0)-MATCH($A$1,[1]characters!$1:$1,0)+1),MATCH(H$1,[1]characters!$1:$1,0)-MATCH($A$1,[1]characters!$1:$1,0)+1,FALSE)</f>
        <v>PremiumSS</v>
      </c>
      <c r="I19" s="53" t="str">
        <f ca="1">VLOOKUP($A19,OFFSET([1]characters!$A$1,0,0,COUNTA([1]characters!$A:$A),MATCH(I$1,[1]characters!$1:$1,0)-MATCH($A$1,[1]characters!$1:$1,0)+1),MATCH(I$1,[1]characters!$1:$1,0)-MATCH($A$1,[1]characters!$1:$1,0)+1,FALSE)</f>
        <v>blue</v>
      </c>
      <c r="J19" s="53" t="str">
        <f ca="1">VLOOKUP($A19,OFFSET([1]characters!$A$1,0,0,COUNTA([1]characters!$A:$A),MATCH(J$1,[1]characters!$1:$1,0)-MATCH($A$1,[1]characters!$1:$1,0)+1),MATCH(J$1,[1]characters!$1:$1,0)-MATCH($A$1,[1]characters!$1:$1,0)+1,FALSE)</f>
        <v>fantasy</v>
      </c>
      <c r="K19" s="5" t="str">
        <f ca="1">VLOOKUP(J19,[1]character_tribe_i18n!$A:$H,3,FALSE)</f>
        <v>ファンタジー</v>
      </c>
      <c r="L19" s="10" t="e">
        <f>VLOOKUP(#REF!,[1]character_tribe_i18n!$A:$H,4,FALSE)</f>
        <v>#REF!</v>
      </c>
      <c r="M19" s="10" t="e">
        <f>VLOOKUP(#REF!,[1]character_tribe_i18n!$A:$H,5,FALSE)</f>
        <v>#REF!</v>
      </c>
      <c r="N19" s="10" t="e">
        <f>VLOOKUP(#REF!,[1]character_tribe_i18n!$A:$H,6,FALSE)</f>
        <v>#REF!</v>
      </c>
      <c r="O19" s="10" t="e">
        <f>VLOOKUP(#REF!,[1]character_tribe_i18n!$A:$H,7,FALSE)</f>
        <v>#REF!</v>
      </c>
      <c r="P19" s="176" t="str">
        <f>VLOOKUP(Q19,[1]characters!$A:$AC,20)</f>
        <v>normal</v>
      </c>
      <c r="Q19" s="191">
        <v>1709</v>
      </c>
      <c r="R19" s="58" t="str">
        <f ca="1">IF(Q19="NULL","",VLOOKUP($Q19,OFFSET([1]characters!$A$1,0,0,COUNTA([1]characters!$A:$A),MATCH(R$1,[1]characters!$1:$1,0)-MATCH($A$1,[1]characters!$1:$1,0)+1),MATCH(R$1,[1]characters!$1:$1,0)-MATCH($A$1,[1]characters!$1:$1,0)+1,FALSE))</f>
        <v>情花降る神婦 イズン</v>
      </c>
      <c r="S19" s="5">
        <f>VLOOKUP(Q19,units!A:AG,33,FALSE)</f>
        <v>1709</v>
      </c>
      <c r="T19" s="58" t="str">
        <f ca="1">VLOOKUP($S19,OFFSET([1]characters!$A$1,0,0,COUNTA([1]characters!$A:$A),MATCH(T$1,[1]characters!$1:$1,0)-MATCH($A$1,[1]characters!$1:$1,0)+1),MATCH(T$1,[1]characters!$1:$1,0)-MATCH($A$1,[1]characters!$1:$1,0)+1,FALSE)</f>
        <v>情花降る神婦 イズン</v>
      </c>
      <c r="U19" s="10">
        <f ca="1">IF(Q19="NULL","NULL",VLOOKUP(G19,[3]ビット!$A$2:$B$7,2))</f>
        <v>200000</v>
      </c>
    </row>
    <row r="20" spans="1:21" ht="21" customHeight="1" x14ac:dyDescent="0.15">
      <c r="A20" s="187">
        <v>1712</v>
      </c>
      <c r="B20" s="53" t="str">
        <f ca="1">VLOOKUP($A20,OFFSET([1]characters!$A$1,0,0,COUNTA([1]characters!$A:$A),MATCH(B$1,[1]characters!$1:$1,0)-MATCH($A$1,[1]characters!$1:$1,0)+1),MATCH(B$1,[1]characters!$1:$1,0)-MATCH($A$1,[1]characters!$1:$1,0)+1,FALSE)</f>
        <v>一蓮托生の双環 諸葛亮</v>
      </c>
      <c r="C20" s="53" t="str">
        <f ca="1">VLOOKUP($A20,OFFSET([1]characters!$A$1,0,0,COUNTA([1]characters!$A:$A),MATCH(C$1,[1]characters!$1:$1,0)-MATCH($A$1,[1]characters!$1:$1,0)+1),MATCH(C$1,[1]characters!$1:$1,0)-MATCH($A$1,[1]characters!$1:$1,0)+1,FALSE)</f>
        <v>未定</v>
      </c>
      <c r="D20" s="53" t="str">
        <f ca="1">VLOOKUP($A20,OFFSET([1]characters!$A$1,0,0,COUNTA([1]characters!$A:$A),MATCH(D$1,[1]characters!$1:$1,0)-MATCH($A$1,[1]characters!$1:$1,0)+1),MATCH(D$1,[1]characters!$1:$1,0)-MATCH($A$1,[1]characters!$1:$1,0)+1,FALSE)</f>
        <v>アリス</v>
      </c>
      <c r="E20" s="53" t="str">
        <f ca="1">VLOOKUP($A20,OFFSET([1]characters!$A$1,0,0,COUNTA([1]characters!$A:$A),MATCH(E$1,[1]characters!$1:$1,0)-MATCH($A$1,[1]characters!$1:$1,0)+1),MATCH(E$1,[1]characters!$1:$1,0)-MATCH($A$1,[1]characters!$1:$1,0)+1,FALSE)</f>
        <v>世界観</v>
      </c>
      <c r="F20" s="53" t="str">
        <f ca="1">VLOOKUP($A20,OFFSET([1]characters!$A$1,0,0,COUNTA([1]characters!$A:$A),MATCH(F$1,[1]characters!$1:$1,0)-MATCH($A$1,[1]characters!$1:$1,0)+1),MATCH(F$1,[1]characters!$1:$1,0)-MATCH($A$1,[1]characters!$1:$1,0)+1,FALSE)</f>
        <v>不明</v>
      </c>
      <c r="G20" s="53">
        <f ca="1">VLOOKUP($A20,OFFSET([1]characters!$A$1,0,0,COUNTA([1]characters!$A:$A),MATCH(G$1,[1]characters!$1:$1,0)-MATCH($A$1,[1]characters!$1:$1,0)+1),MATCH(G$1,[1]characters!$1:$1,0)-MATCH($A$1,[1]characters!$1:$1,0)+1,FALSE)</f>
        <v>6</v>
      </c>
      <c r="H20" s="53" t="str">
        <f ca="1">VLOOKUP($A20,OFFSET([1]characters!$A$1,0,0,COUNTA([1]characters!$A:$A),MATCH(H$1,[1]characters!$1:$1,0)-MATCH($A$1,[1]characters!$1:$1,0)+1),MATCH(H$1,[1]characters!$1:$1,0)-MATCH($A$1,[1]characters!$1:$1,0)+1,FALSE)</f>
        <v>PremiumSS</v>
      </c>
      <c r="I20" s="53" t="str">
        <f ca="1">VLOOKUP($A20,OFFSET([1]characters!$A$1,0,0,COUNTA([1]characters!$A:$A),MATCH(I$1,[1]characters!$1:$1,0)-MATCH($A$1,[1]characters!$1:$1,0)+1),MATCH(I$1,[1]characters!$1:$1,0)-MATCH($A$1,[1]characters!$1:$1,0)+1,FALSE)</f>
        <v>yellow</v>
      </c>
      <c r="J20" s="53" t="str">
        <f ca="1">VLOOKUP($A20,OFFSET([1]characters!$A$1,0,0,COUNTA([1]characters!$A:$A),MATCH(J$1,[1]characters!$1:$1,0)-MATCH($A$1,[1]characters!$1:$1,0)+1),MATCH(J$1,[1]characters!$1:$1,0)-MATCH($A$1,[1]characters!$1:$1,0)+1,FALSE)</f>
        <v>fantasy</v>
      </c>
      <c r="K20" s="5" t="str">
        <f ca="1">VLOOKUP(J20,[1]character_tribe_i18n!$A:$H,3,FALSE)</f>
        <v>ファンタジー</v>
      </c>
      <c r="L20" s="10" t="e">
        <f>VLOOKUP(#REF!,[1]character_tribe_i18n!$A:$H,4,FALSE)</f>
        <v>#REF!</v>
      </c>
      <c r="M20" s="10" t="e">
        <f>VLOOKUP(#REF!,[1]character_tribe_i18n!$A:$H,5,FALSE)</f>
        <v>#REF!</v>
      </c>
      <c r="N20" s="10" t="e">
        <f>VLOOKUP(#REF!,[1]character_tribe_i18n!$A:$H,6,FALSE)</f>
        <v>#REF!</v>
      </c>
      <c r="O20" s="10" t="e">
        <f>VLOOKUP(#REF!,[1]character_tribe_i18n!$A:$H,7,FALSE)</f>
        <v>#REF!</v>
      </c>
      <c r="P20" s="176" t="str">
        <f>VLOOKUP(Q20,[1]characters!$A:$AC,20)</f>
        <v>normal</v>
      </c>
      <c r="Q20" s="191">
        <v>1711</v>
      </c>
      <c r="R20" s="58" t="str">
        <f ca="1">IF(Q20="NULL","",VLOOKUP($Q20,OFFSET([1]characters!$A$1,0,0,COUNTA([1]characters!$A:$A),MATCH(R$1,[1]characters!$1:$1,0)-MATCH($A$1,[1]characters!$1:$1,0)+1),MATCH(R$1,[1]characters!$1:$1,0)-MATCH($A$1,[1]characters!$1:$1,0)+1,FALSE))</f>
        <v>誓愛求婚の新郎 諸葛亮</v>
      </c>
      <c r="S20" s="5">
        <f>VLOOKUP(Q20,units!A:AG,33,FALSE)</f>
        <v>1711</v>
      </c>
      <c r="T20" s="58" t="str">
        <f ca="1">VLOOKUP($S20,OFFSET([1]characters!$A$1,0,0,COUNTA([1]characters!$A:$A),MATCH(T$1,[1]characters!$1:$1,0)-MATCH($A$1,[1]characters!$1:$1,0)+1),MATCH(T$1,[1]characters!$1:$1,0)-MATCH($A$1,[1]characters!$1:$1,0)+1,FALSE)</f>
        <v>誓愛求婚の新郎 諸葛亮</v>
      </c>
      <c r="U20" s="10">
        <f ca="1">IF(Q20="NULL","NULL",VLOOKUP(G20,[3]ビット!$A$2:$B$7,2))</f>
        <v>200000</v>
      </c>
    </row>
    <row r="21" spans="1:21" ht="21" customHeight="1" x14ac:dyDescent="0.15">
      <c r="A21" s="187">
        <v>1714</v>
      </c>
      <c r="B21" s="53" t="str">
        <f ca="1">VLOOKUP($A21,OFFSET([1]characters!$A$1,0,0,COUNTA([1]characters!$A:$A),MATCH(B$1,[1]characters!$1:$1,0)-MATCH($A$1,[1]characters!$1:$1,0)+1),MATCH(B$1,[1]characters!$1:$1,0)-MATCH($A$1,[1]characters!$1:$1,0)+1,FALSE)</f>
        <v>仁愛の祝賀剣 ジークフリート</v>
      </c>
      <c r="C21" s="53">
        <f ca="1">VLOOKUP($A21,OFFSET([1]characters!$A$1,0,0,COUNTA([1]characters!$A:$A),MATCH(C$1,[1]characters!$1:$1,0)-MATCH($A$1,[1]characters!$1:$1,0)+1),MATCH(C$1,[1]characters!$1:$1,0)-MATCH($A$1,[1]characters!$1:$1,0)+1,FALSE)</f>
        <v>0</v>
      </c>
      <c r="D21" s="53">
        <f ca="1">VLOOKUP($A21,OFFSET([1]characters!$A$1,0,0,COUNTA([1]characters!$A:$A),MATCH(D$1,[1]characters!$1:$1,0)-MATCH($A$1,[1]characters!$1:$1,0)+1),MATCH(D$1,[1]characters!$1:$1,0)-MATCH($A$1,[1]characters!$1:$1,0)+1,FALSE)</f>
        <v>0</v>
      </c>
      <c r="E21" s="53">
        <f ca="1">VLOOKUP($A21,OFFSET([1]characters!$A$1,0,0,COUNTA([1]characters!$A:$A),MATCH(E$1,[1]characters!$1:$1,0)-MATCH($A$1,[1]characters!$1:$1,0)+1),MATCH(E$1,[1]characters!$1:$1,0)-MATCH($A$1,[1]characters!$1:$1,0)+1,FALSE)</f>
        <v>0</v>
      </c>
      <c r="F21" s="53">
        <f ca="1">VLOOKUP($A21,OFFSET([1]characters!$A$1,0,0,COUNTA([1]characters!$A:$A),MATCH(F$1,[1]characters!$1:$1,0)-MATCH($A$1,[1]characters!$1:$1,0)+1),MATCH(F$1,[1]characters!$1:$1,0)-MATCH($A$1,[1]characters!$1:$1,0)+1,FALSE)</f>
        <v>0</v>
      </c>
      <c r="G21" s="53">
        <f ca="1">VLOOKUP($A21,OFFSET([1]characters!$A$1,0,0,COUNTA([1]characters!$A:$A),MATCH(G$1,[1]characters!$1:$1,0)-MATCH($A$1,[1]characters!$1:$1,0)+1),MATCH(G$1,[1]characters!$1:$1,0)-MATCH($A$1,[1]characters!$1:$1,0)+1,FALSE)</f>
        <v>5</v>
      </c>
      <c r="H21" s="53" t="str">
        <f ca="1">VLOOKUP($A21,OFFSET([1]characters!$A$1,0,0,COUNTA([1]characters!$A:$A),MATCH(H$1,[1]characters!$1:$1,0)-MATCH($A$1,[1]characters!$1:$1,0)+1),MATCH(H$1,[1]characters!$1:$1,0)-MATCH($A$1,[1]characters!$1:$1,0)+1,FALSE)</f>
        <v>PremiumS</v>
      </c>
      <c r="I21" s="53" t="str">
        <f ca="1">VLOOKUP($A21,OFFSET([1]characters!$A$1,0,0,COUNTA([1]characters!$A:$A),MATCH(I$1,[1]characters!$1:$1,0)-MATCH($A$1,[1]characters!$1:$1,0)+1),MATCH(I$1,[1]characters!$1:$1,0)-MATCH($A$1,[1]characters!$1:$1,0)+1,FALSE)</f>
        <v>red</v>
      </c>
      <c r="J21" s="53" t="str">
        <f ca="1">VLOOKUP($A21,OFFSET([1]characters!$A$1,0,0,COUNTA([1]characters!$A:$A),MATCH(J$1,[1]characters!$1:$1,0)-MATCH($A$1,[1]characters!$1:$1,0)+1),MATCH(J$1,[1]characters!$1:$1,0)-MATCH($A$1,[1]characters!$1:$1,0)+1,FALSE)</f>
        <v>none</v>
      </c>
      <c r="K21" s="5" t="str">
        <f ca="1">VLOOKUP(J21,[1]character_tribe_i18n!$A:$H,3,FALSE)</f>
        <v>種族なし</v>
      </c>
      <c r="L21" s="10" t="e">
        <f>VLOOKUP(#REF!,[1]character_tribe_i18n!$A:$H,4,FALSE)</f>
        <v>#REF!</v>
      </c>
      <c r="M21" s="10" t="e">
        <f>VLOOKUP(#REF!,[1]character_tribe_i18n!$A:$H,5,FALSE)</f>
        <v>#REF!</v>
      </c>
      <c r="N21" s="10" t="e">
        <f>VLOOKUP(#REF!,[1]character_tribe_i18n!$A:$H,6,FALSE)</f>
        <v>#REF!</v>
      </c>
      <c r="O21" s="10" t="e">
        <f>VLOOKUP(#REF!,[1]character_tribe_i18n!$A:$H,7,FALSE)</f>
        <v>#REF!</v>
      </c>
      <c r="P21" s="176" t="str">
        <f>VLOOKUP(Q21,[1]characters!$A:$AC,20)</f>
        <v>normal</v>
      </c>
      <c r="Q21" s="191">
        <v>1713</v>
      </c>
      <c r="R21" s="58" t="str">
        <f ca="1">IF(Q21="NULL","",VLOOKUP($Q21,OFFSET([1]characters!$A$1,0,0,COUNTA([1]characters!$A:$A),MATCH(R$1,[1]characters!$1:$1,0)-MATCH($A$1,[1]characters!$1:$1,0)+1),MATCH(R$1,[1]characters!$1:$1,0)-MATCH($A$1,[1]characters!$1:$1,0)+1,FALSE))</f>
        <v>誓約の挙剣 ジークフリート</v>
      </c>
      <c r="S21" s="5">
        <f>VLOOKUP(Q21,units!A:AG,33,FALSE)</f>
        <v>1713</v>
      </c>
      <c r="T21" s="58" t="str">
        <f ca="1">VLOOKUP($S21,OFFSET([1]characters!$A$1,0,0,COUNTA([1]characters!$A:$A),MATCH(T$1,[1]characters!$1:$1,0)-MATCH($A$1,[1]characters!$1:$1,0)+1),MATCH(T$1,[1]characters!$1:$1,0)-MATCH($A$1,[1]characters!$1:$1,0)+1,FALSE)</f>
        <v>誓約の挙剣 ジークフリート</v>
      </c>
      <c r="U21" s="10">
        <f ca="1">IF(Q21="NULL","NULL",VLOOKUP(G21,[3]ビット!$A$2:$B$7,2))</f>
        <v>200000</v>
      </c>
    </row>
    <row r="22" spans="1:21" ht="21" customHeight="1" x14ac:dyDescent="0.15">
      <c r="A22" s="187">
        <v>1716</v>
      </c>
      <c r="B22" s="53" t="str">
        <f ca="1">VLOOKUP($A22,OFFSET([1]characters!$A$1,0,0,COUNTA([1]characters!$A:$A),MATCH(B$1,[1]characters!$1:$1,0)-MATCH($A$1,[1]characters!$1:$1,0)+1),MATCH(B$1,[1]characters!$1:$1,0)-MATCH($A$1,[1]characters!$1:$1,0)+1,FALSE)</f>
        <v>森婚の祝福祭 アマラ</v>
      </c>
      <c r="C22" s="53">
        <f ca="1">VLOOKUP($A22,OFFSET([1]characters!$A$1,0,0,COUNTA([1]characters!$A:$A),MATCH(C$1,[1]characters!$1:$1,0)-MATCH($A$1,[1]characters!$1:$1,0)+1),MATCH(C$1,[1]characters!$1:$1,0)-MATCH($A$1,[1]characters!$1:$1,0)+1,FALSE)</f>
        <v>0</v>
      </c>
      <c r="D22" s="53">
        <f ca="1">VLOOKUP($A22,OFFSET([1]characters!$A$1,0,0,COUNTA([1]characters!$A:$A),MATCH(D$1,[1]characters!$1:$1,0)-MATCH($A$1,[1]characters!$1:$1,0)+1),MATCH(D$1,[1]characters!$1:$1,0)-MATCH($A$1,[1]characters!$1:$1,0)+1,FALSE)</f>
        <v>0</v>
      </c>
      <c r="E22" s="53">
        <f ca="1">VLOOKUP($A22,OFFSET([1]characters!$A$1,0,0,COUNTA([1]characters!$A:$A),MATCH(E$1,[1]characters!$1:$1,0)-MATCH($A$1,[1]characters!$1:$1,0)+1),MATCH(E$1,[1]characters!$1:$1,0)-MATCH($A$1,[1]characters!$1:$1,0)+1,FALSE)</f>
        <v>0</v>
      </c>
      <c r="F22" s="53">
        <f ca="1">VLOOKUP($A22,OFFSET([1]characters!$A$1,0,0,COUNTA([1]characters!$A:$A),MATCH(F$1,[1]characters!$1:$1,0)-MATCH($A$1,[1]characters!$1:$1,0)+1),MATCH(F$1,[1]characters!$1:$1,0)-MATCH($A$1,[1]characters!$1:$1,0)+1,FALSE)</f>
        <v>0</v>
      </c>
      <c r="G22" s="53">
        <f ca="1">VLOOKUP($A22,OFFSET([1]characters!$A$1,0,0,COUNTA([1]characters!$A:$A),MATCH(G$1,[1]characters!$1:$1,0)-MATCH($A$1,[1]characters!$1:$1,0)+1),MATCH(G$1,[1]characters!$1:$1,0)-MATCH($A$1,[1]characters!$1:$1,0)+1,FALSE)</f>
        <v>5</v>
      </c>
      <c r="H22" s="53" t="str">
        <f ca="1">VLOOKUP($A22,OFFSET([1]characters!$A$1,0,0,COUNTA([1]characters!$A:$A),MATCH(H$1,[1]characters!$1:$1,0)-MATCH($A$1,[1]characters!$1:$1,0)+1),MATCH(H$1,[1]characters!$1:$1,0)-MATCH($A$1,[1]characters!$1:$1,0)+1,FALSE)</f>
        <v>PremiumS</v>
      </c>
      <c r="I22" s="53" t="str">
        <f ca="1">VLOOKUP($A22,OFFSET([1]characters!$A$1,0,0,COUNTA([1]characters!$A:$A),MATCH(I$1,[1]characters!$1:$1,0)-MATCH($A$1,[1]characters!$1:$1,0)+1),MATCH(I$1,[1]characters!$1:$1,0)-MATCH($A$1,[1]characters!$1:$1,0)+1,FALSE)</f>
        <v>blue</v>
      </c>
      <c r="J22" s="53" t="str">
        <f ca="1">VLOOKUP($A22,OFFSET([1]characters!$A$1,0,0,COUNTA([1]characters!$A:$A),MATCH(J$1,[1]characters!$1:$1,0)-MATCH($A$1,[1]characters!$1:$1,0)+1),MATCH(J$1,[1]characters!$1:$1,0)-MATCH($A$1,[1]characters!$1:$1,0)+1,FALSE)</f>
        <v>fantasy</v>
      </c>
      <c r="K22" s="5" t="str">
        <f ca="1">VLOOKUP(J22,[1]character_tribe_i18n!$A:$H,3,FALSE)</f>
        <v>ファンタジー</v>
      </c>
      <c r="L22" s="10" t="e">
        <f>VLOOKUP(#REF!,[1]character_tribe_i18n!$A:$H,4,FALSE)</f>
        <v>#REF!</v>
      </c>
      <c r="M22" s="10" t="e">
        <f>VLOOKUP(#REF!,[1]character_tribe_i18n!$A:$H,5,FALSE)</f>
        <v>#REF!</v>
      </c>
      <c r="N22" s="10" t="e">
        <f>VLOOKUP(#REF!,[1]character_tribe_i18n!$A:$H,6,FALSE)</f>
        <v>#REF!</v>
      </c>
      <c r="O22" s="10" t="e">
        <f>VLOOKUP(#REF!,[1]character_tribe_i18n!$A:$H,7,FALSE)</f>
        <v>#REF!</v>
      </c>
      <c r="P22" s="176" t="str">
        <f>VLOOKUP(Q22,[1]characters!$A:$AC,20)</f>
        <v>normal</v>
      </c>
      <c r="Q22" s="191">
        <v>1715</v>
      </c>
      <c r="R22" s="58" t="str">
        <f ca="1">IF(Q22="NULL","",VLOOKUP($Q22,OFFSET([1]characters!$A$1,0,0,COUNTA([1]characters!$A:$A),MATCH(R$1,[1]characters!$1:$1,0)-MATCH($A$1,[1]characters!$1:$1,0)+1),MATCH(R$1,[1]characters!$1:$1,0)-MATCH($A$1,[1]characters!$1:$1,0)+1,FALSE))</f>
        <v>森歓の祝宴 アマラ</v>
      </c>
      <c r="S22" s="5">
        <f>VLOOKUP(Q22,units!A:AG,33,FALSE)</f>
        <v>1715</v>
      </c>
      <c r="T22" s="58" t="str">
        <f ca="1">VLOOKUP($S22,OFFSET([1]characters!$A$1,0,0,COUNTA([1]characters!$A:$A),MATCH(T$1,[1]characters!$1:$1,0)-MATCH($A$1,[1]characters!$1:$1,0)+1),MATCH(T$1,[1]characters!$1:$1,0)-MATCH($A$1,[1]characters!$1:$1,0)+1,FALSE)</f>
        <v>森歓の祝宴 アマラ</v>
      </c>
      <c r="U22" s="10">
        <f ca="1">IF(Q22="NULL","NULL",VLOOKUP(G22,[3]ビット!$A$2:$B$7,2))</f>
        <v>200000</v>
      </c>
    </row>
  </sheetData>
  <autoFilter ref="A1:U2"/>
  <phoneticPr fontId="22"/>
  <conditionalFormatting sqref="W1:W2 W23:W1048576">
    <cfRule type="cellIs" dxfId="44" priority="37" operator="equal">
      <formula>"FALSE"</formula>
    </cfRule>
  </conditionalFormatting>
  <conditionalFormatting sqref="W3">
    <cfRule type="cellIs" dxfId="43" priority="31" operator="equal">
      <formula>"FALSE"</formula>
    </cfRule>
  </conditionalFormatting>
  <conditionalFormatting sqref="W4">
    <cfRule type="cellIs" dxfId="42" priority="30" operator="equal">
      <formula>"FALSE"</formula>
    </cfRule>
  </conditionalFormatting>
  <conditionalFormatting sqref="W5">
    <cfRule type="cellIs" dxfId="41" priority="29" operator="equal">
      <formula>"FALSE"</formula>
    </cfRule>
  </conditionalFormatting>
  <conditionalFormatting sqref="W6">
    <cfRule type="cellIs" dxfId="40" priority="28" operator="equal">
      <formula>"FALSE"</formula>
    </cfRule>
  </conditionalFormatting>
  <conditionalFormatting sqref="W7">
    <cfRule type="cellIs" dxfId="39" priority="27" operator="equal">
      <formula>"FALSE"</formula>
    </cfRule>
  </conditionalFormatting>
  <conditionalFormatting sqref="W8">
    <cfRule type="cellIs" dxfId="38" priority="26" operator="equal">
      <formula>"FALSE"</formula>
    </cfRule>
  </conditionalFormatting>
  <conditionalFormatting sqref="W9">
    <cfRule type="cellIs" dxfId="37" priority="25" operator="equal">
      <formula>"FALSE"</formula>
    </cfRule>
  </conditionalFormatting>
  <conditionalFormatting sqref="W10">
    <cfRule type="cellIs" dxfId="36" priority="24" operator="equal">
      <formula>"FALSE"</formula>
    </cfRule>
  </conditionalFormatting>
  <conditionalFormatting sqref="W11">
    <cfRule type="cellIs" dxfId="35" priority="23" operator="equal">
      <formula>"FALSE"</formula>
    </cfRule>
  </conditionalFormatting>
  <conditionalFormatting sqref="W12">
    <cfRule type="cellIs" dxfId="34" priority="22" operator="equal">
      <formula>"FALSE"</formula>
    </cfRule>
  </conditionalFormatting>
  <conditionalFormatting sqref="W22">
    <cfRule type="cellIs" dxfId="33" priority="1" operator="equal">
      <formula>"FALSE"</formula>
    </cfRule>
  </conditionalFormatting>
  <conditionalFormatting sqref="W13">
    <cfRule type="cellIs" dxfId="32" priority="10" operator="equal">
      <formula>"FALSE"</formula>
    </cfRule>
  </conditionalFormatting>
  <conditionalFormatting sqref="W14">
    <cfRule type="cellIs" dxfId="31" priority="9" operator="equal">
      <formula>"FALSE"</formula>
    </cfRule>
  </conditionalFormatting>
  <conditionalFormatting sqref="W15">
    <cfRule type="cellIs" dxfId="30" priority="8" operator="equal">
      <formula>"FALSE"</formula>
    </cfRule>
  </conditionalFormatting>
  <conditionalFormatting sqref="W16">
    <cfRule type="cellIs" dxfId="29" priority="7" operator="equal">
      <formula>"FALSE"</formula>
    </cfRule>
  </conditionalFormatting>
  <conditionalFormatting sqref="W17">
    <cfRule type="cellIs" dxfId="28" priority="6" operator="equal">
      <formula>"FALSE"</formula>
    </cfRule>
  </conditionalFormatting>
  <conditionalFormatting sqref="W18">
    <cfRule type="cellIs" dxfId="27" priority="5" operator="equal">
      <formula>"FALSE"</formula>
    </cfRule>
  </conditionalFormatting>
  <conditionalFormatting sqref="W19">
    <cfRule type="cellIs" dxfId="26" priority="4" operator="equal">
      <formula>"FALSE"</formula>
    </cfRule>
  </conditionalFormatting>
  <conditionalFormatting sqref="W20">
    <cfRule type="cellIs" dxfId="25" priority="3" operator="equal">
      <formula>"FALSE"</formula>
    </cfRule>
  </conditionalFormatting>
  <conditionalFormatting sqref="W21">
    <cfRule type="cellIs" dxfId="24" priority="2"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22"/>
  <sheetViews>
    <sheetView showGridLines="0" workbookViewId="0">
      <pane ySplit="1" topLeftCell="A2" activePane="bottomLeft" state="frozen"/>
      <selection pane="bottomLeft" activeCell="I23" sqref="I23"/>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 t="shared" ref="A2:A12" si="0">B2&amp;"_"&amp;I2</f>
        <v>1697_1719</v>
      </c>
      <c r="B2" s="195">
        <v>1697</v>
      </c>
      <c r="C2" s="178">
        <f t="shared" ref="C2:C12" si="1">B2</f>
        <v>1697</v>
      </c>
      <c r="D2" s="53" t="str">
        <f ca="1">VLOOKUP($C2,OFFSET([1]characters!$A$1,0,0,COUNTA([1]characters!$A:$A),MATCH(D$1,[1]characters!$1:$1,0)-MATCH($C$1,[1]characters!$1:$1,0)+1),MATCH(D$1,[1]characters!$1:$1,0)-MATCH($C$1,[1]characters!$1:$1,0)+1,FALSE)</f>
        <v>駆動する機会 ガーネット</v>
      </c>
      <c r="E2" s="53">
        <f ca="1">VLOOKUP($C2,OFFSET([1]characters!$A$1,0,0,COUNTA([1]characters!$A:$A),MATCH(E$1,[1]characters!$1:$1,0)-MATCH($C$1,[1]characters!$1:$1,0)+1),MATCH(E$1,[1]characters!$1:$1,0)-MATCH($C$1,[1]characters!$1:$1,0)+1,FALSE)</f>
        <v>6</v>
      </c>
      <c r="F2" s="53" t="str">
        <f ca="1">VLOOKUP($C2,OFFSET([1]characters!$A$1,0,0,COUNTA([1]characters!$A:$A),MATCH(F$1,[1]characters!$1:$1,0)-MATCH($C$1,[1]characters!$1:$1,0)+1),MATCH(F$1,[1]characters!$1:$1,0)-MATCH($C$1,[1]characters!$1:$1,0)+1,FALSE)</f>
        <v>DropWizS</v>
      </c>
      <c r="G2" s="195">
        <v>1698</v>
      </c>
      <c r="H2" s="53" t="str">
        <f ca="1">VLOOKUP($G2,OFFSET([1]characters!$A$1,0,0,COUNTA([1]characters!$A:$A),MATCH(H$1,[1]characters!$1:$1,0)-MATCH($C$1,[1]characters!$1:$1,0)+1),MATCH(H$1,[1]characters!$1:$1,0)-MATCH($C$1,[1]characters!$1:$1,0)+1,FALSE)</f>
        <v>炎断の華嫁 ガーネット</v>
      </c>
      <c r="I2" s="194">
        <v>1719</v>
      </c>
      <c r="J2" s="53" t="str">
        <f ca="1">VLOOKUP($I2,OFFSET([1]characters!$A$1,0,0,COUNTA([1]characters!$A:$A),MATCH(J$1,[1]characters!$1:$1,0)-MATCH($C$1,[1]characters!$1:$1,0)+1),MATCH(J$1,[1]characters!$1:$1,0)-MATCH($C$1,[1]characters!$1:$1,0)+1,FALSE)</f>
        <v>トゥルー・マリッジリング</v>
      </c>
      <c r="K2" s="192">
        <v>1</v>
      </c>
      <c r="L2" s="193">
        <v>1</v>
      </c>
      <c r="M2" s="193">
        <v>100</v>
      </c>
      <c r="N2" s="2" t="s">
        <v>291</v>
      </c>
    </row>
    <row r="3" spans="1:14" ht="21" customHeight="1" x14ac:dyDescent="0.15">
      <c r="A3" s="61" t="str">
        <f t="shared" si="0"/>
        <v>1699_1719</v>
      </c>
      <c r="B3" s="195">
        <v>1699</v>
      </c>
      <c r="C3" s="178">
        <f t="shared" si="1"/>
        <v>1699</v>
      </c>
      <c r="D3" s="53" t="str">
        <f ca="1">VLOOKUP($C3,OFFSET([1]characters!$A$1,0,0,COUNTA([1]characters!$A:$A),MATCH(D$1,[1]characters!$1:$1,0)-MATCH($C$1,[1]characters!$1:$1,0)+1),MATCH(D$1,[1]characters!$1:$1,0)-MATCH($C$1,[1]characters!$1:$1,0)+1,FALSE)</f>
        <v>崇高祝言 アマテラス</v>
      </c>
      <c r="E3" s="53">
        <f ca="1">VLOOKUP($C3,OFFSET([1]characters!$A$1,0,0,COUNTA([1]characters!$A:$A),MATCH(E$1,[1]characters!$1:$1,0)-MATCH($C$1,[1]characters!$1:$1,0)+1),MATCH(E$1,[1]characters!$1:$1,0)-MATCH($C$1,[1]characters!$1:$1,0)+1,FALSE)</f>
        <v>6</v>
      </c>
      <c r="F3" s="53" t="str">
        <f ca="1">VLOOKUP($C3,OFFSET([1]characters!$A$1,0,0,COUNTA([1]characters!$A:$A),MATCH(F$1,[1]characters!$1:$1,0)-MATCH($C$1,[1]characters!$1:$1,0)+1),MATCH(F$1,[1]characters!$1:$1,0)-MATCH($C$1,[1]characters!$1:$1,0)+1,FALSE)</f>
        <v>DropWizS</v>
      </c>
      <c r="G3" s="195">
        <v>1700</v>
      </c>
      <c r="H3" s="53" t="str">
        <f ca="1">VLOOKUP($G3,OFFSET([1]characters!$A$1,0,0,COUNTA([1]characters!$A:$A),MATCH(H$1,[1]characters!$1:$1,0)-MATCH($C$1,[1]characters!$1:$1,0)+1),MATCH(H$1,[1]characters!$1:$1,0)-MATCH($C$1,[1]characters!$1:$1,0)+1,FALSE)</f>
        <v>大慶総氏神 アマテラス</v>
      </c>
      <c r="I3" s="194">
        <v>1719</v>
      </c>
      <c r="J3" s="53" t="str">
        <f ca="1">VLOOKUP($I3,OFFSET([1]characters!$A$1,0,0,COUNTA([1]characters!$A:$A),MATCH(J$1,[1]characters!$1:$1,0)-MATCH($C$1,[1]characters!$1:$1,0)+1),MATCH(J$1,[1]characters!$1:$1,0)-MATCH($C$1,[1]characters!$1:$1,0)+1,FALSE)</f>
        <v>トゥルー・マリッジリング</v>
      </c>
      <c r="K3" s="192">
        <v>1</v>
      </c>
      <c r="L3" s="193">
        <v>1</v>
      </c>
      <c r="M3" s="193">
        <v>100</v>
      </c>
      <c r="N3" s="2" t="s">
        <v>291</v>
      </c>
    </row>
    <row r="4" spans="1:14" ht="21" customHeight="1" x14ac:dyDescent="0.15">
      <c r="A4" s="61" t="str">
        <f t="shared" si="0"/>
        <v>1701_1719</v>
      </c>
      <c r="B4" s="195">
        <v>1701</v>
      </c>
      <c r="C4" s="178">
        <f t="shared" si="1"/>
        <v>1701</v>
      </c>
      <c r="D4" s="53" t="str">
        <f ca="1">VLOOKUP($C4,OFFSET([1]characters!$A$1,0,0,COUNTA([1]characters!$A:$A),MATCH(D$1,[1]characters!$1:$1,0)-MATCH($C$1,[1]characters!$1:$1,0)+1),MATCH(D$1,[1]characters!$1:$1,0)-MATCH($C$1,[1]characters!$1:$1,0)+1,FALSE)</f>
        <v>蒼嵐の婚戦 フォルトゥナ</v>
      </c>
      <c r="E4" s="53">
        <f ca="1">VLOOKUP($C4,OFFSET([1]characters!$A$1,0,0,COUNTA([1]characters!$A:$A),MATCH(E$1,[1]characters!$1:$1,0)-MATCH($C$1,[1]characters!$1:$1,0)+1),MATCH(E$1,[1]characters!$1:$1,0)-MATCH($C$1,[1]characters!$1:$1,0)+1,FALSE)</f>
        <v>6</v>
      </c>
      <c r="F4" s="53" t="str">
        <f ca="1">VLOOKUP($C4,OFFSET([1]characters!$A$1,0,0,COUNTA([1]characters!$A:$A),MATCH(F$1,[1]characters!$1:$1,0)-MATCH($C$1,[1]characters!$1:$1,0)+1),MATCH(F$1,[1]characters!$1:$1,0)-MATCH($C$1,[1]characters!$1:$1,0)+1,FALSE)</f>
        <v>PremiumSSw</v>
      </c>
      <c r="G4" s="195">
        <v>1702</v>
      </c>
      <c r="H4" s="53" t="str">
        <f ca="1">VLOOKUP($G4,OFFSET([1]characters!$A$1,0,0,COUNTA([1]characters!$A:$A),MATCH(H$1,[1]characters!$1:$1,0)-MATCH($C$1,[1]characters!$1:$1,0)+1),MATCH(H$1,[1]characters!$1:$1,0)-MATCH($C$1,[1]characters!$1:$1,0)+1,FALSE)</f>
        <v>求愛の夢想剣 フォルトゥナ</v>
      </c>
      <c r="I4" s="194">
        <v>1719</v>
      </c>
      <c r="J4" s="53" t="str">
        <f ca="1">VLOOKUP($I4,OFFSET([1]characters!$A$1,0,0,COUNTA([1]characters!$A:$A),MATCH(J$1,[1]characters!$1:$1,0)-MATCH($C$1,[1]characters!$1:$1,0)+1),MATCH(J$1,[1]characters!$1:$1,0)-MATCH($C$1,[1]characters!$1:$1,0)+1,FALSE)</f>
        <v>トゥルー・マリッジリング</v>
      </c>
      <c r="K4" s="192">
        <v>1</v>
      </c>
      <c r="L4" s="193">
        <v>1</v>
      </c>
      <c r="M4" s="193">
        <v>100</v>
      </c>
      <c r="N4" s="2" t="s">
        <v>291</v>
      </c>
    </row>
    <row r="5" spans="1:14" ht="21" customHeight="1" x14ac:dyDescent="0.15">
      <c r="A5" s="61" t="str">
        <f t="shared" si="0"/>
        <v>1703_1719</v>
      </c>
      <c r="B5" s="195">
        <v>1703</v>
      </c>
      <c r="C5" s="178">
        <f t="shared" si="1"/>
        <v>1703</v>
      </c>
      <c r="D5" s="53" t="str">
        <f ca="1">VLOOKUP($C5,OFFSET([1]characters!$A$1,0,0,COUNTA([1]characters!$A:$A),MATCH(D$1,[1]characters!$1:$1,0)-MATCH($C$1,[1]characters!$1:$1,0)+1),MATCH(D$1,[1]characters!$1:$1,0)-MATCH($C$1,[1]characters!$1:$1,0)+1,FALSE)</f>
        <v>可恋なる花乙女 リリィ</v>
      </c>
      <c r="E5" s="53">
        <f ca="1">VLOOKUP($C5,OFFSET([1]characters!$A$1,0,0,COUNTA([1]characters!$A:$A),MATCH(E$1,[1]characters!$1:$1,0)-MATCH($C$1,[1]characters!$1:$1,0)+1),MATCH(E$1,[1]characters!$1:$1,0)-MATCH($C$1,[1]characters!$1:$1,0)+1,FALSE)</f>
        <v>6</v>
      </c>
      <c r="F5" s="53" t="str">
        <f ca="1">VLOOKUP($C5,OFFSET([1]characters!$A$1,0,0,COUNTA([1]characters!$A:$A),MATCH(F$1,[1]characters!$1:$1,0)-MATCH($C$1,[1]characters!$1:$1,0)+1),MATCH(F$1,[1]characters!$1:$1,0)-MATCH($C$1,[1]characters!$1:$1,0)+1,FALSE)</f>
        <v>PremiumSSw</v>
      </c>
      <c r="G5" s="195">
        <v>1704</v>
      </c>
      <c r="H5" s="53" t="str">
        <f ca="1">VLOOKUP($G5,OFFSET([1]characters!$A$1,0,0,COUNTA([1]characters!$A:$A),MATCH(H$1,[1]characters!$1:$1,0)-MATCH($C$1,[1]characters!$1:$1,0)+1),MATCH(H$1,[1]characters!$1:$1,0)-MATCH($C$1,[1]characters!$1:$1,0)+1,FALSE)</f>
        <v>恋焦がす夢乙女 リリィ</v>
      </c>
      <c r="I5" s="194">
        <v>1719</v>
      </c>
      <c r="J5" s="53" t="str">
        <f ca="1">VLOOKUP($I5,OFFSET([1]characters!$A$1,0,0,COUNTA([1]characters!$A:$A),MATCH(J$1,[1]characters!$1:$1,0)-MATCH($C$1,[1]characters!$1:$1,0)+1),MATCH(J$1,[1]characters!$1:$1,0)-MATCH($C$1,[1]characters!$1:$1,0)+1,FALSE)</f>
        <v>トゥルー・マリッジリング</v>
      </c>
      <c r="K5" s="192">
        <v>1</v>
      </c>
      <c r="L5" s="193">
        <v>1</v>
      </c>
      <c r="M5" s="193">
        <v>100</v>
      </c>
      <c r="N5" s="2" t="s">
        <v>291</v>
      </c>
    </row>
    <row r="6" spans="1:14" ht="21" customHeight="1" x14ac:dyDescent="0.15">
      <c r="A6" s="61" t="str">
        <f t="shared" si="0"/>
        <v>1705_1719</v>
      </c>
      <c r="B6" s="195">
        <v>1705</v>
      </c>
      <c r="C6" s="178">
        <f t="shared" si="1"/>
        <v>1705</v>
      </c>
      <c r="D6" s="53" t="str">
        <f ca="1">VLOOKUP($C6,OFFSET([1]characters!$A$1,0,0,COUNTA([1]characters!$A:$A),MATCH(D$1,[1]characters!$1:$1,0)-MATCH($C$1,[1]characters!$1:$1,0)+1),MATCH(D$1,[1]characters!$1:$1,0)-MATCH($C$1,[1]characters!$1:$1,0)+1,FALSE)</f>
        <v>純白の新婦軍 白雪姫</v>
      </c>
      <c r="E6" s="53">
        <f ca="1">VLOOKUP($C6,OFFSET([1]characters!$A$1,0,0,COUNTA([1]characters!$A:$A),MATCH(E$1,[1]characters!$1:$1,0)-MATCH($C$1,[1]characters!$1:$1,0)+1),MATCH(E$1,[1]characters!$1:$1,0)-MATCH($C$1,[1]characters!$1:$1,0)+1,FALSE)</f>
        <v>6</v>
      </c>
      <c r="F6" s="53" t="str">
        <f ca="1">VLOOKUP($C6,OFFSET([1]characters!$A$1,0,0,COUNTA([1]characters!$A:$A),MATCH(F$1,[1]characters!$1:$1,0)-MATCH($C$1,[1]characters!$1:$1,0)+1),MATCH(F$1,[1]characters!$1:$1,0)-MATCH($C$1,[1]characters!$1:$1,0)+1,FALSE)</f>
        <v>PremiumSS</v>
      </c>
      <c r="G6" s="195">
        <v>1706</v>
      </c>
      <c r="H6" s="53" t="str">
        <f ca="1">VLOOKUP($G6,OFFSET([1]characters!$A$1,0,0,COUNTA([1]characters!$A:$A),MATCH(H$1,[1]characters!$1:$1,0)-MATCH($C$1,[1]characters!$1:$1,0)+1),MATCH(H$1,[1]characters!$1:$1,0)-MATCH($C$1,[1]characters!$1:$1,0)+1,FALSE)</f>
        <v>幸福なる大祝砲 白雪姫</v>
      </c>
      <c r="I6" s="194">
        <v>1719</v>
      </c>
      <c r="J6" s="53" t="str">
        <f ca="1">VLOOKUP($I6,OFFSET([1]characters!$A$1,0,0,COUNTA([1]characters!$A:$A),MATCH(J$1,[1]characters!$1:$1,0)-MATCH($C$1,[1]characters!$1:$1,0)+1),MATCH(J$1,[1]characters!$1:$1,0)-MATCH($C$1,[1]characters!$1:$1,0)+1,FALSE)</f>
        <v>トゥルー・マリッジリング</v>
      </c>
      <c r="K6" s="192">
        <v>1</v>
      </c>
      <c r="L6" s="193">
        <v>1</v>
      </c>
      <c r="M6" s="193">
        <v>100</v>
      </c>
      <c r="N6" s="2" t="s">
        <v>291</v>
      </c>
    </row>
    <row r="7" spans="1:14" ht="21" customHeight="1" x14ac:dyDescent="0.15">
      <c r="A7" s="61" t="str">
        <f t="shared" si="0"/>
        <v>1707_1719</v>
      </c>
      <c r="B7" s="195">
        <v>1707</v>
      </c>
      <c r="C7" s="178">
        <f t="shared" si="1"/>
        <v>1707</v>
      </c>
      <c r="D7" s="53" t="str">
        <f ca="1">VLOOKUP($C7,OFFSET([1]characters!$A$1,0,0,COUNTA([1]characters!$A:$A),MATCH(D$1,[1]characters!$1:$1,0)-MATCH($C$1,[1]characters!$1:$1,0)+1),MATCH(D$1,[1]characters!$1:$1,0)-MATCH($C$1,[1]characters!$1:$1,0)+1,FALSE)</f>
        <v>親愛なる猫嫁神 バステト</v>
      </c>
      <c r="E7" s="53">
        <f ca="1">VLOOKUP($C7,OFFSET([1]characters!$A$1,0,0,COUNTA([1]characters!$A:$A),MATCH(E$1,[1]characters!$1:$1,0)-MATCH($C$1,[1]characters!$1:$1,0)+1),MATCH(E$1,[1]characters!$1:$1,0)-MATCH($C$1,[1]characters!$1:$1,0)+1,FALSE)</f>
        <v>6</v>
      </c>
      <c r="F7" s="53" t="str">
        <f ca="1">VLOOKUP($C7,OFFSET([1]characters!$A$1,0,0,COUNTA([1]characters!$A:$A),MATCH(F$1,[1]characters!$1:$1,0)-MATCH($C$1,[1]characters!$1:$1,0)+1),MATCH(F$1,[1]characters!$1:$1,0)-MATCH($C$1,[1]characters!$1:$1,0)+1,FALSE)</f>
        <v>PremiumSS</v>
      </c>
      <c r="G7" s="195">
        <v>1708</v>
      </c>
      <c r="H7" s="53" t="str">
        <f ca="1">VLOOKUP($G7,OFFSET([1]characters!$A$1,0,0,COUNTA([1]characters!$A:$A),MATCH(H$1,[1]characters!$1:$1,0)-MATCH($C$1,[1]characters!$1:$1,0)+1),MATCH(H$1,[1]characters!$1:$1,0)-MATCH($C$1,[1]characters!$1:$1,0)+1,FALSE)</f>
        <v>御聖婚の幸猫神 バステト</v>
      </c>
      <c r="I7" s="194">
        <v>1719</v>
      </c>
      <c r="J7" s="53" t="str">
        <f ca="1">VLOOKUP($I7,OFFSET([1]characters!$A$1,0,0,COUNTA([1]characters!$A:$A),MATCH(J$1,[1]characters!$1:$1,0)-MATCH($C$1,[1]characters!$1:$1,0)+1),MATCH(J$1,[1]characters!$1:$1,0)-MATCH($C$1,[1]characters!$1:$1,0)+1,FALSE)</f>
        <v>トゥルー・マリッジリング</v>
      </c>
      <c r="K7" s="192">
        <v>1</v>
      </c>
      <c r="L7" s="193">
        <v>1</v>
      </c>
      <c r="M7" s="193">
        <v>100</v>
      </c>
      <c r="N7" s="2" t="s">
        <v>291</v>
      </c>
    </row>
    <row r="8" spans="1:14" ht="21" customHeight="1" x14ac:dyDescent="0.15">
      <c r="A8" s="61" t="str">
        <f t="shared" si="0"/>
        <v>1709_1719</v>
      </c>
      <c r="B8" s="195">
        <v>1709</v>
      </c>
      <c r="C8" s="178">
        <f t="shared" si="1"/>
        <v>1709</v>
      </c>
      <c r="D8" s="53" t="str">
        <f ca="1">VLOOKUP($C8,OFFSET([1]characters!$A$1,0,0,COUNTA([1]characters!$A:$A),MATCH(D$1,[1]characters!$1:$1,0)-MATCH($C$1,[1]characters!$1:$1,0)+1),MATCH(D$1,[1]characters!$1:$1,0)-MATCH($C$1,[1]characters!$1:$1,0)+1,FALSE)</f>
        <v>情花降る神婦 イズン</v>
      </c>
      <c r="E8" s="53">
        <f ca="1">VLOOKUP($C8,OFFSET([1]characters!$A$1,0,0,COUNTA([1]characters!$A:$A),MATCH(E$1,[1]characters!$1:$1,0)-MATCH($C$1,[1]characters!$1:$1,0)+1),MATCH(E$1,[1]characters!$1:$1,0)-MATCH($C$1,[1]characters!$1:$1,0)+1,FALSE)</f>
        <v>6</v>
      </c>
      <c r="F8" s="53" t="str">
        <f ca="1">VLOOKUP($C8,OFFSET([1]characters!$A$1,0,0,COUNTA([1]characters!$A:$A),MATCH(F$1,[1]characters!$1:$1,0)-MATCH($C$1,[1]characters!$1:$1,0)+1),MATCH(F$1,[1]characters!$1:$1,0)-MATCH($C$1,[1]characters!$1:$1,0)+1,FALSE)</f>
        <v>PremiumSS</v>
      </c>
      <c r="G8" s="195">
        <v>1710</v>
      </c>
      <c r="H8" s="53" t="str">
        <f ca="1">VLOOKUP($G8,OFFSET([1]characters!$A$1,0,0,COUNTA([1]characters!$A:$A),MATCH(H$1,[1]characters!$1:$1,0)-MATCH($C$1,[1]characters!$1:$1,0)+1),MATCH(H$1,[1]characters!$1:$1,0)-MATCH($C$1,[1]characters!$1:$1,0)+1,FALSE)</f>
        <v>慎愛なる女神の契 イズン</v>
      </c>
      <c r="I8" s="194">
        <v>1719</v>
      </c>
      <c r="J8" s="53" t="str">
        <f ca="1">VLOOKUP($I8,OFFSET([1]characters!$A$1,0,0,COUNTA([1]characters!$A:$A),MATCH(J$1,[1]characters!$1:$1,0)-MATCH($C$1,[1]characters!$1:$1,0)+1),MATCH(J$1,[1]characters!$1:$1,0)-MATCH($C$1,[1]characters!$1:$1,0)+1,FALSE)</f>
        <v>トゥルー・マリッジリング</v>
      </c>
      <c r="K8" s="192">
        <v>1</v>
      </c>
      <c r="L8" s="193">
        <v>1</v>
      </c>
      <c r="M8" s="193">
        <v>100</v>
      </c>
      <c r="N8" s="2" t="s">
        <v>291</v>
      </c>
    </row>
    <row r="9" spans="1:14" ht="21" customHeight="1" x14ac:dyDescent="0.15">
      <c r="A9" s="61" t="str">
        <f t="shared" si="0"/>
        <v>1711_1719</v>
      </c>
      <c r="B9" s="195">
        <v>1711</v>
      </c>
      <c r="C9" s="178">
        <f t="shared" si="1"/>
        <v>1711</v>
      </c>
      <c r="D9" s="53" t="str">
        <f ca="1">VLOOKUP($C9,OFFSET([1]characters!$A$1,0,0,COUNTA([1]characters!$A:$A),MATCH(D$1,[1]characters!$1:$1,0)-MATCH($C$1,[1]characters!$1:$1,0)+1),MATCH(D$1,[1]characters!$1:$1,0)-MATCH($C$1,[1]characters!$1:$1,0)+1,FALSE)</f>
        <v>誓愛求婚の新郎 諸葛亮</v>
      </c>
      <c r="E9" s="53">
        <f ca="1">VLOOKUP($C9,OFFSET([1]characters!$A$1,0,0,COUNTA([1]characters!$A:$A),MATCH(E$1,[1]characters!$1:$1,0)-MATCH($C$1,[1]characters!$1:$1,0)+1),MATCH(E$1,[1]characters!$1:$1,0)-MATCH($C$1,[1]characters!$1:$1,0)+1,FALSE)</f>
        <v>6</v>
      </c>
      <c r="F9" s="53" t="str">
        <f ca="1">VLOOKUP($C9,OFFSET([1]characters!$A$1,0,0,COUNTA([1]characters!$A:$A),MATCH(F$1,[1]characters!$1:$1,0)-MATCH($C$1,[1]characters!$1:$1,0)+1),MATCH(F$1,[1]characters!$1:$1,0)-MATCH($C$1,[1]characters!$1:$1,0)+1,FALSE)</f>
        <v>PremiumSS</v>
      </c>
      <c r="G9" s="195">
        <v>1712</v>
      </c>
      <c r="H9" s="53" t="str">
        <f ca="1">VLOOKUP($G9,OFFSET([1]characters!$A$1,0,0,COUNTA([1]characters!$A:$A),MATCH(H$1,[1]characters!$1:$1,0)-MATCH($C$1,[1]characters!$1:$1,0)+1),MATCH(H$1,[1]characters!$1:$1,0)-MATCH($C$1,[1]characters!$1:$1,0)+1,FALSE)</f>
        <v>一蓮托生の双環 諸葛亮</v>
      </c>
      <c r="I9" s="194">
        <v>1719</v>
      </c>
      <c r="J9" s="53" t="str">
        <f ca="1">VLOOKUP($I9,OFFSET([1]characters!$A$1,0,0,COUNTA([1]characters!$A:$A),MATCH(J$1,[1]characters!$1:$1,0)-MATCH($C$1,[1]characters!$1:$1,0)+1),MATCH(J$1,[1]characters!$1:$1,0)-MATCH($C$1,[1]characters!$1:$1,0)+1,FALSE)</f>
        <v>トゥルー・マリッジリング</v>
      </c>
      <c r="K9" s="192">
        <v>1</v>
      </c>
      <c r="L9" s="193">
        <v>1</v>
      </c>
      <c r="M9" s="193">
        <v>100</v>
      </c>
      <c r="N9" s="2" t="s">
        <v>291</v>
      </c>
    </row>
    <row r="10" spans="1:14" ht="21" customHeight="1" x14ac:dyDescent="0.15">
      <c r="A10" s="61" t="str">
        <f t="shared" si="0"/>
        <v>1713_1719</v>
      </c>
      <c r="B10" s="195">
        <v>1713</v>
      </c>
      <c r="C10" s="178">
        <f t="shared" si="1"/>
        <v>1713</v>
      </c>
      <c r="D10" s="53" t="str">
        <f ca="1">VLOOKUP($C10,OFFSET([1]characters!$A$1,0,0,COUNTA([1]characters!$A:$A),MATCH(D$1,[1]characters!$1:$1,0)-MATCH($C$1,[1]characters!$1:$1,0)+1),MATCH(D$1,[1]characters!$1:$1,0)-MATCH($C$1,[1]characters!$1:$1,0)+1,FALSE)</f>
        <v>誓約の挙剣 ジークフリート</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PremiumS</v>
      </c>
      <c r="G10" s="195">
        <v>1714</v>
      </c>
      <c r="H10" s="53" t="str">
        <f ca="1">VLOOKUP($G10,OFFSET([1]characters!$A$1,0,0,COUNTA([1]characters!$A:$A),MATCH(H$1,[1]characters!$1:$1,0)-MATCH($C$1,[1]characters!$1:$1,0)+1),MATCH(H$1,[1]characters!$1:$1,0)-MATCH($C$1,[1]characters!$1:$1,0)+1,FALSE)</f>
        <v>仁愛の祝賀剣 ジークフリート</v>
      </c>
      <c r="I10" s="194">
        <v>1719</v>
      </c>
      <c r="J10" s="53" t="str">
        <f ca="1">VLOOKUP($I10,OFFSET([1]characters!$A$1,0,0,COUNTA([1]characters!$A:$A),MATCH(J$1,[1]characters!$1:$1,0)-MATCH($C$1,[1]characters!$1:$1,0)+1),MATCH(J$1,[1]characters!$1:$1,0)-MATCH($C$1,[1]characters!$1:$1,0)+1,FALSE)</f>
        <v>トゥルー・マリッジリング</v>
      </c>
      <c r="K10" s="192">
        <v>1</v>
      </c>
      <c r="L10" s="193">
        <v>1</v>
      </c>
      <c r="M10" s="193">
        <v>100</v>
      </c>
      <c r="N10" s="2" t="s">
        <v>291</v>
      </c>
    </row>
    <row r="11" spans="1:14" ht="21" customHeight="1" x14ac:dyDescent="0.15">
      <c r="A11" s="61" t="str">
        <f t="shared" si="0"/>
        <v>1715_1719</v>
      </c>
      <c r="B11" s="195">
        <v>1715</v>
      </c>
      <c r="C11" s="178">
        <f t="shared" si="1"/>
        <v>1715</v>
      </c>
      <c r="D11" s="53" t="str">
        <f ca="1">VLOOKUP($C11,OFFSET([1]characters!$A$1,0,0,COUNTA([1]characters!$A:$A),MATCH(D$1,[1]characters!$1:$1,0)-MATCH($C$1,[1]characters!$1:$1,0)+1),MATCH(D$1,[1]characters!$1:$1,0)-MATCH($C$1,[1]characters!$1:$1,0)+1,FALSE)</f>
        <v>森歓の祝宴 アマラ</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PremiumS</v>
      </c>
      <c r="G11" s="195">
        <v>1716</v>
      </c>
      <c r="H11" s="53" t="str">
        <f ca="1">VLOOKUP($G11,OFFSET([1]characters!$A$1,0,0,COUNTA([1]characters!$A:$A),MATCH(H$1,[1]characters!$1:$1,0)-MATCH($C$1,[1]characters!$1:$1,0)+1),MATCH(H$1,[1]characters!$1:$1,0)-MATCH($C$1,[1]characters!$1:$1,0)+1,FALSE)</f>
        <v>森婚の祝福祭 アマラ</v>
      </c>
      <c r="I11" s="194">
        <v>1719</v>
      </c>
      <c r="J11" s="53" t="str">
        <f ca="1">VLOOKUP($I11,OFFSET([1]characters!$A$1,0,0,COUNTA([1]characters!$A:$A),MATCH(J$1,[1]characters!$1:$1,0)-MATCH($C$1,[1]characters!$1:$1,0)+1),MATCH(J$1,[1]characters!$1:$1,0)-MATCH($C$1,[1]characters!$1:$1,0)+1,FALSE)</f>
        <v>トゥルー・マリッジリング</v>
      </c>
      <c r="K11" s="192">
        <v>1</v>
      </c>
      <c r="L11" s="193">
        <v>1</v>
      </c>
      <c r="M11" s="193">
        <v>100</v>
      </c>
      <c r="N11" s="2" t="s">
        <v>291</v>
      </c>
    </row>
    <row r="12" spans="1:14" ht="21" customHeight="1" x14ac:dyDescent="0.15">
      <c r="A12" s="61" t="str">
        <f t="shared" si="0"/>
        <v>1718_1717</v>
      </c>
      <c r="B12" s="195">
        <v>1718</v>
      </c>
      <c r="C12" s="178">
        <f t="shared" si="1"/>
        <v>1718</v>
      </c>
      <c r="D12" s="53" t="str">
        <f ca="1">VLOOKUP($C12,OFFSET([1]characters!$A$1,0,0,COUNTA([1]characters!$A:$A),MATCH(D$1,[1]characters!$1:$1,0)-MATCH($C$1,[1]characters!$1:$1,0)+1),MATCH(D$1,[1]characters!$1:$1,0)-MATCH($C$1,[1]characters!$1:$1,0)+1,FALSE)</f>
        <v>マリッジリング</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Material</v>
      </c>
      <c r="G12" s="195">
        <v>1719</v>
      </c>
      <c r="H12" s="53" t="str">
        <f ca="1">VLOOKUP($G12,OFFSET([1]characters!$A$1,0,0,COUNTA([1]characters!$A:$A),MATCH(H$1,[1]characters!$1:$1,0)-MATCH($C$1,[1]characters!$1:$1,0)+1),MATCH(H$1,[1]characters!$1:$1,0)-MATCH($C$1,[1]characters!$1:$1,0)+1,FALSE)</f>
        <v>トゥルー・マリッジリング</v>
      </c>
      <c r="I12" s="194">
        <v>1717</v>
      </c>
      <c r="J12" s="53" t="str">
        <f ca="1">VLOOKUP($I12,OFFSET([1]characters!$A$1,0,0,COUNTA([1]characters!$A:$A),MATCH(J$1,[1]characters!$1:$1,0)-MATCH($C$1,[1]characters!$1:$1,0)+1),MATCH(J$1,[1]characters!$1:$1,0)-MATCH($C$1,[1]characters!$1:$1,0)+1,FALSE)</f>
        <v>ラブリーエンジェル</v>
      </c>
      <c r="K12" s="192">
        <v>1</v>
      </c>
      <c r="L12" s="193">
        <v>50</v>
      </c>
      <c r="M12" s="193">
        <v>100</v>
      </c>
      <c r="N12" s="2" t="s">
        <v>291</v>
      </c>
    </row>
    <row r="13" spans="1:14" ht="21" customHeight="1" x14ac:dyDescent="0.15">
      <c r="A13" s="61" t="str">
        <f t="shared" ref="A13" si="2">B13&amp;"_"&amp;I13</f>
        <v>1700_108</v>
      </c>
      <c r="B13" s="195">
        <v>1700</v>
      </c>
      <c r="C13" s="178">
        <f t="shared" ref="C13" si="3">B13</f>
        <v>1700</v>
      </c>
      <c r="D13" s="53" t="str">
        <f ca="1">VLOOKUP($C13,OFFSET([1]characters!$A$1,0,0,COUNTA([1]characters!$A:$A),MATCH(D$1,[1]characters!$1:$1,0)-MATCH($C$1,[1]characters!$1:$1,0)+1),MATCH(D$1,[1]characters!$1:$1,0)-MATCH($C$1,[1]characters!$1:$1,0)+1,FALSE)</f>
        <v>大慶総氏神 アマテラス</v>
      </c>
      <c r="E13" s="53">
        <f ca="1">VLOOKUP($C13,OFFSET([1]characters!$A$1,0,0,COUNTA([1]characters!$A:$A),MATCH(E$1,[1]characters!$1:$1,0)-MATCH($C$1,[1]characters!$1:$1,0)+1),MATCH(E$1,[1]characters!$1:$1,0)-MATCH($C$1,[1]characters!$1:$1,0)+1,FALSE)</f>
        <v>6</v>
      </c>
      <c r="F13" s="53" t="str">
        <f ca="1">VLOOKUP($C13,OFFSET([1]characters!$A$1,0,0,COUNTA([1]characters!$A:$A),MATCH(F$1,[1]characters!$1:$1,0)-MATCH($C$1,[1]characters!$1:$1,0)+1),MATCH(F$1,[1]characters!$1:$1,0)-MATCH($C$1,[1]characters!$1:$1,0)+1,FALSE)</f>
        <v>DropWizS</v>
      </c>
      <c r="G13" s="195">
        <v>1699</v>
      </c>
      <c r="H13" s="53" t="str">
        <f ca="1">VLOOKUP($G13,OFFSET([1]characters!$A$1,0,0,COUNTA([1]characters!$A:$A),MATCH(H$1,[1]characters!$1:$1,0)-MATCH($C$1,[1]characters!$1:$1,0)+1),MATCH(H$1,[1]characters!$1:$1,0)-MATCH($C$1,[1]characters!$1:$1,0)+1,FALSE)</f>
        <v>崇高祝言 アマテラス</v>
      </c>
      <c r="I13" s="194">
        <v>108</v>
      </c>
      <c r="J13" s="53" t="str">
        <f ca="1">VLOOKUP($I13,OFFSET([1]characters!$A$1,0,0,COUNTA([1]characters!$A:$A),MATCH(J$1,[1]characters!$1:$1,0)-MATCH($C$1,[1]characters!$1:$1,0)+1),MATCH(J$1,[1]characters!$1:$1,0)-MATCH($C$1,[1]characters!$1:$1,0)+1,FALSE)</f>
        <v>森のマッドハッター</v>
      </c>
      <c r="K13" s="192">
        <v>1</v>
      </c>
      <c r="L13" s="193">
        <v>1</v>
      </c>
      <c r="M13" s="193">
        <v>10</v>
      </c>
      <c r="N13" s="2" t="s">
        <v>291</v>
      </c>
    </row>
    <row r="14" spans="1:14" ht="21" customHeight="1" x14ac:dyDescent="0.15">
      <c r="A14" s="61" t="str">
        <f t="shared" ref="A14" si="4">B14&amp;"_"&amp;I14</f>
        <v>1698_104</v>
      </c>
      <c r="B14" s="195">
        <v>1698</v>
      </c>
      <c r="C14" s="178">
        <f t="shared" ref="C14" si="5">B14</f>
        <v>1698</v>
      </c>
      <c r="D14" s="53" t="str">
        <f ca="1">VLOOKUP($C14,OFFSET([1]characters!$A$1,0,0,COUNTA([1]characters!$A:$A),MATCH(D$1,[1]characters!$1:$1,0)-MATCH($C$1,[1]characters!$1:$1,0)+1),MATCH(D$1,[1]characters!$1:$1,0)-MATCH($C$1,[1]characters!$1:$1,0)+1,FALSE)</f>
        <v>炎断の華嫁 ガーネット</v>
      </c>
      <c r="E14" s="53">
        <f ca="1">VLOOKUP($C14,OFFSET([1]characters!$A$1,0,0,COUNTA([1]characters!$A:$A),MATCH(E$1,[1]characters!$1:$1,0)-MATCH($C$1,[1]characters!$1:$1,0)+1),MATCH(E$1,[1]characters!$1:$1,0)-MATCH($C$1,[1]characters!$1:$1,0)+1,FALSE)</f>
        <v>6</v>
      </c>
      <c r="F14" s="53" t="str">
        <f ca="1">VLOOKUP($C14,OFFSET([1]characters!$A$1,0,0,COUNTA([1]characters!$A:$A),MATCH(F$1,[1]characters!$1:$1,0)-MATCH($C$1,[1]characters!$1:$1,0)+1),MATCH(F$1,[1]characters!$1:$1,0)-MATCH($C$1,[1]characters!$1:$1,0)+1,FALSE)</f>
        <v>DropWizS</v>
      </c>
      <c r="G14" s="195">
        <v>1697</v>
      </c>
      <c r="H14" s="53" t="str">
        <f ca="1">VLOOKUP($G14,OFFSET([1]characters!$A$1,0,0,COUNTA([1]characters!$A:$A),MATCH(H$1,[1]characters!$1:$1,0)-MATCH($C$1,[1]characters!$1:$1,0)+1),MATCH(H$1,[1]characters!$1:$1,0)-MATCH($C$1,[1]characters!$1:$1,0)+1,FALSE)</f>
        <v>駆動する機会 ガーネット</v>
      </c>
      <c r="I14" s="194">
        <v>104</v>
      </c>
      <c r="J14" s="53" t="str">
        <f ca="1">VLOOKUP($I14,OFFSET([1]characters!$A$1,0,0,COUNTA([1]characters!$A:$A),MATCH(J$1,[1]characters!$1:$1,0)-MATCH($C$1,[1]characters!$1:$1,0)+1),MATCH(J$1,[1]characters!$1:$1,0)-MATCH($C$1,[1]characters!$1:$1,0)+1,FALSE)</f>
        <v>炎のマッドハッター</v>
      </c>
      <c r="K14" s="192">
        <v>1</v>
      </c>
      <c r="L14" s="193">
        <v>1</v>
      </c>
      <c r="M14" s="193">
        <v>10</v>
      </c>
      <c r="N14" s="2" t="s">
        <v>291</v>
      </c>
    </row>
    <row r="15" spans="1:14" ht="21" customHeight="1" x14ac:dyDescent="0.15">
      <c r="A15" s="61" t="str">
        <f t="shared" ref="A15" si="6">B15&amp;"_"&amp;I15</f>
        <v>1704_104</v>
      </c>
      <c r="B15" s="195">
        <v>1704</v>
      </c>
      <c r="C15" s="178">
        <f t="shared" ref="C15" si="7">B15</f>
        <v>1704</v>
      </c>
      <c r="D15" s="53" t="str">
        <f ca="1">VLOOKUP($C15,OFFSET([1]characters!$A$1,0,0,COUNTA([1]characters!$A:$A),MATCH(D$1,[1]characters!$1:$1,0)-MATCH($C$1,[1]characters!$1:$1,0)+1),MATCH(D$1,[1]characters!$1:$1,0)-MATCH($C$1,[1]characters!$1:$1,0)+1,FALSE)</f>
        <v>恋焦がす夢乙女 リリィ</v>
      </c>
      <c r="E15" s="53">
        <f ca="1">VLOOKUP($C15,OFFSET([1]characters!$A$1,0,0,COUNTA([1]characters!$A:$A),MATCH(E$1,[1]characters!$1:$1,0)-MATCH($C$1,[1]characters!$1:$1,0)+1),MATCH(E$1,[1]characters!$1:$1,0)-MATCH($C$1,[1]characters!$1:$1,0)+1,FALSE)</f>
        <v>6</v>
      </c>
      <c r="F15" s="53" t="str">
        <f ca="1">VLOOKUP($C15,OFFSET([1]characters!$A$1,0,0,COUNTA([1]characters!$A:$A),MATCH(F$1,[1]characters!$1:$1,0)-MATCH($C$1,[1]characters!$1:$1,0)+1),MATCH(F$1,[1]characters!$1:$1,0)-MATCH($C$1,[1]characters!$1:$1,0)+1,FALSE)</f>
        <v>PremiumSSw</v>
      </c>
      <c r="G15" s="195">
        <v>1703</v>
      </c>
      <c r="H15" s="53" t="str">
        <f ca="1">VLOOKUP($G15,OFFSET([1]characters!$A$1,0,0,COUNTA([1]characters!$A:$A),MATCH(H$1,[1]characters!$1:$1,0)-MATCH($C$1,[1]characters!$1:$1,0)+1),MATCH(H$1,[1]characters!$1:$1,0)-MATCH($C$1,[1]characters!$1:$1,0)+1,FALSE)</f>
        <v>可恋なる花乙女 リリィ</v>
      </c>
      <c r="I15" s="194">
        <v>104</v>
      </c>
      <c r="J15" s="53" t="str">
        <f ca="1">VLOOKUP($I15,OFFSET([1]characters!$A$1,0,0,COUNTA([1]characters!$A:$A),MATCH(J$1,[1]characters!$1:$1,0)-MATCH($C$1,[1]characters!$1:$1,0)+1),MATCH(J$1,[1]characters!$1:$1,0)-MATCH($C$1,[1]characters!$1:$1,0)+1,FALSE)</f>
        <v>炎のマッドハッター</v>
      </c>
      <c r="K15" s="192">
        <v>1</v>
      </c>
      <c r="L15" s="193">
        <v>1</v>
      </c>
      <c r="M15" s="193">
        <v>10</v>
      </c>
      <c r="N15" s="2" t="s">
        <v>291</v>
      </c>
    </row>
    <row r="16" spans="1:14" ht="21" customHeight="1" x14ac:dyDescent="0.15">
      <c r="A16" s="61" t="str">
        <f t="shared" ref="A16" si="8">B16&amp;"_"&amp;I16</f>
        <v>1702_112</v>
      </c>
      <c r="B16" s="195">
        <v>1702</v>
      </c>
      <c r="C16" s="178">
        <f t="shared" ref="C16" si="9">B16</f>
        <v>1702</v>
      </c>
      <c r="D16" s="53" t="str">
        <f ca="1">VLOOKUP($C16,OFFSET([1]characters!$A$1,0,0,COUNTA([1]characters!$A:$A),MATCH(D$1,[1]characters!$1:$1,0)-MATCH($C$1,[1]characters!$1:$1,0)+1),MATCH(D$1,[1]characters!$1:$1,0)-MATCH($C$1,[1]characters!$1:$1,0)+1,FALSE)</f>
        <v>求愛の夢想剣 フォルトゥナ</v>
      </c>
      <c r="E16" s="53">
        <f ca="1">VLOOKUP($C16,OFFSET([1]characters!$A$1,0,0,COUNTA([1]characters!$A:$A),MATCH(E$1,[1]characters!$1:$1,0)-MATCH($C$1,[1]characters!$1:$1,0)+1),MATCH(E$1,[1]characters!$1:$1,0)-MATCH($C$1,[1]characters!$1:$1,0)+1,FALSE)</f>
        <v>6</v>
      </c>
      <c r="F16" s="53" t="str">
        <f ca="1">VLOOKUP($C16,OFFSET([1]characters!$A$1,0,0,COUNTA([1]characters!$A:$A),MATCH(F$1,[1]characters!$1:$1,0)-MATCH($C$1,[1]characters!$1:$1,0)+1),MATCH(F$1,[1]characters!$1:$1,0)-MATCH($C$1,[1]characters!$1:$1,0)+1,FALSE)</f>
        <v>PremiumSSw</v>
      </c>
      <c r="G16" s="195">
        <v>1701</v>
      </c>
      <c r="H16" s="53" t="str">
        <f ca="1">VLOOKUP($G16,OFFSET([1]characters!$A$1,0,0,COUNTA([1]characters!$A:$A),MATCH(H$1,[1]characters!$1:$1,0)-MATCH($C$1,[1]characters!$1:$1,0)+1),MATCH(H$1,[1]characters!$1:$1,0)-MATCH($C$1,[1]characters!$1:$1,0)+1,FALSE)</f>
        <v>蒼嵐の婚戦 フォルトゥナ</v>
      </c>
      <c r="I16" s="194">
        <v>112</v>
      </c>
      <c r="J16" s="53" t="str">
        <f ca="1">VLOOKUP($I16,OFFSET([1]characters!$A$1,0,0,COUNTA([1]characters!$A:$A),MATCH(J$1,[1]characters!$1:$1,0)-MATCH($C$1,[1]characters!$1:$1,0)+1),MATCH(J$1,[1]characters!$1:$1,0)-MATCH($C$1,[1]characters!$1:$1,0)+1,FALSE)</f>
        <v>水のマッドハッター</v>
      </c>
      <c r="K16" s="192">
        <v>1</v>
      </c>
      <c r="L16" s="193">
        <v>1</v>
      </c>
      <c r="M16" s="193">
        <v>10</v>
      </c>
      <c r="N16" s="2" t="s">
        <v>291</v>
      </c>
    </row>
    <row r="17" spans="1:14" ht="21" customHeight="1" x14ac:dyDescent="0.15">
      <c r="A17" s="61" t="str">
        <f t="shared" ref="A17" si="10">B17&amp;"_"&amp;I17</f>
        <v>1706_104</v>
      </c>
      <c r="B17" s="195">
        <v>1706</v>
      </c>
      <c r="C17" s="178">
        <f t="shared" ref="C17" si="11">B17</f>
        <v>1706</v>
      </c>
      <c r="D17" s="53" t="str">
        <f ca="1">VLOOKUP($C17,OFFSET([1]characters!$A$1,0,0,COUNTA([1]characters!$A:$A),MATCH(D$1,[1]characters!$1:$1,0)-MATCH($C$1,[1]characters!$1:$1,0)+1),MATCH(D$1,[1]characters!$1:$1,0)-MATCH($C$1,[1]characters!$1:$1,0)+1,FALSE)</f>
        <v>幸福なる大祝砲 白雪姫</v>
      </c>
      <c r="E17" s="53">
        <f ca="1">VLOOKUP($C17,OFFSET([1]characters!$A$1,0,0,COUNTA([1]characters!$A:$A),MATCH(E$1,[1]characters!$1:$1,0)-MATCH($C$1,[1]characters!$1:$1,0)+1),MATCH(E$1,[1]characters!$1:$1,0)-MATCH($C$1,[1]characters!$1:$1,0)+1,FALSE)</f>
        <v>6</v>
      </c>
      <c r="F17" s="53" t="str">
        <f ca="1">VLOOKUP($C17,OFFSET([1]characters!$A$1,0,0,COUNTA([1]characters!$A:$A),MATCH(F$1,[1]characters!$1:$1,0)-MATCH($C$1,[1]characters!$1:$1,0)+1),MATCH(F$1,[1]characters!$1:$1,0)-MATCH($C$1,[1]characters!$1:$1,0)+1,FALSE)</f>
        <v>PremiumSS</v>
      </c>
      <c r="G17" s="195">
        <v>1705</v>
      </c>
      <c r="H17" s="53" t="str">
        <f ca="1">VLOOKUP($G17,OFFSET([1]characters!$A$1,0,0,COUNTA([1]characters!$A:$A),MATCH(H$1,[1]characters!$1:$1,0)-MATCH($C$1,[1]characters!$1:$1,0)+1),MATCH(H$1,[1]characters!$1:$1,0)-MATCH($C$1,[1]characters!$1:$1,0)+1,FALSE)</f>
        <v>純白の新婦軍 白雪姫</v>
      </c>
      <c r="I17" s="194">
        <v>104</v>
      </c>
      <c r="J17" s="53" t="str">
        <f ca="1">VLOOKUP($I17,OFFSET([1]characters!$A$1,0,0,COUNTA([1]characters!$A:$A),MATCH(J$1,[1]characters!$1:$1,0)-MATCH($C$1,[1]characters!$1:$1,0)+1),MATCH(J$1,[1]characters!$1:$1,0)-MATCH($C$1,[1]characters!$1:$1,0)+1,FALSE)</f>
        <v>炎のマッドハッター</v>
      </c>
      <c r="K17" s="192">
        <v>1</v>
      </c>
      <c r="L17" s="193">
        <v>1</v>
      </c>
      <c r="M17" s="193">
        <v>10</v>
      </c>
      <c r="N17" s="2" t="s">
        <v>291</v>
      </c>
    </row>
    <row r="18" spans="1:14" ht="21" customHeight="1" x14ac:dyDescent="0.15">
      <c r="A18" s="61" t="str">
        <f t="shared" ref="A18" si="12">B18&amp;"_"&amp;I18</f>
        <v>1710_112</v>
      </c>
      <c r="B18" s="195">
        <v>1710</v>
      </c>
      <c r="C18" s="178">
        <f t="shared" ref="C18" si="13">B18</f>
        <v>1710</v>
      </c>
      <c r="D18" s="53" t="str">
        <f ca="1">VLOOKUP($C18,OFFSET([1]characters!$A$1,0,0,COUNTA([1]characters!$A:$A),MATCH(D$1,[1]characters!$1:$1,0)-MATCH($C$1,[1]characters!$1:$1,0)+1),MATCH(D$1,[1]characters!$1:$1,0)-MATCH($C$1,[1]characters!$1:$1,0)+1,FALSE)</f>
        <v>慎愛なる女神の契 イズン</v>
      </c>
      <c r="E18" s="53">
        <f ca="1">VLOOKUP($C18,OFFSET([1]characters!$A$1,0,0,COUNTA([1]characters!$A:$A),MATCH(E$1,[1]characters!$1:$1,0)-MATCH($C$1,[1]characters!$1:$1,0)+1),MATCH(E$1,[1]characters!$1:$1,0)-MATCH($C$1,[1]characters!$1:$1,0)+1,FALSE)</f>
        <v>6</v>
      </c>
      <c r="F18" s="53" t="str">
        <f ca="1">VLOOKUP($C18,OFFSET([1]characters!$A$1,0,0,COUNTA([1]characters!$A:$A),MATCH(F$1,[1]characters!$1:$1,0)-MATCH($C$1,[1]characters!$1:$1,0)+1),MATCH(F$1,[1]characters!$1:$1,0)-MATCH($C$1,[1]characters!$1:$1,0)+1,FALSE)</f>
        <v>PremiumSS</v>
      </c>
      <c r="G18" s="195">
        <v>1709</v>
      </c>
      <c r="H18" s="53" t="str">
        <f ca="1">VLOOKUP($G18,OFFSET([1]characters!$A$1,0,0,COUNTA([1]characters!$A:$A),MATCH(H$1,[1]characters!$1:$1,0)-MATCH($C$1,[1]characters!$1:$1,0)+1),MATCH(H$1,[1]characters!$1:$1,0)-MATCH($C$1,[1]characters!$1:$1,0)+1,FALSE)</f>
        <v>情花降る神婦 イズン</v>
      </c>
      <c r="I18" s="194">
        <v>112</v>
      </c>
      <c r="J18" s="53" t="str">
        <f ca="1">VLOOKUP($I18,OFFSET([1]characters!$A$1,0,0,COUNTA([1]characters!$A:$A),MATCH(J$1,[1]characters!$1:$1,0)-MATCH($C$1,[1]characters!$1:$1,0)+1),MATCH(J$1,[1]characters!$1:$1,0)-MATCH($C$1,[1]characters!$1:$1,0)+1,FALSE)</f>
        <v>水のマッドハッター</v>
      </c>
      <c r="K18" s="192">
        <v>1</v>
      </c>
      <c r="L18" s="193">
        <v>1</v>
      </c>
      <c r="M18" s="193">
        <v>10</v>
      </c>
      <c r="N18" s="2" t="s">
        <v>291</v>
      </c>
    </row>
    <row r="19" spans="1:14" ht="21" customHeight="1" x14ac:dyDescent="0.15">
      <c r="A19" s="61" t="str">
        <f t="shared" ref="A19" si="14">B19&amp;"_"&amp;I19</f>
        <v>1712_116</v>
      </c>
      <c r="B19" s="195">
        <v>1712</v>
      </c>
      <c r="C19" s="178">
        <f t="shared" ref="C19" si="15">B19</f>
        <v>1712</v>
      </c>
      <c r="D19" s="53" t="str">
        <f ca="1">VLOOKUP($C19,OFFSET([1]characters!$A$1,0,0,COUNTA([1]characters!$A:$A),MATCH(D$1,[1]characters!$1:$1,0)-MATCH($C$1,[1]characters!$1:$1,0)+1),MATCH(D$1,[1]characters!$1:$1,0)-MATCH($C$1,[1]characters!$1:$1,0)+1,FALSE)</f>
        <v>一蓮托生の双環 諸葛亮</v>
      </c>
      <c r="E19" s="53">
        <f ca="1">VLOOKUP($C19,OFFSET([1]characters!$A$1,0,0,COUNTA([1]characters!$A:$A),MATCH(E$1,[1]characters!$1:$1,0)-MATCH($C$1,[1]characters!$1:$1,0)+1),MATCH(E$1,[1]characters!$1:$1,0)-MATCH($C$1,[1]characters!$1:$1,0)+1,FALSE)</f>
        <v>6</v>
      </c>
      <c r="F19" s="53" t="str">
        <f ca="1">VLOOKUP($C19,OFFSET([1]characters!$A$1,0,0,COUNTA([1]characters!$A:$A),MATCH(F$1,[1]characters!$1:$1,0)-MATCH($C$1,[1]characters!$1:$1,0)+1),MATCH(F$1,[1]characters!$1:$1,0)-MATCH($C$1,[1]characters!$1:$1,0)+1,FALSE)</f>
        <v>PremiumSS</v>
      </c>
      <c r="G19" s="195">
        <v>1711</v>
      </c>
      <c r="H19" s="53" t="str">
        <f ca="1">VLOOKUP($G19,OFFSET([1]characters!$A$1,0,0,COUNTA([1]characters!$A:$A),MATCH(H$1,[1]characters!$1:$1,0)-MATCH($C$1,[1]characters!$1:$1,0)+1),MATCH(H$1,[1]characters!$1:$1,0)-MATCH($C$1,[1]characters!$1:$1,0)+1,FALSE)</f>
        <v>誓愛求婚の新郎 諸葛亮</v>
      </c>
      <c r="I19" s="194">
        <v>116</v>
      </c>
      <c r="J19" s="53" t="str">
        <f ca="1">VLOOKUP($I19,OFFSET([1]characters!$A$1,0,0,COUNTA([1]characters!$A:$A),MATCH(J$1,[1]characters!$1:$1,0)-MATCH($C$1,[1]characters!$1:$1,0)+1),MATCH(J$1,[1]characters!$1:$1,0)-MATCH($C$1,[1]characters!$1:$1,0)+1,FALSE)</f>
        <v>雷のマッドハッター</v>
      </c>
      <c r="K19" s="192">
        <v>1</v>
      </c>
      <c r="L19" s="193">
        <v>1</v>
      </c>
      <c r="M19" s="193">
        <v>10</v>
      </c>
      <c r="N19" s="2" t="s">
        <v>291</v>
      </c>
    </row>
    <row r="20" spans="1:14" ht="21" customHeight="1" x14ac:dyDescent="0.15">
      <c r="A20" s="61" t="str">
        <f t="shared" ref="A20" si="16">B20&amp;"_"&amp;I20</f>
        <v>1708_108</v>
      </c>
      <c r="B20" s="195">
        <v>1708</v>
      </c>
      <c r="C20" s="178">
        <f t="shared" ref="C20" si="17">B20</f>
        <v>1708</v>
      </c>
      <c r="D20" s="53" t="str">
        <f ca="1">VLOOKUP($C20,OFFSET([1]characters!$A$1,0,0,COUNTA([1]characters!$A:$A),MATCH(D$1,[1]characters!$1:$1,0)-MATCH($C$1,[1]characters!$1:$1,0)+1),MATCH(D$1,[1]characters!$1:$1,0)-MATCH($C$1,[1]characters!$1:$1,0)+1,FALSE)</f>
        <v>御聖婚の幸猫神 バステト</v>
      </c>
      <c r="E20" s="53">
        <f ca="1">VLOOKUP($C20,OFFSET([1]characters!$A$1,0,0,COUNTA([1]characters!$A:$A),MATCH(E$1,[1]characters!$1:$1,0)-MATCH($C$1,[1]characters!$1:$1,0)+1),MATCH(E$1,[1]characters!$1:$1,0)-MATCH($C$1,[1]characters!$1:$1,0)+1,FALSE)</f>
        <v>6</v>
      </c>
      <c r="F20" s="53" t="str">
        <f ca="1">VLOOKUP($C20,OFFSET([1]characters!$A$1,0,0,COUNTA([1]characters!$A:$A),MATCH(F$1,[1]characters!$1:$1,0)-MATCH($C$1,[1]characters!$1:$1,0)+1),MATCH(F$1,[1]characters!$1:$1,0)-MATCH($C$1,[1]characters!$1:$1,0)+1,FALSE)</f>
        <v>PremiumSS</v>
      </c>
      <c r="G20" s="195">
        <v>1707</v>
      </c>
      <c r="H20" s="53" t="str">
        <f ca="1">VLOOKUP($G20,OFFSET([1]characters!$A$1,0,0,COUNTA([1]characters!$A:$A),MATCH(H$1,[1]characters!$1:$1,0)-MATCH($C$1,[1]characters!$1:$1,0)+1),MATCH(H$1,[1]characters!$1:$1,0)-MATCH($C$1,[1]characters!$1:$1,0)+1,FALSE)</f>
        <v>親愛なる猫嫁神 バステト</v>
      </c>
      <c r="I20" s="194">
        <v>108</v>
      </c>
      <c r="J20" s="53" t="str">
        <f ca="1">VLOOKUP($I20,OFFSET([1]characters!$A$1,0,0,COUNTA([1]characters!$A:$A),MATCH(J$1,[1]characters!$1:$1,0)-MATCH($C$1,[1]characters!$1:$1,0)+1),MATCH(J$1,[1]characters!$1:$1,0)-MATCH($C$1,[1]characters!$1:$1,0)+1,FALSE)</f>
        <v>森のマッドハッター</v>
      </c>
      <c r="K20" s="192">
        <v>1</v>
      </c>
      <c r="L20" s="193">
        <v>1</v>
      </c>
      <c r="M20" s="193">
        <v>10</v>
      </c>
      <c r="N20" s="2" t="s">
        <v>291</v>
      </c>
    </row>
    <row r="21" spans="1:14" ht="21" customHeight="1" x14ac:dyDescent="0.15">
      <c r="A21" s="61" t="str">
        <f t="shared" ref="A21" si="18">B21&amp;"_"&amp;I21</f>
        <v>1714_104</v>
      </c>
      <c r="B21" s="195">
        <v>1714</v>
      </c>
      <c r="C21" s="178">
        <f t="shared" ref="C21" si="19">B21</f>
        <v>1714</v>
      </c>
      <c r="D21" s="53" t="str">
        <f ca="1">VLOOKUP($C21,OFFSET([1]characters!$A$1,0,0,COUNTA([1]characters!$A:$A),MATCH(D$1,[1]characters!$1:$1,0)-MATCH($C$1,[1]characters!$1:$1,0)+1),MATCH(D$1,[1]characters!$1:$1,0)-MATCH($C$1,[1]characters!$1:$1,0)+1,FALSE)</f>
        <v>仁愛の祝賀剣 ジークフリート</v>
      </c>
      <c r="E21" s="53">
        <f ca="1">VLOOKUP($C21,OFFSET([1]characters!$A$1,0,0,COUNTA([1]characters!$A:$A),MATCH(E$1,[1]characters!$1:$1,0)-MATCH($C$1,[1]characters!$1:$1,0)+1),MATCH(E$1,[1]characters!$1:$1,0)-MATCH($C$1,[1]characters!$1:$1,0)+1,FALSE)</f>
        <v>5</v>
      </c>
      <c r="F21" s="53" t="str">
        <f ca="1">VLOOKUP($C21,OFFSET([1]characters!$A$1,0,0,COUNTA([1]characters!$A:$A),MATCH(F$1,[1]characters!$1:$1,0)-MATCH($C$1,[1]characters!$1:$1,0)+1),MATCH(F$1,[1]characters!$1:$1,0)-MATCH($C$1,[1]characters!$1:$1,0)+1,FALSE)</f>
        <v>PremiumS</v>
      </c>
      <c r="G21" s="195">
        <v>1713</v>
      </c>
      <c r="H21" s="53" t="str">
        <f ca="1">VLOOKUP($G21,OFFSET([1]characters!$A$1,0,0,COUNTA([1]characters!$A:$A),MATCH(H$1,[1]characters!$1:$1,0)-MATCH($C$1,[1]characters!$1:$1,0)+1),MATCH(H$1,[1]characters!$1:$1,0)-MATCH($C$1,[1]characters!$1:$1,0)+1,FALSE)</f>
        <v>誓約の挙剣 ジークフリート</v>
      </c>
      <c r="I21" s="194">
        <v>104</v>
      </c>
      <c r="J21" s="53" t="str">
        <f ca="1">VLOOKUP($I21,OFFSET([1]characters!$A$1,0,0,COUNTA([1]characters!$A:$A),MATCH(J$1,[1]characters!$1:$1,0)-MATCH($C$1,[1]characters!$1:$1,0)+1),MATCH(J$1,[1]characters!$1:$1,0)-MATCH($C$1,[1]characters!$1:$1,0)+1,FALSE)</f>
        <v>炎のマッドハッター</v>
      </c>
      <c r="K21" s="192">
        <v>1</v>
      </c>
      <c r="L21" s="193">
        <v>1</v>
      </c>
      <c r="M21" s="193">
        <v>10</v>
      </c>
      <c r="N21" s="2" t="s">
        <v>291</v>
      </c>
    </row>
    <row r="22" spans="1:14" ht="21" customHeight="1" x14ac:dyDescent="0.15">
      <c r="A22" s="61" t="str">
        <f t="shared" ref="A22" si="20">B22&amp;"_"&amp;I22</f>
        <v>1716_112</v>
      </c>
      <c r="B22" s="195">
        <v>1716</v>
      </c>
      <c r="C22" s="178">
        <f t="shared" ref="C22" si="21">B22</f>
        <v>1716</v>
      </c>
      <c r="D22" s="53" t="str">
        <f ca="1">VLOOKUP($C22,OFFSET([1]characters!$A$1,0,0,COUNTA([1]characters!$A:$A),MATCH(D$1,[1]characters!$1:$1,0)-MATCH($C$1,[1]characters!$1:$1,0)+1),MATCH(D$1,[1]characters!$1:$1,0)-MATCH($C$1,[1]characters!$1:$1,0)+1,FALSE)</f>
        <v>森婚の祝福祭 アマラ</v>
      </c>
      <c r="E22" s="53">
        <f ca="1">VLOOKUP($C22,OFFSET([1]characters!$A$1,0,0,COUNTA([1]characters!$A:$A),MATCH(E$1,[1]characters!$1:$1,0)-MATCH($C$1,[1]characters!$1:$1,0)+1),MATCH(E$1,[1]characters!$1:$1,0)-MATCH($C$1,[1]characters!$1:$1,0)+1,FALSE)</f>
        <v>5</v>
      </c>
      <c r="F22" s="53" t="str">
        <f ca="1">VLOOKUP($C22,OFFSET([1]characters!$A$1,0,0,COUNTA([1]characters!$A:$A),MATCH(F$1,[1]characters!$1:$1,0)-MATCH($C$1,[1]characters!$1:$1,0)+1),MATCH(F$1,[1]characters!$1:$1,0)-MATCH($C$1,[1]characters!$1:$1,0)+1,FALSE)</f>
        <v>PremiumS</v>
      </c>
      <c r="G22" s="195">
        <v>1715</v>
      </c>
      <c r="H22" s="53" t="str">
        <f ca="1">VLOOKUP($G22,OFFSET([1]characters!$A$1,0,0,COUNTA([1]characters!$A:$A),MATCH(H$1,[1]characters!$1:$1,0)-MATCH($C$1,[1]characters!$1:$1,0)+1),MATCH(H$1,[1]characters!$1:$1,0)-MATCH($C$1,[1]characters!$1:$1,0)+1,FALSE)</f>
        <v>森歓の祝宴 アマラ</v>
      </c>
      <c r="I22" s="194">
        <v>112</v>
      </c>
      <c r="J22" s="53" t="str">
        <f ca="1">VLOOKUP($I22,OFFSET([1]characters!$A$1,0,0,COUNTA([1]characters!$A:$A),MATCH(J$1,[1]characters!$1:$1,0)-MATCH($C$1,[1]characters!$1:$1,0)+1),MATCH(J$1,[1]characters!$1:$1,0)-MATCH($C$1,[1]characters!$1:$1,0)+1,FALSE)</f>
        <v>水のマッドハッター</v>
      </c>
      <c r="K22" s="192">
        <v>1</v>
      </c>
      <c r="L22" s="193">
        <v>1</v>
      </c>
      <c r="M22" s="193">
        <v>10</v>
      </c>
      <c r="N22"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2"/>
  <sheetViews>
    <sheetView workbookViewId="0">
      <selection activeCell="A2" sqref="A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21" customFormat="1" ht="21" customHeight="1" x14ac:dyDescent="0.15">
      <c r="A1" s="167" t="s">
        <v>303</v>
      </c>
      <c r="B1" s="115" t="s">
        <v>304</v>
      </c>
      <c r="C1" s="116" t="s">
        <v>305</v>
      </c>
      <c r="D1" s="117" t="s">
        <v>306</v>
      </c>
      <c r="E1" s="117" t="s">
        <v>307</v>
      </c>
      <c r="F1" s="117" t="s">
        <v>308</v>
      </c>
      <c r="G1" s="117" t="s">
        <v>309</v>
      </c>
      <c r="H1" s="117" t="s">
        <v>310</v>
      </c>
      <c r="I1" s="173" t="s">
        <v>311</v>
      </c>
      <c r="J1" s="117" t="s">
        <v>348</v>
      </c>
      <c r="K1" s="168" t="s">
        <v>312</v>
      </c>
    </row>
    <row r="2" spans="1:11" ht="56" x14ac:dyDescent="0.15">
      <c r="A2" s="184" t="s">
        <v>345</v>
      </c>
      <c r="B2" s="169" t="s">
        <v>187</v>
      </c>
      <c r="C2" s="200" t="s">
        <v>346</v>
      </c>
      <c r="D2" s="200" t="s">
        <v>347</v>
      </c>
      <c r="E2" s="198" t="s">
        <v>340</v>
      </c>
      <c r="F2" s="201" t="s">
        <v>341</v>
      </c>
      <c r="G2" s="202" t="s">
        <v>342</v>
      </c>
      <c r="H2" s="198" t="s">
        <v>343</v>
      </c>
      <c r="I2" s="199" t="str">
        <f>"{"&amp;""""&amp;$E$1&amp;""""&amp;":"&amp;""""&amp;E2&amp;""""&amp;","&amp;""""&amp;"type"&amp;""""&amp;":"&amp;""""&amp;"ability"&amp;""""&amp;","&amp;""""&amp;$G$1&amp;""""&amp;":"&amp;""""&amp;G2&amp;""""&amp;","&amp;""""&amp;$F$1&amp;""""&amp;":"&amp;""""&amp;F2&amp;""""&amp;","&amp;""""&amp;$H$1&amp;""""&amp;":"&amp;H2&amp;"}"</f>
        <v>{"ver":"1.7.0","type":"ability","effects":"[effect:damage_up, target:myself, val:2.0, turn:1, type01:all, option:killer]","conditions":"[condition:enclose,[condition:quest_id,quest:47012],[condition:unit_attack_target],logic:and]","priority":0}</v>
      </c>
      <c r="J2" s="200" t="s">
        <v>344</v>
      </c>
      <c r="K2" s="203">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7"/>
  <sheetViews>
    <sheetView workbookViewId="0">
      <selection activeCell="A17" sqref="A17:XFD17"/>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1697</v>
      </c>
      <c r="B2" s="172" t="str">
        <f>VLOOKUP(A2,[1]characters!$A:$C,3)</f>
        <v>駆動する機会 ガーネット</v>
      </c>
      <c r="C2" s="196">
        <v>1</v>
      </c>
      <c r="D2" s="196">
        <v>103</v>
      </c>
      <c r="E2" s="173" t="str">
        <f>IF(ISERROR(VLOOKUP(D2,[4]abilities!A:D,3,FALSE))=FALSE,VLOOKUP(D2,[4]abilities!A:D,3),IF(ISERROR(VLOOKUP(D2,abilities!A:D,3,FALSE))=FALSE,VLOOKUP(D2,abilities!A:D,3),"なし"))</f>
        <v>お邪魔ブレイク</v>
      </c>
      <c r="F2" s="173" t="str">
        <f>IF(ISERROR(VLOOKUP(D2,[4]abilities!A:D,4,FALSE))=FALSE,VLOOKUP(D2,[4]abilities!A:D,4),IF(ISERROR(VLOOKUP(D2,abilities!A:D,4,FALSE))=FALSE,VLOOKUP(D2,abilities!A:D,4),"なし"))</f>
        <v>自身が先頭の時、お邪魔パネルを破壊できる</v>
      </c>
      <c r="G2" s="174" t="s">
        <v>275</v>
      </c>
      <c r="H2" s="197" t="s">
        <v>359</v>
      </c>
    </row>
    <row r="3" spans="1:8" s="4" customFormat="1" ht="21" customHeight="1" x14ac:dyDescent="0.15">
      <c r="A3" s="169">
        <v>1697</v>
      </c>
      <c r="B3" s="172" t="str">
        <f>VLOOKUP(A3,[1]characters!$A:$C,3)</f>
        <v>駆動する機会 ガーネット</v>
      </c>
      <c r="C3" s="196">
        <v>2</v>
      </c>
      <c r="D3" s="196">
        <v>3109</v>
      </c>
      <c r="E3" s="173" t="str">
        <f>IF(ISERROR(VLOOKUP(D3,[4]abilities!A:D,3,FALSE))=FALSE,VLOOKUP(D3,[4]abilities!A:D,3),IF(ISERROR(VLOOKUP(D3,abilities!A:D,3,FALSE))=FALSE,VLOOKUP(D3,abilities!A:D,3),"なし"))</f>
        <v>最終フロア 赤ボムパネルドロップ</v>
      </c>
      <c r="F3" s="173" t="str">
        <f>IF(ISERROR(VLOOKUP(D3,[4]abilities!A:D,4,FALSE))=FALSE,VLOOKUP(D3,[4]abilities!A:D,4),IF(ISERROR(VLOOKUP(D3,abilities!A:D,4,FALSE))=FALSE,VLOOKUP(D3,abilities!A:D,4),"なし"))</f>
        <v>最終フロア内で青パネルを低確率で赤ボムパネルに変換しドロップ</v>
      </c>
      <c r="G3" s="174" t="s">
        <v>275</v>
      </c>
      <c r="H3" s="197" t="s">
        <v>360</v>
      </c>
    </row>
    <row r="4" spans="1:8" s="4" customFormat="1" ht="21" customHeight="1" x14ac:dyDescent="0.15">
      <c r="A4" s="169">
        <v>1698</v>
      </c>
      <c r="B4" s="172" t="str">
        <f>VLOOKUP(A4,[1]characters!$A:$C,3)</f>
        <v>炎断の華嫁 ガーネット</v>
      </c>
      <c r="C4" s="196">
        <v>1</v>
      </c>
      <c r="D4" s="196">
        <v>103</v>
      </c>
      <c r="E4" s="173" t="str">
        <f>IF(ISERROR(VLOOKUP(D4,[4]abilities!A:D,3,FALSE))=FALSE,VLOOKUP(D4,[4]abilities!A:D,3),IF(ISERROR(VLOOKUP(D4,abilities!A:D,3,FALSE))=FALSE,VLOOKUP(D4,abilities!A:D,3),"なし"))</f>
        <v>お邪魔ブレイク</v>
      </c>
      <c r="F4" s="173" t="str">
        <f>IF(ISERROR(VLOOKUP(D4,[4]abilities!A:D,4,FALSE))=FALSE,VLOOKUP(D4,[4]abilities!A:D,4),IF(ISERROR(VLOOKUP(D4,abilities!A:D,4,FALSE))=FALSE,VLOOKUP(D4,abilities!A:D,4),"なし"))</f>
        <v>自身が先頭の時、お邪魔パネルを破壊できる</v>
      </c>
      <c r="G4" s="174" t="s">
        <v>275</v>
      </c>
      <c r="H4" s="197" t="s">
        <v>359</v>
      </c>
    </row>
    <row r="5" spans="1:8" s="4" customFormat="1" ht="21" customHeight="1" x14ac:dyDescent="0.15">
      <c r="A5" s="169">
        <v>1698</v>
      </c>
      <c r="B5" s="172" t="str">
        <f>VLOOKUP(A5,[1]characters!$A:$C,3)</f>
        <v>炎断の華嫁 ガーネット</v>
      </c>
      <c r="C5" s="196">
        <v>2</v>
      </c>
      <c r="D5" s="196">
        <v>3109</v>
      </c>
      <c r="E5" s="173" t="str">
        <f>IF(ISERROR(VLOOKUP(D5,[4]abilities!A:D,3,FALSE))=FALSE,VLOOKUP(D5,[4]abilities!A:D,3),IF(ISERROR(VLOOKUP(D5,abilities!A:D,3,FALSE))=FALSE,VLOOKUP(D5,abilities!A:D,3),"なし"))</f>
        <v>最終フロア 赤ボムパネルドロップ</v>
      </c>
      <c r="F5" s="173" t="str">
        <f>IF(ISERROR(VLOOKUP(D5,[4]abilities!A:D,4,FALSE))=FALSE,VLOOKUP(D5,[4]abilities!A:D,4),IF(ISERROR(VLOOKUP(D5,abilities!A:D,4,FALSE))=FALSE,VLOOKUP(D5,abilities!A:D,4),"なし"))</f>
        <v>最終フロア内で青パネルを低確率で赤ボムパネルに変換しドロップ</v>
      </c>
      <c r="G5" s="174" t="s">
        <v>275</v>
      </c>
      <c r="H5" s="197" t="s">
        <v>360</v>
      </c>
    </row>
    <row r="6" spans="1:8" s="4" customFormat="1" ht="21" customHeight="1" x14ac:dyDescent="0.15">
      <c r="A6" s="169">
        <v>1699</v>
      </c>
      <c r="B6" s="172" t="str">
        <f>VLOOKUP(A6,[1]characters!$A:$C,3)</f>
        <v>崇高祝言 アマテラス</v>
      </c>
      <c r="C6" s="196">
        <v>1</v>
      </c>
      <c r="D6" s="196">
        <v>109</v>
      </c>
      <c r="E6" s="173" t="str">
        <f>IF(ISERROR(VLOOKUP(D6,[4]abilities!A:D,3,FALSE))=FALSE,VLOOKUP(D6,[4]abilities!A:D,3),IF(ISERROR(VLOOKUP(D6,abilities!A:D,3,FALSE))=FALSE,VLOOKUP(D6,abilities!A:D,3),"なし"))</f>
        <v>ダメージパネルブレイク</v>
      </c>
      <c r="F6" s="173" t="str">
        <f>IF(ISERROR(VLOOKUP(D6,[4]abilities!A:D,4,FALSE))=FALSE,VLOOKUP(D6,[4]abilities!A:D,4),IF(ISERROR(VLOOKUP(D6,abilities!A:D,4,FALSE))=FALSE,VLOOKUP(D6,abilities!A:D,4),"なし"))</f>
        <v>自身が先頭の時、ダメージを受けずにダメージパネルを破壊できる</v>
      </c>
      <c r="G6" s="174" t="s">
        <v>275</v>
      </c>
      <c r="H6" s="197" t="s">
        <v>359</v>
      </c>
    </row>
    <row r="7" spans="1:8" s="4" customFormat="1" ht="21" customHeight="1" x14ac:dyDescent="0.15">
      <c r="A7" s="169">
        <v>1699</v>
      </c>
      <c r="B7" s="172" t="str">
        <f>VLOOKUP(A7,[1]characters!$A:$C,3)</f>
        <v>崇高祝言 アマテラス</v>
      </c>
      <c r="C7" s="196">
        <v>2</v>
      </c>
      <c r="D7" s="196">
        <v>300</v>
      </c>
      <c r="E7" s="173" t="str">
        <f>IF(ISERROR(VLOOKUP(D7,[4]abilities!A:D,3,FALSE))=FALSE,VLOOKUP(D7,[4]abilities!A:D,3),IF(ISERROR(VLOOKUP(D7,abilities!A:D,3,FALSE))=FALSE,VLOOKUP(D7,abilities!A:D,3),"なし"))</f>
        <v>対ゴッド ダメージUP</v>
      </c>
      <c r="F7" s="173" t="str">
        <f>IF(ISERROR(VLOOKUP(D7,[4]abilities!A:D,4,FALSE))=FALSE,VLOOKUP(D7,[4]abilities!A:D,4),IF(ISERROR(VLOOKUP(D7,abilities!A:D,4,FALSE))=FALSE,VLOOKUP(D7,abilities!A:D,4),"なし"))</f>
        <v>自身の攻撃対象が種族ゴッドの場合全ての攻撃の威力をUP</v>
      </c>
      <c r="G7" s="174" t="s">
        <v>275</v>
      </c>
      <c r="H7" s="197" t="s">
        <v>360</v>
      </c>
    </row>
    <row r="8" spans="1:8" s="4" customFormat="1" ht="21" customHeight="1" x14ac:dyDescent="0.15">
      <c r="A8" s="169">
        <v>1700</v>
      </c>
      <c r="B8" s="172" t="str">
        <f>VLOOKUP(A8,[1]characters!$A:$C,3)</f>
        <v>大慶総氏神 アマテラス</v>
      </c>
      <c r="C8" s="196">
        <v>1</v>
      </c>
      <c r="D8" s="196">
        <v>109</v>
      </c>
      <c r="E8" s="173" t="str">
        <f>IF(ISERROR(VLOOKUP(D8,[4]abilities!A:D,3,FALSE))=FALSE,VLOOKUP(D8,[4]abilities!A:D,3),IF(ISERROR(VLOOKUP(D8,abilities!A:D,3,FALSE))=FALSE,VLOOKUP(D8,abilities!A:D,3),"なし"))</f>
        <v>ダメージパネルブレイク</v>
      </c>
      <c r="F8" s="173" t="str">
        <f>IF(ISERROR(VLOOKUP(D8,[4]abilities!A:D,4,FALSE))=FALSE,VLOOKUP(D8,[4]abilities!A:D,4),IF(ISERROR(VLOOKUP(D8,abilities!A:D,4,FALSE))=FALSE,VLOOKUP(D8,abilities!A:D,4),"なし"))</f>
        <v>自身が先頭の時、ダメージを受けずにダメージパネルを破壊できる</v>
      </c>
      <c r="G8" s="174" t="s">
        <v>275</v>
      </c>
      <c r="H8" s="197" t="s">
        <v>359</v>
      </c>
    </row>
    <row r="9" spans="1:8" s="4" customFormat="1" ht="21" customHeight="1" x14ac:dyDescent="0.15">
      <c r="A9" s="169">
        <v>1700</v>
      </c>
      <c r="B9" s="172" t="str">
        <f>VLOOKUP(A9,[1]characters!$A:$C,3)</f>
        <v>大慶総氏神 アマテラス</v>
      </c>
      <c r="C9" s="196">
        <v>2</v>
      </c>
      <c r="D9" s="196">
        <v>300</v>
      </c>
      <c r="E9" s="173" t="str">
        <f>IF(ISERROR(VLOOKUP(D9,[4]abilities!A:D,3,FALSE))=FALSE,VLOOKUP(D9,[4]abilities!A:D,3),IF(ISERROR(VLOOKUP(D9,abilities!A:D,3,FALSE))=FALSE,VLOOKUP(D9,abilities!A:D,3),"なし"))</f>
        <v>対ゴッド ダメージUP</v>
      </c>
      <c r="F9" s="173" t="str">
        <f>IF(ISERROR(VLOOKUP(D9,[4]abilities!A:D,4,FALSE))=FALSE,VLOOKUP(D9,[4]abilities!A:D,4),IF(ISERROR(VLOOKUP(D9,abilities!A:D,4,FALSE))=FALSE,VLOOKUP(D9,abilities!A:D,4),"なし"))</f>
        <v>自身の攻撃対象が種族ゴッドの場合全ての攻撃の威力をUP</v>
      </c>
      <c r="G9" s="174" t="s">
        <v>275</v>
      </c>
      <c r="H9" s="197" t="s">
        <v>360</v>
      </c>
    </row>
    <row r="10" spans="1:8" s="4" customFormat="1" ht="21" customHeight="1" x14ac:dyDescent="0.15">
      <c r="A10" s="169">
        <v>1701</v>
      </c>
      <c r="B10" s="172" t="str">
        <f>VLOOKUP(A10,[1]characters!$A:$C,3)</f>
        <v>蒼嵐の婚戦 フォルトゥナ</v>
      </c>
      <c r="C10" s="196">
        <v>1</v>
      </c>
      <c r="D10" s="196">
        <v>100</v>
      </c>
      <c r="E10" s="173" t="str">
        <f>IF(ISERROR(VLOOKUP(D10,[4]abilities!A:D,3,FALSE))=FALSE,VLOOKUP(D10,[4]abilities!A:D,3),IF(ISERROR(VLOOKUP(D10,abilities!A:D,3,FALSE))=FALSE,VLOOKUP(D10,abilities!A:D,3),"なし"))</f>
        <v>プロテクトブレイク</v>
      </c>
      <c r="F10" s="173" t="str">
        <f>IF(ISERROR(VLOOKUP(D10,[4]abilities!A:D,4,FALSE))=FALSE,VLOOKUP(D10,[4]abilities!A:D,4),IF(ISERROR(VLOOKUP(D10,abilities!A:D,4,FALSE))=FALSE,VLOOKUP(D10,abilities!A:D,4),"なし"))</f>
        <v>自身が先頭の時、プロテクトを無視してパネル破壊できる</v>
      </c>
      <c r="G10" s="174" t="s">
        <v>275</v>
      </c>
      <c r="H10" s="197" t="s">
        <v>359</v>
      </c>
    </row>
    <row r="11" spans="1:8" s="4" customFormat="1" ht="21" customHeight="1" x14ac:dyDescent="0.15">
      <c r="A11" s="169">
        <v>1701</v>
      </c>
      <c r="B11" s="172" t="str">
        <f>VLOOKUP(A11,[1]characters!$A:$C,3)</f>
        <v>蒼嵐の婚戦 フォルトゥナ</v>
      </c>
      <c r="C11" s="196">
        <v>2</v>
      </c>
      <c r="D11" s="196">
        <v>9012</v>
      </c>
      <c r="E11" s="173" t="str">
        <f>IF(ISERROR(VLOOKUP(D11,[4]abilities!A:D,3,FALSE))=FALSE,VLOOKUP(D11,[4]abilities!A:D,3),IF(ISERROR(VLOOKUP(D11,abilities!A:D,3,FALSE))=FALSE,VLOOKUP(D11,abilities!A:D,3),"なし"))</f>
        <v>ウエディングクエスト ダメージ大UP</v>
      </c>
      <c r="F11" s="173" t="str">
        <f>IF(ISERROR(VLOOKUP(D11,[4]abilities!A:D,4,FALSE))=FALSE,VLOOKUP(D11,[4]abilities!A:D,4),IF(ISERROR(VLOOKUP(D11,abilities!A:D,4,FALSE))=FALSE,VLOOKUP(D11,abilities!A:D,4),"なし"))</f>
        <v>ウエディングクエスト内で自身の全ての攻撃の威力を大UP</v>
      </c>
      <c r="G11" s="174" t="s">
        <v>275</v>
      </c>
      <c r="H11" s="197" t="s">
        <v>359</v>
      </c>
    </row>
    <row r="12" spans="1:8" s="4" customFormat="1" ht="21" customHeight="1" x14ac:dyDescent="0.15">
      <c r="A12" s="169">
        <v>1702</v>
      </c>
      <c r="B12" s="172" t="str">
        <f>VLOOKUP(A12,[1]characters!$A:$C,3)</f>
        <v>求愛の夢想剣 フォルトゥナ</v>
      </c>
      <c r="C12" s="196">
        <v>1</v>
      </c>
      <c r="D12" s="196">
        <v>100</v>
      </c>
      <c r="E12" s="173" t="str">
        <f>IF(ISERROR(VLOOKUP(D12,[4]abilities!A:D,3,FALSE))=FALSE,VLOOKUP(D12,[4]abilities!A:D,3),IF(ISERROR(VLOOKUP(D12,abilities!A:D,3,FALSE))=FALSE,VLOOKUP(D12,abilities!A:D,3),"なし"))</f>
        <v>プロテクトブレイク</v>
      </c>
      <c r="F12" s="173" t="str">
        <f>IF(ISERROR(VLOOKUP(D12,[4]abilities!A:D,4,FALSE))=FALSE,VLOOKUP(D12,[4]abilities!A:D,4),IF(ISERROR(VLOOKUP(D12,abilities!A:D,4,FALSE))=FALSE,VLOOKUP(D12,abilities!A:D,4),"なし"))</f>
        <v>自身が先頭の時、プロテクトを無視してパネル破壊できる</v>
      </c>
      <c r="G12" s="174" t="s">
        <v>275</v>
      </c>
      <c r="H12" s="197" t="s">
        <v>359</v>
      </c>
    </row>
    <row r="13" spans="1:8" s="4" customFormat="1" ht="21" customHeight="1" x14ac:dyDescent="0.15">
      <c r="A13" s="169">
        <v>1702</v>
      </c>
      <c r="B13" s="172" t="str">
        <f>VLOOKUP(A13,[1]characters!$A:$C,3)</f>
        <v>求愛の夢想剣 フォルトゥナ</v>
      </c>
      <c r="C13" s="196">
        <v>2</v>
      </c>
      <c r="D13" s="196">
        <v>9012</v>
      </c>
      <c r="E13" s="173" t="str">
        <f>IF(ISERROR(VLOOKUP(D13,[4]abilities!A:D,3,FALSE))=FALSE,VLOOKUP(D13,[4]abilities!A:D,3),IF(ISERROR(VLOOKUP(D13,abilities!A:D,3,FALSE))=FALSE,VLOOKUP(D13,abilities!A:D,3),"なし"))</f>
        <v>ウエディングクエスト ダメージ大UP</v>
      </c>
      <c r="F13" s="173" t="str">
        <f>IF(ISERROR(VLOOKUP(D13,[4]abilities!A:D,4,FALSE))=FALSE,VLOOKUP(D13,[4]abilities!A:D,4),IF(ISERROR(VLOOKUP(D13,abilities!A:D,4,FALSE))=FALSE,VLOOKUP(D13,abilities!A:D,4),"なし"))</f>
        <v>ウエディングクエスト内で自身の全ての攻撃の威力を大UP</v>
      </c>
      <c r="G13" s="174" t="s">
        <v>275</v>
      </c>
      <c r="H13" s="197" t="s">
        <v>359</v>
      </c>
    </row>
    <row r="14" spans="1:8" s="4" customFormat="1" ht="21" customHeight="1" x14ac:dyDescent="0.15">
      <c r="A14" s="169">
        <v>1703</v>
      </c>
      <c r="B14" s="172" t="str">
        <f>VLOOKUP(A14,[1]characters!$A:$C,3)</f>
        <v>可恋なる花乙女 リリィ</v>
      </c>
      <c r="C14" s="196">
        <v>1</v>
      </c>
      <c r="D14" s="196">
        <v>109</v>
      </c>
      <c r="E14" s="173" t="str">
        <f>IF(ISERROR(VLOOKUP(D14,[4]abilities!A:D,3,FALSE))=FALSE,VLOOKUP(D14,[4]abilities!A:D,3),IF(ISERROR(VLOOKUP(D14,abilities!A:D,3,FALSE))=FALSE,VLOOKUP(D14,abilities!A:D,3),"なし"))</f>
        <v>ダメージパネルブレイク</v>
      </c>
      <c r="F14" s="173" t="str">
        <f>IF(ISERROR(VLOOKUP(D14,[4]abilities!A:D,4,FALSE))=FALSE,VLOOKUP(D14,[4]abilities!A:D,4),IF(ISERROR(VLOOKUP(D14,abilities!A:D,4,FALSE))=FALSE,VLOOKUP(D14,abilities!A:D,4),"なし"))</f>
        <v>自身が先頭の時、ダメージを受けずにダメージパネルを破壊できる</v>
      </c>
      <c r="G14" s="174" t="s">
        <v>275</v>
      </c>
      <c r="H14" s="197" t="s">
        <v>359</v>
      </c>
    </row>
    <row r="15" spans="1:8" s="4" customFormat="1" ht="21" customHeight="1" x14ac:dyDescent="0.15">
      <c r="A15" s="169">
        <v>1703</v>
      </c>
      <c r="B15" s="172" t="str">
        <f>VLOOKUP(A15,[1]characters!$A:$C,3)</f>
        <v>可恋なる花乙女 リリィ</v>
      </c>
      <c r="C15" s="196">
        <v>2</v>
      </c>
      <c r="D15" s="196">
        <v>9012</v>
      </c>
      <c r="E15" s="173" t="str">
        <f>IF(ISERROR(VLOOKUP(D15,[4]abilities!A:D,3,FALSE))=FALSE,VLOOKUP(D15,[4]abilities!A:D,3),IF(ISERROR(VLOOKUP(D15,abilities!A:D,3,FALSE))=FALSE,VLOOKUP(D15,abilities!A:D,3),"なし"))</f>
        <v>ウエディングクエスト ダメージ大UP</v>
      </c>
      <c r="F15" s="173" t="str">
        <f>IF(ISERROR(VLOOKUP(D15,[4]abilities!A:D,4,FALSE))=FALSE,VLOOKUP(D15,[4]abilities!A:D,4),IF(ISERROR(VLOOKUP(D15,abilities!A:D,4,FALSE))=FALSE,VLOOKUP(D15,abilities!A:D,4),"なし"))</f>
        <v>ウエディングクエスト内で自身の全ての攻撃の威力を大UP</v>
      </c>
      <c r="G15" s="174" t="s">
        <v>275</v>
      </c>
      <c r="H15" s="197" t="s">
        <v>359</v>
      </c>
    </row>
    <row r="16" spans="1:8" s="4" customFormat="1" ht="21" customHeight="1" x14ac:dyDescent="0.15">
      <c r="A16" s="169">
        <v>1704</v>
      </c>
      <c r="B16" s="172" t="str">
        <f>VLOOKUP(A16,[1]characters!$A:$C,3)</f>
        <v>恋焦がす夢乙女 リリィ</v>
      </c>
      <c r="C16" s="196">
        <v>1</v>
      </c>
      <c r="D16" s="196">
        <v>109</v>
      </c>
      <c r="E16" s="173" t="str">
        <f>IF(ISERROR(VLOOKUP(D16,[4]abilities!A:D,3,FALSE))=FALSE,VLOOKUP(D16,[4]abilities!A:D,3),IF(ISERROR(VLOOKUP(D16,abilities!A:D,3,FALSE))=FALSE,VLOOKUP(D16,abilities!A:D,3),"なし"))</f>
        <v>ダメージパネルブレイク</v>
      </c>
      <c r="F16" s="173" t="str">
        <f>IF(ISERROR(VLOOKUP(D16,[4]abilities!A:D,4,FALSE))=FALSE,VLOOKUP(D16,[4]abilities!A:D,4),IF(ISERROR(VLOOKUP(D16,abilities!A:D,4,FALSE))=FALSE,VLOOKUP(D16,abilities!A:D,4),"なし"))</f>
        <v>自身が先頭の時、ダメージを受けずにダメージパネルを破壊できる</v>
      </c>
      <c r="G16" s="174" t="s">
        <v>275</v>
      </c>
      <c r="H16" s="197" t="s">
        <v>359</v>
      </c>
    </row>
    <row r="17" spans="1:8" s="4" customFormat="1" ht="21" customHeight="1" x14ac:dyDescent="0.15">
      <c r="A17" s="169">
        <v>1704</v>
      </c>
      <c r="B17" s="172" t="str">
        <f>VLOOKUP(A17,[1]characters!$A:$C,3)</f>
        <v>恋焦がす夢乙女 リリィ</v>
      </c>
      <c r="C17" s="196">
        <v>2</v>
      </c>
      <c r="D17" s="196">
        <v>9012</v>
      </c>
      <c r="E17" s="173" t="str">
        <f>IF(ISERROR(VLOOKUP(D17,[4]abilities!A:D,3,FALSE))=FALSE,VLOOKUP(D17,[4]abilities!A:D,3),IF(ISERROR(VLOOKUP(D17,abilities!A:D,3,FALSE))=FALSE,VLOOKUP(D17,abilities!A:D,3),"なし"))</f>
        <v>ウエディングクエスト ダメージ大UP</v>
      </c>
      <c r="F17" s="173" t="str">
        <f>IF(ISERROR(VLOOKUP(D17,[4]abilities!A:D,4,FALSE))=FALSE,VLOOKUP(D17,[4]abilities!A:D,4),IF(ISERROR(VLOOKUP(D17,abilities!A:D,4,FALSE))=FALSE,VLOOKUP(D17,abilities!A:D,4),"なし"))</f>
        <v>ウエディングクエスト内で自身の全ての攻撃の威力を大UP</v>
      </c>
      <c r="G17" s="174" t="s">
        <v>275</v>
      </c>
      <c r="H17" s="197" t="s">
        <v>359</v>
      </c>
    </row>
    <row r="18" spans="1:8" s="4" customFormat="1" ht="21" customHeight="1" x14ac:dyDescent="0.15">
      <c r="A18" s="169">
        <v>1705</v>
      </c>
      <c r="B18" s="172" t="str">
        <f>VLOOKUP(A18,[1]characters!$A:$C,3)</f>
        <v>純白の新婦軍 白雪姫</v>
      </c>
      <c r="C18" s="196">
        <v>1</v>
      </c>
      <c r="D18" s="196">
        <v>1604</v>
      </c>
      <c r="E18" s="173" t="str">
        <f>IF(ISERROR(VLOOKUP(D18,[4]abilities!A:D,3,FALSE))=FALSE,VLOOKUP(D18,[4]abilities!A:D,3),IF(ISERROR(VLOOKUP(D18,abilities!A:D,3,FALSE))=FALSE,VLOOKUP(D18,abilities!A:D,3),"なし"))</f>
        <v>2種族 6ターン毎、タップ回数UP</v>
      </c>
      <c r="F18" s="173" t="str">
        <f>IF(ISERROR(VLOOKUP(D18,[4]abilities!A:D,4,FALSE))=FALSE,VLOOKUP(D18,[4]abilities!A:D,4),IF(ISERROR(VLOOKUP(D18,abilities!A:D,4,FALSE))=FALSE,VLOOKUP(D18,abilities!A:D,4),"なし"))</f>
        <v>最初の1ターン目と、その後6ターン毎にヒューマン・ファンタジーユニットのタップ回数1増加</v>
      </c>
      <c r="G18" s="174" t="s">
        <v>275</v>
      </c>
      <c r="H18" s="197" t="s">
        <v>359</v>
      </c>
    </row>
    <row r="19" spans="1:8" s="4" customFormat="1" ht="21" customHeight="1" x14ac:dyDescent="0.15">
      <c r="A19" s="169">
        <v>1705</v>
      </c>
      <c r="B19" s="172" t="str">
        <f>VLOOKUP(A19,[1]characters!$A:$C,3)</f>
        <v>純白の新婦軍 白雪姫</v>
      </c>
      <c r="C19" s="196">
        <v>2</v>
      </c>
      <c r="D19" s="196">
        <v>9010</v>
      </c>
      <c r="E19" s="173" t="str">
        <f>IF(ISERROR(VLOOKUP(D19,[4]abilities!A:D,3,FALSE))=FALSE,VLOOKUP(D19,[4]abilities!A:D,3),IF(ISERROR(VLOOKUP(D19,abilities!A:D,3,FALSE))=FALSE,VLOOKUP(D19,abilities!A:D,3),"なし"))</f>
        <v>ウエディングクエスト ダメージUP</v>
      </c>
      <c r="F19" s="173" t="str">
        <f>IF(ISERROR(VLOOKUP(D19,[4]abilities!A:D,4,FALSE))=FALSE,VLOOKUP(D19,[4]abilities!A:D,4),IF(ISERROR(VLOOKUP(D19,abilities!A:D,4,FALSE))=FALSE,VLOOKUP(D19,abilities!A:D,4),"なし"))</f>
        <v>ウエディングクエスト内で自身の全ての攻撃の威力をUP</v>
      </c>
      <c r="G19" s="174" t="s">
        <v>275</v>
      </c>
      <c r="H19" s="197" t="s">
        <v>359</v>
      </c>
    </row>
    <row r="20" spans="1:8" s="4" customFormat="1" ht="21" customHeight="1" x14ac:dyDescent="0.15">
      <c r="A20" s="169">
        <v>1706</v>
      </c>
      <c r="B20" s="172" t="str">
        <f>VLOOKUP(A20,[1]characters!$A:$C,3)</f>
        <v>幸福なる大祝砲 白雪姫</v>
      </c>
      <c r="C20" s="196">
        <v>1</v>
      </c>
      <c r="D20" s="196">
        <v>1604</v>
      </c>
      <c r="E20" s="173" t="str">
        <f>IF(ISERROR(VLOOKUP(D20,[4]abilities!A:D,3,FALSE))=FALSE,VLOOKUP(D20,[4]abilities!A:D,3),IF(ISERROR(VLOOKUP(D20,abilities!A:D,3,FALSE))=FALSE,VLOOKUP(D20,abilities!A:D,3),"なし"))</f>
        <v>2種族 6ターン毎、タップ回数UP</v>
      </c>
      <c r="F20" s="173" t="str">
        <f>IF(ISERROR(VLOOKUP(D20,[4]abilities!A:D,4,FALSE))=FALSE,VLOOKUP(D20,[4]abilities!A:D,4),IF(ISERROR(VLOOKUP(D20,abilities!A:D,4,FALSE))=FALSE,VLOOKUP(D20,abilities!A:D,4),"なし"))</f>
        <v>最初の1ターン目と、その後6ターン毎にヒューマン・ファンタジーユニットのタップ回数1増加</v>
      </c>
      <c r="G20" s="174" t="s">
        <v>275</v>
      </c>
      <c r="H20" s="197" t="s">
        <v>359</v>
      </c>
    </row>
    <row r="21" spans="1:8" s="4" customFormat="1" ht="21" customHeight="1" x14ac:dyDescent="0.15">
      <c r="A21" s="169">
        <v>1706</v>
      </c>
      <c r="B21" s="172" t="str">
        <f>VLOOKUP(A21,[1]characters!$A:$C,3)</f>
        <v>幸福なる大祝砲 白雪姫</v>
      </c>
      <c r="C21" s="196">
        <v>2</v>
      </c>
      <c r="D21" s="196">
        <v>9010</v>
      </c>
      <c r="E21" s="173" t="str">
        <f>IF(ISERROR(VLOOKUP(D21,[4]abilities!A:D,3,FALSE))=FALSE,VLOOKUP(D21,[4]abilities!A:D,3),IF(ISERROR(VLOOKUP(D21,abilities!A:D,3,FALSE))=FALSE,VLOOKUP(D21,abilities!A:D,3),"なし"))</f>
        <v>ウエディングクエスト ダメージUP</v>
      </c>
      <c r="F21" s="173" t="str">
        <f>IF(ISERROR(VLOOKUP(D21,[4]abilities!A:D,4,FALSE))=FALSE,VLOOKUP(D21,[4]abilities!A:D,4),IF(ISERROR(VLOOKUP(D21,abilities!A:D,4,FALSE))=FALSE,VLOOKUP(D21,abilities!A:D,4),"なし"))</f>
        <v>ウエディングクエスト内で自身の全ての攻撃の威力をUP</v>
      </c>
      <c r="G21" s="174" t="s">
        <v>275</v>
      </c>
      <c r="H21" s="197" t="s">
        <v>359</v>
      </c>
    </row>
    <row r="22" spans="1:8" s="4" customFormat="1" ht="21" customHeight="1" x14ac:dyDescent="0.15">
      <c r="A22" s="169">
        <v>1707</v>
      </c>
      <c r="B22" s="172" t="str">
        <f>VLOOKUP(A22,[1]characters!$A:$C,3)</f>
        <v>親愛なる猫嫁神 バステト</v>
      </c>
      <c r="C22" s="196">
        <v>1</v>
      </c>
      <c r="D22" s="196">
        <v>1605</v>
      </c>
      <c r="E22" s="173" t="str">
        <f>IF(ISERROR(VLOOKUP(D22,[4]abilities!A:D,3,FALSE))=FALSE,VLOOKUP(D22,[4]abilities!A:D,3),IF(ISERROR(VLOOKUP(D22,abilities!A:D,3,FALSE))=FALSE,VLOOKUP(D22,abilities!A:D,3),"なし"))</f>
        <v>タイプ 攻撃力UP</v>
      </c>
      <c r="F22" s="173" t="str">
        <f>IF(ISERROR(VLOOKUP(D22,[4]abilities!A:D,4,FALSE))=FALSE,VLOOKUP(D22,[4]abilities!A:D,4),IF(ISERROR(VLOOKUP(D22,abilities!A:D,4,FALSE))=FALSE,VLOOKUP(D22,abilities!A:D,4),"なし"))</f>
        <v>パーティーに体力かテクニカルタイプいる場合、全ユニット攻撃力500UP</v>
      </c>
      <c r="G22" s="174" t="s">
        <v>275</v>
      </c>
      <c r="H22" s="197" t="s">
        <v>359</v>
      </c>
    </row>
    <row r="23" spans="1:8" s="4" customFormat="1" ht="21" customHeight="1" x14ac:dyDescent="0.15">
      <c r="A23" s="169">
        <v>1707</v>
      </c>
      <c r="B23" s="172" t="str">
        <f>VLOOKUP(A23,[1]characters!$A:$C,3)</f>
        <v>親愛なる猫嫁神 バステト</v>
      </c>
      <c r="C23" s="196">
        <v>2</v>
      </c>
      <c r="D23" s="196">
        <v>9010</v>
      </c>
      <c r="E23" s="173" t="str">
        <f>IF(ISERROR(VLOOKUP(D23,[4]abilities!A:D,3,FALSE))=FALSE,VLOOKUP(D23,[4]abilities!A:D,3),IF(ISERROR(VLOOKUP(D23,abilities!A:D,3,FALSE))=FALSE,VLOOKUP(D23,abilities!A:D,3),"なし"))</f>
        <v>ウエディングクエスト ダメージUP</v>
      </c>
      <c r="F23" s="173" t="str">
        <f>IF(ISERROR(VLOOKUP(D23,[4]abilities!A:D,4,FALSE))=FALSE,VLOOKUP(D23,[4]abilities!A:D,4),IF(ISERROR(VLOOKUP(D23,abilities!A:D,4,FALSE))=FALSE,VLOOKUP(D23,abilities!A:D,4),"なし"))</f>
        <v>ウエディングクエスト内で自身の全ての攻撃の威力をUP</v>
      </c>
      <c r="G23" s="174" t="s">
        <v>275</v>
      </c>
      <c r="H23" s="197" t="s">
        <v>359</v>
      </c>
    </row>
    <row r="24" spans="1:8" s="4" customFormat="1" ht="21" customHeight="1" x14ac:dyDescent="0.15">
      <c r="A24" s="169">
        <v>1708</v>
      </c>
      <c r="B24" s="172" t="str">
        <f>VLOOKUP(A24,[1]characters!$A:$C,3)</f>
        <v>御聖婚の幸猫神 バステト</v>
      </c>
      <c r="C24" s="196">
        <v>1</v>
      </c>
      <c r="D24" s="196">
        <v>1605</v>
      </c>
      <c r="E24" s="173" t="str">
        <f>IF(ISERROR(VLOOKUP(D24,[4]abilities!A:D,3,FALSE))=FALSE,VLOOKUP(D24,[4]abilities!A:D,3),IF(ISERROR(VLOOKUP(D24,abilities!A:D,3,FALSE))=FALSE,VLOOKUP(D24,abilities!A:D,3),"なし"))</f>
        <v>タイプ 攻撃力UP</v>
      </c>
      <c r="F24" s="173" t="str">
        <f>IF(ISERROR(VLOOKUP(D24,[4]abilities!A:D,4,FALSE))=FALSE,VLOOKUP(D24,[4]abilities!A:D,4),IF(ISERROR(VLOOKUP(D24,abilities!A:D,4,FALSE))=FALSE,VLOOKUP(D24,abilities!A:D,4),"なし"))</f>
        <v>パーティーに体力かテクニカルタイプいる場合、全ユニット攻撃力500UP</v>
      </c>
      <c r="G24" s="174" t="s">
        <v>275</v>
      </c>
      <c r="H24" s="197" t="s">
        <v>359</v>
      </c>
    </row>
    <row r="25" spans="1:8" s="4" customFormat="1" ht="21" customHeight="1" x14ac:dyDescent="0.15">
      <c r="A25" s="169">
        <v>1708</v>
      </c>
      <c r="B25" s="172" t="str">
        <f>VLOOKUP(A25,[1]characters!$A:$C,3)</f>
        <v>御聖婚の幸猫神 バステト</v>
      </c>
      <c r="C25" s="196">
        <v>2</v>
      </c>
      <c r="D25" s="196">
        <v>9010</v>
      </c>
      <c r="E25" s="173" t="str">
        <f>IF(ISERROR(VLOOKUP(D25,[4]abilities!A:D,3,FALSE))=FALSE,VLOOKUP(D25,[4]abilities!A:D,3),IF(ISERROR(VLOOKUP(D25,abilities!A:D,3,FALSE))=FALSE,VLOOKUP(D25,abilities!A:D,3),"なし"))</f>
        <v>ウエディングクエスト ダメージUP</v>
      </c>
      <c r="F25" s="173" t="str">
        <f>IF(ISERROR(VLOOKUP(D25,[4]abilities!A:D,4,FALSE))=FALSE,VLOOKUP(D25,[4]abilities!A:D,4),IF(ISERROR(VLOOKUP(D25,abilities!A:D,4,FALSE))=FALSE,VLOOKUP(D25,abilities!A:D,4),"なし"))</f>
        <v>ウエディングクエスト内で自身の全ての攻撃の威力をUP</v>
      </c>
      <c r="G25" s="174" t="s">
        <v>275</v>
      </c>
      <c r="H25" s="197" t="s">
        <v>359</v>
      </c>
    </row>
    <row r="26" spans="1:8" s="4" customFormat="1" ht="21" customHeight="1" x14ac:dyDescent="0.15">
      <c r="A26" s="169">
        <v>1709</v>
      </c>
      <c r="B26" s="172" t="str">
        <f>VLOOKUP(A26,[1]characters!$A:$C,3)</f>
        <v>情花降る神婦 イズン</v>
      </c>
      <c r="C26" s="196">
        <v>1</v>
      </c>
      <c r="D26" s="196">
        <v>203</v>
      </c>
      <c r="E26" s="173" t="str">
        <f>IF(ISERROR(VLOOKUP(D26,[4]abilities!A:D,3,FALSE))=FALSE,VLOOKUP(D26,[4]abilities!A:D,3),IF(ISERROR(VLOOKUP(D26,abilities!A:D,3,FALSE))=FALSE,VLOOKUP(D26,abilities!A:D,3),"なし"))</f>
        <v>爆風軽減無効</v>
      </c>
      <c r="F26" s="173" t="str">
        <f>IF(ISERROR(VLOOKUP(D26,[4]abilities!A:D,4,FALSE))=FALSE,VLOOKUP(D26,[4]abilities!A:D,4),IF(ISERROR(VLOOKUP(D26,abilities!A:D,4,FALSE))=FALSE,VLOOKUP(D26,abilities!A:D,4),"なし"))</f>
        <v>自身が先頭の時、爆風軽減を無効化する</v>
      </c>
      <c r="G26" s="174" t="s">
        <v>275</v>
      </c>
      <c r="H26" s="197" t="s">
        <v>359</v>
      </c>
    </row>
    <row r="27" spans="1:8" s="4" customFormat="1" ht="21" customHeight="1" x14ac:dyDescent="0.15">
      <c r="A27" s="169">
        <v>1709</v>
      </c>
      <c r="B27" s="172" t="str">
        <f>VLOOKUP(A27,[1]characters!$A:$C,3)</f>
        <v>情花降る神婦 イズン</v>
      </c>
      <c r="C27" s="196">
        <v>2</v>
      </c>
      <c r="D27" s="196">
        <v>9010</v>
      </c>
      <c r="E27" s="173" t="str">
        <f>IF(ISERROR(VLOOKUP(D27,[4]abilities!A:D,3,FALSE))=FALSE,VLOOKUP(D27,[4]abilities!A:D,3),IF(ISERROR(VLOOKUP(D27,abilities!A:D,3,FALSE))=FALSE,VLOOKUP(D27,abilities!A:D,3),"なし"))</f>
        <v>ウエディングクエスト ダメージUP</v>
      </c>
      <c r="F27" s="173" t="str">
        <f>IF(ISERROR(VLOOKUP(D27,[4]abilities!A:D,4,FALSE))=FALSE,VLOOKUP(D27,[4]abilities!A:D,4),IF(ISERROR(VLOOKUP(D27,abilities!A:D,4,FALSE))=FALSE,VLOOKUP(D27,abilities!A:D,4),"なし"))</f>
        <v>ウエディングクエスト内で自身の全ての攻撃の威力をUP</v>
      </c>
      <c r="G27" s="174" t="s">
        <v>275</v>
      </c>
      <c r="H27" s="197" t="s">
        <v>359</v>
      </c>
    </row>
    <row r="28" spans="1:8" s="4" customFormat="1" ht="21" customHeight="1" x14ac:dyDescent="0.15">
      <c r="A28" s="169">
        <v>1710</v>
      </c>
      <c r="B28" s="172" t="str">
        <f>VLOOKUP(A28,[1]characters!$A:$C,3)</f>
        <v>慎愛なる女神の契 イズン</v>
      </c>
      <c r="C28" s="196">
        <v>1</v>
      </c>
      <c r="D28" s="196">
        <v>203</v>
      </c>
      <c r="E28" s="173" t="str">
        <f>IF(ISERROR(VLOOKUP(D28,[4]abilities!A:D,3,FALSE))=FALSE,VLOOKUP(D28,[4]abilities!A:D,3),IF(ISERROR(VLOOKUP(D28,abilities!A:D,3,FALSE))=FALSE,VLOOKUP(D28,abilities!A:D,3),"なし"))</f>
        <v>爆風軽減無効</v>
      </c>
      <c r="F28" s="173" t="str">
        <f>IF(ISERROR(VLOOKUP(D28,[4]abilities!A:D,4,FALSE))=FALSE,VLOOKUP(D28,[4]abilities!A:D,4),IF(ISERROR(VLOOKUP(D28,abilities!A:D,4,FALSE))=FALSE,VLOOKUP(D28,abilities!A:D,4),"なし"))</f>
        <v>自身が先頭の時、爆風軽減を無効化する</v>
      </c>
      <c r="G28" s="174" t="s">
        <v>275</v>
      </c>
      <c r="H28" s="197" t="s">
        <v>359</v>
      </c>
    </row>
    <row r="29" spans="1:8" s="4" customFormat="1" ht="21" customHeight="1" x14ac:dyDescent="0.15">
      <c r="A29" s="169">
        <v>1710</v>
      </c>
      <c r="B29" s="172" t="str">
        <f>VLOOKUP(A29,[1]characters!$A:$C,3)</f>
        <v>慎愛なる女神の契 イズン</v>
      </c>
      <c r="C29" s="196">
        <v>2</v>
      </c>
      <c r="D29" s="196">
        <v>9010</v>
      </c>
      <c r="E29" s="173" t="str">
        <f>IF(ISERROR(VLOOKUP(D29,[4]abilities!A:D,3,FALSE))=FALSE,VLOOKUP(D29,[4]abilities!A:D,3),IF(ISERROR(VLOOKUP(D29,abilities!A:D,3,FALSE))=FALSE,VLOOKUP(D29,abilities!A:D,3),"なし"))</f>
        <v>ウエディングクエスト ダメージUP</v>
      </c>
      <c r="F29" s="173" t="str">
        <f>IF(ISERROR(VLOOKUP(D29,[4]abilities!A:D,4,FALSE))=FALSE,VLOOKUP(D29,[4]abilities!A:D,4),IF(ISERROR(VLOOKUP(D29,abilities!A:D,4,FALSE))=FALSE,VLOOKUP(D29,abilities!A:D,4),"なし"))</f>
        <v>ウエディングクエスト内で自身の全ての攻撃の威力をUP</v>
      </c>
      <c r="G29" s="174" t="s">
        <v>275</v>
      </c>
      <c r="H29" s="197" t="s">
        <v>359</v>
      </c>
    </row>
    <row r="30" spans="1:8" s="4" customFormat="1" ht="21" customHeight="1" x14ac:dyDescent="0.15">
      <c r="A30" s="169">
        <v>1711</v>
      </c>
      <c r="B30" s="172" t="str">
        <f>VLOOKUP(A30,[1]characters!$A:$C,3)</f>
        <v>誓愛求婚の新郎 諸葛亮</v>
      </c>
      <c r="C30" s="196">
        <v>1</v>
      </c>
      <c r="D30" s="196">
        <v>109</v>
      </c>
      <c r="E30" s="173" t="str">
        <f>IF(ISERROR(VLOOKUP(D30,[4]abilities!A:D,3,FALSE))=FALSE,VLOOKUP(D30,[4]abilities!A:D,3),IF(ISERROR(VLOOKUP(D30,abilities!A:D,3,FALSE))=FALSE,VLOOKUP(D30,abilities!A:D,3),"なし"))</f>
        <v>ダメージパネルブレイク</v>
      </c>
      <c r="F30" s="173" t="str">
        <f>IF(ISERROR(VLOOKUP(D30,[4]abilities!A:D,4,FALSE))=FALSE,VLOOKUP(D30,[4]abilities!A:D,4),IF(ISERROR(VLOOKUP(D30,abilities!A:D,4,FALSE))=FALSE,VLOOKUP(D30,abilities!A:D,4),"なし"))</f>
        <v>自身が先頭の時、ダメージを受けずにダメージパネルを破壊できる</v>
      </c>
      <c r="G30" s="174" t="s">
        <v>275</v>
      </c>
      <c r="H30" s="197" t="s">
        <v>359</v>
      </c>
    </row>
    <row r="31" spans="1:8" s="4" customFormat="1" ht="21" customHeight="1" x14ac:dyDescent="0.15">
      <c r="A31" s="169">
        <v>1711</v>
      </c>
      <c r="B31" s="172" t="str">
        <f>VLOOKUP(A31,[1]characters!$A:$C,3)</f>
        <v>誓愛求婚の新郎 諸葛亮</v>
      </c>
      <c r="C31" s="196">
        <v>2</v>
      </c>
      <c r="D31" s="196">
        <v>9010</v>
      </c>
      <c r="E31" s="173" t="str">
        <f>IF(ISERROR(VLOOKUP(D31,[4]abilities!A:D,3,FALSE))=FALSE,VLOOKUP(D31,[4]abilities!A:D,3),IF(ISERROR(VLOOKUP(D31,abilities!A:D,3,FALSE))=FALSE,VLOOKUP(D31,abilities!A:D,3),"なし"))</f>
        <v>ウエディングクエスト ダメージUP</v>
      </c>
      <c r="F31" s="173" t="str">
        <f>IF(ISERROR(VLOOKUP(D31,[4]abilities!A:D,4,FALSE))=FALSE,VLOOKUP(D31,[4]abilities!A:D,4),IF(ISERROR(VLOOKUP(D31,abilities!A:D,4,FALSE))=FALSE,VLOOKUP(D31,abilities!A:D,4),"なし"))</f>
        <v>ウエディングクエスト内で自身の全ての攻撃の威力をUP</v>
      </c>
      <c r="G31" s="174" t="s">
        <v>275</v>
      </c>
      <c r="H31" s="197" t="s">
        <v>359</v>
      </c>
    </row>
    <row r="32" spans="1:8" s="4" customFormat="1" ht="21" customHeight="1" x14ac:dyDescent="0.15">
      <c r="A32" s="169">
        <v>1712</v>
      </c>
      <c r="B32" s="172" t="str">
        <f>VLOOKUP(A32,[1]characters!$A:$C,3)</f>
        <v>一蓮托生の双環 諸葛亮</v>
      </c>
      <c r="C32" s="196">
        <v>1</v>
      </c>
      <c r="D32" s="196">
        <v>109</v>
      </c>
      <c r="E32" s="173" t="str">
        <f>IF(ISERROR(VLOOKUP(D32,[4]abilities!A:D,3,FALSE))=FALSE,VLOOKUP(D32,[4]abilities!A:D,3),IF(ISERROR(VLOOKUP(D32,abilities!A:D,3,FALSE))=FALSE,VLOOKUP(D32,abilities!A:D,3),"なし"))</f>
        <v>ダメージパネルブレイク</v>
      </c>
      <c r="F32" s="173" t="str">
        <f>IF(ISERROR(VLOOKUP(D32,[4]abilities!A:D,4,FALSE))=FALSE,VLOOKUP(D32,[4]abilities!A:D,4),IF(ISERROR(VLOOKUP(D32,abilities!A:D,4,FALSE))=FALSE,VLOOKUP(D32,abilities!A:D,4),"なし"))</f>
        <v>自身が先頭の時、ダメージを受けずにダメージパネルを破壊できる</v>
      </c>
      <c r="G32" s="174" t="s">
        <v>275</v>
      </c>
      <c r="H32" s="197" t="s">
        <v>359</v>
      </c>
    </row>
    <row r="33" spans="1:8" s="4" customFormat="1" ht="21" customHeight="1" x14ac:dyDescent="0.15">
      <c r="A33" s="169">
        <v>1712</v>
      </c>
      <c r="B33" s="172" t="str">
        <f>VLOOKUP(A33,[1]characters!$A:$C,3)</f>
        <v>一蓮托生の双環 諸葛亮</v>
      </c>
      <c r="C33" s="196">
        <v>2</v>
      </c>
      <c r="D33" s="196">
        <v>9010</v>
      </c>
      <c r="E33" s="173" t="str">
        <f>IF(ISERROR(VLOOKUP(D33,[4]abilities!A:D,3,FALSE))=FALSE,VLOOKUP(D33,[4]abilities!A:D,3),IF(ISERROR(VLOOKUP(D33,abilities!A:D,3,FALSE))=FALSE,VLOOKUP(D33,abilities!A:D,3),"なし"))</f>
        <v>ウエディングクエスト ダメージUP</v>
      </c>
      <c r="F33" s="173" t="str">
        <f>IF(ISERROR(VLOOKUP(D33,[4]abilities!A:D,4,FALSE))=FALSE,VLOOKUP(D33,[4]abilities!A:D,4),IF(ISERROR(VLOOKUP(D33,abilities!A:D,4,FALSE))=FALSE,VLOOKUP(D33,abilities!A:D,4),"なし"))</f>
        <v>ウエディングクエスト内で自身の全ての攻撃の威力をUP</v>
      </c>
      <c r="G33" s="174" t="s">
        <v>275</v>
      </c>
      <c r="H33" s="197" t="s">
        <v>359</v>
      </c>
    </row>
    <row r="34" spans="1:8" s="4" customFormat="1" ht="21" customHeight="1" x14ac:dyDescent="0.15">
      <c r="A34" s="169">
        <v>1713</v>
      </c>
      <c r="B34" s="172" t="str">
        <f>VLOOKUP(A34,[1]characters!$A:$C,3)</f>
        <v>誓約の挙剣 ジークフリート</v>
      </c>
      <c r="C34" s="196">
        <v>1</v>
      </c>
      <c r="D34" s="196">
        <v>9010</v>
      </c>
      <c r="E34" s="173" t="str">
        <f>IF(ISERROR(VLOOKUP(D34,[4]abilities!A:D,3,FALSE))=FALSE,VLOOKUP(D34,[4]abilities!A:D,3),IF(ISERROR(VLOOKUP(D34,abilities!A:D,3,FALSE))=FALSE,VLOOKUP(D34,abilities!A:D,3),"なし"))</f>
        <v>ウエディングクエスト ダメージUP</v>
      </c>
      <c r="F34" s="173" t="str">
        <f>IF(ISERROR(VLOOKUP(D34,[4]abilities!A:D,4,FALSE))=FALSE,VLOOKUP(D34,[4]abilities!A:D,4),IF(ISERROR(VLOOKUP(D34,abilities!A:D,4,FALSE))=FALSE,VLOOKUP(D34,abilities!A:D,4),"なし"))</f>
        <v>ウエディングクエスト内で自身の全ての攻撃の威力をUP</v>
      </c>
      <c r="G34" s="174" t="s">
        <v>275</v>
      </c>
      <c r="H34" s="197" t="s">
        <v>359</v>
      </c>
    </row>
    <row r="35" spans="1:8" s="4" customFormat="1" ht="21" customHeight="1" x14ac:dyDescent="0.15">
      <c r="A35" s="169">
        <v>1714</v>
      </c>
      <c r="B35" s="172" t="str">
        <f>VLOOKUP(A35,[1]characters!$A:$C,3)</f>
        <v>仁愛の祝賀剣 ジークフリート</v>
      </c>
      <c r="C35" s="196">
        <v>1</v>
      </c>
      <c r="D35" s="196">
        <v>9010</v>
      </c>
      <c r="E35" s="173" t="str">
        <f>IF(ISERROR(VLOOKUP(D35,[4]abilities!A:D,3,FALSE))=FALSE,VLOOKUP(D35,[4]abilities!A:D,3),IF(ISERROR(VLOOKUP(D35,abilities!A:D,3,FALSE))=FALSE,VLOOKUP(D35,abilities!A:D,3),"なし"))</f>
        <v>ウエディングクエスト ダメージUP</v>
      </c>
      <c r="F35" s="173" t="str">
        <f>IF(ISERROR(VLOOKUP(D35,[4]abilities!A:D,4,FALSE))=FALSE,VLOOKUP(D35,[4]abilities!A:D,4),IF(ISERROR(VLOOKUP(D35,abilities!A:D,4,FALSE))=FALSE,VLOOKUP(D35,abilities!A:D,4),"なし"))</f>
        <v>ウエディングクエスト内で自身の全ての攻撃の威力をUP</v>
      </c>
      <c r="G35" s="174" t="s">
        <v>275</v>
      </c>
      <c r="H35" s="197" t="s">
        <v>359</v>
      </c>
    </row>
    <row r="36" spans="1:8" s="4" customFormat="1" ht="21" customHeight="1" x14ac:dyDescent="0.15">
      <c r="A36" s="169">
        <v>1715</v>
      </c>
      <c r="B36" s="172" t="str">
        <f>VLOOKUP(A36,[1]characters!$A:$C,3)</f>
        <v>森歓の祝宴 アマラ</v>
      </c>
      <c r="C36" s="196">
        <v>1</v>
      </c>
      <c r="D36" s="196">
        <v>9010</v>
      </c>
      <c r="E36" s="173" t="str">
        <f>IF(ISERROR(VLOOKUP(D36,[4]abilities!A:D,3,FALSE))=FALSE,VLOOKUP(D36,[4]abilities!A:D,3),IF(ISERROR(VLOOKUP(D36,abilities!A:D,3,FALSE))=FALSE,VLOOKUP(D36,abilities!A:D,3),"なし"))</f>
        <v>ウエディングクエスト ダメージUP</v>
      </c>
      <c r="F36" s="173" t="str">
        <f>IF(ISERROR(VLOOKUP(D36,[4]abilities!A:D,4,FALSE))=FALSE,VLOOKUP(D36,[4]abilities!A:D,4),IF(ISERROR(VLOOKUP(D36,abilities!A:D,4,FALSE))=FALSE,VLOOKUP(D36,abilities!A:D,4),"なし"))</f>
        <v>ウエディングクエスト内で自身の全ての攻撃の威力をUP</v>
      </c>
      <c r="G36" s="174" t="s">
        <v>275</v>
      </c>
      <c r="H36" s="197" t="s">
        <v>359</v>
      </c>
    </row>
    <row r="37" spans="1:8" s="4" customFormat="1" ht="21" customHeight="1" x14ac:dyDescent="0.15">
      <c r="A37" s="169">
        <v>1716</v>
      </c>
      <c r="B37" s="172" t="str">
        <f>VLOOKUP(A37,[1]characters!$A:$C,3)</f>
        <v>森婚の祝福祭 アマラ</v>
      </c>
      <c r="C37" s="196">
        <v>1</v>
      </c>
      <c r="D37" s="196">
        <v>9010</v>
      </c>
      <c r="E37" s="173" t="str">
        <f>IF(ISERROR(VLOOKUP(D37,[4]abilities!A:D,3,FALSE))=FALSE,VLOOKUP(D37,[4]abilities!A:D,3),IF(ISERROR(VLOOKUP(D37,abilities!A:D,3,FALSE))=FALSE,VLOOKUP(D37,abilities!A:D,3),"なし"))</f>
        <v>ウエディングクエスト ダメージUP</v>
      </c>
      <c r="F37" s="173" t="str">
        <f>IF(ISERROR(VLOOKUP(D37,[4]abilities!A:D,4,FALSE))=FALSE,VLOOKUP(D37,[4]abilities!A:D,4),IF(ISERROR(VLOOKUP(D37,abilities!A:D,4,FALSE))=FALSE,VLOOKUP(D37,abilities!A:D,4),"なし"))</f>
        <v>ウエディングクエスト内で自身の全ての攻撃の威力をUP</v>
      </c>
      <c r="G37" s="174" t="s">
        <v>275</v>
      </c>
      <c r="H37" s="197" t="s">
        <v>359</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320</v>
      </c>
      <c r="B1" t="s">
        <v>321</v>
      </c>
    </row>
    <row r="2" spans="1:2" x14ac:dyDescent="0.15">
      <c r="A2" t="s">
        <v>322</v>
      </c>
      <c r="B2">
        <v>1</v>
      </c>
    </row>
    <row r="3" spans="1:2" x14ac:dyDescent="0.15">
      <c r="A3" t="s">
        <v>323</v>
      </c>
      <c r="B3">
        <v>1</v>
      </c>
    </row>
    <row r="4" spans="1:2" x14ac:dyDescent="0.15">
      <c r="A4" t="s">
        <v>324</v>
      </c>
      <c r="B4">
        <v>1</v>
      </c>
    </row>
    <row r="5" spans="1:2" x14ac:dyDescent="0.15">
      <c r="A5" t="s">
        <v>325</v>
      </c>
      <c r="B5">
        <v>1</v>
      </c>
    </row>
    <row r="6" spans="1:2" x14ac:dyDescent="0.15">
      <c r="A6" t="s">
        <v>326</v>
      </c>
      <c r="B6">
        <v>1</v>
      </c>
    </row>
    <row r="7" spans="1:2" x14ac:dyDescent="0.15">
      <c r="A7" t="s">
        <v>327</v>
      </c>
      <c r="B7">
        <v>1</v>
      </c>
    </row>
    <row r="8" spans="1:2" x14ac:dyDescent="0.15">
      <c r="A8" t="s">
        <v>328</v>
      </c>
      <c r="B8">
        <v>1</v>
      </c>
    </row>
    <row r="9" spans="1:2" x14ac:dyDescent="0.15">
      <c r="A9" t="s">
        <v>329</v>
      </c>
      <c r="B9">
        <v>1</v>
      </c>
    </row>
    <row r="10" spans="1:2" x14ac:dyDescent="0.15">
      <c r="A10" t="s">
        <v>330</v>
      </c>
      <c r="B10">
        <v>1</v>
      </c>
    </row>
    <row r="11" spans="1:2" x14ac:dyDescent="0.15">
      <c r="A11" t="s">
        <v>331</v>
      </c>
      <c r="B11">
        <v>1</v>
      </c>
    </row>
    <row r="12" spans="1:2" x14ac:dyDescent="0.15">
      <c r="A12" t="s">
        <v>332</v>
      </c>
      <c r="B12">
        <v>1</v>
      </c>
    </row>
    <row r="13" spans="1:2" x14ac:dyDescent="0.15">
      <c r="A13" t="s">
        <v>333</v>
      </c>
      <c r="B13">
        <v>0</v>
      </c>
    </row>
    <row r="14" spans="1:2" x14ac:dyDescent="0.15">
      <c r="A14" t="s">
        <v>334</v>
      </c>
      <c r="B14">
        <v>500</v>
      </c>
    </row>
    <row r="15" spans="1:2" x14ac:dyDescent="0.15">
      <c r="A15" t="s">
        <v>335</v>
      </c>
      <c r="B15">
        <v>600</v>
      </c>
    </row>
    <row r="16" spans="1:2" x14ac:dyDescent="0.15">
      <c r="A16" t="s">
        <v>336</v>
      </c>
      <c r="B16">
        <v>700</v>
      </c>
    </row>
    <row r="17" spans="1:2" x14ac:dyDescent="0.15">
      <c r="A17" t="s">
        <v>337</v>
      </c>
      <c r="B17">
        <v>5500</v>
      </c>
    </row>
    <row r="18" spans="1:2" x14ac:dyDescent="0.15">
      <c r="A18" t="s">
        <v>338</v>
      </c>
      <c r="B18">
        <v>6000</v>
      </c>
    </row>
    <row r="19" spans="1:2" x14ac:dyDescent="0.15">
      <c r="A19" t="s">
        <v>339</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2017-06-09T05:53:00Z</dcterms:modified>
</cp:coreProperties>
</file>