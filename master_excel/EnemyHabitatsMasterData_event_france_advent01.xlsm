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55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1" l="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I28" i="21"/>
  <c r="B28" i="21"/>
  <c r="J28" i="21"/>
  <c r="I27" i="21"/>
  <c r="B27" i="21"/>
  <c r="J27" i="21"/>
  <c r="I26" i="21"/>
  <c r="B26" i="21"/>
  <c r="J26" i="21"/>
  <c r="I25" i="21"/>
  <c r="B25" i="21"/>
  <c r="J25" i="21"/>
  <c r="G28" i="21"/>
  <c r="F28" i="21"/>
  <c r="D28" i="21"/>
  <c r="C28" i="21"/>
  <c r="G27" i="21"/>
  <c r="F27" i="21"/>
  <c r="D27" i="21"/>
  <c r="C27" i="21"/>
  <c r="G26" i="21"/>
  <c r="F26" i="21"/>
  <c r="D26" i="21"/>
  <c r="C26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N2" i="22"/>
  <c r="G2" i="22"/>
  <c r="F2" i="22"/>
  <c r="D2" i="22"/>
  <c r="C2" i="22"/>
  <c r="A2" i="22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V6" i="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O37" i="9"/>
  <c r="N37" i="9"/>
  <c r="M37" i="9"/>
  <c r="L37" i="9"/>
  <c r="K37" i="9"/>
  <c r="J37" i="9"/>
  <c r="I37" i="9"/>
  <c r="H37" i="9"/>
  <c r="G37" i="9"/>
  <c r="E37" i="9"/>
  <c r="D37" i="9"/>
  <c r="A37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3" i="9"/>
  <c r="N23" i="9"/>
  <c r="M23" i="9"/>
  <c r="L23" i="9"/>
  <c r="K23" i="9"/>
  <c r="J23" i="9"/>
  <c r="I23" i="9"/>
  <c r="H23" i="9"/>
  <c r="G23" i="9"/>
  <c r="E23" i="9"/>
  <c r="D23" i="9"/>
  <c r="A23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50" i="11"/>
  <c r="J39" i="11"/>
  <c r="J31" i="11"/>
  <c r="J25" i="11"/>
  <c r="J17" i="1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27" i="10"/>
  <c r="T27" i="10"/>
  <c r="W27" i="10"/>
  <c r="V27" i="10"/>
  <c r="X27" i="10"/>
  <c r="U27" i="10"/>
  <c r="Y27" i="10"/>
  <c r="M40" i="10"/>
  <c r="N40" i="10"/>
  <c r="Q40" i="10"/>
  <c r="P40" i="10"/>
  <c r="R40" i="10"/>
  <c r="O40" i="10"/>
  <c r="S40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2" i="10"/>
  <c r="T22" i="10"/>
  <c r="W22" i="10"/>
  <c r="V22" i="10"/>
  <c r="X22" i="10"/>
  <c r="U22" i="10"/>
  <c r="Y22" i="10"/>
  <c r="M35" i="10"/>
  <c r="N35" i="10"/>
  <c r="Q35" i="10"/>
  <c r="P35" i="10"/>
  <c r="R35" i="10"/>
  <c r="O35" i="10"/>
  <c r="S35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5" i="10"/>
  <c r="T15" i="10"/>
  <c r="W15" i="10"/>
  <c r="V15" i="10"/>
  <c r="X15" i="10"/>
  <c r="U15" i="10"/>
  <c r="Y15" i="10"/>
  <c r="M28" i="10"/>
  <c r="N28" i="10"/>
  <c r="Q28" i="10"/>
  <c r="P28" i="10"/>
  <c r="R28" i="10"/>
  <c r="O28" i="10"/>
  <c r="S28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3" i="10"/>
  <c r="T3" i="10"/>
  <c r="W3" i="10"/>
  <c r="V3" i="10"/>
  <c r="X3" i="10"/>
  <c r="U3" i="10"/>
  <c r="Y3" i="10"/>
  <c r="M16" i="10"/>
  <c r="N16" i="10"/>
  <c r="Q16" i="10"/>
  <c r="P16" i="10"/>
  <c r="R16" i="10"/>
  <c r="O16" i="10"/>
  <c r="S16" i="10"/>
  <c r="N3" i="10"/>
  <c r="Q3" i="10"/>
  <c r="P3" i="10"/>
  <c r="R3" i="10"/>
  <c r="O3" i="10"/>
  <c r="S3" i="10"/>
  <c r="G3" i="10"/>
  <c r="J3" i="10"/>
  <c r="I3" i="10"/>
  <c r="K3" i="10"/>
  <c r="H3" i="10"/>
  <c r="L3" i="10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T35" i="10"/>
  <c r="W35" i="10"/>
  <c r="V35" i="10"/>
  <c r="X35" i="10"/>
  <c r="U35" i="10"/>
  <c r="Y35" i="10"/>
  <c r="G35" i="10"/>
  <c r="J35" i="10"/>
  <c r="I35" i="10"/>
  <c r="K35" i="10"/>
  <c r="H35" i="10"/>
  <c r="L35" i="10"/>
  <c r="J52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37" i="11"/>
  <c r="O39" i="9"/>
  <c r="N39" i="9"/>
  <c r="M39" i="9"/>
  <c r="L39" i="9"/>
  <c r="K39" i="9"/>
  <c r="J39" i="9"/>
  <c r="I39" i="9"/>
  <c r="H39" i="9"/>
  <c r="G39" i="9"/>
  <c r="E39" i="9"/>
  <c r="D39" i="9"/>
  <c r="A39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29" i="11"/>
  <c r="O31" i="9"/>
  <c r="N31" i="9"/>
  <c r="M31" i="9"/>
  <c r="L31" i="9"/>
  <c r="K31" i="9"/>
  <c r="J31" i="9"/>
  <c r="I31" i="9"/>
  <c r="H31" i="9"/>
  <c r="G31" i="9"/>
  <c r="E31" i="9"/>
  <c r="D31" i="9"/>
  <c r="A31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3" i="11"/>
  <c r="O25" i="9"/>
  <c r="N25" i="9"/>
  <c r="M25" i="9"/>
  <c r="L25" i="9"/>
  <c r="K25" i="9"/>
  <c r="J25" i="9"/>
  <c r="I25" i="9"/>
  <c r="H25" i="9"/>
  <c r="G25" i="9"/>
  <c r="E25" i="9"/>
  <c r="D25" i="9"/>
  <c r="A25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5" i="11"/>
  <c r="O17" i="9"/>
  <c r="N17" i="9"/>
  <c r="M17" i="9"/>
  <c r="L17" i="9"/>
  <c r="K17" i="9"/>
  <c r="J17" i="9"/>
  <c r="I17" i="9"/>
  <c r="H17" i="9"/>
  <c r="G17" i="9"/>
  <c r="E17" i="9"/>
  <c r="D17" i="9"/>
  <c r="A17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Y2" i="7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H10" i="2"/>
  <c r="E10" i="2"/>
  <c r="D10" i="2"/>
  <c r="H7" i="1"/>
  <c r="H8" i="1"/>
  <c r="H9" i="1"/>
  <c r="H10" i="1"/>
  <c r="H11" i="1"/>
  <c r="H12" i="1"/>
  <c r="H2" i="1"/>
  <c r="H3" i="1"/>
  <c r="H4" i="1"/>
  <c r="H5" i="1"/>
  <c r="H6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AD12" i="1"/>
  <c r="AF12" i="1"/>
  <c r="AI12" i="1"/>
  <c r="AG12" i="1"/>
  <c r="AE12" i="1"/>
  <c r="E2" i="9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6" i="1"/>
  <c r="AF6" i="1"/>
  <c r="AI6" i="1"/>
  <c r="AG6" i="1"/>
  <c r="AE6" i="1"/>
  <c r="X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X2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<sst xmlns="http://schemas.openxmlformats.org/spreadsheetml/2006/main" count="978" uniqueCount="423">
  <si>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</si>
  <si>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</si>
  <si>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</si>
  <si>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</si>
  <si>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</si>
  <si>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</si>
  <si>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</si>
  <si>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</si>
  <si>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</si>
  <si>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</si>
  <si>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</si>
  <si>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</si>
  <si>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</si>
  <si>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</si>
  <si>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</si>
  <si>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</si>
  <si>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</si>
  <si>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</si>
  <si>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</si>
  <si>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</si>
  <si>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</si>
  <si>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</si>
  <si>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</si>
  <si>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</si>
  <si>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</si>
  <si>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</si>
  <si>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</si>
  <si>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</si>
  <si>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</si>
  <si>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</si>
  <si>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</si>
  <si>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</si>
  <si>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</si>
  <si>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</si>
  <si>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</si>
  <si>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</si>
  <si>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</si>
  <si>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</si>
  <si>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</si>
  <si>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</si>
  <si>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</si>
  <si>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</si>
  <si>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</si>
  <si>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</si>
  <si>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</si>
  <si>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</si>
  <si>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</si>
  <si>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</si>
  <si>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</si>
  <si>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</si>
  <si>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</si>
  <si>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</si>
  <si>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</si>
  <si>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</si>
  <si>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</si>
  <si>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</si>
  <si>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</si>
  <si>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</si>
  <si>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</si>
  <si>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</si>
  <si>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</si>
  <si>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</si>
  <si>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</si>
  <si>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</si>
  <si>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</si>
  <si>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</si>
  <si>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</si>
  <si>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</si>
  <si>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</si>
  <si>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</si>
  <si>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</si>
  <si>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</si>
  <si>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</si>
  <si>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</si>
  <si>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</si>
  <si>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</si>
  <si>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</si>
  <si>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</si>
  <si>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</si>
  <si>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</si>
  <si>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</si>
  <si>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</si>
  <si>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</si>
  <si>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</si>
  <si>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</si>
  <si>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</si>
  <si>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</si>
  <si>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</si>
  <si>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</si>
  <si>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</si>
  <si>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</si>
  <si>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</si>
  <si>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</si>
  <si>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</si>
  <si>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</si>
  <si>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</si>
  <si>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</si>
  <si>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</si>
  <si>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</si>
  <si>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</si>
  <si>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</si>
  <si>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</si>
  <si>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</si>
  <si>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</si>
  <si>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</si>
  <si>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</si>
  <si>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</si>
  <si>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</si>
  <si>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</si>
  <si>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</si>
  <si>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</si>
  <si>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</si>
  <si>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</si>
  <si>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</si>
  <si>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</si>
  <si>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</si>
  <si>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</si>
  <si>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</si>
  <si>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</si>
  <si>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</si>
  <si>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</si>
  <si>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</si>
  <si>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</si>
  <si>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</si>
  <si>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</si>
  <si>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</si>
  <si>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</si>
  <si>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</si>
  <si>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</si>
  <si>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</si>
  <si>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</si>
  <si>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</si>
  <si>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</si>
  <si>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</si>
  <si>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</si>
  <si>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</si>
  <si>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</si>
  <si>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</si>
  <si>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</si>
  <si>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</si>
  <si>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</si>
  <si>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</si>
  <si>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</si>
  <si>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</si>
  <si>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</si>
  <si>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</si>
  <si>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</si>
  <si>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</si>
  <si>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</si>
  <si>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</si>
  <si>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</si>
  <si>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</si>
  <si>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</si>
  <si>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</si>
  <si>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</si>
  <si>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</si>
  <si>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</si>
  <si>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</si>
  <si>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</si>
  <si>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</si>
  <si>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</si>
  <si>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</si>
  <si>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</si>
  <si>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</si>
  <si>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</si>
  <si>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</si>
  <si>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</si>
  <si>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</si>
  <si>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</si>
  <si>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</si>
  <si>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</si>
  <si>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</si>
  <si>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</si>
  <si>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</si>
  <si>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</si>
  <si>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</si>
  <si>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</si>
  <si>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</si>
  <si>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</si>
  <si>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</si>
  <si>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</si>
  <si>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</si>
  <si>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</si>
  <si>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</si>
  <si>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</si>
  <si>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</si>
  <si>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</si>
  <si>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</si>
  <si>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</si>
  <si>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</si>
  <si>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</si>
  <si>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</si>
  <si>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</si>
  <si>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</si>
  <si>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</si>
  <si>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</si>
  <si>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</si>
  <si>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</si>
  <si>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</si>
  <si>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</si>
  <si>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</si>
  <si>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</si>
  <si>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</si>
  <si>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</si>
  <si>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</si>
  <si>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</si>
  <si>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</si>
  <si>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</si>
  <si>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</si>
  <si>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</si>
  <si>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</si>
  <si>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</si>
  <si>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</si>
  <si>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</si>
  <si>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</si>
  <si>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</si>
  <si>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</si>
  <si>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</si>
  <si>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</si>
  <si>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</si>
  <si>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</si>
  <si>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</si>
  <si>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</si>
  <si>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</si>
  <si>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</si>
  <si>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</si>
  <si>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</si>
  <si>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</si>
  <si>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</si>
  <si>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</si>
  <si>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</si>
  <si>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</si>
  <si>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</si>
  <si>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</si>
  <si>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</si>
  <si>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</si>
  <si>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</si>
  <si>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</si>
  <si>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</si>
  <si>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</si>
  <si>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</si>
  <si>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</si>
  <si>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</si>
  <si>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</si>
  <si>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</si>
  <si>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</si>
  <si>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</si>
  <si>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</si>
  <si>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</si>
  <si>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</si>
  <si>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</si>
  <si>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</si>
  <si>
    <t>link</t>
  </si>
  <si>
    <t>unit</t>
  </si>
  <si>
    <t>old</t>
    <phoneticPr fontId="5"/>
  </si>
  <si>
    <t>解除するまでパネルタップ回数を1減少</t>
    <phoneticPr fontId="5"/>
  </si>
  <si>
    <t>[effect:rush, count:2, val:0.6]</t>
    <phoneticPr fontId="5"/>
  </si>
  <si>
    <t>2回連続攻撃</t>
    <phoneticPr fontId="5"/>
  </si>
  <si>
    <t>[effect:spread, val:0.25]</t>
    <phoneticPr fontId="5"/>
  </si>
  <si>
    <t>全体攻撃</t>
    <phoneticPr fontId="5"/>
  </si>
  <si>
    <t>[effect:nothing]</t>
    <phoneticPr fontId="5"/>
  </si>
  <si>
    <t>威力超大の全体攻撃</t>
    <phoneticPr fontId="5"/>
  </si>
  <si>
    <t>[effect:critical, val:1.5]</t>
    <phoneticPr fontId="5"/>
  </si>
  <si>
    <t>クリティカル！</t>
    <phoneticPr fontId="5"/>
  </si>
  <si>
    <t>革命の兆し</t>
    <phoneticPr fontId="5"/>
  </si>
  <si>
    <t>ハートパネル吸収攻撃</t>
    <phoneticPr fontId="5"/>
  </si>
  <si>
    <t>[effect:spread, val:1.2]</t>
    <phoneticPr fontId="5"/>
  </si>
  <si>
    <t>[effect:heal, target:enemy_all, val:0.5, animation:enemy_heal]</t>
    <phoneticPr fontId="5"/>
  </si>
  <si>
    <t>反撃の助け</t>
    <phoneticPr fontId="5"/>
  </si>
  <si>
    <t>旗鼓堂々</t>
    <phoneticPr fontId="5"/>
  </si>
  <si>
    <t>赤熱榴弾</t>
    <phoneticPr fontId="5"/>
  </si>
  <si>
    <t>[effect:fix_speed, target:myself, turn:2],[effect:degrade_unit, target:unit_all, turn:-1, status:action, val:1, calc:add, animation:enemy_tap_down]</t>
    <phoneticPr fontId="5"/>
  </si>
  <si>
    <t>全ての効果を解除</t>
    <phoneticPr fontId="5"/>
  </si>
  <si>
    <t>黄パネル吸収攻撃</t>
    <phoneticPr fontId="5"/>
  </si>
  <si>
    <t>通常攻撃＋3ターンパネルの色が分からなくなる !</t>
  </si>
  <si>
    <t>通常攻撃＋4ターンパネルの色が分からなくなる !</t>
  </si>
  <si>
    <t>通常攻撃＋5ターンパネルの色が分からなくなる !</t>
  </si>
  <si>
    <t>通常攻撃＋6ターンパネルの色が分からなくなる !</t>
  </si>
  <si>
    <t>通常攻撃＋7ターンパネルの色が分からなくなる !</t>
  </si>
  <si>
    <t>単体攻撃＋2ターン暗闇</t>
    <phoneticPr fontId="5"/>
  </si>
  <si>
    <t>単体攻撃＋2ターン黄パネル無効</t>
    <phoneticPr fontId="5"/>
  </si>
  <si>
    <t>ロイヤル・ガーディアン</t>
    <phoneticPr fontId="5"/>
  </si>
  <si>
    <t>コラプス・コンコルド</t>
    <phoneticPr fontId="5"/>
  </si>
  <si>
    <t>ハートパネル無効状態のユニットに大ダメージ</t>
    <phoneticPr fontId="5"/>
  </si>
  <si>
    <t>[effect:rush, count:4, val:0.25]</t>
    <phoneticPr fontId="5"/>
  </si>
  <si>
    <t>私は私の勝利に賭けますわ！</t>
    <phoneticPr fontId="5"/>
  </si>
  <si>
    <t>お菓子も食べれないなんて不憫だわ</t>
    <phoneticPr fontId="5"/>
  </si>
  <si>
    <t>ここは俺の王国だ　好きにさせてもらうぜ</t>
    <phoneticPr fontId="5"/>
  </si>
  <si>
    <t>狩りの時間だ！</t>
    <phoneticPr fontId="5"/>
  </si>
  <si>
    <t>赤い鍵はどうだ？</t>
    <phoneticPr fontId="5"/>
  </si>
  <si>
    <t>種族アニマルのユニットに大ダメージ</t>
    <phoneticPr fontId="5"/>
  </si>
  <si>
    <t>青い鍵を掛けてやろう</t>
    <phoneticPr fontId="5"/>
  </si>
  <si>
    <t>黄色い鍵は嫌いか？</t>
    <phoneticPr fontId="5"/>
  </si>
  <si>
    <t>クリティカル！</t>
    <phoneticPr fontId="5"/>
  </si>
  <si>
    <t>2ターン全パネル無効</t>
    <phoneticPr fontId="5"/>
  </si>
  <si>
    <t>[effect:damage_anti_tribe, target:unit_one, tribe:animal, val1:3, val2:1]</t>
    <phoneticPr fontId="5"/>
  </si>
  <si>
    <t>null</t>
    <phoneticPr fontId="5"/>
  </si>
  <si>
    <t>null</t>
    <phoneticPr fontId="5"/>
  </si>
  <si>
    <t>null</t>
    <phoneticPr fontId="5"/>
  </si>
  <si>
    <t>[effect:rush, count:1, val:1],[effect:dark, target:unit_all, turn:2, animation:enemy_dark]</t>
    <phoneticPr fontId="5"/>
  </si>
  <si>
    <t>[effect:freq_turn, target:myself, turn:-1, val:1, animation:enemy_freq_turn]</t>
    <phoneticPr fontId="5"/>
  </si>
  <si>
    <t>[effect:rush, count:1, val:1],[effect:dis_panel, target:block_yellow, turn:2, animation:enemy_dis_yellow]</t>
    <phoneticPr fontId="5"/>
  </si>
  <si>
    <t>[effect:damage_anti_abnormal, target:unit_one, target_effect01:dis_heart, val1:1.5, val2:1]</t>
    <phoneticPr fontId="5"/>
  </si>
  <si>
    <t>俺の理想の邪魔はさせねぇぜ！</t>
    <phoneticPr fontId="5"/>
  </si>
  <si>
    <t>…お前　気に入らねぇな</t>
    <phoneticPr fontId="5"/>
  </si>
  <si>
    <t>緑の鍵に掛かってな</t>
    <phoneticPr fontId="5"/>
  </si>
  <si>
    <t>ハートパネルの出現率大UP＋3ターンハートパネル無効</t>
    <phoneticPr fontId="5"/>
  </si>
  <si>
    <t>[effect:break_attack_fix, val:500, lowest_val:6000, count:-1, block:block_heart, target:unit_one]</t>
    <phoneticPr fontId="5"/>
  </si>
  <si>
    <t>[effect:break_attack_fix, val:500, lowest_val:6000, count:-1, block:block_heart, target:unit_one]</t>
    <phoneticPr fontId="5"/>
  </si>
  <si>
    <t>null</t>
    <phoneticPr fontId="5"/>
  </si>
  <si>
    <t>[effect:enhance_enemy, target:enemy_all, turn:2, status:attack, val:0.2, animation:enemy_enhance_attack]</t>
    <phoneticPr fontId="5"/>
  </si>
  <si>
    <t>2ターン攻撃頻度UP</t>
    <phoneticPr fontId="5"/>
  </si>
  <si>
    <t>[effect:freq_turn, target:myself, turn:2, val:1, animation:enemy_freq_turn]</t>
    <phoneticPr fontId="5"/>
  </si>
  <si>
    <t>[effect:enhance_enemy, target:myself, turn:1, status:attack, val:0.5, animation:enemy_enhance_attack],[effect:enemy_message, val2:3]</t>
    <phoneticPr fontId="5"/>
  </si>
  <si>
    <t>[effect:remove_enhancement, target:unit_all, target_effect:all, animation:frozen_wave],[effect:change_bomb_range, turn:-1, target:unit_all, val:0.5, rate:1, animation:bomb_small],[effect:enemy_message, val1:2]</t>
    <phoneticPr fontId="5"/>
  </si>
  <si>
    <t>主砲にエネルギーが集まってゆく…！</t>
    <phoneticPr fontId="5"/>
  </si>
  <si>
    <t>超大攻撃まで　残り2ターン</t>
    <phoneticPr fontId="5"/>
  </si>
  <si>
    <t>超大攻撃まで　残り1ターン</t>
    <phoneticPr fontId="5"/>
  </si>
  <si>
    <t>[effect:break_attack_fix, val:500, lowest_val:5000, count:-1, block:block_yellow, target:unit_one]</t>
    <phoneticPr fontId="5"/>
  </si>
  <si>
    <t>実力で奪い取るのよ！</t>
    <phoneticPr fontId="5"/>
  </si>
  <si>
    <t>正義面してくる奴は許さねぇ</t>
    <phoneticPr fontId="5"/>
  </si>
  <si>
    <t>指図なんざまっぴらゴメンだぜ</t>
    <phoneticPr fontId="5"/>
  </si>
  <si>
    <t>やりたいことだけやらせてくれよ</t>
    <phoneticPr fontId="5"/>
  </si>
  <si>
    <t>[effect:dis_panel, target:block_red, turn:2, animation:enemy_dis_red],[effect:dis_panel, target:block_blue, turn:2, animation:enemy_dis_blue],[effect:dis_panel, target:block_green, turn:2, animation:enemy_dis_green],[effect:dis_panel, target:block_yellow, turn:2, animation:enemy_dis_yellow],[effect:dis_heart, turn:2, animation:enemy_dis_heart]</t>
    <phoneticPr fontId="5"/>
  </si>
  <si>
    <t>[effect:rush, count:4, val:0.3],[effect:hungup, target:unit_one, turn:2, rate:1, calc_type:target_one, animation:hungup01]</t>
    <phoneticPr fontId="5"/>
  </si>
  <si>
    <t>獲物は全て頂くぜ！</t>
    <phoneticPr fontId="5"/>
  </si>
  <si>
    <t>[effect:damage_anti_tribe, target:unit_one, tribe:animal, val1:2, val2:0.5],[effect:damage_anti_tribe, target:unit_one, tribe:animal, val1:2, val2:0.5]</t>
    <phoneticPr fontId="5"/>
  </si>
  <si>
    <t>この世の中は住みにくい…</t>
    <phoneticPr fontId="5"/>
  </si>
  <si>
    <t>だから俺が住みやすい世界を…！</t>
    <phoneticPr fontId="5"/>
  </si>
  <si>
    <t>他人に指図されたら楽しくねぇだろ？</t>
    <phoneticPr fontId="5"/>
  </si>
  <si>
    <t>[effect:freq_turn, target:myself, turn:-1, val:1, animation:enemy_freq_turn],[effect:change_bomb_range, turn:-1, target:unit_all, val:0.5, rate:1, animation:bomb_small],[effect:enemy_message, val1:2]</t>
    <phoneticPr fontId="5"/>
  </si>
  <si>
    <t>不自由な世界に用はねぇ</t>
    <phoneticPr fontId="5"/>
  </si>
  <si>
    <t>俺は自由に生きてぇんだ！</t>
    <phoneticPr fontId="5"/>
  </si>
  <si>
    <t>[effect:rush, count:2, val:1]</t>
    <phoneticPr fontId="5"/>
  </si>
  <si>
    <t>[effect:rush, count:1, val:1],[effect:dis_heart, turn:3, animation:enemy_dis_heart]</t>
    <phoneticPr fontId="5"/>
  </si>
  <si>
    <t>アントワネット様…！？</t>
    <phoneticPr fontId="5"/>
  </si>
  <si>
    <t>[effect:fix_speed, target:myself, turn:2],[effect:remove_enhancement, target:unit_all, target_effect:all, animation:frozen_wave],[effect:enemy_message, val1:2]</t>
    <phoneticPr fontId="5"/>
  </si>
  <si>
    <t>あら？　素敵なお召し物ね</t>
    <phoneticPr fontId="5"/>
  </si>
  <si>
    <t>null</t>
    <phoneticPr fontId="5"/>
  </si>
  <si>
    <t>2ターン全体攻撃力UP</t>
    <phoneticPr fontId="5"/>
  </si>
  <si>
    <t>failure</t>
    <phoneticPr fontId="5"/>
  </si>
  <si>
    <t>3ターンハートパネル無効＋状態異常耐性</t>
    <phoneticPr fontId="5"/>
  </si>
  <si>
    <t>[effect:rush, count:1, val:1],[effect:dis_panel, target:block_red, turn:2, animation:enemy_dis_red]</t>
    <phoneticPr fontId="5"/>
  </si>
  <si>
    <t>[effect:rush, count:1, val:1],[effect:dis_panel, target:block_blue, turn:2, animation:enemy_dis_blue]</t>
    <phoneticPr fontId="5"/>
  </si>
  <si>
    <t>[effect:rush, count:1, val:1],[effect:dis_panel, target:block_green, turn:2, animation:enemy_dis_green]</t>
    <phoneticPr fontId="5"/>
  </si>
  <si>
    <t>単体攻撃＋2ターン赤パネル無効</t>
    <phoneticPr fontId="5"/>
  </si>
  <si>
    <t>単体攻撃＋2ターン青パネル無効</t>
    <phoneticPr fontId="5"/>
  </si>
  <si>
    <t>単体攻撃＋2ターン緑パネル無効</t>
    <phoneticPr fontId="5"/>
  </si>
  <si>
    <t>単体攻撃＋2ターン黄パネル無効</t>
    <phoneticPr fontId="5"/>
  </si>
  <si>
    <t>妙に殺気立っている…
  1ターン攻撃力UP</t>
    <phoneticPr fontId="5"/>
  </si>
  <si>
    <t>なんでお前が俺に刃向かってくんだよ</t>
    <phoneticPr fontId="5"/>
  </si>
  <si>
    <t>ルイ16世の1ゲージ目はHPが半分以下に
なるとパネル無効攻撃を多用します
パネルを整地する場合は注意しましょう</t>
    <phoneticPr fontId="5"/>
  </si>
  <si>
    <t>[effect:remove_enhancement, target:unit_all, target_effect:all, animation:frozen_wave],[effect:change_bomb_range, turn:-1, target:unit_all, val:0.5, rate:1, animation:bomb_small],[effect:enemy_message, val1:2]</t>
    <phoneticPr fontId="5"/>
  </si>
  <si>
    <t>俺がお前に何かしたってのか？</t>
    <phoneticPr fontId="5"/>
  </si>
  <si>
    <t>バスティーユはHPが半分以下になると
強力な攻撃の準備を開始します
準備にかかる2ターンの間に倒しましょう</t>
    <phoneticPr fontId="5"/>
  </si>
  <si>
    <t>ケンジは回復や攻撃力UPなどの
補助スキルを使うので注意しましょう</t>
    <phoneticPr fontId="5"/>
  </si>
  <si>
    <t>ヨシタカはハートパネル吸収攻撃や
クリティカルなどのスキルを多用します</t>
    <phoneticPr fontId="5"/>
  </si>
  <si>
    <t>ヴェルサイユは黄パネル無効スキルと
黄パネル吸収攻撃を併用します
黄パネルはなるべく消しておきましょう</t>
    <phoneticPr fontId="5"/>
  </si>
  <si>
    <t>ヴェルサイユはHPが半分以下になると
ハートパネル無効スキルを使ってから
強力な状態異常キラー攻撃をします</t>
    <phoneticPr fontId="5"/>
  </si>
  <si>
    <t>アントワネットはHPが半分以下になると
ハートパネルのドロップ率UPスキルと
ハートパネル無効スキルを使います</t>
    <phoneticPr fontId="5"/>
  </si>
  <si>
    <t>ルイ16世の2ゲージ目は開始2ターン後に
強力な攻撃をしてきます
ダメージを軽減するスキルを使用するか
HPを多く保ちましょう</t>
    <phoneticPr fontId="5"/>
  </si>
  <si>
    <t>そういうことか…？　アントワネット…</t>
    <phoneticPr fontId="5"/>
  </si>
  <si>
    <t>外にもまだ希望がある…</t>
    <phoneticPr fontId="5"/>
  </si>
  <si>
    <t>[effect:enemy_message, val1:2, val2:3]</t>
    <phoneticPr fontId="5"/>
  </si>
  <si>
    <t>[effect:freq_turn, target:myself, turn:2, val:1, animation:enemy_freq_turn]</t>
    <phoneticPr fontId="5"/>
  </si>
  <si>
    <t>俺らの所に戻ってこいよ！</t>
    <phoneticPr fontId="5"/>
  </si>
  <si>
    <t>old</t>
    <phoneticPr fontId="5"/>
  </si>
  <si>
    <t>old</t>
    <phoneticPr fontId="5"/>
  </si>
  <si>
    <t>everyone</t>
    <phoneticPr fontId="5"/>
  </si>
  <si>
    <t>no_continue</t>
    <phoneticPr fontId="5"/>
  </si>
  <si>
    <t>unit</t>
    <phoneticPr fontId="7"/>
  </si>
  <si>
    <t>2016-5-27 0:00:00</t>
    <phoneticPr fontId="5"/>
  </si>
  <si>
    <t>2970-01-01 09:00:00</t>
    <phoneticPr fontId="5"/>
  </si>
  <si>
    <t>4回連続攻撃</t>
    <phoneticPr fontId="5"/>
  </si>
  <si>
    <t>4回連続攻撃＋2ターンスキルバインド</t>
    <phoneticPr fontId="5"/>
  </si>
  <si>
    <t>2回連続攻撃&amp;種族アニマルのユニットに大ダメージ</t>
    <phoneticPr fontId="5"/>
  </si>
  <si>
    <t>[effect:remove_enhancement, target:unit_all, target_effect:all, animation:frozen_wave],[effect:force_change_block, new_block:block_heart, target:block_yellow, count:0, val:0, animation:change_block],[effect:change_bomb_range, turn:-1, target:unit_all, val:0.5, rate:1, animation:bomb_small],[effect:enemy_message, val1:2]</t>
    <phoneticPr fontId="5"/>
  </si>
  <si>
    <t>[effect:remove_enhancement, target:unit_all, target_effect:all, animation:frozen_wave],[effect:force_change_block, new_block:block_heart, target:block_yellow, count:0, val:0, animation:change_block],[effect:change_bomb_range, turn:-1, target:unit_all, val:0.5, rate:1, animation:bomb_small]</t>
    <phoneticPr fontId="5"/>
  </si>
  <si>
    <t>[effect:rush, count:1, val:1],[effect:panel_freeze, target:block_heart, color:block_heart, count:-1]</t>
    <phoneticPr fontId="5"/>
  </si>
  <si>
    <t>単体攻撃＋ハートパネルプロテクト</t>
    <phoneticPr fontId="5"/>
  </si>
  <si>
    <t>単体攻撃＋確率で時限式ダメージパネルをドロップ</t>
    <phoneticPr fontId="5"/>
  </si>
  <si>
    <t>[effect:rush, count:1, val:1],[effect:drop_block, block_type:time_bomb, block_color:block_red, color:block_all, val:20, rate:0.2, turn:-1, animation:bomb_influence04]</t>
    <phoneticPr fontId="5"/>
  </si>
  <si>
    <t>黄パネルをハートパネルに変換＋ボムの爆風を50%DOWN</t>
    <phoneticPr fontId="5"/>
  </si>
  <si>
    <t>黄パネルをハートパネルに変換＋ボムの爆風を50%DOWN</t>
    <phoneticPr fontId="5"/>
  </si>
  <si>
    <t>攻撃頻度UP＋ボムの爆風を50%DOWN</t>
    <phoneticPr fontId="5"/>
  </si>
  <si>
    <t>[effect:change_panel_ratio, turn:-1, block_type:heal, val:0.6],[effect:dis_heart, turn:3, animation:enemy_dis_heart]</t>
    <phoneticPr fontId="5"/>
  </si>
  <si>
    <t>[effect:dis_heart, turn:3, animation:enemy_dis_heart],[effect:tolerance, target:myself, turn:-1, tolerance_effect:all, count:-1]</t>
    <phoneticPr fontId="5"/>
  </si>
  <si>
    <t>マスターは消させません</t>
    <phoneticPr fontId="5"/>
  </si>
  <si>
    <t>逃がしません</t>
    <phoneticPr fontId="5"/>
  </si>
  <si>
    <t>砲撃します</t>
    <phoneticPr fontId="5"/>
  </si>
  <si>
    <t>マスターの命令は絶対です</t>
    <phoneticPr fontId="5"/>
  </si>
  <si>
    <t>危険分子の排除は得意ですの！</t>
    <phoneticPr fontId="5"/>
  </si>
  <si>
    <t>手加減いたしませんわ！</t>
    <phoneticPr fontId="5"/>
  </si>
  <si>
    <t>油断大敵ですわよ！</t>
    <phoneticPr fontId="5"/>
  </si>
  <si>
    <t>…どのようなお心算なんですの？</t>
    <phoneticPr fontId="5"/>
  </si>
  <si>
    <t>無作法な行いは許しませんわ！</t>
    <phoneticPr fontId="5"/>
  </si>
  <si>
    <t>止まりなさい！</t>
    <phoneticPr fontId="5"/>
  </si>
  <si>
    <t>[effect:fix_speed, target:myself, turn:2],[effect:remove_enhancement, target:unit_all, target_effect:all, animation:frozen_wave],[effect:enemy_message, val1:2]</t>
    <phoneticPr fontId="5"/>
  </si>
  <si>
    <t>[effect:rush, count:1, val:1],[effect:dis_panel, target:block_yellow, turn:2, animation:enemy_dis_yellow],[effect:enemy_message, val1:2]</t>
    <phoneticPr fontId="5"/>
  </si>
  <si>
    <t>ルイ16世も彼なりにALICEの平和のためを
思って革命を起こしたようです</t>
    <phoneticPr fontId="5"/>
  </si>
  <si>
    <t>ルイ16世は戦いの中で
彼なりの生き方を見つけたようです</t>
    <phoneticPr fontId="5"/>
  </si>
  <si>
    <t>ルイ16世とアントワネットは
固い絆で結ばれているようです</t>
    <phoneticPr fontId="5"/>
  </si>
  <si>
    <t>ルイ16世は野心こそありますが皆から
慕われる良き王の器だったのかもしれません</t>
    <phoneticPr fontId="5"/>
  </si>
  <si>
    <t>ルイ16世の思い</t>
    <rPh sb="4" eb="5">
      <t>セ</t>
    </rPh>
    <rPh sb="6" eb="7">
      <t>オモ</t>
    </rPh>
    <phoneticPr fontId="5"/>
  </si>
  <si>
    <t>王の器</t>
    <rPh sb="0" eb="1">
      <t>オウｎ</t>
    </rPh>
    <rPh sb="2" eb="3">
      <t>ウツｗ</t>
    </rPh>
    <phoneticPr fontId="5"/>
  </si>
  <si>
    <t>固い絆</t>
    <rPh sb="0" eb="1">
      <t>カｔ</t>
    </rPh>
    <phoneticPr fontId="5"/>
  </si>
  <si>
    <t>生きる道</t>
    <rPh sb="0" eb="1">
      <t>イｋ</t>
    </rPh>
    <phoneticPr fontId="5"/>
  </si>
  <si>
    <t>ケンジは回復の補助スキルを
使うので注意しましょう</t>
    <phoneticPr fontId="5"/>
  </si>
  <si>
    <t>ヨシタカはハートパネル吸収攻撃
を使ってくるので注意しましょう</t>
    <phoneticPr fontId="5"/>
  </si>
  <si>
    <t>ルイ16世は1ゲージ目の最初に
ボムパネルの爆風範囲を半減する
スキルを使用します</t>
    <phoneticPr fontId="5"/>
  </si>
  <si>
    <t>ルイ16世は3ゲージ目のHPが半分以下
になると時限式ダメージパネルを
ドロップさせてくるようになります</t>
    <phoneticPr fontId="5"/>
  </si>
  <si>
    <t>アントワネットのハートパネル吸収攻撃
に注意しましょう</t>
    <phoneticPr fontId="5"/>
  </si>
  <si>
    <t>ルイ16世は1ゲージ目の最初に
ボムパネルの爆風範囲を半減する
スキルを使用します</t>
    <phoneticPr fontId="5"/>
  </si>
  <si>
    <t>ルイ16世の1ゲージ目はHPが半分以下
になるとパネル無効攻撃を多用します
パネルを整地する場合は注意しましょう</t>
    <phoneticPr fontId="5"/>
  </si>
  <si>
    <t>ルイ16世は3ゲージ目のHPが半分以下に
なると時限式ダメージパネルをドロップさせ
強力な2連続攻撃をするようになります</t>
    <phoneticPr fontId="5"/>
  </si>
  <si>
    <t>ルイ16世も彼なりにALICEの平和を
思って革命を起こしたようです</t>
    <phoneticPr fontId="5"/>
  </si>
  <si>
    <t>ルイ16世は野心こそありますが
皆から慕われる良き王の器
だったのかもしれません</t>
    <phoneticPr fontId="5"/>
  </si>
  <si>
    <t>全体回復</t>
    <phoneticPr fontId="5"/>
  </si>
  <si>
    <t>そこ、動かないでいてくださる？</t>
    <phoneticPr fontId="5"/>
  </si>
  <si>
    <t>CountDown:2</t>
    <phoneticPr fontId="5"/>
  </si>
  <si>
    <t>CountDown:1</t>
    <phoneticPr fontId="5"/>
  </si>
  <si>
    <t>単体攻撃＋3ターンハートパネル無効</t>
    <phoneticPr fontId="5"/>
  </si>
  <si>
    <t>ボムの爆風を50%DOWN
＋全ての効果を解除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</si>
</sst>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3" borderId="12" xfId="0" applyFont="1" applyFill="1" applyBorder="1"/>
    <xf numFmtId="0" fontId="0" fillId="0" borderId="24" xfId="0" applyBorder="1"/>
    <xf numFmtId="0" fontId="27" fillId="13" borderId="7" xfId="0" applyFont="1" applyFill="1" applyBorder="1"/>
    <xf numFmtId="0" fontId="0" fillId="0" borderId="26" xfId="0" applyBorder="1"/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27" fillId="13" borderId="2" xfId="0" applyFont="1" applyFill="1" applyBorder="1"/>
    <xf numFmtId="0" fontId="0" fillId="0" borderId="28" xfId="0" applyBorder="1"/>
    <xf numFmtId="0" fontId="0" fillId="0" borderId="30" xfId="0" applyBorder="1"/>
    <xf numFmtId="0" fontId="0" fillId="3" borderId="30" xfId="0" applyFill="1" applyBorder="1"/>
    <xf numFmtId="0" fontId="6" fillId="5" borderId="30" xfId="0" applyFont="1" applyFill="1" applyBorder="1" applyAlignment="1">
      <alignment vertical="center"/>
    </xf>
    <xf numFmtId="0" fontId="27" fillId="13" borderId="30" xfId="0" applyFont="1" applyFill="1" applyBorder="1"/>
    <xf numFmtId="0" fontId="0" fillId="0" borderId="31" xfId="0" applyBorder="1"/>
    <xf numFmtId="0" fontId="0" fillId="3" borderId="23" xfId="0" applyFill="1" applyBorder="1"/>
    <xf numFmtId="0" fontId="0" fillId="3" borderId="25" xfId="0" applyFill="1" applyBorder="1"/>
    <xf numFmtId="0" fontId="0" fillId="3" borderId="27" xfId="0" applyFill="1" applyBorder="1"/>
    <xf numFmtId="0" fontId="0" fillId="3" borderId="29" xfId="0" applyFill="1" applyBorder="1"/>
    <xf numFmtId="0" fontId="28" fillId="3" borderId="7" xfId="0" applyFont="1" applyFill="1" applyBorder="1"/>
    <xf numFmtId="0" fontId="6" fillId="0" borderId="1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13" fillId="7" borderId="0" xfId="0" applyFont="1" applyFill="1" applyAlignment="1">
      <alignment horizontal="left" indent="1"/>
    </xf>
    <xf numFmtId="0" fontId="0" fillId="0" borderId="7" xfId="0" applyFill="1" applyBorder="1" applyAlignment="1">
      <alignment vertical="center"/>
    </xf>
    <xf numFmtId="0" fontId="4" fillId="0" borderId="7" xfId="0" applyFont="1" applyBorder="1" applyAlignment="1">
      <alignment horizontal="right" vertical="center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38" fontId="16" fillId="14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47001</v>
          </cell>
        </row>
        <row r="198">
          <cell r="A198">
            <v>47002</v>
          </cell>
        </row>
        <row r="199">
          <cell r="A199">
            <v>49001</v>
          </cell>
        </row>
        <row r="200">
          <cell r="A200">
            <v>49002</v>
          </cell>
        </row>
        <row r="201">
          <cell r="A201">
            <v>49003</v>
          </cell>
        </row>
        <row r="202">
          <cell r="A202">
            <v>49004</v>
          </cell>
        </row>
        <row r="203">
          <cell r="A203">
            <v>49005</v>
          </cell>
        </row>
        <row r="204">
          <cell r="A204">
            <v>49006</v>
          </cell>
        </row>
        <row r="205">
          <cell r="A205">
            <v>50001</v>
          </cell>
        </row>
        <row r="206">
          <cell r="A206">
            <v>50002</v>
          </cell>
        </row>
        <row r="207">
          <cell r="A207">
            <v>50003</v>
          </cell>
        </row>
        <row r="208">
          <cell r="A208">
            <v>50004</v>
          </cell>
        </row>
        <row r="209">
          <cell r="A209">
            <v>50005</v>
          </cell>
        </row>
        <row r="210">
          <cell r="A210">
            <v>51001</v>
          </cell>
        </row>
        <row r="211">
          <cell r="A211">
            <v>51002</v>
          </cell>
        </row>
        <row r="212">
          <cell r="A212">
            <v>60001</v>
          </cell>
        </row>
        <row r="213">
          <cell r="A213">
            <v>60002</v>
          </cell>
        </row>
        <row r="214">
          <cell r="A214">
            <v>60003</v>
          </cell>
        </row>
        <row r="215">
          <cell r="A215">
            <v>60004</v>
          </cell>
        </row>
        <row r="216">
          <cell r="A216">
            <v>60005</v>
          </cell>
        </row>
        <row r="217">
          <cell r="A217">
            <v>60006</v>
          </cell>
        </row>
        <row r="218">
          <cell r="A218">
            <v>60007</v>
          </cell>
        </row>
        <row r="219">
          <cell r="A219">
            <v>60010</v>
          </cell>
        </row>
        <row r="220">
          <cell r="A220">
            <v>60011</v>
          </cell>
        </row>
        <row r="221">
          <cell r="A221">
            <v>61011</v>
          </cell>
        </row>
        <row r="222">
          <cell r="A222">
            <v>60012</v>
          </cell>
        </row>
        <row r="223">
          <cell r="A223">
            <v>60013</v>
          </cell>
        </row>
        <row r="224">
          <cell r="A224">
            <v>65534</v>
          </cell>
        </row>
        <row r="225">
          <cell r="A225">
            <v>65535</v>
          </cell>
        </row>
        <row r="226">
          <cell r="A226">
            <v>60021</v>
          </cell>
        </row>
        <row r="227">
          <cell r="A227">
            <v>60022</v>
          </cell>
        </row>
        <row r="228">
          <cell r="A228">
            <v>60023</v>
          </cell>
        </row>
        <row r="229">
          <cell r="A2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47001_1</v>
          </cell>
        </row>
        <row r="625">
          <cell r="A625" t="str">
            <v>47001_2</v>
          </cell>
        </row>
        <row r="626">
          <cell r="A626" t="str">
            <v>47002_1</v>
          </cell>
        </row>
        <row r="627">
          <cell r="A627" t="str">
            <v>47002_2</v>
          </cell>
        </row>
        <row r="628">
          <cell r="A628" t="str">
            <v>49001_1</v>
          </cell>
        </row>
        <row r="629">
          <cell r="A629" t="str">
            <v>49002_1</v>
          </cell>
        </row>
        <row r="630">
          <cell r="A630" t="str">
            <v>49002_2</v>
          </cell>
        </row>
        <row r="631">
          <cell r="A631" t="str">
            <v>49003_1</v>
          </cell>
        </row>
        <row r="632">
          <cell r="A632" t="str">
            <v>49003_2</v>
          </cell>
        </row>
        <row r="633">
          <cell r="A633" t="str">
            <v>49004_1</v>
          </cell>
        </row>
        <row r="634">
          <cell r="A634" t="str">
            <v>49004_2</v>
          </cell>
        </row>
        <row r="635">
          <cell r="A635" t="str">
            <v>49004_3</v>
          </cell>
        </row>
        <row r="636">
          <cell r="A636" t="str">
            <v>49005_1</v>
          </cell>
        </row>
        <row r="637">
          <cell r="A637" t="str">
            <v>49006_1</v>
          </cell>
        </row>
        <row r="638">
          <cell r="A638" t="str">
            <v>49006_2</v>
          </cell>
        </row>
        <row r="639">
          <cell r="A639" t="str">
            <v>50001_1</v>
          </cell>
        </row>
        <row r="640">
          <cell r="A640" t="str">
            <v>50002_1</v>
          </cell>
        </row>
        <row r="641">
          <cell r="A641" t="str">
            <v>50003_1</v>
          </cell>
        </row>
        <row r="642">
          <cell r="A642" t="str">
            <v>50004_1</v>
          </cell>
        </row>
        <row r="643">
          <cell r="A643" t="str">
            <v>50005_1</v>
          </cell>
        </row>
        <row r="644">
          <cell r="A644" t="str">
            <v>51001_1</v>
          </cell>
        </row>
        <row r="645">
          <cell r="A645" t="str">
            <v>51002_1</v>
          </cell>
        </row>
        <row r="646">
          <cell r="A646" t="str">
            <v>60001_1</v>
          </cell>
        </row>
        <row r="647">
          <cell r="A647" t="str">
            <v>60002_1</v>
          </cell>
        </row>
        <row r="648">
          <cell r="A648" t="str">
            <v>60002_2</v>
          </cell>
        </row>
        <row r="649">
          <cell r="A649" t="str">
            <v>60003_1</v>
          </cell>
        </row>
        <row r="650">
          <cell r="A650" t="str">
            <v>60003_2</v>
          </cell>
        </row>
        <row r="651">
          <cell r="A651" t="str">
            <v>60003_3</v>
          </cell>
        </row>
        <row r="652">
          <cell r="A652" t="str">
            <v>60004_1</v>
          </cell>
        </row>
        <row r="653">
          <cell r="A653" t="str">
            <v>60005_1</v>
          </cell>
        </row>
        <row r="654">
          <cell r="A654" t="str">
            <v>60006_1</v>
          </cell>
        </row>
        <row r="655">
          <cell r="A655" t="str">
            <v>60006_2</v>
          </cell>
        </row>
        <row r="656">
          <cell r="A656" t="str">
            <v>60006_3</v>
          </cell>
        </row>
        <row r="657">
          <cell r="A657" t="str">
            <v>60007_1</v>
          </cell>
        </row>
        <row r="658">
          <cell r="A658" t="str">
            <v>60007_2</v>
          </cell>
        </row>
        <row r="659">
          <cell r="A659" t="str">
            <v>60007_3</v>
          </cell>
        </row>
        <row r="660">
          <cell r="A660" t="str">
            <v>60010_1</v>
          </cell>
        </row>
        <row r="661">
          <cell r="A661" t="str">
            <v>60011_1</v>
          </cell>
        </row>
        <row r="662">
          <cell r="A662" t="str">
            <v>60011_2</v>
          </cell>
        </row>
        <row r="663">
          <cell r="A663" t="str">
            <v>61011_1</v>
          </cell>
        </row>
        <row r="664">
          <cell r="A664" t="str">
            <v>60012_1</v>
          </cell>
        </row>
        <row r="665">
          <cell r="A665" t="str">
            <v>60013_1</v>
          </cell>
        </row>
        <row r="666">
          <cell r="A666" t="str">
            <v>60013_2</v>
          </cell>
        </row>
        <row r="667">
          <cell r="A667" t="str">
            <v>60013_3</v>
          </cell>
        </row>
        <row r="668">
          <cell r="A668" t="str">
            <v>65535_1</v>
          </cell>
        </row>
        <row r="669">
          <cell r="A669" t="str">
            <v>65535_2</v>
          </cell>
        </row>
        <row r="670">
          <cell r="A670" t="str">
            <v>65535_3</v>
          </cell>
        </row>
        <row r="671">
          <cell r="A671" t="str">
            <v>65535_4</v>
          </cell>
        </row>
        <row r="672">
          <cell r="A672" t="str">
            <v>65535_5</v>
          </cell>
        </row>
        <row r="673">
          <cell r="A673" t="str">
            <v>65535_6</v>
          </cell>
        </row>
        <row r="674">
          <cell r="A674" t="str">
            <v>65535_7</v>
          </cell>
        </row>
        <row r="675">
          <cell r="A675" t="str">
            <v>65535_8</v>
          </cell>
        </row>
        <row r="676">
          <cell r="A676" t="str">
            <v>60021_3</v>
          </cell>
        </row>
        <row r="677">
          <cell r="A677" t="str">
            <v>60022_3</v>
          </cell>
        </row>
        <row r="678">
          <cell r="A678" t="str">
            <v>60023_3</v>
          </cell>
        </row>
        <row r="679">
          <cell r="A67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2" sqref="E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107</v>
      </c>
      <c r="C2" s="63">
        <v>40021</v>
      </c>
      <c r="D2" s="57" t="s">
        <v>108</v>
      </c>
      <c r="E2" s="56" t="str">
        <f>B2&amp;C2&amp;D2</f>
        <v>floors_40021.tmp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110</v>
      </c>
      <c r="C3" s="63">
        <v>40021</v>
      </c>
      <c r="D3" s="57" t="s">
        <v>108</v>
      </c>
      <c r="E3" s="56" t="str">
        <f>B3&amp;C3&amp;D3</f>
        <v>enemy_habitats_40021.tmp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254</v>
      </c>
      <c r="B4" s="57" t="s">
        <v>112</v>
      </c>
      <c r="C4" s="63">
        <v>40021</v>
      </c>
      <c r="D4" s="57" t="s">
        <v>108</v>
      </c>
      <c r="E4" s="56" t="str">
        <f>B4&amp;C4&amp;D4</f>
        <v>enemy_habitat_S_40021.tmp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114</v>
      </c>
      <c r="C5" s="63">
        <v>40021</v>
      </c>
      <c r="D5" s="57" t="s">
        <v>108</v>
      </c>
      <c r="E5" s="56" t="str">
        <f>B5&amp;C5&amp;D5</f>
        <v>enemy_skill_sets_40021.tmp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116</v>
      </c>
      <c r="C6" s="63">
        <v>40021</v>
      </c>
      <c r="D6" s="57" t="s">
        <v>117</v>
      </c>
      <c r="E6" s="56" t="str">
        <f t="shared" ref="E6:E10" si="0">B6&amp;C6&amp;D6</f>
        <v>enemy_skills_tmp_40021.tmp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118</v>
      </c>
      <c r="C7" s="63">
        <v>40021</v>
      </c>
      <c r="D7" s="57" t="s">
        <v>108</v>
      </c>
      <c r="E7" s="56" t="str">
        <f>B7&amp;C7&amp;D7</f>
        <v>enemy_skills_i18n_40021.tmp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120</v>
      </c>
      <c r="C8" s="63">
        <v>40021</v>
      </c>
      <c r="D8" s="57" t="s">
        <v>121</v>
      </c>
      <c r="E8" s="56" t="str">
        <f t="shared" si="0"/>
        <v>enemy_skill_triggers_40021.tmp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178</v>
      </c>
      <c r="C9" s="63">
        <v>40021</v>
      </c>
      <c r="D9" s="68" t="s">
        <v>172</v>
      </c>
      <c r="E9" s="69" t="str">
        <f t="shared" si="0"/>
        <v>stage_bug_bonuses_40021.tmp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366</v>
      </c>
      <c r="B10" s="68" t="s">
        <v>202</v>
      </c>
      <c r="C10" s="63">
        <v>40021</v>
      </c>
      <c r="D10" s="68" t="s">
        <v>181</v>
      </c>
      <c r="E10" s="69" t="str">
        <f t="shared" si="0"/>
        <v>stage_hints_data_c_40021.tmp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5" customFormat="1" x14ac:dyDescent="0.15">
      <c r="A11" s="61" t="s">
        <v>366</v>
      </c>
      <c r="B11" s="68" t="s">
        <v>203</v>
      </c>
      <c r="C11" s="63">
        <v>40021</v>
      </c>
      <c r="D11" s="68" t="s">
        <v>172</v>
      </c>
      <c r="E11" s="69" t="str">
        <f t="shared" ref="E11:E13" si="1">B11&amp;C11&amp;D11</f>
        <v>stage_hints_data_f_40021.tmp</v>
      </c>
      <c r="F11" s="68" t="s">
        <v>212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5" customFormat="1" x14ac:dyDescent="0.15">
      <c r="A12" s="128" t="s">
        <v>366</v>
      </c>
      <c r="B12" s="68" t="s">
        <v>204</v>
      </c>
      <c r="C12" s="63">
        <v>40021</v>
      </c>
      <c r="D12" s="68" t="s">
        <v>172</v>
      </c>
      <c r="E12" s="69" t="str">
        <f t="shared" si="1"/>
        <v>stage_hints_i18n_40021.tmp</v>
      </c>
      <c r="F12" s="68" t="s">
        <v>213</v>
      </c>
      <c r="G12" s="74" t="s">
        <v>205</v>
      </c>
      <c r="H12" s="94" t="s">
        <v>206</v>
      </c>
      <c r="I12" s="73" t="s">
        <v>207</v>
      </c>
      <c r="J12" s="98" t="s">
        <v>208</v>
      </c>
      <c r="K12" s="67" t="s">
        <v>209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5" customFormat="1" x14ac:dyDescent="0.15">
      <c r="A13" s="128" t="s">
        <v>367</v>
      </c>
      <c r="B13" s="68" t="s">
        <v>248</v>
      </c>
      <c r="C13" s="63">
        <v>40021</v>
      </c>
      <c r="D13" s="68" t="s">
        <v>229</v>
      </c>
      <c r="E13" s="69" t="str">
        <f t="shared" si="1"/>
        <v>stage_bonuses_40021.tmp</v>
      </c>
      <c r="F13" s="68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I6" sqref="I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40021_1-1</v>
      </c>
      <c r="B2" s="16" t="str">
        <f>IF(COUNTIF(enemy_habitats!$H:$H,A2),"OK","NG")</f>
        <v>OK</v>
      </c>
      <c r="C2" s="7">
        <v>40021</v>
      </c>
      <c r="D2" s="11" t="str">
        <f ca="1">VLOOKUP($C2,OFFSET([2]quests!$A$1,0,0,COUNTA([2]quests!$A:$A),MATCH(D$1,[2]quests!$1:$1,0)-MATCH($C$1,[2]quests!$1:$1,0)+1),MATCH(D$1,[2]quests!$1:$1,0)-MATCH($C$1,[2]quests!$1:$1,0)+1,FALSE)</f>
        <v>ルイ16世襲来！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降臨21</v>
      </c>
      <c r="F2" s="21">
        <v>1</v>
      </c>
      <c r="G2" s="23" t="str">
        <f t="shared" ref="G2:G10" si="1">C2&amp;"_"&amp;F2</f>
        <v>40021_1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【超絶級】ルイ16世襲来 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40021_1-2</v>
      </c>
      <c r="B3" s="16" t="str">
        <f>IF(COUNTIF(enemy_habitats!$H:$H,A3),"OK","NG")</f>
        <v>OK</v>
      </c>
      <c r="C3" s="7">
        <v>40021</v>
      </c>
      <c r="D3" s="11" t="str">
        <f ca="1">VLOOKUP($C3,OFFSET([2]quests!$A$1,0,0,COUNTA([2]quests!$A:$A),MATCH(D$1,[2]quests!$1:$1,0)-MATCH($C$1,[2]quests!$1:$1,0)+1),MATCH(D$1,[2]quests!$1:$1,0)-MATCH($C$1,[2]quests!$1:$1,0)+1,FALSE)</f>
        <v>ルイ16世襲来！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降臨21</v>
      </c>
      <c r="F3" s="21">
        <v>1</v>
      </c>
      <c r="G3" s="23" t="str">
        <f t="shared" si="1"/>
        <v>40021_1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【超絶級】ルイ16世襲来 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40021_1-3</v>
      </c>
      <c r="B4" s="16" t="str">
        <f>IF(COUNTIF(enemy_habitats!$H:$H,A4),"OK","NG")</f>
        <v>OK</v>
      </c>
      <c r="C4" s="7">
        <v>40021</v>
      </c>
      <c r="D4" s="11" t="str">
        <f ca="1">VLOOKUP($C4,OFFSET([2]quests!$A$1,0,0,COUNTA([2]quests!$A:$A),MATCH(D$1,[2]quests!$1:$1,0)-MATCH($C$1,[2]quests!$1:$1,0)+1),MATCH(D$1,[2]quests!$1:$1,0)-MATCH($C$1,[2]quests!$1:$1,0)+1,FALSE)</f>
        <v>ルイ16世襲来！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降臨21</v>
      </c>
      <c r="F4" s="21">
        <v>1</v>
      </c>
      <c r="G4" s="23" t="str">
        <f t="shared" si="1"/>
        <v>40021_1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【超絶級】ルイ16世襲来 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40021_1-4</v>
      </c>
      <c r="B5" s="16" t="str">
        <f>IF(COUNTIF(enemy_habitats!$H:$H,A5),"OK","NG")</f>
        <v>OK</v>
      </c>
      <c r="C5" s="7">
        <v>40021</v>
      </c>
      <c r="D5" s="11" t="str">
        <f ca="1">VLOOKUP($C5,OFFSET([2]quests!$A$1,0,0,COUNTA([2]quests!$A:$A),MATCH(D$1,[2]quests!$1:$1,0)-MATCH($C$1,[2]quests!$1:$1,0)+1),MATCH(D$1,[2]quests!$1:$1,0)-MATCH($C$1,[2]quests!$1:$1,0)+1,FALSE)</f>
        <v>ルイ16世襲来！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降臨21</v>
      </c>
      <c r="F5" s="21">
        <v>1</v>
      </c>
      <c r="G5" s="23" t="str">
        <f t="shared" si="1"/>
        <v>40021_1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【超絶級】ルイ16世襲来 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40021_2-1</v>
      </c>
      <c r="B6" s="16" t="str">
        <f>IF(COUNTIF(enemy_habitats!$H:$H,A6),"OK","NG")</f>
        <v>OK</v>
      </c>
      <c r="C6" s="7">
        <v>40021</v>
      </c>
      <c r="D6" s="11" t="str">
        <f ca="1">VLOOKUP($C6,OFFSET([2]quests!$A$1,0,0,COUNTA([2]quests!$A:$A),MATCH(D$1,[2]quests!$1:$1,0)-MATCH($C$1,[2]quests!$1:$1,0)+1),MATCH(D$1,[2]quests!$1:$1,0)-MATCH($C$1,[2]quests!$1:$1,0)+1,FALSE)</f>
        <v>ルイ16世襲来！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降臨21</v>
      </c>
      <c r="F6" s="21">
        <v>2</v>
      </c>
      <c r="G6" s="23" t="str">
        <f t="shared" si="1"/>
        <v>40021_2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【ウィザード級】ルイ16世襲来</v>
      </c>
      <c r="I6" s="21">
        <v>1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40021_2-2</v>
      </c>
      <c r="B7" s="16" t="str">
        <f>IF(COUNTIF(enemy_habitats!$H:$H,A7),"OK","NG")</f>
        <v>OK</v>
      </c>
      <c r="C7" s="7">
        <v>40021</v>
      </c>
      <c r="D7" s="11" t="str">
        <f ca="1">VLOOKUP($C7,OFFSET([2]quests!$A$1,0,0,COUNTA([2]quests!$A:$A),MATCH(D$1,[2]quests!$1:$1,0)-MATCH($C$1,[2]quests!$1:$1,0)+1),MATCH(D$1,[2]quests!$1:$1,0)-MATCH($C$1,[2]quests!$1:$1,0)+1,FALSE)</f>
        <v>ルイ16世襲来！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降臨21</v>
      </c>
      <c r="F7" s="21">
        <v>2</v>
      </c>
      <c r="G7" s="23" t="str">
        <f t="shared" si="1"/>
        <v>40021_2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【ウィザード級】ルイ16世襲来</v>
      </c>
      <c r="I7" s="21">
        <v>2</v>
      </c>
      <c r="J7" s="12">
        <v>40</v>
      </c>
      <c r="K7" s="12">
        <v>40</v>
      </c>
    </row>
    <row r="8" spans="1:11" ht="21" customHeight="1" x14ac:dyDescent="0.15">
      <c r="A8" s="16" t="str">
        <f t="shared" si="0"/>
        <v>40021_2-3</v>
      </c>
      <c r="B8" s="16" t="str">
        <f>IF(COUNTIF(enemy_habitats!$H:$H,A8),"OK","NG")</f>
        <v>OK</v>
      </c>
      <c r="C8" s="7">
        <v>40021</v>
      </c>
      <c r="D8" s="11" t="str">
        <f ca="1">VLOOKUP($C8,OFFSET([2]quests!$A$1,0,0,COUNTA([2]quests!$A:$A),MATCH(D$1,[2]quests!$1:$1,0)-MATCH($C$1,[2]quests!$1:$1,0)+1),MATCH(D$1,[2]quests!$1:$1,0)-MATCH($C$1,[2]quests!$1:$1,0)+1,FALSE)</f>
        <v>ルイ16世襲来！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降臨21</v>
      </c>
      <c r="F8" s="21">
        <v>2</v>
      </c>
      <c r="G8" s="23" t="str">
        <f t="shared" si="1"/>
        <v>40021_2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【ウィザード級】ルイ16世襲来</v>
      </c>
      <c r="I8" s="21">
        <v>3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40021_2-4</v>
      </c>
      <c r="B9" s="16" t="str">
        <f>IF(COUNTIF(enemy_habitats!$H:$H,A9),"OK","NG")</f>
        <v>OK</v>
      </c>
      <c r="C9" s="7">
        <v>40021</v>
      </c>
      <c r="D9" s="11" t="str">
        <f ca="1">VLOOKUP($C9,OFFSET([2]quests!$A$1,0,0,COUNTA([2]quests!$A:$A),MATCH(D$1,[2]quests!$1:$1,0)-MATCH($C$1,[2]quests!$1:$1,0)+1),MATCH(D$1,[2]quests!$1:$1,0)-MATCH($C$1,[2]quests!$1:$1,0)+1,FALSE)</f>
        <v>ルイ16世襲来！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降臨21</v>
      </c>
      <c r="F9" s="21">
        <v>2</v>
      </c>
      <c r="G9" s="23" t="str">
        <f t="shared" si="1"/>
        <v>40021_2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【ウィザード級】ルイ16世襲来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40021_2-5</v>
      </c>
      <c r="B10" s="16" t="str">
        <f>IF(COUNTIF(enemy_habitats!$H:$H,A10),"OK","NG")</f>
        <v>OK</v>
      </c>
      <c r="C10" s="7">
        <v>40021</v>
      </c>
      <c r="D10" s="11" t="str">
        <f ca="1">VLOOKUP($C10,OFFSET([2]quests!$A$1,0,0,COUNTA([2]quests!$A:$A),MATCH(D$1,[2]quests!$1:$1,0)-MATCH($C$1,[2]quests!$1:$1,0)+1),MATCH(D$1,[2]quests!$1:$1,0)-MATCH($C$1,[2]quests!$1:$1,0)+1,FALSE)</f>
        <v>ルイ16世襲来！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降臨21</v>
      </c>
      <c r="F10" s="21">
        <v>2</v>
      </c>
      <c r="G10" s="23" t="str">
        <f t="shared" si="1"/>
        <v>40021_2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【ウィザード級】ルイ16世襲来</v>
      </c>
      <c r="I10" s="21">
        <v>5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2"/>
  <sheetViews>
    <sheetView showGridLines="0" zoomScale="75" zoomScaleNormal="75" zoomScalePageLayoutView="75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L3" sqref="L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9" t="s">
        <v>249</v>
      </c>
      <c r="U1" s="26" t="s">
        <v>50</v>
      </c>
      <c r="V1" s="99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6" si="0">B2&amp;"_"&amp;C2&amp;"-"&amp;G2&amp;"/"&amp;L2&amp;"&lt;lv"&amp;R2&amp;"&gt;s"&amp;AC2</f>
        <v>40021_1-1/939&lt;lv80&gt;s2</v>
      </c>
      <c r="B2" s="22">
        <v>40021</v>
      </c>
      <c r="C2" s="21">
        <v>1</v>
      </c>
      <c r="D2" s="2" t="str">
        <f t="shared" ref="D2:D6" si="1">B2&amp;"_"&amp;C2</f>
        <v>40021_1</v>
      </c>
      <c r="E2" s="4" t="str">
        <f ca="1">VLOOKUP($B2,OFFSET([2]quests!$A$1,0,0,COUNTA([2]quests!$A:$A),MATCH(E$1,[2]quests!$1:$1,0)-MATCH($B$1,[2]quests!$1:$1,0)+1),MATCH(E$1,[2]quests!$1:$1,0)-MATCH($B$1,[2]quests!$1:$1,0)+1,FALSE)</f>
        <v>ルイ16世襲来！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【超絶級】ルイ16世襲来 </v>
      </c>
      <c r="G2" s="21">
        <v>1</v>
      </c>
      <c r="H2" s="15" t="str">
        <f t="shared" ref="H2:H6" si="2">B2&amp;"_"&amp;C2&amp;"-"&amp;G2</f>
        <v>40021_1-1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939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バスティーユ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5">
        <v>1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156700</v>
      </c>
      <c r="U2" s="25">
        <v>1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6884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解除するまでパネルタップ回数を1減少</v>
      </c>
      <c r="Y2" s="62">
        <v>40021009</v>
      </c>
      <c r="Z2" s="6">
        <v>1</v>
      </c>
      <c r="AA2" s="6">
        <v>100</v>
      </c>
      <c r="AB2" s="6">
        <v>0</v>
      </c>
      <c r="AC2" s="102">
        <v>2</v>
      </c>
      <c r="AD2" s="24">
        <f t="shared" ref="AD2:AD6" si="3">L2</f>
        <v>939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6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40021_1-2/50&lt;lv80&gt;s3</v>
      </c>
      <c r="B3" s="22">
        <v>40021</v>
      </c>
      <c r="C3" s="21">
        <v>1</v>
      </c>
      <c r="D3" s="2" t="str">
        <f t="shared" si="1"/>
        <v>40021_1</v>
      </c>
      <c r="E3" s="4" t="str">
        <f ca="1">VLOOKUP($B3,OFFSET([2]quests!$A$1,0,0,COUNTA([2]quests!$A:$A),MATCH(E$1,[2]quests!$1:$1,0)-MATCH($B$1,[2]quests!$1:$1,0)+1),MATCH(E$1,[2]quests!$1:$1,0)-MATCH($B$1,[2]quests!$1:$1,0)+1,FALSE)</f>
        <v>ルイ16世襲来！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【超絶級】ルイ16世襲来 </v>
      </c>
      <c r="G3" s="21">
        <v>2</v>
      </c>
      <c r="H3" s="15" t="str">
        <f t="shared" si="2"/>
        <v>40021_1-2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50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炎銃のレジスタンス 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1.2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87979.199999999997</v>
      </c>
      <c r="U3" s="25">
        <v>1.4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9871.4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ハートパネル吸収攻撃</v>
      </c>
      <c r="Y3" s="62">
        <v>40021010</v>
      </c>
      <c r="Z3" s="6">
        <v>1</v>
      </c>
      <c r="AA3" s="6">
        <v>100</v>
      </c>
      <c r="AB3" s="6">
        <v>0</v>
      </c>
      <c r="AC3" s="102">
        <v>3</v>
      </c>
      <c r="AD3" s="24">
        <f t="shared" si="3"/>
        <v>50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40021_1-2/54&lt;lv80&gt;s2</v>
      </c>
      <c r="B4" s="22">
        <v>40021</v>
      </c>
      <c r="C4" s="21">
        <v>1</v>
      </c>
      <c r="D4" s="2" t="str">
        <f t="shared" si="1"/>
        <v>40021_1</v>
      </c>
      <c r="E4" s="4" t="str">
        <f ca="1">VLOOKUP($B4,OFFSET([2]quests!$A$1,0,0,COUNTA([2]quests!$A:$A),MATCH(E$1,[2]quests!$1:$1,0)-MATCH($B$1,[2]quests!$1:$1,0)+1),MATCH(E$1,[2]quests!$1:$1,0)-MATCH($B$1,[2]quests!$1:$1,0)+1,FALSE)</f>
        <v>ルイ16世襲来！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【超絶級】ルイ16世襲来 </v>
      </c>
      <c r="G4" s="21">
        <v>2</v>
      </c>
      <c r="H4" s="15" t="str">
        <f t="shared" si="2"/>
        <v>40021_1-2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54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蒼斬のレジスタンス ケンジ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1.2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60675.6</v>
      </c>
      <c r="U4" s="25">
        <v>0.7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5579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全体回復</v>
      </c>
      <c r="Y4" s="62">
        <v>40021011</v>
      </c>
      <c r="Z4" s="6">
        <v>1</v>
      </c>
      <c r="AA4" s="6">
        <v>100</v>
      </c>
      <c r="AB4" s="6">
        <v>0</v>
      </c>
      <c r="AC4" s="102">
        <v>2</v>
      </c>
      <c r="AD4" s="24">
        <f t="shared" si="3"/>
        <v>54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蒼斬のレジスタンス ケンジ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40021_1-3/933&lt;lv80&gt;s2</v>
      </c>
      <c r="B5" s="22">
        <v>40021</v>
      </c>
      <c r="C5" s="21">
        <v>1</v>
      </c>
      <c r="D5" s="2" t="str">
        <f t="shared" si="1"/>
        <v>40021_1</v>
      </c>
      <c r="E5" s="4" t="str">
        <f ca="1">VLOOKUP($B5,OFFSET([2]quests!$A$1,0,0,COUNTA([2]quests!$A:$A),MATCH(E$1,[2]quests!$1:$1,0)-MATCH($B$1,[2]quests!$1:$1,0)+1),MATCH(E$1,[2]quests!$1:$1,0)-MATCH($B$1,[2]quests!$1:$1,0)+1,FALSE)</f>
        <v>ルイ16世襲来！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【超絶級】ルイ16世襲来 </v>
      </c>
      <c r="G5" s="21">
        <v>3</v>
      </c>
      <c r="H5" s="15" t="str">
        <f t="shared" si="2"/>
        <v>40021_1-3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933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ヴェルサイユ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1.5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155746.5</v>
      </c>
      <c r="U5" s="25">
        <v>0.5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5550.5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5" s="62">
        <v>40021012</v>
      </c>
      <c r="Z5" s="6">
        <v>1</v>
      </c>
      <c r="AA5" s="6">
        <v>100</v>
      </c>
      <c r="AB5" s="6">
        <v>0</v>
      </c>
      <c r="AC5" s="102">
        <v>2</v>
      </c>
      <c r="AD5" s="24">
        <f t="shared" si="3"/>
        <v>933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40021_1-4/935&lt;lv80&gt;s2</v>
      </c>
      <c r="B6" s="22">
        <v>40021</v>
      </c>
      <c r="C6" s="21">
        <v>1</v>
      </c>
      <c r="D6" s="2" t="str">
        <f t="shared" si="1"/>
        <v>40021_1</v>
      </c>
      <c r="E6" s="4" t="str">
        <f ca="1">VLOOKUP($B6,OFFSET([2]quests!$A$1,0,0,COUNTA([2]quests!$A:$A),MATCH(E$1,[2]quests!$1:$1,0)-MATCH($B$1,[2]quests!$1:$1,0)+1),MATCH(E$1,[2]quests!$1:$1,0)-MATCH($B$1,[2]quests!$1:$1,0)+1,FALSE)</f>
        <v>ルイ16世襲来！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【超絶級】ルイ16世襲来 </v>
      </c>
      <c r="G6" s="21">
        <v>4</v>
      </c>
      <c r="H6" s="15" t="str">
        <f t="shared" si="2"/>
        <v>40021_1-4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935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ルイ16世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1.5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195355.5</v>
      </c>
      <c r="U6" s="25">
        <v>1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8987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ボムの爆風を50%DOWN_x000D_＋全ての効果を解除</v>
      </c>
      <c r="Y6" s="62">
        <v>40021013</v>
      </c>
      <c r="Z6" s="6">
        <v>1</v>
      </c>
      <c r="AA6" s="6">
        <v>100</v>
      </c>
      <c r="AB6" s="6">
        <v>0</v>
      </c>
      <c r="AC6" s="102">
        <v>2</v>
      </c>
      <c r="AD6" s="24">
        <f t="shared" si="3"/>
        <v>935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ルイ16世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ref="A7:A12" si="5">B7&amp;"_"&amp;C7&amp;"-"&amp;G7&amp;"/"&amp;L7&amp;"&lt;lv"&amp;R7&amp;"&gt;s"&amp;AC7</f>
        <v>40021_2-1/939&lt;lv80&gt;s2</v>
      </c>
      <c r="B7" s="22">
        <v>40021</v>
      </c>
      <c r="C7" s="21">
        <v>2</v>
      </c>
      <c r="D7" s="2" t="str">
        <f t="shared" ref="D7:D12" si="6">B7&amp;"_"&amp;C7</f>
        <v>40021_2</v>
      </c>
      <c r="E7" s="4" t="str">
        <f ca="1">VLOOKUP($B7,OFFSET([2]quests!$A$1,0,0,COUNTA([2]quests!$A:$A),MATCH(E$1,[2]quests!$1:$1,0)-MATCH($B$1,[2]quests!$1:$1,0)+1),MATCH(E$1,[2]quests!$1:$1,0)-MATCH($B$1,[2]quests!$1:$1,0)+1,FALSE)</f>
        <v>ルイ16世襲来！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【ウィザード級】ルイ16世襲来</v>
      </c>
      <c r="G7" s="21">
        <v>1</v>
      </c>
      <c r="H7" s="15" t="str">
        <f t="shared" ref="H7:H12" si="7">B7&amp;"_"&amp;C7&amp;"-"&amp;G7</f>
        <v>40021_2-1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939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バスティーユ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1.6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250720</v>
      </c>
      <c r="U7" s="25">
        <v>1.2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8260.7999999999993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解除するまでパネルタップ回数を1減少</v>
      </c>
      <c r="Y7" s="62">
        <v>40021001</v>
      </c>
      <c r="Z7" s="6">
        <v>1</v>
      </c>
      <c r="AA7" s="6">
        <v>100</v>
      </c>
      <c r="AB7" s="6">
        <v>0</v>
      </c>
      <c r="AC7" s="102">
        <v>2</v>
      </c>
      <c r="AD7" s="24">
        <f t="shared" ref="AD7:AD12" si="8">L7</f>
        <v>939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4">
        <f t="shared" ref="AI7:AI12" ca="1" si="9">AF7</f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5"/>
        <v>40021_2-2/50&lt;lv80&gt;s3</v>
      </c>
      <c r="B8" s="22">
        <v>40021</v>
      </c>
      <c r="C8" s="21">
        <v>2</v>
      </c>
      <c r="D8" s="2" t="str">
        <f t="shared" si="6"/>
        <v>40021_2</v>
      </c>
      <c r="E8" s="4" t="str">
        <f ca="1">VLOOKUP($B8,OFFSET([2]quests!$A$1,0,0,COUNTA([2]quests!$A:$A),MATCH(E$1,[2]quests!$1:$1,0)-MATCH($B$1,[2]quests!$1:$1,0)+1),MATCH(E$1,[2]quests!$1:$1,0)-MATCH($B$1,[2]quests!$1:$1,0)+1,FALSE)</f>
        <v>ルイ16世襲来！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【ウィザード級】ルイ16世襲来</v>
      </c>
      <c r="G8" s="21">
        <v>2</v>
      </c>
      <c r="H8" s="15" t="str">
        <f t="shared" si="7"/>
        <v>40021_2-2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53</v>
      </c>
      <c r="L8" s="20">
        <v>50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炎銃のレジスタンス ヨシタカ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80</v>
      </c>
      <c r="S8" s="25">
        <v>2</v>
      </c>
      <c r="T8" s="10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146632</v>
      </c>
      <c r="U8" s="25">
        <v>1.7</v>
      </c>
      <c r="V8" s="10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11986.699999999999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8" s="62">
        <v>40021002</v>
      </c>
      <c r="Z8" s="6">
        <v>1</v>
      </c>
      <c r="AA8" s="6">
        <v>100</v>
      </c>
      <c r="AB8" s="6">
        <v>0</v>
      </c>
      <c r="AC8" s="102">
        <v>3</v>
      </c>
      <c r="AD8" s="24">
        <f t="shared" si="8"/>
        <v>50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炎銃のレジスタンス ヨシタカ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9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5"/>
        <v>40021_2-2/54&lt;lv80&gt;s2</v>
      </c>
      <c r="B9" s="22">
        <v>40021</v>
      </c>
      <c r="C9" s="21">
        <v>2</v>
      </c>
      <c r="D9" s="2" t="str">
        <f t="shared" si="6"/>
        <v>40021_2</v>
      </c>
      <c r="E9" s="4" t="str">
        <f ca="1">VLOOKUP($B9,OFFSET([2]quests!$A$1,0,0,COUNTA([2]quests!$A:$A),MATCH(E$1,[2]quests!$1:$1,0)-MATCH($B$1,[2]quests!$1:$1,0)+1),MATCH(E$1,[2]quests!$1:$1,0)-MATCH($B$1,[2]quests!$1:$1,0)+1,FALSE)</f>
        <v>ルイ16世襲来！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【ウィザード級】ルイ16世襲来</v>
      </c>
      <c r="G9" s="21">
        <v>2</v>
      </c>
      <c r="H9" s="15" t="str">
        <f t="shared" si="7"/>
        <v>40021_2-2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53</v>
      </c>
      <c r="L9" s="20">
        <v>54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蒼斬のレジスタンス ケンジ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80</v>
      </c>
      <c r="S9" s="25">
        <v>2</v>
      </c>
      <c r="T9" s="10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101126</v>
      </c>
      <c r="U9" s="25">
        <v>0.9</v>
      </c>
      <c r="V9" s="10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7173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全体回復</v>
      </c>
      <c r="Y9" s="62">
        <v>40021003</v>
      </c>
      <c r="Z9" s="6">
        <v>1</v>
      </c>
      <c r="AA9" s="6">
        <v>100</v>
      </c>
      <c r="AB9" s="6">
        <v>0</v>
      </c>
      <c r="AC9" s="102">
        <v>2</v>
      </c>
      <c r="AD9" s="24">
        <f t="shared" si="8"/>
        <v>54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蒼斬のレジスタンス ケンジ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9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5"/>
        <v>40021_2-3/933&lt;lv80&gt;s2</v>
      </c>
      <c r="B10" s="22">
        <v>40021</v>
      </c>
      <c r="C10" s="21">
        <v>2</v>
      </c>
      <c r="D10" s="2" t="str">
        <f t="shared" si="6"/>
        <v>40021_2</v>
      </c>
      <c r="E10" s="4" t="str">
        <f ca="1">VLOOKUP($B10,OFFSET([2]quests!$A$1,0,0,COUNTA([2]quests!$A:$A),MATCH(E$1,[2]quests!$1:$1,0)-MATCH($B$1,[2]quests!$1:$1,0)+1),MATCH(E$1,[2]quests!$1:$1,0)-MATCH($B$1,[2]quests!$1:$1,0)+1,FALSE)</f>
        <v>ルイ16世襲来！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【ウィザード級】ルイ16世襲来</v>
      </c>
      <c r="G10" s="21">
        <v>3</v>
      </c>
      <c r="H10" s="15" t="str">
        <f t="shared" si="7"/>
        <v>40021_2-3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8" t="s">
        <v>53</v>
      </c>
      <c r="L10" s="20">
        <v>933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ヴェルサイユ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5">
        <v>2.4</v>
      </c>
      <c r="T10" s="10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249194.4</v>
      </c>
      <c r="U10" s="25">
        <v>0.7</v>
      </c>
      <c r="V10" s="10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7770.7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10" s="62">
        <v>40021004</v>
      </c>
      <c r="Z10" s="6">
        <v>1</v>
      </c>
      <c r="AA10" s="6">
        <v>100</v>
      </c>
      <c r="AB10" s="6">
        <v>0</v>
      </c>
      <c r="AC10" s="102">
        <v>2</v>
      </c>
      <c r="AD10" s="24">
        <f t="shared" si="8"/>
        <v>933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9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40021_2-4/941&lt;lv80&gt;s1</v>
      </c>
      <c r="B11" s="22">
        <v>40021</v>
      </c>
      <c r="C11" s="21">
        <v>2</v>
      </c>
      <c r="D11" s="2" t="str">
        <f t="shared" si="6"/>
        <v>40021_2</v>
      </c>
      <c r="E11" s="4" t="str">
        <f ca="1">VLOOKUP($B11,OFFSET([2]quests!$A$1,0,0,COUNTA([2]quests!$A:$A),MATCH(E$1,[2]quests!$1:$1,0)-MATCH($B$1,[2]quests!$1:$1,0)+1),MATCH(E$1,[2]quests!$1:$1,0)-MATCH($B$1,[2]quests!$1:$1,0)+1,FALSE)</f>
        <v>ルイ16世襲来！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【ウィザード級】ルイ16世襲来</v>
      </c>
      <c r="G11" s="21">
        <v>4</v>
      </c>
      <c r="H11" s="15" t="str">
        <f t="shared" si="7"/>
        <v>40021_2-4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941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アントワネット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5">
        <v>2.1</v>
      </c>
      <c r="T11" s="10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246147.30000000002</v>
      </c>
      <c r="U11" s="25">
        <v>1.2</v>
      </c>
      <c r="V11" s="10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9325.1999999999989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黄パネルをハートパネルに変換＋ボムの爆風を50%DOWN</v>
      </c>
      <c r="Y11" s="62">
        <v>40021005</v>
      </c>
      <c r="Z11" s="6">
        <v>1</v>
      </c>
      <c r="AA11" s="6">
        <v>100</v>
      </c>
      <c r="AB11" s="6">
        <v>0</v>
      </c>
      <c r="AC11" s="102">
        <v>1</v>
      </c>
      <c r="AD11" s="24">
        <f t="shared" si="8"/>
        <v>941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アントワネット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4">
        <f t="shared" ca="1" si="9"/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40021_2-5/935&lt;lv80&gt;s2</v>
      </c>
      <c r="B12" s="22">
        <v>40021</v>
      </c>
      <c r="C12" s="21">
        <v>2</v>
      </c>
      <c r="D12" s="2" t="str">
        <f t="shared" si="6"/>
        <v>40021_2</v>
      </c>
      <c r="E12" s="4" t="str">
        <f ca="1">VLOOKUP($B12,OFFSET([2]quests!$A$1,0,0,COUNTA([2]quests!$A:$A),MATCH(E$1,[2]quests!$1:$1,0)-MATCH($B$1,[2]quests!$1:$1,0)+1),MATCH(E$1,[2]quests!$1:$1,0)-MATCH($B$1,[2]quests!$1:$1,0)+1,FALSE)</f>
        <v>ルイ16世襲来！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【ウィザード級】ルイ16世襲来</v>
      </c>
      <c r="G12" s="21">
        <v>5</v>
      </c>
      <c r="H12" s="15" t="str">
        <f t="shared" si="7"/>
        <v>40021_2-5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2</v>
      </c>
      <c r="L12" s="20">
        <v>935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ルイ16世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80</v>
      </c>
      <c r="S12" s="25">
        <v>2.7</v>
      </c>
      <c r="T12" s="100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351639.9</v>
      </c>
      <c r="U12" s="25">
        <v>1.4</v>
      </c>
      <c r="V12" s="100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12581.8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ボムの爆風を50%DOWN_x000D_＋全ての効果を解除</v>
      </c>
      <c r="Y12" s="62">
        <v>40021006</v>
      </c>
      <c r="Z12" s="6">
        <v>1</v>
      </c>
      <c r="AA12" s="6">
        <v>100</v>
      </c>
      <c r="AB12" s="6">
        <v>0</v>
      </c>
      <c r="AC12" s="102">
        <v>2</v>
      </c>
      <c r="AD12" s="24">
        <f t="shared" si="8"/>
        <v>935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ルイ16世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7">
        <v>1</v>
      </c>
      <c r="AI12" s="24">
        <f t="shared" ca="1" si="9"/>
        <v>5</v>
      </c>
      <c r="AJ12" s="8">
        <v>30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3" sqref="Z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9" t="s">
        <v>249</v>
      </c>
      <c r="V1" s="26" t="s">
        <v>50</v>
      </c>
      <c r="W1" s="99" t="s">
        <v>250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40021_1-4/936&lt;lv80&gt;sq1st2</v>
      </c>
      <c r="B2" s="22">
        <v>40021</v>
      </c>
      <c r="C2" s="21">
        <v>1</v>
      </c>
      <c r="D2" s="2" t="str">
        <f>B2&amp;"_"&amp;C2</f>
        <v>40021_1</v>
      </c>
      <c r="E2" s="4" t="str">
        <f ca="1">VLOOKUP($B2,OFFSET([2]quests!$A$1,0,0,COUNTA([2]quests!$A:$A),MATCH(E$1,[2]quests!$1:$1,0)-MATCH($B$1,[2]quests!$1:$1,0)+1),MATCH(E$1,[2]quests!$1:$1,0)-MATCH($B$1,[2]quests!$1:$1,0)+1,FALSE)</f>
        <v>ルイ16世襲来！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【超絶級】ルイ16世襲来 </v>
      </c>
      <c r="G2" s="21">
        <v>4</v>
      </c>
      <c r="H2" s="15" t="str">
        <f>B2&amp;"_"&amp;C2&amp;"-"&amp;G2</f>
        <v>40021_1-4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936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憲誓の煉王 ルイ16世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1.9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247450.3</v>
      </c>
      <c r="V2" s="25">
        <v>1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8987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2ターン攻撃頻度UP</v>
      </c>
      <c r="Z2" s="103">
        <v>40021014</v>
      </c>
      <c r="AA2" s="126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40021_1-4/936&lt;lv80&gt;sq1st3</v>
      </c>
      <c r="B3" s="22">
        <v>40021</v>
      </c>
      <c r="C3" s="21">
        <v>1</v>
      </c>
      <c r="D3" s="2" t="str">
        <f>B3&amp;"_"&amp;C3</f>
        <v>40021_1</v>
      </c>
      <c r="E3" s="4" t="str">
        <f ca="1">VLOOKUP($B3,OFFSET([2]quests!$A$1,0,0,COUNTA([2]quests!$A:$A),MATCH(E$1,[2]quests!$1:$1,0)-MATCH($B$1,[2]quests!$1:$1,0)+1),MATCH(E$1,[2]quests!$1:$1,0)-MATCH($B$1,[2]quests!$1:$1,0)+1,FALSE)</f>
        <v>ルイ16世襲来！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【超絶級】ルイ16世襲来 </v>
      </c>
      <c r="G3" s="21">
        <v>4</v>
      </c>
      <c r="H3" s="15" t="str">
        <f>B3&amp;"_"&amp;C3&amp;"-"&amp;G3</f>
        <v>40021_1-4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936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憲誓の煉王 ルイ16世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2.2999999999999998</v>
      </c>
      <c r="U3" s="10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299545.09999999998</v>
      </c>
      <c r="V3" s="25">
        <v>1</v>
      </c>
      <c r="W3" s="10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8987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3ターンハートパネル無効＋状態異常耐性</v>
      </c>
      <c r="Z3" s="103">
        <v>40021015</v>
      </c>
      <c r="AA3" s="126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40021_2-5/936&lt;lv80&gt;sq2st2</v>
      </c>
      <c r="B4" s="22">
        <v>40021</v>
      </c>
      <c r="C4" s="21">
        <v>2</v>
      </c>
      <c r="D4" s="2" t="str">
        <f>B4&amp;"_"&amp;C4</f>
        <v>40021_2</v>
      </c>
      <c r="E4" s="4" t="str">
        <f ca="1">VLOOKUP($B4,OFFSET([2]quests!$A$1,0,0,COUNTA([2]quests!$A:$A),MATCH(E$1,[2]quests!$1:$1,0)-MATCH($B$1,[2]quests!$1:$1,0)+1),MATCH(E$1,[2]quests!$1:$1,0)-MATCH($B$1,[2]quests!$1:$1,0)+1,FALSE)</f>
        <v>ルイ16世襲来！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【ウィザード級】ルイ16世襲来</v>
      </c>
      <c r="G4" s="21">
        <v>5</v>
      </c>
      <c r="H4" s="15" t="str">
        <f>B4&amp;"_"&amp;C4&amp;"-"&amp;G4</f>
        <v>40021_2-5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936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憲誓の煉王 ルイ16世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</v>
      </c>
      <c r="U4" s="10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390711</v>
      </c>
      <c r="V4" s="25">
        <v>1.4</v>
      </c>
      <c r="W4" s="10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12581.8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2ターン攻撃頻度UP</v>
      </c>
      <c r="Z4" s="103">
        <v>40021007</v>
      </c>
      <c r="AA4" s="126">
        <v>2</v>
      </c>
    </row>
    <row r="5" spans="1:27" ht="21" customHeight="1" x14ac:dyDescent="0.15">
      <c r="A5" s="16" t="str">
        <f>B5&amp;"_"&amp;C5&amp;"-"&amp;G5&amp;"/"&amp;M5&amp;"&lt;lv"&amp;S5&amp;"&gt;sq"&amp;K5&amp;"st"&amp;L5</f>
        <v>40021_2-5/936&lt;lv80&gt;sq2st3</v>
      </c>
      <c r="B5" s="22">
        <v>40021</v>
      </c>
      <c r="C5" s="21">
        <v>2</v>
      </c>
      <c r="D5" s="2" t="str">
        <f>B5&amp;"_"&amp;C5</f>
        <v>40021_2</v>
      </c>
      <c r="E5" s="4" t="str">
        <f ca="1">VLOOKUP($B5,OFFSET([2]quests!$A$1,0,0,COUNTA([2]quests!$A:$A),MATCH(E$1,[2]quests!$1:$1,0)-MATCH($B$1,[2]quests!$1:$1,0)+1),MATCH(E$1,[2]quests!$1:$1,0)-MATCH($B$1,[2]quests!$1:$1,0)+1,FALSE)</f>
        <v>ルイ16世襲来！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【ウィザード級】ルイ16世襲来</v>
      </c>
      <c r="G5" s="21">
        <v>5</v>
      </c>
      <c r="H5" s="15" t="str">
        <f>B5&amp;"_"&amp;C5&amp;"-"&amp;G5</f>
        <v>40021_2-5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936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憲誓の煉王 ルイ16世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3.4</v>
      </c>
      <c r="U5" s="10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442805.8</v>
      </c>
      <c r="V5" s="25">
        <v>1.4</v>
      </c>
      <c r="W5" s="10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12581.8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3ターンハートパネル無効＋状態異常耐性</v>
      </c>
      <c r="Z5" s="103">
        <v>40021008</v>
      </c>
      <c r="AA5" s="126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6"/>
  <sheetViews>
    <sheetView showGridLines="0" zoomScale="75" zoomScaleNormal="75" zoomScalePageLayoutView="75" workbookViewId="0">
      <pane ySplit="1" topLeftCell="A2" activePane="bottomLeft" state="frozenSplit"/>
      <selection pane="bottomLeft" activeCell="F27" sqref="F2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40021001</v>
      </c>
      <c r="B2" s="47" t="s">
        <v>271</v>
      </c>
      <c r="C2" s="50">
        <v>3</v>
      </c>
      <c r="D2" s="50" t="s">
        <v>128</v>
      </c>
      <c r="E2" s="51" t="s">
        <v>387</v>
      </c>
      <c r="F2" s="51" t="s">
        <v>255</v>
      </c>
      <c r="G2" s="64" t="str">
        <f t="shared" ref="G2:G16" si="0">IFERROR(LEFT(B2,FIND("],",B2)),B2)</f>
        <v>[effect:fix_speed, target:myself, turn:2]</v>
      </c>
      <c r="H2" s="64">
        <f t="shared" ref="H2:H16" si="1">FIND("effect:",G2)+7</f>
        <v>9</v>
      </c>
      <c r="I2" s="64">
        <f t="shared" ref="I2:I16" si="2">IFERROR(FIND(",",G2),LEN(G2))</f>
        <v>18</v>
      </c>
      <c r="J2" s="64">
        <f t="shared" ref="J2:J16" si="3">FIND("target:",G2)+7</f>
        <v>27</v>
      </c>
      <c r="K2" s="64">
        <f t="shared" ref="K2:K16" si="4">FIND(",",G2,I2+1)</f>
        <v>33</v>
      </c>
      <c r="L2" s="64" t="str">
        <f>IFERROR(VLOOKUP(MID(G2,J2,K2-J2),[5]skilldef!$C:$D,2,FALSE),"-") &amp; " / " &amp; IFERROR(VLOOKUP(MID(G2,H2,I2-H2),[5]skilldef!$A:$B,2,FALSE),"-")</f>
        <v>自分自身に / 行動値設定</v>
      </c>
      <c r="M2" s="64" t="str">
        <f t="shared" ref="M2:M25" si="5">IFERROR(RIGHT(B2,LEN(B2)-FIND("],",B2)-1),"none")</f>
        <v>[effect:degrade_unit, target:unit_all, turn:-1, status:action, val:1, calc:add, animation:enemy_tap_down]</v>
      </c>
      <c r="N2" s="48" t="str">
        <f>IFERROR(LEFT(M2,FIND("],",M2)+S14),M2)</f>
        <v>[effect:degrade_unit, target:unit_all, turn:-1, status:action, val:1, calc:add, animation:enemy_tap_down]</v>
      </c>
      <c r="O2" s="64">
        <f t="shared" ref="O2:O45" si="6">FIND("effect:",N2)+7</f>
        <v>9</v>
      </c>
      <c r="P2" s="64">
        <f t="shared" ref="P2:P25" si="7">IFERROR(FIND(",",N2),LEN(N2))</f>
        <v>21</v>
      </c>
      <c r="Q2" s="64">
        <f t="shared" ref="Q2:Q25" si="8">FIND("target:",N2)+7</f>
        <v>30</v>
      </c>
      <c r="R2" s="64">
        <f t="shared" ref="R2:R25" si="9">FIND(",",N2,P2+1)</f>
        <v>38</v>
      </c>
      <c r="S2" s="64" t="str">
        <f>IFERROR(VLOOKUP(MID(N2,Q2,R2-Q2),[5]skilldef!$C:$D,2,FALSE),"-") &amp; " / " &amp; IFERROR(VLOOKUP(MID(N2,O2,P2-O2),[5]skilldef!$A:$B,2,FALSE),"-")</f>
        <v>味方全体に / ステータスDOWN</v>
      </c>
      <c r="T2" s="48" t="str">
        <f t="shared" ref="T2:T25" si="10">IFERROR(RIGHT(M2,LEN(M2)-FIND("],",M2)-1),"none")</f>
        <v>none</v>
      </c>
      <c r="U2" s="64" t="e">
        <f t="shared" ref="U2:U45" si="11">FIND("effect:",T2)+7</f>
        <v>#VALUE!</v>
      </c>
      <c r="V2" s="64">
        <f t="shared" ref="V2:V25" si="12">IFERROR(FIND(",",T2),LEN(T2))</f>
        <v>4</v>
      </c>
      <c r="W2" s="64" t="e">
        <f t="shared" ref="W2:W25" si="13">FIND("target:",T2)+7</f>
        <v>#VALUE!</v>
      </c>
      <c r="X2" s="64" t="e">
        <f t="shared" ref="X2:X25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40021002</v>
      </c>
      <c r="B3" s="47" t="s">
        <v>271</v>
      </c>
      <c r="C3" s="50">
        <v>3</v>
      </c>
      <c r="D3" s="50" t="s">
        <v>128</v>
      </c>
      <c r="E3" s="51" t="s">
        <v>335</v>
      </c>
      <c r="F3" s="51" t="s">
        <v>255</v>
      </c>
      <c r="G3" s="64" t="str">
        <f t="shared" ref="G3" si="15">IFERROR(LEFT(B3,FIND("],",B3)),B3)</f>
        <v>[effect:fix_speed, target:myself, turn:2]</v>
      </c>
      <c r="H3" s="64">
        <f t="shared" ref="H3" si="16">FIND("effect:",G3)+7</f>
        <v>9</v>
      </c>
      <c r="I3" s="64">
        <f t="shared" ref="I3" si="17">IFERROR(FIND(",",G3),LEN(G3))</f>
        <v>18</v>
      </c>
      <c r="J3" s="64">
        <f t="shared" ref="J3" si="18">FIND("target:",G3)+7</f>
        <v>27</v>
      </c>
      <c r="K3" s="64">
        <f t="shared" ref="K3" si="19">FIND(",",G3,I3+1)</f>
        <v>33</v>
      </c>
      <c r="L3" s="64" t="str">
        <f>IFERROR(VLOOKUP(MID(G3,J3,K3-J3),[5]skilldef!$C:$D,2,FALSE),"-") &amp; " / " &amp; IFERROR(VLOOKUP(MID(G3,H3,I3-H3),[5]skilldef!$A:$B,2,FALSE),"-")</f>
        <v>自分自身に / 行動値設定</v>
      </c>
      <c r="M3" s="64" t="str">
        <f t="shared" ref="M3" si="20">IFERROR(RIGHT(B3,LEN(B3)-FIND("],",B3)-1),"none")</f>
        <v>[effect:degrade_unit, target:unit_all, turn:-1, status:action, val:1, calc:add, animation:enemy_tap_down]</v>
      </c>
      <c r="N3" s="48" t="str">
        <f>IFERROR(LEFT(M3,FIND("],",M3)+S16),M3)</f>
        <v>[effect:degrade_unit, target:unit_all, turn:-1, status:action, val:1, calc:add, animation:enemy_tap_down]</v>
      </c>
      <c r="O3" s="64">
        <f t="shared" ref="O3" si="21">FIND("effect:",N3)+7</f>
        <v>9</v>
      </c>
      <c r="P3" s="64">
        <f t="shared" ref="P3" si="22">IFERROR(FIND(",",N3),LEN(N3))</f>
        <v>21</v>
      </c>
      <c r="Q3" s="64">
        <f t="shared" ref="Q3" si="23">FIND("target:",N3)+7</f>
        <v>30</v>
      </c>
      <c r="R3" s="64">
        <f t="shared" ref="R3" si="24">FIND(",",N3,P3+1)</f>
        <v>38</v>
      </c>
      <c r="S3" s="64" t="str">
        <f>IFERROR(VLOOKUP(MID(N3,Q3,R3-Q3),[5]skilldef!$C:$D,2,FALSE),"-") &amp; " / " &amp; IFERROR(VLOOKUP(MID(N3,O3,P3-O3),[5]skilldef!$A:$B,2,FALSE),"-")</f>
        <v>味方全体に / ステータスDOWN</v>
      </c>
      <c r="T3" s="48" t="str">
        <f t="shared" ref="T3" si="25">IFERROR(RIGHT(M3,LEN(M3)-FIND("],",M3)-1),"none")</f>
        <v>none</v>
      </c>
      <c r="U3" s="64" t="e">
        <f t="shared" ref="U3" si="26">FIND("effect:",T3)+7</f>
        <v>#VALUE!</v>
      </c>
      <c r="V3" s="64">
        <f t="shared" ref="V3" si="27">IFERROR(FIND(",",T3),LEN(T3))</f>
        <v>4</v>
      </c>
      <c r="W3" s="64" t="e">
        <f t="shared" ref="W3" si="28">FIND("target:",T3)+7</f>
        <v>#VALUE!</v>
      </c>
      <c r="X3" s="64" t="e">
        <f t="shared" ref="X3" si="29">FIND(",",T3,V3+1)</f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40021003</v>
      </c>
      <c r="B4" s="47" t="s">
        <v>256</v>
      </c>
      <c r="C4" s="50">
        <v>3</v>
      </c>
      <c r="D4" s="50" t="s">
        <v>128</v>
      </c>
      <c r="E4" s="51" t="s">
        <v>388</v>
      </c>
      <c r="F4" s="51" t="s">
        <v>257</v>
      </c>
      <c r="G4" s="64" t="str">
        <f t="shared" si="0"/>
        <v>[effect:rush, count:2, val:0.6]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tr">
        <f>IFERROR(VLOOKUP(MID(G4,J4,K4-J4),[5]skilldef!$C:$D,2,FALSE),"-") &amp; " / " &amp; IFERROR(VLOOKUP(MID(G4,H4,I4-H4),[5]skilldef!$A:$B,2,FALSE),"-")</f>
        <v>- / 連続攻撃</v>
      </c>
      <c r="M4" s="64" t="str">
        <f t="shared" si="5"/>
        <v>none</v>
      </c>
      <c r="N4" s="48" t="str">
        <f>IFERROR(LEFT(M4,FIND("],",M4)+S16),M4)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40021004</v>
      </c>
      <c r="B5" s="47" t="s">
        <v>258</v>
      </c>
      <c r="C5" s="50">
        <v>3</v>
      </c>
      <c r="D5" s="50" t="s">
        <v>128</v>
      </c>
      <c r="E5" s="51" t="s">
        <v>389</v>
      </c>
      <c r="F5" s="51" t="s">
        <v>259</v>
      </c>
      <c r="G5" s="64" t="str">
        <f t="shared" si="0"/>
        <v>[effect:spread, val:0.25]</v>
      </c>
      <c r="H5" s="64">
        <f t="shared" si="1"/>
        <v>9</v>
      </c>
      <c r="I5" s="64">
        <f t="shared" si="2"/>
        <v>15</v>
      </c>
      <c r="J5" s="64" t="e">
        <f t="shared" si="3"/>
        <v>#VALUE!</v>
      </c>
      <c r="K5" s="64" t="e">
        <f t="shared" si="4"/>
        <v>#VALUE!</v>
      </c>
      <c r="L5" s="64" t="str">
        <f>IFERROR(VLOOKUP(MID(G5,J5,K5-J5),[5]skilldef!$C:$D,2,FALSE),"-") &amp; " / " &amp; IFERROR(VLOOKUP(MID(G5,H5,I5-H5),[5]skilldef!$A:$B,2,FALSE),"-")</f>
        <v>- / 全体攻撃</v>
      </c>
      <c r="M5" s="64" t="str">
        <f t="shared" si="5"/>
        <v>none</v>
      </c>
      <c r="N5" s="48" t="str">
        <f>IFERROR(LEFT(M5,FIND("],",M5)+S17),M5)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40021005</v>
      </c>
      <c r="B6" s="47" t="s">
        <v>300</v>
      </c>
      <c r="C6" s="50">
        <v>3</v>
      </c>
      <c r="D6" s="50" t="s">
        <v>128</v>
      </c>
      <c r="E6" s="51" t="s">
        <v>390</v>
      </c>
      <c r="F6" s="51" t="s">
        <v>315</v>
      </c>
      <c r="G6" s="64" t="str">
        <f t="shared" si="0"/>
        <v>[effect:freq_turn, target:myself, turn:-1, val:1, animation:enemy_freq_turn]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IFERROR(VLOOKUP(MID(G6,J6,K6-J6),[5]skilldef!$C:$D,2,FALSE),"-") &amp; " / " &amp; IFERROR(VLOOKUP(MID(G6,H6,I6-H6),[5]skilldef!$A:$B,2,FALSE),"-")</f>
        <v>自分自身に / 攻撃頻度がUP</v>
      </c>
      <c r="M6" s="64" t="str">
        <f t="shared" si="5"/>
        <v>none</v>
      </c>
      <c r="N6" s="48" t="str">
        <f>IFERROR(LEFT(M6,FIND("],",M6)+S18),M6)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40021006</v>
      </c>
      <c r="B7" s="47" t="s">
        <v>260</v>
      </c>
      <c r="C7" s="50">
        <v>3</v>
      </c>
      <c r="D7" s="50" t="s">
        <v>128</v>
      </c>
      <c r="E7" s="51" t="s">
        <v>419</v>
      </c>
      <c r="F7" s="51" t="s">
        <v>316</v>
      </c>
      <c r="G7" s="64" t="str">
        <f t="shared" si="0"/>
        <v>[effect:nothing]</v>
      </c>
      <c r="H7" s="64">
        <f t="shared" si="1"/>
        <v>9</v>
      </c>
      <c r="I7" s="64">
        <f t="shared" si="2"/>
        <v>16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IFERROR(VLOOKUP(MID(G7,J7,K7-J7),[5]skilldef!$C:$D,2,FALSE),"-") &amp; " / " &amp; IFERROR(VLOOKUP(MID(G7,H7,I7-H7),[5]skilldef!$A:$B,2,FALSE),"-")</f>
        <v>- / 何もしない</v>
      </c>
      <c r="M7" s="64" t="str">
        <f t="shared" si="5"/>
        <v>none</v>
      </c>
      <c r="N7" s="48" t="str">
        <f>IFERROR(LEFT(M7,FIND("],",M7)+S19),M7)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40021007</v>
      </c>
      <c r="B8" s="47" t="s">
        <v>260</v>
      </c>
      <c r="C8" s="50">
        <v>3</v>
      </c>
      <c r="D8" s="50" t="s">
        <v>128</v>
      </c>
      <c r="E8" s="51" t="s">
        <v>420</v>
      </c>
      <c r="F8" s="51" t="s">
        <v>317</v>
      </c>
      <c r="G8" s="64" t="str">
        <f t="shared" si="0"/>
        <v>[effect:nothing]</v>
      </c>
      <c r="H8" s="64">
        <f t="shared" si="1"/>
        <v>9</v>
      </c>
      <c r="I8" s="64">
        <f t="shared" si="2"/>
        <v>16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IFERROR(VLOOKUP(MID(G8,J8,K8-J8),[5]skilldef!$C:$D,2,FALSE),"-") &amp; " / " &amp; IFERROR(VLOOKUP(MID(G8,H8,I8-H8),[5]skilldef!$A:$B,2,FALSE),"-")</f>
        <v>- / 何もしない</v>
      </c>
      <c r="M8" s="64" t="str">
        <f t="shared" si="5"/>
        <v>none</v>
      </c>
      <c r="N8" s="48" t="str">
        <f>IFERROR(LEFT(M8,FIND("],",M8)+S20),M8)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40021008</v>
      </c>
      <c r="B9" s="47" t="s">
        <v>266</v>
      </c>
      <c r="C9" s="50">
        <v>3</v>
      </c>
      <c r="D9" s="50" t="s">
        <v>128</v>
      </c>
      <c r="E9" s="51" t="s">
        <v>282</v>
      </c>
      <c r="F9" s="51" t="s">
        <v>261</v>
      </c>
      <c r="G9" s="64" t="str">
        <f t="shared" si="0"/>
        <v>[effect:spread, val:1.2]</v>
      </c>
      <c r="H9" s="64">
        <f t="shared" si="1"/>
        <v>9</v>
      </c>
      <c r="I9" s="64">
        <f t="shared" si="2"/>
        <v>15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IFERROR(VLOOKUP(MID(G9,J9,K9-J9),[5]skilldef!$C:$D,2,FALSE),"-") &amp; " / " &amp; IFERROR(VLOOKUP(MID(G9,H9,I9-H9),[5]skilldef!$A:$B,2,FALSE),"-")</f>
        <v>- / 全体攻撃</v>
      </c>
      <c r="M9" s="64" t="str">
        <f t="shared" si="5"/>
        <v>none</v>
      </c>
      <c r="N9" s="48" t="str">
        <f>IFERROR(LEFT(M9,FIND("],",M9)+S20),M9)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40021009</v>
      </c>
      <c r="B10" s="47" t="s">
        <v>262</v>
      </c>
      <c r="C10" s="50">
        <v>3</v>
      </c>
      <c r="D10" s="50" t="s">
        <v>128</v>
      </c>
      <c r="E10" s="51" t="s">
        <v>270</v>
      </c>
      <c r="F10" s="51" t="s">
        <v>263</v>
      </c>
      <c r="G10" s="64" t="str">
        <f t="shared" si="0"/>
        <v>[effect:critical, val:1.5]</v>
      </c>
      <c r="H10" s="64">
        <f t="shared" si="1"/>
        <v>9</v>
      </c>
      <c r="I10" s="64">
        <f t="shared" si="2"/>
        <v>17</v>
      </c>
      <c r="J10" s="64" t="e">
        <f t="shared" si="3"/>
        <v>#VALUE!</v>
      </c>
      <c r="K10" s="64" t="e">
        <f t="shared" si="4"/>
        <v>#VALUE!</v>
      </c>
      <c r="L10" s="64" t="str">
        <f>IFERROR(VLOOKUP(MID(G10,J10,K10-J10),[5]skilldef!$C:$D,2,FALSE),"-") &amp; " / " &amp; IFERROR(VLOOKUP(MID(G10,H10,I10-H10),[5]skilldef!$A:$B,2,FALSE),"-")</f>
        <v>- / 大攻撃</v>
      </c>
      <c r="M10" s="64" t="str">
        <f t="shared" si="5"/>
        <v>none</v>
      </c>
      <c r="N10" s="48" t="str">
        <f>IFERROR(LEFT(M10,FIND("],",M10)+S21),M10)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40021010</v>
      </c>
      <c r="B11" s="47" t="s">
        <v>308</v>
      </c>
      <c r="C11" s="50">
        <v>3</v>
      </c>
      <c r="D11" s="50" t="s">
        <v>128</v>
      </c>
      <c r="E11" s="51" t="s">
        <v>264</v>
      </c>
      <c r="F11" s="51" t="s">
        <v>265</v>
      </c>
      <c r="G11" s="64" t="str">
        <f t="shared" si="0"/>
        <v>[effect:break_attack_fix, val:500, lowest_val:6000, count:-1, block:block_heart, target:unit_one]</v>
      </c>
      <c r="H11" s="64">
        <f t="shared" si="1"/>
        <v>9</v>
      </c>
      <c r="I11" s="64">
        <f t="shared" si="2"/>
        <v>25</v>
      </c>
      <c r="J11" s="64">
        <f t="shared" si="3"/>
        <v>89</v>
      </c>
      <c r="K11" s="64">
        <f t="shared" si="4"/>
        <v>34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 t="shared" si="5"/>
        <v>none</v>
      </c>
      <c r="N11" s="48" t="str">
        <f>IFERROR(LEFT(M11,FIND("],",M11)+S23),M11)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40021011</v>
      </c>
      <c r="B12" s="47" t="s">
        <v>267</v>
      </c>
      <c r="C12" s="50">
        <v>3</v>
      </c>
      <c r="D12" s="50" t="s">
        <v>128</v>
      </c>
      <c r="E12" s="51" t="s">
        <v>268</v>
      </c>
      <c r="F12" s="51" t="s">
        <v>417</v>
      </c>
      <c r="G12" s="64" t="str">
        <f t="shared" si="0"/>
        <v>[effect:heal, target:enemy_all, val:0.5, animation:enemy_heal]</v>
      </c>
      <c r="H12" s="64">
        <f t="shared" si="1"/>
        <v>9</v>
      </c>
      <c r="I12" s="64">
        <f t="shared" si="2"/>
        <v>13</v>
      </c>
      <c r="J12" s="64">
        <f t="shared" si="3"/>
        <v>22</v>
      </c>
      <c r="K12" s="64">
        <f t="shared" si="4"/>
        <v>31</v>
      </c>
      <c r="L12" s="64" t="str">
        <f>IFERROR(VLOOKUP(MID(G12,J12,K12-J12),[5]skilldef!$C:$D,2,FALSE),"-") &amp; " / " &amp; IFERROR(VLOOKUP(MID(G12,H12,I12-H12),[5]skilldef!$A:$B,2,FALSE),"-")</f>
        <v>敵全体に / 回復</v>
      </c>
      <c r="M12" s="64" t="str">
        <f t="shared" si="5"/>
        <v>none</v>
      </c>
      <c r="N12" s="48" t="str">
        <f>IFERROR(LEFT(M12,FIND("],",M12)+S24),M12)</f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40021012</v>
      </c>
      <c r="B13" s="47" t="s">
        <v>310</v>
      </c>
      <c r="C13" s="50">
        <v>3</v>
      </c>
      <c r="D13" s="50" t="s">
        <v>128</v>
      </c>
      <c r="E13" s="51" t="s">
        <v>269</v>
      </c>
      <c r="F13" s="51" t="s">
        <v>339</v>
      </c>
      <c r="G13" s="64" t="str">
        <f t="shared" si="0"/>
        <v>[effect:enhance_enemy, target:enemy_all, turn:2, status:attack, val:0.2, animation:enemy_enhance_attack]</v>
      </c>
      <c r="H13" s="64">
        <f t="shared" si="1"/>
        <v>9</v>
      </c>
      <c r="I13" s="64">
        <f t="shared" si="2"/>
        <v>22</v>
      </c>
      <c r="J13" s="64">
        <f t="shared" si="3"/>
        <v>31</v>
      </c>
      <c r="K13" s="64">
        <f t="shared" si="4"/>
        <v>40</v>
      </c>
      <c r="L13" s="64" t="str">
        <f>IFERROR(VLOOKUP(MID(G13,J13,K13-J13),[5]skilldef!$C:$D,2,FALSE),"-") &amp; " / " &amp; IFERROR(VLOOKUP(MID(G13,H13,I13-H13),[5]skilldef!$A:$B,2,FALSE),"-")</f>
        <v>敵全体に / ステータス強化</v>
      </c>
      <c r="M13" s="64" t="str">
        <f t="shared" si="5"/>
        <v>none</v>
      </c>
      <c r="N13" s="48" t="str">
        <f>IFERROR(LEFT(M13,FIND("],",M13)+S25),M13)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40021013</v>
      </c>
      <c r="B14" s="47" t="s">
        <v>336</v>
      </c>
      <c r="C14" s="50">
        <v>3</v>
      </c>
      <c r="D14" s="50" t="s">
        <v>128</v>
      </c>
      <c r="E14" s="51" t="s">
        <v>395</v>
      </c>
      <c r="F14" s="51" t="s">
        <v>272</v>
      </c>
      <c r="G14" s="64" t="str">
        <f t="shared" si="0"/>
        <v>[effect:fix_speed, target:myself, turn:2]</v>
      </c>
      <c r="H14" s="64">
        <f t="shared" si="1"/>
        <v>9</v>
      </c>
      <c r="I14" s="64">
        <f t="shared" si="2"/>
        <v>18</v>
      </c>
      <c r="J14" s="64">
        <f t="shared" si="3"/>
        <v>27</v>
      </c>
      <c r="K14" s="64">
        <f t="shared" si="4"/>
        <v>33</v>
      </c>
      <c r="L14" s="64" t="str">
        <f>IFERROR(VLOOKUP(MID(G14,J14,K14-J14),[5]skilldef!$C:$D,2,FALSE),"-") &amp; " / " &amp; IFERROR(VLOOKUP(MID(G14,H14,I14-H14),[5]skilldef!$A:$B,2,FALSE),"-")</f>
        <v>自分自身に / 行動値設定</v>
      </c>
      <c r="M14" s="64" t="str">
        <f t="shared" si="5"/>
        <v>[effect:remove_enhancement, target:unit_all, target_effect:all, animation:frozen_wave],[effect:enemy_message, val1:2]</v>
      </c>
      <c r="N14" s="48" t="str">
        <f>IFERROR(LEFT(M14,FIND("],",M14)+S26),M14)</f>
        <v>[effect:remove_enhancement, target:unit_all, target_effect:all, animation:frozen_wave],[effect:enemy_message, val1:2]</v>
      </c>
      <c r="O14" s="64">
        <f t="shared" si="6"/>
        <v>9</v>
      </c>
      <c r="P14" s="64">
        <f t="shared" si="7"/>
        <v>27</v>
      </c>
      <c r="Q14" s="64">
        <f t="shared" si="8"/>
        <v>36</v>
      </c>
      <c r="R14" s="64">
        <f t="shared" si="9"/>
        <v>44</v>
      </c>
      <c r="S14" s="64" t="str">
        <f>IFERROR(VLOOKUP(MID(N14,Q14,R14-Q14),[5]skilldef!$C:$D,2,FALSE),"-") &amp; " / " &amp; IFERROR(VLOOKUP(MID(N14,O14,P14-O14),[5]skilldef!$A:$B,2,FALSE),"-")</f>
        <v>味方全体に / -</v>
      </c>
      <c r="T14" s="48" t="str">
        <f t="shared" si="10"/>
        <v>[effect:enemy_message, val1:2]</v>
      </c>
      <c r="U14" s="64">
        <f t="shared" si="11"/>
        <v>9</v>
      </c>
      <c r="V14" s="64">
        <f t="shared" si="12"/>
        <v>22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40021014</v>
      </c>
      <c r="B15" s="47" t="s">
        <v>397</v>
      </c>
      <c r="C15" s="50">
        <v>3</v>
      </c>
      <c r="D15" s="50" t="s">
        <v>128</v>
      </c>
      <c r="E15" s="51" t="s">
        <v>394</v>
      </c>
      <c r="F15" s="51" t="s">
        <v>272</v>
      </c>
      <c r="G15" s="64" t="str">
        <f t="shared" ref="G15" si="30">IFERROR(LEFT(B15,FIND("],",B15)),B15)</f>
        <v>[effect:fix_speed, target:myself, turn:2]</v>
      </c>
      <c r="H15" s="64">
        <f t="shared" ref="H15" si="31">FIND("effect:",G15)+7</f>
        <v>9</v>
      </c>
      <c r="I15" s="64">
        <f t="shared" ref="I15" si="32">IFERROR(FIND(",",G15),LEN(G15))</f>
        <v>18</v>
      </c>
      <c r="J15" s="64">
        <f t="shared" ref="J15" si="33">FIND("target:",G15)+7</f>
        <v>27</v>
      </c>
      <c r="K15" s="64">
        <f t="shared" ref="K15" si="34">FIND(",",G15,I15+1)</f>
        <v>33</v>
      </c>
      <c r="L15" s="64" t="str">
        <f>IFERROR(VLOOKUP(MID(G15,J15,K15-J15),[5]skilldef!$C:$D,2,FALSE),"-") &amp; " / " &amp; IFERROR(VLOOKUP(MID(G15,H15,I15-H15),[5]skilldef!$A:$B,2,FALSE),"-")</f>
        <v>自分自身に / 行動値設定</v>
      </c>
      <c r="M15" s="64" t="str">
        <f t="shared" ref="M15" si="35">IFERROR(RIGHT(B15,LEN(B15)-FIND("],",B15)-1),"none")</f>
        <v>[effect:remove_enhancement, target:unit_all, target_effect:all, animation:frozen_wave],[effect:enemy_message, val1:2]</v>
      </c>
      <c r="N15" s="48" t="str">
        <f>IFERROR(LEFT(M15,FIND("],",M15)+S28),M15)</f>
        <v>[effect:remove_enhancement, target:unit_all, target_effect:all, animation:frozen_wave],[effect:enemy_message, val1:2]</v>
      </c>
      <c r="O15" s="64">
        <f t="shared" ref="O15" si="36">FIND("effect:",N15)+7</f>
        <v>9</v>
      </c>
      <c r="P15" s="64">
        <f t="shared" ref="P15" si="37">IFERROR(FIND(",",N15),LEN(N15))</f>
        <v>27</v>
      </c>
      <c r="Q15" s="64">
        <f t="shared" ref="Q15" si="38">FIND("target:",N15)+7</f>
        <v>36</v>
      </c>
      <c r="R15" s="64">
        <f t="shared" ref="R15" si="39">FIND(",",N15,P15+1)</f>
        <v>44</v>
      </c>
      <c r="S15" s="64" t="str">
        <f>IFERROR(VLOOKUP(MID(N15,Q15,R15-Q15),[5]skilldef!$C:$D,2,FALSE),"-") &amp; " / " &amp; IFERROR(VLOOKUP(MID(N15,O15,P15-O15),[5]skilldef!$A:$B,2,FALSE),"-")</f>
        <v>味方全体に / -</v>
      </c>
      <c r="T15" s="48" t="str">
        <f t="shared" ref="T15" si="40">IFERROR(RIGHT(M15,LEN(M15)-FIND("],",M15)-1),"none")</f>
        <v>[effect:enemy_message, val1:2]</v>
      </c>
      <c r="U15" s="64">
        <f t="shared" ref="U15" si="41">FIND("effect:",T15)+7</f>
        <v>9</v>
      </c>
      <c r="V15" s="64">
        <f t="shared" ref="V15" si="42">IFERROR(FIND(",",T15),LEN(T15))</f>
        <v>22</v>
      </c>
      <c r="W15" s="64" t="e">
        <f t="shared" ref="W15" si="43">FIND("target:",T15)+7</f>
        <v>#VALUE!</v>
      </c>
      <c r="X15" s="64" t="e">
        <f t="shared" ref="X15" si="44">FIND(",",T15,V15+1)</f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40021015</v>
      </c>
      <c r="B16" s="47" t="s">
        <v>318</v>
      </c>
      <c r="C16" s="50">
        <v>3</v>
      </c>
      <c r="D16" s="50" t="s">
        <v>128</v>
      </c>
      <c r="E16" s="51" t="s">
        <v>392</v>
      </c>
      <c r="F16" s="51" t="s">
        <v>273</v>
      </c>
      <c r="G16" s="64" t="str">
        <f t="shared" si="0"/>
        <v>[effect:break_attack_fix, val:500, lowest_val:5000, count:-1, block:block_yellow, target:unit_one]</v>
      </c>
      <c r="H16" s="64">
        <f t="shared" si="1"/>
        <v>9</v>
      </c>
      <c r="I16" s="64">
        <f t="shared" si="2"/>
        <v>25</v>
      </c>
      <c r="J16" s="64">
        <f t="shared" si="3"/>
        <v>90</v>
      </c>
      <c r="K16" s="64">
        <f t="shared" si="4"/>
        <v>34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none</v>
      </c>
      <c r="N16" s="48" t="str">
        <f t="shared" ref="N16:N21" si="45">IFERROR(LEFT(M16,FIND("],",M16)+S28),M16)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40021016</v>
      </c>
      <c r="B17" s="47" t="s">
        <v>299</v>
      </c>
      <c r="C17" s="50">
        <v>3</v>
      </c>
      <c r="D17" s="50" t="s">
        <v>128</v>
      </c>
      <c r="E17" s="51" t="s">
        <v>393</v>
      </c>
      <c r="F17" s="51" t="s">
        <v>279</v>
      </c>
      <c r="G17" s="51" t="s">
        <v>274</v>
      </c>
      <c r="H17" s="51" t="s">
        <v>275</v>
      </c>
      <c r="I17" s="51" t="s">
        <v>276</v>
      </c>
      <c r="J17" s="51" t="s">
        <v>277</v>
      </c>
      <c r="K17" s="51" t="s">
        <v>278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5"/>
        <v>[effect:dark, target:unit_all, turn:2, animation:enemy_dark]</v>
      </c>
      <c r="N17" s="48" t="str">
        <f t="shared" si="45"/>
        <v>[effect:dark, target:unit_all, turn:2, animation:enemy_dark]</v>
      </c>
      <c r="O17" s="64">
        <f t="shared" si="6"/>
        <v>9</v>
      </c>
      <c r="P17" s="64">
        <f t="shared" si="7"/>
        <v>13</v>
      </c>
      <c r="Q17" s="64">
        <f t="shared" si="8"/>
        <v>22</v>
      </c>
      <c r="R17" s="64">
        <f t="shared" si="9"/>
        <v>30</v>
      </c>
      <c r="S17" s="64" t="str">
        <f>IFERROR(VLOOKUP(MID(N17,Q17,R17-Q17),[5]skilldef!$C:$D,2,FALSE),"-") &amp; " / " &amp; IFERROR(VLOOKUP(MID(N17,O17,P17-O17),[5]skilldef!$A:$B,2,FALSE),"-")</f>
        <v>味方全体に / 暗黒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40021017</v>
      </c>
      <c r="B18" s="47" t="s">
        <v>398</v>
      </c>
      <c r="C18" s="50">
        <v>3</v>
      </c>
      <c r="D18" s="50" t="s">
        <v>128</v>
      </c>
      <c r="E18" s="51" t="s">
        <v>391</v>
      </c>
      <c r="F18" s="51" t="s">
        <v>280</v>
      </c>
      <c r="G18" s="64" t="str">
        <f t="shared" ref="G18:G25" si="46">IFERROR(LEFT(B18,FIND("],",B18)),B18)</f>
        <v>[effect:rush, count:1, val:1]</v>
      </c>
      <c r="H18" s="64">
        <f t="shared" ref="H18:H45" si="47">FIND("effect:",G18)+7</f>
        <v>9</v>
      </c>
      <c r="I18" s="64">
        <f t="shared" ref="I18:I25" si="48">IFERROR(FIND(",",G18),LEN(G18))</f>
        <v>13</v>
      </c>
      <c r="J18" s="64" t="e">
        <f t="shared" ref="J18:J25" si="49">FIND("target:",G18)+7</f>
        <v>#VALUE!</v>
      </c>
      <c r="K18" s="64">
        <f t="shared" ref="K18:K25" si="50">FIND(",",G18,I18+1)</f>
        <v>22</v>
      </c>
      <c r="L18" s="64" t="str">
        <f>IFERROR(VLOOKUP(MID(G18,J18,K18-J18),[5]skilldef!$C:$D,2,FALSE),"-") &amp; " / " &amp; IFERROR(VLOOKUP(MID(G18,H18,I18-H18),[5]skilldef!$A:$B,2,FALSE),"-")</f>
        <v>- / 連続攻撃</v>
      </c>
      <c r="M18" s="64" t="str">
        <f t="shared" si="5"/>
        <v>[effect:dis_panel, target:block_yellow, turn:2, animation:enemy_dis_yellow],[effect:enemy_message, val1:2]</v>
      </c>
      <c r="N18" s="48" t="str">
        <f t="shared" si="45"/>
        <v>[effect:dis_panel, target:block_yellow, turn:2, animation:enemy_dis_yellow],[effect:enemy_message, val1:2]</v>
      </c>
      <c r="O18" s="64">
        <f t="shared" si="6"/>
        <v>9</v>
      </c>
      <c r="P18" s="64">
        <f t="shared" si="7"/>
        <v>18</v>
      </c>
      <c r="Q18" s="64">
        <f t="shared" si="8"/>
        <v>27</v>
      </c>
      <c r="R18" s="64">
        <f t="shared" si="9"/>
        <v>39</v>
      </c>
      <c r="S18" s="64" t="str">
        <f>IFERROR(VLOOKUP(MID(N18,Q18,R18-Q18),[5]skilldef!$C:$D,2,FALSE),"-") &amp; " / " &amp; IFERROR(VLOOKUP(MID(N18,O18,P18-O18),[5]skilldef!$A:$B,2,FALSE),"-")</f>
        <v>黄色パネルを / ディスパネル</v>
      </c>
      <c r="T18" s="48" t="str">
        <f t="shared" si="10"/>
        <v>[effect:enemy_message, val1:2]</v>
      </c>
      <c r="U18" s="64">
        <f t="shared" si="11"/>
        <v>9</v>
      </c>
      <c r="V18" s="64">
        <f t="shared" si="12"/>
        <v>22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40021018</v>
      </c>
      <c r="B19" s="47" t="s">
        <v>334</v>
      </c>
      <c r="C19" s="50">
        <v>3</v>
      </c>
      <c r="D19" s="50" t="s">
        <v>128</v>
      </c>
      <c r="E19" s="51" t="s">
        <v>396</v>
      </c>
      <c r="F19" s="51" t="s">
        <v>421</v>
      </c>
      <c r="G19" s="64" t="str">
        <f t="shared" si="46"/>
        <v>[effect:rush, count:1, val:1]</v>
      </c>
      <c r="H19" s="64">
        <f t="shared" si="47"/>
        <v>9</v>
      </c>
      <c r="I19" s="64">
        <f t="shared" si="48"/>
        <v>13</v>
      </c>
      <c r="J19" s="64" t="e">
        <f t="shared" si="49"/>
        <v>#VALUE!</v>
      </c>
      <c r="K19" s="64">
        <f t="shared" si="50"/>
        <v>22</v>
      </c>
      <c r="L19" s="64" t="str">
        <f>IFERROR(VLOOKUP(MID(G19,J19,K19-J19),[5]skilldef!$C:$D,2,FALSE),"-") &amp; " / " &amp; IFERROR(VLOOKUP(MID(G19,H19,I19-H19),[5]skilldef!$A:$B,2,FALSE),"-")</f>
        <v>- / 連続攻撃</v>
      </c>
      <c r="M19" s="64" t="str">
        <f t="shared" si="5"/>
        <v>[effect:dis_heart, turn:3, animation:enemy_dis_heart]</v>
      </c>
      <c r="N19" s="48" t="str">
        <f t="shared" si="45"/>
        <v>[effect:dis_heart, turn:3, animation:enemy_dis_heart]</v>
      </c>
      <c r="O19" s="64">
        <f t="shared" si="6"/>
        <v>9</v>
      </c>
      <c r="P19" s="64">
        <f t="shared" si="7"/>
        <v>18</v>
      </c>
      <c r="Q19" s="64" t="e">
        <f t="shared" si="8"/>
        <v>#VALUE!</v>
      </c>
      <c r="R19" s="64">
        <f t="shared" si="9"/>
        <v>26</v>
      </c>
      <c r="S19" s="64" t="str">
        <f>IFERROR(VLOOKUP(MID(N19,Q19,R19-Q19),[5]skilldef!$C:$D,2,FALSE),"-") &amp; " / " &amp; IFERROR(VLOOKUP(MID(N19,O19,P19-O19),[5]skilldef!$A:$B,2,FALSE),"-")</f>
        <v>- / ディスハート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40021019</v>
      </c>
      <c r="B20" s="47" t="s">
        <v>302</v>
      </c>
      <c r="C20" s="50">
        <v>3</v>
      </c>
      <c r="D20" s="50" t="s">
        <v>128</v>
      </c>
      <c r="E20" s="51" t="s">
        <v>281</v>
      </c>
      <c r="F20" s="51" t="s">
        <v>283</v>
      </c>
      <c r="G20" s="64" t="str">
        <f t="shared" si="46"/>
        <v>[effect:damage_anti_abnormal, target:unit_one, target_effect01:dis_heart, val1:1.5, val2:1]</v>
      </c>
      <c r="H20" s="64">
        <f t="shared" si="47"/>
        <v>9</v>
      </c>
      <c r="I20" s="64">
        <f t="shared" si="48"/>
        <v>29</v>
      </c>
      <c r="J20" s="64">
        <f t="shared" si="49"/>
        <v>38</v>
      </c>
      <c r="K20" s="64">
        <f t="shared" si="50"/>
        <v>46</v>
      </c>
      <c r="L20" s="64" t="str">
        <f>IFERROR(VLOOKUP(MID(G20,J20,K20-J20),[5]skilldef!$C:$D,2,FALSE),"-") &amp; " / " &amp; IFERROR(VLOOKUP(MID(G20,H20,I20-H20),[5]skilldef!$A:$B,2,FALSE),"-")</f>
        <v>味方単体に / -</v>
      </c>
      <c r="M20" s="64" t="str">
        <f t="shared" si="5"/>
        <v>none</v>
      </c>
      <c r="N20" s="48" t="str">
        <f t="shared" si="45"/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40021020</v>
      </c>
      <c r="B21" s="47" t="s">
        <v>376</v>
      </c>
      <c r="C21" s="50">
        <v>3</v>
      </c>
      <c r="D21" s="50" t="s">
        <v>128</v>
      </c>
      <c r="E21" s="51" t="s">
        <v>286</v>
      </c>
      <c r="F21" s="51" t="s">
        <v>382</v>
      </c>
      <c r="G21" s="64" t="str">
        <f t="shared" si="46"/>
        <v>[effect:remove_enhancement, target:unit_all, target_effect:all, animation:frozen_wave]</v>
      </c>
      <c r="H21" s="64">
        <f t="shared" si="47"/>
        <v>9</v>
      </c>
      <c r="I21" s="64">
        <f t="shared" si="48"/>
        <v>27</v>
      </c>
      <c r="J21" s="64">
        <f t="shared" si="49"/>
        <v>36</v>
      </c>
      <c r="K21" s="64">
        <f t="shared" si="50"/>
        <v>44</v>
      </c>
      <c r="L21" s="64" t="str">
        <f>IFERROR(VLOOKUP(MID(G21,J21,K21-J21),[5]skilldef!$C:$D,2,FALSE),"-") &amp; " / " &amp; IFERROR(VLOOKUP(MID(G21,H21,I21-H21),[5]skilldef!$A:$B,2,FALSE),"-")</f>
        <v>味方全体に / -</v>
      </c>
      <c r="M21" s="64" t="str">
        <f t="shared" si="5"/>
        <v>[effect:force_change_block, new_block:block_heart, target:block_yellow, count:0, val:0, animation:change_block],[effect:change_bomb_range, turn:-1, target:unit_all, val:0.5, rate:1, animation:bomb_small],[effect:enemy_message, val1:2]</v>
      </c>
      <c r="N21" s="48" t="str">
        <f t="shared" si="45"/>
        <v>[effect:force_change_block, new_block:block_heart, target:block_yellow, count:0, val:0, animation:change_block],[effect:change_bomb_range, turn:-1, target:unit_all, val:0.5, rate:1, animation:bomb_small],[effect:enemy_message, val1:2]</v>
      </c>
      <c r="O21" s="64">
        <f t="shared" si="6"/>
        <v>9</v>
      </c>
      <c r="P21" s="64">
        <f t="shared" si="7"/>
        <v>27</v>
      </c>
      <c r="Q21" s="64">
        <f t="shared" si="8"/>
        <v>59</v>
      </c>
      <c r="R21" s="64">
        <f t="shared" si="9"/>
        <v>50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[effect:change_bomb_range, turn:-1, target:unit_all, val:0.5, rate:1, animation:bomb_small],[effect:enemy_message, val1:2]</v>
      </c>
      <c r="U21" s="64">
        <f t="shared" si="11"/>
        <v>9</v>
      </c>
      <c r="V21" s="64">
        <f t="shared" si="12"/>
        <v>26</v>
      </c>
      <c r="W21" s="64">
        <f t="shared" si="13"/>
        <v>44</v>
      </c>
      <c r="X21" s="64">
        <f t="shared" si="14"/>
        <v>35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40021021</v>
      </c>
      <c r="B22" s="47" t="s">
        <v>377</v>
      </c>
      <c r="C22" s="50">
        <v>3</v>
      </c>
      <c r="D22" s="50" t="s">
        <v>128</v>
      </c>
      <c r="E22" s="51" t="s">
        <v>337</v>
      </c>
      <c r="F22" s="51" t="s">
        <v>383</v>
      </c>
      <c r="G22" s="64" t="str">
        <f t="shared" ref="G22" si="51">IFERROR(LEFT(B22,FIND("],",B22)),B22)</f>
        <v>[effect:remove_enhancement, target:unit_all, target_effect:all, animation:frozen_wave]</v>
      </c>
      <c r="H22" s="64">
        <f t="shared" ref="H22" si="52">FIND("effect:",G22)+7</f>
        <v>9</v>
      </c>
      <c r="I22" s="64">
        <f t="shared" ref="I22" si="53">IFERROR(FIND(",",G22),LEN(G22))</f>
        <v>27</v>
      </c>
      <c r="J22" s="64">
        <f t="shared" ref="J22" si="54">FIND("target:",G22)+7</f>
        <v>36</v>
      </c>
      <c r="K22" s="64">
        <f t="shared" ref="K22" si="55">FIND(",",G22,I22+1)</f>
        <v>44</v>
      </c>
      <c r="L22" s="64" t="str">
        <f>IFERROR(VLOOKUP(MID(G22,J22,K22-J22),[5]skilldef!$C:$D,2,FALSE),"-") &amp; " / " &amp; IFERROR(VLOOKUP(MID(G22,H22,I22-H22),[5]skilldef!$A:$B,2,FALSE),"-")</f>
        <v>味方全体に / -</v>
      </c>
      <c r="M22" s="64" t="str">
        <f t="shared" ref="M22" si="56">IFERROR(RIGHT(B22,LEN(B22)-FIND("],",B22)-1),"none")</f>
        <v>[effect:force_change_block, new_block:block_heart, target:block_yellow, count:0, val:0, animation:change_block],[effect:change_bomb_range, turn:-1, target:unit_all, val:0.5, rate:1, animation:bomb_small]</v>
      </c>
      <c r="N22" s="48" t="str">
        <f>IFERROR(LEFT(M22,FIND("],",M22)+S35),M22)</f>
        <v>[effect:force_change_block, new_block:block_heart, target:block_yellow, count:0, val:0, animation:change_block],[effect:change_bomb_range, turn:-1, target:unit_all, val:0.5, rate:1, animation:bomb_small]</v>
      </c>
      <c r="O22" s="64">
        <f t="shared" ref="O22" si="57">FIND("effect:",N22)+7</f>
        <v>9</v>
      </c>
      <c r="P22" s="64">
        <f t="shared" ref="P22" si="58">IFERROR(FIND(",",N22),LEN(N22))</f>
        <v>27</v>
      </c>
      <c r="Q22" s="64">
        <f t="shared" ref="Q22" si="59">FIND("target:",N22)+7</f>
        <v>59</v>
      </c>
      <c r="R22" s="64">
        <f t="shared" ref="R22" si="60">FIND(",",N22,P22+1)</f>
        <v>50</v>
      </c>
      <c r="S22" s="64" t="str">
        <f>IFERROR(VLOOKUP(MID(N22,Q22,R22-Q22),[5]skilldef!$C:$D,2,FALSE),"-") &amp; " / " &amp; IFERROR(VLOOKUP(MID(N22,O22,P22-O22),[5]skilldef!$A:$B,2,FALSE),"-")</f>
        <v>- / -</v>
      </c>
      <c r="T22" s="48" t="str">
        <f t="shared" ref="T22" si="61">IFERROR(RIGHT(M22,LEN(M22)-FIND("],",M22)-1),"none")</f>
        <v>[effect:change_bomb_range, turn:-1, target:unit_all, val:0.5, rate:1, animation:bomb_small]</v>
      </c>
      <c r="U22" s="64">
        <f t="shared" ref="U22" si="62">FIND("effect:",T22)+7</f>
        <v>9</v>
      </c>
      <c r="V22" s="64">
        <f t="shared" ref="V22" si="63">IFERROR(FIND(",",T22),LEN(T22))</f>
        <v>26</v>
      </c>
      <c r="W22" s="64">
        <f t="shared" ref="W22" si="64">FIND("target:",T22)+7</f>
        <v>44</v>
      </c>
      <c r="X22" s="64">
        <f t="shared" ref="X22" si="65">FIND(",",T22,V22+1)</f>
        <v>35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40021022</v>
      </c>
      <c r="B23" s="47" t="s">
        <v>307</v>
      </c>
      <c r="C23" s="50">
        <v>3</v>
      </c>
      <c r="D23" s="50" t="s">
        <v>128</v>
      </c>
      <c r="E23" s="51" t="s">
        <v>319</v>
      </c>
      <c r="F23" s="51" t="s">
        <v>265</v>
      </c>
      <c r="G23" s="64" t="str">
        <f t="shared" si="46"/>
        <v>[effect:break_attack_fix, val:500, lowest_val:6000, count:-1, block:block_heart, target:unit_one]</v>
      </c>
      <c r="H23" s="64">
        <f t="shared" si="47"/>
        <v>9</v>
      </c>
      <c r="I23" s="64">
        <f t="shared" si="48"/>
        <v>25</v>
      </c>
      <c r="J23" s="64">
        <f t="shared" si="49"/>
        <v>89</v>
      </c>
      <c r="K23" s="64">
        <f t="shared" si="50"/>
        <v>34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none</v>
      </c>
      <c r="N23" s="48" t="str">
        <f>IFERROR(LEFT(M23,FIND("],",M23)+S36),M23)</f>
        <v>none</v>
      </c>
      <c r="O23" s="64" t="e">
        <f t="shared" si="6"/>
        <v>#VALUE!</v>
      </c>
      <c r="P23" s="64">
        <f t="shared" si="7"/>
        <v>4</v>
      </c>
      <c r="Q23" s="64" t="e">
        <f t="shared" si="8"/>
        <v>#VALUE!</v>
      </c>
      <c r="R23" s="64" t="e">
        <f t="shared" si="9"/>
        <v>#VALUE!</v>
      </c>
      <c r="S23" s="64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40021023</v>
      </c>
      <c r="B24" s="47" t="s">
        <v>284</v>
      </c>
      <c r="C24" s="50">
        <v>3</v>
      </c>
      <c r="D24" s="50" t="s">
        <v>128</v>
      </c>
      <c r="E24" s="51" t="s">
        <v>418</v>
      </c>
      <c r="F24" s="51" t="s">
        <v>373</v>
      </c>
      <c r="G24" s="64" t="str">
        <f t="shared" si="46"/>
        <v>[effect:rush, count:4, val:0.25]</v>
      </c>
      <c r="H24" s="64">
        <f t="shared" si="47"/>
        <v>9</v>
      </c>
      <c r="I24" s="64">
        <f t="shared" si="48"/>
        <v>13</v>
      </c>
      <c r="J24" s="64" t="e">
        <f t="shared" si="49"/>
        <v>#VALUE!</v>
      </c>
      <c r="K24" s="64">
        <f t="shared" si="50"/>
        <v>22</v>
      </c>
      <c r="L24" s="64" t="str">
        <f>IFERROR(VLOOKUP(MID(G24,J24,K24-J24),[5]skilldef!$C:$D,2,FALSE),"-") &amp; " / " &amp; IFERROR(VLOOKUP(MID(G24,H24,I24-H24),[5]skilldef!$A:$B,2,FALSE),"-")</f>
        <v>- / 連続攻撃</v>
      </c>
      <c r="M24" s="64" t="str">
        <f t="shared" si="5"/>
        <v>none</v>
      </c>
      <c r="N24" s="48" t="str">
        <f>IFERROR(LEFT(M24,FIND("],",M24)+S37),M24)</f>
        <v>none</v>
      </c>
      <c r="O24" s="64" t="e">
        <f t="shared" si="6"/>
        <v>#VALUE!</v>
      </c>
      <c r="P24" s="64">
        <f t="shared" si="7"/>
        <v>4</v>
      </c>
      <c r="Q24" s="64" t="e">
        <f t="shared" si="8"/>
        <v>#VALUE!</v>
      </c>
      <c r="R24" s="64" t="e">
        <f t="shared" si="9"/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40021024</v>
      </c>
      <c r="B25" s="47" t="s">
        <v>385</v>
      </c>
      <c r="C25" s="50">
        <v>3</v>
      </c>
      <c r="D25" s="50" t="s">
        <v>128</v>
      </c>
      <c r="E25" s="51" t="s">
        <v>285</v>
      </c>
      <c r="F25" s="51" t="s">
        <v>306</v>
      </c>
      <c r="G25" s="64" t="str">
        <f t="shared" si="46"/>
        <v>[effect:change_panel_ratio, turn:-1, block_type:heal, val:0.6]</v>
      </c>
      <c r="H25" s="64">
        <f t="shared" si="47"/>
        <v>9</v>
      </c>
      <c r="I25" s="64">
        <f t="shared" si="48"/>
        <v>27</v>
      </c>
      <c r="J25" s="64" t="e">
        <f t="shared" si="49"/>
        <v>#VALUE!</v>
      </c>
      <c r="K25" s="64">
        <f t="shared" si="50"/>
        <v>36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5"/>
        <v>[effect:dis_heart, turn:3, animation:enemy_dis_heart]</v>
      </c>
      <c r="N25" s="48" t="str">
        <f>IFERROR(LEFT(M25,FIND("],",M25)+S38),M25)</f>
        <v>[effect:dis_heart, turn:3, animation:enemy_dis_heart]</v>
      </c>
      <c r="O25" s="64">
        <f t="shared" si="6"/>
        <v>9</v>
      </c>
      <c r="P25" s="64">
        <f t="shared" si="7"/>
        <v>18</v>
      </c>
      <c r="Q25" s="64" t="e">
        <f t="shared" si="8"/>
        <v>#VALUE!</v>
      </c>
      <c r="R25" s="64">
        <f t="shared" si="9"/>
        <v>26</v>
      </c>
      <c r="S25" s="64" t="str">
        <f>IFERROR(VLOOKUP(MID(N25,Q25,R25-Q25),[5]skilldef!$C:$D,2,FALSE),"-") &amp; " / " &amp; IFERROR(VLOOKUP(MID(N25,O25,P25-O25),[5]skilldef!$A:$B,2,FALSE),"-")</f>
        <v>- / ディスハート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40021025</v>
      </c>
      <c r="B26" s="47" t="s">
        <v>314</v>
      </c>
      <c r="C26" s="50">
        <v>3</v>
      </c>
      <c r="D26" s="50" t="s">
        <v>128</v>
      </c>
      <c r="E26" s="51" t="s">
        <v>287</v>
      </c>
      <c r="F26" s="51" t="s">
        <v>422</v>
      </c>
      <c r="G26" s="64" t="str">
        <f t="shared" ref="G26" si="66">IFERROR(LEFT(B26,FIND("],",B26)),B26)</f>
        <v>[effect:remove_enhancement, target:unit_all, target_effect:all, animation:frozen_wave]</v>
      </c>
      <c r="H26" s="64">
        <f t="shared" si="47"/>
        <v>9</v>
      </c>
      <c r="I26" s="64">
        <f t="shared" ref="I26" si="67">IFERROR(FIND(",",G26),LEN(G26))</f>
        <v>27</v>
      </c>
      <c r="J26" s="64">
        <f t="shared" ref="J26" si="68">FIND("target:",G26)+7</f>
        <v>36</v>
      </c>
      <c r="K26" s="64">
        <f t="shared" ref="K26" si="69">FIND(",",G26,I26+1)</f>
        <v>44</v>
      </c>
      <c r="L26" s="64" t="str">
        <f>IFERROR(VLOOKUP(MID(G26,J26,K26-J26),[5]skilldef!$C:$D,2,FALSE),"-") &amp; " / " &amp; IFERROR(VLOOKUP(MID(G26,H26,I26-H26),[5]skilldef!$A:$B,2,FALSE),"-")</f>
        <v>味方全体に / -</v>
      </c>
      <c r="M26" s="64" t="str">
        <f t="shared" ref="M26" si="70">IFERROR(RIGHT(B26,LEN(B26)-FIND("],",B26)-1),"none")</f>
        <v>[effect:change_bomb_range, turn:-1, target:unit_all, val:0.5, rate:1, animation:bomb_small],[effect:enemy_message, val1:2]</v>
      </c>
      <c r="N26" s="48" t="str">
        <f t="shared" ref="N26" si="71">IFERROR(LEFT(M26,FIND("],",M26)+S39),M26)</f>
        <v>[effect:change_bomb_range, turn:-1, target:unit_all, val:0.5, rate:1, animation:bomb_small],[effect:enemy_message, val1:2]</v>
      </c>
      <c r="O26" s="64">
        <f t="shared" si="6"/>
        <v>9</v>
      </c>
      <c r="P26" s="64">
        <f t="shared" ref="P26" si="72">IFERROR(FIND(",",N26),LEN(N26))</f>
        <v>26</v>
      </c>
      <c r="Q26" s="64">
        <f t="shared" ref="Q26" si="73">FIND("target:",N26)+7</f>
        <v>44</v>
      </c>
      <c r="R26" s="64">
        <f t="shared" ref="R26" si="74">FIND(",",N26,P26+1)</f>
        <v>35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ref="T26" si="75">IFERROR(RIGHT(M26,LEN(M26)-FIND("],",M26)-1),"none")</f>
        <v>[effect:enemy_message, val1:2]</v>
      </c>
      <c r="U26" s="64">
        <f t="shared" si="11"/>
        <v>9</v>
      </c>
      <c r="V26" s="64">
        <f t="shared" ref="V26" si="76">IFERROR(FIND(",",T26),LEN(T26))</f>
        <v>22</v>
      </c>
      <c r="W26" s="64" t="e">
        <f t="shared" ref="W26" si="77">FIND("target:",T26)+7</f>
        <v>#VALUE!</v>
      </c>
      <c r="X26" s="64" t="e">
        <f t="shared" ref="X26" si="78">FIND(",",T26,V26+1)</f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40021026</v>
      </c>
      <c r="B27" s="47" t="s">
        <v>352</v>
      </c>
      <c r="C27" s="50">
        <v>3</v>
      </c>
      <c r="D27" s="50" t="s">
        <v>128</v>
      </c>
      <c r="E27" s="51" t="s">
        <v>350</v>
      </c>
      <c r="F27" s="51" t="s">
        <v>422</v>
      </c>
      <c r="G27" s="64" t="str">
        <f t="shared" ref="G27" si="79">IFERROR(LEFT(B27,FIND("],",B27)),B27)</f>
        <v>[effect:remove_enhancement, target:unit_all, target_effect:all, animation:frozen_wave]</v>
      </c>
      <c r="H27" s="64">
        <f t="shared" ref="H27" si="80">FIND("effect:",G27)+7</f>
        <v>9</v>
      </c>
      <c r="I27" s="64">
        <f t="shared" ref="I27" si="81">IFERROR(FIND(",",G27),LEN(G27))</f>
        <v>27</v>
      </c>
      <c r="J27" s="64">
        <f t="shared" ref="J27" si="82">FIND("target:",G27)+7</f>
        <v>36</v>
      </c>
      <c r="K27" s="64">
        <f t="shared" ref="K27" si="83">FIND(",",G27,I27+1)</f>
        <v>44</v>
      </c>
      <c r="L27" s="64" t="str">
        <f>IFERROR(VLOOKUP(MID(G27,J27,K27-J27),[5]skilldef!$C:$D,2,FALSE),"-") &amp; " / " &amp; IFERROR(VLOOKUP(MID(G27,H27,I27-H27),[5]skilldef!$A:$B,2,FALSE),"-")</f>
        <v>味方全体に / -</v>
      </c>
      <c r="M27" s="64" t="str">
        <f t="shared" ref="M27" si="84">IFERROR(RIGHT(B27,LEN(B27)-FIND("],",B27)-1),"none")</f>
        <v>[effect:change_bomb_range, turn:-1, target:unit_all, val:0.5, rate:1, animation:bomb_small],[effect:enemy_message, val1:2]</v>
      </c>
      <c r="N27" s="48" t="str">
        <f t="shared" ref="N27" si="85">IFERROR(LEFT(M27,FIND("],",M27)+S40),M27)</f>
        <v>[effect:change_bomb_range, turn:-1, target:unit_all, val:0.5, rate:1, animation:bomb_small],[effect:enemy_message, val1:2]</v>
      </c>
      <c r="O27" s="64">
        <f t="shared" ref="O27" si="86">FIND("effect:",N27)+7</f>
        <v>9</v>
      </c>
      <c r="P27" s="64">
        <f t="shared" ref="P27" si="87">IFERROR(FIND(",",N27),LEN(N27))</f>
        <v>26</v>
      </c>
      <c r="Q27" s="64">
        <f t="shared" ref="Q27" si="88">FIND("target:",N27)+7</f>
        <v>44</v>
      </c>
      <c r="R27" s="64">
        <f t="shared" ref="R27" si="89">FIND(",",N27,P27+1)</f>
        <v>35</v>
      </c>
      <c r="S27" s="64" t="str">
        <f>IFERROR(VLOOKUP(MID(N27,Q27,R27-Q27),[5]skilldef!$C:$D,2,FALSE),"-") &amp; " / " &amp; IFERROR(VLOOKUP(MID(N27,O27,P27-O27),[5]skilldef!$A:$B,2,FALSE),"-")</f>
        <v>- / -</v>
      </c>
      <c r="T27" s="48" t="str">
        <f t="shared" ref="T27" si="90">IFERROR(RIGHT(M27,LEN(M27)-FIND("],",M27)-1),"none")</f>
        <v>[effect:enemy_message, val1:2]</v>
      </c>
      <c r="U27" s="64">
        <f t="shared" ref="U27" si="91">FIND("effect:",T27)+7</f>
        <v>9</v>
      </c>
      <c r="V27" s="64">
        <f t="shared" ref="V27" si="92">IFERROR(FIND(",",T27),LEN(T27))</f>
        <v>22</v>
      </c>
      <c r="W27" s="64" t="e">
        <f t="shared" ref="W27" si="93">FIND("target:",T27)+7</f>
        <v>#VALUE!</v>
      </c>
      <c r="X27" s="64" t="e">
        <f t="shared" ref="X27" si="94">FIND(",",T27,V27+1)</f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40021027</v>
      </c>
      <c r="B28" s="47" t="s">
        <v>295</v>
      </c>
      <c r="C28" s="50">
        <v>3</v>
      </c>
      <c r="D28" s="50" t="s">
        <v>128</v>
      </c>
      <c r="E28" s="51" t="s">
        <v>288</v>
      </c>
      <c r="F28" s="51" t="s">
        <v>290</v>
      </c>
      <c r="G28" s="64" t="str">
        <f t="shared" ref="G28" si="95">IFERROR(LEFT(B28,FIND("],",B28)),B28)</f>
        <v>[effect:damage_anti_tribe, target:unit_one, tribe:animal, val1:3, val2:1]</v>
      </c>
      <c r="H28" s="64">
        <f t="shared" si="47"/>
        <v>9</v>
      </c>
      <c r="I28" s="64">
        <f t="shared" ref="I28" si="96">IFERROR(FIND(",",G28),LEN(G28))</f>
        <v>26</v>
      </c>
      <c r="J28" s="64">
        <f t="shared" ref="J28" si="97">FIND("target:",G28)+7</f>
        <v>35</v>
      </c>
      <c r="K28" s="64">
        <f t="shared" ref="K28" si="98">FIND(",",G28,I28+1)</f>
        <v>43</v>
      </c>
      <c r="L28" s="64" t="str">
        <f>IFERROR(VLOOKUP(MID(G28,J28,K28-J28),[5]skilldef!$C:$D,2,FALSE),"-") &amp; " / " &amp; IFERROR(VLOOKUP(MID(G28,H28,I28-H28),[5]skilldef!$A:$B,2,FALSE),"-")</f>
        <v>味方単体に / 種族キラー</v>
      </c>
      <c r="M28" s="64" t="str">
        <f t="shared" ref="M28" si="99">IFERROR(RIGHT(B28,LEN(B28)-FIND("],",B28)-1),"none")</f>
        <v>none</v>
      </c>
      <c r="N28" s="48" t="str">
        <f t="shared" ref="N28" si="100">IFERROR(LEFT(M28,FIND("],",M28)+S40),M28)</f>
        <v>none</v>
      </c>
      <c r="O28" s="64" t="e">
        <f t="shared" si="6"/>
        <v>#VALUE!</v>
      </c>
      <c r="P28" s="64">
        <f t="shared" ref="P28" si="101">IFERROR(FIND(",",N28),LEN(N28))</f>
        <v>4</v>
      </c>
      <c r="Q28" s="64" t="e">
        <f t="shared" ref="Q28" si="102">FIND("target:",N28)+7</f>
        <v>#VALUE!</v>
      </c>
      <c r="R28" s="64" t="e">
        <f t="shared" ref="R28" si="103">FIND(",",N28,P28+1)</f>
        <v>#VALUE!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ref="T28" si="104">IFERROR(RIGHT(M28,LEN(M28)-FIND("],",M28)-1),"none")</f>
        <v>none</v>
      </c>
      <c r="U28" s="64" t="e">
        <f t="shared" si="11"/>
        <v>#VALUE!</v>
      </c>
      <c r="V28" s="64">
        <f t="shared" ref="V28" si="105">IFERROR(FIND(",",T28),LEN(T28))</f>
        <v>4</v>
      </c>
      <c r="W28" s="64" t="e">
        <f t="shared" ref="W28" si="106">FIND("target:",T28)+7</f>
        <v>#VALUE!</v>
      </c>
      <c r="X28" s="64" t="e">
        <f t="shared" ref="X28" si="107">FIND(",",T28,V28+1)</f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40021028</v>
      </c>
      <c r="B29" s="47" t="s">
        <v>342</v>
      </c>
      <c r="C29" s="50">
        <v>3</v>
      </c>
      <c r="D29" s="50" t="s">
        <v>128</v>
      </c>
      <c r="E29" s="51" t="s">
        <v>289</v>
      </c>
      <c r="F29" s="51" t="s">
        <v>345</v>
      </c>
      <c r="G29" s="64" t="str">
        <f t="shared" ref="G29" si="108">IFERROR(LEFT(B29,FIND("],",B29)),B29)</f>
        <v>[effect:rush, count:1, val:1]</v>
      </c>
      <c r="H29" s="64">
        <f t="shared" si="47"/>
        <v>9</v>
      </c>
      <c r="I29" s="64">
        <f t="shared" ref="I29" si="109">IFERROR(FIND(",",G29),LEN(G29))</f>
        <v>13</v>
      </c>
      <c r="J29" s="64" t="e">
        <f t="shared" ref="J29" si="110">FIND("target:",G29)+7</f>
        <v>#VALUE!</v>
      </c>
      <c r="K29" s="64">
        <f t="shared" ref="K29" si="111">FIND(",",G29,I29+1)</f>
        <v>22</v>
      </c>
      <c r="L29" s="64" t="str">
        <f>IFERROR(VLOOKUP(MID(G29,J29,K29-J29),[5]skilldef!$C:$D,2,FALSE),"-") &amp; " / " &amp; IFERROR(VLOOKUP(MID(G29,H29,I29-H29),[5]skilldef!$A:$B,2,FALSE),"-")</f>
        <v>- / 連続攻撃</v>
      </c>
      <c r="M29" s="64" t="str">
        <f t="shared" ref="M29" si="112">IFERROR(RIGHT(B29,LEN(B29)-FIND("],",B29)-1),"none")</f>
        <v>[effect:dis_panel, target:block_red, turn:2, animation:enemy_dis_red]</v>
      </c>
      <c r="N29" s="48" t="str">
        <f t="shared" ref="N29" si="113">IFERROR(LEFT(M29,FIND("],",M29)+S41),M29)</f>
        <v>[effect:dis_panel, target:block_red, turn:2, animation:enemy_dis_red]</v>
      </c>
      <c r="O29" s="64">
        <f t="shared" si="6"/>
        <v>9</v>
      </c>
      <c r="P29" s="64">
        <f t="shared" ref="P29" si="114">IFERROR(FIND(",",N29),LEN(N29))</f>
        <v>18</v>
      </c>
      <c r="Q29" s="64">
        <f t="shared" ref="Q29" si="115">FIND("target:",N29)+7</f>
        <v>27</v>
      </c>
      <c r="R29" s="64">
        <f t="shared" ref="R29" si="116">FIND(",",N29,P29+1)</f>
        <v>36</v>
      </c>
      <c r="S29" s="64" t="str">
        <f>IFERROR(VLOOKUP(MID(N29,Q29,R29-Q29),[5]skilldef!$C:$D,2,FALSE),"-") &amp; " / " &amp; IFERROR(VLOOKUP(MID(N29,O29,P29-O29),[5]skilldef!$A:$B,2,FALSE),"-")</f>
        <v>赤パネルを / ディスパネル</v>
      </c>
      <c r="T29" s="48" t="str">
        <f t="shared" ref="T29" si="117">IFERROR(RIGHT(M29,LEN(M29)-FIND("],",M29)-1),"none")</f>
        <v>none</v>
      </c>
      <c r="U29" s="64" t="e">
        <f t="shared" si="11"/>
        <v>#VALUE!</v>
      </c>
      <c r="V29" s="64">
        <f t="shared" ref="V29" si="118">IFERROR(FIND(",",T29),LEN(T29))</f>
        <v>4</v>
      </c>
      <c r="W29" s="64" t="e">
        <f t="shared" ref="W29" si="119">FIND("target:",T29)+7</f>
        <v>#VALUE!</v>
      </c>
      <c r="X29" s="64" t="e">
        <f t="shared" ref="X29" si="120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40021029</v>
      </c>
      <c r="B30" s="47" t="s">
        <v>343</v>
      </c>
      <c r="C30" s="50">
        <v>3</v>
      </c>
      <c r="D30" s="50" t="s">
        <v>128</v>
      </c>
      <c r="E30" s="51" t="s">
        <v>291</v>
      </c>
      <c r="F30" s="51" t="s">
        <v>346</v>
      </c>
      <c r="G30" s="64" t="str">
        <f t="shared" ref="G30" si="121">IFERROR(LEFT(B30,FIND("],",B30)),B30)</f>
        <v>[effect:rush, count:1, val:1]</v>
      </c>
      <c r="H30" s="64">
        <f t="shared" si="47"/>
        <v>9</v>
      </c>
      <c r="I30" s="64">
        <f t="shared" ref="I30" si="122">IFERROR(FIND(",",G30),LEN(G30))</f>
        <v>13</v>
      </c>
      <c r="J30" s="64" t="e">
        <f t="shared" ref="J30" si="123">FIND("target:",G30)+7</f>
        <v>#VALUE!</v>
      </c>
      <c r="K30" s="64">
        <f t="shared" ref="K30" si="124">FIND(",",G30,I30+1)</f>
        <v>22</v>
      </c>
      <c r="L30" s="64" t="str">
        <f>IFERROR(VLOOKUP(MID(G30,J30,K30-J30),[5]skilldef!$C:$D,2,FALSE),"-") &amp; " / " &amp; IFERROR(VLOOKUP(MID(G30,H30,I30-H30),[5]skilldef!$A:$B,2,FALSE),"-")</f>
        <v>- / 連続攻撃</v>
      </c>
      <c r="M30" s="64" t="str">
        <f t="shared" ref="M30" si="125">IFERROR(RIGHT(B30,LEN(B30)-FIND("],",B30)-1),"none")</f>
        <v>[effect:dis_panel, target:block_blue, turn:2, animation:enemy_dis_blue]</v>
      </c>
      <c r="N30" s="48" t="str">
        <f t="shared" ref="N30" si="126">IFERROR(LEFT(M30,FIND("],",M30)+S42),M30)</f>
        <v>[effect:dis_panel, target:block_blue, turn:2, animation:enemy_dis_blue]</v>
      </c>
      <c r="O30" s="64">
        <f t="shared" si="6"/>
        <v>9</v>
      </c>
      <c r="P30" s="64">
        <f t="shared" ref="P30" si="127">IFERROR(FIND(",",N30),LEN(N30))</f>
        <v>18</v>
      </c>
      <c r="Q30" s="64">
        <f t="shared" ref="Q30" si="128">FIND("target:",N30)+7</f>
        <v>27</v>
      </c>
      <c r="R30" s="64">
        <f t="shared" ref="R30" si="129">FIND(",",N30,P30+1)</f>
        <v>37</v>
      </c>
      <c r="S30" s="64" t="str">
        <f>IFERROR(VLOOKUP(MID(N30,Q30,R30-Q30),[5]skilldef!$C:$D,2,FALSE),"-") &amp; " / " &amp; IFERROR(VLOOKUP(MID(N30,O30,P30-O30),[5]skilldef!$A:$B,2,FALSE),"-")</f>
        <v>青パネルを / ディスパネル</v>
      </c>
      <c r="T30" s="48" t="str">
        <f t="shared" ref="T30" si="130">IFERROR(RIGHT(M30,LEN(M30)-FIND("],",M30)-1),"none")</f>
        <v>none</v>
      </c>
      <c r="U30" s="64" t="e">
        <f t="shared" si="11"/>
        <v>#VALUE!</v>
      </c>
      <c r="V30" s="64">
        <f t="shared" ref="V30" si="131">IFERROR(FIND(",",T30),LEN(T30))</f>
        <v>4</v>
      </c>
      <c r="W30" s="64" t="e">
        <f t="shared" ref="W30" si="132">FIND("target:",T30)+7</f>
        <v>#VALUE!</v>
      </c>
      <c r="X30" s="64" t="e">
        <f t="shared" ref="X30" si="133">FIND(",",T30,V30+1)</f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40021030</v>
      </c>
      <c r="B31" s="47" t="s">
        <v>344</v>
      </c>
      <c r="C31" s="50">
        <v>3</v>
      </c>
      <c r="D31" s="50" t="s">
        <v>128</v>
      </c>
      <c r="E31" s="51" t="s">
        <v>305</v>
      </c>
      <c r="F31" s="51" t="s">
        <v>347</v>
      </c>
      <c r="G31" s="64" t="str">
        <f t="shared" ref="G31" si="134">IFERROR(LEFT(B31,FIND("],",B31)),B31)</f>
        <v>[effect:rush, count:1, val:1]</v>
      </c>
      <c r="H31" s="64">
        <f t="shared" si="47"/>
        <v>9</v>
      </c>
      <c r="I31" s="64">
        <f t="shared" ref="I31" si="135">IFERROR(FIND(",",G31),LEN(G31))</f>
        <v>13</v>
      </c>
      <c r="J31" s="64" t="e">
        <f t="shared" ref="J31" si="136">FIND("target:",G31)+7</f>
        <v>#VALUE!</v>
      </c>
      <c r="K31" s="64">
        <f t="shared" ref="K31" si="137">FIND(",",G31,I31+1)</f>
        <v>22</v>
      </c>
      <c r="L31" s="64" t="str">
        <f>IFERROR(VLOOKUP(MID(G31,J31,K31-J31),[5]skilldef!$C:$D,2,FALSE),"-") &amp; " / " &amp; IFERROR(VLOOKUP(MID(G31,H31,I31-H31),[5]skilldef!$A:$B,2,FALSE),"-")</f>
        <v>- / 連続攻撃</v>
      </c>
      <c r="M31" s="64" t="str">
        <f t="shared" ref="M31" si="138">IFERROR(RIGHT(B31,LEN(B31)-FIND("],",B31)-1),"none")</f>
        <v>[effect:dis_panel, target:block_green, turn:2, animation:enemy_dis_green]</v>
      </c>
      <c r="N31" s="48" t="str">
        <f t="shared" ref="N31" si="139">IFERROR(LEFT(M31,FIND("],",M31)+S43),M31)</f>
        <v>[effect:dis_panel, target:block_green, turn:2, animation:enemy_dis_green]</v>
      </c>
      <c r="O31" s="64">
        <f t="shared" si="6"/>
        <v>9</v>
      </c>
      <c r="P31" s="64">
        <f t="shared" ref="P31" si="140">IFERROR(FIND(",",N31),LEN(N31))</f>
        <v>18</v>
      </c>
      <c r="Q31" s="64">
        <f t="shared" ref="Q31" si="141">FIND("target:",N31)+7</f>
        <v>27</v>
      </c>
      <c r="R31" s="64">
        <f t="shared" ref="R31" si="142">FIND(",",N31,P31+1)</f>
        <v>38</v>
      </c>
      <c r="S31" s="64" t="str">
        <f>IFERROR(VLOOKUP(MID(N31,Q31,R31-Q31),[5]skilldef!$C:$D,2,FALSE),"-") &amp; " / " &amp; IFERROR(VLOOKUP(MID(N31,O31,P31-O31),[5]skilldef!$A:$B,2,FALSE),"-")</f>
        <v>緑パネルを / ディスパネル</v>
      </c>
      <c r="T31" s="48" t="str">
        <f t="shared" ref="T31" si="143">IFERROR(RIGHT(M31,LEN(M31)-FIND("],",M31)-1),"none")</f>
        <v>none</v>
      </c>
      <c r="U31" s="64" t="e">
        <f t="shared" si="11"/>
        <v>#VALUE!</v>
      </c>
      <c r="V31" s="64">
        <f t="shared" ref="V31" si="144">IFERROR(FIND(",",T31),LEN(T31))</f>
        <v>4</v>
      </c>
      <c r="W31" s="64" t="e">
        <f t="shared" ref="W31" si="145">FIND("target:",T31)+7</f>
        <v>#VALUE!</v>
      </c>
      <c r="X31" s="64" t="e">
        <f t="shared" ref="X31" si="146">FIND(",",T31,V31+1)</f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40021031</v>
      </c>
      <c r="B32" s="47" t="s">
        <v>301</v>
      </c>
      <c r="C32" s="50">
        <v>3</v>
      </c>
      <c r="D32" s="50" t="s">
        <v>128</v>
      </c>
      <c r="E32" s="51" t="s">
        <v>292</v>
      </c>
      <c r="F32" s="51" t="s">
        <v>348</v>
      </c>
      <c r="G32" s="64" t="str">
        <f t="shared" ref="G32" si="147">IFERROR(LEFT(B32,FIND("],",B32)),B32)</f>
        <v>[effect:rush, count:1, val:1]</v>
      </c>
      <c r="H32" s="64">
        <f t="shared" si="47"/>
        <v>9</v>
      </c>
      <c r="I32" s="64">
        <f t="shared" ref="I32" si="148">IFERROR(FIND(",",G32),LEN(G32))</f>
        <v>13</v>
      </c>
      <c r="J32" s="64" t="e">
        <f t="shared" ref="J32" si="149">FIND("target:",G32)+7</f>
        <v>#VALUE!</v>
      </c>
      <c r="K32" s="64">
        <f t="shared" ref="K32" si="150">FIND(",",G32,I32+1)</f>
        <v>22</v>
      </c>
      <c r="L32" s="64" t="str">
        <f>IFERROR(VLOOKUP(MID(G32,J32,K32-J32),[5]skilldef!$C:$D,2,FALSE),"-") &amp; " / " &amp; IFERROR(VLOOKUP(MID(G32,H32,I32-H32),[5]skilldef!$A:$B,2,FALSE),"-")</f>
        <v>- / 連続攻撃</v>
      </c>
      <c r="M32" s="64" t="str">
        <f t="shared" ref="M32" si="151">IFERROR(RIGHT(B32,LEN(B32)-FIND("],",B32)-1),"none")</f>
        <v>[effect:dis_panel, target:block_yellow, turn:2, animation:enemy_dis_yellow]</v>
      </c>
      <c r="N32" s="48" t="str">
        <f t="shared" ref="N32" si="152">IFERROR(LEFT(M32,FIND("],",M32)+S44),M32)</f>
        <v>[effect:dis_panel, target:block_yellow, turn:2, animation:enemy_dis_yellow]</v>
      </c>
      <c r="O32" s="64">
        <f t="shared" si="6"/>
        <v>9</v>
      </c>
      <c r="P32" s="64">
        <f t="shared" ref="P32" si="153">IFERROR(FIND(",",N32),LEN(N32))</f>
        <v>18</v>
      </c>
      <c r="Q32" s="64">
        <f t="shared" ref="Q32" si="154">FIND("target:",N32)+7</f>
        <v>27</v>
      </c>
      <c r="R32" s="64">
        <f t="shared" ref="R32" si="155">FIND(",",N32,P32+1)</f>
        <v>39</v>
      </c>
      <c r="S32" s="64" t="str">
        <f>IFERROR(VLOOKUP(MID(N32,Q32,R32-Q32),[5]skilldef!$C:$D,2,FALSE),"-") &amp; " / " &amp; IFERROR(VLOOKUP(MID(N32,O32,P32-O32),[5]skilldef!$A:$B,2,FALSE),"-")</f>
        <v>黄色パネルを / ディスパネル</v>
      </c>
      <c r="T32" s="48" t="str">
        <f t="shared" ref="T32" si="156">IFERROR(RIGHT(M32,LEN(M32)-FIND("],",M32)-1),"none")</f>
        <v>none</v>
      </c>
      <c r="U32" s="64" t="e">
        <f t="shared" si="11"/>
        <v>#VALUE!</v>
      </c>
      <c r="V32" s="64">
        <f t="shared" ref="V32" si="157">IFERROR(FIND(",",T32),LEN(T32))</f>
        <v>4</v>
      </c>
      <c r="W32" s="64" t="e">
        <f t="shared" ref="W32" si="158">FIND("target:",T32)+7</f>
        <v>#VALUE!</v>
      </c>
      <c r="X32" s="64" t="e">
        <f t="shared" ref="X32" si="159">FIND(",",T32,V32+1)</f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40021032</v>
      </c>
      <c r="B33" s="47" t="s">
        <v>312</v>
      </c>
      <c r="C33" s="50">
        <v>3</v>
      </c>
      <c r="D33" s="50" t="s">
        <v>128</v>
      </c>
      <c r="E33" s="51" t="s">
        <v>304</v>
      </c>
      <c r="F33" s="51" t="s">
        <v>311</v>
      </c>
      <c r="G33" s="64" t="str">
        <f t="shared" ref="G33" si="160">IFERROR(LEFT(B33,FIND("],",B33)),B33)</f>
        <v>[effect:freq_turn, target:myself, turn:2, val:1, animation:enemy_freq_turn]</v>
      </c>
      <c r="H33" s="64">
        <f t="shared" si="47"/>
        <v>9</v>
      </c>
      <c r="I33" s="64">
        <f t="shared" ref="I33" si="161">IFERROR(FIND(",",G33),LEN(G33))</f>
        <v>18</v>
      </c>
      <c r="J33" s="64">
        <f t="shared" ref="J33" si="162">FIND("target:",G33)+7</f>
        <v>27</v>
      </c>
      <c r="K33" s="64">
        <f t="shared" ref="K33" si="163">FIND(",",G33,I33+1)</f>
        <v>33</v>
      </c>
      <c r="L33" s="64" t="str">
        <f>IFERROR(VLOOKUP(MID(G33,J33,K33-J33),[5]skilldef!$C:$D,2,FALSE),"-") &amp; " / " &amp; IFERROR(VLOOKUP(MID(G33,H33,I33-H33),[5]skilldef!$A:$B,2,FALSE),"-")</f>
        <v>自分自身に / 攻撃頻度がUP</v>
      </c>
      <c r="M33" s="64" t="str">
        <f t="shared" ref="M33" si="164">IFERROR(RIGHT(B33,LEN(B33)-FIND("],",B33)-1),"none")</f>
        <v>none</v>
      </c>
      <c r="N33" s="48" t="str">
        <f t="shared" ref="N33" si="165">IFERROR(LEFT(M33,FIND("],",M33)+S45),M33)</f>
        <v>none</v>
      </c>
      <c r="O33" s="64" t="e">
        <f t="shared" si="6"/>
        <v>#VALUE!</v>
      </c>
      <c r="P33" s="64">
        <f t="shared" ref="P33" si="166">IFERROR(FIND(",",N33),LEN(N33))</f>
        <v>4</v>
      </c>
      <c r="Q33" s="64" t="e">
        <f t="shared" ref="Q33" si="167">FIND("target:",N33)+7</f>
        <v>#VALUE!</v>
      </c>
      <c r="R33" s="64" t="e">
        <f t="shared" ref="R33" si="168">FIND(",",N33,P33+1)</f>
        <v>#VALUE!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ref="T33" si="169">IFERROR(RIGHT(M33,LEN(M33)-FIND("],",M33)-1),"none")</f>
        <v>none</v>
      </c>
      <c r="U33" s="64" t="e">
        <f t="shared" si="11"/>
        <v>#VALUE!</v>
      </c>
      <c r="V33" s="64">
        <f t="shared" ref="V33" si="170">IFERROR(FIND(",",T33),LEN(T33))</f>
        <v>4</v>
      </c>
      <c r="W33" s="64" t="e">
        <f t="shared" ref="W33" si="171">FIND("target:",T33)+7</f>
        <v>#VALUE!</v>
      </c>
      <c r="X33" s="64" t="e">
        <f t="shared" ref="X33" si="172">FIND(",",T33,V33+1)</f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40021033</v>
      </c>
      <c r="B34" s="47" t="s">
        <v>364</v>
      </c>
      <c r="C34" s="50">
        <v>3</v>
      </c>
      <c r="D34" s="50" t="s">
        <v>128</v>
      </c>
      <c r="E34" s="51" t="s">
        <v>365</v>
      </c>
      <c r="F34" s="51" t="s">
        <v>311</v>
      </c>
      <c r="G34" s="64" t="str">
        <f t="shared" ref="G34" si="173">IFERROR(LEFT(B34,FIND("],",B34)),B34)</f>
        <v>[effect:freq_turn, target:myself, turn:2, val:1, animation:enemy_freq_turn]</v>
      </c>
      <c r="H34" s="64">
        <f t="shared" ref="H34" si="174">FIND("effect:",G34)+7</f>
        <v>9</v>
      </c>
      <c r="I34" s="64">
        <f t="shared" ref="I34" si="175">IFERROR(FIND(",",G34),LEN(G34))</f>
        <v>18</v>
      </c>
      <c r="J34" s="64">
        <f t="shared" ref="J34" si="176">FIND("target:",G34)+7</f>
        <v>27</v>
      </c>
      <c r="K34" s="64">
        <f t="shared" ref="K34" si="177">FIND(",",G34,I34+1)</f>
        <v>33</v>
      </c>
      <c r="L34" s="64" t="str">
        <f>IFERROR(VLOOKUP(MID(G34,J34,K34-J34),[5]skilldef!$C:$D,2,FALSE),"-") &amp; " / " &amp; IFERROR(VLOOKUP(MID(G34,H34,I34-H34),[5]skilldef!$A:$B,2,FALSE),"-")</f>
        <v>自分自身に / 攻撃頻度がUP</v>
      </c>
      <c r="M34" s="64" t="str">
        <f t="shared" ref="M34" si="178">IFERROR(RIGHT(B34,LEN(B34)-FIND("],",B34)-1),"none")</f>
        <v>none</v>
      </c>
      <c r="N34" s="48" t="str">
        <f>IFERROR(LEFT(M34,FIND("],",M34)+S46),M34)</f>
        <v>none</v>
      </c>
      <c r="O34" s="64" t="e">
        <f t="shared" ref="O34" si="179">FIND("effect:",N34)+7</f>
        <v>#VALUE!</v>
      </c>
      <c r="P34" s="64">
        <f t="shared" ref="P34" si="180">IFERROR(FIND(",",N34),LEN(N34))</f>
        <v>4</v>
      </c>
      <c r="Q34" s="64" t="e">
        <f t="shared" ref="Q34" si="181">FIND("target:",N34)+7</f>
        <v>#VALUE!</v>
      </c>
      <c r="R34" s="64" t="e">
        <f t="shared" ref="R34" si="182">FIND(",",N34,P34+1)</f>
        <v>#VALUE!</v>
      </c>
      <c r="S34" s="64" t="str">
        <f>IFERROR(VLOOKUP(MID(N34,Q34,R34-Q34),[5]skilldef!$C:$D,2,FALSE),"-") &amp; " / " &amp; IFERROR(VLOOKUP(MID(N34,O34,P34-O34),[5]skilldef!$A:$B,2,FALSE),"-")</f>
        <v>- / -</v>
      </c>
      <c r="T34" s="48" t="str">
        <f t="shared" ref="T34" si="183">IFERROR(RIGHT(M34,LEN(M34)-FIND("],",M34)-1),"none")</f>
        <v>none</v>
      </c>
      <c r="U34" s="64" t="e">
        <f t="shared" ref="U34" si="184">FIND("effect:",T34)+7</f>
        <v>#VALUE!</v>
      </c>
      <c r="V34" s="64">
        <f t="shared" ref="V34" si="185">IFERROR(FIND(",",T34),LEN(T34))</f>
        <v>4</v>
      </c>
      <c r="W34" s="64" t="e">
        <f t="shared" ref="W34" si="186">FIND("target:",T34)+7</f>
        <v>#VALUE!</v>
      </c>
      <c r="X34" s="64" t="e">
        <f t="shared" ref="X34" si="187"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40021034</v>
      </c>
      <c r="B35" s="47" t="s">
        <v>313</v>
      </c>
      <c r="C35" s="50">
        <v>3</v>
      </c>
      <c r="D35" s="50" t="s">
        <v>128</v>
      </c>
      <c r="E35" s="51" t="s">
        <v>353</v>
      </c>
      <c r="F35" s="51" t="s">
        <v>349</v>
      </c>
      <c r="G35" s="64" t="str">
        <f t="shared" ref="G35" si="188">IFERROR(LEFT(B35,FIND("],",B35)),B35)</f>
        <v>[effect:enhance_enemy, target:myself, turn:1, status:attack, val:0.5, animation:enemy_enhance_attack]</v>
      </c>
      <c r="H35" s="64">
        <f t="shared" ref="H35" si="189">FIND("effect:",G35)+7</f>
        <v>9</v>
      </c>
      <c r="I35" s="64">
        <f t="shared" ref="I35" si="190">IFERROR(FIND(",",G35),LEN(G35))</f>
        <v>22</v>
      </c>
      <c r="J35" s="64">
        <f t="shared" ref="J35" si="191">FIND("target:",G35)+7</f>
        <v>31</v>
      </c>
      <c r="K35" s="64">
        <f t="shared" ref="K35" si="192">FIND(",",G35,I35+1)</f>
        <v>37</v>
      </c>
      <c r="L35" s="64" t="str">
        <f>IFERROR(VLOOKUP(MID(G35,J35,K35-J35),[5]skilldef!$C:$D,2,FALSE),"-") &amp; " / " &amp; IFERROR(VLOOKUP(MID(G35,H35,I35-H35),[5]skilldef!$A:$B,2,FALSE),"-")</f>
        <v>自分自身に / ステータス強化</v>
      </c>
      <c r="M35" s="64" t="str">
        <f t="shared" ref="M35" si="193">IFERROR(RIGHT(B35,LEN(B35)-FIND("],",B35)-1),"none")</f>
        <v>[effect:enemy_message, val2:3]</v>
      </c>
      <c r="N35" s="48" t="str">
        <f>IFERROR(LEFT(M35,FIND("],",M35)+S46),M35)</f>
        <v>[effect:enemy_message, val2:3]</v>
      </c>
      <c r="O35" s="64">
        <f t="shared" ref="O35" si="194">FIND("effect:",N35)+7</f>
        <v>9</v>
      </c>
      <c r="P35" s="64">
        <f t="shared" ref="P35" si="195">IFERROR(FIND(",",N35),LEN(N35))</f>
        <v>22</v>
      </c>
      <c r="Q35" s="64" t="e">
        <f t="shared" ref="Q35" si="196">FIND("target:",N35)+7</f>
        <v>#VALUE!</v>
      </c>
      <c r="R35" s="64" t="e">
        <f t="shared" ref="R35" si="197">FIND(",",N35,P35+1)</f>
        <v>#VALUE!</v>
      </c>
      <c r="S35" s="64" t="str">
        <f>IFERROR(VLOOKUP(MID(N35,Q35,R35-Q35),[5]skilldef!$C:$D,2,FALSE),"-") &amp; " / " &amp; IFERROR(VLOOKUP(MID(N35,O35,P35-O35),[5]skilldef!$A:$B,2,FALSE),"-")</f>
        <v>- / -</v>
      </c>
      <c r="T35" s="48" t="str">
        <f t="shared" ref="T35" si="198">IFERROR(RIGHT(M35,LEN(M35)-FIND("],",M35)-1),"none")</f>
        <v>none</v>
      </c>
      <c r="U35" s="64" t="e">
        <f t="shared" ref="U35" si="199">FIND("effect:",T35)+7</f>
        <v>#VALUE!</v>
      </c>
      <c r="V35" s="64">
        <f t="shared" ref="V35" si="200">IFERROR(FIND(",",T35),LEN(T35))</f>
        <v>4</v>
      </c>
      <c r="W35" s="64" t="e">
        <f t="shared" ref="W35" si="201">FIND("target:",T35)+7</f>
        <v>#VALUE!</v>
      </c>
      <c r="X35" s="64" t="e">
        <f t="shared" ref="X35" si="202">FIND(",",T35,V35+1)</f>
        <v>#VALUE!</v>
      </c>
      <c r="Y35" s="64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47">
        <v>40021035</v>
      </c>
      <c r="B36" s="47" t="s">
        <v>262</v>
      </c>
      <c r="C36" s="50">
        <v>3</v>
      </c>
      <c r="D36" s="50" t="s">
        <v>128</v>
      </c>
      <c r="E36" s="51" t="s">
        <v>320</v>
      </c>
      <c r="F36" s="51" t="s">
        <v>293</v>
      </c>
      <c r="G36" s="64" t="str">
        <f t="shared" ref="G36" si="203">IFERROR(LEFT(B36,FIND("],",B36)),B36)</f>
        <v>[effect:critical, val:1.5]</v>
      </c>
      <c r="H36" s="64">
        <f t="shared" si="47"/>
        <v>9</v>
      </c>
      <c r="I36" s="64">
        <f t="shared" ref="I36" si="204">IFERROR(FIND(",",G36),LEN(G36))</f>
        <v>17</v>
      </c>
      <c r="J36" s="64" t="e">
        <f t="shared" ref="J36" si="205">FIND("target:",G36)+7</f>
        <v>#VALUE!</v>
      </c>
      <c r="K36" s="64" t="e">
        <f t="shared" ref="K36" si="206">FIND(",",G36,I36+1)</f>
        <v>#VALUE!</v>
      </c>
      <c r="L36" s="64" t="str">
        <f>IFERROR(VLOOKUP(MID(G36,J36,K36-J36),[5]skilldef!$C:$D,2,FALSE),"-") &amp; " / " &amp; IFERROR(VLOOKUP(MID(G36,H36,I36-H36),[5]skilldef!$A:$B,2,FALSE),"-")</f>
        <v>- / 大攻撃</v>
      </c>
      <c r="M36" s="64" t="str">
        <f t="shared" ref="M36" si="207">IFERROR(RIGHT(B36,LEN(B36)-FIND("],",B36)-1),"none")</f>
        <v>none</v>
      </c>
      <c r="N36" s="48" t="str">
        <f>IFERROR(LEFT(M36,FIND("],",M36)+S46),M36)</f>
        <v>none</v>
      </c>
      <c r="O36" s="64" t="e">
        <f t="shared" si="6"/>
        <v>#VALUE!</v>
      </c>
      <c r="P36" s="64">
        <f t="shared" ref="P36" si="208">IFERROR(FIND(",",N36),LEN(N36))</f>
        <v>4</v>
      </c>
      <c r="Q36" s="64" t="e">
        <f t="shared" ref="Q36" si="209">FIND("target:",N36)+7</f>
        <v>#VALUE!</v>
      </c>
      <c r="R36" s="64" t="e">
        <f t="shared" ref="R36" si="210">FIND(",",N36,P36+1)</f>
        <v>#VALUE!</v>
      </c>
      <c r="S36" s="64" t="str">
        <f>IFERROR(VLOOKUP(MID(N36,Q36,R36-Q36),[5]skilldef!$C:$D,2,FALSE),"-") &amp; " / " &amp; IFERROR(VLOOKUP(MID(N36,O36,P36-O36),[5]skilldef!$A:$B,2,FALSE),"-")</f>
        <v>- / -</v>
      </c>
      <c r="T36" s="48" t="str">
        <f t="shared" ref="T36" si="211">IFERROR(RIGHT(M36,LEN(M36)-FIND("],",M36)-1),"none")</f>
        <v>none</v>
      </c>
      <c r="U36" s="64" t="e">
        <f t="shared" si="11"/>
        <v>#VALUE!</v>
      </c>
      <c r="V36" s="64">
        <f t="shared" ref="V36" si="212">IFERROR(FIND(",",T36),LEN(T36))</f>
        <v>4</v>
      </c>
      <c r="W36" s="64" t="e">
        <f t="shared" ref="W36" si="213">FIND("target:",T36)+7</f>
        <v>#VALUE!</v>
      </c>
      <c r="X36" s="64" t="e">
        <f t="shared" ref="X36" si="214">FIND(",",T36,V36+1)</f>
        <v>#VALUE!</v>
      </c>
      <c r="Y36" s="64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40021036</v>
      </c>
      <c r="B37" s="47" t="s">
        <v>323</v>
      </c>
      <c r="C37" s="50">
        <v>3</v>
      </c>
      <c r="D37" s="50" t="s">
        <v>128</v>
      </c>
      <c r="E37" s="51" t="s">
        <v>321</v>
      </c>
      <c r="F37" s="51" t="s">
        <v>294</v>
      </c>
      <c r="G37" s="64" t="str">
        <f t="shared" ref="G37" si="215">IFERROR(LEFT(B37,FIND("],",B37)),B37)</f>
        <v>[effect:dis_panel, target:block_red, turn:2, animation:enemy_dis_red]</v>
      </c>
      <c r="H37" s="64">
        <f t="shared" si="47"/>
        <v>9</v>
      </c>
      <c r="I37" s="64">
        <f t="shared" ref="I37" si="216">IFERROR(FIND(",",G37),LEN(G37))</f>
        <v>18</v>
      </c>
      <c r="J37" s="64">
        <f t="shared" ref="J37" si="217">FIND("target:",G37)+7</f>
        <v>27</v>
      </c>
      <c r="K37" s="64">
        <f t="shared" ref="K37" si="218">FIND(",",G37,I37+1)</f>
        <v>36</v>
      </c>
      <c r="L37" s="64" t="str">
        <f>IFERROR(VLOOKUP(MID(G37,J37,K37-J37),[5]skilldef!$C:$D,2,FALSE),"-") &amp; " / " &amp; IFERROR(VLOOKUP(MID(G37,H37,I37-H37),[5]skilldef!$A:$B,2,FALSE),"-")</f>
        <v>赤パネルを / ディスパネル</v>
      </c>
      <c r="M37" s="64" t="str">
        <f t="shared" ref="M37" si="219">IFERROR(RIGHT(B37,LEN(B37)-FIND("],",B37)-1),"none")</f>
        <v>[effect:dis_panel, target:block_blue, turn:2, animation:enemy_dis_blue],[effect:dis_panel, target:block_green, turn:2, animation:enemy_dis_green],[effect:dis_panel, target:block_yellow, turn:2, animation:enemy_dis_yellow],[effect:dis_heart, turn:2, animation:enemy_dis_heart]</v>
      </c>
      <c r="N37" s="48" t="str">
        <f>IFERROR(LEFT(M37,FIND("],",M37)+S47),M37)</f>
        <v>[effect:dis_panel, target:block_blue, turn:2, animation:enemy_dis_blue]</v>
      </c>
      <c r="O37" s="64">
        <f t="shared" si="6"/>
        <v>9</v>
      </c>
      <c r="P37" s="64">
        <f t="shared" ref="P37" si="220">IFERROR(FIND(",",N37),LEN(N37))</f>
        <v>18</v>
      </c>
      <c r="Q37" s="64">
        <f t="shared" ref="Q37" si="221">FIND("target:",N37)+7</f>
        <v>27</v>
      </c>
      <c r="R37" s="64">
        <f t="shared" ref="R37" si="222">FIND(",",N37,P37+1)</f>
        <v>37</v>
      </c>
      <c r="S37" s="64" t="str">
        <f>IFERROR(VLOOKUP(MID(N37,Q37,R37-Q37),[5]skilldef!$C:$D,2,FALSE),"-") &amp; " / " &amp; IFERROR(VLOOKUP(MID(N37,O37,P37-O37),[5]skilldef!$A:$B,2,FALSE),"-")</f>
        <v>青パネルを / ディスパネル</v>
      </c>
      <c r="T37" s="48" t="str">
        <f t="shared" ref="T37" si="223">IFERROR(RIGHT(M37,LEN(M37)-FIND("],",M37)-1),"none")</f>
        <v>[effect:dis_panel, target:block_green, turn:2, animation:enemy_dis_green],[effect:dis_panel, target:block_yellow, turn:2, animation:enemy_dis_yellow],[effect:dis_heart, turn:2, animation:enemy_dis_heart]</v>
      </c>
      <c r="U37" s="64">
        <f t="shared" si="11"/>
        <v>9</v>
      </c>
      <c r="V37" s="64">
        <f t="shared" ref="V37" si="224">IFERROR(FIND(",",T37),LEN(T37))</f>
        <v>18</v>
      </c>
      <c r="W37" s="64">
        <f t="shared" ref="W37" si="225">FIND("target:",T37)+7</f>
        <v>27</v>
      </c>
      <c r="X37" s="64">
        <f t="shared" ref="X37" si="226">FIND(",",T37,V37+1)</f>
        <v>38</v>
      </c>
      <c r="Y37" s="64" t="str">
        <f>IFERROR(VLOOKUP(MID(T37,W37,X37-W37),[5]skilldef!$C:$D,2,FALSE),"-") &amp; " / " &amp; IFERROR(VLOOKUP(MID(T37,U37,V37-U37),[5]skilldef!$A:$B,2,FALSE),"-")</f>
        <v>緑パネルを / ディスパネル</v>
      </c>
      <c r="Z37" s="50"/>
      <c r="AA37" s="52"/>
      <c r="AB37" s="50"/>
    </row>
    <row r="38" spans="1:28" ht="21" customHeight="1" x14ac:dyDescent="0.15">
      <c r="A38" s="47">
        <v>40021037</v>
      </c>
      <c r="B38" s="47" t="s">
        <v>324</v>
      </c>
      <c r="C38" s="50">
        <v>3</v>
      </c>
      <c r="D38" s="50" t="s">
        <v>128</v>
      </c>
      <c r="E38" s="51" t="s">
        <v>322</v>
      </c>
      <c r="F38" s="51" t="s">
        <v>374</v>
      </c>
      <c r="G38" s="64" t="str">
        <f t="shared" ref="G38" si="227">IFERROR(LEFT(B38,FIND("],",B38)),B38)</f>
        <v>[effect:rush, count:4, val:0.3]</v>
      </c>
      <c r="H38" s="64">
        <f t="shared" si="47"/>
        <v>9</v>
      </c>
      <c r="I38" s="64">
        <f t="shared" ref="I38" si="228">IFERROR(FIND(",",G38),LEN(G38))</f>
        <v>13</v>
      </c>
      <c r="J38" s="64" t="e">
        <f t="shared" ref="J38" si="229">FIND("target:",G38)+7</f>
        <v>#VALUE!</v>
      </c>
      <c r="K38" s="64">
        <f t="shared" ref="K38" si="230">FIND(",",G38,I38+1)</f>
        <v>22</v>
      </c>
      <c r="L38" s="64" t="str">
        <f>IFERROR(VLOOKUP(MID(G38,J38,K38-J38),[5]skilldef!$C:$D,2,FALSE),"-") &amp; " / " &amp; IFERROR(VLOOKUP(MID(G38,H38,I38-H38),[5]skilldef!$A:$B,2,FALSE),"-")</f>
        <v>- / 連続攻撃</v>
      </c>
      <c r="M38" s="64" t="str">
        <f t="shared" ref="M38" si="231">IFERROR(RIGHT(B38,LEN(B38)-FIND("],",B38)-1),"none")</f>
        <v>[effect:hungup, target:unit_one, turn:2, rate:1, calc_type:target_one, animation:hungup01]</v>
      </c>
      <c r="N38" s="48" t="str">
        <f t="shared" ref="N38" si="232">IFERROR(LEFT(M38,FIND("],",M38)+S48),M38)</f>
        <v>[effect:hungup, target:unit_one, turn:2, rate:1, calc_type:target_one, animation:hungup01]</v>
      </c>
      <c r="O38" s="64">
        <f t="shared" si="6"/>
        <v>9</v>
      </c>
      <c r="P38" s="64">
        <f t="shared" ref="P38" si="233">IFERROR(FIND(",",N38),LEN(N38))</f>
        <v>15</v>
      </c>
      <c r="Q38" s="64">
        <f t="shared" ref="Q38" si="234">FIND("target:",N38)+7</f>
        <v>24</v>
      </c>
      <c r="R38" s="64">
        <f t="shared" ref="R38" si="235">FIND(",",N38,P38+1)</f>
        <v>32</v>
      </c>
      <c r="S38" s="64" t="str">
        <f>IFERROR(VLOOKUP(MID(N38,Q38,R38-Q38),[5]skilldef!$C:$D,2,FALSE),"-") &amp; " / " &amp; IFERROR(VLOOKUP(MID(N38,O38,P38-O38),[5]skilldef!$A:$B,2,FALSE),"-")</f>
        <v>味方単体に / ハングアップ</v>
      </c>
      <c r="T38" s="48" t="str">
        <f t="shared" ref="T38" si="236">IFERROR(RIGHT(M38,LEN(M38)-FIND("],",M38)-1),"none")</f>
        <v>none</v>
      </c>
      <c r="U38" s="64" t="e">
        <f t="shared" si="11"/>
        <v>#VALUE!</v>
      </c>
      <c r="V38" s="64">
        <f t="shared" ref="V38" si="237">IFERROR(FIND(",",T38),LEN(T38))</f>
        <v>4</v>
      </c>
      <c r="W38" s="64" t="e">
        <f t="shared" ref="W38" si="238">FIND("target:",T38)+7</f>
        <v>#VALUE!</v>
      </c>
      <c r="X38" s="64" t="e">
        <f t="shared" ref="X38" si="239">FIND(",",T38,V38+1)</f>
        <v>#VALUE!</v>
      </c>
      <c r="Y38" s="64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40021038</v>
      </c>
      <c r="B39" s="47" t="s">
        <v>326</v>
      </c>
      <c r="C39" s="50">
        <v>3</v>
      </c>
      <c r="D39" s="50" t="s">
        <v>128</v>
      </c>
      <c r="E39" s="51" t="s">
        <v>325</v>
      </c>
      <c r="F39" s="51" t="s">
        <v>375</v>
      </c>
      <c r="G39" s="64" t="str">
        <f t="shared" ref="G39" si="240">IFERROR(LEFT(B39,FIND("],",B39)),B39)</f>
        <v>[effect:damage_anti_tribe, target:unit_one, tribe:animal, val1:2, val2:0.5]</v>
      </c>
      <c r="H39" s="64">
        <f t="shared" si="47"/>
        <v>9</v>
      </c>
      <c r="I39" s="64">
        <f t="shared" ref="I39" si="241">IFERROR(FIND(",",G39),LEN(G39))</f>
        <v>26</v>
      </c>
      <c r="J39" s="64">
        <f t="shared" ref="J39" si="242">FIND("target:",G39)+7</f>
        <v>35</v>
      </c>
      <c r="K39" s="64">
        <f t="shared" ref="K39" si="243">FIND(",",G39,I39+1)</f>
        <v>43</v>
      </c>
      <c r="L39" s="64" t="str">
        <f>IFERROR(VLOOKUP(MID(G39,J39,K39-J39),[5]skilldef!$C:$D,2,FALSE),"-") &amp; " / " &amp; IFERROR(VLOOKUP(MID(G39,H39,I39-H39),[5]skilldef!$A:$B,2,FALSE),"-")</f>
        <v>味方単体に / 種族キラー</v>
      </c>
      <c r="M39" s="64" t="str">
        <f t="shared" ref="M39" si="244">IFERROR(RIGHT(B39,LEN(B39)-FIND("],",B39)-1),"none")</f>
        <v>[effect:damage_anti_tribe, target:unit_one, tribe:animal, val1:2, val2:0.5]</v>
      </c>
      <c r="N39" s="48" t="str">
        <f t="shared" ref="N39" si="245">IFERROR(LEFT(M39,FIND("],",M39)+S49),M39)</f>
        <v>[effect:damage_anti_tribe, target:unit_one, tribe:animal, val1:2, val2:0.5]</v>
      </c>
      <c r="O39" s="64">
        <f t="shared" si="6"/>
        <v>9</v>
      </c>
      <c r="P39" s="64">
        <f t="shared" ref="P39" si="246">IFERROR(FIND(",",N39),LEN(N39))</f>
        <v>26</v>
      </c>
      <c r="Q39" s="64">
        <f t="shared" ref="Q39" si="247">FIND("target:",N39)+7</f>
        <v>35</v>
      </c>
      <c r="R39" s="64">
        <f t="shared" ref="R39" si="248">FIND(",",N39,P39+1)</f>
        <v>43</v>
      </c>
      <c r="S39" s="64" t="str">
        <f>IFERROR(VLOOKUP(MID(N39,Q39,R39-Q39),[5]skilldef!$C:$D,2,FALSE),"-") &amp; " / " &amp; IFERROR(VLOOKUP(MID(N39,O39,P39-O39),[5]skilldef!$A:$B,2,FALSE),"-")</f>
        <v>味方単体に / 種族キラー</v>
      </c>
      <c r="T39" s="48" t="str">
        <f t="shared" ref="T39" si="249">IFERROR(RIGHT(M39,LEN(M39)-FIND("],",M39)-1),"none")</f>
        <v>none</v>
      </c>
      <c r="U39" s="64" t="e">
        <f t="shared" si="11"/>
        <v>#VALUE!</v>
      </c>
      <c r="V39" s="64">
        <f t="shared" ref="V39" si="250">IFERROR(FIND(",",T39),LEN(T39))</f>
        <v>4</v>
      </c>
      <c r="W39" s="64" t="e">
        <f t="shared" ref="W39" si="251">FIND("target:",T39)+7</f>
        <v>#VALUE!</v>
      </c>
      <c r="X39" s="64" t="e">
        <f t="shared" ref="X39" si="252">FIND(",",T39,V39+1)</f>
        <v>#VALUE!</v>
      </c>
      <c r="Y39" s="64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40021039</v>
      </c>
      <c r="B40" s="47" t="s">
        <v>386</v>
      </c>
      <c r="C40" s="50">
        <v>3</v>
      </c>
      <c r="D40" s="50" t="s">
        <v>128</v>
      </c>
      <c r="E40" s="51" t="s">
        <v>327</v>
      </c>
      <c r="F40" s="51" t="s">
        <v>341</v>
      </c>
      <c r="G40" s="64" t="str">
        <f t="shared" ref="G40" si="253">IFERROR(LEFT(B40,FIND("],",B40)),B40)</f>
        <v>[effect:dis_heart, turn:3, animation:enemy_dis_heart]</v>
      </c>
      <c r="H40" s="64">
        <f t="shared" si="47"/>
        <v>9</v>
      </c>
      <c r="I40" s="64">
        <f t="shared" ref="I40" si="254">IFERROR(FIND(",",G40),LEN(G40))</f>
        <v>18</v>
      </c>
      <c r="J40" s="64" t="e">
        <f t="shared" ref="J40" si="255">FIND("target:",G40)+7</f>
        <v>#VALUE!</v>
      </c>
      <c r="K40" s="64">
        <f t="shared" ref="K40" si="256">FIND(",",G40,I40+1)</f>
        <v>26</v>
      </c>
      <c r="L40" s="64" t="str">
        <f>IFERROR(VLOOKUP(MID(G40,J40,K40-J40),[5]skilldef!$C:$D,2,FALSE),"-") &amp; " / " &amp; IFERROR(VLOOKUP(MID(G40,H40,I40-H40),[5]skilldef!$A:$B,2,FALSE),"-")</f>
        <v>- / ディスハート</v>
      </c>
      <c r="M40" s="64" t="str">
        <f t="shared" ref="M40" si="257">IFERROR(RIGHT(B40,LEN(B40)-FIND("],",B40)-1),"none")</f>
        <v>[effect:tolerance, target:myself, turn:-1, tolerance_effect:all, count:-1]</v>
      </c>
      <c r="N40" s="48" t="str">
        <f t="shared" ref="N40" si="258">IFERROR(LEFT(M40,FIND("],",M40)+S50),M40)</f>
        <v>[effect:tolerance, target:myself, turn:-1, tolerance_effect:all, count:-1]</v>
      </c>
      <c r="O40" s="64">
        <f t="shared" si="6"/>
        <v>9</v>
      </c>
      <c r="P40" s="64">
        <f t="shared" ref="P40" si="259">IFERROR(FIND(",",N40),LEN(N40))</f>
        <v>18</v>
      </c>
      <c r="Q40" s="64">
        <f t="shared" ref="Q40" si="260">FIND("target:",N40)+7</f>
        <v>27</v>
      </c>
      <c r="R40" s="64">
        <f t="shared" ref="R40" si="261">FIND(",",N40,P40+1)</f>
        <v>33</v>
      </c>
      <c r="S40" s="64" t="str">
        <f>IFERROR(VLOOKUP(MID(N40,Q40,R40-Q40),[5]skilldef!$C:$D,2,FALSE),"-") &amp; " / " &amp; IFERROR(VLOOKUP(MID(N40,O40,P40-O40),[5]skilldef!$A:$B,2,FALSE),"-")</f>
        <v>自分自身に / 状態異常耐性</v>
      </c>
      <c r="T40" s="48" t="str">
        <f t="shared" ref="T40" si="262">IFERROR(RIGHT(M40,LEN(M40)-FIND("],",M40)-1),"none")</f>
        <v>none</v>
      </c>
      <c r="U40" s="64" t="e">
        <f t="shared" si="11"/>
        <v>#VALUE!</v>
      </c>
      <c r="V40" s="64">
        <f t="shared" ref="V40" si="263">IFERROR(FIND(",",T40),LEN(T40))</f>
        <v>4</v>
      </c>
      <c r="W40" s="64" t="e">
        <f t="shared" ref="W40" si="264">FIND("target:",T40)+7</f>
        <v>#VALUE!</v>
      </c>
      <c r="X40" s="64" t="e">
        <f t="shared" ref="X40" si="265">FIND(",",T40,V40+1)</f>
        <v>#VALUE!</v>
      </c>
      <c r="Y40" s="64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40021040</v>
      </c>
      <c r="B41" s="47" t="s">
        <v>378</v>
      </c>
      <c r="C41" s="50">
        <v>3</v>
      </c>
      <c r="D41" s="50" t="s">
        <v>128</v>
      </c>
      <c r="E41" s="51" t="s">
        <v>328</v>
      </c>
      <c r="F41" s="51" t="s">
        <v>379</v>
      </c>
      <c r="G41" s="64" t="str">
        <f t="shared" ref="G41" si="266">IFERROR(LEFT(B41,FIND("],",B41)),B41)</f>
        <v>[effect:rush, count:1, val:1]</v>
      </c>
      <c r="H41" s="64">
        <f t="shared" si="47"/>
        <v>9</v>
      </c>
      <c r="I41" s="64">
        <f t="shared" ref="I41" si="267">IFERROR(FIND(",",G41),LEN(G41))</f>
        <v>13</v>
      </c>
      <c r="J41" s="64" t="e">
        <f t="shared" ref="J41" si="268">FIND("target:",G41)+7</f>
        <v>#VALUE!</v>
      </c>
      <c r="K41" s="64">
        <f t="shared" ref="K41" si="269">FIND(",",G41,I41+1)</f>
        <v>22</v>
      </c>
      <c r="L41" s="64" t="str">
        <f>IFERROR(VLOOKUP(MID(G41,J41,K41-J41),[5]skilldef!$C:$D,2,FALSE),"-") &amp; " / " &amp; IFERROR(VLOOKUP(MID(G41,H41,I41-H41),[5]skilldef!$A:$B,2,FALSE),"-")</f>
        <v>- / 連続攻撃</v>
      </c>
      <c r="M41" s="64" t="str">
        <f t="shared" ref="M41" si="270">IFERROR(RIGHT(B41,LEN(B41)-FIND("],",B41)-1),"none")</f>
        <v>[effect:panel_freeze, target:block_heart, color:block_heart, count:-1]</v>
      </c>
      <c r="N41" s="48" t="str">
        <f t="shared" ref="N41" si="271">IFERROR(LEFT(M41,FIND("],",M41)+S51),M41)</f>
        <v>[effect:panel_freeze, target:block_heart, color:block_heart, count:-1]</v>
      </c>
      <c r="O41" s="64">
        <f t="shared" si="6"/>
        <v>9</v>
      </c>
      <c r="P41" s="64">
        <f t="shared" ref="P41" si="272">IFERROR(FIND(",",N41),LEN(N41))</f>
        <v>21</v>
      </c>
      <c r="Q41" s="64">
        <f t="shared" ref="Q41" si="273">FIND("target:",N41)+7</f>
        <v>30</v>
      </c>
      <c r="R41" s="64">
        <f t="shared" ref="R41" si="274">FIND(",",N41,P41+1)</f>
        <v>41</v>
      </c>
      <c r="S41" s="64" t="str">
        <f>IFERROR(VLOOKUP(MID(N41,Q41,R41-Q41),[5]skilldef!$C:$D,2,FALSE),"-") &amp; " / " &amp; IFERROR(VLOOKUP(MID(N41,O41,P41-O41),[5]skilldef!$A:$B,2,FALSE),"-")</f>
        <v>ハートパネルを / -</v>
      </c>
      <c r="T41" s="48" t="str">
        <f t="shared" ref="T41" si="275">IFERROR(RIGHT(M41,LEN(M41)-FIND("],",M41)-1),"none")</f>
        <v>none</v>
      </c>
      <c r="U41" s="64" t="e">
        <f t="shared" si="11"/>
        <v>#VALUE!</v>
      </c>
      <c r="V41" s="64">
        <f t="shared" ref="V41" si="276">IFERROR(FIND(",",T41),LEN(T41))</f>
        <v>4</v>
      </c>
      <c r="W41" s="64" t="e">
        <f t="shared" ref="W41" si="277">FIND("target:",T41)+7</f>
        <v>#VALUE!</v>
      </c>
      <c r="X41" s="64" t="e">
        <f t="shared" ref="X41" si="278">FIND(",",T41,V41+1)</f>
        <v>#VALUE!</v>
      </c>
      <c r="Y41" s="64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40021041</v>
      </c>
      <c r="B42" s="47" t="s">
        <v>262</v>
      </c>
      <c r="C42" s="50">
        <v>3</v>
      </c>
      <c r="D42" s="50" t="s">
        <v>128</v>
      </c>
      <c r="E42" s="51" t="s">
        <v>303</v>
      </c>
      <c r="F42" s="51" t="s">
        <v>263</v>
      </c>
      <c r="G42" s="64" t="str">
        <f t="shared" ref="G42" si="279">IFERROR(LEFT(B42,FIND("],",B42)),B42)</f>
        <v>[effect:critical, val:1.5]</v>
      </c>
      <c r="H42" s="64">
        <f t="shared" si="47"/>
        <v>9</v>
      </c>
      <c r="I42" s="64">
        <f t="shared" ref="I42" si="280">IFERROR(FIND(",",G42),LEN(G42))</f>
        <v>17</v>
      </c>
      <c r="J42" s="64" t="e">
        <f t="shared" ref="J42" si="281">FIND("target:",G42)+7</f>
        <v>#VALUE!</v>
      </c>
      <c r="K42" s="64" t="e">
        <f t="shared" ref="K42" si="282">FIND(",",G42,I42+1)</f>
        <v>#VALUE!</v>
      </c>
      <c r="L42" s="64" t="str">
        <f>IFERROR(VLOOKUP(MID(G42,J42,K42-J42),[5]skilldef!$C:$D,2,FALSE),"-") &amp; " / " &amp; IFERROR(VLOOKUP(MID(G42,H42,I42-H42),[5]skilldef!$A:$B,2,FALSE),"-")</f>
        <v>- / 大攻撃</v>
      </c>
      <c r="M42" s="64" t="str">
        <f t="shared" ref="M42" si="283">IFERROR(RIGHT(B42,LEN(B42)-FIND("],",B42)-1),"none")</f>
        <v>none</v>
      </c>
      <c r="N42" s="48" t="str">
        <f t="shared" ref="N42" si="284">IFERROR(LEFT(M42,FIND("],",M42)+S52),M42)</f>
        <v>none</v>
      </c>
      <c r="O42" s="64" t="e">
        <f t="shared" si="6"/>
        <v>#VALUE!</v>
      </c>
      <c r="P42" s="64">
        <f t="shared" ref="P42" si="285">IFERROR(FIND(",",N42),LEN(N42))</f>
        <v>4</v>
      </c>
      <c r="Q42" s="64" t="e">
        <f t="shared" ref="Q42" si="286">FIND("target:",N42)+7</f>
        <v>#VALUE!</v>
      </c>
      <c r="R42" s="64" t="e">
        <f t="shared" ref="R42" si="287">FIND(",",N42,P42+1)</f>
        <v>#VALUE!</v>
      </c>
      <c r="S42" s="64" t="str">
        <f>IFERROR(VLOOKUP(MID(N42,Q42,R42-Q42),[5]skilldef!$C:$D,2,FALSE),"-") &amp; " / " &amp; IFERROR(VLOOKUP(MID(N42,O42,P42-O42),[5]skilldef!$A:$B,2,FALSE),"-")</f>
        <v>- / -</v>
      </c>
      <c r="T42" s="48" t="str">
        <f t="shared" ref="T42" si="288">IFERROR(RIGHT(M42,LEN(M42)-FIND("],",M42)-1),"none")</f>
        <v>none</v>
      </c>
      <c r="U42" s="64" t="e">
        <f t="shared" si="11"/>
        <v>#VALUE!</v>
      </c>
      <c r="V42" s="64">
        <f t="shared" ref="V42" si="289">IFERROR(FIND(",",T42),LEN(T42))</f>
        <v>4</v>
      </c>
      <c r="W42" s="64" t="e">
        <f t="shared" ref="W42" si="290">FIND("target:",T42)+7</f>
        <v>#VALUE!</v>
      </c>
      <c r="X42" s="64" t="e">
        <f t="shared" ref="X42" si="291">FIND(",",T42,V42+1)</f>
        <v>#VALUE!</v>
      </c>
      <c r="Y42" s="64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40021042</v>
      </c>
      <c r="B43" s="47" t="s">
        <v>330</v>
      </c>
      <c r="C43" s="50">
        <v>3</v>
      </c>
      <c r="D43" s="50" t="s">
        <v>128</v>
      </c>
      <c r="E43" s="51" t="s">
        <v>329</v>
      </c>
      <c r="F43" s="51" t="s">
        <v>384</v>
      </c>
      <c r="G43" s="64" t="str">
        <f t="shared" ref="G43" si="292">IFERROR(LEFT(B43,FIND("],",B43)),B43)</f>
        <v>[effect:freq_turn, target:myself, turn:-1, val:1, animation:enemy_freq_turn]</v>
      </c>
      <c r="H43" s="64">
        <f t="shared" si="47"/>
        <v>9</v>
      </c>
      <c r="I43" s="64">
        <f t="shared" ref="I43" si="293">IFERROR(FIND(",",G43),LEN(G43))</f>
        <v>18</v>
      </c>
      <c r="J43" s="64">
        <f t="shared" ref="J43" si="294">FIND("target:",G43)+7</f>
        <v>27</v>
      </c>
      <c r="K43" s="64">
        <f t="shared" ref="K43" si="295">FIND(",",G43,I43+1)</f>
        <v>33</v>
      </c>
      <c r="L43" s="64" t="str">
        <f>IFERROR(VLOOKUP(MID(G43,J43,K43-J43),[5]skilldef!$C:$D,2,FALSE),"-") &amp; " / " &amp; IFERROR(VLOOKUP(MID(G43,H43,I43-H43),[5]skilldef!$A:$B,2,FALSE),"-")</f>
        <v>自分自身に / 攻撃頻度がUP</v>
      </c>
      <c r="M43" s="64" t="str">
        <f t="shared" ref="M43" si="296">IFERROR(RIGHT(B43,LEN(B43)-FIND("],",B43)-1),"none")</f>
        <v>[effect:change_bomb_range, turn:-1, target:unit_all, val:0.5, rate:1, animation:bomb_small],[effect:enemy_message, val1:2]</v>
      </c>
      <c r="N43" s="48" t="str">
        <f t="shared" ref="N43" si="297">IFERROR(LEFT(M43,FIND("],",M43)+S53),M43)</f>
        <v>[effect:change_bomb_range, turn:-1, target:unit_all, val:0.5, rate:1, animation:bomb_small]</v>
      </c>
      <c r="O43" s="64">
        <f t="shared" si="6"/>
        <v>9</v>
      </c>
      <c r="P43" s="64">
        <f t="shared" ref="P43" si="298">IFERROR(FIND(",",N43),LEN(N43))</f>
        <v>26</v>
      </c>
      <c r="Q43" s="64">
        <f t="shared" ref="Q43" si="299">FIND("target:",N43)+7</f>
        <v>44</v>
      </c>
      <c r="R43" s="64">
        <f t="shared" ref="R43" si="300">FIND(",",N43,P43+1)</f>
        <v>35</v>
      </c>
      <c r="S43" s="64" t="str">
        <f>IFERROR(VLOOKUP(MID(N43,Q43,R43-Q43),[5]skilldef!$C:$D,2,FALSE),"-") &amp; " / " &amp; IFERROR(VLOOKUP(MID(N43,O43,P43-O43),[5]skilldef!$A:$B,2,FALSE),"-")</f>
        <v>- / -</v>
      </c>
      <c r="T43" s="48" t="str">
        <f t="shared" ref="T43" si="301">IFERROR(RIGHT(M43,LEN(M43)-FIND("],",M43)-1),"none")</f>
        <v>[effect:enemy_message, val1:2]</v>
      </c>
      <c r="U43" s="64">
        <f t="shared" si="11"/>
        <v>9</v>
      </c>
      <c r="V43" s="64">
        <f t="shared" ref="V43" si="302">IFERROR(FIND(",",T43),LEN(T43))</f>
        <v>22</v>
      </c>
      <c r="W43" s="64" t="e">
        <f t="shared" ref="W43" si="303">FIND("target:",T43)+7</f>
        <v>#VALUE!</v>
      </c>
      <c r="X43" s="64" t="e">
        <f t="shared" ref="X43" si="304">FIND(",",T43,V43+1)</f>
        <v>#VALUE!</v>
      </c>
      <c r="Y43" s="64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40021043</v>
      </c>
      <c r="B44" s="47" t="s">
        <v>381</v>
      </c>
      <c r="C44" s="50">
        <v>3</v>
      </c>
      <c r="D44" s="50" t="s">
        <v>128</v>
      </c>
      <c r="E44" s="51" t="s">
        <v>331</v>
      </c>
      <c r="F44" s="51" t="s">
        <v>380</v>
      </c>
      <c r="G44" s="64" t="str">
        <f t="shared" ref="G44" si="305">IFERROR(LEFT(B44,FIND("],",B44)),B44)</f>
        <v>[effect:rush, count:1, val:1]</v>
      </c>
      <c r="H44" s="64">
        <f t="shared" si="47"/>
        <v>9</v>
      </c>
      <c r="I44" s="64">
        <f t="shared" ref="I44" si="306">IFERROR(FIND(",",G44),LEN(G44))</f>
        <v>13</v>
      </c>
      <c r="J44" s="64" t="e">
        <f t="shared" ref="J44" si="307">FIND("target:",G44)+7</f>
        <v>#VALUE!</v>
      </c>
      <c r="K44" s="64">
        <f t="shared" ref="K44" si="308">FIND(",",G44,I44+1)</f>
        <v>22</v>
      </c>
      <c r="L44" s="64" t="str">
        <f>IFERROR(VLOOKUP(MID(G44,J44,K44-J44),[5]skilldef!$C:$D,2,FALSE),"-") &amp; " / " &amp; IFERROR(VLOOKUP(MID(G44,H44,I44-H44),[5]skilldef!$A:$B,2,FALSE),"-")</f>
        <v>- / 連続攻撃</v>
      </c>
      <c r="M44" s="64" t="str">
        <f t="shared" ref="M44" si="309">IFERROR(RIGHT(B44,LEN(B44)-FIND("],",B44)-1),"none")</f>
        <v>[effect:drop_block, block_type:time_bomb, block_color:block_red, color:block_all, val:20, rate:0.2, turn:-1, animation:bomb_influence04]</v>
      </c>
      <c r="N44" s="48" t="str">
        <f t="shared" ref="N44" si="310">IFERROR(LEFT(M44,FIND("],",M44)+S54),M44)</f>
        <v>[effect:drop_block, block_type:time_bomb, block_color:block_red, color:block_all, val:20, rate:0.2, turn:-1, animation:bomb_influence04]</v>
      </c>
      <c r="O44" s="64">
        <f t="shared" si="6"/>
        <v>9</v>
      </c>
      <c r="P44" s="64">
        <f t="shared" ref="P44" si="311">IFERROR(FIND(",",N44),LEN(N44))</f>
        <v>19</v>
      </c>
      <c r="Q44" s="64" t="e">
        <f t="shared" ref="Q44" si="312">FIND("target:",N44)+7</f>
        <v>#VALUE!</v>
      </c>
      <c r="R44" s="64">
        <f t="shared" ref="R44" si="313">FIND(",",N44,P44+1)</f>
        <v>41</v>
      </c>
      <c r="S44" s="64" t="str">
        <f>IFERROR(VLOOKUP(MID(N44,Q44,R44-Q44),[5]skilldef!$C:$D,2,FALSE),"-") &amp; " / " &amp; IFERROR(VLOOKUP(MID(N44,O44,P44-O44),[5]skilldef!$A:$B,2,FALSE),"-")</f>
        <v>- / 特定ブロックの割合ドロップ</v>
      </c>
      <c r="T44" s="48" t="str">
        <f t="shared" ref="T44" si="314">IFERROR(RIGHT(M44,LEN(M44)-FIND("],",M44)-1),"none")</f>
        <v>none</v>
      </c>
      <c r="U44" s="64" t="e">
        <f t="shared" si="11"/>
        <v>#VALUE!</v>
      </c>
      <c r="V44" s="64">
        <f t="shared" ref="V44" si="315">IFERROR(FIND(",",T44),LEN(T44))</f>
        <v>4</v>
      </c>
      <c r="W44" s="64" t="e">
        <f t="shared" ref="W44" si="316">FIND("target:",T44)+7</f>
        <v>#VALUE!</v>
      </c>
      <c r="X44" s="64" t="e">
        <f t="shared" ref="X44" si="317">FIND(",",T44,V44+1)</f>
        <v>#VALUE!</v>
      </c>
      <c r="Y44" s="64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40021044</v>
      </c>
      <c r="B45" s="47" t="s">
        <v>333</v>
      </c>
      <c r="C45" s="50">
        <v>3</v>
      </c>
      <c r="D45" s="50" t="s">
        <v>128</v>
      </c>
      <c r="E45" s="51" t="s">
        <v>332</v>
      </c>
      <c r="F45" s="51" t="s">
        <v>257</v>
      </c>
      <c r="G45" s="64" t="str">
        <f t="shared" ref="G45" si="318">IFERROR(LEFT(B45,FIND("],",B45)),B45)</f>
        <v>[effect:rush, count:2, val:1]</v>
      </c>
      <c r="H45" s="64">
        <f t="shared" si="47"/>
        <v>9</v>
      </c>
      <c r="I45" s="64">
        <f t="shared" ref="I45" si="319">IFERROR(FIND(",",G45),LEN(G45))</f>
        <v>13</v>
      </c>
      <c r="J45" s="64" t="e">
        <f t="shared" ref="J45" si="320">FIND("target:",G45)+7</f>
        <v>#VALUE!</v>
      </c>
      <c r="K45" s="64">
        <f t="shared" ref="K45" si="321">FIND(",",G45,I45+1)</f>
        <v>22</v>
      </c>
      <c r="L45" s="64" t="str">
        <f>IFERROR(VLOOKUP(MID(G45,J45,K45-J45),[5]skilldef!$C:$D,2,FALSE),"-") &amp; " / " &amp; IFERROR(VLOOKUP(MID(G45,H45,I45-H45),[5]skilldef!$A:$B,2,FALSE),"-")</f>
        <v>- / 連続攻撃</v>
      </c>
      <c r="M45" s="64" t="str">
        <f t="shared" ref="M45" si="322">IFERROR(RIGHT(B45,LEN(B45)-FIND("],",B45)-1),"none")</f>
        <v>none</v>
      </c>
      <c r="N45" s="48" t="str">
        <f t="shared" ref="N45" si="323">IFERROR(LEFT(M45,FIND("],",M45)+S55),M45)</f>
        <v>none</v>
      </c>
      <c r="O45" s="64" t="e">
        <f t="shared" si="6"/>
        <v>#VALUE!</v>
      </c>
      <c r="P45" s="64">
        <f t="shared" ref="P45" si="324">IFERROR(FIND(",",N45),LEN(N45))</f>
        <v>4</v>
      </c>
      <c r="Q45" s="64" t="e">
        <f t="shared" ref="Q45" si="325">FIND("target:",N45)+7</f>
        <v>#VALUE!</v>
      </c>
      <c r="R45" s="64" t="e">
        <f t="shared" ref="R45" si="326">FIND(",",N45,P45+1)</f>
        <v>#VALUE!</v>
      </c>
      <c r="S45" s="64" t="str">
        <f>IFERROR(VLOOKUP(MID(N45,Q45,R45-Q45),[5]skilldef!$C:$D,2,FALSE),"-") &amp; " / " &amp; IFERROR(VLOOKUP(MID(N45,O45,P45-O45),[5]skilldef!$A:$B,2,FALSE),"-")</f>
        <v>- / -</v>
      </c>
      <c r="T45" s="48" t="str">
        <f t="shared" ref="T45" si="327">IFERROR(RIGHT(M45,LEN(M45)-FIND("],",M45)-1),"none")</f>
        <v>none</v>
      </c>
      <c r="U45" s="64" t="e">
        <f t="shared" si="11"/>
        <v>#VALUE!</v>
      </c>
      <c r="V45" s="64">
        <f t="shared" ref="V45" si="328">IFERROR(FIND(",",T45),LEN(T45))</f>
        <v>4</v>
      </c>
      <c r="W45" s="64" t="e">
        <f t="shared" ref="W45" si="329">FIND("target:",T45)+7</f>
        <v>#VALUE!</v>
      </c>
      <c r="X45" s="64" t="e">
        <f t="shared" ref="X45" si="330">FIND(",",T45,V45+1)</f>
        <v>#VALUE!</v>
      </c>
      <c r="Y45" s="64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40021045</v>
      </c>
      <c r="B46" s="47" t="s">
        <v>363</v>
      </c>
      <c r="C46" s="50">
        <v>3</v>
      </c>
      <c r="D46" s="50" t="s">
        <v>128</v>
      </c>
      <c r="E46" s="51" t="s">
        <v>362</v>
      </c>
      <c r="F46" s="51" t="s">
        <v>361</v>
      </c>
      <c r="G46" s="64" t="str">
        <f>IFERROR(LEFT(B46,FIND("],",B46)),B46)</f>
        <v>[effect:enemy_message, val1:2, val2:3]</v>
      </c>
      <c r="H46" s="64">
        <f>FIND("effect:",G46)+7</f>
        <v>9</v>
      </c>
      <c r="I46" s="64">
        <f>IFERROR(FIND(",",G46),LEN(G46))</f>
        <v>22</v>
      </c>
      <c r="J46" s="64" t="e">
        <f>FIND("target:",G46)+7</f>
        <v>#VALUE!</v>
      </c>
      <c r="K46" s="64">
        <f>FIND(",",G46,I46+1)</f>
        <v>30</v>
      </c>
      <c r="L46" s="64" t="str">
        <f>IFERROR(VLOOKUP(MID(G46,J46,K46-J46),[5]skilldef!$C:$D,2,FALSE),"-") &amp; " / " &amp; IFERROR(VLOOKUP(MID(G46,H46,I46-H46),[5]skilldef!$A:$B,2,FALSE),"-")</f>
        <v>- / -</v>
      </c>
      <c r="M46" s="64" t="str">
        <f>IFERROR(RIGHT(B46,LEN(B46)-FIND("],",B46)-1),"none")</f>
        <v>none</v>
      </c>
      <c r="N46" s="48" t="str">
        <f>IFERROR(LEFT(M46,FIND("],",M46)+S56),M46)</f>
        <v>none</v>
      </c>
      <c r="O46" s="64" t="e">
        <f>FIND("effect:",N46)+7</f>
        <v>#VALUE!</v>
      </c>
      <c r="P46" s="64">
        <f t="shared" ref="P46" si="331">IFERROR(FIND(",",N46),LEN(N46))</f>
        <v>4</v>
      </c>
      <c r="Q46" s="64" t="e">
        <f t="shared" ref="Q46" si="332">FIND("target:",N46)+7</f>
        <v>#VALUE!</v>
      </c>
      <c r="R46" s="64" t="e">
        <f t="shared" ref="R46" si="333">FIND(",",N46,P46+1)</f>
        <v>#VALUE!</v>
      </c>
      <c r="S46" s="64" t="str">
        <f>IFERROR(VLOOKUP(MID(N46,Q46,R46-Q46),[5]skilldef!$C:$D,2,FALSE),"-") &amp; " / " &amp; IFERROR(VLOOKUP(MID(N46,O46,P46-O46),[5]skilldef!$A:$B,2,FALSE),"-")</f>
        <v>- / -</v>
      </c>
      <c r="T46" s="48" t="str">
        <f t="shared" ref="T46" si="334">IFERROR(RIGHT(M46,LEN(M46)-FIND("],",M46)-1),"none")</f>
        <v>none</v>
      </c>
      <c r="U46" s="64" t="e">
        <f>FIND("effect:",T46)+7</f>
        <v>#VALUE!</v>
      </c>
      <c r="V46" s="64">
        <f t="shared" ref="V46" si="335">IFERROR(FIND(",",T46),LEN(T46))</f>
        <v>4</v>
      </c>
      <c r="W46" s="64" t="e">
        <f t="shared" ref="W46" si="336">FIND("target:",T46)+7</f>
        <v>#VALUE!</v>
      </c>
      <c r="X46" s="64" t="e">
        <f t="shared" ref="X46" si="337">FIND(",",T46,V46+1)</f>
        <v>#VALUE!</v>
      </c>
      <c r="Y46" s="64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2"/>
  <sheetViews>
    <sheetView showGridLines="0" zoomScale="75" zoomScaleNormal="75" zoomScalePageLayoutView="75" workbookViewId="0">
      <pane ySplit="1" topLeftCell="A9" activePane="bottomLeft" state="frozenSplit"/>
      <selection pane="bottomLeft" activeCell="E48" sqref="E4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40021001</v>
      </c>
      <c r="B2" s="47">
        <v>1</v>
      </c>
      <c r="C2" s="47" t="s">
        <v>89</v>
      </c>
      <c r="D2" s="47">
        <v>100</v>
      </c>
      <c r="E2" s="47" t="s">
        <v>296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:J3" si="0">D2</f>
        <v>100</v>
      </c>
    </row>
    <row r="3" spans="1:11" ht="21" customHeight="1" x14ac:dyDescent="0.15">
      <c r="A3" s="47">
        <v>40021002</v>
      </c>
      <c r="B3" s="47">
        <v>1</v>
      </c>
      <c r="C3" s="47">
        <v>1</v>
      </c>
      <c r="D3" s="47">
        <v>100</v>
      </c>
      <c r="E3" s="47" t="s">
        <v>296</v>
      </c>
      <c r="F3" s="47" t="s">
        <v>90</v>
      </c>
      <c r="G3" s="47">
        <v>1</v>
      </c>
      <c r="H3" s="47" t="s">
        <v>90</v>
      </c>
      <c r="I3" s="47">
        <v>941</v>
      </c>
      <c r="J3" s="48">
        <f t="shared" si="0"/>
        <v>100</v>
      </c>
    </row>
    <row r="4" spans="1:11" ht="21" customHeight="1" x14ac:dyDescent="0.15">
      <c r="A4" s="47">
        <v>40021003</v>
      </c>
      <c r="B4" s="47">
        <v>1</v>
      </c>
      <c r="C4" s="47">
        <v>2</v>
      </c>
      <c r="D4" s="47">
        <v>100</v>
      </c>
      <c r="E4" s="47" t="s">
        <v>296</v>
      </c>
      <c r="F4" s="47" t="s">
        <v>90</v>
      </c>
      <c r="G4" s="47">
        <v>1</v>
      </c>
      <c r="H4" s="47" t="s">
        <v>90</v>
      </c>
      <c r="I4" s="47">
        <v>942</v>
      </c>
      <c r="J4" s="48">
        <f t="shared" ref="J4" si="1">D4</f>
        <v>100</v>
      </c>
    </row>
    <row r="5" spans="1:11" ht="21" customHeight="1" x14ac:dyDescent="0.15">
      <c r="A5" s="47">
        <v>40021004</v>
      </c>
      <c r="B5" s="47">
        <v>0</v>
      </c>
      <c r="C5" s="47" t="s">
        <v>89</v>
      </c>
      <c r="D5" s="47">
        <v>40</v>
      </c>
      <c r="E5" s="47" t="s">
        <v>297</v>
      </c>
      <c r="F5" s="47" t="s">
        <v>89</v>
      </c>
      <c r="G5" s="47" t="s">
        <v>298</v>
      </c>
      <c r="H5" s="47" t="s">
        <v>89</v>
      </c>
      <c r="I5" s="47" t="s">
        <v>89</v>
      </c>
      <c r="J5" s="48">
        <f t="shared" ref="J5" si="2">D5</f>
        <v>40</v>
      </c>
    </row>
    <row r="6" spans="1:11" ht="21" customHeight="1" x14ac:dyDescent="0.15">
      <c r="A6" s="47">
        <v>40021005</v>
      </c>
      <c r="B6" s="47">
        <v>0</v>
      </c>
      <c r="C6" s="47" t="s">
        <v>89</v>
      </c>
      <c r="D6" s="47">
        <v>100</v>
      </c>
      <c r="E6" s="47" t="s">
        <v>297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ref="J6" si="3">D6</f>
        <v>100</v>
      </c>
    </row>
    <row r="7" spans="1:11" ht="21" customHeight="1" x14ac:dyDescent="0.15">
      <c r="A7" s="47">
        <v>40021006</v>
      </c>
      <c r="B7" s="47">
        <v>0</v>
      </c>
      <c r="C7" s="47" t="s">
        <v>89</v>
      </c>
      <c r="D7" s="47">
        <v>100</v>
      </c>
      <c r="E7" s="47">
        <v>50</v>
      </c>
      <c r="F7" s="47" t="s">
        <v>89</v>
      </c>
      <c r="G7" s="47">
        <v>1</v>
      </c>
      <c r="H7" s="47">
        <v>1</v>
      </c>
      <c r="I7" s="47" t="s">
        <v>89</v>
      </c>
      <c r="J7" s="48">
        <f t="shared" ref="J7" si="4">D7</f>
        <v>100</v>
      </c>
    </row>
    <row r="8" spans="1:11" ht="21" customHeight="1" x14ac:dyDescent="0.15">
      <c r="A8" s="47">
        <v>40021007</v>
      </c>
      <c r="B8" s="47">
        <v>0</v>
      </c>
      <c r="C8" s="47" t="s">
        <v>89</v>
      </c>
      <c r="D8" s="47">
        <v>100</v>
      </c>
      <c r="E8" s="47">
        <v>50</v>
      </c>
      <c r="F8" s="47" t="s">
        <v>89</v>
      </c>
      <c r="G8" s="47">
        <v>1</v>
      </c>
      <c r="H8" s="47">
        <v>1</v>
      </c>
      <c r="I8" s="47" t="s">
        <v>89</v>
      </c>
      <c r="J8" s="48">
        <f t="shared" ref="J8:J12" si="5">D8</f>
        <v>100</v>
      </c>
    </row>
    <row r="9" spans="1:11" ht="21" customHeight="1" x14ac:dyDescent="0.15">
      <c r="A9" s="47">
        <v>40021008</v>
      </c>
      <c r="B9" s="47">
        <v>0</v>
      </c>
      <c r="C9" s="47" t="s">
        <v>89</v>
      </c>
      <c r="D9" s="47">
        <v>100</v>
      </c>
      <c r="E9" s="47">
        <v>50</v>
      </c>
      <c r="F9" s="47" t="s">
        <v>89</v>
      </c>
      <c r="G9" s="47">
        <v>1</v>
      </c>
      <c r="H9" s="47">
        <v>1</v>
      </c>
      <c r="I9" s="47" t="s">
        <v>89</v>
      </c>
      <c r="J9" s="48">
        <f t="shared" si="5"/>
        <v>100</v>
      </c>
    </row>
    <row r="10" spans="1:11" ht="21" customHeight="1" x14ac:dyDescent="0.15">
      <c r="A10" s="47">
        <v>40021009</v>
      </c>
      <c r="B10" s="47">
        <v>0</v>
      </c>
      <c r="C10" s="47" t="s">
        <v>89</v>
      </c>
      <c r="D10" s="47">
        <v>100</v>
      </c>
      <c r="E10" s="47">
        <v>50</v>
      </c>
      <c r="F10" s="47" t="s">
        <v>89</v>
      </c>
      <c r="G10" s="47">
        <v>1</v>
      </c>
      <c r="H10" s="47">
        <v>1</v>
      </c>
      <c r="I10" s="47" t="s">
        <v>89</v>
      </c>
      <c r="J10" s="48">
        <f t="shared" si="5"/>
        <v>100</v>
      </c>
    </row>
    <row r="11" spans="1:11" ht="21" customHeight="1" x14ac:dyDescent="0.15">
      <c r="A11" s="47">
        <v>40021010</v>
      </c>
      <c r="B11" s="47">
        <v>0</v>
      </c>
      <c r="C11" s="47" t="s">
        <v>89</v>
      </c>
      <c r="D11" s="47">
        <v>50</v>
      </c>
      <c r="E11" s="47" t="s">
        <v>296</v>
      </c>
      <c r="F11" s="47" t="s">
        <v>89</v>
      </c>
      <c r="G11" s="47" t="s">
        <v>297</v>
      </c>
      <c r="H11" s="47">
        <v>2</v>
      </c>
      <c r="I11" s="47" t="s">
        <v>89</v>
      </c>
      <c r="J11" s="48">
        <f t="shared" si="5"/>
        <v>50</v>
      </c>
    </row>
    <row r="12" spans="1:11" ht="21" customHeight="1" x14ac:dyDescent="0.15">
      <c r="A12" s="47">
        <v>40021011</v>
      </c>
      <c r="B12" s="47">
        <v>0</v>
      </c>
      <c r="C12" s="47" t="s">
        <v>89</v>
      </c>
      <c r="D12" s="47">
        <v>50</v>
      </c>
      <c r="E12" s="47" t="s">
        <v>297</v>
      </c>
      <c r="F12" s="47" t="s">
        <v>89</v>
      </c>
      <c r="G12" s="47" t="s">
        <v>298</v>
      </c>
      <c r="H12" s="47" t="s">
        <v>89</v>
      </c>
      <c r="I12" s="47" t="s">
        <v>89</v>
      </c>
      <c r="J12" s="48">
        <f t="shared" si="5"/>
        <v>50</v>
      </c>
    </row>
    <row r="13" spans="1:11" ht="21" customHeight="1" x14ac:dyDescent="0.15">
      <c r="A13" s="47">
        <v>40021012</v>
      </c>
      <c r="B13" s="47">
        <v>0</v>
      </c>
      <c r="C13" s="47" t="s">
        <v>89</v>
      </c>
      <c r="D13" s="47">
        <v>100</v>
      </c>
      <c r="E13" s="47">
        <v>30</v>
      </c>
      <c r="F13" s="47" t="s">
        <v>53</v>
      </c>
      <c r="G13" s="47">
        <v>5</v>
      </c>
      <c r="H13" s="47">
        <v>1</v>
      </c>
      <c r="I13" s="47" t="s">
        <v>89</v>
      </c>
      <c r="J13" s="48">
        <f t="shared" ref="J13" si="6">D13</f>
        <v>100</v>
      </c>
    </row>
    <row r="14" spans="1:11" ht="21" customHeight="1" x14ac:dyDescent="0.15">
      <c r="A14" s="47">
        <v>40021013</v>
      </c>
      <c r="B14" s="47">
        <v>0</v>
      </c>
      <c r="C14" s="47" t="s">
        <v>89</v>
      </c>
      <c r="D14" s="47">
        <v>30</v>
      </c>
      <c r="E14" s="47" t="s">
        <v>53</v>
      </c>
      <c r="F14" s="47" t="s">
        <v>89</v>
      </c>
      <c r="G14" s="47" t="s">
        <v>309</v>
      </c>
      <c r="H14" s="47">
        <v>2</v>
      </c>
      <c r="I14" s="47" t="s">
        <v>89</v>
      </c>
      <c r="J14" s="48">
        <f t="shared" ref="J14:J23" si="7">D14</f>
        <v>30</v>
      </c>
    </row>
    <row r="15" spans="1:11" ht="21" customHeight="1" x14ac:dyDescent="0.15">
      <c r="A15" s="47">
        <v>40021014</v>
      </c>
      <c r="B15" s="47">
        <v>1</v>
      </c>
      <c r="C15" s="47" t="s">
        <v>89</v>
      </c>
      <c r="D15" s="47">
        <v>100</v>
      </c>
      <c r="E15" s="47" t="s">
        <v>296</v>
      </c>
      <c r="F15" s="47" t="s">
        <v>89</v>
      </c>
      <c r="G15" s="47">
        <v>1</v>
      </c>
      <c r="H15" s="47" t="s">
        <v>89</v>
      </c>
      <c r="I15" s="47" t="s">
        <v>89</v>
      </c>
      <c r="J15" s="48">
        <f t="shared" si="7"/>
        <v>100</v>
      </c>
    </row>
    <row r="16" spans="1:11" ht="21" customHeight="1" x14ac:dyDescent="0.15">
      <c r="A16" s="47">
        <v>40021015</v>
      </c>
      <c r="B16" s="47">
        <v>1</v>
      </c>
      <c r="C16" s="47">
        <v>1</v>
      </c>
      <c r="D16" s="47">
        <v>100</v>
      </c>
      <c r="E16" s="47" t="s">
        <v>296</v>
      </c>
      <c r="F16" s="47" t="s">
        <v>89</v>
      </c>
      <c r="G16" s="47">
        <v>1</v>
      </c>
      <c r="H16" s="47" t="s">
        <v>89</v>
      </c>
      <c r="I16" s="47">
        <v>941</v>
      </c>
      <c r="J16" s="48">
        <f t="shared" si="7"/>
        <v>100</v>
      </c>
    </row>
    <row r="17" spans="1:10" ht="21" customHeight="1" x14ac:dyDescent="0.15">
      <c r="A17" s="47">
        <v>40021016</v>
      </c>
      <c r="B17" s="47">
        <v>1</v>
      </c>
      <c r="C17" s="47">
        <v>2</v>
      </c>
      <c r="D17" s="47">
        <v>100</v>
      </c>
      <c r="E17" s="47" t="s">
        <v>296</v>
      </c>
      <c r="F17" s="47" t="s">
        <v>89</v>
      </c>
      <c r="G17" s="47">
        <v>1</v>
      </c>
      <c r="H17" s="47" t="s">
        <v>89</v>
      </c>
      <c r="I17" s="47">
        <v>942</v>
      </c>
      <c r="J17" s="48">
        <f t="shared" ref="J17" si="8">D17</f>
        <v>100</v>
      </c>
    </row>
    <row r="18" spans="1:10" ht="21" customHeight="1" x14ac:dyDescent="0.15">
      <c r="A18" s="47">
        <v>40021017</v>
      </c>
      <c r="B18" s="47">
        <v>0</v>
      </c>
      <c r="C18" s="47" t="s">
        <v>89</v>
      </c>
      <c r="D18" s="47">
        <v>50</v>
      </c>
      <c r="E18" s="47" t="s">
        <v>297</v>
      </c>
      <c r="F18" s="47" t="s">
        <v>89</v>
      </c>
      <c r="G18" s="47" t="s">
        <v>298</v>
      </c>
      <c r="H18" s="47" t="s">
        <v>89</v>
      </c>
      <c r="I18" s="47" t="s">
        <v>89</v>
      </c>
      <c r="J18" s="48">
        <f t="shared" si="7"/>
        <v>50</v>
      </c>
    </row>
    <row r="19" spans="1:10" ht="21" customHeight="1" x14ac:dyDescent="0.15">
      <c r="A19" s="47">
        <v>40021018</v>
      </c>
      <c r="B19" s="47">
        <v>0</v>
      </c>
      <c r="C19" s="47" t="s">
        <v>89</v>
      </c>
      <c r="D19" s="47">
        <v>40</v>
      </c>
      <c r="E19" s="47" t="s">
        <v>297</v>
      </c>
      <c r="F19" s="47" t="s">
        <v>89</v>
      </c>
      <c r="G19" s="47" t="s">
        <v>298</v>
      </c>
      <c r="H19" s="47" t="s">
        <v>89</v>
      </c>
      <c r="I19" s="47" t="s">
        <v>89</v>
      </c>
      <c r="J19" s="48">
        <f t="shared" si="7"/>
        <v>40</v>
      </c>
    </row>
    <row r="20" spans="1:10" ht="21" customHeight="1" x14ac:dyDescent="0.15">
      <c r="A20" s="47">
        <v>40021019</v>
      </c>
      <c r="B20" s="47">
        <v>0</v>
      </c>
      <c r="C20" s="47" t="s">
        <v>89</v>
      </c>
      <c r="D20" s="47">
        <v>40</v>
      </c>
      <c r="E20" s="47" t="s">
        <v>297</v>
      </c>
      <c r="F20" s="47" t="s">
        <v>89</v>
      </c>
      <c r="G20" s="47" t="s">
        <v>298</v>
      </c>
      <c r="H20" s="47" t="s">
        <v>89</v>
      </c>
      <c r="I20" s="47" t="s">
        <v>89</v>
      </c>
      <c r="J20" s="48">
        <f t="shared" si="7"/>
        <v>40</v>
      </c>
    </row>
    <row r="21" spans="1:10" ht="21" customHeight="1" x14ac:dyDescent="0.15">
      <c r="A21" s="47">
        <v>40021020</v>
      </c>
      <c r="B21" s="47">
        <v>0</v>
      </c>
      <c r="C21" s="47" t="s">
        <v>89</v>
      </c>
      <c r="D21" s="47">
        <v>100</v>
      </c>
      <c r="E21" s="47">
        <v>50</v>
      </c>
      <c r="F21" s="47" t="s">
        <v>89</v>
      </c>
      <c r="G21" s="47">
        <v>1</v>
      </c>
      <c r="H21" s="47">
        <v>1</v>
      </c>
      <c r="I21" s="47" t="s">
        <v>89</v>
      </c>
      <c r="J21" s="48">
        <f t="shared" si="7"/>
        <v>100</v>
      </c>
    </row>
    <row r="22" spans="1:10" ht="21" customHeight="1" x14ac:dyDescent="0.15">
      <c r="A22" s="47">
        <v>40021021</v>
      </c>
      <c r="B22" s="47">
        <v>0</v>
      </c>
      <c r="C22" s="47" t="s">
        <v>89</v>
      </c>
      <c r="D22" s="47">
        <v>100</v>
      </c>
      <c r="E22" s="47">
        <v>50</v>
      </c>
      <c r="F22" s="47" t="s">
        <v>89</v>
      </c>
      <c r="G22" s="47">
        <v>1</v>
      </c>
      <c r="H22" s="47">
        <v>1</v>
      </c>
      <c r="I22" s="47" t="s">
        <v>89</v>
      </c>
      <c r="J22" s="48">
        <f t="shared" si="7"/>
        <v>100</v>
      </c>
    </row>
    <row r="23" spans="1:10" ht="21" customHeight="1" x14ac:dyDescent="0.15">
      <c r="A23" s="47">
        <v>40021022</v>
      </c>
      <c r="B23" s="47">
        <v>1</v>
      </c>
      <c r="C23" s="47" t="s">
        <v>89</v>
      </c>
      <c r="D23" s="47">
        <v>100</v>
      </c>
      <c r="E23" s="47" t="s">
        <v>296</v>
      </c>
      <c r="F23" s="47" t="s">
        <v>89</v>
      </c>
      <c r="G23" s="47">
        <v>1</v>
      </c>
      <c r="H23" s="47" t="s">
        <v>89</v>
      </c>
      <c r="I23" s="47" t="s">
        <v>89</v>
      </c>
      <c r="J23" s="48">
        <f t="shared" si="7"/>
        <v>100</v>
      </c>
    </row>
    <row r="24" spans="1:10" ht="21" customHeight="1" x14ac:dyDescent="0.15">
      <c r="A24" s="47">
        <v>40021023</v>
      </c>
      <c r="B24" s="47">
        <v>1</v>
      </c>
      <c r="C24" s="47">
        <v>1</v>
      </c>
      <c r="D24" s="47">
        <v>100</v>
      </c>
      <c r="E24" s="47" t="s">
        <v>296</v>
      </c>
      <c r="F24" s="47" t="s">
        <v>89</v>
      </c>
      <c r="G24" s="47">
        <v>1</v>
      </c>
      <c r="H24" s="47" t="s">
        <v>89</v>
      </c>
      <c r="I24" s="47">
        <v>941</v>
      </c>
      <c r="J24" s="48">
        <f t="shared" ref="J24" si="9">D24</f>
        <v>100</v>
      </c>
    </row>
    <row r="25" spans="1:10" ht="21" customHeight="1" x14ac:dyDescent="0.15">
      <c r="A25" s="47">
        <v>40021024</v>
      </c>
      <c r="B25" s="47">
        <v>1</v>
      </c>
      <c r="C25" s="47">
        <v>2</v>
      </c>
      <c r="D25" s="47">
        <v>100</v>
      </c>
      <c r="E25" s="47" t="s">
        <v>296</v>
      </c>
      <c r="F25" s="47" t="s">
        <v>89</v>
      </c>
      <c r="G25" s="47">
        <v>1</v>
      </c>
      <c r="H25" s="47" t="s">
        <v>89</v>
      </c>
      <c r="I25" s="47">
        <v>942</v>
      </c>
      <c r="J25" s="48">
        <f t="shared" ref="J25" si="10">D25</f>
        <v>100</v>
      </c>
    </row>
    <row r="26" spans="1:10" ht="21" customHeight="1" x14ac:dyDescent="0.15">
      <c r="A26" s="47">
        <v>40021025</v>
      </c>
      <c r="B26" s="47">
        <v>0</v>
      </c>
      <c r="C26" s="47" t="s">
        <v>89</v>
      </c>
      <c r="D26" s="47">
        <v>50</v>
      </c>
      <c r="E26" s="47" t="s">
        <v>297</v>
      </c>
      <c r="F26" s="47" t="s">
        <v>89</v>
      </c>
      <c r="G26" s="47" t="s">
        <v>298</v>
      </c>
      <c r="H26" s="47" t="s">
        <v>89</v>
      </c>
      <c r="I26" s="47" t="s">
        <v>89</v>
      </c>
      <c r="J26" s="48">
        <f t="shared" ref="J26:J30" si="11">D26</f>
        <v>50</v>
      </c>
    </row>
    <row r="27" spans="1:10" ht="21" customHeight="1" x14ac:dyDescent="0.15">
      <c r="A27" s="47">
        <v>40021026</v>
      </c>
      <c r="B27" s="47">
        <v>0</v>
      </c>
      <c r="C27" s="47" t="s">
        <v>89</v>
      </c>
      <c r="D27" s="47">
        <v>100</v>
      </c>
      <c r="E27" s="47" t="s">
        <v>297</v>
      </c>
      <c r="F27" s="47" t="s">
        <v>89</v>
      </c>
      <c r="G27" s="47" t="s">
        <v>89</v>
      </c>
      <c r="H27" s="47" t="s">
        <v>89</v>
      </c>
      <c r="I27" s="47" t="s">
        <v>89</v>
      </c>
      <c r="J27" s="48">
        <f t="shared" si="11"/>
        <v>100</v>
      </c>
    </row>
    <row r="28" spans="1:10" ht="21" customHeight="1" x14ac:dyDescent="0.15">
      <c r="A28" s="47">
        <v>40021027</v>
      </c>
      <c r="B28" s="47">
        <v>0</v>
      </c>
      <c r="C28" s="47" t="s">
        <v>89</v>
      </c>
      <c r="D28" s="47">
        <v>100</v>
      </c>
      <c r="E28" s="47">
        <v>50</v>
      </c>
      <c r="F28" s="47" t="s">
        <v>89</v>
      </c>
      <c r="G28" s="47">
        <v>1</v>
      </c>
      <c r="H28" s="47">
        <v>1</v>
      </c>
      <c r="I28" s="47" t="s">
        <v>89</v>
      </c>
      <c r="J28" s="48">
        <f t="shared" si="11"/>
        <v>100</v>
      </c>
    </row>
    <row r="29" spans="1:10" ht="21" customHeight="1" x14ac:dyDescent="0.15">
      <c r="A29" s="47">
        <v>40021028</v>
      </c>
      <c r="B29" s="47">
        <v>1</v>
      </c>
      <c r="C29" s="47" t="s">
        <v>89</v>
      </c>
      <c r="D29" s="47">
        <v>100</v>
      </c>
      <c r="E29" s="47" t="s">
        <v>296</v>
      </c>
      <c r="F29" s="47" t="s">
        <v>89</v>
      </c>
      <c r="G29" s="47">
        <v>1</v>
      </c>
      <c r="H29" s="47" t="s">
        <v>89</v>
      </c>
      <c r="I29" s="47" t="s">
        <v>89</v>
      </c>
      <c r="J29" s="48">
        <f t="shared" si="11"/>
        <v>100</v>
      </c>
    </row>
    <row r="30" spans="1:10" ht="21" customHeight="1" x14ac:dyDescent="0.15">
      <c r="A30" s="47">
        <v>40021029</v>
      </c>
      <c r="B30" s="47">
        <v>1</v>
      </c>
      <c r="C30" s="47">
        <v>1</v>
      </c>
      <c r="D30" s="47">
        <v>100</v>
      </c>
      <c r="E30" s="47" t="s">
        <v>296</v>
      </c>
      <c r="F30" s="47" t="s">
        <v>89</v>
      </c>
      <c r="G30" s="47">
        <v>1</v>
      </c>
      <c r="H30" s="47" t="s">
        <v>89</v>
      </c>
      <c r="I30" s="47">
        <v>941</v>
      </c>
      <c r="J30" s="48">
        <f t="shared" si="11"/>
        <v>100</v>
      </c>
    </row>
    <row r="31" spans="1:10" ht="21" customHeight="1" x14ac:dyDescent="0.15">
      <c r="A31" s="47">
        <v>40021030</v>
      </c>
      <c r="B31" s="47">
        <v>1</v>
      </c>
      <c r="C31" s="47">
        <v>2</v>
      </c>
      <c r="D31" s="47">
        <v>100</v>
      </c>
      <c r="E31" s="47" t="s">
        <v>296</v>
      </c>
      <c r="F31" s="47" t="s">
        <v>89</v>
      </c>
      <c r="G31" s="47">
        <v>1</v>
      </c>
      <c r="H31" s="47" t="s">
        <v>89</v>
      </c>
      <c r="I31" s="47">
        <v>942</v>
      </c>
      <c r="J31" s="48">
        <f t="shared" ref="J31" si="12">D31</f>
        <v>100</v>
      </c>
    </row>
    <row r="32" spans="1:10" ht="21" customHeight="1" x14ac:dyDescent="0.15">
      <c r="A32" s="47">
        <v>40021031</v>
      </c>
      <c r="B32" s="47">
        <v>0</v>
      </c>
      <c r="C32" s="47" t="s">
        <v>89</v>
      </c>
      <c r="D32" s="47">
        <v>70</v>
      </c>
      <c r="E32" s="47" t="s">
        <v>297</v>
      </c>
      <c r="F32" s="47">
        <v>50</v>
      </c>
      <c r="G32" s="47" t="s">
        <v>89</v>
      </c>
      <c r="H32" s="47" t="s">
        <v>89</v>
      </c>
      <c r="I32" s="47" t="s">
        <v>89</v>
      </c>
      <c r="J32" s="48">
        <f t="shared" ref="J32:J33" si="13">D32</f>
        <v>70</v>
      </c>
    </row>
    <row r="33" spans="1:10" ht="21" customHeight="1" x14ac:dyDescent="0.15">
      <c r="A33" s="47">
        <v>40021032</v>
      </c>
      <c r="B33" s="47">
        <v>0</v>
      </c>
      <c r="C33" s="47" t="s">
        <v>89</v>
      </c>
      <c r="D33" s="47">
        <v>40</v>
      </c>
      <c r="E33" s="47">
        <v>50</v>
      </c>
      <c r="F33" s="47" t="s">
        <v>89</v>
      </c>
      <c r="G33" s="47" t="s">
        <v>89</v>
      </c>
      <c r="H33" s="47" t="s">
        <v>89</v>
      </c>
      <c r="I33" s="47" t="s">
        <v>89</v>
      </c>
      <c r="J33" s="48">
        <f t="shared" si="13"/>
        <v>40</v>
      </c>
    </row>
    <row r="34" spans="1:10" ht="21" customHeight="1" x14ac:dyDescent="0.15">
      <c r="A34" s="47">
        <v>40021033</v>
      </c>
      <c r="B34" s="47">
        <v>0</v>
      </c>
      <c r="C34" s="47" t="s">
        <v>89</v>
      </c>
      <c r="D34" s="47">
        <v>40</v>
      </c>
      <c r="E34" s="47">
        <v>50</v>
      </c>
      <c r="F34" s="47" t="s">
        <v>89</v>
      </c>
      <c r="G34" s="47" t="s">
        <v>89</v>
      </c>
      <c r="H34" s="47" t="s">
        <v>89</v>
      </c>
      <c r="I34" s="47" t="s">
        <v>89</v>
      </c>
      <c r="J34" s="48">
        <f t="shared" ref="J34:J41" si="14">D34</f>
        <v>40</v>
      </c>
    </row>
    <row r="35" spans="1:10" ht="21" customHeight="1" x14ac:dyDescent="0.15">
      <c r="A35" s="47">
        <v>40021034</v>
      </c>
      <c r="B35" s="47">
        <v>0</v>
      </c>
      <c r="C35" s="47" t="s">
        <v>89</v>
      </c>
      <c r="D35" s="47">
        <v>40</v>
      </c>
      <c r="E35" s="47">
        <v>50</v>
      </c>
      <c r="F35" s="47" t="s">
        <v>89</v>
      </c>
      <c r="G35" s="47" t="s">
        <v>89</v>
      </c>
      <c r="H35" s="47" t="s">
        <v>89</v>
      </c>
      <c r="I35" s="47" t="s">
        <v>89</v>
      </c>
      <c r="J35" s="48">
        <f t="shared" si="14"/>
        <v>40</v>
      </c>
    </row>
    <row r="36" spans="1:10" ht="21" customHeight="1" x14ac:dyDescent="0.15">
      <c r="A36" s="47">
        <v>40021035</v>
      </c>
      <c r="B36" s="47">
        <v>0</v>
      </c>
      <c r="C36" s="47" t="s">
        <v>89</v>
      </c>
      <c r="D36" s="47">
        <v>40</v>
      </c>
      <c r="E36" s="47">
        <v>50</v>
      </c>
      <c r="F36" s="47" t="s">
        <v>89</v>
      </c>
      <c r="G36" s="47" t="s">
        <v>89</v>
      </c>
      <c r="H36" s="47" t="s">
        <v>89</v>
      </c>
      <c r="I36" s="47" t="s">
        <v>89</v>
      </c>
      <c r="J36" s="48">
        <f t="shared" si="14"/>
        <v>40</v>
      </c>
    </row>
    <row r="37" spans="1:10" ht="21" customHeight="1" x14ac:dyDescent="0.15">
      <c r="A37" s="47">
        <v>40021036</v>
      </c>
      <c r="B37" s="47">
        <v>1</v>
      </c>
      <c r="C37" s="47" t="s">
        <v>89</v>
      </c>
      <c r="D37" s="47">
        <v>100</v>
      </c>
      <c r="E37" s="47" t="s">
        <v>296</v>
      </c>
      <c r="F37" s="47" t="s">
        <v>89</v>
      </c>
      <c r="G37" s="47">
        <v>1</v>
      </c>
      <c r="H37" s="47" t="s">
        <v>89</v>
      </c>
      <c r="I37" s="47" t="s">
        <v>89</v>
      </c>
      <c r="J37" s="48">
        <f t="shared" si="14"/>
        <v>100</v>
      </c>
    </row>
    <row r="38" spans="1:10" ht="21" customHeight="1" x14ac:dyDescent="0.15">
      <c r="A38" s="47">
        <v>40021037</v>
      </c>
      <c r="B38" s="47">
        <v>1</v>
      </c>
      <c r="C38" s="47">
        <v>1</v>
      </c>
      <c r="D38" s="47">
        <v>100</v>
      </c>
      <c r="E38" s="47" t="s">
        <v>296</v>
      </c>
      <c r="F38" s="47" t="s">
        <v>89</v>
      </c>
      <c r="G38" s="47">
        <v>1</v>
      </c>
      <c r="H38" s="47" t="s">
        <v>89</v>
      </c>
      <c r="I38" s="47">
        <v>941</v>
      </c>
      <c r="J38" s="48">
        <f t="shared" si="14"/>
        <v>100</v>
      </c>
    </row>
    <row r="39" spans="1:10" ht="21" customHeight="1" x14ac:dyDescent="0.15">
      <c r="A39" s="47">
        <v>40021038</v>
      </c>
      <c r="B39" s="47">
        <v>1</v>
      </c>
      <c r="C39" s="47">
        <v>2</v>
      </c>
      <c r="D39" s="47">
        <v>100</v>
      </c>
      <c r="E39" s="47" t="s">
        <v>296</v>
      </c>
      <c r="F39" s="47" t="s">
        <v>89</v>
      </c>
      <c r="G39" s="47">
        <v>1</v>
      </c>
      <c r="H39" s="47" t="s">
        <v>89</v>
      </c>
      <c r="I39" s="47">
        <v>942</v>
      </c>
      <c r="J39" s="48">
        <f t="shared" ref="J39" si="15">D39</f>
        <v>100</v>
      </c>
    </row>
    <row r="40" spans="1:10" ht="21" customHeight="1" x14ac:dyDescent="0.15">
      <c r="A40" s="47">
        <v>40021039</v>
      </c>
      <c r="B40" s="47">
        <v>0</v>
      </c>
      <c r="C40" s="47" t="s">
        <v>53</v>
      </c>
      <c r="D40" s="47">
        <v>100</v>
      </c>
      <c r="E40" s="47" t="s">
        <v>296</v>
      </c>
      <c r="F40" s="47" t="s">
        <v>53</v>
      </c>
      <c r="G40" s="47">
        <v>1</v>
      </c>
      <c r="H40" s="47">
        <v>1</v>
      </c>
      <c r="I40" s="47" t="s">
        <v>53</v>
      </c>
      <c r="J40" s="48">
        <f t="shared" ref="J40" si="16">D40</f>
        <v>100</v>
      </c>
    </row>
    <row r="41" spans="1:10" ht="21" customHeight="1" x14ac:dyDescent="0.15">
      <c r="A41" s="47">
        <v>40021040</v>
      </c>
      <c r="B41" s="47">
        <v>0</v>
      </c>
      <c r="C41" s="47" t="s">
        <v>89</v>
      </c>
      <c r="D41" s="47">
        <v>100</v>
      </c>
      <c r="E41" s="47" t="s">
        <v>297</v>
      </c>
      <c r="F41" s="47" t="s">
        <v>89</v>
      </c>
      <c r="G41" s="47">
        <v>1</v>
      </c>
      <c r="H41" s="47">
        <v>2</v>
      </c>
      <c r="I41" s="47" t="s">
        <v>89</v>
      </c>
      <c r="J41" s="48">
        <f t="shared" si="14"/>
        <v>100</v>
      </c>
    </row>
    <row r="42" spans="1:10" ht="21" customHeight="1" x14ac:dyDescent="0.15">
      <c r="A42" s="47">
        <v>40021041</v>
      </c>
      <c r="B42" s="47">
        <v>0</v>
      </c>
      <c r="C42" s="47" t="s">
        <v>89</v>
      </c>
      <c r="D42" s="47">
        <v>100</v>
      </c>
      <c r="E42" s="47" t="s">
        <v>297</v>
      </c>
      <c r="F42" s="47" t="s">
        <v>89</v>
      </c>
      <c r="G42" s="47">
        <v>1</v>
      </c>
      <c r="H42" s="47">
        <v>3</v>
      </c>
      <c r="I42" s="47" t="s">
        <v>89</v>
      </c>
      <c r="J42" s="48">
        <f t="shared" ref="J42:J52" si="17">D42</f>
        <v>100</v>
      </c>
    </row>
    <row r="43" spans="1:10" ht="21" customHeight="1" x14ac:dyDescent="0.15">
      <c r="A43" s="47">
        <v>40021042</v>
      </c>
      <c r="B43" s="47">
        <v>0</v>
      </c>
      <c r="C43" s="47" t="s">
        <v>89</v>
      </c>
      <c r="D43" s="47">
        <v>60</v>
      </c>
      <c r="E43" s="47" t="s">
        <v>297</v>
      </c>
      <c r="F43" s="47" t="s">
        <v>89</v>
      </c>
      <c r="G43" s="47" t="s">
        <v>298</v>
      </c>
      <c r="H43" s="47" t="s">
        <v>89</v>
      </c>
      <c r="I43" s="47" t="s">
        <v>89</v>
      </c>
      <c r="J43" s="48">
        <f t="shared" si="17"/>
        <v>60</v>
      </c>
    </row>
    <row r="44" spans="1:10" ht="21" customHeight="1" x14ac:dyDescent="0.15">
      <c r="A44" s="47">
        <v>40021043</v>
      </c>
      <c r="B44" s="47">
        <v>0</v>
      </c>
      <c r="C44" s="47" t="s">
        <v>89</v>
      </c>
      <c r="D44" s="47">
        <v>60</v>
      </c>
      <c r="E44" s="47" t="s">
        <v>297</v>
      </c>
      <c r="F44" s="47" t="s">
        <v>89</v>
      </c>
      <c r="G44" s="47" t="s">
        <v>298</v>
      </c>
      <c r="H44" s="47" t="s">
        <v>89</v>
      </c>
      <c r="I44" s="47" t="s">
        <v>89</v>
      </c>
      <c r="J44" s="48">
        <f t="shared" si="17"/>
        <v>60</v>
      </c>
    </row>
    <row r="45" spans="1:10" ht="21" customHeight="1" x14ac:dyDescent="0.15">
      <c r="A45" s="47">
        <v>40021044</v>
      </c>
      <c r="B45" s="47">
        <v>1</v>
      </c>
      <c r="C45" s="47" t="s">
        <v>89</v>
      </c>
      <c r="D45" s="47">
        <v>100</v>
      </c>
      <c r="E45" s="47" t="s">
        <v>296</v>
      </c>
      <c r="F45" s="47" t="s">
        <v>89</v>
      </c>
      <c r="G45" s="47">
        <v>1</v>
      </c>
      <c r="H45" s="47" t="s">
        <v>89</v>
      </c>
      <c r="I45" s="47" t="s">
        <v>89</v>
      </c>
      <c r="J45" s="48">
        <f t="shared" si="17"/>
        <v>100</v>
      </c>
    </row>
    <row r="46" spans="1:10" ht="21" customHeight="1" x14ac:dyDescent="0.15">
      <c r="A46" s="47">
        <v>40021045</v>
      </c>
      <c r="B46" s="47">
        <v>0</v>
      </c>
      <c r="C46" s="47" t="s">
        <v>89</v>
      </c>
      <c r="D46" s="47">
        <v>100</v>
      </c>
      <c r="E46" s="47" t="s">
        <v>297</v>
      </c>
      <c r="F46" s="47" t="s">
        <v>89</v>
      </c>
      <c r="G46" s="47">
        <v>1</v>
      </c>
      <c r="H46" s="47">
        <v>1</v>
      </c>
      <c r="I46" s="47" t="s">
        <v>89</v>
      </c>
      <c r="J46" s="48">
        <f t="shared" si="17"/>
        <v>100</v>
      </c>
    </row>
    <row r="47" spans="1:10" ht="21" customHeight="1" x14ac:dyDescent="0.15">
      <c r="A47" s="47">
        <v>40021046</v>
      </c>
      <c r="B47" s="47">
        <v>0</v>
      </c>
      <c r="C47" s="47" t="s">
        <v>89</v>
      </c>
      <c r="D47" s="47">
        <v>100</v>
      </c>
      <c r="E47" s="47" t="s">
        <v>297</v>
      </c>
      <c r="F47" s="47" t="s">
        <v>89</v>
      </c>
      <c r="G47" s="47" t="s">
        <v>89</v>
      </c>
      <c r="H47" s="47" t="s">
        <v>89</v>
      </c>
      <c r="I47" s="47" t="s">
        <v>89</v>
      </c>
      <c r="J47" s="48">
        <f t="shared" si="17"/>
        <v>100</v>
      </c>
    </row>
    <row r="48" spans="1:10" ht="21" customHeight="1" x14ac:dyDescent="0.15">
      <c r="A48" s="47">
        <v>40021047</v>
      </c>
      <c r="B48" s="47">
        <v>0</v>
      </c>
      <c r="C48" s="47" t="s">
        <v>89</v>
      </c>
      <c r="D48" s="47">
        <v>100</v>
      </c>
      <c r="E48" s="47">
        <v>70</v>
      </c>
      <c r="F48" s="47" t="s">
        <v>89</v>
      </c>
      <c r="G48" s="47">
        <v>1</v>
      </c>
      <c r="H48" s="47">
        <v>1</v>
      </c>
      <c r="I48" s="47" t="s">
        <v>89</v>
      </c>
      <c r="J48" s="48">
        <f t="shared" si="17"/>
        <v>100</v>
      </c>
    </row>
    <row r="49" spans="1:10" ht="21" customHeight="1" x14ac:dyDescent="0.15">
      <c r="A49" s="47">
        <v>40021048</v>
      </c>
      <c r="B49" s="47">
        <v>0</v>
      </c>
      <c r="C49" s="47" t="s">
        <v>89</v>
      </c>
      <c r="D49" s="47">
        <v>100</v>
      </c>
      <c r="E49" s="47">
        <v>70</v>
      </c>
      <c r="F49" s="47" t="s">
        <v>89</v>
      </c>
      <c r="G49" s="47">
        <v>1</v>
      </c>
      <c r="H49" s="47">
        <v>1</v>
      </c>
      <c r="I49" s="47" t="s">
        <v>89</v>
      </c>
      <c r="J49" s="48">
        <f t="shared" si="17"/>
        <v>100</v>
      </c>
    </row>
    <row r="50" spans="1:10" ht="21" customHeight="1" x14ac:dyDescent="0.15">
      <c r="A50" s="47">
        <v>40021049</v>
      </c>
      <c r="B50" s="47">
        <v>0</v>
      </c>
      <c r="C50" s="47" t="s">
        <v>89</v>
      </c>
      <c r="D50" s="47">
        <v>100</v>
      </c>
      <c r="E50" s="47">
        <v>50</v>
      </c>
      <c r="F50" s="47" t="s">
        <v>89</v>
      </c>
      <c r="G50" s="47" t="s">
        <v>89</v>
      </c>
      <c r="H50" s="47">
        <v>1</v>
      </c>
      <c r="I50" s="47" t="s">
        <v>89</v>
      </c>
      <c r="J50" s="48">
        <f t="shared" si="17"/>
        <v>100</v>
      </c>
    </row>
    <row r="51" spans="1:10" ht="21" customHeight="1" x14ac:dyDescent="0.15">
      <c r="A51" s="47">
        <v>40021050</v>
      </c>
      <c r="B51" s="47">
        <v>0</v>
      </c>
      <c r="C51" s="47" t="s">
        <v>89</v>
      </c>
      <c r="D51" s="47">
        <v>100</v>
      </c>
      <c r="E51" s="47" t="s">
        <v>89</v>
      </c>
      <c r="F51" s="47" t="s">
        <v>89</v>
      </c>
      <c r="G51" s="47">
        <v>0</v>
      </c>
      <c r="H51" s="47" t="s">
        <v>338</v>
      </c>
      <c r="I51" s="47">
        <v>941</v>
      </c>
      <c r="J51" s="48">
        <f t="shared" ref="J51" si="18">D51</f>
        <v>100</v>
      </c>
    </row>
    <row r="52" spans="1:10" ht="21" customHeight="1" x14ac:dyDescent="0.15">
      <c r="A52" s="47">
        <v>40021051</v>
      </c>
      <c r="B52" s="47">
        <v>0</v>
      </c>
      <c r="C52" s="47" t="s">
        <v>89</v>
      </c>
      <c r="D52" s="47">
        <v>100</v>
      </c>
      <c r="E52" s="47" t="s">
        <v>89</v>
      </c>
      <c r="F52" s="47" t="s">
        <v>89</v>
      </c>
      <c r="G52" s="47">
        <v>0</v>
      </c>
      <c r="H52" s="47" t="s">
        <v>338</v>
      </c>
      <c r="I52" s="47">
        <v>942</v>
      </c>
      <c r="J52" s="48">
        <f t="shared" si="17"/>
        <v>100</v>
      </c>
    </row>
  </sheetData>
  <autoFilter ref="A1:G1"/>
  <phoneticPr fontId="5"/>
  <conditionalFormatting sqref="K53:K1048576 K1:K2">
    <cfRule type="duplicateValues" dxfId="50" priority="51"/>
  </conditionalFormatting>
  <conditionalFormatting sqref="K5">
    <cfRule type="duplicateValues" dxfId="49" priority="50"/>
  </conditionalFormatting>
  <conditionalFormatting sqref="K6">
    <cfRule type="duplicateValues" dxfId="48" priority="49"/>
  </conditionalFormatting>
  <conditionalFormatting sqref="K7">
    <cfRule type="duplicateValues" dxfId="47" priority="48"/>
  </conditionalFormatting>
  <conditionalFormatting sqref="K8">
    <cfRule type="duplicateValues" dxfId="46" priority="47"/>
  </conditionalFormatting>
  <conditionalFormatting sqref="K9">
    <cfRule type="duplicateValues" dxfId="45" priority="46"/>
  </conditionalFormatting>
  <conditionalFormatting sqref="K10">
    <cfRule type="duplicateValues" dxfId="44" priority="45"/>
  </conditionalFormatting>
  <conditionalFormatting sqref="K11">
    <cfRule type="duplicateValues" dxfId="43" priority="44"/>
  </conditionalFormatting>
  <conditionalFormatting sqref="K12">
    <cfRule type="duplicateValues" dxfId="42" priority="43"/>
  </conditionalFormatting>
  <conditionalFormatting sqref="K13">
    <cfRule type="duplicateValues" dxfId="41" priority="42"/>
  </conditionalFormatting>
  <conditionalFormatting sqref="K14">
    <cfRule type="duplicateValues" dxfId="40" priority="41"/>
  </conditionalFormatting>
  <conditionalFormatting sqref="K15">
    <cfRule type="duplicateValues" dxfId="39" priority="40"/>
  </conditionalFormatting>
  <conditionalFormatting sqref="K18">
    <cfRule type="duplicateValues" dxfId="38" priority="39"/>
  </conditionalFormatting>
  <conditionalFormatting sqref="K19">
    <cfRule type="duplicateValues" dxfId="37" priority="38"/>
  </conditionalFormatting>
  <conditionalFormatting sqref="K20">
    <cfRule type="duplicateValues" dxfId="36" priority="37"/>
  </conditionalFormatting>
  <conditionalFormatting sqref="K21">
    <cfRule type="duplicateValues" dxfId="35" priority="36"/>
  </conditionalFormatting>
  <conditionalFormatting sqref="K22">
    <cfRule type="duplicateValues" dxfId="34" priority="35"/>
  </conditionalFormatting>
  <conditionalFormatting sqref="K23">
    <cfRule type="duplicateValues" dxfId="33" priority="34"/>
  </conditionalFormatting>
  <conditionalFormatting sqref="K26">
    <cfRule type="duplicateValues" dxfId="32" priority="33"/>
  </conditionalFormatting>
  <conditionalFormatting sqref="K27">
    <cfRule type="duplicateValues" dxfId="31" priority="32"/>
  </conditionalFormatting>
  <conditionalFormatting sqref="K28">
    <cfRule type="duplicateValues" dxfId="30" priority="31"/>
  </conditionalFormatting>
  <conditionalFormatting sqref="K29">
    <cfRule type="duplicateValues" dxfId="29" priority="30"/>
  </conditionalFormatting>
  <conditionalFormatting sqref="K32">
    <cfRule type="duplicateValues" dxfId="28" priority="29"/>
  </conditionalFormatting>
  <conditionalFormatting sqref="K33">
    <cfRule type="duplicateValues" dxfId="27" priority="28"/>
  </conditionalFormatting>
  <conditionalFormatting sqref="K34">
    <cfRule type="duplicateValues" dxfId="26" priority="27"/>
  </conditionalFormatting>
  <conditionalFormatting sqref="K35">
    <cfRule type="duplicateValues" dxfId="25" priority="26"/>
  </conditionalFormatting>
  <conditionalFormatting sqref="K36">
    <cfRule type="duplicateValues" dxfId="24" priority="25"/>
  </conditionalFormatting>
  <conditionalFormatting sqref="K37">
    <cfRule type="duplicateValues" dxfId="23" priority="24"/>
  </conditionalFormatting>
  <conditionalFormatting sqref="K41">
    <cfRule type="duplicateValues" dxfId="22" priority="23"/>
  </conditionalFormatting>
  <conditionalFormatting sqref="K42">
    <cfRule type="duplicateValues" dxfId="21" priority="22"/>
  </conditionalFormatting>
  <conditionalFormatting sqref="K43">
    <cfRule type="duplicateValues" dxfId="20" priority="21"/>
  </conditionalFormatting>
  <conditionalFormatting sqref="K44">
    <cfRule type="duplicateValues" dxfId="19" priority="20"/>
  </conditionalFormatting>
  <conditionalFormatting sqref="K45">
    <cfRule type="duplicateValues" dxfId="18" priority="19"/>
  </conditionalFormatting>
  <conditionalFormatting sqref="K46">
    <cfRule type="duplicateValues" dxfId="17" priority="18"/>
  </conditionalFormatting>
  <conditionalFormatting sqref="K47">
    <cfRule type="duplicateValues" dxfId="16" priority="17"/>
  </conditionalFormatting>
  <conditionalFormatting sqref="K48">
    <cfRule type="duplicateValues" dxfId="15" priority="16"/>
  </conditionalFormatting>
  <conditionalFormatting sqref="K49">
    <cfRule type="duplicateValues" dxfId="14" priority="15"/>
  </conditionalFormatting>
  <conditionalFormatting sqref="K52">
    <cfRule type="duplicateValues" dxfId="13" priority="14"/>
  </conditionalFormatting>
  <conditionalFormatting sqref="K40">
    <cfRule type="duplicateValues" dxfId="12" priority="13"/>
  </conditionalFormatting>
  <conditionalFormatting sqref="K4">
    <cfRule type="duplicateValues" dxfId="11" priority="12"/>
  </conditionalFormatting>
  <conditionalFormatting sqref="K17">
    <cfRule type="duplicateValues" dxfId="10" priority="11"/>
  </conditionalFormatting>
  <conditionalFormatting sqref="K3">
    <cfRule type="duplicateValues" dxfId="9" priority="10"/>
  </conditionalFormatting>
  <conditionalFormatting sqref="K16">
    <cfRule type="duplicateValues" dxfId="8" priority="9"/>
  </conditionalFormatting>
  <conditionalFormatting sqref="K25">
    <cfRule type="duplicateValues" dxfId="7" priority="8"/>
  </conditionalFormatting>
  <conditionalFormatting sqref="K24">
    <cfRule type="duplicateValues" dxfId="6" priority="7"/>
  </conditionalFormatting>
  <conditionalFormatting sqref="K31">
    <cfRule type="duplicateValues" dxfId="5" priority="6"/>
  </conditionalFormatting>
  <conditionalFormatting sqref="K30">
    <cfRule type="duplicateValues" dxfId="4" priority="5"/>
  </conditionalFormatting>
  <conditionalFormatting sqref="K39">
    <cfRule type="duplicateValues" dxfId="3" priority="4"/>
  </conditionalFormatting>
  <conditionalFormatting sqref="K38">
    <cfRule type="duplicateValues" dxfId="2" priority="3"/>
  </conditionalFormatting>
  <conditionalFormatting sqref="K51">
    <cfRule type="duplicateValues" dxfId="1" priority="2"/>
  </conditionalFormatting>
  <conditionalFormatting sqref="K5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6"/>
  <sheetViews>
    <sheetView showGridLines="0" workbookViewId="0">
      <pane xSplit="5" ySplit="1" topLeftCell="F18" activePane="bottomRight" state="frozen"/>
      <selection pane="topRight"/>
      <selection pane="bottomLeft"/>
      <selection pane="bottomRight" activeCell="C87" sqref="C8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" si="0">B2&amp;"_"&amp;C2</f>
        <v>40021001_40021001</v>
      </c>
      <c r="B2" s="47">
        <v>40021001</v>
      </c>
      <c r="C2" s="47">
        <v>40021001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マスターは消させません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2" s="47">
        <v>40021001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40021001_40021002</v>
      </c>
      <c r="B3" s="47">
        <v>40021001</v>
      </c>
      <c r="C3" s="47">
        <v>40021002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アントワネット様…！？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3" s="47">
        <v>40021002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1">B4&amp;"_"&amp;C4</f>
        <v>40021001_40021002</v>
      </c>
      <c r="B4" s="47">
        <v>40021001</v>
      </c>
      <c r="C4" s="47">
        <v>40021002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アントワネット様…！？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4" s="47">
        <v>40021003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21" si="2">B5&amp;"_"&amp;C5</f>
        <v>40021001_40021003</v>
      </c>
      <c r="B5" s="47">
        <v>40021001</v>
      </c>
      <c r="C5" s="47">
        <v>40021003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逃がしません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" s="47">
        <v>40021004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" s="47"/>
      <c r="Q5" s="47"/>
      <c r="R5" s="47"/>
    </row>
    <row r="6" spans="1:18" ht="21" customHeight="1" x14ac:dyDescent="0.15">
      <c r="A6" s="39" t="str">
        <f t="shared" si="2"/>
        <v>40021001_40021004</v>
      </c>
      <c r="B6" s="47">
        <v>40021001</v>
      </c>
      <c r="C6" s="47">
        <v>40021004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砲撃します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40021005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40021001_40021005</v>
      </c>
      <c r="B7" s="47">
        <v>40021001</v>
      </c>
      <c r="C7" s="47">
        <v>40021005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マスターの命令は絶対です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主砲にエネルギーが集まってゆく…！</v>
      </c>
      <c r="F7" s="47">
        <v>40021006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40021001_40021006</v>
      </c>
      <c r="B8" s="47">
        <v>40021001</v>
      </c>
      <c r="C8" s="47">
        <v>40021006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CountDown:2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超大攻撃まで　残り2ターン</v>
      </c>
      <c r="F8" s="47">
        <v>40021007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40021001_40021007</v>
      </c>
      <c r="B9" s="47">
        <v>40021001</v>
      </c>
      <c r="C9" s="47">
        <v>40021007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CountDown:1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超大攻撃まで　残り1ターン</v>
      </c>
      <c r="F9" s="47">
        <v>40021008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40021001_40021008</v>
      </c>
      <c r="B10" s="47">
        <v>40021001</v>
      </c>
      <c r="C10" s="47">
        <v>40021008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コラプス・コンコルド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威力超大の全体攻撃</v>
      </c>
      <c r="F10" s="47">
        <v>40021009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40021002_40021009</v>
      </c>
      <c r="B11" s="47">
        <v>40021002</v>
      </c>
      <c r="C11" s="47">
        <v>40021009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赤熱榴弾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40021010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2"/>
        <v>40021002_40021010</v>
      </c>
      <c r="B12" s="47">
        <v>40021002</v>
      </c>
      <c r="C12" s="47">
        <v>40021010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革命の兆し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12" s="47">
        <v>40021011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2"/>
        <v>40021003_40021011</v>
      </c>
      <c r="B13" s="47">
        <v>40021003</v>
      </c>
      <c r="C13" s="47">
        <v>40021011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反撃の助け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3" s="47">
        <v>40021012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40021003_40021012</v>
      </c>
      <c r="B14" s="47">
        <v>40021003</v>
      </c>
      <c r="C14" s="47">
        <v>40021012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旗鼓堂々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2ターン全体攻撃力UP</v>
      </c>
      <c r="F14" s="47">
        <v>40021013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4" s="47"/>
      <c r="Q14" s="47"/>
      <c r="R14" s="47"/>
    </row>
    <row r="15" spans="1:18" ht="21" customHeight="1" x14ac:dyDescent="0.15">
      <c r="A15" s="39" t="str">
        <f t="shared" ref="A15" si="3">B15&amp;"_"&amp;C15</f>
        <v>40021004_40021013</v>
      </c>
      <c r="B15" s="47">
        <v>40021004</v>
      </c>
      <c r="C15" s="47">
        <v>40021013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無作法な行いは許しませんわ！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15" s="47">
        <v>40021014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4">B16&amp;"_"&amp;C16</f>
        <v>40021004_40021014</v>
      </c>
      <c r="B16" s="47">
        <v>40021004</v>
      </c>
      <c r="C16" s="47">
        <v>40021014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…どのようなお心算なんですの？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16" s="47">
        <v>40021015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40021004_40021014</v>
      </c>
      <c r="B17" s="47">
        <v>40021004</v>
      </c>
      <c r="C17" s="47">
        <v>40021014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…どのようなお心算なんですの？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17" s="47">
        <v>40021016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40021004_40021015</v>
      </c>
      <c r="B18" s="47">
        <v>40021004</v>
      </c>
      <c r="C18" s="47">
        <v>40021015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手加減いたしませんわ！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8" s="47">
        <v>40021017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2"/>
        <v>40021004_40021016</v>
      </c>
      <c r="B19" s="47">
        <v>40021004</v>
      </c>
      <c r="C19" s="47">
        <v>40021016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油断大敵ですわよ！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単体攻撃＋2ターン暗闇</v>
      </c>
      <c r="F19" s="47">
        <v>40021018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2"/>
        <v>40021004_40021017</v>
      </c>
      <c r="B20" s="47">
        <v>40021004</v>
      </c>
      <c r="C20" s="47">
        <v>40021017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危険分子の排除は得意ですの！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単体攻撃＋2ターン黄パネル無効</v>
      </c>
      <c r="F20" s="47">
        <v>40021019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2"/>
        <v>40021004_40021018</v>
      </c>
      <c r="B21" s="47">
        <v>40021004</v>
      </c>
      <c r="C21" s="47">
        <v>40021018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止まりなさい！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単体攻撃＋3ターンハートパネル無効</v>
      </c>
      <c r="F21" s="47">
        <v>40021020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:A46" si="5">B22&amp;"_"&amp;C22</f>
        <v>40021004_40021019</v>
      </c>
      <c r="B22" s="47">
        <v>40021004</v>
      </c>
      <c r="C22" s="47">
        <v>40021019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ロイヤル・ガーディアン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ハートパネル無効状態のユニットに大ダメージ</v>
      </c>
      <c r="F22" s="47">
        <v>40021021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5"/>
        <v>40021005_40021020</v>
      </c>
      <c r="B23" s="47">
        <v>40021005</v>
      </c>
      <c r="C23" s="47">
        <v>40021020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お菓子も食べれないなんて不憫だわ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黄パネルをハートパネルに変換＋ボムの爆風を50%DOWN</v>
      </c>
      <c r="F23" s="47">
        <v>40021022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6">B24&amp;"_"&amp;C24</f>
        <v>40021005_40021021</v>
      </c>
      <c r="B24" s="47">
        <v>40021005</v>
      </c>
      <c r="C24" s="47">
        <v>40021021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あら？　素敵なお召し物ね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黄パネルをハートパネルに変換＋ボムの爆風を50%DOWN</v>
      </c>
      <c r="F24" s="47">
        <v>40021023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5"/>
        <v>40021005_40021021</v>
      </c>
      <c r="B25" s="47">
        <v>40021005</v>
      </c>
      <c r="C25" s="47">
        <v>40021021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あら？　素敵なお召し物ね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黄パネルをハートパネルに変換＋ボムの爆風を50%DOWN</v>
      </c>
      <c r="F25" s="47">
        <v>40021024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5"/>
        <v>40021005_40021022</v>
      </c>
      <c r="B26" s="47">
        <v>40021005</v>
      </c>
      <c r="C26" s="47">
        <v>40021022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実力で奪い取るのよ！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26" s="47">
        <v>40021025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5"/>
        <v>40021005_40021023</v>
      </c>
      <c r="B27" s="47">
        <v>40021005</v>
      </c>
      <c r="C27" s="47">
        <v>40021023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そこ、動かないでいてくださる？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7" s="47">
        <v>40021026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40021005_40021024</v>
      </c>
      <c r="B28" s="47">
        <v>40021005</v>
      </c>
      <c r="C28" s="47">
        <v>40021024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私は私の勝利に賭けますわ！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ハートパネルの出現率大UP＋3ターンハートパネル無効</v>
      </c>
      <c r="F28" s="47">
        <v>40021027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" si="7">B29&amp;"_"&amp;C29</f>
        <v>40021006_40021025</v>
      </c>
      <c r="B29" s="47">
        <v>40021006</v>
      </c>
      <c r="C29" s="47">
        <v>40021025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ここは俺の王国だ　好きにさせてもらうぜ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29" s="47">
        <v>40021028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ref="A30" si="8">B30&amp;"_"&amp;C30</f>
        <v>40021006_40021026</v>
      </c>
      <c r="B30" s="47">
        <v>40021006</v>
      </c>
      <c r="C30" s="47">
        <v>40021026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なんでお前が俺に刃向かってくんだよ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30" s="47">
        <v>40021029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5"/>
        <v>40021006_40021026</v>
      </c>
      <c r="B31" s="47">
        <v>40021006</v>
      </c>
      <c r="C31" s="47">
        <v>40021026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なんでお前が俺に刃向かってくんだよ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31" s="47">
        <v>40021030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5"/>
        <v>40021006_40021027</v>
      </c>
      <c r="B32" s="47">
        <v>40021006</v>
      </c>
      <c r="C32" s="47">
        <v>40021027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狩りの時間だ！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32" s="47">
        <v>40021031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2" s="47"/>
      <c r="Q32" s="47"/>
      <c r="R32" s="47"/>
    </row>
    <row r="33" spans="1:18" ht="21" customHeight="1" x14ac:dyDescent="0.15">
      <c r="A33" s="39" t="str">
        <f t="shared" si="5"/>
        <v>40021006_40021028</v>
      </c>
      <c r="B33" s="47">
        <v>40021006</v>
      </c>
      <c r="C33" s="47">
        <v>40021028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赤い鍵はどうだ？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単体攻撃＋2ターン赤パネル無効</v>
      </c>
      <c r="F33" s="47">
        <v>40021032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3" s="47"/>
      <c r="Q33" s="47"/>
      <c r="R33" s="47"/>
    </row>
    <row r="34" spans="1:18" ht="21" customHeight="1" x14ac:dyDescent="0.15">
      <c r="A34" s="39" t="str">
        <f t="shared" si="5"/>
        <v>40021006_40021029</v>
      </c>
      <c r="B34" s="47">
        <v>40021006</v>
      </c>
      <c r="C34" s="47">
        <v>40021029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青い鍵を掛けてやろう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単体攻撃＋2ターン青パネル無効</v>
      </c>
      <c r="F34" s="47">
        <v>40021033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4" s="47"/>
      <c r="Q34" s="47"/>
      <c r="R34" s="47"/>
    </row>
    <row r="35" spans="1:18" ht="21" customHeight="1" x14ac:dyDescent="0.15">
      <c r="A35" s="39" t="str">
        <f t="shared" si="5"/>
        <v>40021006_40021030</v>
      </c>
      <c r="B35" s="47">
        <v>40021006</v>
      </c>
      <c r="C35" s="47">
        <v>40021030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緑の鍵に掛かってな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単体攻撃＋2ターン緑パネル無効</v>
      </c>
      <c r="F35" s="47">
        <v>40021034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5" s="47"/>
      <c r="Q35" s="47"/>
      <c r="R35" s="47"/>
    </row>
    <row r="36" spans="1:18" ht="21" customHeight="1" x14ac:dyDescent="0.15">
      <c r="A36" s="39" t="str">
        <f t="shared" si="5"/>
        <v>40021006_40021031</v>
      </c>
      <c r="B36" s="47">
        <v>40021006</v>
      </c>
      <c r="C36" s="47">
        <v>40021031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黄色い鍵は嫌いか？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単体攻撃＋2ターン黄パネル無効</v>
      </c>
      <c r="F36" s="47">
        <v>40021035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47"/>
      <c r="Q36" s="47"/>
      <c r="R36" s="47"/>
    </row>
    <row r="37" spans="1:18" ht="21" customHeight="1" x14ac:dyDescent="0.15">
      <c r="A37" s="39" t="str">
        <f t="shared" si="5"/>
        <v>40021007_40021032</v>
      </c>
      <c r="B37" s="47">
        <v>40021007</v>
      </c>
      <c r="C37" s="47">
        <v>40021032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…お前　気に入らねぇな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37" s="47">
        <v>40021036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" si="9">B38&amp;"_"&amp;C38</f>
        <v>40021007_40021033</v>
      </c>
      <c r="B38" s="47">
        <v>40021007</v>
      </c>
      <c r="C38" s="47">
        <v>40021033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俺らの所に戻ってこいよ！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38" s="47">
        <v>40021037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5"/>
        <v>40021007_40021033</v>
      </c>
      <c r="B39" s="47">
        <v>40021007</v>
      </c>
      <c r="C39" s="47">
        <v>40021033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俺らの所に戻ってこいよ！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39" s="47">
        <v>40021038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" si="10">B40&amp;"_"&amp;C40</f>
        <v>40021007_40021034</v>
      </c>
      <c r="B40" s="47">
        <v>40021007</v>
      </c>
      <c r="C40" s="47">
        <v>40021034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俺がお前に何かしたってのか？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妙に殺気立っている…_x000D_  1ターン攻撃力UP</v>
      </c>
      <c r="F40" s="47">
        <v>40021039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5"/>
        <v>40021007_40021035</v>
      </c>
      <c r="B41" s="47">
        <v>40021007</v>
      </c>
      <c r="C41" s="47">
        <v>40021035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正義面してくる奴は許さねぇ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1" s="47">
        <v>40021040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40021007_40021036</v>
      </c>
      <c r="B42" s="47">
        <v>40021007</v>
      </c>
      <c r="C42" s="47">
        <v>40021036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指図なんざまっぴらゴメンだぜ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2ターン全パネル無効</v>
      </c>
      <c r="F42" s="47">
        <v>40021041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40021007_40021037</v>
      </c>
      <c r="B43" s="47">
        <v>40021007</v>
      </c>
      <c r="C43" s="47">
        <v>40021037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やりたいことだけやらせてくれよ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4回連続攻撃＋2ターンスキルバインド</v>
      </c>
      <c r="F43" s="47">
        <v>40021042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3" s="47"/>
      <c r="Q43" s="47"/>
      <c r="R43" s="47"/>
    </row>
    <row r="44" spans="1:18" ht="21" customHeight="1" x14ac:dyDescent="0.15">
      <c r="A44" s="39" t="str">
        <f t="shared" si="5"/>
        <v>40021007_40021038</v>
      </c>
      <c r="B44" s="47">
        <v>40021007</v>
      </c>
      <c r="C44" s="47">
        <v>40021038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獲物は全て頂くぜ！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2回連続攻撃&amp;種族アニマルのユニットに大ダメージ</v>
      </c>
      <c r="F44" s="47">
        <v>40021043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4" s="47"/>
      <c r="Q44" s="47"/>
      <c r="R44" s="47"/>
    </row>
    <row r="45" spans="1:18" ht="21" customHeight="1" x14ac:dyDescent="0.15">
      <c r="A45" s="39" t="str">
        <f t="shared" si="5"/>
        <v>40021008_40021039</v>
      </c>
      <c r="B45" s="47">
        <v>40021008</v>
      </c>
      <c r="C45" s="47">
        <v>40021039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この世の中は住みにくい…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3ターンハートパネル無効＋状態異常耐性</v>
      </c>
      <c r="F45" s="47">
        <v>40021044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40021008_40021040</v>
      </c>
      <c r="B46" s="47">
        <v>40021008</v>
      </c>
      <c r="C46" s="47">
        <v>40021040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だから俺が住みやすい世界を…！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単体攻撃＋ハートパネルプロテクト</v>
      </c>
      <c r="F46" s="47">
        <v>40021045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:A50" si="11">B47&amp;"_"&amp;C47</f>
        <v>40021008_40021041</v>
      </c>
      <c r="B47" s="47">
        <v>40021008</v>
      </c>
      <c r="C47" s="47">
        <v>40021041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俺の理想の邪魔はさせねぇぜ！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7" s="47">
        <v>40021046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1"/>
        <v>40021008_40021042</v>
      </c>
      <c r="B48" s="47">
        <v>40021008</v>
      </c>
      <c r="C48" s="47">
        <v>40021042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他人に指図されたら楽しくねぇだろ？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攻撃頻度UP＋ボムの爆風を50%DOWN</v>
      </c>
      <c r="F48" s="47">
        <v>40021047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1"/>
        <v>40021008_40021043</v>
      </c>
      <c r="B49" s="47">
        <v>40021008</v>
      </c>
      <c r="C49" s="47">
        <v>40021043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不自由な世界に用はねぇ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単体攻撃＋確率で時限式ダメージパネルをドロップ</v>
      </c>
      <c r="F49" s="47">
        <v>40021048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1"/>
        <v>40021008_40021044</v>
      </c>
      <c r="B50" s="47">
        <v>40021008</v>
      </c>
      <c r="C50" s="47">
        <v>40021044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俺は自由に生きてぇんだ！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0" s="47">
        <v>40021049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ref="A51" si="12">B51&amp;"_"&amp;C51</f>
        <v>40021008_40021045</v>
      </c>
      <c r="B51" s="47">
        <v>40021008</v>
      </c>
      <c r="C51" s="47">
        <v>40021045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外にもまだ希望がある…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そういうことか…？　アントワネット…</v>
      </c>
      <c r="F51" s="47">
        <v>40021050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ref="A52:A85" si="13">B52&amp;"_"&amp;C52</f>
        <v>40021008_40021045</v>
      </c>
      <c r="B52" s="47">
        <v>40021008</v>
      </c>
      <c r="C52" s="47">
        <v>40021045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外にもまだ希望がある…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そういうことか…？　アントワネット…</v>
      </c>
      <c r="F52" s="47">
        <v>40021051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3"/>
        <v>40021009_40021001</v>
      </c>
      <c r="B53" s="47">
        <v>40021009</v>
      </c>
      <c r="C53" s="47">
        <v>40021001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マスターは消させません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53" s="47">
        <v>40021001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3"/>
        <v>40021009_40021002</v>
      </c>
      <c r="B54" s="47">
        <v>40021009</v>
      </c>
      <c r="C54" s="47">
        <v>40021002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アントワネット様…！？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54" s="47">
        <v>40021002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3"/>
        <v>40021009_40021002</v>
      </c>
      <c r="B55" s="47">
        <v>40021009</v>
      </c>
      <c r="C55" s="47">
        <v>40021002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アントワネット様…！？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解除するまでパネルタップ回数を1減少</v>
      </c>
      <c r="F55" s="47">
        <v>40021003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3"/>
        <v>40021009_40021005</v>
      </c>
      <c r="B56" s="47">
        <v>40021009</v>
      </c>
      <c r="C56" s="47">
        <v>40021005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マスターの命令は絶対です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主砲にエネルギーが集まってゆく…！</v>
      </c>
      <c r="F56" s="47">
        <v>40021006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3"/>
        <v>40021009_40021006</v>
      </c>
      <c r="B57" s="47">
        <v>40021009</v>
      </c>
      <c r="C57" s="47">
        <v>40021006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CountDown:2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超大攻撃まで　残り2ターン</v>
      </c>
      <c r="F57" s="47">
        <v>40021007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3"/>
        <v>40021009_40021007</v>
      </c>
      <c r="B58" s="47">
        <v>40021009</v>
      </c>
      <c r="C58" s="47">
        <v>40021007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CountDown:1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超大攻撃まで　残り1ターン</v>
      </c>
      <c r="F58" s="47">
        <v>40021008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3"/>
        <v>40021009_40021008</v>
      </c>
      <c r="B59" s="47">
        <v>40021009</v>
      </c>
      <c r="C59" s="47">
        <v>40021008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コラプス・コンコルド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威力超大の全体攻撃</v>
      </c>
      <c r="F59" s="47">
        <v>40021009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3"/>
        <v>40021010_40021010</v>
      </c>
      <c r="B60" s="47">
        <v>40021010</v>
      </c>
      <c r="C60" s="47">
        <v>40021010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革命の兆し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60" s="47">
        <v>40021011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0" s="47"/>
      <c r="Q60" s="47"/>
      <c r="R60" s="47"/>
    </row>
    <row r="61" spans="1:18" ht="21" customHeight="1" x14ac:dyDescent="0.15">
      <c r="A61" s="39" t="str">
        <f t="shared" si="13"/>
        <v>40021011_40021011</v>
      </c>
      <c r="B61" s="47">
        <v>40021011</v>
      </c>
      <c r="C61" s="47">
        <v>40021011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反撃の助け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全体回復</v>
      </c>
      <c r="F61" s="47">
        <v>40021012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3"/>
        <v>40021012_40021013</v>
      </c>
      <c r="B62" s="47">
        <v>40021012</v>
      </c>
      <c r="C62" s="47">
        <v>40021013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無作法な行いは許しませんわ！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62" s="47">
        <v>40021014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3"/>
        <v>40021012_40021014</v>
      </c>
      <c r="B63" s="47">
        <v>40021012</v>
      </c>
      <c r="C63" s="47">
        <v>40021014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…どのようなお心算なんですの？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63" s="47">
        <v>40021015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3"/>
        <v>40021012_40021014</v>
      </c>
      <c r="B64" s="47">
        <v>40021012</v>
      </c>
      <c r="C64" s="47">
        <v>40021014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…どのようなお心算なんですの？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64" s="47">
        <v>40021016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3"/>
        <v>40021012_40021018</v>
      </c>
      <c r="B65" s="47">
        <v>40021012</v>
      </c>
      <c r="C65" s="47">
        <v>40021018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止まりなさい！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単体攻撃＋3ターンハートパネル無効</v>
      </c>
      <c r="F65" s="47">
        <v>40021020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3"/>
        <v>40021012_40021019</v>
      </c>
      <c r="B66" s="47">
        <v>40021012</v>
      </c>
      <c r="C66" s="47">
        <v>40021019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ロイヤル・ガーディアン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ハートパネル無効状態のユニットに大ダメージ</v>
      </c>
      <c r="F66" s="47">
        <v>40021021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3"/>
        <v>40021013_40021025</v>
      </c>
      <c r="B67" s="47">
        <v>40021013</v>
      </c>
      <c r="C67" s="47">
        <v>40021025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ここは俺の王国だ　好きにさせてもらうぜ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67" s="47">
        <v>40021028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 t="str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3"/>
        <v>40021013_40021026</v>
      </c>
      <c r="B68" s="47">
        <v>40021013</v>
      </c>
      <c r="C68" s="47">
        <v>40021026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なんでお前が俺に刃向かってくんだよ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68" s="47">
        <v>40021029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3"/>
        <v>40021013_40021026</v>
      </c>
      <c r="B69" s="47">
        <v>40021013</v>
      </c>
      <c r="C69" s="47">
        <v>40021026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なんでお前が俺に刃向かってくんだよ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ボムの爆風を50%DOWN_x000D_＋全ての効果を解除</v>
      </c>
      <c r="F69" s="47">
        <v>40021030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3"/>
        <v>40021013_40021027</v>
      </c>
      <c r="B70" s="47">
        <v>40021013</v>
      </c>
      <c r="C70" s="47">
        <v>40021027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狩りの時間だ！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</v>
      </c>
      <c r="F70" s="47">
        <v>40021031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70" s="47"/>
      <c r="Q70" s="47"/>
      <c r="R70" s="47"/>
    </row>
    <row r="71" spans="1:18" ht="21" customHeight="1" x14ac:dyDescent="0.15">
      <c r="A71" s="39" t="str">
        <f t="shared" si="13"/>
        <v>40021013_40021028</v>
      </c>
      <c r="B71" s="47">
        <v>40021013</v>
      </c>
      <c r="C71" s="47">
        <v>40021028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赤い鍵はどうだ？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単体攻撃＋2ターン赤パネル無効</v>
      </c>
      <c r="F71" s="47">
        <v>40021032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 t="str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1" s="48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1" s="47"/>
      <c r="Q71" s="47"/>
      <c r="R71" s="47"/>
    </row>
    <row r="72" spans="1:18" ht="21" customHeight="1" x14ac:dyDescent="0.15">
      <c r="A72" s="39" t="str">
        <f t="shared" si="13"/>
        <v>40021013_40021029</v>
      </c>
      <c r="B72" s="47">
        <v>40021013</v>
      </c>
      <c r="C72" s="47">
        <v>40021029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青い鍵を掛けてやろう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単体攻撃＋2ターン青パネル無効</v>
      </c>
      <c r="F72" s="47">
        <v>40021033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2" s="48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2" s="47"/>
      <c r="Q72" s="47"/>
      <c r="R72" s="47"/>
    </row>
    <row r="73" spans="1:18" ht="21" customHeight="1" x14ac:dyDescent="0.15">
      <c r="A73" s="39" t="str">
        <f t="shared" si="13"/>
        <v>40021013_40021030</v>
      </c>
      <c r="B73" s="47">
        <v>40021013</v>
      </c>
      <c r="C73" s="47">
        <v>40021030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緑の鍵に掛かってな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単体攻撃＋2ターン緑パネル無効</v>
      </c>
      <c r="F73" s="47">
        <v>40021034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3" s="48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3" s="47"/>
      <c r="Q73" s="47"/>
      <c r="R73" s="47"/>
    </row>
    <row r="74" spans="1:18" ht="21" customHeight="1" x14ac:dyDescent="0.15">
      <c r="A74" s="39" t="str">
        <f t="shared" si="13"/>
        <v>40021013_40021031</v>
      </c>
      <c r="B74" s="47">
        <v>40021013</v>
      </c>
      <c r="C74" s="47">
        <v>40021031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黄色い鍵は嫌いか？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単体攻撃＋2ターン黄パネル無効</v>
      </c>
      <c r="F74" s="47">
        <v>40021035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4" s="48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4" s="47"/>
      <c r="Q74" s="47"/>
      <c r="R74" s="47"/>
    </row>
    <row r="75" spans="1:18" ht="21" customHeight="1" x14ac:dyDescent="0.15">
      <c r="A75" s="39" t="str">
        <f t="shared" si="13"/>
        <v>40021014_40021032</v>
      </c>
      <c r="B75" s="47">
        <v>40021014</v>
      </c>
      <c r="C75" s="47">
        <v>40021032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…お前　気に入らねぇな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75" s="47">
        <v>40021036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3"/>
        <v>40021014_40021033</v>
      </c>
      <c r="B76" s="47">
        <v>40021014</v>
      </c>
      <c r="C76" s="47">
        <v>40021033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俺らの所に戻ってこいよ！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76" s="47">
        <v>40021037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3"/>
        <v>40021014_40021033</v>
      </c>
      <c r="B77" s="47">
        <v>40021014</v>
      </c>
      <c r="C77" s="47">
        <v>40021033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俺らの所に戻ってこいよ！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2ターン攻撃頻度UP</v>
      </c>
      <c r="F77" s="47">
        <v>40021038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3"/>
        <v>40021014_40021034</v>
      </c>
      <c r="B78" s="47">
        <v>40021014</v>
      </c>
      <c r="C78" s="47">
        <v>40021034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俺がお前に何かしたってのか？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妙に殺気立っている…_x000D_  1ターン攻撃力UP</v>
      </c>
      <c r="F78" s="47">
        <v>40021039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3"/>
        <v>40021014_40021035</v>
      </c>
      <c r="B79" s="47">
        <v>40021014</v>
      </c>
      <c r="C79" s="47">
        <v>40021035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正義面してくる奴は許さねぇ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9" s="47">
        <v>40021040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40021014_40021036</v>
      </c>
      <c r="B80" s="47">
        <v>40021014</v>
      </c>
      <c r="C80" s="47">
        <v>40021036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指図なんざまっぴらゴメンだぜ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2ターン全パネル無効</v>
      </c>
      <c r="F80" s="47">
        <v>40021041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 t="str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3"/>
        <v>40021015_40021039</v>
      </c>
      <c r="B81" s="47">
        <v>40021015</v>
      </c>
      <c r="C81" s="47">
        <v>40021039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この世の中は住みにくい…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3ターンハートパネル無効＋状態異常耐性</v>
      </c>
      <c r="F81" s="47">
        <v>40021044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3"/>
        <v>40021015_40021040</v>
      </c>
      <c r="B82" s="47">
        <v>40021015</v>
      </c>
      <c r="C82" s="47">
        <v>40021040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だから俺が住みやすい世界を…！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単体攻撃＋ハートパネルプロテクト</v>
      </c>
      <c r="F82" s="47">
        <v>40021045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3"/>
        <v>40021015_40021042</v>
      </c>
      <c r="B83" s="47">
        <v>40021015</v>
      </c>
      <c r="C83" s="47">
        <v>40021042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他人に指図されたら楽しくねぇだろ？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攻撃頻度UP＋ボムの爆風を50%DOWN</v>
      </c>
      <c r="F83" s="47">
        <v>40021047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3"/>
        <v>40021015_40021043</v>
      </c>
      <c r="B84" s="47">
        <v>40021015</v>
      </c>
      <c r="C84" s="47">
        <v>40021043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不自由な世界に用はねぇ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単体攻撃＋確率で時限式ダメージパネルをドロップ</v>
      </c>
      <c r="F84" s="47">
        <v>40021048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 t="str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3"/>
        <v>40021015_40021045</v>
      </c>
      <c r="B85" s="47">
        <v>40021015</v>
      </c>
      <c r="C85" s="47">
        <v>40021045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外にもまだ希望がある…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そういうことか…？　アントワネット…</v>
      </c>
      <c r="F85" s="47">
        <v>40021050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941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ref="A86" si="14">B86&amp;"_"&amp;C86</f>
        <v>40021015_40021045</v>
      </c>
      <c r="B86" s="47">
        <v>40021015</v>
      </c>
      <c r="C86" s="47">
        <v>40021045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外にもまだ希望がある…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そういうことか…？　アントワネット…</v>
      </c>
      <c r="F86" s="47">
        <v>40021051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 t="str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942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abSelected="1" workbookViewId="0">
      <selection activeCell="D16" sqref="D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121">
        <f>floors!$C$2</f>
        <v>40021</v>
      </c>
      <c r="B2" s="104">
        <v>1</v>
      </c>
      <c r="C2" s="105" t="str">
        <f>A2&amp; "_"&amp;B2</f>
        <v>40021_1</v>
      </c>
      <c r="D2" s="10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4">
        <v>1</v>
      </c>
      <c r="F2" s="104" t="s">
        <v>169</v>
      </c>
      <c r="G2" s="107">
        <v>40000</v>
      </c>
      <c r="H2" s="104" t="s">
        <v>251</v>
      </c>
      <c r="I2" s="104">
        <v>1</v>
      </c>
      <c r="J2" s="104">
        <v>1</v>
      </c>
      <c r="K2" s="104">
        <v>0</v>
      </c>
      <c r="L2" s="104">
        <v>0</v>
      </c>
      <c r="M2" s="104">
        <v>0</v>
      </c>
      <c r="N2" s="104">
        <v>0</v>
      </c>
      <c r="O2" s="104">
        <v>1</v>
      </c>
      <c r="P2" s="104">
        <v>150</v>
      </c>
      <c r="Q2" s="104" t="s">
        <v>170</v>
      </c>
      <c r="R2" s="108" t="s">
        <v>171</v>
      </c>
    </row>
    <row r="3" spans="1:18" x14ac:dyDescent="0.15">
      <c r="A3" s="122">
        <f>floors!$C$2</f>
        <v>40021</v>
      </c>
      <c r="B3" s="57">
        <v>1</v>
      </c>
      <c r="C3" s="71" t="str">
        <f t="shared" ref="C3:C11" si="0">A3&amp; "_"&amp;B3</f>
        <v>40021_1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252</v>
      </c>
      <c r="G3" s="109">
        <v>30</v>
      </c>
      <c r="H3" s="57" t="s">
        <v>251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10" t="s">
        <v>171</v>
      </c>
    </row>
    <row r="4" spans="1:18" x14ac:dyDescent="0.15">
      <c r="A4" s="122">
        <f>floors!$C$2</f>
        <v>40021</v>
      </c>
      <c r="B4" s="57">
        <v>1</v>
      </c>
      <c r="C4" s="71" t="str">
        <f t="shared" si="0"/>
        <v>40021_1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253</v>
      </c>
      <c r="G4" s="109">
        <v>333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10" t="s">
        <v>171</v>
      </c>
    </row>
    <row r="5" spans="1:18" x14ac:dyDescent="0.15">
      <c r="A5" s="122">
        <f>floors!$C$2</f>
        <v>40021</v>
      </c>
      <c r="B5" s="57">
        <v>1</v>
      </c>
      <c r="C5" s="71" t="str">
        <f t="shared" si="0"/>
        <v>40021_1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253</v>
      </c>
      <c r="G5" s="109">
        <v>334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10" t="s">
        <v>171</v>
      </c>
    </row>
    <row r="6" spans="1:18" x14ac:dyDescent="0.15">
      <c r="A6" s="122">
        <f>floors!$C$2</f>
        <v>40021</v>
      </c>
      <c r="B6" s="57">
        <v>1</v>
      </c>
      <c r="C6" s="71" t="str">
        <f t="shared" si="0"/>
        <v>40021_1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253</v>
      </c>
      <c r="G6" s="109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63">
        <v>100</v>
      </c>
      <c r="Q6" s="57" t="s">
        <v>170</v>
      </c>
      <c r="R6" s="110" t="s">
        <v>171</v>
      </c>
    </row>
    <row r="7" spans="1:18" x14ac:dyDescent="0.15">
      <c r="A7" s="122">
        <f>floors!$C$2</f>
        <v>40021</v>
      </c>
      <c r="B7" s="57">
        <v>1</v>
      </c>
      <c r="C7" s="71" t="str">
        <f t="shared" si="0"/>
        <v>40021_1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253</v>
      </c>
      <c r="G7" s="109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63">
        <v>100</v>
      </c>
      <c r="Q7" s="57" t="s">
        <v>170</v>
      </c>
      <c r="R7" s="110" t="s">
        <v>171</v>
      </c>
    </row>
    <row r="8" spans="1:18" x14ac:dyDescent="0.15">
      <c r="A8" s="122">
        <f>floors!$C$2</f>
        <v>40021</v>
      </c>
      <c r="B8" s="57">
        <v>1</v>
      </c>
      <c r="C8" s="71" t="str">
        <f t="shared" si="0"/>
        <v>40021_1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253</v>
      </c>
      <c r="G8" s="109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63">
        <v>100</v>
      </c>
      <c r="Q8" s="57" t="s">
        <v>170</v>
      </c>
      <c r="R8" s="110" t="s">
        <v>171</v>
      </c>
    </row>
    <row r="9" spans="1:18" x14ac:dyDescent="0.15">
      <c r="A9" s="122">
        <f>floors!$C$2</f>
        <v>40021</v>
      </c>
      <c r="B9" s="57">
        <v>1</v>
      </c>
      <c r="C9" s="71" t="str">
        <f t="shared" si="0"/>
        <v>40021_1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253</v>
      </c>
      <c r="G9" s="109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110" t="s">
        <v>171</v>
      </c>
    </row>
    <row r="10" spans="1:18" x14ac:dyDescent="0.15">
      <c r="A10" s="122">
        <f>floors!$C$2</f>
        <v>40021</v>
      </c>
      <c r="B10" s="57">
        <v>1</v>
      </c>
      <c r="C10" s="71" t="str">
        <f t="shared" si="0"/>
        <v>40021_1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253</v>
      </c>
      <c r="G10" s="109">
        <v>935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63">
        <v>100</v>
      </c>
      <c r="Q10" s="57" t="s">
        <v>170</v>
      </c>
      <c r="R10" s="110" t="s">
        <v>171</v>
      </c>
    </row>
    <row r="11" spans="1:18" x14ac:dyDescent="0.15">
      <c r="A11" s="123">
        <f>floors!$C$2</f>
        <v>40021</v>
      </c>
      <c r="B11" s="111">
        <v>1</v>
      </c>
      <c r="C11" s="112" t="str">
        <f t="shared" si="0"/>
        <v>40021_1</v>
      </c>
      <c r="D11" s="11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1">
        <v>10</v>
      </c>
      <c r="F11" s="111" t="s">
        <v>253</v>
      </c>
      <c r="G11" s="114">
        <v>348</v>
      </c>
      <c r="H11" s="111">
        <v>1</v>
      </c>
      <c r="I11" s="111">
        <v>1</v>
      </c>
      <c r="J11" s="111">
        <v>1</v>
      </c>
      <c r="K11" s="111">
        <v>0</v>
      </c>
      <c r="L11" s="111">
        <v>0</v>
      </c>
      <c r="M11" s="111">
        <v>0</v>
      </c>
      <c r="N11" s="111">
        <v>0</v>
      </c>
      <c r="O11" s="111">
        <v>1</v>
      </c>
      <c r="P11" s="111">
        <v>150</v>
      </c>
      <c r="Q11" s="111" t="s">
        <v>170</v>
      </c>
      <c r="R11" s="115" t="s">
        <v>171</v>
      </c>
    </row>
    <row r="12" spans="1:18" x14ac:dyDescent="0.15">
      <c r="A12" s="122">
        <f>floors!$C$2</f>
        <v>40021</v>
      </c>
      <c r="B12" s="57">
        <v>2</v>
      </c>
      <c r="C12" s="71" t="str">
        <f t="shared" ref="C12:C18" si="1">A12&amp; "_"&amp;B12</f>
        <v>40021_2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</v>
      </c>
      <c r="F12" s="57" t="s">
        <v>253</v>
      </c>
      <c r="G12" s="109">
        <v>334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</v>
      </c>
      <c r="Q12" s="57" t="s">
        <v>170</v>
      </c>
      <c r="R12" s="110" t="s">
        <v>171</v>
      </c>
    </row>
    <row r="13" spans="1:18" x14ac:dyDescent="0.15">
      <c r="A13" s="122">
        <f>floors!$C$2</f>
        <v>40021</v>
      </c>
      <c r="B13" s="57">
        <v>2</v>
      </c>
      <c r="C13" s="71" t="str">
        <f t="shared" si="1"/>
        <v>40021_2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253</v>
      </c>
      <c r="G13" s="109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10" t="s">
        <v>171</v>
      </c>
    </row>
    <row r="14" spans="1:18" x14ac:dyDescent="0.15">
      <c r="A14" s="122">
        <f>floors!$C$2</f>
        <v>40021</v>
      </c>
      <c r="B14" s="57">
        <v>2</v>
      </c>
      <c r="C14" s="71" t="str">
        <f t="shared" si="1"/>
        <v>40021_2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253</v>
      </c>
      <c r="G14" s="109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10" t="s">
        <v>171</v>
      </c>
    </row>
    <row r="15" spans="1:18" x14ac:dyDescent="0.15">
      <c r="A15" s="122">
        <f>floors!$C$2</f>
        <v>40021</v>
      </c>
      <c r="B15" s="57">
        <v>2</v>
      </c>
      <c r="C15" s="71" t="str">
        <f t="shared" si="1"/>
        <v>40021_2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253</v>
      </c>
      <c r="G15" s="109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10" t="s">
        <v>171</v>
      </c>
    </row>
    <row r="16" spans="1:18" x14ac:dyDescent="0.15">
      <c r="A16" s="122">
        <f>floors!$C$2</f>
        <v>40021</v>
      </c>
      <c r="B16" s="57">
        <v>2</v>
      </c>
      <c r="C16" s="71" t="str">
        <f t="shared" si="1"/>
        <v>40021_2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253</v>
      </c>
      <c r="G16" s="109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10" t="s">
        <v>171</v>
      </c>
    </row>
    <row r="17" spans="1:18" x14ac:dyDescent="0.15">
      <c r="A17" s="122">
        <f>floors!$C$2</f>
        <v>40021</v>
      </c>
      <c r="B17" s="57">
        <v>2</v>
      </c>
      <c r="C17" s="71" t="str">
        <f t="shared" si="1"/>
        <v>40021_2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253</v>
      </c>
      <c r="G17" s="109">
        <v>935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170</v>
      </c>
      <c r="R17" s="110" t="s">
        <v>171</v>
      </c>
    </row>
    <row r="18" spans="1:18" ht="16" thickBot="1" x14ac:dyDescent="0.2">
      <c r="A18" s="124">
        <f>floors!$C$2</f>
        <v>40021</v>
      </c>
      <c r="B18" s="116">
        <v>2</v>
      </c>
      <c r="C18" s="117" t="str">
        <f t="shared" si="1"/>
        <v>40021_2</v>
      </c>
      <c r="D18" s="1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6">
        <v>7</v>
      </c>
      <c r="F18" s="116" t="s">
        <v>253</v>
      </c>
      <c r="G18" s="119">
        <v>348</v>
      </c>
      <c r="H18" s="116">
        <v>1</v>
      </c>
      <c r="I18" s="116">
        <v>1</v>
      </c>
      <c r="J18" s="116">
        <v>1</v>
      </c>
      <c r="K18" s="116">
        <v>0</v>
      </c>
      <c r="L18" s="116">
        <v>0</v>
      </c>
      <c r="M18" s="116">
        <v>0</v>
      </c>
      <c r="N18" s="116">
        <v>0</v>
      </c>
      <c r="O18" s="116">
        <v>1</v>
      </c>
      <c r="P18" s="116">
        <v>120</v>
      </c>
      <c r="Q18" s="116" t="s">
        <v>170</v>
      </c>
      <c r="R18" s="120" t="s">
        <v>171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9" sqref="J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8"/>
  <sheetViews>
    <sheetView showGridLines="0" topLeftCell="H1" workbookViewId="0">
      <pane ySplit="1" topLeftCell="A5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 x14ac:dyDescent="0.15">
      <c r="A2" s="81" t="s">
        <v>197</v>
      </c>
      <c r="B2" s="82">
        <f>floors!$C$2</f>
        <v>40021</v>
      </c>
      <c r="C2" s="83" t="str">
        <f ca="1">VLOOKUP($B2,OFFSET([2]quests!$A$1,0,0,COUNTA([2]quests!$A:$A),MATCH(C$1,[2]quests!$1:$1,0)-MATCH($B$1,[2]quests!$1:$1,0)+1),MATCH(C$1,[2]quests!$1:$1,0)-MATCH($B$1,[2]quests!$1:$1,0)+1,FALSE)</f>
        <v>ルイ16世襲来！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降臨21</v>
      </c>
      <c r="H2" s="85">
        <v>1</v>
      </c>
      <c r="I2" s="90">
        <f t="shared" ref="I2:I28" si="0">ROW()-1</f>
        <v>1</v>
      </c>
      <c r="J2" s="86" t="str">
        <f t="shared" ref="J2:J13" si="1">B2&amp;TEXT(I2,"00")</f>
        <v>4002101</v>
      </c>
      <c r="K2" s="84" t="s">
        <v>198</v>
      </c>
      <c r="L2" s="87" t="s">
        <v>199</v>
      </c>
      <c r="M2" s="127" t="s">
        <v>354</v>
      </c>
      <c r="N2" s="57" t="s">
        <v>200</v>
      </c>
    </row>
    <row r="3" spans="1:14" ht="28" x14ac:dyDescent="0.15">
      <c r="A3" s="81" t="s">
        <v>197</v>
      </c>
      <c r="B3" s="82">
        <f>floors!$C$2</f>
        <v>40021</v>
      </c>
      <c r="C3" s="83" t="str">
        <f ca="1">VLOOKUP($B3,OFFSET([2]quests!$A$1,0,0,COUNTA([2]quests!$A:$A),MATCH(C$1,[2]quests!$1:$1,0)-MATCH($B$1,[2]quests!$1:$1,0)+1),MATCH(C$1,[2]quests!$1:$1,0)-MATCH($B$1,[2]quests!$1:$1,0)+1,FALSE)</f>
        <v>ルイ16世襲来！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降臨21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降臨21</v>
      </c>
      <c r="H3" s="85">
        <v>2</v>
      </c>
      <c r="I3" s="90">
        <f t="shared" si="0"/>
        <v>2</v>
      </c>
      <c r="J3" s="86" t="str">
        <f t="shared" si="1"/>
        <v>4002102</v>
      </c>
      <c r="K3" s="84" t="s">
        <v>198</v>
      </c>
      <c r="L3" s="87" t="s">
        <v>199</v>
      </c>
      <c r="M3" s="127" t="s">
        <v>407</v>
      </c>
      <c r="N3" s="57" t="s">
        <v>200</v>
      </c>
    </row>
    <row r="4" spans="1:14" ht="28" x14ac:dyDescent="0.15">
      <c r="A4" s="81" t="s">
        <v>340</v>
      </c>
      <c r="B4" s="82">
        <f>floors!$C$2</f>
        <v>40021</v>
      </c>
      <c r="C4" s="83" t="str">
        <f ca="1">VLOOKUP($B4,OFFSET([2]quests!$A$1,0,0,COUNTA([2]quests!$A:$A),MATCH(C$1,[2]quests!$1:$1,0)-MATCH($B$1,[2]quests!$1:$1,0)+1),MATCH(C$1,[2]quests!$1:$1,0)-MATCH($B$1,[2]quests!$1:$1,0)+1,FALSE)</f>
        <v>ルイ16世襲来！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降臨21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降臨21</v>
      </c>
      <c r="H4" s="85">
        <v>2</v>
      </c>
      <c r="I4" s="90">
        <f t="shared" si="0"/>
        <v>3</v>
      </c>
      <c r="J4" s="86" t="str">
        <f t="shared" si="1"/>
        <v>4002103</v>
      </c>
      <c r="K4" s="84" t="s">
        <v>198</v>
      </c>
      <c r="L4" s="87" t="s">
        <v>199</v>
      </c>
      <c r="M4" s="127" t="s">
        <v>408</v>
      </c>
      <c r="N4" s="57" t="s">
        <v>200</v>
      </c>
    </row>
    <row r="5" spans="1:14" ht="42" x14ac:dyDescent="0.15">
      <c r="A5" s="81" t="s">
        <v>340</v>
      </c>
      <c r="B5" s="82">
        <f>floors!$C$2</f>
        <v>40021</v>
      </c>
      <c r="C5" s="83" t="str">
        <f ca="1">VLOOKUP($B5,OFFSET([2]quests!$A$1,0,0,COUNTA([2]quests!$A:$A),MATCH(C$1,[2]quests!$1:$1,0)-MATCH($B$1,[2]quests!$1:$1,0)+1),MATCH(C$1,[2]quests!$1:$1,0)-MATCH($B$1,[2]quests!$1:$1,0)+1,FALSE)</f>
        <v>ルイ16世襲来！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降臨21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降臨21</v>
      </c>
      <c r="H5" s="85">
        <v>3</v>
      </c>
      <c r="I5" s="90">
        <f t="shared" si="0"/>
        <v>4</v>
      </c>
      <c r="J5" s="86" t="str">
        <f t="shared" si="1"/>
        <v>4002104</v>
      </c>
      <c r="K5" s="84" t="s">
        <v>198</v>
      </c>
      <c r="L5" s="87" t="s">
        <v>199</v>
      </c>
      <c r="M5" s="127" t="s">
        <v>358</v>
      </c>
      <c r="N5" s="57" t="s">
        <v>200</v>
      </c>
    </row>
    <row r="6" spans="1:14" ht="42" x14ac:dyDescent="0.15">
      <c r="A6" s="81" t="s">
        <v>340</v>
      </c>
      <c r="B6" s="82">
        <f>floors!$C$2</f>
        <v>40021</v>
      </c>
      <c r="C6" s="83" t="str">
        <f ca="1">VLOOKUP($B6,OFFSET([2]quests!$A$1,0,0,COUNTA([2]quests!$A:$A),MATCH(C$1,[2]quests!$1:$1,0)-MATCH($B$1,[2]quests!$1:$1,0)+1),MATCH(C$1,[2]quests!$1:$1,0)-MATCH($B$1,[2]quests!$1:$1,0)+1,FALSE)</f>
        <v>ルイ16世襲来！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降臨21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降臨21</v>
      </c>
      <c r="H6" s="85">
        <v>4</v>
      </c>
      <c r="I6" s="90">
        <f t="shared" si="0"/>
        <v>5</v>
      </c>
      <c r="J6" s="86" t="str">
        <f t="shared" si="1"/>
        <v>4002105</v>
      </c>
      <c r="K6" s="84" t="s">
        <v>198</v>
      </c>
      <c r="L6" s="87" t="s">
        <v>199</v>
      </c>
      <c r="M6" s="127" t="s">
        <v>409</v>
      </c>
      <c r="N6" s="57" t="s">
        <v>200</v>
      </c>
    </row>
    <row r="7" spans="1:14" ht="42" x14ac:dyDescent="0.15">
      <c r="A7" s="81" t="s">
        <v>340</v>
      </c>
      <c r="B7" s="82">
        <f>floors!$C$2</f>
        <v>40021</v>
      </c>
      <c r="C7" s="83" t="str">
        <f ca="1">VLOOKUP($B7,OFFSET([2]quests!$A$1,0,0,COUNTA([2]quests!$A:$A),MATCH(C$1,[2]quests!$1:$1,0)-MATCH($B$1,[2]quests!$1:$1,0)+1),MATCH(C$1,[2]quests!$1:$1,0)-MATCH($B$1,[2]quests!$1:$1,0)+1,FALSE)</f>
        <v>ルイ16世襲来！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降臨21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降臨21</v>
      </c>
      <c r="H7" s="85">
        <v>4</v>
      </c>
      <c r="I7" s="90">
        <f t="shared" si="0"/>
        <v>6</v>
      </c>
      <c r="J7" s="86" t="str">
        <f t="shared" si="1"/>
        <v>4002106</v>
      </c>
      <c r="K7" s="84" t="s">
        <v>198</v>
      </c>
      <c r="L7" s="87" t="s">
        <v>199</v>
      </c>
      <c r="M7" s="127" t="s">
        <v>351</v>
      </c>
      <c r="N7" s="57" t="s">
        <v>200</v>
      </c>
    </row>
    <row r="8" spans="1:14" ht="56" x14ac:dyDescent="0.15">
      <c r="A8" s="81" t="s">
        <v>340</v>
      </c>
      <c r="B8" s="82">
        <f>floors!$C$2</f>
        <v>40021</v>
      </c>
      <c r="C8" s="83" t="str">
        <f ca="1">VLOOKUP($B8,OFFSET([2]quests!$A$1,0,0,COUNTA([2]quests!$A:$A),MATCH(C$1,[2]quests!$1:$1,0)-MATCH($B$1,[2]quests!$1:$1,0)+1),MATCH(C$1,[2]quests!$1:$1,0)-MATCH($B$1,[2]quests!$1:$1,0)+1,FALSE)</f>
        <v>ルイ16世襲来！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降臨21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降臨21</v>
      </c>
      <c r="H8" s="85">
        <v>4</v>
      </c>
      <c r="I8" s="90">
        <f t="shared" si="0"/>
        <v>7</v>
      </c>
      <c r="J8" s="86" t="str">
        <f t="shared" si="1"/>
        <v>4002107</v>
      </c>
      <c r="K8" s="84" t="s">
        <v>198</v>
      </c>
      <c r="L8" s="87" t="s">
        <v>199</v>
      </c>
      <c r="M8" s="127" t="s">
        <v>360</v>
      </c>
      <c r="N8" s="57" t="s">
        <v>200</v>
      </c>
    </row>
    <row r="9" spans="1:14" ht="42" x14ac:dyDescent="0.15">
      <c r="A9" s="81" t="s">
        <v>340</v>
      </c>
      <c r="B9" s="82">
        <f>floors!$C$2</f>
        <v>40021</v>
      </c>
      <c r="C9" s="83" t="str">
        <f ca="1">VLOOKUP($B9,OFFSET([2]quests!$A$1,0,0,COUNTA([2]quests!$A:$A),MATCH(C$1,[2]quests!$1:$1,0)-MATCH($B$1,[2]quests!$1:$1,0)+1),MATCH(C$1,[2]quests!$1:$1,0)-MATCH($B$1,[2]quests!$1:$1,0)+1,FALSE)</f>
        <v>ルイ16世襲来！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降臨21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降臨21</v>
      </c>
      <c r="H9" s="85">
        <v>4</v>
      </c>
      <c r="I9" s="90">
        <f t="shared" si="0"/>
        <v>8</v>
      </c>
      <c r="J9" s="86" t="str">
        <f t="shared" si="1"/>
        <v>4002108</v>
      </c>
      <c r="K9" s="84" t="s">
        <v>198</v>
      </c>
      <c r="L9" s="87" t="s">
        <v>199</v>
      </c>
      <c r="M9" s="127" t="s">
        <v>410</v>
      </c>
      <c r="N9" s="57" t="s">
        <v>200</v>
      </c>
    </row>
    <row r="10" spans="1:14" ht="28" x14ac:dyDescent="0.15">
      <c r="A10" s="81" t="s">
        <v>201</v>
      </c>
      <c r="B10" s="125">
        <f>floors!$C$2</f>
        <v>40021</v>
      </c>
      <c r="C10" s="83" t="str">
        <f ca="1">VLOOKUP($B10,OFFSET([2]quests!$A$1,0,0,COUNTA([2]quests!$A:$A),MATCH(C$1,[2]quests!$1:$1,0)-MATCH($B$1,[2]quests!$1:$1,0)+1),MATCH(C$1,[2]quests!$1:$1,0)-MATCH($B$1,[2]quests!$1:$1,0)+1,FALSE)</f>
        <v>ルイ16世襲来！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降臨21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降臨21</v>
      </c>
      <c r="H10" s="85">
        <v>0</v>
      </c>
      <c r="I10" s="90">
        <f t="shared" si="0"/>
        <v>9</v>
      </c>
      <c r="J10" s="86" t="str">
        <f t="shared" si="1"/>
        <v>4002109</v>
      </c>
      <c r="K10" s="84" t="s">
        <v>128</v>
      </c>
      <c r="L10" s="93" t="s">
        <v>403</v>
      </c>
      <c r="M10" s="135" t="s">
        <v>415</v>
      </c>
      <c r="N10" s="57" t="s">
        <v>211</v>
      </c>
    </row>
    <row r="11" spans="1:14" ht="28" x14ac:dyDescent="0.15">
      <c r="A11" s="81" t="s">
        <v>201</v>
      </c>
      <c r="B11" s="125">
        <f>floors!$C$2</f>
        <v>40021</v>
      </c>
      <c r="C11" s="83" t="str">
        <f ca="1">VLOOKUP($B11,OFFSET([2]quests!$A$1,0,0,COUNTA([2]quests!$A:$A),MATCH(C$1,[2]quests!$1:$1,0)-MATCH($B$1,[2]quests!$1:$1,0)+1),MATCH(C$1,[2]quests!$1:$1,0)-MATCH($B$1,[2]quests!$1:$1,0)+1,FALSE)</f>
        <v>ルイ16世襲来！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降臨21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降臨21</v>
      </c>
      <c r="H11" s="85">
        <v>0</v>
      </c>
      <c r="I11" s="90">
        <f t="shared" si="0"/>
        <v>10</v>
      </c>
      <c r="J11" s="86" t="str">
        <f t="shared" si="1"/>
        <v>4002110</v>
      </c>
      <c r="K11" s="84" t="s">
        <v>128</v>
      </c>
      <c r="L11" s="93" t="s">
        <v>406</v>
      </c>
      <c r="M11" s="135" t="s">
        <v>400</v>
      </c>
      <c r="N11" s="57" t="s">
        <v>211</v>
      </c>
    </row>
    <row r="12" spans="1:14" ht="28" x14ac:dyDescent="0.15">
      <c r="A12" s="81" t="s">
        <v>201</v>
      </c>
      <c r="B12" s="125">
        <f>floors!$C$2</f>
        <v>40021</v>
      </c>
      <c r="C12" s="83" t="str">
        <f ca="1">VLOOKUP($B12,OFFSET([2]quests!$A$1,0,0,COUNTA([2]quests!$A:$A),MATCH(C$1,[2]quests!$1:$1,0)-MATCH($B$1,[2]quests!$1:$1,0)+1),MATCH(C$1,[2]quests!$1:$1,0)-MATCH($B$1,[2]quests!$1:$1,0)+1,FALSE)</f>
        <v>ルイ16世襲来！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降臨21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降臨21</v>
      </c>
      <c r="H12" s="85">
        <v>0</v>
      </c>
      <c r="I12" s="90">
        <f t="shared" si="0"/>
        <v>11</v>
      </c>
      <c r="J12" s="86" t="str">
        <f t="shared" si="1"/>
        <v>4002111</v>
      </c>
      <c r="K12" s="84" t="s">
        <v>128</v>
      </c>
      <c r="L12" s="93" t="s">
        <v>405</v>
      </c>
      <c r="M12" s="135" t="s">
        <v>401</v>
      </c>
      <c r="N12" s="57" t="s">
        <v>211</v>
      </c>
    </row>
    <row r="13" spans="1:14" ht="42" x14ac:dyDescent="0.15">
      <c r="A13" s="81" t="s">
        <v>201</v>
      </c>
      <c r="B13" s="125">
        <f>floors!$C$2</f>
        <v>40021</v>
      </c>
      <c r="C13" s="83" t="str">
        <f ca="1">VLOOKUP($B13,OFFSET([2]quests!$A$1,0,0,COUNTA([2]quests!$A:$A),MATCH(C$1,[2]quests!$1:$1,0)-MATCH($B$1,[2]quests!$1:$1,0)+1),MATCH(C$1,[2]quests!$1:$1,0)-MATCH($B$1,[2]quests!$1:$1,0)+1,FALSE)</f>
        <v>ルイ16世襲来！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降臨21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【超絶級】ルイ16世襲来 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降臨21</v>
      </c>
      <c r="H13" s="85">
        <v>0</v>
      </c>
      <c r="I13" s="90">
        <f t="shared" si="0"/>
        <v>12</v>
      </c>
      <c r="J13" s="86" t="str">
        <f t="shared" si="1"/>
        <v>4002112</v>
      </c>
      <c r="K13" s="84" t="s">
        <v>128</v>
      </c>
      <c r="L13" s="93" t="s">
        <v>404</v>
      </c>
      <c r="M13" s="135" t="s">
        <v>416</v>
      </c>
      <c r="N13" s="57" t="s">
        <v>211</v>
      </c>
    </row>
    <row r="14" spans="1:14" ht="42" x14ac:dyDescent="0.15">
      <c r="A14" s="81" t="s">
        <v>197</v>
      </c>
      <c r="B14" s="82">
        <f>floors!$C$2</f>
        <v>40021</v>
      </c>
      <c r="C14" s="83" t="str">
        <f ca="1">VLOOKUP($B14,OFFSET([2]quests!$A$1,0,0,COUNTA([2]quests!$A:$A),MATCH(C$1,[2]quests!$1:$1,0)-MATCH($B$1,[2]quests!$1:$1,0)+1),MATCH(C$1,[2]quests!$1:$1,0)-MATCH($B$1,[2]quests!$1:$1,0)+1,FALSE)</f>
        <v>ルイ16世襲来！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降臨21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降臨21</v>
      </c>
      <c r="H14" s="85">
        <v>1</v>
      </c>
      <c r="I14" s="90">
        <f t="shared" si="0"/>
        <v>13</v>
      </c>
      <c r="J14" s="86" t="str">
        <f t="shared" ref="J14:J24" si="2">B14&amp;TEXT(I14,"00")</f>
        <v>4002113</v>
      </c>
      <c r="K14" s="84" t="s">
        <v>128</v>
      </c>
      <c r="L14" s="87" t="s">
        <v>199</v>
      </c>
      <c r="M14" s="127" t="s">
        <v>354</v>
      </c>
      <c r="N14" s="57" t="s">
        <v>200</v>
      </c>
    </row>
    <row r="15" spans="1:14" ht="28" x14ac:dyDescent="0.15">
      <c r="A15" s="81" t="s">
        <v>197</v>
      </c>
      <c r="B15" s="82">
        <f>floors!$C$2</f>
        <v>40021</v>
      </c>
      <c r="C15" s="83" t="str">
        <f ca="1">VLOOKUP($B15,OFFSET([2]quests!$A$1,0,0,COUNTA([2]quests!$A:$A),MATCH(C$1,[2]quests!$1:$1,0)-MATCH($B$1,[2]quests!$1:$1,0)+1),MATCH(C$1,[2]quests!$1:$1,0)-MATCH($B$1,[2]quests!$1:$1,0)+1,FALSE)</f>
        <v>ルイ16世襲来！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降臨21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降臨21</v>
      </c>
      <c r="H15" s="85">
        <v>2</v>
      </c>
      <c r="I15" s="90">
        <f t="shared" si="0"/>
        <v>14</v>
      </c>
      <c r="J15" s="86" t="str">
        <f t="shared" si="2"/>
        <v>4002114</v>
      </c>
      <c r="K15" s="84" t="s">
        <v>128</v>
      </c>
      <c r="L15" s="87" t="s">
        <v>199</v>
      </c>
      <c r="M15" s="127" t="s">
        <v>355</v>
      </c>
      <c r="N15" s="57" t="s">
        <v>200</v>
      </c>
    </row>
    <row r="16" spans="1:14" ht="28" x14ac:dyDescent="0.15">
      <c r="A16" s="81" t="s">
        <v>340</v>
      </c>
      <c r="B16" s="82">
        <f>floors!$C$2</f>
        <v>40021</v>
      </c>
      <c r="C16" s="83" t="str">
        <f ca="1">VLOOKUP($B16,OFFSET([2]quests!$A$1,0,0,COUNTA([2]quests!$A:$A),MATCH(C$1,[2]quests!$1:$1,0)-MATCH($B$1,[2]quests!$1:$1,0)+1),MATCH(C$1,[2]quests!$1:$1,0)-MATCH($B$1,[2]quests!$1:$1,0)+1,FALSE)</f>
        <v>ルイ16世襲来！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降臨21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降臨21</v>
      </c>
      <c r="H16" s="85">
        <v>2</v>
      </c>
      <c r="I16" s="90">
        <f t="shared" si="0"/>
        <v>15</v>
      </c>
      <c r="J16" s="86" t="str">
        <f t="shared" si="2"/>
        <v>4002115</v>
      </c>
      <c r="K16" s="84" t="s">
        <v>128</v>
      </c>
      <c r="L16" s="87" t="s">
        <v>199</v>
      </c>
      <c r="M16" s="127" t="s">
        <v>356</v>
      </c>
      <c r="N16" s="57" t="s">
        <v>200</v>
      </c>
    </row>
    <row r="17" spans="1:14" ht="42" x14ac:dyDescent="0.15">
      <c r="A17" s="81" t="s">
        <v>340</v>
      </c>
      <c r="B17" s="82">
        <f>floors!$C$2</f>
        <v>40021</v>
      </c>
      <c r="C17" s="83" t="str">
        <f ca="1">VLOOKUP($B17,OFFSET([2]quests!$A$1,0,0,COUNTA([2]quests!$A:$A),MATCH(C$1,[2]quests!$1:$1,0)-MATCH($B$1,[2]quests!$1:$1,0)+1),MATCH(C$1,[2]quests!$1:$1,0)-MATCH($B$1,[2]quests!$1:$1,0)+1,FALSE)</f>
        <v>ルイ16世襲来！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降臨21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降臨21</v>
      </c>
      <c r="H17" s="85">
        <v>3</v>
      </c>
      <c r="I17" s="90">
        <f t="shared" si="0"/>
        <v>16</v>
      </c>
      <c r="J17" s="86" t="str">
        <f t="shared" si="2"/>
        <v>4002116</v>
      </c>
      <c r="K17" s="84" t="s">
        <v>128</v>
      </c>
      <c r="L17" s="87" t="s">
        <v>199</v>
      </c>
      <c r="M17" s="127" t="s">
        <v>357</v>
      </c>
      <c r="N17" s="57" t="s">
        <v>200</v>
      </c>
    </row>
    <row r="18" spans="1:14" ht="42" x14ac:dyDescent="0.15">
      <c r="A18" s="81" t="s">
        <v>340</v>
      </c>
      <c r="B18" s="82">
        <f>floors!$C$2</f>
        <v>40021</v>
      </c>
      <c r="C18" s="83" t="str">
        <f ca="1">VLOOKUP($B18,OFFSET([2]quests!$A$1,0,0,COUNTA([2]quests!$A:$A),MATCH(C$1,[2]quests!$1:$1,0)-MATCH($B$1,[2]quests!$1:$1,0)+1),MATCH(C$1,[2]quests!$1:$1,0)-MATCH($B$1,[2]quests!$1:$1,0)+1,FALSE)</f>
        <v>ルイ16世襲来！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降臨21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降臨21</v>
      </c>
      <c r="H18" s="85">
        <v>3</v>
      </c>
      <c r="I18" s="90">
        <f t="shared" si="0"/>
        <v>17</v>
      </c>
      <c r="J18" s="86" t="str">
        <f t="shared" si="2"/>
        <v>4002117</v>
      </c>
      <c r="K18" s="84" t="s">
        <v>128</v>
      </c>
      <c r="L18" s="87" t="s">
        <v>199</v>
      </c>
      <c r="M18" s="127" t="s">
        <v>358</v>
      </c>
      <c r="N18" s="57" t="s">
        <v>200</v>
      </c>
    </row>
    <row r="19" spans="1:14" ht="28" x14ac:dyDescent="0.15">
      <c r="A19" s="81" t="s">
        <v>340</v>
      </c>
      <c r="B19" s="82">
        <f>floors!$C$2</f>
        <v>40021</v>
      </c>
      <c r="C19" s="83" t="str">
        <f ca="1">VLOOKUP($B19,OFFSET([2]quests!$A$1,0,0,COUNTA([2]quests!$A:$A),MATCH(C$1,[2]quests!$1:$1,0)-MATCH($B$1,[2]quests!$1:$1,0)+1),MATCH(C$1,[2]quests!$1:$1,0)-MATCH($B$1,[2]quests!$1:$1,0)+1,FALSE)</f>
        <v>ルイ16世襲来！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降臨21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降臨21</v>
      </c>
      <c r="H19" s="85">
        <v>4</v>
      </c>
      <c r="I19" s="90">
        <f t="shared" si="0"/>
        <v>18</v>
      </c>
      <c r="J19" s="86" t="str">
        <f t="shared" si="2"/>
        <v>4002118</v>
      </c>
      <c r="K19" s="84" t="s">
        <v>128</v>
      </c>
      <c r="L19" s="87" t="s">
        <v>199</v>
      </c>
      <c r="M19" s="127" t="s">
        <v>411</v>
      </c>
      <c r="N19" s="57" t="s">
        <v>200</v>
      </c>
    </row>
    <row r="20" spans="1:14" ht="42" x14ac:dyDescent="0.15">
      <c r="A20" s="81" t="s">
        <v>340</v>
      </c>
      <c r="B20" s="82">
        <f>floors!$C$2</f>
        <v>40021</v>
      </c>
      <c r="C20" s="83" t="str">
        <f ca="1">VLOOKUP($B20,OFFSET([2]quests!$A$1,0,0,COUNTA([2]quests!$A:$A),MATCH(C$1,[2]quests!$1:$1,0)-MATCH($B$1,[2]quests!$1:$1,0)+1),MATCH(C$1,[2]quests!$1:$1,0)-MATCH($B$1,[2]quests!$1:$1,0)+1,FALSE)</f>
        <v>ルイ16世襲来！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降臨21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降臨21</v>
      </c>
      <c r="H20" s="85">
        <v>4</v>
      </c>
      <c r="I20" s="90">
        <f t="shared" si="0"/>
        <v>19</v>
      </c>
      <c r="J20" s="86" t="str">
        <f t="shared" si="2"/>
        <v>4002119</v>
      </c>
      <c r="K20" s="84" t="s">
        <v>128</v>
      </c>
      <c r="L20" s="87" t="s">
        <v>199</v>
      </c>
      <c r="M20" s="127" t="s">
        <v>359</v>
      </c>
      <c r="N20" s="57" t="s">
        <v>200</v>
      </c>
    </row>
    <row r="21" spans="1:14" ht="42" x14ac:dyDescent="0.15">
      <c r="A21" s="81" t="s">
        <v>340</v>
      </c>
      <c r="B21" s="82">
        <f>floors!$C$2</f>
        <v>40021</v>
      </c>
      <c r="C21" s="83" t="str">
        <f ca="1">VLOOKUP($B21,OFFSET([2]quests!$A$1,0,0,COUNTA([2]quests!$A:$A),MATCH(C$1,[2]quests!$1:$1,0)-MATCH($B$1,[2]quests!$1:$1,0)+1),MATCH(C$1,[2]quests!$1:$1,0)-MATCH($B$1,[2]quests!$1:$1,0)+1,FALSE)</f>
        <v>ルイ16世襲来！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降臨21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降臨21</v>
      </c>
      <c r="H21" s="85">
        <v>5</v>
      </c>
      <c r="I21" s="90">
        <f t="shared" si="0"/>
        <v>20</v>
      </c>
      <c r="J21" s="86" t="str">
        <f t="shared" si="2"/>
        <v>4002120</v>
      </c>
      <c r="K21" s="84" t="s">
        <v>128</v>
      </c>
      <c r="L21" s="87" t="s">
        <v>199</v>
      </c>
      <c r="M21" s="127" t="s">
        <v>412</v>
      </c>
      <c r="N21" s="57" t="s">
        <v>200</v>
      </c>
    </row>
    <row r="22" spans="1:14" ht="42" x14ac:dyDescent="0.15">
      <c r="A22" s="81" t="s">
        <v>340</v>
      </c>
      <c r="B22" s="82">
        <f>floors!$C$2</f>
        <v>40021</v>
      </c>
      <c r="C22" s="83" t="str">
        <f ca="1">VLOOKUP($B22,OFFSET([2]quests!$A$1,0,0,COUNTA([2]quests!$A:$A),MATCH(C$1,[2]quests!$1:$1,0)-MATCH($B$1,[2]quests!$1:$1,0)+1),MATCH(C$1,[2]quests!$1:$1,0)-MATCH($B$1,[2]quests!$1:$1,0)+1,FALSE)</f>
        <v>ルイ16世襲来！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降臨21</v>
      </c>
      <c r="E22" s="84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降臨21</v>
      </c>
      <c r="H22" s="85">
        <v>5</v>
      </c>
      <c r="I22" s="90">
        <f t="shared" si="0"/>
        <v>21</v>
      </c>
      <c r="J22" s="86" t="str">
        <f t="shared" si="2"/>
        <v>4002121</v>
      </c>
      <c r="K22" s="84" t="s">
        <v>128</v>
      </c>
      <c r="L22" s="87" t="s">
        <v>199</v>
      </c>
      <c r="M22" s="127" t="s">
        <v>413</v>
      </c>
      <c r="N22" s="57" t="s">
        <v>200</v>
      </c>
    </row>
    <row r="23" spans="1:14" ht="56" x14ac:dyDescent="0.15">
      <c r="A23" s="81" t="s">
        <v>340</v>
      </c>
      <c r="B23" s="82">
        <f>floors!$C$2</f>
        <v>40021</v>
      </c>
      <c r="C23" s="83" t="str">
        <f ca="1">VLOOKUP($B23,OFFSET([2]quests!$A$1,0,0,COUNTA([2]quests!$A:$A),MATCH(C$1,[2]quests!$1:$1,0)-MATCH($B$1,[2]quests!$1:$1,0)+1),MATCH(C$1,[2]quests!$1:$1,0)-MATCH($B$1,[2]quests!$1:$1,0)+1,FALSE)</f>
        <v>ルイ16世襲来！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降臨21</v>
      </c>
      <c r="E23" s="84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降臨21</v>
      </c>
      <c r="H23" s="85">
        <v>5</v>
      </c>
      <c r="I23" s="90">
        <f t="shared" si="0"/>
        <v>22</v>
      </c>
      <c r="J23" s="86" t="str">
        <f t="shared" si="2"/>
        <v>4002122</v>
      </c>
      <c r="K23" s="84" t="s">
        <v>128</v>
      </c>
      <c r="L23" s="87" t="s">
        <v>199</v>
      </c>
      <c r="M23" s="127" t="s">
        <v>360</v>
      </c>
      <c r="N23" s="57" t="s">
        <v>200</v>
      </c>
    </row>
    <row r="24" spans="1:14" ht="42" x14ac:dyDescent="0.15">
      <c r="A24" s="81" t="s">
        <v>340</v>
      </c>
      <c r="B24" s="82">
        <f>floors!$C$2</f>
        <v>40021</v>
      </c>
      <c r="C24" s="83" t="str">
        <f ca="1">VLOOKUP($B24,OFFSET([2]quests!$A$1,0,0,COUNTA([2]quests!$A:$A),MATCH(C$1,[2]quests!$1:$1,0)-MATCH($B$1,[2]quests!$1:$1,0)+1),MATCH(C$1,[2]quests!$1:$1,0)-MATCH($B$1,[2]quests!$1:$1,0)+1,FALSE)</f>
        <v>ルイ16世襲来！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降臨21</v>
      </c>
      <c r="E24" s="84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降臨21</v>
      </c>
      <c r="H24" s="85">
        <v>5</v>
      </c>
      <c r="I24" s="90">
        <f t="shared" si="0"/>
        <v>23</v>
      </c>
      <c r="J24" s="86" t="str">
        <f t="shared" si="2"/>
        <v>4002123</v>
      </c>
      <c r="K24" s="84" t="s">
        <v>128</v>
      </c>
      <c r="L24" s="87" t="s">
        <v>199</v>
      </c>
      <c r="M24" s="127" t="s">
        <v>414</v>
      </c>
      <c r="N24" s="57" t="s">
        <v>200</v>
      </c>
    </row>
    <row r="25" spans="1:14" ht="28" x14ac:dyDescent="0.15">
      <c r="A25" s="81" t="s">
        <v>201</v>
      </c>
      <c r="B25" s="125">
        <f>floors!$C$2</f>
        <v>40021</v>
      </c>
      <c r="C25" s="83" t="str">
        <f ca="1">VLOOKUP($B25,OFFSET([2]quests!$A$1,0,0,COUNTA([2]quests!$A:$A),MATCH(C$1,[2]quests!$1:$1,0)-MATCH($B$1,[2]quests!$1:$1,0)+1),MATCH(C$1,[2]quests!$1:$1,0)-MATCH($B$1,[2]quests!$1:$1,0)+1,FALSE)</f>
        <v>ルイ16世襲来！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降臨21</v>
      </c>
      <c r="E25" s="84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降臨21</v>
      </c>
      <c r="H25" s="85">
        <v>0</v>
      </c>
      <c r="I25" s="90">
        <f t="shared" si="0"/>
        <v>24</v>
      </c>
      <c r="J25" s="86" t="str">
        <f t="shared" ref="J25:J28" si="3">B25&amp;TEXT(I25,"00")</f>
        <v>4002124</v>
      </c>
      <c r="K25" s="84" t="s">
        <v>128</v>
      </c>
      <c r="L25" s="93" t="s">
        <v>403</v>
      </c>
      <c r="M25" s="135" t="s">
        <v>399</v>
      </c>
      <c r="N25" s="57" t="s">
        <v>211</v>
      </c>
    </row>
    <row r="26" spans="1:14" ht="28" x14ac:dyDescent="0.15">
      <c r="A26" s="81" t="s">
        <v>201</v>
      </c>
      <c r="B26" s="125">
        <f>floors!$C$2</f>
        <v>40021</v>
      </c>
      <c r="C26" s="83" t="str">
        <f ca="1">VLOOKUP($B26,OFFSET([2]quests!$A$1,0,0,COUNTA([2]quests!$A:$A),MATCH(C$1,[2]quests!$1:$1,0)-MATCH($B$1,[2]quests!$1:$1,0)+1),MATCH(C$1,[2]quests!$1:$1,0)-MATCH($B$1,[2]quests!$1:$1,0)+1,FALSE)</f>
        <v>ルイ16世襲来！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降臨21</v>
      </c>
      <c r="E26" s="84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降臨21</v>
      </c>
      <c r="H26" s="85">
        <v>0</v>
      </c>
      <c r="I26" s="90">
        <f t="shared" si="0"/>
        <v>25</v>
      </c>
      <c r="J26" s="86" t="str">
        <f t="shared" si="3"/>
        <v>4002125</v>
      </c>
      <c r="K26" s="84" t="s">
        <v>128</v>
      </c>
      <c r="L26" s="93" t="s">
        <v>406</v>
      </c>
      <c r="M26" s="135" t="s">
        <v>400</v>
      </c>
      <c r="N26" s="57" t="s">
        <v>211</v>
      </c>
    </row>
    <row r="27" spans="1:14" ht="28" x14ac:dyDescent="0.15">
      <c r="A27" s="81" t="s">
        <v>201</v>
      </c>
      <c r="B27" s="125">
        <f>floors!$C$2</f>
        <v>40021</v>
      </c>
      <c r="C27" s="83" t="str">
        <f ca="1">VLOOKUP($B27,OFFSET([2]quests!$A$1,0,0,COUNTA([2]quests!$A:$A),MATCH(C$1,[2]quests!$1:$1,0)-MATCH($B$1,[2]quests!$1:$1,0)+1),MATCH(C$1,[2]quests!$1:$1,0)-MATCH($B$1,[2]quests!$1:$1,0)+1,FALSE)</f>
        <v>ルイ16世襲来！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降臨21</v>
      </c>
      <c r="E27" s="84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降臨21</v>
      </c>
      <c r="H27" s="85">
        <v>0</v>
      </c>
      <c r="I27" s="90">
        <f t="shared" si="0"/>
        <v>26</v>
      </c>
      <c r="J27" s="86" t="str">
        <f t="shared" si="3"/>
        <v>4002126</v>
      </c>
      <c r="K27" s="84" t="s">
        <v>128</v>
      </c>
      <c r="L27" s="93" t="s">
        <v>405</v>
      </c>
      <c r="M27" s="135" t="s">
        <v>401</v>
      </c>
      <c r="N27" s="57" t="s">
        <v>211</v>
      </c>
    </row>
    <row r="28" spans="1:14" ht="28" x14ac:dyDescent="0.15">
      <c r="A28" s="81" t="s">
        <v>201</v>
      </c>
      <c r="B28" s="125">
        <f>floors!$C$2</f>
        <v>40021</v>
      </c>
      <c r="C28" s="83" t="str">
        <f ca="1">VLOOKUP($B28,OFFSET([2]quests!$A$1,0,0,COUNTA([2]quests!$A:$A),MATCH(C$1,[2]quests!$1:$1,0)-MATCH($B$1,[2]quests!$1:$1,0)+1),MATCH(C$1,[2]quests!$1:$1,0)-MATCH($B$1,[2]quests!$1:$1,0)+1,FALSE)</f>
        <v>ルイ16世襲来！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降臨21</v>
      </c>
      <c r="E28" s="84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降臨21</v>
      </c>
      <c r="H28" s="85">
        <v>0</v>
      </c>
      <c r="I28" s="90">
        <f t="shared" si="0"/>
        <v>27</v>
      </c>
      <c r="J28" s="86" t="str">
        <f t="shared" si="3"/>
        <v>4002127</v>
      </c>
      <c r="K28" s="84" t="s">
        <v>128</v>
      </c>
      <c r="L28" s="93" t="s">
        <v>404</v>
      </c>
      <c r="M28" s="135" t="s">
        <v>402</v>
      </c>
      <c r="N28" s="57" t="s">
        <v>211</v>
      </c>
    </row>
  </sheetData>
  <phoneticPr fontId="5"/>
  <dataValidations count="1">
    <dataValidation type="list" allowBlank="1" showInputMessage="1" showErrorMessage="1" sqref="A2:A2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D6" sqref="D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2" width="5.83203125" bestFit="1" customWidth="1"/>
    <col min="13" max="13" width="9" bestFit="1" customWidth="1"/>
    <col min="14" max="14" width="9.6640625" bestFit="1" customWidth="1"/>
    <col min="15" max="15" width="12" customWidth="1" outlineLevel="1"/>
    <col min="16" max="16" width="10" bestFit="1" customWidth="1"/>
    <col min="17" max="17" width="4.5" bestFit="1" customWidth="1"/>
    <col min="18" max="18" width="7.6640625" bestFit="1" customWidth="1"/>
    <col min="19" max="19" width="6.33203125" bestFit="1" customWidth="1"/>
    <col min="20" max="20" width="9" bestFit="1" customWidth="1"/>
    <col min="21" max="21" width="10.164062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214</v>
      </c>
      <c r="B1" s="96" t="s">
        <v>215</v>
      </c>
      <c r="C1" s="77" t="s">
        <v>216</v>
      </c>
      <c r="D1" s="77" t="s">
        <v>33</v>
      </c>
      <c r="E1" s="96" t="s">
        <v>217</v>
      </c>
      <c r="F1" s="77" t="s">
        <v>218</v>
      </c>
      <c r="G1" s="77" t="s">
        <v>33</v>
      </c>
      <c r="H1" s="96" t="s">
        <v>219</v>
      </c>
      <c r="I1" s="96" t="s">
        <v>220</v>
      </c>
      <c r="J1" s="96" t="s">
        <v>221</v>
      </c>
      <c r="K1" s="73" t="s">
        <v>222</v>
      </c>
      <c r="L1" s="73" t="s">
        <v>223</v>
      </c>
      <c r="M1" s="73" t="s">
        <v>157</v>
      </c>
      <c r="N1" s="77" t="s">
        <v>16</v>
      </c>
      <c r="O1" s="73" t="s">
        <v>224</v>
      </c>
      <c r="P1" s="73" t="s">
        <v>57</v>
      </c>
      <c r="Q1" s="73" t="s">
        <v>225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226</v>
      </c>
      <c r="X1" s="73" t="s">
        <v>227</v>
      </c>
    </row>
    <row r="2" spans="1:24" x14ac:dyDescent="0.15">
      <c r="A2" s="129" t="str">
        <f>B2&amp;"_"&amp;E2&amp;"_"&amp;H2&amp;"_"&amp;I2&amp;"_"&amp;J2</f>
        <v>40021_2_everyone_no_continue_1</v>
      </c>
      <c r="B2" s="82">
        <v>40021</v>
      </c>
      <c r="C2" s="83" t="str">
        <f ca="1">VLOOKUP($B2,OFFSET([2]quests!$A$1,0,0,COUNTA([2]quests!$A:$A),MATCH(C$1,[2]quests!$1:$1,0)-MATCH($B$1,[2]quests!$1:$1,0)+1),MATCH(C$1,[2]quests!$1:$1,0)-MATCH($B$1,[2]quests!$1:$1,0)+1,FALSE)</f>
        <v>ルイ16世襲来！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降臨21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【ウィザード級】ルイ16世襲来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降臨21</v>
      </c>
      <c r="H2" s="85" t="s">
        <v>368</v>
      </c>
      <c r="I2" s="84" t="s">
        <v>369</v>
      </c>
      <c r="J2" s="84">
        <v>1</v>
      </c>
      <c r="K2" s="84">
        <v>100</v>
      </c>
      <c r="L2" s="130" t="s">
        <v>370</v>
      </c>
      <c r="M2" s="131">
        <v>935</v>
      </c>
      <c r="N2" s="13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ルイ16世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33" t="s">
        <v>371</v>
      </c>
      <c r="X2" s="134" t="s">
        <v>372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2016-07-22T03:39:10Z</dcterms:modified>
</cp:coreProperties>
</file>