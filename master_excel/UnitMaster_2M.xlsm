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2160" yWindow="1840" windowWidth="26640" windowHeight="148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ghosts_label" sheetId="56" r:id="rId7"/>
    <sheet name="→base値" sheetId="51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2" i="23"/>
  <c r="BR2" i="23"/>
  <c r="H3" i="52"/>
  <c r="H4" i="52"/>
  <c r="G29" i="54"/>
  <c r="G31" i="54"/>
  <c r="G33" i="54"/>
  <c r="B33" i="54"/>
  <c r="G28" i="54"/>
  <c r="G30" i="54"/>
  <c r="G32" i="54"/>
  <c r="B32" i="54"/>
  <c r="B31" i="54"/>
  <c r="B30" i="54"/>
  <c r="B29" i="54"/>
  <c r="B28" i="54"/>
  <c r="B27" i="54"/>
  <c r="B26" i="54"/>
  <c r="G4" i="53"/>
  <c r="E4" i="53"/>
  <c r="J4" i="52"/>
  <c r="E4" i="52"/>
  <c r="G13" i="23"/>
  <c r="BC13" i="23"/>
  <c r="BD13" i="23"/>
  <c r="W13" i="23"/>
  <c r="AC13" i="23"/>
  <c r="I13" i="23"/>
  <c r="L13" i="23"/>
  <c r="BM13" i="23"/>
  <c r="BE13" i="23"/>
  <c r="BI13" i="23"/>
  <c r="J13" i="23"/>
  <c r="BF13" i="23"/>
  <c r="AX13" i="23"/>
  <c r="AW13" i="23"/>
  <c r="AV13" i="23"/>
  <c r="AU13" i="23"/>
  <c r="AS13" i="23"/>
  <c r="AR13" i="23"/>
  <c r="AQ13" i="23"/>
  <c r="AL13" i="23"/>
  <c r="AK13" i="23"/>
  <c r="AI13" i="23"/>
  <c r="AG13" i="23"/>
  <c r="AH13" i="23"/>
  <c r="AF13" i="23"/>
  <c r="AD13" i="23"/>
  <c r="AB13" i="23"/>
  <c r="AA13" i="23"/>
  <c r="Y13" i="23"/>
  <c r="Z13" i="23"/>
  <c r="X13" i="23"/>
  <c r="Q13" i="23"/>
  <c r="V13" i="23"/>
  <c r="R13" i="23"/>
  <c r="O13" i="23"/>
  <c r="N13" i="23"/>
  <c r="M13" i="23"/>
  <c r="K13" i="23"/>
  <c r="F13" i="23"/>
  <c r="E13" i="23"/>
  <c r="D13" i="23"/>
  <c r="C13" i="23"/>
  <c r="B13" i="23"/>
  <c r="G12" i="23"/>
  <c r="BC12" i="23"/>
  <c r="BD12" i="23"/>
  <c r="W12" i="23"/>
  <c r="AC12" i="23"/>
  <c r="I12" i="23"/>
  <c r="L12" i="23"/>
  <c r="BM12" i="23"/>
  <c r="BE12" i="23"/>
  <c r="BI12" i="23"/>
  <c r="J12" i="23"/>
  <c r="BF12" i="23"/>
  <c r="AX12" i="23"/>
  <c r="AW12" i="23"/>
  <c r="AV12" i="23"/>
  <c r="AU12" i="23"/>
  <c r="AS12" i="23"/>
  <c r="AR12" i="23"/>
  <c r="AQ12" i="23"/>
  <c r="AL12" i="23"/>
  <c r="AK12" i="23"/>
  <c r="AI12" i="23"/>
  <c r="AG12" i="23"/>
  <c r="AH12" i="23"/>
  <c r="AF12" i="23"/>
  <c r="AD12" i="23"/>
  <c r="AB12" i="23"/>
  <c r="AA12" i="23"/>
  <c r="Y12" i="23"/>
  <c r="Z12" i="23"/>
  <c r="X12" i="23"/>
  <c r="Q12" i="23"/>
  <c r="V12" i="23"/>
  <c r="R12" i="23"/>
  <c r="O12" i="23"/>
  <c r="N12" i="23"/>
  <c r="M12" i="23"/>
  <c r="K12" i="23"/>
  <c r="F12" i="23"/>
  <c r="E12" i="23"/>
  <c r="D12" i="23"/>
  <c r="C12" i="23"/>
  <c r="B12" i="23"/>
  <c r="G11" i="23"/>
  <c r="BC11" i="23"/>
  <c r="BD11" i="23"/>
  <c r="W11" i="23"/>
  <c r="AC11" i="23"/>
  <c r="I11" i="23"/>
  <c r="L11" i="23"/>
  <c r="BM11" i="23"/>
  <c r="BE11" i="23"/>
  <c r="BI11" i="23"/>
  <c r="J11" i="23"/>
  <c r="BF11" i="23"/>
  <c r="AX11" i="23"/>
  <c r="AW11" i="23"/>
  <c r="AV11" i="23"/>
  <c r="AU11" i="23"/>
  <c r="AS11" i="23"/>
  <c r="AR11" i="23"/>
  <c r="AQ11" i="23"/>
  <c r="AL11" i="23"/>
  <c r="AK11" i="23"/>
  <c r="AI11" i="23"/>
  <c r="AG11" i="23"/>
  <c r="AH11" i="23"/>
  <c r="AF11" i="23"/>
  <c r="AD11" i="23"/>
  <c r="AB11" i="23"/>
  <c r="AA11" i="23"/>
  <c r="Y11" i="23"/>
  <c r="Z11" i="23"/>
  <c r="X11" i="23"/>
  <c r="Q11" i="23"/>
  <c r="V11" i="23"/>
  <c r="R11" i="23"/>
  <c r="O11" i="23"/>
  <c r="N11" i="23"/>
  <c r="M11" i="23"/>
  <c r="K11" i="23"/>
  <c r="F11" i="23"/>
  <c r="E11" i="23"/>
  <c r="D11" i="23"/>
  <c r="C11" i="23"/>
  <c r="B11" i="23"/>
  <c r="G10" i="23"/>
  <c r="BC10" i="23"/>
  <c r="BD10" i="23"/>
  <c r="W10" i="23"/>
  <c r="AC10" i="23"/>
  <c r="I10" i="23"/>
  <c r="L10" i="23"/>
  <c r="BM10" i="23"/>
  <c r="BE10" i="23"/>
  <c r="BI10" i="23"/>
  <c r="J10" i="23"/>
  <c r="BF10" i="23"/>
  <c r="AX10" i="23"/>
  <c r="AW10" i="23"/>
  <c r="AV10" i="23"/>
  <c r="AU10" i="23"/>
  <c r="AS10" i="23"/>
  <c r="AR10" i="23"/>
  <c r="AQ10" i="23"/>
  <c r="AL10" i="23"/>
  <c r="AK10" i="23"/>
  <c r="AI10" i="23"/>
  <c r="AG10" i="23"/>
  <c r="AH10" i="23"/>
  <c r="AF10" i="23"/>
  <c r="AD10" i="23"/>
  <c r="AB10" i="23"/>
  <c r="AA10" i="23"/>
  <c r="Y10" i="23"/>
  <c r="Z10" i="23"/>
  <c r="X10" i="23"/>
  <c r="Q10" i="23"/>
  <c r="V10" i="23"/>
  <c r="R10" i="23"/>
  <c r="O10" i="23"/>
  <c r="N10" i="23"/>
  <c r="M10" i="23"/>
  <c r="K10" i="23"/>
  <c r="F10" i="23"/>
  <c r="E10" i="23"/>
  <c r="D10" i="23"/>
  <c r="C10" i="23"/>
  <c r="B10" i="23"/>
  <c r="G6" i="23"/>
  <c r="BC6" i="23"/>
  <c r="BD6" i="23"/>
  <c r="W6" i="23"/>
  <c r="AC6" i="23"/>
  <c r="I6" i="23"/>
  <c r="L6" i="23"/>
  <c r="BM6" i="23"/>
  <c r="G7" i="23"/>
  <c r="BC7" i="23"/>
  <c r="BD7" i="23"/>
  <c r="W7" i="23"/>
  <c r="AC7" i="23"/>
  <c r="I7" i="23"/>
  <c r="L7" i="23"/>
  <c r="BM7" i="23"/>
  <c r="G8" i="23"/>
  <c r="BC8" i="23"/>
  <c r="BD8" i="23"/>
  <c r="W8" i="23"/>
  <c r="AC8" i="23"/>
  <c r="I8" i="23"/>
  <c r="L8" i="23"/>
  <c r="BM8" i="23"/>
  <c r="G9" i="23"/>
  <c r="BC9" i="23"/>
  <c r="BD9" i="23"/>
  <c r="W9" i="23"/>
  <c r="AC9" i="23"/>
  <c r="I9" i="23"/>
  <c r="L9" i="23"/>
  <c r="BM9" i="23"/>
  <c r="BE6" i="23"/>
  <c r="BI6" i="23"/>
  <c r="BE7" i="23"/>
  <c r="BI7" i="23"/>
  <c r="BE8" i="23"/>
  <c r="BI8" i="23"/>
  <c r="BE9" i="23"/>
  <c r="BI9" i="23"/>
  <c r="G21" i="54"/>
  <c r="G23" i="54"/>
  <c r="G25" i="54"/>
  <c r="B25" i="54"/>
  <c r="G20" i="54"/>
  <c r="G22" i="54"/>
  <c r="G24" i="54"/>
  <c r="B24" i="54"/>
  <c r="B23" i="54"/>
  <c r="B22" i="54"/>
  <c r="B21" i="54"/>
  <c r="B20" i="54"/>
  <c r="B19" i="54"/>
  <c r="B18" i="54"/>
  <c r="G3" i="53"/>
  <c r="E3" i="53"/>
  <c r="J3" i="52"/>
  <c r="E3" i="52"/>
  <c r="J9" i="23"/>
  <c r="BF9" i="23"/>
  <c r="AX9" i="23"/>
  <c r="AW9" i="23"/>
  <c r="AV9" i="23"/>
  <c r="AU9" i="23"/>
  <c r="AS9" i="23"/>
  <c r="AR9" i="23"/>
  <c r="AQ9" i="23"/>
  <c r="AL9" i="23"/>
  <c r="AK9" i="23"/>
  <c r="AI9" i="23"/>
  <c r="AG9" i="23"/>
  <c r="AH9" i="23"/>
  <c r="AF9" i="23"/>
  <c r="AD9" i="23"/>
  <c r="AB9" i="23"/>
  <c r="AA9" i="23"/>
  <c r="Y9" i="23"/>
  <c r="Z9" i="23"/>
  <c r="X9" i="23"/>
  <c r="Q9" i="23"/>
  <c r="V9" i="23"/>
  <c r="R9" i="23"/>
  <c r="O9" i="23"/>
  <c r="N9" i="23"/>
  <c r="M9" i="23"/>
  <c r="K9" i="23"/>
  <c r="F9" i="23"/>
  <c r="E9" i="23"/>
  <c r="D9" i="23"/>
  <c r="C9" i="23"/>
  <c r="B9" i="23"/>
  <c r="J8" i="23"/>
  <c r="BF8" i="23"/>
  <c r="AX8" i="23"/>
  <c r="AW8" i="23"/>
  <c r="AV8" i="23"/>
  <c r="AU8" i="23"/>
  <c r="AS8" i="23"/>
  <c r="AR8" i="23"/>
  <c r="AQ8" i="23"/>
  <c r="AL8" i="23"/>
  <c r="AK8" i="23"/>
  <c r="AI8" i="23"/>
  <c r="AG8" i="23"/>
  <c r="AH8" i="23"/>
  <c r="AF8" i="23"/>
  <c r="AD8" i="23"/>
  <c r="AB8" i="23"/>
  <c r="AA8" i="23"/>
  <c r="Y8" i="23"/>
  <c r="Z8" i="23"/>
  <c r="X8" i="23"/>
  <c r="Q8" i="23"/>
  <c r="V8" i="23"/>
  <c r="R8" i="23"/>
  <c r="O8" i="23"/>
  <c r="N8" i="23"/>
  <c r="M8" i="23"/>
  <c r="K8" i="23"/>
  <c r="F8" i="23"/>
  <c r="E8" i="23"/>
  <c r="D8" i="23"/>
  <c r="C8" i="23"/>
  <c r="B8" i="23"/>
  <c r="J7" i="23"/>
  <c r="BF7" i="23"/>
  <c r="AX7" i="23"/>
  <c r="AW7" i="23"/>
  <c r="AV7" i="23"/>
  <c r="AU7" i="23"/>
  <c r="AS7" i="23"/>
  <c r="AR7" i="23"/>
  <c r="AQ7" i="23"/>
  <c r="AL7" i="23"/>
  <c r="AK7" i="23"/>
  <c r="AI7" i="23"/>
  <c r="AG7" i="23"/>
  <c r="AH7" i="23"/>
  <c r="AF7" i="23"/>
  <c r="AD7" i="23"/>
  <c r="AB7" i="23"/>
  <c r="AA7" i="23"/>
  <c r="Y7" i="23"/>
  <c r="Z7" i="23"/>
  <c r="X7" i="23"/>
  <c r="Q7" i="23"/>
  <c r="V7" i="23"/>
  <c r="R7" i="23"/>
  <c r="O7" i="23"/>
  <c r="N7" i="23"/>
  <c r="M7" i="23"/>
  <c r="K7" i="23"/>
  <c r="F7" i="23"/>
  <c r="E7" i="23"/>
  <c r="D7" i="23"/>
  <c r="C7" i="23"/>
  <c r="B7" i="23"/>
  <c r="J6" i="23"/>
  <c r="BF6" i="23"/>
  <c r="AX6" i="23"/>
  <c r="AW6" i="23"/>
  <c r="AV6" i="23"/>
  <c r="AU6" i="23"/>
  <c r="AS6" i="23"/>
  <c r="AR6" i="23"/>
  <c r="AQ6" i="23"/>
  <c r="AL6" i="23"/>
  <c r="AK6" i="23"/>
  <c r="AI6" i="23"/>
  <c r="AG6" i="23"/>
  <c r="AH6" i="23"/>
  <c r="AF6" i="23"/>
  <c r="AD6" i="23"/>
  <c r="AB6" i="23"/>
  <c r="AA6" i="23"/>
  <c r="Y6" i="23"/>
  <c r="Z6" i="23"/>
  <c r="X6" i="23"/>
  <c r="Q6" i="23"/>
  <c r="V6" i="23"/>
  <c r="R6" i="23"/>
  <c r="O6" i="23"/>
  <c r="N6" i="23"/>
  <c r="M6" i="23"/>
  <c r="K6" i="23"/>
  <c r="F6" i="23"/>
  <c r="E6" i="23"/>
  <c r="D6" i="23"/>
  <c r="C6" i="23"/>
  <c r="B6" i="23"/>
  <c r="G5" i="54"/>
  <c r="G7" i="54"/>
  <c r="G9" i="54"/>
  <c r="G13" i="54"/>
  <c r="G15" i="54"/>
  <c r="G17" i="54"/>
  <c r="G4" i="54"/>
  <c r="G6" i="54"/>
  <c r="G8" i="54"/>
  <c r="G12" i="54"/>
  <c r="G14" i="54"/>
  <c r="G16" i="54"/>
  <c r="B17" i="54"/>
  <c r="B16" i="54"/>
  <c r="B15" i="54"/>
  <c r="B14" i="54"/>
  <c r="B13" i="54"/>
  <c r="B12" i="54"/>
  <c r="B11" i="54"/>
  <c r="B10" i="54"/>
  <c r="B9" i="54"/>
  <c r="B8" i="54"/>
  <c r="B7" i="54"/>
  <c r="B6" i="54"/>
  <c r="B5" i="54"/>
  <c r="B4" i="54"/>
  <c r="C3" i="49"/>
  <c r="C4" i="49"/>
  <c r="C5" i="49"/>
  <c r="C6" i="49"/>
  <c r="C7" i="49"/>
  <c r="C8" i="49"/>
  <c r="C9" i="49"/>
  <c r="C10" i="49"/>
  <c r="Q2" i="23"/>
  <c r="Q3" i="23"/>
  <c r="Q4" i="23"/>
  <c r="Q5" i="23"/>
  <c r="G5" i="23"/>
  <c r="O5" i="23"/>
  <c r="G4" i="23"/>
  <c r="O4" i="23"/>
  <c r="G3" i="23"/>
  <c r="O3" i="23"/>
  <c r="G2" i="23"/>
  <c r="O2" i="23"/>
  <c r="BC5" i="23"/>
  <c r="BD5" i="23"/>
  <c r="V5" i="23"/>
  <c r="W5" i="23"/>
  <c r="AD5" i="23"/>
  <c r="I5" i="23"/>
  <c r="M5" i="23"/>
  <c r="AC5" i="23"/>
  <c r="L5" i="23"/>
  <c r="BM5" i="23"/>
  <c r="AB5" i="23"/>
  <c r="K5" i="23"/>
  <c r="AA5" i="23"/>
  <c r="J5" i="23"/>
  <c r="BE5" i="23"/>
  <c r="BI5" i="23"/>
  <c r="I2" i="23"/>
  <c r="J2" i="23"/>
  <c r="BF5" i="23"/>
  <c r="AX5" i="23"/>
  <c r="AW5" i="23"/>
  <c r="AV5" i="23"/>
  <c r="G2" i="53"/>
  <c r="AU5" i="23"/>
  <c r="AS5" i="23"/>
  <c r="AR5" i="23"/>
  <c r="J2" i="52"/>
  <c r="AQ5" i="23"/>
  <c r="AL5" i="23"/>
  <c r="AK5" i="23"/>
  <c r="AI5" i="23"/>
  <c r="AG5" i="23"/>
  <c r="AH5" i="23"/>
  <c r="AF5" i="23"/>
  <c r="Y5" i="23"/>
  <c r="Z5" i="23"/>
  <c r="X5" i="23"/>
  <c r="R5" i="23"/>
  <c r="N5" i="23"/>
  <c r="F5" i="23"/>
  <c r="E5" i="23"/>
  <c r="D5" i="23"/>
  <c r="C5" i="23"/>
  <c r="B5" i="23"/>
  <c r="BC4" i="23"/>
  <c r="BD4" i="23"/>
  <c r="V4" i="23"/>
  <c r="W4" i="23"/>
  <c r="AD4" i="23"/>
  <c r="I4" i="23"/>
  <c r="M4" i="23"/>
  <c r="AC4" i="23"/>
  <c r="L4" i="23"/>
  <c r="BM4" i="23"/>
  <c r="AB4" i="23"/>
  <c r="K4" i="23"/>
  <c r="AA4" i="23"/>
  <c r="J4" i="23"/>
  <c r="BE4" i="23"/>
  <c r="BI4" i="23"/>
  <c r="BF4" i="23"/>
  <c r="AX4" i="23"/>
  <c r="AW4" i="23"/>
  <c r="AV4" i="23"/>
  <c r="AU4" i="23"/>
  <c r="AS4" i="23"/>
  <c r="AR4" i="23"/>
  <c r="AQ4" i="23"/>
  <c r="AL4" i="23"/>
  <c r="AK4" i="23"/>
  <c r="AI4" i="23"/>
  <c r="AG4" i="23"/>
  <c r="AH4" i="23"/>
  <c r="AF4" i="23"/>
  <c r="Y4" i="23"/>
  <c r="Z4" i="23"/>
  <c r="X4" i="23"/>
  <c r="R4" i="23"/>
  <c r="N4" i="23"/>
  <c r="F4" i="23"/>
  <c r="E4" i="23"/>
  <c r="D4" i="23"/>
  <c r="C4" i="23"/>
  <c r="B4" i="23"/>
  <c r="BC3" i="23"/>
  <c r="BD3" i="23"/>
  <c r="V3" i="23"/>
  <c r="W3" i="23"/>
  <c r="AD3" i="23"/>
  <c r="I3" i="23"/>
  <c r="M3" i="23"/>
  <c r="AC3" i="23"/>
  <c r="L3" i="23"/>
  <c r="BM3" i="23"/>
  <c r="AB3" i="23"/>
  <c r="K3" i="23"/>
  <c r="AA3" i="23"/>
  <c r="J3" i="23"/>
  <c r="BE3" i="23"/>
  <c r="BI3" i="23"/>
  <c r="BF3" i="23"/>
  <c r="AX3" i="23"/>
  <c r="AW3" i="23"/>
  <c r="AV3" i="23"/>
  <c r="AU3" i="23"/>
  <c r="AS3" i="23"/>
  <c r="AR3" i="23"/>
  <c r="AQ3" i="23"/>
  <c r="AL3" i="23"/>
  <c r="AK3" i="23"/>
  <c r="AI3" i="23"/>
  <c r="AG3" i="23"/>
  <c r="AH3" i="23"/>
  <c r="AF3" i="23"/>
  <c r="Y3" i="23"/>
  <c r="Z3" i="23"/>
  <c r="X3" i="23"/>
  <c r="R3" i="23"/>
  <c r="N3" i="23"/>
  <c r="F3" i="23"/>
  <c r="E3" i="23"/>
  <c r="D3" i="23"/>
  <c r="C3" i="23"/>
  <c r="B3" i="23"/>
  <c r="B2" i="23"/>
  <c r="BC2" i="23"/>
  <c r="BD2" i="23"/>
  <c r="V2" i="23"/>
  <c r="W2" i="23"/>
  <c r="AD2" i="23"/>
  <c r="M2" i="23"/>
  <c r="AB2" i="23"/>
  <c r="K2" i="23"/>
  <c r="AA2" i="23"/>
  <c r="B15" i="55"/>
  <c r="C15" i="55"/>
  <c r="D15" i="55"/>
  <c r="B16" i="55"/>
  <c r="C16" i="55"/>
  <c r="D16" i="55"/>
  <c r="D14" i="55"/>
  <c r="C14" i="55"/>
  <c r="B14" i="55"/>
  <c r="AX2" i="23"/>
  <c r="A21" i="55"/>
  <c r="G6" i="11"/>
  <c r="G5" i="11"/>
  <c r="G4" i="11"/>
  <c r="G3" i="11"/>
  <c r="G6" i="13"/>
  <c r="G5" i="13"/>
  <c r="G4" i="13"/>
  <c r="G3" i="13"/>
  <c r="A26" i="55"/>
  <c r="C2" i="23"/>
  <c r="D2" i="23"/>
  <c r="E2" i="23"/>
  <c r="F2" i="23"/>
  <c r="L2" i="23"/>
  <c r="N2" i="23"/>
  <c r="R2" i="23"/>
  <c r="X2" i="23"/>
  <c r="Y2" i="23"/>
  <c r="Z2" i="23"/>
  <c r="AC2" i="23"/>
  <c r="AF2" i="23"/>
  <c r="AG2" i="23"/>
  <c r="AH2" i="23"/>
  <c r="AI2" i="23"/>
  <c r="AK2" i="23"/>
  <c r="AL2" i="23"/>
  <c r="AQ2" i="23"/>
  <c r="AR2" i="23"/>
  <c r="AS2" i="23"/>
  <c r="AU2" i="23"/>
  <c r="AV2" i="23"/>
  <c r="AW2" i="23"/>
  <c r="BE2" i="23"/>
  <c r="BF2" i="23"/>
  <c r="BM2" i="23"/>
  <c r="BI2" i="2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3" i="54"/>
  <c r="B2" i="54"/>
  <c r="E2" i="53"/>
  <c r="H2" i="52"/>
  <c r="E2" i="52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<sst xmlns="http://schemas.openxmlformats.org/spreadsheetml/2006/main" count="790" uniqueCount="280">
  <si>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</si>
  <si>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</si>
  <si>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</si>
  <si>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</si>
  <si>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</si>
  <si>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</si>
  <si>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</si>
  <si>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</si>
  <si>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</si>
  <si>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</si>
  <si>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</si>
  <si>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</si>
  <si>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</si>
  <si>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</si>
  <si>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</si>
  <si>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</si>
  <si>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</si>
  <si>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</si>
  <si>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</si>
  <si>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</si>
  <si>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</si>
  <si>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</si>
  <si>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</si>
  <si>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</si>
  <si>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</si>
  <si>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</si>
  <si>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</si>
  <si>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</si>
  <si>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</si>
  <si>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</si>
  <si>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</si>
  <si>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</si>
  <si>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</si>
  <si>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</si>
  <si>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</si>
  <si>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</si>
  <si>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</si>
  <si>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</si>
  <si>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</si>
  <si>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</si>
  <si>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</si>
  <si>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</si>
  <si>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</si>
  <si>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</si>
  <si>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</si>
  <si>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</si>
  <si>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</si>
  <si>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</si>
  <si>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</si>
  <si>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</si>
  <si>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</si>
  <si>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</si>
  <si>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</si>
  <si>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</si>
  <si>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</si>
  <si>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</si>
  <si>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</si>
  <si>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</si>
  <si>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</si>
  <si>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</si>
  <si>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</si>
  <si>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</si>
  <si>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</si>
  <si>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</si>
  <si>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</si>
  <si>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</si>
  <si>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</si>
  <si>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</si>
  <si>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</si>
  <si>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</si>
  <si>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</si>
  <si>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</si>
  <si>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</si>
  <si>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</si>
  <si>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</si>
  <si>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</si>
  <si>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</si>
  <si>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</si>
  <si>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</si>
  <si>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</si>
  <si>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</si>
  <si>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</si>
  <si>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</si>
  <si>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</si>
  <si>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</si>
  <si>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</si>
  <si>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</si>
  <si>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</si>
  <si>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</si>
  <si>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</si>
  <si>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</si>
  <si>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</si>
  <si>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</si>
  <si>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</si>
  <si>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</si>
  <si>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</si>
  <si>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</si>
  <si>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</si>
  <si>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</si>
  <si>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</si>
  <si>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</si>
  <si>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</si>
  <si>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</si>
  <si>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</si>
  <si>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</si>
  <si>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</si>
  <si>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</si>
  <si>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</si>
  <si>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</si>
  <si>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</si>
  <si>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</si>
  <si>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</si>
  <si>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</si>
  <si>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</si>
  <si>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</si>
  <si>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</si>
  <si>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</si>
  <si>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</si>
  <si>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</si>
  <si>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</si>
  <si>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</si>
  <si>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</si>
  <si>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</si>
  <si>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</si>
  <si>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</si>
  <si>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</si>
  <si>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</si>
  <si>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</si>
  <si>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</si>
  <si>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</si>
  <si>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</si>
  <si>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</si>
  <si>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</si>
  <si>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</si>
  <si>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</si>
  <si>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</si>
  <si>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</si>
  <si>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</si>
  <si>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</si>
  <si>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</si>
  <si>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</si>
  <si>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</si>
  <si>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</si>
  <si>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</si>
  <si>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</si>
  <si>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</si>
  <si>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</si>
  <si>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</si>
  <si>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</si>
  <si>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</si>
  <si>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</si>
  <si>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</si>
  <si>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</si>
  <si>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</si>
  <si>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</si>
  <si>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</si>
  <si>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</si>
  <si>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</si>
  <si>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</si>
  <si>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</si>
  <si>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</si>
  <si>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</si>
  <si>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</si>
  <si>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</si>
  <si>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</si>
  <si>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</si>
  <si>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</si>
  <si>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</si>
  <si>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</si>
  <si>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</si>
  <si>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</si>
  <si>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</si>
  <si>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</si>
  <si>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</si>
  <si>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</si>
  <si>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</si>
  <si>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</si>
  <si>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</si>
  <si>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</si>
  <si>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</si>
  <si>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</si>
  <si>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</si>
  <si>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</si>
  <si>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</si>
  <si>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</si>
  <si>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</si>
  <si>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</si>
  <si>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</si>
  <si>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</si>
  <si>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</si>
  <si>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</si>
  <si>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</si>
  <si>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</si>
  <si>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</si>
  <si>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</si>
  <si>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</si>
  <si>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</si>
  <si>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</si>
  <si>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serif_id</t>
    <phoneticPr fontId="22"/>
  </si>
  <si>
    <t>language</t>
    <phoneticPr fontId="22"/>
  </si>
  <si>
    <t>serif</t>
    <phoneticPr fontId="22"/>
  </si>
  <si>
    <t>skill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</si>
  <si>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</si>
  <si>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</si>
  <si>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</si>
  <si>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</si>
  <si>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</si>
  <si>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</si>
  <si>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</si>
  <si>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</si>
  <si>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</si>
  <si>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</si>
  <si>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</si>
  <si>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</si>
  <si>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</si>
  <si>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</si>
  <si>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ラベル/レアリティ</t>
    <phoneticPr fontId="9"/>
  </si>
  <si>
    <t>PremiumL</t>
    <phoneticPr fontId="9"/>
  </si>
  <si>
    <t>-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</si>
  <si>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</si>
  <si>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</si>
  <si>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</si>
  <si>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</si>
  <si>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</si>
  <si>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</si>
  <si>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</si>
  <si>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</si>
  <si>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PremiumL</t>
    <phoneticPr fontId="9"/>
  </si>
  <si>
    <t>-</t>
    <phoneticPr fontId="9"/>
  </si>
  <si>
    <t>Material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</si>
  <si>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</si>
  <si>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</si>
  <si>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</si>
  <si>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</si>
  <si>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Drop2S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</si>
  <si>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</si>
  <si>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</si>
  <si>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</si>
  <si>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</si>
  <si>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</si>
  <si>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</si>
  <si>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</si>
  <si>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2M</t>
    <phoneticPr fontId="22"/>
  </si>
  <si>
    <t>old</t>
    <phoneticPr fontId="22"/>
  </si>
  <si>
    <t>200万DL ありがとうグヮ！</t>
    <rPh sb="3" eb="4">
      <t>マン</t>
    </rPh>
    <phoneticPr fontId="22"/>
  </si>
  <si>
    <t>ユニット強化の素材にすると100万経験値、
売却すれば100万ビットをGETできる！</t>
    <rPh sb="4" eb="6">
      <t>キョウカ</t>
    </rPh>
    <rPh sb="7" eb="9">
      <t>ソザイ</t>
    </rPh>
    <rPh sb="16" eb="17">
      <t>マン</t>
    </rPh>
    <rPh sb="17" eb="20">
      <t>ケイケンチ</t>
    </rPh>
    <rPh sb="22" eb="24">
      <t>バイキャク</t>
    </rPh>
    <rPh sb="30" eb="31">
      <t>マン</t>
    </rPh>
    <phoneticPr fontId="22"/>
  </si>
  <si>
    <t>これからも よろしくグヮッ！</t>
    <phoneticPr fontId="22"/>
  </si>
  <si>
    <t>old</t>
    <phoneticPr fontId="22"/>
  </si>
  <si>
    <t>old</t>
    <phoneticPr fontId="22"/>
  </si>
  <si>
    <t>200万DL ありがとうグヮ！</t>
    <rPh sb="3" eb="4">
      <t>マン</t>
    </rPh>
    <phoneticPr fontId="22"/>
  </si>
  <si>
    <t>100万DL ありがとうグヮ！</t>
    <rPh sb="3" eb="4">
      <t>マン</t>
    </rPh>
    <phoneticPr fontId="22"/>
  </si>
  <si>
    <t>giza</t>
  </si>
  <si>
    <t>効果はないグヮ
200万DL ありがとう！</t>
    <rPh sb="0" eb="2">
      <t>コウカ</t>
    </rPh>
    <rPh sb="11" eb="12">
      <t>マン</t>
    </rPh>
    <phoneticPr fontId="22"/>
  </si>
  <si>
    <t>みんなの おかげグヮ！</t>
    <phoneticPr fontId="22"/>
  </si>
  <si>
    <t>400万DL ありがとうグヮ！</t>
    <rPh sb="3" eb="4">
      <t>マン</t>
    </rPh>
    <phoneticPr fontId="22"/>
  </si>
  <si>
    <t>効果はないグヮ
400万DL ありがとう！</t>
    <rPh sb="0" eb="2">
      <t>コウカ</t>
    </rPh>
    <rPh sb="11" eb="12">
      <t>マン</t>
    </rPh>
    <phoneticPr fontId="22"/>
  </si>
  <si>
    <t>1周年 ありがとうグヮ！</t>
    <phoneticPr fontId="22"/>
  </si>
  <si>
    <t>効果はないグヮ
1周年 ありがとう！</t>
    <rPh sb="0" eb="2">
      <t>コウカ</t>
    </rPh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</si>
  <si>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</si>
  <si>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</si>
  <si>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</si>
  <si>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</si>
  <si>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</si>
  <si>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</si>
  <si>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</si>
  <si>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</si>
  <si>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</si>
  <si>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</si>
  <si>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</si>
  <si>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</si>
  <si>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</si>
  <si>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</si>
  <si>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</si>
  <si>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</si>
  <si>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</si>
  <si>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</si>
  <si>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</si>
  <si>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</si>
  <si>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</si>
  <si>
    <t>sell_ghosts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</si>
</sst>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4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31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460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6" fillId="11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4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1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2" borderId="8" xfId="0" applyFont="1" applyFill="1" applyBorder="1" applyAlignment="1">
      <alignment vertical="center"/>
    </xf>
    <xf numFmtId="0" fontId="16" fillId="12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1" borderId="4" xfId="0" applyFont="1" applyFill="1" applyBorder="1" applyAlignment="1">
      <alignment horizontal="center" vertical="center" wrapText="1"/>
    </xf>
    <xf numFmtId="0" fontId="16" fillId="11" borderId="6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vertical="center"/>
    </xf>
    <xf numFmtId="0" fontId="8" fillId="12" borderId="1" xfId="0" applyFont="1" applyFill="1" applyBorder="1" applyAlignment="1">
      <alignment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23" fillId="17" borderId="0" xfId="0" applyFont="1" applyFill="1"/>
    <xf numFmtId="0" fontId="16" fillId="0" borderId="4" xfId="0" applyFont="1" applyFill="1" applyBorder="1" applyAlignment="1">
      <alignment vertical="center"/>
    </xf>
    <xf numFmtId="0" fontId="13" fillId="13" borderId="4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2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9" fillId="15" borderId="12" xfId="0" applyFont="1" applyFill="1" applyBorder="1" applyAlignment="1">
      <alignment horizontal="left" vertical="center"/>
    </xf>
    <xf numFmtId="0" fontId="19" fillId="14" borderId="9" xfId="0" applyFont="1" applyFill="1" applyBorder="1" applyAlignment="1">
      <alignment horizontal="left" vertical="center"/>
    </xf>
    <xf numFmtId="0" fontId="19" fillId="14" borderId="10" xfId="0" applyFont="1" applyFill="1" applyBorder="1" applyAlignment="1">
      <alignment horizontal="left" vertical="center"/>
    </xf>
    <xf numFmtId="0" fontId="8" fillId="18" borderId="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vertical="center"/>
    </xf>
    <xf numFmtId="0" fontId="23" fillId="19" borderId="4" xfId="0" applyFont="1" applyFill="1" applyBorder="1"/>
    <xf numFmtId="0" fontId="0" fillId="19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12" fillId="20" borderId="4" xfId="0" applyFont="1" applyFill="1" applyBorder="1" applyAlignment="1">
      <alignment horizontal="center"/>
    </xf>
    <xf numFmtId="0" fontId="0" fillId="21" borderId="4" xfId="0" applyFill="1" applyBorder="1"/>
    <xf numFmtId="0" fontId="0" fillId="10" borderId="4" xfId="0" applyFill="1" applyBorder="1"/>
    <xf numFmtId="0" fontId="13" fillId="0" borderId="4" xfId="0" applyFont="1" applyFill="1" applyBorder="1" applyAlignment="1">
      <alignment vertical="center"/>
    </xf>
    <xf numFmtId="0" fontId="13" fillId="10" borderId="7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6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8" borderId="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5" fillId="8" borderId="17" xfId="0" applyFont="1" applyFill="1" applyBorder="1" applyAlignment="1">
      <alignment horizontal="left" vertical="center"/>
    </xf>
    <xf numFmtId="0" fontId="15" fillId="10" borderId="0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2" fillId="8" borderId="17" xfId="0" applyFont="1" applyFill="1" applyBorder="1" applyAlignment="1">
      <alignment horizontal="left" vertical="center"/>
    </xf>
    <xf numFmtId="0" fontId="15" fillId="1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5" fillId="8" borderId="19" xfId="0" applyFont="1" applyFill="1" applyBorder="1" applyAlignment="1">
      <alignment horizontal="left" vertical="center"/>
    </xf>
    <xf numFmtId="0" fontId="15" fillId="10" borderId="20" xfId="0" applyFont="1" applyFill="1" applyBorder="1" applyAlignment="1">
      <alignment horizontal="left" vertical="center"/>
    </xf>
    <xf numFmtId="0" fontId="15" fillId="7" borderId="10" xfId="0" applyFont="1" applyFill="1" applyBorder="1" applyAlignment="1">
      <alignment horizontal="left" vertical="center"/>
    </xf>
    <xf numFmtId="0" fontId="12" fillId="9" borderId="2" xfId="0" applyFont="1" applyFill="1" applyBorder="1" applyAlignment="1">
      <alignment horizontal="left" vertical="center"/>
    </xf>
    <xf numFmtId="0" fontId="15" fillId="8" borderId="10" xfId="0" applyFont="1" applyFill="1" applyBorder="1" applyAlignment="1">
      <alignment horizontal="left" vertical="center"/>
    </xf>
    <xf numFmtId="0" fontId="15" fillId="8" borderId="21" xfId="0" applyFont="1" applyFill="1" applyBorder="1" applyAlignment="1">
      <alignment horizontal="left" vertical="center"/>
    </xf>
    <xf numFmtId="0" fontId="19" fillId="16" borderId="2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20" xfId="0" applyFont="1" applyFill="1" applyBorder="1" applyAlignment="1">
      <alignment horizontal="left" vertical="center"/>
    </xf>
    <xf numFmtId="0" fontId="12" fillId="0" borderId="22" xfId="0" applyFont="1" applyFill="1" applyBorder="1" applyAlignment="1">
      <alignment horizontal="left" vertical="center"/>
    </xf>
    <xf numFmtId="0" fontId="16" fillId="7" borderId="10" xfId="0" applyFont="1" applyFill="1" applyBorder="1" applyAlignment="1">
      <alignment horizontal="left" vertical="center"/>
    </xf>
    <xf numFmtId="0" fontId="12" fillId="9" borderId="10" xfId="0" applyFont="1" applyFill="1" applyBorder="1" applyAlignment="1">
      <alignment horizontal="left" vertical="center"/>
    </xf>
    <xf numFmtId="0" fontId="12" fillId="9" borderId="12" xfId="0" applyFont="1" applyFill="1" applyBorder="1" applyAlignment="1">
      <alignment horizontal="left" vertical="center"/>
    </xf>
    <xf numFmtId="0" fontId="12" fillId="9" borderId="23" xfId="0" applyFont="1" applyFill="1" applyBorder="1" applyAlignment="1">
      <alignment horizontal="left" vertical="center"/>
    </xf>
    <xf numFmtId="0" fontId="19" fillId="14" borderId="22" xfId="0" applyFont="1" applyFill="1" applyBorder="1" applyAlignment="1">
      <alignment horizontal="left" vertical="center"/>
    </xf>
    <xf numFmtId="0" fontId="19" fillId="15" borderId="22" xfId="0" applyFont="1" applyFill="1" applyBorder="1" applyAlignment="1">
      <alignment horizontal="left" vertical="center"/>
    </xf>
    <xf numFmtId="0" fontId="16" fillId="13" borderId="4" xfId="0" applyFont="1" applyFill="1" applyBorder="1" applyAlignment="1">
      <alignment horizontal="right" vertical="center"/>
    </xf>
    <xf numFmtId="0" fontId="13" fillId="7" borderId="4" xfId="0" applyFont="1" applyFill="1" applyBorder="1" applyAlignment="1">
      <alignment vertical="center"/>
    </xf>
    <xf numFmtId="0" fontId="15" fillId="8" borderId="4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4" fillId="10" borderId="4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vertical="center"/>
    </xf>
    <xf numFmtId="0" fontId="16" fillId="23" borderId="4" xfId="0" applyFont="1" applyFill="1" applyBorder="1" applyAlignment="1">
      <alignment vertical="center"/>
    </xf>
    <xf numFmtId="0" fontId="26" fillId="0" borderId="4" xfId="0" applyFont="1" applyFill="1" applyBorder="1" applyAlignment="1">
      <alignment horizontal="right" vertical="center" wrapText="1"/>
    </xf>
    <xf numFmtId="0" fontId="26" fillId="0" borderId="4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righ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/>
    </xf>
    <xf numFmtId="0" fontId="0" fillId="7" borderId="4" xfId="0" applyFill="1" applyBorder="1"/>
    <xf numFmtId="0" fontId="13" fillId="0" borderId="7" xfId="0" applyFont="1" applyFill="1" applyBorder="1" applyAlignment="1">
      <alignment vertical="center"/>
    </xf>
  </cellXfs>
  <cellStyles count="460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赤字強調" xfId="4"/>
    <cellStyle name="青字強調" xfId="3"/>
  </cellStyles>
  <dxfs count="2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D2">
            <v>1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J1" workbookViewId="0">
      <selection activeCell="S16" sqref="S16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70" t="s">
        <v>131</v>
      </c>
      <c r="B1" s="70" t="s">
        <v>122</v>
      </c>
      <c r="C1" s="70" t="s">
        <v>123</v>
      </c>
      <c r="D1" s="70" t="s">
        <v>124</v>
      </c>
      <c r="E1" s="70" t="s">
        <v>125</v>
      </c>
      <c r="F1" s="70" t="s">
        <v>126</v>
      </c>
      <c r="G1" s="70" t="s">
        <v>127</v>
      </c>
      <c r="H1" s="70"/>
      <c r="I1" s="70"/>
      <c r="J1" s="70"/>
      <c r="K1" s="70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</row>
    <row r="2" spans="1:23" x14ac:dyDescent="0.15">
      <c r="A2" s="72" t="s">
        <v>243</v>
      </c>
      <c r="B2" s="72" t="s">
        <v>135</v>
      </c>
      <c r="C2" s="72" t="s">
        <v>242</v>
      </c>
      <c r="D2" s="72" t="s">
        <v>134</v>
      </c>
      <c r="E2" s="71" t="str">
        <f>B2&amp;C2&amp;D2</f>
        <v>units_2M.tmp</v>
      </c>
      <c r="F2" s="72" t="s">
        <v>130</v>
      </c>
      <c r="G2" s="126" t="s">
        <v>17</v>
      </c>
      <c r="H2" s="127" t="s">
        <v>102</v>
      </c>
      <c r="I2" s="127" t="s">
        <v>1</v>
      </c>
      <c r="J2" s="127" t="s">
        <v>3</v>
      </c>
      <c r="K2" s="127" t="s">
        <v>2</v>
      </c>
      <c r="L2" s="127" t="s">
        <v>104</v>
      </c>
      <c r="M2" s="127" t="s">
        <v>20</v>
      </c>
      <c r="N2" s="127" t="s">
        <v>109</v>
      </c>
      <c r="O2" s="127" t="s">
        <v>107</v>
      </c>
      <c r="P2" s="127" t="s">
        <v>45</v>
      </c>
      <c r="Q2" s="127" t="s">
        <v>63</v>
      </c>
      <c r="R2" s="72" t="s">
        <v>279</v>
      </c>
      <c r="S2" s="72"/>
      <c r="T2" s="72"/>
      <c r="U2" s="72"/>
      <c r="V2" s="72"/>
      <c r="W2" s="72"/>
    </row>
    <row r="3" spans="1:23" x14ac:dyDescent="0.15">
      <c r="A3" s="72" t="s">
        <v>190</v>
      </c>
      <c r="B3" s="72" t="s">
        <v>136</v>
      </c>
      <c r="C3" s="72" t="str">
        <f>C2</f>
        <v>2M</v>
      </c>
      <c r="D3" s="72" t="s">
        <v>134</v>
      </c>
      <c r="E3" s="71" t="str">
        <f>B3&amp;C3&amp;D3</f>
        <v>awake_materials_2M.tmp</v>
      </c>
      <c r="F3" s="72" t="s">
        <v>129</v>
      </c>
      <c r="G3" s="128" t="s">
        <v>44</v>
      </c>
      <c r="H3" s="129" t="s">
        <v>42</v>
      </c>
      <c r="I3" s="129" t="s">
        <v>43</v>
      </c>
      <c r="J3" s="74" t="s">
        <v>132</v>
      </c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</row>
    <row r="4" spans="1:23" x14ac:dyDescent="0.15">
      <c r="A4" s="72" t="s">
        <v>243</v>
      </c>
      <c r="B4" s="72" t="s">
        <v>137</v>
      </c>
      <c r="C4" s="72" t="str">
        <f t="shared" ref="C4:C10" si="0">C3</f>
        <v>2M</v>
      </c>
      <c r="D4" s="72" t="s">
        <v>138</v>
      </c>
      <c r="E4" s="71" t="str">
        <f t="shared" ref="E4" si="1">B4&amp;C4&amp;D4</f>
        <v>unit_levels_calc_2M.tmp</v>
      </c>
      <c r="F4" s="72" t="s">
        <v>128</v>
      </c>
      <c r="G4" s="130" t="s">
        <v>17</v>
      </c>
      <c r="H4" s="131" t="s">
        <v>2</v>
      </c>
      <c r="I4" s="132" t="s">
        <v>85</v>
      </c>
      <c r="J4" s="132" t="s">
        <v>86</v>
      </c>
      <c r="K4" s="132" t="s">
        <v>87</v>
      </c>
      <c r="L4" s="132" t="s">
        <v>88</v>
      </c>
      <c r="M4" s="132" t="s">
        <v>93</v>
      </c>
      <c r="N4" s="132" t="s">
        <v>94</v>
      </c>
      <c r="O4" s="132" t="s">
        <v>95</v>
      </c>
      <c r="P4" s="132" t="s">
        <v>96</v>
      </c>
      <c r="Q4" s="132" t="s">
        <v>97</v>
      </c>
      <c r="R4" s="132" t="s">
        <v>100</v>
      </c>
      <c r="S4" s="132" t="s">
        <v>98</v>
      </c>
      <c r="T4" s="132" t="s">
        <v>99</v>
      </c>
      <c r="U4" s="132" t="s">
        <v>89</v>
      </c>
      <c r="V4" s="132" t="s">
        <v>90</v>
      </c>
      <c r="W4" s="132" t="s">
        <v>91</v>
      </c>
    </row>
    <row r="5" spans="1:23" x14ac:dyDescent="0.15">
      <c r="A5" s="72" t="s">
        <v>247</v>
      </c>
      <c r="B5" s="72" t="s">
        <v>149</v>
      </c>
      <c r="C5" s="72" t="str">
        <f t="shared" si="0"/>
        <v>2M</v>
      </c>
      <c r="D5" s="72" t="s">
        <v>150</v>
      </c>
      <c r="E5" s="71" t="str">
        <f>B5&amp;C5&amp;D5</f>
        <v>unit_skills_data_2M.tmp</v>
      </c>
      <c r="F5" s="72" t="s">
        <v>151</v>
      </c>
      <c r="G5" s="77" t="s">
        <v>20</v>
      </c>
      <c r="H5" s="77" t="s">
        <v>152</v>
      </c>
      <c r="I5" s="77" t="s">
        <v>2</v>
      </c>
      <c r="J5" s="77" t="s">
        <v>153</v>
      </c>
      <c r="K5" s="77" t="s">
        <v>154</v>
      </c>
      <c r="L5" s="77" t="s">
        <v>4</v>
      </c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x14ac:dyDescent="0.15">
      <c r="A6" s="72" t="s">
        <v>248</v>
      </c>
      <c r="B6" s="72" t="s">
        <v>155</v>
      </c>
      <c r="C6" s="72" t="str">
        <f t="shared" si="0"/>
        <v>2M</v>
      </c>
      <c r="D6" s="72" t="s">
        <v>134</v>
      </c>
      <c r="E6" s="71" t="str">
        <f>B6&amp;C6&amp;D6</f>
        <v>unit_skills_i18n_2M.tmp</v>
      </c>
      <c r="F6" s="72" t="s">
        <v>151</v>
      </c>
      <c r="G6" s="77" t="s">
        <v>156</v>
      </c>
      <c r="H6" s="77" t="s">
        <v>140</v>
      </c>
      <c r="I6" s="77" t="s">
        <v>157</v>
      </c>
      <c r="J6" s="77" t="s">
        <v>158</v>
      </c>
      <c r="K6" s="73"/>
      <c r="L6" s="73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</row>
    <row r="7" spans="1:23" x14ac:dyDescent="0.15">
      <c r="A7" s="72" t="s">
        <v>248</v>
      </c>
      <c r="B7" s="72" t="s">
        <v>159</v>
      </c>
      <c r="C7" s="72" t="str">
        <f t="shared" si="0"/>
        <v>2M</v>
      </c>
      <c r="D7" s="72" t="s">
        <v>160</v>
      </c>
      <c r="E7" s="71" t="str">
        <f>B7&amp;C7&amp;D7</f>
        <v>crash_skills_data_2M.tmp</v>
      </c>
      <c r="F7" s="72" t="s">
        <v>161</v>
      </c>
      <c r="G7" s="77" t="s">
        <v>162</v>
      </c>
      <c r="H7" s="77" t="s">
        <v>154</v>
      </c>
      <c r="I7" s="77" t="s">
        <v>4</v>
      </c>
      <c r="J7" s="73"/>
      <c r="K7" s="73"/>
      <c r="L7" s="73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</row>
    <row r="8" spans="1:23" x14ac:dyDescent="0.15">
      <c r="A8" s="72" t="s">
        <v>248</v>
      </c>
      <c r="B8" s="72" t="s">
        <v>163</v>
      </c>
      <c r="C8" s="72" t="str">
        <f t="shared" si="0"/>
        <v>2M</v>
      </c>
      <c r="D8" s="72" t="s">
        <v>164</v>
      </c>
      <c r="E8" s="71" t="str">
        <f t="shared" ref="E8" si="2">B8&amp;C8&amp;D8</f>
        <v>crash_skills_i18n_2M.tmp</v>
      </c>
      <c r="F8" s="72" t="s">
        <v>161</v>
      </c>
      <c r="G8" s="77" t="s">
        <v>165</v>
      </c>
      <c r="H8" s="77" t="s">
        <v>166</v>
      </c>
      <c r="I8" s="77" t="s">
        <v>167</v>
      </c>
      <c r="J8" s="77" t="s">
        <v>168</v>
      </c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</row>
    <row r="9" spans="1:23" x14ac:dyDescent="0.15">
      <c r="A9" s="72" t="s">
        <v>248</v>
      </c>
      <c r="B9" s="73" t="s">
        <v>141</v>
      </c>
      <c r="C9" s="72" t="str">
        <f t="shared" si="0"/>
        <v>2M</v>
      </c>
      <c r="D9" s="72" t="s">
        <v>164</v>
      </c>
      <c r="E9" s="71" t="str">
        <f t="shared" ref="E9:E10" si="3">B9&amp;C9&amp;D9</f>
        <v>unit_serifs_data_2M.tmp</v>
      </c>
      <c r="F9" s="73" t="s">
        <v>143</v>
      </c>
      <c r="G9" s="77" t="s">
        <v>144</v>
      </c>
      <c r="H9" s="77" t="s">
        <v>145</v>
      </c>
      <c r="I9" s="77" t="s">
        <v>139</v>
      </c>
      <c r="J9" s="76" t="s">
        <v>197</v>
      </c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</row>
    <row r="10" spans="1:23" x14ac:dyDescent="0.15">
      <c r="A10" s="72" t="s">
        <v>248</v>
      </c>
      <c r="B10" s="73" t="s">
        <v>142</v>
      </c>
      <c r="C10" s="72" t="str">
        <f t="shared" si="0"/>
        <v>2M</v>
      </c>
      <c r="D10" s="72" t="s">
        <v>164</v>
      </c>
      <c r="E10" s="71" t="str">
        <f t="shared" si="3"/>
        <v>unit_serifs_i18n_2M.tmp</v>
      </c>
      <c r="F10" s="73" t="s">
        <v>143</v>
      </c>
      <c r="G10" s="77" t="s">
        <v>146</v>
      </c>
      <c r="H10" s="77" t="s">
        <v>147</v>
      </c>
      <c r="I10" s="77" t="s">
        <v>148</v>
      </c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zoomScale="82" zoomScaleNormal="75" zoomScalePageLayoutView="75" workbookViewId="0">
      <pane xSplit="9" ySplit="1" topLeftCell="BL2" activePane="bottomRight" state="frozen"/>
      <selection pane="topRight" activeCell="J1" sqref="J1"/>
      <selection pane="bottomLeft" activeCell="A3" sqref="A3"/>
      <selection pane="bottomRight" activeCell="BT12" sqref="BT12"/>
    </sheetView>
  </sheetViews>
  <sheetFormatPr baseColWidth="12" defaultColWidth="8.83203125" defaultRowHeight="21" customHeight="1" outlineLevelCol="1" x14ac:dyDescent="0.15"/>
  <cols>
    <col min="1" max="1" width="12.83203125" style="8" customWidth="1"/>
    <col min="2" max="2" width="21.5" style="9" bestFit="1" customWidth="1" collapsed="1"/>
    <col min="3" max="3" width="23.6640625" style="9" hidden="1" customWidth="1" outlineLevel="1"/>
    <col min="4" max="4" width="8.6640625" style="9" hidden="1" customWidth="1" outlineLevel="1"/>
    <col min="5" max="5" width="8" style="9" hidden="1" customWidth="1" outlineLevel="1"/>
    <col min="6" max="6" width="7.1640625" style="9" hidden="1" customWidth="1" outlineLevel="1"/>
    <col min="7" max="7" width="9.6640625" style="9" bestFit="1" customWidth="1"/>
    <col min="8" max="8" width="13.6640625" style="9" bestFit="1" customWidth="1"/>
    <col min="9" max="9" width="10.5" style="9" bestFit="1" customWidth="1"/>
    <col min="10" max="10" width="9.6640625" style="9" customWidth="1" outlineLevel="1"/>
    <col min="11" max="13" width="11" style="9" customWidth="1" outlineLevel="1"/>
    <col min="14" max="14" width="10" style="9" bestFit="1" customWidth="1"/>
    <col min="15" max="15" width="13.5" style="9" bestFit="1" customWidth="1"/>
    <col min="16" max="16" width="13.5" style="9" customWidth="1"/>
    <col min="17" max="17" width="18.83203125" style="9" bestFit="1" customWidth="1"/>
    <col min="18" max="18" width="14.1640625" style="9" customWidth="1"/>
    <col min="19" max="19" width="9.6640625" style="9" customWidth="1" outlineLevel="1"/>
    <col min="20" max="22" width="11" style="9" customWidth="1" outlineLevel="1"/>
    <col min="23" max="23" width="22.83203125" style="8" bestFit="1" customWidth="1"/>
    <col min="24" max="24" width="14.1640625" style="9" customWidth="1"/>
    <col min="25" max="25" width="19.33203125" style="9" bestFit="1" customWidth="1"/>
    <col min="26" max="26" width="8" style="9" customWidth="1" outlineLevel="1"/>
    <col min="27" max="27" width="9.6640625" style="9" customWidth="1" outlineLevel="1"/>
    <col min="28" max="30" width="11" style="9" customWidth="1" outlineLevel="1"/>
    <col min="31" max="31" width="20.1640625" style="8" bestFit="1" customWidth="1"/>
    <col min="32" max="32" width="18.83203125" style="9" bestFit="1" customWidth="1"/>
    <col min="33" max="34" width="18.83203125" style="9" customWidth="1"/>
    <col min="35" max="35" width="15.1640625" style="9" customWidth="1"/>
    <col min="36" max="36" width="13.1640625" style="8" customWidth="1"/>
    <col min="37" max="37" width="15.33203125" style="9" customWidth="1" outlineLevel="1"/>
    <col min="38" max="38" width="13.33203125" style="9" bestFit="1" customWidth="1"/>
    <col min="39" max="39" width="15.33203125" style="10" bestFit="1" customWidth="1"/>
    <col min="40" max="40" width="14" style="10" bestFit="1" customWidth="1"/>
    <col min="41" max="41" width="16" style="36" bestFit="1" customWidth="1"/>
    <col min="42" max="42" width="11.6640625" style="11" bestFit="1" customWidth="1"/>
    <col min="43" max="43" width="20.83203125" style="9" customWidth="1"/>
    <col min="44" max="44" width="80.6640625" style="9" customWidth="1" outlineLevel="1"/>
    <col min="45" max="45" width="6.83203125" style="9" customWidth="1"/>
    <col min="46" max="46" width="15.6640625" style="8" bestFit="1" customWidth="1"/>
    <col min="47" max="47" width="43.6640625" style="9" customWidth="1"/>
    <col min="48" max="48" width="43.6640625" style="9" customWidth="1" outlineLevel="1"/>
    <col min="49" max="49" width="6.83203125" style="9" customWidth="1"/>
    <col min="50" max="50" width="9.5" style="9" bestFit="1" customWidth="1"/>
    <col min="51" max="54" width="8.33203125" style="8" customWidth="1"/>
    <col min="55" max="56" width="12" style="9" bestFit="1" customWidth="1"/>
    <col min="57" max="57" width="14.33203125" style="9" customWidth="1" outlineLevel="1"/>
    <col min="58" max="58" width="16.1640625" style="9" customWidth="1" outlineLevel="1"/>
    <col min="59" max="62" width="11.83203125" style="9" customWidth="1"/>
    <col min="63" max="66" width="11.83203125" style="8" customWidth="1"/>
    <col min="67" max="67" width="12.83203125" style="8" bestFit="1" customWidth="1"/>
    <col min="68" max="68" width="12.6640625" style="8" bestFit="1" customWidth="1"/>
    <col min="69" max="69" width="13.5" style="8" bestFit="1" customWidth="1"/>
    <col min="70" max="16384" width="8.83203125" style="8"/>
  </cols>
  <sheetData>
    <row r="1" spans="1:70" ht="21" customHeight="1" x14ac:dyDescent="0.15">
      <c r="A1" s="102" t="s">
        <v>114</v>
      </c>
      <c r="B1" s="103" t="s">
        <v>50</v>
      </c>
      <c r="C1" s="104" t="s">
        <v>27</v>
      </c>
      <c r="D1" s="104" t="s">
        <v>30</v>
      </c>
      <c r="E1" s="104" t="s">
        <v>28</v>
      </c>
      <c r="F1" s="104" t="s">
        <v>29</v>
      </c>
      <c r="G1" s="102" t="s">
        <v>1</v>
      </c>
      <c r="H1" s="105" t="s">
        <v>19</v>
      </c>
      <c r="I1" s="106" t="s">
        <v>0</v>
      </c>
      <c r="J1" s="107" t="s">
        <v>55</v>
      </c>
      <c r="K1" s="107" t="s">
        <v>54</v>
      </c>
      <c r="L1" s="107" t="s">
        <v>56</v>
      </c>
      <c r="M1" s="107" t="s">
        <v>57</v>
      </c>
      <c r="N1" s="102" t="s">
        <v>3</v>
      </c>
      <c r="O1" s="108" t="s">
        <v>2</v>
      </c>
      <c r="P1" s="102" t="s">
        <v>103</v>
      </c>
      <c r="Q1" s="109" t="s">
        <v>18</v>
      </c>
      <c r="R1" s="110" t="s">
        <v>58</v>
      </c>
      <c r="S1" s="111" t="s">
        <v>23</v>
      </c>
      <c r="T1" s="111" t="s">
        <v>24</v>
      </c>
      <c r="U1" s="111" t="s">
        <v>26</v>
      </c>
      <c r="V1" s="111" t="s">
        <v>25</v>
      </c>
      <c r="W1" s="106" t="s">
        <v>32</v>
      </c>
      <c r="X1" s="104" t="s">
        <v>59</v>
      </c>
      <c r="Y1" s="106" t="s">
        <v>33</v>
      </c>
      <c r="Z1" s="104" t="s">
        <v>59</v>
      </c>
      <c r="AA1" s="107" t="s">
        <v>23</v>
      </c>
      <c r="AB1" s="107" t="s">
        <v>24</v>
      </c>
      <c r="AC1" s="107" t="s">
        <v>26</v>
      </c>
      <c r="AD1" s="107" t="s">
        <v>25</v>
      </c>
      <c r="AE1" s="112" t="s">
        <v>106</v>
      </c>
      <c r="AF1" s="110" t="s">
        <v>51</v>
      </c>
      <c r="AG1" s="113" t="s">
        <v>64</v>
      </c>
      <c r="AH1" s="110" t="s">
        <v>51</v>
      </c>
      <c r="AI1" s="113" t="s">
        <v>52</v>
      </c>
      <c r="AJ1" s="67" t="s">
        <v>73</v>
      </c>
      <c r="AK1" s="110" t="s">
        <v>21</v>
      </c>
      <c r="AL1" s="65" t="s">
        <v>74</v>
      </c>
      <c r="AM1" s="114" t="s">
        <v>72</v>
      </c>
      <c r="AN1" s="114" t="s">
        <v>75</v>
      </c>
      <c r="AO1" s="115" t="s">
        <v>31</v>
      </c>
      <c r="AP1" s="112" t="s">
        <v>20</v>
      </c>
      <c r="AQ1" s="116" t="s">
        <v>119</v>
      </c>
      <c r="AR1" s="116" t="s">
        <v>113</v>
      </c>
      <c r="AS1" s="110" t="s">
        <v>110</v>
      </c>
      <c r="AT1" s="112" t="s">
        <v>108</v>
      </c>
      <c r="AU1" s="110" t="s">
        <v>116</v>
      </c>
      <c r="AV1" s="116" t="s">
        <v>113</v>
      </c>
      <c r="AW1" s="110" t="s">
        <v>110</v>
      </c>
      <c r="AX1" s="104" t="s">
        <v>4</v>
      </c>
      <c r="AY1" s="117" t="s">
        <v>60</v>
      </c>
      <c r="AZ1" s="117" t="s">
        <v>61</v>
      </c>
      <c r="BA1" s="117" t="s">
        <v>120</v>
      </c>
      <c r="BB1" s="117" t="s">
        <v>62</v>
      </c>
      <c r="BC1" s="118" t="s">
        <v>22</v>
      </c>
      <c r="BD1" s="119" t="s">
        <v>34</v>
      </c>
      <c r="BE1" s="120" t="s">
        <v>5</v>
      </c>
      <c r="BF1" s="121" t="s">
        <v>6</v>
      </c>
      <c r="BG1" s="122" t="s">
        <v>76</v>
      </c>
      <c r="BH1" s="122" t="s">
        <v>77</v>
      </c>
      <c r="BI1" s="122" t="s">
        <v>78</v>
      </c>
      <c r="BJ1" s="122" t="s">
        <v>79</v>
      </c>
      <c r="BK1" s="123" t="s">
        <v>80</v>
      </c>
      <c r="BL1" s="123" t="s">
        <v>101</v>
      </c>
      <c r="BM1" s="123" t="s">
        <v>81</v>
      </c>
      <c r="BN1" s="123" t="s">
        <v>82</v>
      </c>
      <c r="BO1" s="66" t="s">
        <v>83</v>
      </c>
      <c r="BP1" s="67" t="s">
        <v>84</v>
      </c>
      <c r="BQ1" s="67" t="s">
        <v>92</v>
      </c>
      <c r="BR1" s="8" t="s">
        <v>278</v>
      </c>
    </row>
    <row r="2" spans="1:70" ht="21" customHeight="1" x14ac:dyDescent="0.15">
      <c r="A2" s="6">
        <v>414</v>
      </c>
      <c r="B2" s="5" t="str">
        <f ca="1">VLOOKUP($A2,OFFSET([1]characters!$A$1,0,0,COUNTA([1]characters!$A:$A),MATCH(B$1,[1]characters!$1:$1,0)-MATCH($A$1,[1]characters!$1:$1,0)+1),MATCH(B$1,[1]characters!$1:$1,0)-MATCH($A$1,[1]characters!$1:$1,0)+1,FALSE)</f>
        <v>炎のミリオンダック 2</v>
      </c>
      <c r="C2" s="5" t="str">
        <f ca="1">VLOOKUP($A2,OFFSET([1]characters!$A$1,0,0,COUNTA([1]characters!$A:$A),MATCH(C$1,[1]characters!$1:$1,0)-MATCH($A$1,[1]characters!$1:$1,0)+1),MATCH(C$1,[1]characters!$1:$1,0)-MATCH($A$1,[1]characters!$1:$1,0)+1,FALSE)</f>
        <v>強化素材R6</v>
      </c>
      <c r="D2" s="5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" t="str">
        <f ca="1">VLOOKUP($A2,OFFSET([1]characters!$A$1,0,0,COUNTA([1]characters!$A:$A),MATCH(H$1,[1]characters!$1:$1,0)-MATCH($A$1,[1]characters!$1:$1,0)+1),MATCH(H$1,[1]characters!$1:$1,0)-MATCH($A$1,[1]characters!$1:$1,0)+1,FALSE)</f>
        <v>Material</v>
      </c>
      <c r="I2" s="5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7">
        <f ca="1">VLOOKUP(I2,[1]属性!$A:$E,2,FALSE)</f>
        <v>1</v>
      </c>
      <c r="K2" s="7">
        <f ca="1">VLOOKUP(I2,[1]属性!$A:$E,3,FALSE)</f>
        <v>1.02</v>
      </c>
      <c r="L2" s="7">
        <f ca="1">VLOOKUP(I2,[1]属性!$A:$E,4,FALSE)</f>
        <v>1</v>
      </c>
      <c r="M2" s="7">
        <f ca="1">VLOOKUP(I2,[1]属性!$A:$E,5,FALSE)</f>
        <v>0.98</v>
      </c>
      <c r="N2" s="7">
        <f ca="1">INDEX(コスト!$A$1:$I$15,MATCH(H2,コスト!$A$1:$A$15,FALSE),MATCH(G2,コスト!$A$1:$I$1,FALSE))</f>
        <v>99</v>
      </c>
      <c r="O2" s="7">
        <f ca="1">INDEX(レベル!$A$1:$I$16,MATCH(H2,レベル!$A$1:$A$16,FALSE),MATCH(G2,レベル!$A$1:$I$1,FALSE))</f>
        <v>1</v>
      </c>
      <c r="P2" s="124">
        <v>1</v>
      </c>
      <c r="Q2" s="5" t="str">
        <f ca="1">VLOOKUP($A2,OFFSET([1]characters!$A$1,0,0,COUNTA([1]characters!$A:$A),MATCH(Q$1,[1]characters!$1:$1,0)-MATCH($A$1,[1]characters!$1:$1,0)+1),MATCH(Q$1,[1]characters!$1:$1,0)-MATCH($A$1,[1]characters!$1:$1,0)+1,FALSE)</f>
        <v>exp</v>
      </c>
      <c r="R2" s="5" t="str">
        <f ca="1">VLOOKUP(Q2,[1]character_type_i18n!$A:$H,3,FALSE)</f>
        <v>強化素材タイプ</v>
      </c>
      <c r="S2" s="124">
        <v>1</v>
      </c>
      <c r="T2" s="124">
        <v>1</v>
      </c>
      <c r="U2" s="124">
        <v>1</v>
      </c>
      <c r="V2" s="7">
        <f ca="1">VLOOKUP(Q2,[1]character_type_i18n!$A:$H,7,FALSE)</f>
        <v>0.05</v>
      </c>
      <c r="W2" s="5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7">
        <f ca="1">VLOOKUP(W2,[1]character_tribe_i18n!$A:$H,4,FALSE)</f>
        <v>1</v>
      </c>
      <c r="AB2" s="7">
        <f ca="1">VLOOKUP(W2,[1]character_tribe_i18n!$A:$H,5,FALSE)</f>
        <v>1</v>
      </c>
      <c r="AC2" s="7">
        <f ca="1">VLOOKUP(W2,[1]character_tribe_i18n!$A:$H,6,FALSE)</f>
        <v>1</v>
      </c>
      <c r="AD2" s="7">
        <f ca="1">VLOOKUP(W2,[1]character_tribe_i18n!$A:$H,7,FALSE)</f>
        <v>1</v>
      </c>
      <c r="AE2" s="29" t="s">
        <v>189</v>
      </c>
      <c r="AF2" s="5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t="shared" ref="AG2:AG9" ca="1" si="0">IF(ISNA(MATCH(A2,AE:AE,0)),A2,INDIRECT(ADDRESS(MATCH(A2,AE:AE,0),COLUMN())))</f>
        <v>414</v>
      </c>
      <c r="AH2" s="5" t="str">
        <f ca="1">VLOOKUP($AG2,OFFSET([1]characters!$A$1,0,0,COUNTA([1]characters!$A:$A),MATCH(AH$1,[1]characters!$1:$1,0)-MATCH($A$1,[1]characters!$1:$1,0)+1),MATCH(AH$1,[1]characters!$1:$1,0)-MATCH($A$1,[1]characters!$1:$1,0)+1,FALSE)</f>
        <v>炎のミリオンダック 2</v>
      </c>
      <c r="AI2" s="7" t="str">
        <f>IF(AE2="NULL","NULL",VLOOKUP(G2,ビット!$A$2:$B$7,2))</f>
        <v>NULL</v>
      </c>
      <c r="AJ2" s="48">
        <v>2</v>
      </c>
      <c r="AK2" s="5" t="str">
        <f t="shared" ref="AK2" si="1">IF(AJ2=1,"早熟",IF(AJ2=2,"普通",IF(AJ2=3,"晩成","")))</f>
        <v>普通</v>
      </c>
      <c r="AL2" s="7" t="str">
        <f ca="1">INDEX(経験値!$A$1:$I$15,MATCH(H2,経験値!$A$1:$A$15,FALSE),MATCH(G2,経験値!$A$1:$I$1,FALSE))</f>
        <v>NULL</v>
      </c>
      <c r="AM2" s="133">
        <v>1000000</v>
      </c>
      <c r="AN2" s="133">
        <v>1000000</v>
      </c>
      <c r="AO2" s="48"/>
      <c r="AP2" s="78">
        <v>414</v>
      </c>
      <c r="AQ2" s="5" t="str">
        <f ca="1">VLOOKUP($AP2,OFFSET(unit_skills!$A$1,0,0,COUNTA(unit_skills!$A:$A),MATCH(AQ$1,unit_skills!$1:$1,0)-MATCH($AP$1,unit_skills!$1:$1,0)+1),MATCH(AQ$1,unit_skills!$1:$1,0)-MATCH($AP$1,unit_skills!$1:$1,0)+1,FALSE)</f>
        <v>200万DL ありがとうグヮ！</v>
      </c>
      <c r="AR2" s="5" t="str">
        <f ca="1">VLOOKUP($AP2,OFFSET(unit_skills!$A$1,0,0,COUNTA(unit_skills!$A:$A),MATCH(AR$1,unit_skills!$1:$1,0)-MATCH($AP$1,unit_skills!$1:$1,0)+1),MATCH(AR$1,unit_skills!$1:$1,0)-MATCH($AP$1,unit_skills!$1:$1,0)+1,FALSE)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2" s="5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3">
        <v>414</v>
      </c>
      <c r="AU2" s="5" t="str">
        <f ca="1">VLOOKUP($AT2,OFFSET(crash_skills!$A$1,0,0,COUNTA(crash_skills!$A:$A),MATCH(AU$1,crash_skills!$1:$1,0)-MATCH($AT$1,crash_skills!$1:$1,0)+1),MATCH(AU$1,crash_skills!$1:$1,0)-MATCH($AT$1,crash_skills!$1:$1,0)+1,FALSE)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2" s="5" t="str">
        <f ca="1">VLOOKUP($AT2,OFFSET(crash_skills!$A$1,0,0,COUNTA(crash_skills!$A:$A),MATCH(AV$1,crash_skills!$1:$1,0)-MATCH($AT$1,crash_skills!$1:$1,0)+1),MATCH(AV$1,crash_skills!$1:$1,0)-MATCH($AT$1,crash_skills!$1:$1,0)+1,FALSE)</f>
        <v>効果はないグヮ_x000D_200万DL ありがとう！</v>
      </c>
      <c r="AW2" s="5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7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124">
        <v>1</v>
      </c>
      <c r="AZ2" s="124">
        <v>1</v>
      </c>
      <c r="BA2" s="124">
        <v>0</v>
      </c>
      <c r="BB2" s="124">
        <v>1</v>
      </c>
      <c r="BC2" s="7">
        <f ca="1">INDEX('RC6SV'!$A$1:$G$15,MATCH(H2,'RC6SV'!$A$1:$A$15,FALSE),MATCH(G2,'RC6SV'!$A$1:$G$1,FALSE))</f>
        <v>1000</v>
      </c>
      <c r="BD2" s="7">
        <f t="shared" ref="BD2" ca="1" si="2">ROUND(BC2*IF(AJ2=1,0.95,IF(AJ2=2,1,IF(AJ2,1.05,0))),0)</f>
        <v>1000</v>
      </c>
      <c r="BE2" s="7">
        <f t="shared" ref="BE2:BE13" ca="1" si="3">ROUND(IFERROR(INDIRECT(ADDRESS(MATCH($A2,$AE:$AE,0),MATCH($BC$1,$1:$1,0))),0),0)</f>
        <v>0</v>
      </c>
      <c r="BF2" s="7">
        <f t="shared" ref="BF2:BF13" ca="1" si="4">ROUND(IFERROR(INDIRECT(ADDRESS(MATCH($A2,$AE:$AE,0),10)),INDIRECT(ADDRESS(MATCH($A2,$A:$A,0),10))),0)</f>
        <v>1</v>
      </c>
      <c r="BG2" s="49">
        <v>200</v>
      </c>
      <c r="BH2" s="49">
        <v>200</v>
      </c>
      <c r="BI2" s="125">
        <f ca="1">IF($BE2&lt;=0,ROUND(BM2*0.5,0), ROUND($BE2*U2*AC2*L2*BA2*0.8*[1]ステータス!$D$2,0))</f>
        <v>0</v>
      </c>
      <c r="BJ2" s="49">
        <v>200</v>
      </c>
      <c r="BK2" s="49">
        <v>200</v>
      </c>
      <c r="BL2" s="49">
        <v>200</v>
      </c>
      <c r="BM2" s="7">
        <f ca="1">ROUND(BD2*U2*AC2*L2*BA2*[1]ステータス!$D$2,0)</f>
        <v>0</v>
      </c>
      <c r="BN2" s="49">
        <v>200</v>
      </c>
      <c r="BO2" s="6">
        <v>0</v>
      </c>
      <c r="BP2" s="6">
        <v>1</v>
      </c>
      <c r="BQ2" s="6" t="s">
        <v>53</v>
      </c>
      <c r="BR2" s="8">
        <f ca="1">VLOOKUP(H2,ghosts_label!$A$2:$B$19,2,FALSE)</f>
        <v>0</v>
      </c>
    </row>
    <row r="3" spans="1:70" ht="21" customHeight="1" x14ac:dyDescent="0.15">
      <c r="A3" s="6">
        <v>415</v>
      </c>
      <c r="B3" s="5" t="str">
        <f ca="1">VLOOKUP($A3,OFFSET([1]characters!$A$1,0,0,COUNTA([1]characters!$A:$A),MATCH(B$1,[1]characters!$1:$1,0)-MATCH($A$1,[1]characters!$1:$1,0)+1),MATCH(B$1,[1]characters!$1:$1,0)-MATCH($A$1,[1]characters!$1:$1,0)+1,FALSE)</f>
        <v>森のミリオンダック 2</v>
      </c>
      <c r="C3" s="5" t="str">
        <f ca="1">VLOOKUP($A3,OFFSET([1]characters!$A$1,0,0,COUNTA([1]characters!$A:$A),MATCH(C$1,[1]characters!$1:$1,0)-MATCH($A$1,[1]characters!$1:$1,0)+1),MATCH(C$1,[1]characters!$1:$1,0)-MATCH($A$1,[1]characters!$1:$1,0)+1,FALSE)</f>
        <v>強化素材R6</v>
      </c>
      <c r="D3" s="5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" t="str">
        <f ca="1">VLOOKUP($A3,OFFSET([1]characters!$A$1,0,0,COUNTA([1]characters!$A:$A),MATCH(H$1,[1]characters!$1:$1,0)-MATCH($A$1,[1]characters!$1:$1,0)+1),MATCH(H$1,[1]characters!$1:$1,0)-MATCH($A$1,[1]characters!$1:$1,0)+1,FALSE)</f>
        <v>Material</v>
      </c>
      <c r="I3" s="5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7">
        <f ca="1">VLOOKUP(I3,[1]属性!$A:$E,2,FALSE)</f>
        <v>1.02</v>
      </c>
      <c r="K3" s="7">
        <f ca="1">VLOOKUP(I3,[1]属性!$A:$E,3,FALSE)</f>
        <v>0.98</v>
      </c>
      <c r="L3" s="7">
        <f ca="1">VLOOKUP(I3,[1]属性!$A:$E,4,FALSE)</f>
        <v>1</v>
      </c>
      <c r="M3" s="7">
        <f ca="1">VLOOKUP(I3,[1]属性!$A:$E,5,FALSE)</f>
        <v>1</v>
      </c>
      <c r="N3" s="7">
        <f ca="1">INDEX(コスト!$A$1:$I$15,MATCH(H3,コスト!$A$1:$A$15,FALSE),MATCH(G3,コスト!$A$1:$I$1,FALSE))</f>
        <v>99</v>
      </c>
      <c r="O3" s="7">
        <f ca="1">INDEX(レベル!$A$1:$I$16,MATCH(H3,レベル!$A$1:$A$16,FALSE),MATCH(G3,レベル!$A$1:$I$1,FALSE))</f>
        <v>1</v>
      </c>
      <c r="P3" s="124">
        <v>1</v>
      </c>
      <c r="Q3" s="5" t="str">
        <f ca="1">VLOOKUP($A3,OFFSET([1]characters!$A$1,0,0,COUNTA([1]characters!$A:$A),MATCH(Q$1,[1]characters!$1:$1,0)-MATCH($A$1,[1]characters!$1:$1,0)+1),MATCH(Q$1,[1]characters!$1:$1,0)-MATCH($A$1,[1]characters!$1:$1,0)+1,FALSE)</f>
        <v>exp</v>
      </c>
      <c r="R3" s="5" t="str">
        <f ca="1">VLOOKUP(Q3,[1]character_type_i18n!$A:$H,3,FALSE)</f>
        <v>強化素材タイプ</v>
      </c>
      <c r="S3" s="124">
        <v>1</v>
      </c>
      <c r="T3" s="124">
        <v>1</v>
      </c>
      <c r="U3" s="124">
        <v>1</v>
      </c>
      <c r="V3" s="7">
        <f ca="1">VLOOKUP(Q3,[1]character_type_i18n!$A:$H,7,FALSE)</f>
        <v>0.05</v>
      </c>
      <c r="W3" s="5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7">
        <f ca="1">VLOOKUP(W3,[1]character_tribe_i18n!$A:$H,4,FALSE)</f>
        <v>1</v>
      </c>
      <c r="AB3" s="7">
        <f ca="1">VLOOKUP(W3,[1]character_tribe_i18n!$A:$H,5,FALSE)</f>
        <v>1</v>
      </c>
      <c r="AC3" s="7">
        <f ca="1">VLOOKUP(W3,[1]character_tribe_i18n!$A:$H,6,FALSE)</f>
        <v>1</v>
      </c>
      <c r="AD3" s="7">
        <f ca="1">VLOOKUP(W3,[1]character_tribe_i18n!$A:$H,7,FALSE)</f>
        <v>1</v>
      </c>
      <c r="AE3" s="29" t="s">
        <v>189</v>
      </c>
      <c r="AF3" s="5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415</v>
      </c>
      <c r="AH3" s="5" t="str">
        <f ca="1">VLOOKUP($AG3,OFFSET([1]characters!$A$1,0,0,COUNTA([1]characters!$A:$A),MATCH(AH$1,[1]characters!$1:$1,0)-MATCH($A$1,[1]characters!$1:$1,0)+1),MATCH(AH$1,[1]characters!$1:$1,0)-MATCH($A$1,[1]characters!$1:$1,0)+1,FALSE)</f>
        <v>森のミリオンダック 2</v>
      </c>
      <c r="AI3" s="7" t="str">
        <f>IF(AE3="NULL","NULL",VLOOKUP(G3,ビット!$A$2:$B$7,2))</f>
        <v>NULL</v>
      </c>
      <c r="AJ3" s="48">
        <v>2</v>
      </c>
      <c r="AK3" s="5" t="str">
        <f t="shared" ref="AK3:AK4" si="5">IF(AJ3=1,"早熟",IF(AJ3=2,"普通",IF(AJ3=3,"晩成","")))</f>
        <v>普通</v>
      </c>
      <c r="AL3" s="7" t="str">
        <f ca="1">INDEX(経験値!$A$1:$I$15,MATCH(H3,経験値!$A$1:$A$15,FALSE),MATCH(G3,経験値!$A$1:$I$1,FALSE))</f>
        <v>NULL</v>
      </c>
      <c r="AM3" s="133">
        <v>1000000</v>
      </c>
      <c r="AN3" s="133">
        <v>1000000</v>
      </c>
      <c r="AO3" s="48"/>
      <c r="AP3" s="78">
        <v>414</v>
      </c>
      <c r="AQ3" s="5" t="str">
        <f ca="1">VLOOKUP($AP3,OFFSET(unit_skills!$A$1,0,0,COUNTA(unit_skills!$A:$A),MATCH(AQ$1,unit_skills!$1:$1,0)-MATCH($AP$1,unit_skills!$1:$1,0)+1),MATCH(AQ$1,unit_skills!$1:$1,0)-MATCH($AP$1,unit_skills!$1:$1,0)+1,FALSE)</f>
        <v>200万DL ありがとうグヮ！</v>
      </c>
      <c r="AR3" s="5" t="str">
        <f ca="1">VLOOKUP($AP3,OFFSET(unit_skills!$A$1,0,0,COUNTA(unit_skills!$A:$A),MATCH(AR$1,unit_skills!$1:$1,0)-MATCH($AP$1,unit_skills!$1:$1,0)+1),MATCH(AR$1,unit_skills!$1:$1,0)-MATCH($AP$1,unit_skills!$1:$1,0)+1,FALSE)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3" s="5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3">
        <v>414</v>
      </c>
      <c r="AU3" s="5" t="str">
        <f ca="1">VLOOKUP($AT3,OFFSET(crash_skills!$A$1,0,0,COUNTA(crash_skills!$A:$A),MATCH(AU$1,crash_skills!$1:$1,0)-MATCH($AT$1,crash_skills!$1:$1,0)+1),MATCH(AU$1,crash_skills!$1:$1,0)-MATCH($AT$1,crash_skills!$1:$1,0)+1,FALSE)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3" s="5" t="str">
        <f ca="1">VLOOKUP($AT3,OFFSET(crash_skills!$A$1,0,0,COUNTA(crash_skills!$A:$A),MATCH(AV$1,crash_skills!$1:$1,0)-MATCH($AT$1,crash_skills!$1:$1,0)+1),MATCH(AV$1,crash_skills!$1:$1,0)-MATCH($AT$1,crash_skills!$1:$1,0)+1,FALSE)</f>
        <v>効果はないグヮ_x000D_200万DL ありがとう！</v>
      </c>
      <c r="AW3" s="5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7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124">
        <v>1</v>
      </c>
      <c r="AZ3" s="124">
        <v>1</v>
      </c>
      <c r="BA3" s="124">
        <v>0</v>
      </c>
      <c r="BB3" s="124">
        <v>1</v>
      </c>
      <c r="BC3" s="7">
        <f ca="1">INDEX('RC6SV'!$A$1:$G$15,MATCH(H3,'RC6SV'!$A$1:$A$15,FALSE),MATCH(G3,'RC6SV'!$A$1:$G$1,FALSE))</f>
        <v>1000</v>
      </c>
      <c r="BD3" s="7">
        <f t="shared" ref="BD3:BD4" ca="1" si="6">ROUND(BC3*IF(AJ3=1,0.95,IF(AJ3=2,1,IF(AJ3,1.05,0))),0)</f>
        <v>1000</v>
      </c>
      <c r="BE3" s="7">
        <f t="shared" ca="1" si="3"/>
        <v>0</v>
      </c>
      <c r="BF3" s="7">
        <f t="shared" ca="1" si="4"/>
        <v>1</v>
      </c>
      <c r="BG3" s="49">
        <v>200</v>
      </c>
      <c r="BH3" s="49">
        <v>200</v>
      </c>
      <c r="BI3" s="125">
        <f ca="1">IF($BE3&lt;=0,ROUND(BM3*0.5,0), ROUND($BE3*U3*AC3*L3*BA3*0.8*[1]ステータス!$D$2,0))</f>
        <v>0</v>
      </c>
      <c r="BJ3" s="49">
        <v>200</v>
      </c>
      <c r="BK3" s="49">
        <v>200</v>
      </c>
      <c r="BL3" s="49">
        <v>200</v>
      </c>
      <c r="BM3" s="7">
        <f ca="1">ROUND(BD3*U3*AC3*L3*BA3*[1]ステータス!$D$2,0)</f>
        <v>0</v>
      </c>
      <c r="BN3" s="49">
        <v>200</v>
      </c>
      <c r="BO3" s="6">
        <v>0</v>
      </c>
      <c r="BP3" s="6">
        <v>1</v>
      </c>
      <c r="BQ3" s="6" t="s">
        <v>53</v>
      </c>
      <c r="BR3" s="8">
        <f ca="1">VLOOKUP(H3,ghosts_label!$A$2:$B$19,2,FALSE)</f>
        <v>0</v>
      </c>
    </row>
    <row r="4" spans="1:70" ht="21" customHeight="1" x14ac:dyDescent="0.15">
      <c r="A4" s="6">
        <v>416</v>
      </c>
      <c r="B4" s="5" t="str">
        <f ca="1">VLOOKUP($A4,OFFSET([1]characters!$A$1,0,0,COUNTA([1]characters!$A:$A),MATCH(B$1,[1]characters!$1:$1,0)-MATCH($A$1,[1]characters!$1:$1,0)+1),MATCH(B$1,[1]characters!$1:$1,0)-MATCH($A$1,[1]characters!$1:$1,0)+1,FALSE)</f>
        <v>水のミリオンダック 2</v>
      </c>
      <c r="C4" s="5" t="str">
        <f ca="1">VLOOKUP($A4,OFFSET([1]characters!$A$1,0,0,COUNTA([1]characters!$A:$A),MATCH(C$1,[1]characters!$1:$1,0)-MATCH($A$1,[1]characters!$1:$1,0)+1),MATCH(C$1,[1]characters!$1:$1,0)-MATCH($A$1,[1]characters!$1:$1,0)+1,FALSE)</f>
        <v>強化素材R6</v>
      </c>
      <c r="D4" s="5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" t="str">
        <f ca="1">VLOOKUP($A4,OFFSET([1]characters!$A$1,0,0,COUNTA([1]characters!$A:$A),MATCH(H$1,[1]characters!$1:$1,0)-MATCH($A$1,[1]characters!$1:$1,0)+1),MATCH(H$1,[1]characters!$1:$1,0)-MATCH($A$1,[1]characters!$1:$1,0)+1,FALSE)</f>
        <v>Material</v>
      </c>
      <c r="I4" s="5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7">
        <f ca="1">VLOOKUP(I4,[1]属性!$A:$E,2,FALSE)</f>
        <v>1</v>
      </c>
      <c r="K4" s="7">
        <f ca="1">VLOOKUP(I4,[1]属性!$A:$E,3,FALSE)</f>
        <v>0.98</v>
      </c>
      <c r="L4" s="7">
        <f ca="1">VLOOKUP(I4,[1]属性!$A:$E,4,FALSE)</f>
        <v>1</v>
      </c>
      <c r="M4" s="7">
        <f ca="1">VLOOKUP(I4,[1]属性!$A:$E,5,FALSE)</f>
        <v>1.02</v>
      </c>
      <c r="N4" s="7">
        <f ca="1">INDEX(コスト!$A$1:$I$15,MATCH(H4,コスト!$A$1:$A$15,FALSE),MATCH(G4,コスト!$A$1:$I$1,FALSE))</f>
        <v>99</v>
      </c>
      <c r="O4" s="7">
        <f ca="1">INDEX(レベル!$A$1:$I$16,MATCH(H4,レベル!$A$1:$A$16,FALSE),MATCH(G4,レベル!$A$1:$I$1,FALSE))</f>
        <v>1</v>
      </c>
      <c r="P4" s="124">
        <v>1</v>
      </c>
      <c r="Q4" s="5" t="str">
        <f ca="1">VLOOKUP($A4,OFFSET([1]characters!$A$1,0,0,COUNTA([1]characters!$A:$A),MATCH(Q$1,[1]characters!$1:$1,0)-MATCH($A$1,[1]characters!$1:$1,0)+1),MATCH(Q$1,[1]characters!$1:$1,0)-MATCH($A$1,[1]characters!$1:$1,0)+1,FALSE)</f>
        <v>exp</v>
      </c>
      <c r="R4" s="5" t="str">
        <f ca="1">VLOOKUP(Q4,[1]character_type_i18n!$A:$H,3,FALSE)</f>
        <v>強化素材タイプ</v>
      </c>
      <c r="S4" s="124">
        <v>1</v>
      </c>
      <c r="T4" s="124">
        <v>1</v>
      </c>
      <c r="U4" s="124">
        <v>1</v>
      </c>
      <c r="V4" s="7">
        <f ca="1">VLOOKUP(Q4,[1]character_type_i18n!$A:$H,7,FALSE)</f>
        <v>0.05</v>
      </c>
      <c r="W4" s="5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7">
        <f ca="1">VLOOKUP(W4,[1]character_tribe_i18n!$A:$H,4,FALSE)</f>
        <v>1</v>
      </c>
      <c r="AB4" s="7">
        <f ca="1">VLOOKUP(W4,[1]character_tribe_i18n!$A:$H,5,FALSE)</f>
        <v>1</v>
      </c>
      <c r="AC4" s="7">
        <f ca="1">VLOOKUP(W4,[1]character_tribe_i18n!$A:$H,6,FALSE)</f>
        <v>1</v>
      </c>
      <c r="AD4" s="7">
        <f ca="1">VLOOKUP(W4,[1]character_tribe_i18n!$A:$H,7,FALSE)</f>
        <v>1</v>
      </c>
      <c r="AE4" s="29" t="s">
        <v>189</v>
      </c>
      <c r="AF4" s="5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0"/>
        <v>416</v>
      </c>
      <c r="AH4" s="5" t="str">
        <f ca="1">VLOOKUP($AG4,OFFSET([1]characters!$A$1,0,0,COUNTA([1]characters!$A:$A),MATCH(AH$1,[1]characters!$1:$1,0)-MATCH($A$1,[1]characters!$1:$1,0)+1),MATCH(AH$1,[1]characters!$1:$1,0)-MATCH($A$1,[1]characters!$1:$1,0)+1,FALSE)</f>
        <v>水のミリオンダック 2</v>
      </c>
      <c r="AI4" s="7" t="str">
        <f>IF(AE4="NULL","NULL",VLOOKUP(G4,ビット!$A$2:$B$7,2))</f>
        <v>NULL</v>
      </c>
      <c r="AJ4" s="48">
        <v>2</v>
      </c>
      <c r="AK4" s="5" t="str">
        <f t="shared" si="5"/>
        <v>普通</v>
      </c>
      <c r="AL4" s="7" t="str">
        <f ca="1">INDEX(経験値!$A$1:$I$15,MATCH(H4,経験値!$A$1:$A$15,FALSE),MATCH(G4,経験値!$A$1:$I$1,FALSE))</f>
        <v>NULL</v>
      </c>
      <c r="AM4" s="133">
        <v>1000000</v>
      </c>
      <c r="AN4" s="133">
        <v>1000000</v>
      </c>
      <c r="AO4" s="48"/>
      <c r="AP4" s="78">
        <v>414</v>
      </c>
      <c r="AQ4" s="5" t="str">
        <f ca="1">VLOOKUP($AP4,OFFSET(unit_skills!$A$1,0,0,COUNTA(unit_skills!$A:$A),MATCH(AQ$1,unit_skills!$1:$1,0)-MATCH($AP$1,unit_skills!$1:$1,0)+1),MATCH(AQ$1,unit_skills!$1:$1,0)-MATCH($AP$1,unit_skills!$1:$1,0)+1,FALSE)</f>
        <v>200万DL ありがとうグヮ！</v>
      </c>
      <c r="AR4" s="5" t="str">
        <f ca="1">VLOOKUP($AP4,OFFSET(unit_skills!$A$1,0,0,COUNTA(unit_skills!$A:$A),MATCH(AR$1,unit_skills!$1:$1,0)-MATCH($AP$1,unit_skills!$1:$1,0)+1),MATCH(AR$1,unit_skills!$1:$1,0)-MATCH($AP$1,unit_skills!$1:$1,0)+1,FALSE)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4" s="5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3">
        <v>414</v>
      </c>
      <c r="AU4" s="5" t="str">
        <f ca="1">VLOOKUP($AT4,OFFSET(crash_skills!$A$1,0,0,COUNTA(crash_skills!$A:$A),MATCH(AU$1,crash_skills!$1:$1,0)-MATCH($AT$1,crash_skills!$1:$1,0)+1),MATCH(AU$1,crash_skills!$1:$1,0)-MATCH($AT$1,crash_skills!$1:$1,0)+1,FALSE)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4" s="5" t="str">
        <f ca="1">VLOOKUP($AT4,OFFSET(crash_skills!$A$1,0,0,COUNTA(crash_skills!$A:$A),MATCH(AV$1,crash_skills!$1:$1,0)-MATCH($AT$1,crash_skills!$1:$1,0)+1),MATCH(AV$1,crash_skills!$1:$1,0)-MATCH($AT$1,crash_skills!$1:$1,0)+1,FALSE)</f>
        <v>効果はないグヮ_x000D_200万DL ありがとう！</v>
      </c>
      <c r="AW4" s="5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7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124">
        <v>1</v>
      </c>
      <c r="AZ4" s="124">
        <v>1</v>
      </c>
      <c r="BA4" s="124">
        <v>0</v>
      </c>
      <c r="BB4" s="124">
        <v>1</v>
      </c>
      <c r="BC4" s="7">
        <f ca="1">INDEX('RC6SV'!$A$1:$G$15,MATCH(H4,'RC6SV'!$A$1:$A$15,FALSE),MATCH(G4,'RC6SV'!$A$1:$G$1,FALSE))</f>
        <v>1000</v>
      </c>
      <c r="BD4" s="7">
        <f t="shared" ca="1" si="6"/>
        <v>1000</v>
      </c>
      <c r="BE4" s="7">
        <f t="shared" ca="1" si="3"/>
        <v>0</v>
      </c>
      <c r="BF4" s="7">
        <f t="shared" ca="1" si="4"/>
        <v>1</v>
      </c>
      <c r="BG4" s="49">
        <v>200</v>
      </c>
      <c r="BH4" s="49">
        <v>200</v>
      </c>
      <c r="BI4" s="125">
        <f ca="1">IF($BE4&lt;=0,ROUND(BM4*0.5,0), ROUND($BE4*U4*AC4*L4*BA4*0.8*[1]ステータス!$D$2,0))</f>
        <v>0</v>
      </c>
      <c r="BJ4" s="49">
        <v>200</v>
      </c>
      <c r="BK4" s="49">
        <v>200</v>
      </c>
      <c r="BL4" s="49">
        <v>200</v>
      </c>
      <c r="BM4" s="7">
        <f ca="1">ROUND(BD4*U4*AC4*L4*BA4*[1]ステータス!$D$2,0)</f>
        <v>0</v>
      </c>
      <c r="BN4" s="49">
        <v>200</v>
      </c>
      <c r="BO4" s="6">
        <v>0</v>
      </c>
      <c r="BP4" s="6">
        <v>1</v>
      </c>
      <c r="BQ4" s="6" t="s">
        <v>53</v>
      </c>
      <c r="BR4" s="8">
        <f ca="1">VLOOKUP(H4,ghosts_label!$A$2:$B$19,2,FALSE)</f>
        <v>0</v>
      </c>
    </row>
    <row r="5" spans="1:70" ht="21" customHeight="1" x14ac:dyDescent="0.15">
      <c r="A5" s="6">
        <v>417</v>
      </c>
      <c r="B5" s="5" t="str">
        <f ca="1">VLOOKUP($A5,OFFSET([1]characters!$A$1,0,0,COUNTA([1]characters!$A:$A),MATCH(B$1,[1]characters!$1:$1,0)-MATCH($A$1,[1]characters!$1:$1,0)+1),MATCH(B$1,[1]characters!$1:$1,0)-MATCH($A$1,[1]characters!$1:$1,0)+1,FALSE)</f>
        <v>雷のミリオンダック 2</v>
      </c>
      <c r="C5" s="5" t="str">
        <f ca="1">VLOOKUP($A5,OFFSET([1]characters!$A$1,0,0,COUNTA([1]characters!$A:$A),MATCH(C$1,[1]characters!$1:$1,0)-MATCH($A$1,[1]characters!$1:$1,0)+1),MATCH(C$1,[1]characters!$1:$1,0)-MATCH($A$1,[1]characters!$1:$1,0)+1,FALSE)</f>
        <v>強化素材R6</v>
      </c>
      <c r="D5" s="5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" t="str">
        <f ca="1">VLOOKUP($A5,OFFSET([1]characters!$A$1,0,0,COUNTA([1]characters!$A:$A),MATCH(H$1,[1]characters!$1:$1,0)-MATCH($A$1,[1]characters!$1:$1,0)+1),MATCH(H$1,[1]characters!$1:$1,0)-MATCH($A$1,[1]characters!$1:$1,0)+1,FALSE)</f>
        <v>Material</v>
      </c>
      <c r="I5" s="5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7">
        <f ca="1">VLOOKUP(I5,[1]属性!$A:$E,2,FALSE)</f>
        <v>0.98</v>
      </c>
      <c r="K5" s="7">
        <f ca="1">VLOOKUP(I5,[1]属性!$A:$E,3,FALSE)</f>
        <v>1.01</v>
      </c>
      <c r="L5" s="7">
        <f ca="1">VLOOKUP(I5,[1]属性!$A:$E,4,FALSE)</f>
        <v>1</v>
      </c>
      <c r="M5" s="7">
        <f ca="1">VLOOKUP(I5,[1]属性!$A:$E,5,FALSE)</f>
        <v>1.01</v>
      </c>
      <c r="N5" s="7">
        <f ca="1">INDEX(コスト!$A$1:$I$15,MATCH(H5,コスト!$A$1:$A$15,FALSE),MATCH(G5,コスト!$A$1:$I$1,FALSE))</f>
        <v>99</v>
      </c>
      <c r="O5" s="7">
        <f ca="1">INDEX(レベル!$A$1:$I$16,MATCH(H5,レベル!$A$1:$A$16,FALSE),MATCH(G5,レベル!$A$1:$I$1,FALSE))</f>
        <v>1</v>
      </c>
      <c r="P5" s="124">
        <v>1</v>
      </c>
      <c r="Q5" s="5" t="str">
        <f ca="1">VLOOKUP($A5,OFFSET([1]characters!$A$1,0,0,COUNTA([1]characters!$A:$A),MATCH(Q$1,[1]characters!$1:$1,0)-MATCH($A$1,[1]characters!$1:$1,0)+1),MATCH(Q$1,[1]characters!$1:$1,0)-MATCH($A$1,[1]characters!$1:$1,0)+1,FALSE)</f>
        <v>exp</v>
      </c>
      <c r="R5" s="5" t="str">
        <f ca="1">VLOOKUP(Q5,[1]character_type_i18n!$A:$H,3,FALSE)</f>
        <v>強化素材タイプ</v>
      </c>
      <c r="S5" s="124">
        <v>1</v>
      </c>
      <c r="T5" s="124">
        <v>1</v>
      </c>
      <c r="U5" s="124">
        <v>1</v>
      </c>
      <c r="V5" s="7">
        <f ca="1">VLOOKUP(Q5,[1]character_type_i18n!$A:$H,7,FALSE)</f>
        <v>0.05</v>
      </c>
      <c r="W5" s="5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7">
        <f ca="1">VLOOKUP(W5,[1]character_tribe_i18n!$A:$H,4,FALSE)</f>
        <v>1</v>
      </c>
      <c r="AB5" s="7">
        <f ca="1">VLOOKUP(W5,[1]character_tribe_i18n!$A:$H,5,FALSE)</f>
        <v>1</v>
      </c>
      <c r="AC5" s="7">
        <f ca="1">VLOOKUP(W5,[1]character_tribe_i18n!$A:$H,6,FALSE)</f>
        <v>1</v>
      </c>
      <c r="AD5" s="7">
        <f ca="1">VLOOKUP(W5,[1]character_tribe_i18n!$A:$H,7,FALSE)</f>
        <v>1</v>
      </c>
      <c r="AE5" s="29" t="s">
        <v>189</v>
      </c>
      <c r="AF5" s="5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417</v>
      </c>
      <c r="AH5" s="5" t="str">
        <f ca="1">VLOOKUP($AG5,OFFSET([1]characters!$A$1,0,0,COUNTA([1]characters!$A:$A),MATCH(AH$1,[1]characters!$1:$1,0)-MATCH($A$1,[1]characters!$1:$1,0)+1),MATCH(AH$1,[1]characters!$1:$1,0)-MATCH($A$1,[1]characters!$1:$1,0)+1,FALSE)</f>
        <v>雷のミリオンダック 2</v>
      </c>
      <c r="AI5" s="7" t="str">
        <f>IF(AE5="NULL","NULL",VLOOKUP(G5,ビット!$A$2:$B$7,2))</f>
        <v>NULL</v>
      </c>
      <c r="AJ5" s="48">
        <v>2</v>
      </c>
      <c r="AK5" s="5" t="str">
        <f t="shared" ref="AK5:AK8" si="7">IF(AJ5=1,"早熟",IF(AJ5=2,"普通",IF(AJ5=3,"晩成","")))</f>
        <v>普通</v>
      </c>
      <c r="AL5" s="7" t="str">
        <f ca="1">INDEX(経験値!$A$1:$I$15,MATCH(H5,経験値!$A$1:$A$15,FALSE),MATCH(G5,経験値!$A$1:$I$1,FALSE))</f>
        <v>NULL</v>
      </c>
      <c r="AM5" s="133">
        <v>1000000</v>
      </c>
      <c r="AN5" s="133">
        <v>1000000</v>
      </c>
      <c r="AO5" s="48"/>
      <c r="AP5" s="78">
        <v>414</v>
      </c>
      <c r="AQ5" s="5" t="str">
        <f ca="1">VLOOKUP($AP5,OFFSET(unit_skills!$A$1,0,0,COUNTA(unit_skills!$A:$A),MATCH(AQ$1,unit_skills!$1:$1,0)-MATCH($AP$1,unit_skills!$1:$1,0)+1),MATCH(AQ$1,unit_skills!$1:$1,0)-MATCH($AP$1,unit_skills!$1:$1,0)+1,FALSE)</f>
        <v>200万DL ありがとうグヮ！</v>
      </c>
      <c r="AR5" s="5" t="str">
        <f ca="1">VLOOKUP($AP5,OFFSET(unit_skills!$A$1,0,0,COUNTA(unit_skills!$A:$A),MATCH(AR$1,unit_skills!$1:$1,0)-MATCH($AP$1,unit_skills!$1:$1,0)+1),MATCH(AR$1,unit_skills!$1:$1,0)-MATCH($AP$1,unit_skills!$1:$1,0)+1,FALSE)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5" s="5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3">
        <v>414</v>
      </c>
      <c r="AU5" s="5" t="str">
        <f ca="1">VLOOKUP($AT5,OFFSET(crash_skills!$A$1,0,0,COUNTA(crash_skills!$A:$A),MATCH(AU$1,crash_skills!$1:$1,0)-MATCH($AT$1,crash_skills!$1:$1,0)+1),MATCH(AU$1,crash_skills!$1:$1,0)-MATCH($AT$1,crash_skills!$1:$1,0)+1,FALSE)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5" s="5" t="str">
        <f ca="1">VLOOKUP($AT5,OFFSET(crash_skills!$A$1,0,0,COUNTA(crash_skills!$A:$A),MATCH(AV$1,crash_skills!$1:$1,0)-MATCH($AT$1,crash_skills!$1:$1,0)+1),MATCH(AV$1,crash_skills!$1:$1,0)-MATCH($AT$1,crash_skills!$1:$1,0)+1,FALSE)</f>
        <v>効果はないグヮ_x000D_200万DL ありがとう！</v>
      </c>
      <c r="AW5" s="5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7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124">
        <v>1</v>
      </c>
      <c r="AZ5" s="124">
        <v>1</v>
      </c>
      <c r="BA5" s="124">
        <v>0</v>
      </c>
      <c r="BB5" s="124">
        <v>1</v>
      </c>
      <c r="BC5" s="7">
        <f ca="1">INDEX('RC6SV'!$A$1:$G$15,MATCH(H5,'RC6SV'!$A$1:$A$15,FALSE),MATCH(G5,'RC6SV'!$A$1:$G$1,FALSE))</f>
        <v>1000</v>
      </c>
      <c r="BD5" s="7">
        <f t="shared" ref="BD5:BD8" ca="1" si="8">ROUND(BC5*IF(AJ5=1,0.95,IF(AJ5=2,1,IF(AJ5,1.05,0))),0)</f>
        <v>1000</v>
      </c>
      <c r="BE5" s="7">
        <f t="shared" ca="1" si="3"/>
        <v>0</v>
      </c>
      <c r="BF5" s="7">
        <f t="shared" ca="1" si="4"/>
        <v>1</v>
      </c>
      <c r="BG5" s="49">
        <v>200</v>
      </c>
      <c r="BH5" s="49">
        <v>200</v>
      </c>
      <c r="BI5" s="125">
        <f ca="1">IF($BE5&lt;=0,ROUND(BM5*0.5,0), ROUND($BE5*U5*AC5*L5*BA5*0.8*[1]ステータス!$D$2,0))</f>
        <v>0</v>
      </c>
      <c r="BJ5" s="49">
        <v>200</v>
      </c>
      <c r="BK5" s="49">
        <v>200</v>
      </c>
      <c r="BL5" s="49">
        <v>200</v>
      </c>
      <c r="BM5" s="7">
        <f ca="1">ROUND(BD5*U5*AC5*L5*BA5*[1]ステータス!$D$2,0)</f>
        <v>0</v>
      </c>
      <c r="BN5" s="49">
        <v>200</v>
      </c>
      <c r="BO5" s="6">
        <v>0</v>
      </c>
      <c r="BP5" s="6">
        <v>1</v>
      </c>
      <c r="BQ5" s="6" t="s">
        <v>53</v>
      </c>
      <c r="BR5" s="8">
        <f ca="1">VLOOKUP(H5,ghosts_label!$A$2:$B$19,2,FALSE)</f>
        <v>0</v>
      </c>
    </row>
    <row r="6" spans="1:70" ht="21" customHeight="1" x14ac:dyDescent="0.15">
      <c r="A6" s="6">
        <v>444</v>
      </c>
      <c r="B6" s="5" t="str">
        <f ca="1">VLOOKUP($A6,OFFSET([1]characters!$A$1,0,0,COUNTA([1]characters!$A:$A),MATCH(B$1,[1]characters!$1:$1,0)-MATCH($A$1,[1]characters!$1:$1,0)+1),MATCH(B$1,[1]characters!$1:$1,0)-MATCH($A$1,[1]characters!$1:$1,0)+1,FALSE)</f>
        <v>炎のミリオンダック 4</v>
      </c>
      <c r="C6" s="5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" t="str">
        <f ca="1">VLOOKUP($A6,OFFSET([1]characters!$A$1,0,0,COUNTA([1]characters!$A:$A),MATCH(H$1,[1]characters!$1:$1,0)-MATCH($A$1,[1]characters!$1:$1,0)+1),MATCH(H$1,[1]characters!$1:$1,0)-MATCH($A$1,[1]characters!$1:$1,0)+1,FALSE)</f>
        <v>Material</v>
      </c>
      <c r="I6" s="5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7">
        <f ca="1">VLOOKUP(I6,[1]属性!$A:$E,2,FALSE)</f>
        <v>1</v>
      </c>
      <c r="K6" s="7">
        <f ca="1">VLOOKUP(I6,[1]属性!$A:$E,3,FALSE)</f>
        <v>1.02</v>
      </c>
      <c r="L6" s="7">
        <f ca="1">VLOOKUP(I6,[1]属性!$A:$E,4,FALSE)</f>
        <v>1</v>
      </c>
      <c r="M6" s="7">
        <f ca="1">VLOOKUP(I6,[1]属性!$A:$E,5,FALSE)</f>
        <v>0.98</v>
      </c>
      <c r="N6" s="7">
        <f ca="1">INDEX(コスト!$A$1:$I$15,MATCH(H6,コスト!$A$1:$A$15,FALSE),MATCH(G6,コスト!$A$1:$I$1,FALSE))</f>
        <v>99</v>
      </c>
      <c r="O6" s="7">
        <f ca="1">INDEX(レベル!$A$1:$I$16,MATCH(H6,レベル!$A$1:$A$16,FALSE),MATCH(G6,レベル!$A$1:$I$1,FALSE))</f>
        <v>1</v>
      </c>
      <c r="P6" s="124">
        <v>1</v>
      </c>
      <c r="Q6" s="5" t="str">
        <f ca="1">VLOOKUP($A6,OFFSET([1]characters!$A$1,0,0,COUNTA([1]characters!$A:$A),MATCH(Q$1,[1]characters!$1:$1,0)-MATCH($A$1,[1]characters!$1:$1,0)+1),MATCH(Q$1,[1]characters!$1:$1,0)-MATCH($A$1,[1]characters!$1:$1,0)+1,FALSE)</f>
        <v>exp</v>
      </c>
      <c r="R6" s="5" t="str">
        <f ca="1">VLOOKUP(Q6,[1]character_type_i18n!$A:$H,3,FALSE)</f>
        <v>強化素材タイプ</v>
      </c>
      <c r="S6" s="124">
        <v>1</v>
      </c>
      <c r="T6" s="124">
        <v>1</v>
      </c>
      <c r="U6" s="124">
        <v>1</v>
      </c>
      <c r="V6" s="7">
        <f ca="1">VLOOKUP(Q6,[1]character_type_i18n!$A:$H,7,FALSE)</f>
        <v>0.05</v>
      </c>
      <c r="W6" s="5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7">
        <f ca="1">VLOOKUP(W6,[1]character_tribe_i18n!$A:$H,4,FALSE)</f>
        <v>1</v>
      </c>
      <c r="AB6" s="7">
        <f ca="1">VLOOKUP(W6,[1]character_tribe_i18n!$A:$H,5,FALSE)</f>
        <v>1</v>
      </c>
      <c r="AC6" s="7">
        <f ca="1">VLOOKUP(W6,[1]character_tribe_i18n!$A:$H,6,FALSE)</f>
        <v>1</v>
      </c>
      <c r="AD6" s="7">
        <f ca="1">VLOOKUP(W6,[1]character_tribe_i18n!$A:$H,7,FALSE)</f>
        <v>1</v>
      </c>
      <c r="AE6" s="29" t="s">
        <v>189</v>
      </c>
      <c r="AF6" s="5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0"/>
        <v>444</v>
      </c>
      <c r="AH6" s="5" t="str">
        <f ca="1">VLOOKUP($AG6,OFFSET([1]characters!$A$1,0,0,COUNTA([1]characters!$A:$A),MATCH(AH$1,[1]characters!$1:$1,0)-MATCH($A$1,[1]characters!$1:$1,0)+1),MATCH(AH$1,[1]characters!$1:$1,0)-MATCH($A$1,[1]characters!$1:$1,0)+1,FALSE)</f>
        <v>炎のミリオンダック 4</v>
      </c>
      <c r="AI6" s="7" t="str">
        <f>IF(AE6="NULL","NULL",VLOOKUP(G6,ビット!$A$2:$B$7,2))</f>
        <v>NULL</v>
      </c>
      <c r="AJ6" s="48">
        <v>2</v>
      </c>
      <c r="AK6" s="5" t="str">
        <f t="shared" si="7"/>
        <v>普通</v>
      </c>
      <c r="AL6" s="7" t="str">
        <f ca="1">INDEX(経験値!$A$1:$I$15,MATCH(H6,経験値!$A$1:$A$15,FALSE),MATCH(G6,経験値!$A$1:$I$1,FALSE))</f>
        <v>NULL</v>
      </c>
      <c r="AM6" s="133">
        <v>1000000</v>
      </c>
      <c r="AN6" s="133">
        <v>1000000</v>
      </c>
      <c r="AO6" s="48"/>
      <c r="AP6" s="78">
        <v>444</v>
      </c>
      <c r="AQ6" s="5" t="str">
        <f ca="1">VLOOKUP($AP6,OFFSET(unit_skills!$A$1,0,0,COUNTA(unit_skills!$A:$A),MATCH(AQ$1,unit_skills!$1:$1,0)-MATCH($AP$1,unit_skills!$1:$1,0)+1),MATCH(AQ$1,unit_skills!$1:$1,0)-MATCH($AP$1,unit_skills!$1:$1,0)+1,FALSE)</f>
        <v>400万DL ありがとうグヮ！</v>
      </c>
      <c r="AR6" s="5" t="str">
        <f ca="1">VLOOKUP($AP6,OFFSET(unit_skills!$A$1,0,0,COUNTA(unit_skills!$A:$A),MATCH(AR$1,unit_skills!$1:$1,0)-MATCH($AP$1,unit_skills!$1:$1,0)+1),MATCH(AR$1,unit_skills!$1:$1,0)-MATCH($AP$1,unit_skills!$1:$1,0)+1,FALSE)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6" s="5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3">
        <v>444</v>
      </c>
      <c r="AU6" s="5" t="str">
        <f ca="1">VLOOKUP($AT6,OFFSET(crash_skills!$A$1,0,0,COUNTA(crash_skills!$A:$A),MATCH(AU$1,crash_skills!$1:$1,0)-MATCH($AT$1,crash_skills!$1:$1,0)+1),MATCH(AU$1,crash_skills!$1:$1,0)-MATCH($AT$1,crash_skills!$1:$1,0)+1,FALSE)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6" s="5" t="str">
        <f ca="1">VLOOKUP($AT6,OFFSET(crash_skills!$A$1,0,0,COUNTA(crash_skills!$A:$A),MATCH(AV$1,crash_skills!$1:$1,0)-MATCH($AT$1,crash_skills!$1:$1,0)+1),MATCH(AV$1,crash_skills!$1:$1,0)-MATCH($AT$1,crash_skills!$1:$1,0)+1,FALSE)</f>
        <v>効果はないグヮ_x000D_400万DL ありがとう！</v>
      </c>
      <c r="AW6" s="5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7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124">
        <v>1</v>
      </c>
      <c r="AZ6" s="124">
        <v>1</v>
      </c>
      <c r="BA6" s="124">
        <v>0</v>
      </c>
      <c r="BB6" s="124">
        <v>1</v>
      </c>
      <c r="BC6" s="7">
        <f ca="1">INDEX('RC6SV'!$A$1:$G$15,MATCH(H6,'RC6SV'!$A$1:$A$15,FALSE),MATCH(G6,'RC6SV'!$A$1:$G$1,FALSE))</f>
        <v>1000</v>
      </c>
      <c r="BD6" s="7">
        <f t="shared" ca="1" si="8"/>
        <v>1000</v>
      </c>
      <c r="BE6" s="7">
        <f t="shared" ca="1" si="3"/>
        <v>0</v>
      </c>
      <c r="BF6" s="7">
        <f t="shared" ca="1" si="4"/>
        <v>1</v>
      </c>
      <c r="BG6" s="49">
        <v>400</v>
      </c>
      <c r="BH6" s="49">
        <v>400</v>
      </c>
      <c r="BI6" s="125">
        <f ca="1">IF($BE6&lt;=0,ROUND(BM6*0.5,0), ROUND($BE6*U6*AC6*L6*BA6*0.8*[1]ステータス!$D$2,0))</f>
        <v>0</v>
      </c>
      <c r="BJ6" s="49">
        <v>400</v>
      </c>
      <c r="BK6" s="49">
        <v>400</v>
      </c>
      <c r="BL6" s="49">
        <v>400</v>
      </c>
      <c r="BM6" s="7">
        <f ca="1">ROUND(BD6*U6*AC6*L6*BA6*[1]ステータス!$D$2,0)</f>
        <v>0</v>
      </c>
      <c r="BN6" s="49">
        <v>400</v>
      </c>
      <c r="BO6" s="6">
        <v>0</v>
      </c>
      <c r="BP6" s="6">
        <v>1</v>
      </c>
      <c r="BQ6" s="6" t="s">
        <v>53</v>
      </c>
      <c r="BR6" s="8">
        <f ca="1">VLOOKUP(H6,ghosts_label!$A$2:$B$19,2,FALSE)</f>
        <v>0</v>
      </c>
    </row>
    <row r="7" spans="1:70" ht="21" customHeight="1" x14ac:dyDescent="0.15">
      <c r="A7" s="6">
        <v>445</v>
      </c>
      <c r="B7" s="5" t="str">
        <f ca="1">VLOOKUP($A7,OFFSET([1]characters!$A$1,0,0,COUNTA([1]characters!$A:$A),MATCH(B$1,[1]characters!$1:$1,0)-MATCH($A$1,[1]characters!$1:$1,0)+1),MATCH(B$1,[1]characters!$1:$1,0)-MATCH($A$1,[1]characters!$1:$1,0)+1,FALSE)</f>
        <v>森のミリオンダック 4</v>
      </c>
      <c r="C7" s="5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" t="str">
        <f ca="1">VLOOKUP($A7,OFFSET([1]characters!$A$1,0,0,COUNTA([1]characters!$A:$A),MATCH(H$1,[1]characters!$1:$1,0)-MATCH($A$1,[1]characters!$1:$1,0)+1),MATCH(H$1,[1]characters!$1:$1,0)-MATCH($A$1,[1]characters!$1:$1,0)+1,FALSE)</f>
        <v>Material</v>
      </c>
      <c r="I7" s="5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7">
        <f ca="1">VLOOKUP(I7,[1]属性!$A:$E,2,FALSE)</f>
        <v>1.02</v>
      </c>
      <c r="K7" s="7">
        <f ca="1">VLOOKUP(I7,[1]属性!$A:$E,3,FALSE)</f>
        <v>0.98</v>
      </c>
      <c r="L7" s="7">
        <f ca="1">VLOOKUP(I7,[1]属性!$A:$E,4,FALSE)</f>
        <v>1</v>
      </c>
      <c r="M7" s="7">
        <f ca="1">VLOOKUP(I7,[1]属性!$A:$E,5,FALSE)</f>
        <v>1</v>
      </c>
      <c r="N7" s="7">
        <f ca="1">INDEX(コスト!$A$1:$I$15,MATCH(H7,コスト!$A$1:$A$15,FALSE),MATCH(G7,コスト!$A$1:$I$1,FALSE))</f>
        <v>99</v>
      </c>
      <c r="O7" s="7">
        <f ca="1">INDEX(レベル!$A$1:$I$16,MATCH(H7,レベル!$A$1:$A$16,FALSE),MATCH(G7,レベル!$A$1:$I$1,FALSE))</f>
        <v>1</v>
      </c>
      <c r="P7" s="124">
        <v>1</v>
      </c>
      <c r="Q7" s="5" t="str">
        <f ca="1">VLOOKUP($A7,OFFSET([1]characters!$A$1,0,0,COUNTA([1]characters!$A:$A),MATCH(Q$1,[1]characters!$1:$1,0)-MATCH($A$1,[1]characters!$1:$1,0)+1),MATCH(Q$1,[1]characters!$1:$1,0)-MATCH($A$1,[1]characters!$1:$1,0)+1,FALSE)</f>
        <v>exp</v>
      </c>
      <c r="R7" s="5" t="str">
        <f ca="1">VLOOKUP(Q7,[1]character_type_i18n!$A:$H,3,FALSE)</f>
        <v>強化素材タイプ</v>
      </c>
      <c r="S7" s="124">
        <v>1</v>
      </c>
      <c r="T7" s="124">
        <v>1</v>
      </c>
      <c r="U7" s="124">
        <v>1</v>
      </c>
      <c r="V7" s="7">
        <f ca="1">VLOOKUP(Q7,[1]character_type_i18n!$A:$H,7,FALSE)</f>
        <v>0.05</v>
      </c>
      <c r="W7" s="5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7">
        <f ca="1">VLOOKUP(W7,[1]character_tribe_i18n!$A:$H,4,FALSE)</f>
        <v>1</v>
      </c>
      <c r="AB7" s="7">
        <f ca="1">VLOOKUP(W7,[1]character_tribe_i18n!$A:$H,5,FALSE)</f>
        <v>1</v>
      </c>
      <c r="AC7" s="7">
        <f ca="1">VLOOKUP(W7,[1]character_tribe_i18n!$A:$H,6,FALSE)</f>
        <v>1</v>
      </c>
      <c r="AD7" s="7">
        <f ca="1">VLOOKUP(W7,[1]character_tribe_i18n!$A:$H,7,FALSE)</f>
        <v>1</v>
      </c>
      <c r="AE7" s="29" t="s">
        <v>189</v>
      </c>
      <c r="AF7" s="5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445</v>
      </c>
      <c r="AH7" s="5" t="str">
        <f ca="1">VLOOKUP($AG7,OFFSET([1]characters!$A$1,0,0,COUNTA([1]characters!$A:$A),MATCH(AH$1,[1]characters!$1:$1,0)-MATCH($A$1,[1]characters!$1:$1,0)+1),MATCH(AH$1,[1]characters!$1:$1,0)-MATCH($A$1,[1]characters!$1:$1,0)+1,FALSE)</f>
        <v>森のミリオンダック 4</v>
      </c>
      <c r="AI7" s="7" t="str">
        <f>IF(AE7="NULL","NULL",VLOOKUP(G7,ビット!$A$2:$B$7,2))</f>
        <v>NULL</v>
      </c>
      <c r="AJ7" s="48">
        <v>2</v>
      </c>
      <c r="AK7" s="5" t="str">
        <f t="shared" si="7"/>
        <v>普通</v>
      </c>
      <c r="AL7" s="7" t="str">
        <f ca="1">INDEX(経験値!$A$1:$I$15,MATCH(H7,経験値!$A$1:$A$15,FALSE),MATCH(G7,経験値!$A$1:$I$1,FALSE))</f>
        <v>NULL</v>
      </c>
      <c r="AM7" s="133">
        <v>1000000</v>
      </c>
      <c r="AN7" s="133">
        <v>1000000</v>
      </c>
      <c r="AO7" s="48"/>
      <c r="AP7" s="78">
        <v>444</v>
      </c>
      <c r="AQ7" s="5" t="str">
        <f ca="1">VLOOKUP($AP7,OFFSET(unit_skills!$A$1,0,0,COUNTA(unit_skills!$A:$A),MATCH(AQ$1,unit_skills!$1:$1,0)-MATCH($AP$1,unit_skills!$1:$1,0)+1),MATCH(AQ$1,unit_skills!$1:$1,0)-MATCH($AP$1,unit_skills!$1:$1,0)+1,FALSE)</f>
        <v>400万DL ありがとうグヮ！</v>
      </c>
      <c r="AR7" s="5" t="str">
        <f ca="1">VLOOKUP($AP7,OFFSET(unit_skills!$A$1,0,0,COUNTA(unit_skills!$A:$A),MATCH(AR$1,unit_skills!$1:$1,0)-MATCH($AP$1,unit_skills!$1:$1,0)+1),MATCH(AR$1,unit_skills!$1:$1,0)-MATCH($AP$1,unit_skills!$1:$1,0)+1,FALSE)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7" s="5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3">
        <v>444</v>
      </c>
      <c r="AU7" s="5" t="str">
        <f ca="1">VLOOKUP($AT7,OFFSET(crash_skills!$A$1,0,0,COUNTA(crash_skills!$A:$A),MATCH(AU$1,crash_skills!$1:$1,0)-MATCH($AT$1,crash_skills!$1:$1,0)+1),MATCH(AU$1,crash_skills!$1:$1,0)-MATCH($AT$1,crash_skills!$1:$1,0)+1,FALSE)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7" s="5" t="str">
        <f ca="1">VLOOKUP($AT7,OFFSET(crash_skills!$A$1,0,0,COUNTA(crash_skills!$A:$A),MATCH(AV$1,crash_skills!$1:$1,0)-MATCH($AT$1,crash_skills!$1:$1,0)+1),MATCH(AV$1,crash_skills!$1:$1,0)-MATCH($AT$1,crash_skills!$1:$1,0)+1,FALSE)</f>
        <v>効果はないグヮ_x000D_400万DL ありがとう！</v>
      </c>
      <c r="AW7" s="5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7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124">
        <v>1</v>
      </c>
      <c r="AZ7" s="124">
        <v>1</v>
      </c>
      <c r="BA7" s="124">
        <v>0</v>
      </c>
      <c r="BB7" s="124">
        <v>1</v>
      </c>
      <c r="BC7" s="7">
        <f ca="1">INDEX('RC6SV'!$A$1:$G$15,MATCH(H7,'RC6SV'!$A$1:$A$15,FALSE),MATCH(G7,'RC6SV'!$A$1:$G$1,FALSE))</f>
        <v>1000</v>
      </c>
      <c r="BD7" s="7">
        <f t="shared" ca="1" si="8"/>
        <v>1000</v>
      </c>
      <c r="BE7" s="7">
        <f t="shared" ca="1" si="3"/>
        <v>0</v>
      </c>
      <c r="BF7" s="7">
        <f t="shared" ca="1" si="4"/>
        <v>1</v>
      </c>
      <c r="BG7" s="49">
        <v>400</v>
      </c>
      <c r="BH7" s="49">
        <v>400</v>
      </c>
      <c r="BI7" s="125">
        <f ca="1">IF($BE7&lt;=0,ROUND(BM7*0.5,0), ROUND($BE7*U7*AC7*L7*BA7*0.8*[1]ステータス!$D$2,0))</f>
        <v>0</v>
      </c>
      <c r="BJ7" s="49">
        <v>400</v>
      </c>
      <c r="BK7" s="49">
        <v>400</v>
      </c>
      <c r="BL7" s="49">
        <v>400</v>
      </c>
      <c r="BM7" s="7">
        <f ca="1">ROUND(BD7*U7*AC7*L7*BA7*[1]ステータス!$D$2,0)</f>
        <v>0</v>
      </c>
      <c r="BN7" s="49">
        <v>400</v>
      </c>
      <c r="BO7" s="6">
        <v>0</v>
      </c>
      <c r="BP7" s="6">
        <v>1</v>
      </c>
      <c r="BQ7" s="6" t="s">
        <v>53</v>
      </c>
      <c r="BR7" s="8">
        <f ca="1">VLOOKUP(H7,ghosts_label!$A$2:$B$19,2,FALSE)</f>
        <v>0</v>
      </c>
    </row>
    <row r="8" spans="1:70" ht="21" customHeight="1" x14ac:dyDescent="0.15">
      <c r="A8" s="6">
        <v>446</v>
      </c>
      <c r="B8" s="5" t="str">
        <f ca="1">VLOOKUP($A8,OFFSET([1]characters!$A$1,0,0,COUNTA([1]characters!$A:$A),MATCH(B$1,[1]characters!$1:$1,0)-MATCH($A$1,[1]characters!$1:$1,0)+1),MATCH(B$1,[1]characters!$1:$1,0)-MATCH($A$1,[1]characters!$1:$1,0)+1,FALSE)</f>
        <v>水のミリオンダック 4</v>
      </c>
      <c r="C8" s="5" t="str">
        <f ca="1">VLOOKUP($A8,OFFSET([1]characters!$A$1,0,0,COUNTA([1]characters!$A:$A),MATCH(C$1,[1]characters!$1:$1,0)-MATCH($A$1,[1]characters!$1:$1,0)+1),MATCH(C$1,[1]characters!$1:$1,0)-MATCH($A$1,[1]characters!$1:$1,0)+1,FALSE)</f>
        <v>未定</v>
      </c>
      <c r="D8" s="5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" t="str">
        <f ca="1">VLOOKUP($A8,OFFSET([1]characters!$A$1,0,0,COUNTA([1]characters!$A:$A),MATCH(H$1,[1]characters!$1:$1,0)-MATCH($A$1,[1]characters!$1:$1,0)+1),MATCH(H$1,[1]characters!$1:$1,0)-MATCH($A$1,[1]characters!$1:$1,0)+1,FALSE)</f>
        <v>Material</v>
      </c>
      <c r="I8" s="5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7">
        <f ca="1">VLOOKUP(I8,[1]属性!$A:$E,2,FALSE)</f>
        <v>1</v>
      </c>
      <c r="K8" s="7">
        <f ca="1">VLOOKUP(I8,[1]属性!$A:$E,3,FALSE)</f>
        <v>0.98</v>
      </c>
      <c r="L8" s="7">
        <f ca="1">VLOOKUP(I8,[1]属性!$A:$E,4,FALSE)</f>
        <v>1</v>
      </c>
      <c r="M8" s="7">
        <f ca="1">VLOOKUP(I8,[1]属性!$A:$E,5,FALSE)</f>
        <v>1.02</v>
      </c>
      <c r="N8" s="7">
        <f ca="1">INDEX(コスト!$A$1:$I$15,MATCH(H8,コスト!$A$1:$A$15,FALSE),MATCH(G8,コスト!$A$1:$I$1,FALSE))</f>
        <v>99</v>
      </c>
      <c r="O8" s="7">
        <f ca="1">INDEX(レベル!$A$1:$I$16,MATCH(H8,レベル!$A$1:$A$16,FALSE),MATCH(G8,レベル!$A$1:$I$1,FALSE))</f>
        <v>1</v>
      </c>
      <c r="P8" s="124">
        <v>1</v>
      </c>
      <c r="Q8" s="5" t="str">
        <f ca="1">VLOOKUP($A8,OFFSET([1]characters!$A$1,0,0,COUNTA([1]characters!$A:$A),MATCH(Q$1,[1]characters!$1:$1,0)-MATCH($A$1,[1]characters!$1:$1,0)+1),MATCH(Q$1,[1]characters!$1:$1,0)-MATCH($A$1,[1]characters!$1:$1,0)+1,FALSE)</f>
        <v>exp</v>
      </c>
      <c r="R8" s="5" t="str">
        <f ca="1">VLOOKUP(Q8,[1]character_type_i18n!$A:$H,3,FALSE)</f>
        <v>強化素材タイプ</v>
      </c>
      <c r="S8" s="124">
        <v>1</v>
      </c>
      <c r="T8" s="124">
        <v>1</v>
      </c>
      <c r="U8" s="124">
        <v>1</v>
      </c>
      <c r="V8" s="7">
        <f ca="1">VLOOKUP(Q8,[1]character_type_i18n!$A:$H,7,FALSE)</f>
        <v>0.05</v>
      </c>
      <c r="W8" s="5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7">
        <f ca="1">VLOOKUP(W8,[1]character_tribe_i18n!$A:$H,4,FALSE)</f>
        <v>1</v>
      </c>
      <c r="AB8" s="7">
        <f ca="1">VLOOKUP(W8,[1]character_tribe_i18n!$A:$H,5,FALSE)</f>
        <v>1</v>
      </c>
      <c r="AC8" s="7">
        <f ca="1">VLOOKUP(W8,[1]character_tribe_i18n!$A:$H,6,FALSE)</f>
        <v>1</v>
      </c>
      <c r="AD8" s="7">
        <f ca="1">VLOOKUP(W8,[1]character_tribe_i18n!$A:$H,7,FALSE)</f>
        <v>1</v>
      </c>
      <c r="AE8" s="29" t="s">
        <v>189</v>
      </c>
      <c r="AF8" s="5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0"/>
        <v>446</v>
      </c>
      <c r="AH8" s="5" t="str">
        <f ca="1">VLOOKUP($AG8,OFFSET([1]characters!$A$1,0,0,COUNTA([1]characters!$A:$A),MATCH(AH$1,[1]characters!$1:$1,0)-MATCH($A$1,[1]characters!$1:$1,0)+1),MATCH(AH$1,[1]characters!$1:$1,0)-MATCH($A$1,[1]characters!$1:$1,0)+1,FALSE)</f>
        <v>水のミリオンダック 4</v>
      </c>
      <c r="AI8" s="7" t="str">
        <f>IF(AE8="NULL","NULL",VLOOKUP(G8,ビット!$A$2:$B$7,2))</f>
        <v>NULL</v>
      </c>
      <c r="AJ8" s="48">
        <v>2</v>
      </c>
      <c r="AK8" s="5" t="str">
        <f t="shared" si="7"/>
        <v>普通</v>
      </c>
      <c r="AL8" s="7" t="str">
        <f ca="1">INDEX(経験値!$A$1:$I$15,MATCH(H8,経験値!$A$1:$A$15,FALSE),MATCH(G8,経験値!$A$1:$I$1,FALSE))</f>
        <v>NULL</v>
      </c>
      <c r="AM8" s="133">
        <v>1000000</v>
      </c>
      <c r="AN8" s="133">
        <v>1000000</v>
      </c>
      <c r="AO8" s="48"/>
      <c r="AP8" s="78">
        <v>444</v>
      </c>
      <c r="AQ8" s="5" t="str">
        <f ca="1">VLOOKUP($AP8,OFFSET(unit_skills!$A$1,0,0,COUNTA(unit_skills!$A:$A),MATCH(AQ$1,unit_skills!$1:$1,0)-MATCH($AP$1,unit_skills!$1:$1,0)+1),MATCH(AQ$1,unit_skills!$1:$1,0)-MATCH($AP$1,unit_skills!$1:$1,0)+1,FALSE)</f>
        <v>400万DL ありがとうグヮ！</v>
      </c>
      <c r="AR8" s="5" t="str">
        <f ca="1">VLOOKUP($AP8,OFFSET(unit_skills!$A$1,0,0,COUNTA(unit_skills!$A:$A),MATCH(AR$1,unit_skills!$1:$1,0)-MATCH($AP$1,unit_skills!$1:$1,0)+1),MATCH(AR$1,unit_skills!$1:$1,0)-MATCH($AP$1,unit_skills!$1:$1,0)+1,FALSE)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8" s="5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3">
        <v>444</v>
      </c>
      <c r="AU8" s="5" t="str">
        <f ca="1">VLOOKUP($AT8,OFFSET(crash_skills!$A$1,0,0,COUNTA(crash_skills!$A:$A),MATCH(AU$1,crash_skills!$1:$1,0)-MATCH($AT$1,crash_skills!$1:$1,0)+1),MATCH(AU$1,crash_skills!$1:$1,0)-MATCH($AT$1,crash_skills!$1:$1,0)+1,FALSE)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8" s="5" t="str">
        <f ca="1">VLOOKUP($AT8,OFFSET(crash_skills!$A$1,0,0,COUNTA(crash_skills!$A:$A),MATCH(AV$1,crash_skills!$1:$1,0)-MATCH($AT$1,crash_skills!$1:$1,0)+1),MATCH(AV$1,crash_skills!$1:$1,0)-MATCH($AT$1,crash_skills!$1:$1,0)+1,FALSE)</f>
        <v>効果はないグヮ_x000D_400万DL ありがとう！</v>
      </c>
      <c r="AW8" s="5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7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124">
        <v>1</v>
      </c>
      <c r="AZ8" s="124">
        <v>1</v>
      </c>
      <c r="BA8" s="124">
        <v>0</v>
      </c>
      <c r="BB8" s="124">
        <v>1</v>
      </c>
      <c r="BC8" s="7">
        <f ca="1">INDEX('RC6SV'!$A$1:$G$15,MATCH(H8,'RC6SV'!$A$1:$A$15,FALSE),MATCH(G8,'RC6SV'!$A$1:$G$1,FALSE))</f>
        <v>1000</v>
      </c>
      <c r="BD8" s="7">
        <f t="shared" ca="1" si="8"/>
        <v>1000</v>
      </c>
      <c r="BE8" s="7">
        <f t="shared" ca="1" si="3"/>
        <v>0</v>
      </c>
      <c r="BF8" s="7">
        <f t="shared" ca="1" si="4"/>
        <v>1</v>
      </c>
      <c r="BG8" s="49">
        <v>400</v>
      </c>
      <c r="BH8" s="49">
        <v>400</v>
      </c>
      <c r="BI8" s="125">
        <f ca="1">IF($BE8&lt;=0,ROUND(BM8*0.5,0), ROUND($BE8*U8*AC8*L8*BA8*0.8*[1]ステータス!$D$2,0))</f>
        <v>0</v>
      </c>
      <c r="BJ8" s="49">
        <v>400</v>
      </c>
      <c r="BK8" s="49">
        <v>400</v>
      </c>
      <c r="BL8" s="49">
        <v>400</v>
      </c>
      <c r="BM8" s="7">
        <f ca="1">ROUND(BD8*U8*AC8*L8*BA8*[1]ステータス!$D$2,0)</f>
        <v>0</v>
      </c>
      <c r="BN8" s="49">
        <v>400</v>
      </c>
      <c r="BO8" s="6">
        <v>0</v>
      </c>
      <c r="BP8" s="6">
        <v>1</v>
      </c>
      <c r="BQ8" s="6" t="s">
        <v>53</v>
      </c>
      <c r="BR8" s="8">
        <f ca="1">VLOOKUP(H8,ghosts_label!$A$2:$B$19,2,FALSE)</f>
        <v>0</v>
      </c>
    </row>
    <row r="9" spans="1:70" ht="21" customHeight="1" x14ac:dyDescent="0.15">
      <c r="A9" s="6">
        <v>447</v>
      </c>
      <c r="B9" s="5" t="str">
        <f ca="1">VLOOKUP($A9,OFFSET([1]characters!$A$1,0,0,COUNTA([1]characters!$A:$A),MATCH(B$1,[1]characters!$1:$1,0)-MATCH($A$1,[1]characters!$1:$1,0)+1),MATCH(B$1,[1]characters!$1:$1,0)-MATCH($A$1,[1]characters!$1:$1,0)+1,FALSE)</f>
        <v>雷のミリオンダック 4</v>
      </c>
      <c r="C9" s="5" t="str">
        <f ca="1">VLOOKUP($A9,OFFSET([1]characters!$A$1,0,0,COUNTA([1]characters!$A:$A),MATCH(C$1,[1]characters!$1:$1,0)-MATCH($A$1,[1]characters!$1:$1,0)+1),MATCH(C$1,[1]characters!$1:$1,0)-MATCH($A$1,[1]characters!$1:$1,0)+1,FALSE)</f>
        <v>未定</v>
      </c>
      <c r="D9" s="5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" t="str">
        <f ca="1">VLOOKUP($A9,OFFSET([1]characters!$A$1,0,0,COUNTA([1]characters!$A:$A),MATCH(H$1,[1]characters!$1:$1,0)-MATCH($A$1,[1]characters!$1:$1,0)+1),MATCH(H$1,[1]characters!$1:$1,0)-MATCH($A$1,[1]characters!$1:$1,0)+1,FALSE)</f>
        <v>Material</v>
      </c>
      <c r="I9" s="5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7">
        <f ca="1">VLOOKUP(I9,[1]属性!$A:$E,2,FALSE)</f>
        <v>0.98</v>
      </c>
      <c r="K9" s="7">
        <f ca="1">VLOOKUP(I9,[1]属性!$A:$E,3,FALSE)</f>
        <v>1.01</v>
      </c>
      <c r="L9" s="7">
        <f ca="1">VLOOKUP(I9,[1]属性!$A:$E,4,FALSE)</f>
        <v>1</v>
      </c>
      <c r="M9" s="7">
        <f ca="1">VLOOKUP(I9,[1]属性!$A:$E,5,FALSE)</f>
        <v>1.01</v>
      </c>
      <c r="N9" s="7">
        <f ca="1">INDEX(コスト!$A$1:$I$15,MATCH(H9,コスト!$A$1:$A$15,FALSE),MATCH(G9,コスト!$A$1:$I$1,FALSE))</f>
        <v>99</v>
      </c>
      <c r="O9" s="7">
        <f ca="1">INDEX(レベル!$A$1:$I$16,MATCH(H9,レベル!$A$1:$A$16,FALSE),MATCH(G9,レベル!$A$1:$I$1,FALSE))</f>
        <v>1</v>
      </c>
      <c r="P9" s="124">
        <v>1</v>
      </c>
      <c r="Q9" s="5" t="str">
        <f ca="1">VLOOKUP($A9,OFFSET([1]characters!$A$1,0,0,COUNTA([1]characters!$A:$A),MATCH(Q$1,[1]characters!$1:$1,0)-MATCH($A$1,[1]characters!$1:$1,0)+1),MATCH(Q$1,[1]characters!$1:$1,0)-MATCH($A$1,[1]characters!$1:$1,0)+1,FALSE)</f>
        <v>exp</v>
      </c>
      <c r="R9" s="5" t="str">
        <f ca="1">VLOOKUP(Q9,[1]character_type_i18n!$A:$H,3,FALSE)</f>
        <v>強化素材タイプ</v>
      </c>
      <c r="S9" s="124">
        <v>1</v>
      </c>
      <c r="T9" s="124">
        <v>1</v>
      </c>
      <c r="U9" s="124">
        <v>1</v>
      </c>
      <c r="V9" s="7">
        <f ca="1">VLOOKUP(Q9,[1]character_type_i18n!$A:$H,7,FALSE)</f>
        <v>0.05</v>
      </c>
      <c r="W9" s="5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7">
        <f ca="1">VLOOKUP(W9,[1]character_tribe_i18n!$A:$H,4,FALSE)</f>
        <v>1</v>
      </c>
      <c r="AB9" s="7">
        <f ca="1">VLOOKUP(W9,[1]character_tribe_i18n!$A:$H,5,FALSE)</f>
        <v>1</v>
      </c>
      <c r="AC9" s="7">
        <f ca="1">VLOOKUP(W9,[1]character_tribe_i18n!$A:$H,6,FALSE)</f>
        <v>1</v>
      </c>
      <c r="AD9" s="7">
        <f ca="1">VLOOKUP(W9,[1]character_tribe_i18n!$A:$H,7,FALSE)</f>
        <v>1</v>
      </c>
      <c r="AE9" s="29" t="s">
        <v>189</v>
      </c>
      <c r="AF9" s="5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447</v>
      </c>
      <c r="AH9" s="5" t="str">
        <f ca="1">VLOOKUP($AG9,OFFSET([1]characters!$A$1,0,0,COUNTA([1]characters!$A:$A),MATCH(AH$1,[1]characters!$1:$1,0)-MATCH($A$1,[1]characters!$1:$1,0)+1),MATCH(AH$1,[1]characters!$1:$1,0)-MATCH($A$1,[1]characters!$1:$1,0)+1,FALSE)</f>
        <v>雷のミリオンダック 4</v>
      </c>
      <c r="AI9" s="7" t="str">
        <f>IF(AE9="NULL","NULL",VLOOKUP(G9,ビット!$A$2:$B$7,2))</f>
        <v>NULL</v>
      </c>
      <c r="AJ9" s="48">
        <v>2</v>
      </c>
      <c r="AK9" s="5" t="str">
        <f t="shared" ref="AK9" si="9">IF(AJ9=1,"早熟",IF(AJ9=2,"普通",IF(AJ9=3,"晩成","")))</f>
        <v>普通</v>
      </c>
      <c r="AL9" s="7" t="str">
        <f ca="1">INDEX(経験値!$A$1:$I$15,MATCH(H9,経験値!$A$1:$A$15,FALSE),MATCH(G9,経験値!$A$1:$I$1,FALSE))</f>
        <v>NULL</v>
      </c>
      <c r="AM9" s="133">
        <v>1000000</v>
      </c>
      <c r="AN9" s="133">
        <v>1000000</v>
      </c>
      <c r="AO9" s="48"/>
      <c r="AP9" s="78">
        <v>444</v>
      </c>
      <c r="AQ9" s="5" t="str">
        <f ca="1">VLOOKUP($AP9,OFFSET(unit_skills!$A$1,0,0,COUNTA(unit_skills!$A:$A),MATCH(AQ$1,unit_skills!$1:$1,0)-MATCH($AP$1,unit_skills!$1:$1,0)+1),MATCH(AQ$1,unit_skills!$1:$1,0)-MATCH($AP$1,unit_skills!$1:$1,0)+1,FALSE)</f>
        <v>400万DL ありがとうグヮ！</v>
      </c>
      <c r="AR9" s="5" t="str">
        <f ca="1">VLOOKUP($AP9,OFFSET(unit_skills!$A$1,0,0,COUNTA(unit_skills!$A:$A),MATCH(AR$1,unit_skills!$1:$1,0)-MATCH($AP$1,unit_skills!$1:$1,0)+1),MATCH(AR$1,unit_skills!$1:$1,0)-MATCH($AP$1,unit_skills!$1:$1,0)+1,FALSE)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9" s="5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3">
        <v>444</v>
      </c>
      <c r="AU9" s="5" t="str">
        <f ca="1">VLOOKUP($AT9,OFFSET(crash_skills!$A$1,0,0,COUNTA(crash_skills!$A:$A),MATCH(AU$1,crash_skills!$1:$1,0)-MATCH($AT$1,crash_skills!$1:$1,0)+1),MATCH(AU$1,crash_skills!$1:$1,0)-MATCH($AT$1,crash_skills!$1:$1,0)+1,FALSE)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9" s="5" t="str">
        <f ca="1">VLOOKUP($AT9,OFFSET(crash_skills!$A$1,0,0,COUNTA(crash_skills!$A:$A),MATCH(AV$1,crash_skills!$1:$1,0)-MATCH($AT$1,crash_skills!$1:$1,0)+1),MATCH(AV$1,crash_skills!$1:$1,0)-MATCH($AT$1,crash_skills!$1:$1,0)+1,FALSE)</f>
        <v>効果はないグヮ_x000D_400万DL ありがとう！</v>
      </c>
      <c r="AW9" s="5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7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124">
        <v>1</v>
      </c>
      <c r="AZ9" s="124">
        <v>1</v>
      </c>
      <c r="BA9" s="124">
        <v>0</v>
      </c>
      <c r="BB9" s="124">
        <v>1</v>
      </c>
      <c r="BC9" s="7">
        <f ca="1">INDEX('RC6SV'!$A$1:$G$15,MATCH(H9,'RC6SV'!$A$1:$A$15,FALSE),MATCH(G9,'RC6SV'!$A$1:$G$1,FALSE))</f>
        <v>1000</v>
      </c>
      <c r="BD9" s="7">
        <f t="shared" ref="BD9" ca="1" si="10">ROUND(BC9*IF(AJ9=1,0.95,IF(AJ9=2,1,IF(AJ9,1.05,0))),0)</f>
        <v>1000</v>
      </c>
      <c r="BE9" s="7">
        <f t="shared" ca="1" si="3"/>
        <v>0</v>
      </c>
      <c r="BF9" s="7">
        <f t="shared" ca="1" si="4"/>
        <v>1</v>
      </c>
      <c r="BG9" s="49">
        <v>400</v>
      </c>
      <c r="BH9" s="49">
        <v>400</v>
      </c>
      <c r="BI9" s="125">
        <f ca="1">IF($BE9&lt;=0,ROUND(BM9*0.5,0), ROUND($BE9*U9*AC9*L9*BA9*0.8*[1]ステータス!$D$2,0))</f>
        <v>0</v>
      </c>
      <c r="BJ9" s="49">
        <v>400</v>
      </c>
      <c r="BK9" s="49">
        <v>400</v>
      </c>
      <c r="BL9" s="49">
        <v>400</v>
      </c>
      <c r="BM9" s="7">
        <f ca="1">ROUND(BD9*U9*AC9*L9*BA9*[1]ステータス!$D$2,0)</f>
        <v>0</v>
      </c>
      <c r="BN9" s="49">
        <v>400</v>
      </c>
      <c r="BO9" s="6">
        <v>0</v>
      </c>
      <c r="BP9" s="6">
        <v>1</v>
      </c>
      <c r="BQ9" s="6" t="s">
        <v>53</v>
      </c>
      <c r="BR9" s="8">
        <f ca="1">VLOOKUP(H9,ghosts_label!$A$2:$B$19,2,FALSE)</f>
        <v>0</v>
      </c>
    </row>
    <row r="10" spans="1:70" ht="21" customHeight="1" x14ac:dyDescent="0.15">
      <c r="A10" s="6">
        <v>1079</v>
      </c>
      <c r="B10" s="5" t="str">
        <f ca="1">VLOOKUP($A10,OFFSET([1]characters!$A$1,0,0,COUNTA([1]characters!$A:$A),MATCH(B$1,[1]characters!$1:$1,0)-MATCH($A$1,[1]characters!$1:$1,0)+1),MATCH(B$1,[1]characters!$1:$1,0)-MATCH($A$1,[1]characters!$1:$1,0)+1,FALSE)</f>
        <v>炎のアニバーサリーダック</v>
      </c>
      <c r="C10" s="5" t="str">
        <f ca="1">VLOOKUP($A10,OFFSET([1]characters!$A$1,0,0,COUNTA([1]characters!$A:$A),MATCH(C$1,[1]characters!$1:$1,0)-MATCH($A$1,[1]characters!$1:$1,0)+1),MATCH(C$1,[1]characters!$1:$1,0)-MATCH($A$1,[1]characters!$1:$1,0)+1,FALSE)</f>
        <v>未定</v>
      </c>
      <c r="D10" s="5" t="str">
        <f ca="1">VLOOKUP($A10,OFFSET([1]characters!$A$1,0,0,COUNTA([1]characters!$A:$A),MATCH(D$1,[1]characters!$1:$1,0)-MATCH($A$1,[1]characters!$1:$1,0)+1),MATCH(D$1,[1]characters!$1:$1,0)-MATCH($A$1,[1]characters!$1:$1,0)+1,FALSE)</f>
        <v>アリス</v>
      </c>
      <c r="E10" s="5" t="str">
        <f ca="1">VLOOKUP($A10,OFFSET([1]characters!$A$1,0,0,COUNTA([1]characters!$A:$A),MATCH(E$1,[1]characters!$1:$1,0)-MATCH($A$1,[1]characters!$1:$1,0)+1),MATCH(E$1,[1]characters!$1:$1,0)-MATCH($A$1,[1]characters!$1:$1,0)+1,FALSE)</f>
        <v>世界観</v>
      </c>
      <c r="F10" s="5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" t="str">
        <f ca="1">VLOOKUP($A10,OFFSET([1]characters!$A$1,0,0,COUNTA([1]characters!$A:$A),MATCH(H$1,[1]characters!$1:$1,0)-MATCH($A$1,[1]characters!$1:$1,0)+1),MATCH(H$1,[1]characters!$1:$1,0)-MATCH($A$1,[1]characters!$1:$1,0)+1,FALSE)</f>
        <v>Material</v>
      </c>
      <c r="I10" s="5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7">
        <f ca="1">VLOOKUP(I10,[1]属性!$A:$E,2,FALSE)</f>
        <v>1</v>
      </c>
      <c r="K10" s="7">
        <f ca="1">VLOOKUP(I10,[1]属性!$A:$E,3,FALSE)</f>
        <v>1.02</v>
      </c>
      <c r="L10" s="7">
        <f ca="1">VLOOKUP(I10,[1]属性!$A:$E,4,FALSE)</f>
        <v>1</v>
      </c>
      <c r="M10" s="7">
        <f ca="1">VLOOKUP(I10,[1]属性!$A:$E,5,FALSE)</f>
        <v>0.98</v>
      </c>
      <c r="N10" s="7">
        <f ca="1">INDEX(コスト!$A$1:$I$15,MATCH(H10,コスト!$A$1:$A$15,FALSE),MATCH(G10,コスト!$A$1:$I$1,FALSE))</f>
        <v>99</v>
      </c>
      <c r="O10" s="7">
        <f ca="1">INDEX(レベル!$A$1:$I$16,MATCH(H10,レベル!$A$1:$A$16,FALSE),MATCH(G10,レベル!$A$1:$I$1,FALSE))</f>
        <v>1</v>
      </c>
      <c r="P10" s="124">
        <v>1</v>
      </c>
      <c r="Q10" s="5" t="str">
        <f ca="1">VLOOKUP($A10,OFFSET([1]characters!$A$1,0,0,COUNTA([1]characters!$A:$A),MATCH(Q$1,[1]characters!$1:$1,0)-MATCH($A$1,[1]characters!$1:$1,0)+1),MATCH(Q$1,[1]characters!$1:$1,0)-MATCH($A$1,[1]characters!$1:$1,0)+1,FALSE)</f>
        <v>exp</v>
      </c>
      <c r="R10" s="5" t="str">
        <f ca="1">VLOOKUP(Q10,[1]character_type_i18n!$A:$H,3,FALSE)</f>
        <v>強化素材タイプ</v>
      </c>
      <c r="S10" s="124">
        <v>1</v>
      </c>
      <c r="T10" s="124">
        <v>1</v>
      </c>
      <c r="U10" s="124">
        <v>1</v>
      </c>
      <c r="V10" s="7">
        <f ca="1">VLOOKUP(Q10,[1]character_type_i18n!$A:$H,7,FALSE)</f>
        <v>0.05</v>
      </c>
      <c r="W10" s="5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7">
        <f ca="1">VLOOKUP(W10,[1]character_tribe_i18n!$A:$H,4,FALSE)</f>
        <v>1</v>
      </c>
      <c r="AB10" s="7">
        <f ca="1">VLOOKUP(W10,[1]character_tribe_i18n!$A:$H,5,FALSE)</f>
        <v>1</v>
      </c>
      <c r="AC10" s="7">
        <f ca="1">VLOOKUP(W10,[1]character_tribe_i18n!$A:$H,6,FALSE)</f>
        <v>1</v>
      </c>
      <c r="AD10" s="7">
        <f ca="1">VLOOKUP(W10,[1]character_tribe_i18n!$A:$H,7,FALSE)</f>
        <v>1</v>
      </c>
      <c r="AE10" s="29" t="s">
        <v>189</v>
      </c>
      <c r="AF10" s="5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ref="AG10:AG13" ca="1" si="11">IF(ISNA(MATCH(A10,AE:AE,0)),A10,INDIRECT(ADDRESS(MATCH(A10,AE:AE,0),COLUMN())))</f>
        <v>1079</v>
      </c>
      <c r="AH10" s="5" t="str">
        <f ca="1">VLOOKUP($AG10,OFFSET([1]characters!$A$1,0,0,COUNTA([1]characters!$A:$A),MATCH(AH$1,[1]characters!$1:$1,0)-MATCH($A$1,[1]characters!$1:$1,0)+1),MATCH(AH$1,[1]characters!$1:$1,0)-MATCH($A$1,[1]characters!$1:$1,0)+1,FALSE)</f>
        <v>炎のアニバーサリーダック</v>
      </c>
      <c r="AI10" s="7" t="str">
        <f>IF(AE10="NULL","NULL",VLOOKUP(G10,ビット!$A$2:$B$7,2))</f>
        <v>NULL</v>
      </c>
      <c r="AJ10" s="48">
        <v>2</v>
      </c>
      <c r="AK10" s="5" t="str">
        <f t="shared" ref="AK10:AK13" si="12">IF(AJ10=1,"早熟",IF(AJ10=2,"普通",IF(AJ10=3,"晩成","")))</f>
        <v>普通</v>
      </c>
      <c r="AL10" s="7" t="str">
        <f ca="1">INDEX(経験値!$A$1:$I$15,MATCH(H10,経験値!$A$1:$A$15,FALSE),MATCH(G10,経験値!$A$1:$I$1,FALSE))</f>
        <v>NULL</v>
      </c>
      <c r="AM10" s="133">
        <v>1000000</v>
      </c>
      <c r="AN10" s="133">
        <v>1000000</v>
      </c>
      <c r="AO10" s="48"/>
      <c r="AP10" s="78">
        <v>1079</v>
      </c>
      <c r="AQ10" s="5" t="str">
        <f ca="1">VLOOKUP($AP10,OFFSET(unit_skills!$A$1,0,0,COUNTA(unit_skills!$A:$A),MATCH(AQ$1,unit_skills!$1:$1,0)-MATCH($AP$1,unit_skills!$1:$1,0)+1),MATCH(AQ$1,unit_skills!$1:$1,0)-MATCH($AP$1,unit_skills!$1:$1,0)+1,FALSE)</f>
        <v>1周年 ありがとうグヮ！</v>
      </c>
      <c r="AR10" s="5" t="str">
        <f ca="1">VLOOKUP($AP10,OFFSET(unit_skills!$A$1,0,0,COUNTA(unit_skills!$A:$A),MATCH(AR$1,unit_skills!$1:$1,0)-MATCH($AP$1,unit_skills!$1:$1,0)+1),MATCH(AR$1,unit_skills!$1:$1,0)-MATCH($AP$1,unit_skills!$1:$1,0)+1,FALSE)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10" s="5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33">
        <v>1079</v>
      </c>
      <c r="AU10" s="5" t="str">
        <f ca="1">VLOOKUP($AT10,OFFSET(crash_skills!$A$1,0,0,COUNTA(crash_skills!$A:$A),MATCH(AU$1,crash_skills!$1:$1,0)-MATCH($AT$1,crash_skills!$1:$1,0)+1),MATCH(AU$1,crash_skills!$1:$1,0)-MATCH($AT$1,crash_skills!$1:$1,0)+1,FALSE)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10" s="5" t="str">
        <f ca="1">VLOOKUP($AT10,OFFSET(crash_skills!$A$1,0,0,COUNTA(crash_skills!$A:$A),MATCH(AV$1,crash_skills!$1:$1,0)-MATCH($AT$1,crash_skills!$1:$1,0)+1),MATCH(AV$1,crash_skills!$1:$1,0)-MATCH($AT$1,crash_skills!$1:$1,0)+1,FALSE)</f>
        <v>効果はないグヮ_x000D_1周年 ありがとう！</v>
      </c>
      <c r="AW10" s="5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7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124">
        <v>1</v>
      </c>
      <c r="AZ10" s="124">
        <v>1</v>
      </c>
      <c r="BA10" s="124">
        <v>0</v>
      </c>
      <c r="BB10" s="124">
        <v>1</v>
      </c>
      <c r="BC10" s="7">
        <f ca="1">INDEX('RC6SV'!$A$1:$G$15,MATCH(H10,'RC6SV'!$A$1:$A$15,FALSE),MATCH(G10,'RC6SV'!$A$1:$G$1,FALSE))</f>
        <v>1000</v>
      </c>
      <c r="BD10" s="7">
        <f t="shared" ref="BD10:BD13" ca="1" si="13">ROUND(BC10*IF(AJ10=1,0.95,IF(AJ10=2,1,IF(AJ10,1.05,0))),0)</f>
        <v>1000</v>
      </c>
      <c r="BE10" s="7">
        <f t="shared" ca="1" si="3"/>
        <v>0</v>
      </c>
      <c r="BF10" s="7">
        <f t="shared" ca="1" si="4"/>
        <v>1</v>
      </c>
      <c r="BG10" s="49">
        <v>400</v>
      </c>
      <c r="BH10" s="49">
        <v>400</v>
      </c>
      <c r="BI10" s="125">
        <f ca="1">IF($BE10&lt;=0,ROUND(BM10*0.5,0), ROUND($BE10*U10*AC10*L10*BA10*0.8*[1]ステータス!$D$2,0))</f>
        <v>0</v>
      </c>
      <c r="BJ10" s="49">
        <v>400</v>
      </c>
      <c r="BK10" s="49">
        <v>400</v>
      </c>
      <c r="BL10" s="49">
        <v>400</v>
      </c>
      <c r="BM10" s="7">
        <f ca="1">ROUND(BD10*U10*AC10*L10*BA10*[1]ステータス!$D$2,0)</f>
        <v>0</v>
      </c>
      <c r="BN10" s="49">
        <v>400</v>
      </c>
      <c r="BO10" s="6">
        <v>0</v>
      </c>
      <c r="BP10" s="6">
        <v>1</v>
      </c>
      <c r="BQ10" s="6" t="s">
        <v>53</v>
      </c>
      <c r="BR10" s="8">
        <f ca="1">VLOOKUP(H10,ghosts_label!$A$2:$B$19,2,FALSE)</f>
        <v>0</v>
      </c>
    </row>
    <row r="11" spans="1:70" ht="21" customHeight="1" x14ac:dyDescent="0.15">
      <c r="A11" s="6">
        <v>1080</v>
      </c>
      <c r="B11" s="5" t="str">
        <f ca="1">VLOOKUP($A11,OFFSET([1]characters!$A$1,0,0,COUNTA([1]characters!$A:$A),MATCH(B$1,[1]characters!$1:$1,0)-MATCH($A$1,[1]characters!$1:$1,0)+1),MATCH(B$1,[1]characters!$1:$1,0)-MATCH($A$1,[1]characters!$1:$1,0)+1,FALSE)</f>
        <v>森のアニバーサリーダック</v>
      </c>
      <c r="C11" s="5" t="str">
        <f ca="1">VLOOKUP($A11,OFFSET([1]characters!$A$1,0,0,COUNTA([1]characters!$A:$A),MATCH(C$1,[1]characters!$1:$1,0)-MATCH($A$1,[1]characters!$1:$1,0)+1),MATCH(C$1,[1]characters!$1:$1,0)-MATCH($A$1,[1]characters!$1:$1,0)+1,FALSE)</f>
        <v>未定</v>
      </c>
      <c r="D11" s="5" t="str">
        <f ca="1">VLOOKUP($A11,OFFSET([1]characters!$A$1,0,0,COUNTA([1]characters!$A:$A),MATCH(D$1,[1]characters!$1:$1,0)-MATCH($A$1,[1]characters!$1:$1,0)+1),MATCH(D$1,[1]characters!$1:$1,0)-MATCH($A$1,[1]characters!$1:$1,0)+1,FALSE)</f>
        <v>アリス</v>
      </c>
      <c r="E11" s="5" t="str">
        <f ca="1">VLOOKUP($A11,OFFSET([1]characters!$A$1,0,0,COUNTA([1]characters!$A:$A),MATCH(E$1,[1]characters!$1:$1,0)-MATCH($A$1,[1]characters!$1:$1,0)+1),MATCH(E$1,[1]characters!$1:$1,0)-MATCH($A$1,[1]characters!$1:$1,0)+1,FALSE)</f>
        <v>世界観</v>
      </c>
      <c r="F11" s="5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" t="str">
        <f ca="1">VLOOKUP($A11,OFFSET([1]characters!$A$1,0,0,COUNTA([1]characters!$A:$A),MATCH(H$1,[1]characters!$1:$1,0)-MATCH($A$1,[1]characters!$1:$1,0)+1),MATCH(H$1,[1]characters!$1:$1,0)-MATCH($A$1,[1]characters!$1:$1,0)+1,FALSE)</f>
        <v>Material</v>
      </c>
      <c r="I11" s="5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7">
        <f ca="1">VLOOKUP(I11,[1]属性!$A:$E,2,FALSE)</f>
        <v>1.02</v>
      </c>
      <c r="K11" s="7">
        <f ca="1">VLOOKUP(I11,[1]属性!$A:$E,3,FALSE)</f>
        <v>0.98</v>
      </c>
      <c r="L11" s="7">
        <f ca="1">VLOOKUP(I11,[1]属性!$A:$E,4,FALSE)</f>
        <v>1</v>
      </c>
      <c r="M11" s="7">
        <f ca="1">VLOOKUP(I11,[1]属性!$A:$E,5,FALSE)</f>
        <v>1</v>
      </c>
      <c r="N11" s="7">
        <f ca="1">INDEX(コスト!$A$1:$I$15,MATCH(H11,コスト!$A$1:$A$15,FALSE),MATCH(G11,コスト!$A$1:$I$1,FALSE))</f>
        <v>99</v>
      </c>
      <c r="O11" s="7">
        <f ca="1">INDEX(レベル!$A$1:$I$16,MATCH(H11,レベル!$A$1:$A$16,FALSE),MATCH(G11,レベル!$A$1:$I$1,FALSE))</f>
        <v>1</v>
      </c>
      <c r="P11" s="124">
        <v>1</v>
      </c>
      <c r="Q11" s="5" t="str">
        <f ca="1">VLOOKUP($A11,OFFSET([1]characters!$A$1,0,0,COUNTA([1]characters!$A:$A),MATCH(Q$1,[1]characters!$1:$1,0)-MATCH($A$1,[1]characters!$1:$1,0)+1),MATCH(Q$1,[1]characters!$1:$1,0)-MATCH($A$1,[1]characters!$1:$1,0)+1,FALSE)</f>
        <v>exp</v>
      </c>
      <c r="R11" s="5" t="str">
        <f ca="1">VLOOKUP(Q11,[1]character_type_i18n!$A:$H,3,FALSE)</f>
        <v>強化素材タイプ</v>
      </c>
      <c r="S11" s="124">
        <v>1</v>
      </c>
      <c r="T11" s="124">
        <v>1</v>
      </c>
      <c r="U11" s="124">
        <v>1</v>
      </c>
      <c r="V11" s="7">
        <f ca="1">VLOOKUP(Q11,[1]character_type_i18n!$A:$H,7,FALSE)</f>
        <v>0.05</v>
      </c>
      <c r="W11" s="5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7">
        <f ca="1">VLOOKUP(W11,[1]character_tribe_i18n!$A:$H,4,FALSE)</f>
        <v>1</v>
      </c>
      <c r="AB11" s="7">
        <f ca="1">VLOOKUP(W11,[1]character_tribe_i18n!$A:$H,5,FALSE)</f>
        <v>1</v>
      </c>
      <c r="AC11" s="7">
        <f ca="1">VLOOKUP(W11,[1]character_tribe_i18n!$A:$H,6,FALSE)</f>
        <v>1</v>
      </c>
      <c r="AD11" s="7">
        <f ca="1">VLOOKUP(W11,[1]character_tribe_i18n!$A:$H,7,FALSE)</f>
        <v>1</v>
      </c>
      <c r="AE11" s="29" t="s">
        <v>189</v>
      </c>
      <c r="AF11" s="5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1"/>
        <v>1080</v>
      </c>
      <c r="AH11" s="5" t="str">
        <f ca="1">VLOOKUP($AG11,OFFSET([1]characters!$A$1,0,0,COUNTA([1]characters!$A:$A),MATCH(AH$1,[1]characters!$1:$1,0)-MATCH($A$1,[1]characters!$1:$1,0)+1),MATCH(AH$1,[1]characters!$1:$1,0)-MATCH($A$1,[1]characters!$1:$1,0)+1,FALSE)</f>
        <v>森のアニバーサリーダック</v>
      </c>
      <c r="AI11" s="7" t="str">
        <f>IF(AE11="NULL","NULL",VLOOKUP(G11,ビット!$A$2:$B$7,2))</f>
        <v>NULL</v>
      </c>
      <c r="AJ11" s="48">
        <v>2</v>
      </c>
      <c r="AK11" s="5" t="str">
        <f t="shared" si="12"/>
        <v>普通</v>
      </c>
      <c r="AL11" s="7" t="str">
        <f ca="1">INDEX(経験値!$A$1:$I$15,MATCH(H11,経験値!$A$1:$A$15,FALSE),MATCH(G11,経験値!$A$1:$I$1,FALSE))</f>
        <v>NULL</v>
      </c>
      <c r="AM11" s="133">
        <v>1000000</v>
      </c>
      <c r="AN11" s="133">
        <v>1000000</v>
      </c>
      <c r="AO11" s="48"/>
      <c r="AP11" s="78">
        <v>1079</v>
      </c>
      <c r="AQ11" s="5" t="str">
        <f ca="1">VLOOKUP($AP11,OFFSET(unit_skills!$A$1,0,0,COUNTA(unit_skills!$A:$A),MATCH(AQ$1,unit_skills!$1:$1,0)-MATCH($AP$1,unit_skills!$1:$1,0)+1),MATCH(AQ$1,unit_skills!$1:$1,0)-MATCH($AP$1,unit_skills!$1:$1,0)+1,FALSE)</f>
        <v>1周年 ありがとうグヮ！</v>
      </c>
      <c r="AR11" s="5" t="str">
        <f ca="1">VLOOKUP($AP11,OFFSET(unit_skills!$A$1,0,0,COUNTA(unit_skills!$A:$A),MATCH(AR$1,unit_skills!$1:$1,0)-MATCH($AP$1,unit_skills!$1:$1,0)+1),MATCH(AR$1,unit_skills!$1:$1,0)-MATCH($AP$1,unit_skills!$1:$1,0)+1,FALSE)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11" s="5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33">
        <v>1079</v>
      </c>
      <c r="AU11" s="5" t="str">
        <f ca="1">VLOOKUP($AT11,OFFSET(crash_skills!$A$1,0,0,COUNTA(crash_skills!$A:$A),MATCH(AU$1,crash_skills!$1:$1,0)-MATCH($AT$1,crash_skills!$1:$1,0)+1),MATCH(AU$1,crash_skills!$1:$1,0)-MATCH($AT$1,crash_skills!$1:$1,0)+1,FALSE)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11" s="5" t="str">
        <f ca="1">VLOOKUP($AT11,OFFSET(crash_skills!$A$1,0,0,COUNTA(crash_skills!$A:$A),MATCH(AV$1,crash_skills!$1:$1,0)-MATCH($AT$1,crash_skills!$1:$1,0)+1),MATCH(AV$1,crash_skills!$1:$1,0)-MATCH($AT$1,crash_skills!$1:$1,0)+1,FALSE)</f>
        <v>効果はないグヮ_x000D_1周年 ありがとう！</v>
      </c>
      <c r="AW11" s="5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7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124">
        <v>1</v>
      </c>
      <c r="AZ11" s="124">
        <v>1</v>
      </c>
      <c r="BA11" s="124">
        <v>0</v>
      </c>
      <c r="BB11" s="124">
        <v>1</v>
      </c>
      <c r="BC11" s="7">
        <f ca="1">INDEX('RC6SV'!$A$1:$G$15,MATCH(H11,'RC6SV'!$A$1:$A$15,FALSE),MATCH(G11,'RC6SV'!$A$1:$G$1,FALSE))</f>
        <v>1000</v>
      </c>
      <c r="BD11" s="7">
        <f t="shared" ca="1" si="13"/>
        <v>1000</v>
      </c>
      <c r="BE11" s="7">
        <f t="shared" ca="1" si="3"/>
        <v>0</v>
      </c>
      <c r="BF11" s="7">
        <f t="shared" ca="1" si="4"/>
        <v>1</v>
      </c>
      <c r="BG11" s="49">
        <v>400</v>
      </c>
      <c r="BH11" s="49">
        <v>400</v>
      </c>
      <c r="BI11" s="125">
        <f ca="1">IF($BE11&lt;=0,ROUND(BM11*0.5,0), ROUND($BE11*U11*AC11*L11*BA11*0.8*[1]ステータス!$D$2,0))</f>
        <v>0</v>
      </c>
      <c r="BJ11" s="49">
        <v>400</v>
      </c>
      <c r="BK11" s="49">
        <v>400</v>
      </c>
      <c r="BL11" s="49">
        <v>400</v>
      </c>
      <c r="BM11" s="7">
        <f ca="1">ROUND(BD11*U11*AC11*L11*BA11*[1]ステータス!$D$2,0)</f>
        <v>0</v>
      </c>
      <c r="BN11" s="49">
        <v>400</v>
      </c>
      <c r="BO11" s="6">
        <v>0</v>
      </c>
      <c r="BP11" s="6">
        <v>1</v>
      </c>
      <c r="BQ11" s="6" t="s">
        <v>53</v>
      </c>
      <c r="BR11" s="8">
        <f ca="1">VLOOKUP(H11,ghosts_label!$A$2:$B$19,2,FALSE)</f>
        <v>0</v>
      </c>
    </row>
    <row r="12" spans="1:70" ht="21" customHeight="1" x14ac:dyDescent="0.15">
      <c r="A12" s="6">
        <v>1081</v>
      </c>
      <c r="B12" s="5" t="str">
        <f ca="1">VLOOKUP($A12,OFFSET([1]characters!$A$1,0,0,COUNTA([1]characters!$A:$A),MATCH(B$1,[1]characters!$1:$1,0)-MATCH($A$1,[1]characters!$1:$1,0)+1),MATCH(B$1,[1]characters!$1:$1,0)-MATCH($A$1,[1]characters!$1:$1,0)+1,FALSE)</f>
        <v>水のアニバーサリーダック</v>
      </c>
      <c r="C12" s="5" t="str">
        <f ca="1">VLOOKUP($A12,OFFSET([1]characters!$A$1,0,0,COUNTA([1]characters!$A:$A),MATCH(C$1,[1]characters!$1:$1,0)-MATCH($A$1,[1]characters!$1:$1,0)+1),MATCH(C$1,[1]characters!$1:$1,0)-MATCH($A$1,[1]characters!$1:$1,0)+1,FALSE)</f>
        <v>未定</v>
      </c>
      <c r="D12" s="5" t="str">
        <f ca="1">VLOOKUP($A12,OFFSET([1]characters!$A$1,0,0,COUNTA([1]characters!$A:$A),MATCH(D$1,[1]characters!$1:$1,0)-MATCH($A$1,[1]characters!$1:$1,0)+1),MATCH(D$1,[1]characters!$1:$1,0)-MATCH($A$1,[1]characters!$1:$1,0)+1,FALSE)</f>
        <v>アリス</v>
      </c>
      <c r="E12" s="5" t="str">
        <f ca="1">VLOOKUP($A12,OFFSET([1]characters!$A$1,0,0,COUNTA([1]characters!$A:$A),MATCH(E$1,[1]characters!$1:$1,0)-MATCH($A$1,[1]characters!$1:$1,0)+1),MATCH(E$1,[1]characters!$1:$1,0)-MATCH($A$1,[1]characters!$1:$1,0)+1,FALSE)</f>
        <v>世界観</v>
      </c>
      <c r="F12" s="5" t="str">
        <f ca="1">VLOOKUP($A12,OFFSET([1]characters!$A$1,0,0,COUNTA([1]characters!$A:$A),MATCH(F$1,[1]characters!$1:$1,0)-MATCH($A$1,[1]characters!$1:$1,0)+1),MATCH(F$1,[1]characters!$1:$1,0)-MATCH($A$1,[1]characters!$1:$1,0)+1,FALSE)</f>
        <v>不明</v>
      </c>
      <c r="G12" s="5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" t="str">
        <f ca="1">VLOOKUP($A12,OFFSET([1]characters!$A$1,0,0,COUNTA([1]characters!$A:$A),MATCH(H$1,[1]characters!$1:$1,0)-MATCH($A$1,[1]characters!$1:$1,0)+1),MATCH(H$1,[1]characters!$1:$1,0)-MATCH($A$1,[1]characters!$1:$1,0)+1,FALSE)</f>
        <v>Material</v>
      </c>
      <c r="I12" s="5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7">
        <f ca="1">VLOOKUP(I12,[1]属性!$A:$E,2,FALSE)</f>
        <v>1</v>
      </c>
      <c r="K12" s="7">
        <f ca="1">VLOOKUP(I12,[1]属性!$A:$E,3,FALSE)</f>
        <v>0.98</v>
      </c>
      <c r="L12" s="7">
        <f ca="1">VLOOKUP(I12,[1]属性!$A:$E,4,FALSE)</f>
        <v>1</v>
      </c>
      <c r="M12" s="7">
        <f ca="1">VLOOKUP(I12,[1]属性!$A:$E,5,FALSE)</f>
        <v>1.02</v>
      </c>
      <c r="N12" s="7">
        <f ca="1">INDEX(コスト!$A$1:$I$15,MATCH(H12,コスト!$A$1:$A$15,FALSE),MATCH(G12,コスト!$A$1:$I$1,FALSE))</f>
        <v>99</v>
      </c>
      <c r="O12" s="7">
        <f ca="1">INDEX(レベル!$A$1:$I$16,MATCH(H12,レベル!$A$1:$A$16,FALSE),MATCH(G12,レベル!$A$1:$I$1,FALSE))</f>
        <v>1</v>
      </c>
      <c r="P12" s="124">
        <v>1</v>
      </c>
      <c r="Q12" s="5" t="str">
        <f ca="1">VLOOKUP($A12,OFFSET([1]characters!$A$1,0,0,COUNTA([1]characters!$A:$A),MATCH(Q$1,[1]characters!$1:$1,0)-MATCH($A$1,[1]characters!$1:$1,0)+1),MATCH(Q$1,[1]characters!$1:$1,0)-MATCH($A$1,[1]characters!$1:$1,0)+1,FALSE)</f>
        <v>exp</v>
      </c>
      <c r="R12" s="5" t="str">
        <f ca="1">VLOOKUP(Q12,[1]character_type_i18n!$A:$H,3,FALSE)</f>
        <v>強化素材タイプ</v>
      </c>
      <c r="S12" s="124">
        <v>1</v>
      </c>
      <c r="T12" s="124">
        <v>1</v>
      </c>
      <c r="U12" s="124">
        <v>1</v>
      </c>
      <c r="V12" s="7">
        <f ca="1">VLOOKUP(Q12,[1]character_type_i18n!$A:$H,7,FALSE)</f>
        <v>0.05</v>
      </c>
      <c r="W12" s="5" t="str">
        <f ca="1">VLOOKUP($A12,OFFSET([1]characters!$A$1,0,0,COUNTA([1]characters!$A:$A),MATCH(W$1,[1]characters!$1:$1,0)-MATCH($A$1,[1]characters!$1:$1,0)+1),MATCH(W$1,[1]characters!$1:$1,0)-MATCH($A$1,[1]characters!$1:$1,0)+1,FALSE)</f>
        <v>unknown</v>
      </c>
      <c r="X12" s="5" t="str">
        <f ca="1">VLOOKUP(W12,[1]character_tribe_i18n!$A:$H,3,FALSE)</f>
        <v>Unknown</v>
      </c>
      <c r="Y12" s="5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7">
        <f ca="1">VLOOKUP(W12,[1]character_tribe_i18n!$A:$H,4,FALSE)</f>
        <v>1</v>
      </c>
      <c r="AB12" s="7">
        <f ca="1">VLOOKUP(W12,[1]character_tribe_i18n!$A:$H,5,FALSE)</f>
        <v>1</v>
      </c>
      <c r="AC12" s="7">
        <f ca="1">VLOOKUP(W12,[1]character_tribe_i18n!$A:$H,6,FALSE)</f>
        <v>1</v>
      </c>
      <c r="AD12" s="7">
        <f ca="1">VLOOKUP(W12,[1]character_tribe_i18n!$A:$H,7,FALSE)</f>
        <v>1</v>
      </c>
      <c r="AE12" s="29" t="s">
        <v>189</v>
      </c>
      <c r="AF12" s="5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ca="1" si="11"/>
        <v>1081</v>
      </c>
      <c r="AH12" s="5" t="str">
        <f ca="1">VLOOKUP($AG12,OFFSET([1]characters!$A$1,0,0,COUNTA([1]characters!$A:$A),MATCH(AH$1,[1]characters!$1:$1,0)-MATCH($A$1,[1]characters!$1:$1,0)+1),MATCH(AH$1,[1]characters!$1:$1,0)-MATCH($A$1,[1]characters!$1:$1,0)+1,FALSE)</f>
        <v>水のアニバーサリーダック</v>
      </c>
      <c r="AI12" s="7" t="str">
        <f>IF(AE12="NULL","NULL",VLOOKUP(G12,ビット!$A$2:$B$7,2))</f>
        <v>NULL</v>
      </c>
      <c r="AJ12" s="48">
        <v>2</v>
      </c>
      <c r="AK12" s="5" t="str">
        <f t="shared" si="12"/>
        <v>普通</v>
      </c>
      <c r="AL12" s="7" t="str">
        <f ca="1">INDEX(経験値!$A$1:$I$15,MATCH(H12,経験値!$A$1:$A$15,FALSE),MATCH(G12,経験値!$A$1:$I$1,FALSE))</f>
        <v>NULL</v>
      </c>
      <c r="AM12" s="133">
        <v>1000000</v>
      </c>
      <c r="AN12" s="133">
        <v>1000000</v>
      </c>
      <c r="AO12" s="48"/>
      <c r="AP12" s="78">
        <v>1079</v>
      </c>
      <c r="AQ12" s="5" t="str">
        <f ca="1">VLOOKUP($AP12,OFFSET(unit_skills!$A$1,0,0,COUNTA(unit_skills!$A:$A),MATCH(AQ$1,unit_skills!$1:$1,0)-MATCH($AP$1,unit_skills!$1:$1,0)+1),MATCH(AQ$1,unit_skills!$1:$1,0)-MATCH($AP$1,unit_skills!$1:$1,0)+1,FALSE)</f>
        <v>1周年 ありがとうグヮ！</v>
      </c>
      <c r="AR12" s="5" t="str">
        <f ca="1">VLOOKUP($AP12,OFFSET(unit_skills!$A$1,0,0,COUNTA(unit_skills!$A:$A),MATCH(AR$1,unit_skills!$1:$1,0)-MATCH($AP$1,unit_skills!$1:$1,0)+1),MATCH(AR$1,unit_skills!$1:$1,0)-MATCH($AP$1,unit_skills!$1:$1,0)+1,FALSE)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12" s="5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33">
        <v>1079</v>
      </c>
      <c r="AU12" s="5" t="str">
        <f ca="1">VLOOKUP($AT12,OFFSET(crash_skills!$A$1,0,0,COUNTA(crash_skills!$A:$A),MATCH(AU$1,crash_skills!$1:$1,0)-MATCH($AT$1,crash_skills!$1:$1,0)+1),MATCH(AU$1,crash_skills!$1:$1,0)-MATCH($AT$1,crash_skills!$1:$1,0)+1,FALSE)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12" s="5" t="str">
        <f ca="1">VLOOKUP($AT12,OFFSET(crash_skills!$A$1,0,0,COUNTA(crash_skills!$A:$A),MATCH(AV$1,crash_skills!$1:$1,0)-MATCH($AT$1,crash_skills!$1:$1,0)+1),MATCH(AV$1,crash_skills!$1:$1,0)-MATCH($AT$1,crash_skills!$1:$1,0)+1,FALSE)</f>
        <v>効果はないグヮ_x000D_1周年 ありがとう！</v>
      </c>
      <c r="AW12" s="5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7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124">
        <v>1</v>
      </c>
      <c r="AZ12" s="124">
        <v>1</v>
      </c>
      <c r="BA12" s="124">
        <v>0</v>
      </c>
      <c r="BB12" s="124">
        <v>1</v>
      </c>
      <c r="BC12" s="7">
        <f ca="1">INDEX('RC6SV'!$A$1:$G$15,MATCH(H12,'RC6SV'!$A$1:$A$15,FALSE),MATCH(G12,'RC6SV'!$A$1:$G$1,FALSE))</f>
        <v>1000</v>
      </c>
      <c r="BD12" s="7">
        <f t="shared" ca="1" si="13"/>
        <v>1000</v>
      </c>
      <c r="BE12" s="7">
        <f t="shared" ca="1" si="3"/>
        <v>0</v>
      </c>
      <c r="BF12" s="7">
        <f t="shared" ca="1" si="4"/>
        <v>1</v>
      </c>
      <c r="BG12" s="49">
        <v>400</v>
      </c>
      <c r="BH12" s="49">
        <v>400</v>
      </c>
      <c r="BI12" s="125">
        <f ca="1">IF($BE12&lt;=0,ROUND(BM12*0.5,0), ROUND($BE12*U12*AC12*L12*BA12*0.8*[1]ステータス!$D$2,0))</f>
        <v>0</v>
      </c>
      <c r="BJ12" s="49">
        <v>400</v>
      </c>
      <c r="BK12" s="49">
        <v>400</v>
      </c>
      <c r="BL12" s="49">
        <v>400</v>
      </c>
      <c r="BM12" s="7">
        <f ca="1">ROUND(BD12*U12*AC12*L12*BA12*[1]ステータス!$D$2,0)</f>
        <v>0</v>
      </c>
      <c r="BN12" s="49">
        <v>400</v>
      </c>
      <c r="BO12" s="6">
        <v>0</v>
      </c>
      <c r="BP12" s="6">
        <v>1</v>
      </c>
      <c r="BQ12" s="6" t="s">
        <v>53</v>
      </c>
      <c r="BR12" s="8">
        <f ca="1">VLOOKUP(H12,ghosts_label!$A$2:$B$19,2,FALSE)</f>
        <v>0</v>
      </c>
    </row>
    <row r="13" spans="1:70" ht="21" customHeight="1" x14ac:dyDescent="0.15">
      <c r="A13" s="6">
        <v>1082</v>
      </c>
      <c r="B13" s="5" t="str">
        <f ca="1">VLOOKUP($A13,OFFSET([1]characters!$A$1,0,0,COUNTA([1]characters!$A:$A),MATCH(B$1,[1]characters!$1:$1,0)-MATCH($A$1,[1]characters!$1:$1,0)+1),MATCH(B$1,[1]characters!$1:$1,0)-MATCH($A$1,[1]characters!$1:$1,0)+1,FALSE)</f>
        <v>雷のアニバーサリーダック</v>
      </c>
      <c r="C13" s="5" t="str">
        <f ca="1">VLOOKUP($A13,OFFSET([1]characters!$A$1,0,0,COUNTA([1]characters!$A:$A),MATCH(C$1,[1]characters!$1:$1,0)-MATCH($A$1,[1]characters!$1:$1,0)+1),MATCH(C$1,[1]characters!$1:$1,0)-MATCH($A$1,[1]characters!$1:$1,0)+1,FALSE)</f>
        <v>未定</v>
      </c>
      <c r="D13" s="5" t="str">
        <f ca="1">VLOOKUP($A13,OFFSET([1]characters!$A$1,0,0,COUNTA([1]characters!$A:$A),MATCH(D$1,[1]characters!$1:$1,0)-MATCH($A$1,[1]characters!$1:$1,0)+1),MATCH(D$1,[1]characters!$1:$1,0)-MATCH($A$1,[1]characters!$1:$1,0)+1,FALSE)</f>
        <v>アリス</v>
      </c>
      <c r="E13" s="5" t="str">
        <f ca="1">VLOOKUP($A13,OFFSET([1]characters!$A$1,0,0,COUNTA([1]characters!$A:$A),MATCH(E$1,[1]characters!$1:$1,0)-MATCH($A$1,[1]characters!$1:$1,0)+1),MATCH(E$1,[1]characters!$1:$1,0)-MATCH($A$1,[1]characters!$1:$1,0)+1,FALSE)</f>
        <v>世界観</v>
      </c>
      <c r="F13" s="5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" t="str">
        <f ca="1">VLOOKUP($A13,OFFSET([1]characters!$A$1,0,0,COUNTA([1]characters!$A:$A),MATCH(H$1,[1]characters!$1:$1,0)-MATCH($A$1,[1]characters!$1:$1,0)+1),MATCH(H$1,[1]characters!$1:$1,0)-MATCH($A$1,[1]characters!$1:$1,0)+1,FALSE)</f>
        <v>Material</v>
      </c>
      <c r="I13" s="5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7">
        <f ca="1">VLOOKUP(I13,[1]属性!$A:$E,2,FALSE)</f>
        <v>0.98</v>
      </c>
      <c r="K13" s="7">
        <f ca="1">VLOOKUP(I13,[1]属性!$A:$E,3,FALSE)</f>
        <v>1.01</v>
      </c>
      <c r="L13" s="7">
        <f ca="1">VLOOKUP(I13,[1]属性!$A:$E,4,FALSE)</f>
        <v>1</v>
      </c>
      <c r="M13" s="7">
        <f ca="1">VLOOKUP(I13,[1]属性!$A:$E,5,FALSE)</f>
        <v>1.01</v>
      </c>
      <c r="N13" s="7">
        <f ca="1">INDEX(コスト!$A$1:$I$15,MATCH(H13,コスト!$A$1:$A$15,FALSE),MATCH(G13,コスト!$A$1:$I$1,FALSE))</f>
        <v>99</v>
      </c>
      <c r="O13" s="7">
        <f ca="1">INDEX(レベル!$A$1:$I$16,MATCH(H13,レベル!$A$1:$A$16,FALSE),MATCH(G13,レベル!$A$1:$I$1,FALSE))</f>
        <v>1</v>
      </c>
      <c r="P13" s="124">
        <v>1</v>
      </c>
      <c r="Q13" s="5" t="str">
        <f ca="1">VLOOKUP($A13,OFFSET([1]characters!$A$1,0,0,COUNTA([1]characters!$A:$A),MATCH(Q$1,[1]characters!$1:$1,0)-MATCH($A$1,[1]characters!$1:$1,0)+1),MATCH(Q$1,[1]characters!$1:$1,0)-MATCH($A$1,[1]characters!$1:$1,0)+1,FALSE)</f>
        <v>exp</v>
      </c>
      <c r="R13" s="5" t="str">
        <f ca="1">VLOOKUP(Q13,[1]character_type_i18n!$A:$H,3,FALSE)</f>
        <v>強化素材タイプ</v>
      </c>
      <c r="S13" s="124">
        <v>1</v>
      </c>
      <c r="T13" s="124">
        <v>1</v>
      </c>
      <c r="U13" s="124">
        <v>1</v>
      </c>
      <c r="V13" s="7">
        <f ca="1">VLOOKUP(Q13,[1]character_type_i18n!$A:$H,7,FALSE)</f>
        <v>0.05</v>
      </c>
      <c r="W13" s="5" t="str">
        <f ca="1">VLOOKUP($A13,OFFSET([1]characters!$A$1,0,0,COUNTA([1]characters!$A:$A),MATCH(W$1,[1]characters!$1:$1,0)-MATCH($A$1,[1]characters!$1:$1,0)+1),MATCH(W$1,[1]characters!$1:$1,0)-MATCH($A$1,[1]characters!$1:$1,0)+1,FALSE)</f>
        <v>unknown</v>
      </c>
      <c r="X13" s="5" t="str">
        <f ca="1">VLOOKUP(W13,[1]character_tribe_i18n!$A:$H,3,FALSE)</f>
        <v>Unknown</v>
      </c>
      <c r="Y13" s="5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7">
        <f ca="1">VLOOKUP(W13,[1]character_tribe_i18n!$A:$H,4,FALSE)</f>
        <v>1</v>
      </c>
      <c r="AB13" s="7">
        <f ca="1">VLOOKUP(W13,[1]character_tribe_i18n!$A:$H,5,FALSE)</f>
        <v>1</v>
      </c>
      <c r="AC13" s="7">
        <f ca="1">VLOOKUP(W13,[1]character_tribe_i18n!$A:$H,6,FALSE)</f>
        <v>1</v>
      </c>
      <c r="AD13" s="7">
        <f ca="1">VLOOKUP(W13,[1]character_tribe_i18n!$A:$H,7,FALSE)</f>
        <v>1</v>
      </c>
      <c r="AE13" s="29" t="s">
        <v>189</v>
      </c>
      <c r="AF13" s="5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11"/>
        <v>1082</v>
      </c>
      <c r="AH13" s="5" t="str">
        <f ca="1">VLOOKUP($AG13,OFFSET([1]characters!$A$1,0,0,COUNTA([1]characters!$A:$A),MATCH(AH$1,[1]characters!$1:$1,0)-MATCH($A$1,[1]characters!$1:$1,0)+1),MATCH(AH$1,[1]characters!$1:$1,0)-MATCH($A$1,[1]characters!$1:$1,0)+1,FALSE)</f>
        <v>雷のアニバーサリーダック</v>
      </c>
      <c r="AI13" s="7" t="str">
        <f>IF(AE13="NULL","NULL",VLOOKUP(G13,ビット!$A$2:$B$7,2))</f>
        <v>NULL</v>
      </c>
      <c r="AJ13" s="48">
        <v>2</v>
      </c>
      <c r="AK13" s="5" t="str">
        <f t="shared" si="12"/>
        <v>普通</v>
      </c>
      <c r="AL13" s="7" t="str">
        <f ca="1">INDEX(経験値!$A$1:$I$15,MATCH(H13,経験値!$A$1:$A$15,FALSE),MATCH(G13,経験値!$A$1:$I$1,FALSE))</f>
        <v>NULL</v>
      </c>
      <c r="AM13" s="133">
        <v>1000000</v>
      </c>
      <c r="AN13" s="133">
        <v>1000000</v>
      </c>
      <c r="AO13" s="48"/>
      <c r="AP13" s="78">
        <v>1079</v>
      </c>
      <c r="AQ13" s="5" t="str">
        <f ca="1">VLOOKUP($AP13,OFFSET(unit_skills!$A$1,0,0,COUNTA(unit_skills!$A:$A),MATCH(AQ$1,unit_skills!$1:$1,0)-MATCH($AP$1,unit_skills!$1:$1,0)+1),MATCH(AQ$1,unit_skills!$1:$1,0)-MATCH($AP$1,unit_skills!$1:$1,0)+1,FALSE)</f>
        <v>1周年 ありがとうグヮ！</v>
      </c>
      <c r="AR13" s="5" t="str">
        <f ca="1">VLOOKUP($AP13,OFFSET(unit_skills!$A$1,0,0,COUNTA(unit_skills!$A:$A),MATCH(AR$1,unit_skills!$1:$1,0)-MATCH($AP$1,unit_skills!$1:$1,0)+1),MATCH(AR$1,unit_skills!$1:$1,0)-MATCH($AP$1,unit_skills!$1:$1,0)+1,FALSE)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13" s="5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33">
        <v>1079</v>
      </c>
      <c r="AU13" s="5" t="str">
        <f ca="1">VLOOKUP($AT13,OFFSET(crash_skills!$A$1,0,0,COUNTA(crash_skills!$A:$A),MATCH(AU$1,crash_skills!$1:$1,0)-MATCH($AT$1,crash_skills!$1:$1,0)+1),MATCH(AU$1,crash_skills!$1:$1,0)-MATCH($AT$1,crash_skills!$1:$1,0)+1,FALSE)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13" s="5" t="str">
        <f ca="1">VLOOKUP($AT13,OFFSET(crash_skills!$A$1,0,0,COUNTA(crash_skills!$A:$A),MATCH(AV$1,crash_skills!$1:$1,0)-MATCH($AT$1,crash_skills!$1:$1,0)+1),MATCH(AV$1,crash_skills!$1:$1,0)-MATCH($AT$1,crash_skills!$1:$1,0)+1,FALSE)</f>
        <v>効果はないグヮ_x000D_1周年 ありがとう！</v>
      </c>
      <c r="AW13" s="5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7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124">
        <v>1</v>
      </c>
      <c r="AZ13" s="124">
        <v>1</v>
      </c>
      <c r="BA13" s="124">
        <v>0</v>
      </c>
      <c r="BB13" s="124">
        <v>1</v>
      </c>
      <c r="BC13" s="7">
        <f ca="1">INDEX('RC6SV'!$A$1:$G$15,MATCH(H13,'RC6SV'!$A$1:$A$15,FALSE),MATCH(G13,'RC6SV'!$A$1:$G$1,FALSE))</f>
        <v>1000</v>
      </c>
      <c r="BD13" s="7">
        <f t="shared" ca="1" si="13"/>
        <v>1000</v>
      </c>
      <c r="BE13" s="7">
        <f t="shared" ca="1" si="3"/>
        <v>0</v>
      </c>
      <c r="BF13" s="7">
        <f t="shared" ca="1" si="4"/>
        <v>1</v>
      </c>
      <c r="BG13" s="49">
        <v>400</v>
      </c>
      <c r="BH13" s="49">
        <v>400</v>
      </c>
      <c r="BI13" s="125">
        <f ca="1">IF($BE13&lt;=0,ROUND(BM13*0.5,0), ROUND($BE13*U13*AC13*L13*BA13*0.8*[1]ステータス!$D$2,0))</f>
        <v>0</v>
      </c>
      <c r="BJ13" s="49">
        <v>400</v>
      </c>
      <c r="BK13" s="49">
        <v>400</v>
      </c>
      <c r="BL13" s="49">
        <v>400</v>
      </c>
      <c r="BM13" s="7">
        <f ca="1">ROUND(BD13*U13*AC13*L13*BA13*[1]ステータス!$D$2,0)</f>
        <v>0</v>
      </c>
      <c r="BN13" s="49">
        <v>400</v>
      </c>
      <c r="BO13" s="6">
        <v>0</v>
      </c>
      <c r="BP13" s="6">
        <v>1</v>
      </c>
      <c r="BQ13" s="6" t="s">
        <v>53</v>
      </c>
      <c r="BR13" s="8">
        <f ca="1">VLOOKUP(H13,ghosts_label!$A$2:$B$19,2,FALSE)</f>
        <v>0</v>
      </c>
    </row>
  </sheetData>
  <autoFilter ref="A1:BQ1"/>
  <phoneticPr fontId="10"/>
  <conditionalFormatting sqref="BO1">
    <cfRule type="cellIs" dxfId="26" priority="120" stopIfTrue="1" operator="equal">
      <formula>1</formula>
    </cfRule>
  </conditionalFormatting>
  <conditionalFormatting sqref="BQ1">
    <cfRule type="cellIs" dxfId="2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4"/>
  <sheetViews>
    <sheetView showGridLines="0" zoomScale="113" zoomScaleNormal="75" zoomScalePageLayoutView="75" workbookViewId="0">
      <pane xSplit="4" ySplit="1" topLeftCell="J2" activePane="bottomRight" state="frozen"/>
      <selection pane="topRight" activeCell="D1" sqref="D1"/>
      <selection pane="bottomLeft" activeCell="A2" sqref="A2"/>
      <selection pane="bottomRight" activeCell="K3" sqref="K3:K4"/>
    </sheetView>
  </sheetViews>
  <sheetFormatPr baseColWidth="12" defaultColWidth="13" defaultRowHeight="21" customHeight="1" outlineLevelCol="1" x14ac:dyDescent="0.15"/>
  <cols>
    <col min="1" max="1" width="16.1640625" style="91" bestFit="1" customWidth="1"/>
    <col min="2" max="2" width="13" style="91" bestFit="1" customWidth="1"/>
    <col min="3" max="3" width="21.83203125" style="91" customWidth="1"/>
    <col min="4" max="4" width="41.83203125" style="91" customWidth="1"/>
    <col min="5" max="5" width="9" style="91" customWidth="1"/>
    <col min="6" max="6" width="7.83203125" style="91" bestFit="1" customWidth="1"/>
    <col min="7" max="7" width="8.1640625" style="91" bestFit="1" customWidth="1"/>
    <col min="8" max="8" width="13.6640625" style="91" bestFit="1" customWidth="1"/>
    <col min="9" max="10" width="51.6640625" style="91" customWidth="1"/>
    <col min="11" max="11" width="10.83203125" style="91" customWidth="1" outlineLevel="1"/>
    <col min="12" max="17" width="9.5" style="90" customWidth="1" outlineLevel="1"/>
    <col min="18" max="18" width="20.33203125" style="91" customWidth="1" outlineLevel="1"/>
    <col min="19" max="19" width="10.33203125" style="91" bestFit="1" customWidth="1"/>
    <col min="20" max="16384" width="13" style="91"/>
  </cols>
  <sheetData>
    <row r="1" spans="1:19" s="90" customFormat="1" ht="21" customHeight="1" x14ac:dyDescent="0.15">
      <c r="A1" s="79" t="s">
        <v>20</v>
      </c>
      <c r="B1" s="80" t="s">
        <v>140</v>
      </c>
      <c r="C1" s="81" t="s">
        <v>46</v>
      </c>
      <c r="D1" s="82" t="s">
        <v>169</v>
      </c>
      <c r="E1" s="82" t="s">
        <v>170</v>
      </c>
      <c r="F1" s="79" t="s">
        <v>152</v>
      </c>
      <c r="G1" s="83" t="s">
        <v>2</v>
      </c>
      <c r="H1" s="83" t="s">
        <v>171</v>
      </c>
      <c r="I1" s="83" t="s">
        <v>172</v>
      </c>
      <c r="J1" s="84" t="s">
        <v>191</v>
      </c>
      <c r="K1" s="83" t="s">
        <v>4</v>
      </c>
      <c r="L1" s="85" t="s">
        <v>173</v>
      </c>
      <c r="M1" s="86" t="s">
        <v>174</v>
      </c>
      <c r="N1" s="86" t="s">
        <v>175</v>
      </c>
      <c r="O1" s="86" t="s">
        <v>176</v>
      </c>
      <c r="P1" s="86" t="s">
        <v>177</v>
      </c>
      <c r="Q1" s="87" t="s">
        <v>178</v>
      </c>
      <c r="R1" s="88" t="s">
        <v>179</v>
      </c>
      <c r="S1" s="89" t="s">
        <v>180</v>
      </c>
    </row>
    <row r="2" spans="1:19" ht="28" x14ac:dyDescent="0.15">
      <c r="A2" s="6">
        <v>414</v>
      </c>
      <c r="B2" s="134" t="s">
        <v>192</v>
      </c>
      <c r="C2" s="94" t="s">
        <v>244</v>
      </c>
      <c r="D2" s="94" t="s">
        <v>245</v>
      </c>
      <c r="E2" s="135">
        <f t="shared" ref="E2" si="0">LEN(D2)</f>
        <v>42</v>
      </c>
      <c r="F2" s="78">
        <v>18</v>
      </c>
      <c r="G2" s="78">
        <v>5</v>
      </c>
      <c r="H2" s="95">
        <f>2001</f>
        <v>2001</v>
      </c>
      <c r="I2" s="95"/>
      <c r="J2" s="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炎のミリオンダック 2</v>
      </c>
      <c r="K2" s="136">
        <v>3</v>
      </c>
      <c r="L2" s="96"/>
      <c r="M2" s="97"/>
      <c r="N2" s="97"/>
      <c r="O2" s="97"/>
      <c r="P2" s="97"/>
      <c r="Q2" s="97"/>
      <c r="R2" s="94"/>
      <c r="S2" s="98"/>
    </row>
    <row r="3" spans="1:19" ht="28" x14ac:dyDescent="0.15">
      <c r="A3" s="6">
        <v>444</v>
      </c>
      <c r="B3" s="134" t="s">
        <v>192</v>
      </c>
      <c r="C3" s="94" t="s">
        <v>254</v>
      </c>
      <c r="D3" s="94" t="s">
        <v>245</v>
      </c>
      <c r="E3" s="135">
        <f t="shared" ref="E3" si="1">LEN(D3)</f>
        <v>42</v>
      </c>
      <c r="F3" s="78">
        <v>5</v>
      </c>
      <c r="G3" s="143">
        <v>1</v>
      </c>
      <c r="H3" s="95">
        <f>2001</f>
        <v>2001</v>
      </c>
      <c r="I3" s="95"/>
      <c r="J3" s="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炎のミリオンダック 4</v>
      </c>
      <c r="K3" s="136">
        <v>3</v>
      </c>
      <c r="L3" s="96"/>
      <c r="M3" s="97"/>
      <c r="N3" s="97"/>
      <c r="O3" s="97"/>
      <c r="P3" s="97"/>
      <c r="Q3" s="97"/>
      <c r="R3" s="94"/>
      <c r="S3" s="98"/>
    </row>
    <row r="4" spans="1:19" ht="28" x14ac:dyDescent="0.15">
      <c r="A4" s="6">
        <v>1079</v>
      </c>
      <c r="B4" s="134" t="s">
        <v>192</v>
      </c>
      <c r="C4" s="94" t="s">
        <v>256</v>
      </c>
      <c r="D4" s="94" t="s">
        <v>245</v>
      </c>
      <c r="E4" s="135">
        <f t="shared" ref="E4" si="2">LEN(D4)</f>
        <v>42</v>
      </c>
      <c r="F4" s="78">
        <v>5</v>
      </c>
      <c r="G4" s="143">
        <v>1</v>
      </c>
      <c r="H4" s="95">
        <f>2001</f>
        <v>2001</v>
      </c>
      <c r="I4" s="95"/>
      <c r="J4" s="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炎のアニバーサリーダック</v>
      </c>
      <c r="K4" s="136">
        <v>3</v>
      </c>
      <c r="L4" s="96"/>
      <c r="M4" s="97"/>
      <c r="N4" s="97"/>
      <c r="O4" s="97"/>
      <c r="P4" s="97"/>
      <c r="Q4" s="97"/>
      <c r="R4" s="94"/>
      <c r="S4" s="9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5:E1048576">
    <cfRule type="cellIs" dxfId="24" priority="9" operator="greaterThan">
      <formula>41</formula>
    </cfRule>
  </conditionalFormatting>
  <conditionalFormatting sqref="E2">
    <cfRule type="cellIs" dxfId="23" priority="3" operator="greaterThan">
      <formula>41</formula>
    </cfRule>
  </conditionalFormatting>
  <conditionalFormatting sqref="E3">
    <cfRule type="cellIs" dxfId="22" priority="2" operator="greaterThan">
      <formula>41</formula>
    </cfRule>
  </conditionalFormatting>
  <conditionalFormatting sqref="E4">
    <cfRule type="cellIs" dxfId="21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4"/>
  <sheetViews>
    <sheetView showGridLines="0" zoomScale="75" zoomScaleNormal="75" zoomScalePageLayoutView="75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G15" sqref="G15"/>
    </sheetView>
  </sheetViews>
  <sheetFormatPr baseColWidth="12" defaultColWidth="13" defaultRowHeight="21" customHeight="1" x14ac:dyDescent="0.15"/>
  <cols>
    <col min="1" max="2" width="12.1640625" style="91" customWidth="1"/>
    <col min="3" max="3" width="20.5" style="92" bestFit="1" customWidth="1"/>
    <col min="4" max="4" width="34" style="92" customWidth="1"/>
    <col min="5" max="5" width="10.5" style="92" customWidth="1"/>
    <col min="6" max="7" width="59.1640625" style="92" customWidth="1"/>
    <col min="8" max="8" width="6.83203125" style="91" bestFit="1" customWidth="1"/>
    <col min="9" max="9" width="20.33203125" style="91" customWidth="1"/>
    <col min="10" max="10" width="5" style="91" bestFit="1" customWidth="1"/>
    <col min="11" max="16384" width="13" style="91"/>
  </cols>
  <sheetData>
    <row r="1" spans="1:19" ht="21" customHeight="1" x14ac:dyDescent="0.15">
      <c r="A1" s="79" t="s">
        <v>188</v>
      </c>
      <c r="B1" s="80" t="s">
        <v>187</v>
      </c>
      <c r="C1" s="81" t="s">
        <v>186</v>
      </c>
      <c r="D1" s="82" t="s">
        <v>185</v>
      </c>
      <c r="E1" s="82" t="s">
        <v>184</v>
      </c>
      <c r="F1" s="83" t="s">
        <v>183</v>
      </c>
      <c r="G1" s="84" t="s">
        <v>191</v>
      </c>
      <c r="H1" s="83" t="s">
        <v>182</v>
      </c>
      <c r="I1" s="84" t="s">
        <v>181</v>
      </c>
      <c r="J1" s="88" t="s">
        <v>180</v>
      </c>
    </row>
    <row r="2" spans="1:19" ht="29" customHeight="1" x14ac:dyDescent="0.15">
      <c r="A2" s="6">
        <v>414</v>
      </c>
      <c r="B2" s="134" t="s">
        <v>193</v>
      </c>
      <c r="C2" s="94" t="s">
        <v>246</v>
      </c>
      <c r="D2" s="94" t="s">
        <v>252</v>
      </c>
      <c r="E2" s="135">
        <f t="shared" ref="E2" si="0">LEN(D2)</f>
        <v>21</v>
      </c>
      <c r="F2" s="78"/>
      <c r="G2" s="5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炎のミリオンダック 2</v>
      </c>
      <c r="H2" s="95">
        <v>3</v>
      </c>
      <c r="I2" s="95"/>
      <c r="J2" s="95"/>
      <c r="K2" s="137"/>
      <c r="L2" s="138"/>
      <c r="M2" s="139"/>
      <c r="N2" s="139"/>
      <c r="O2" s="139"/>
      <c r="P2" s="139"/>
      <c r="Q2" s="139"/>
      <c r="R2" s="140"/>
      <c r="S2" s="141"/>
    </row>
    <row r="3" spans="1:19" ht="29" customHeight="1" x14ac:dyDescent="0.15">
      <c r="A3" s="6">
        <v>444</v>
      </c>
      <c r="B3" s="134" t="s">
        <v>193</v>
      </c>
      <c r="C3" s="94" t="s">
        <v>246</v>
      </c>
      <c r="D3" s="94" t="s">
        <v>255</v>
      </c>
      <c r="E3" s="135">
        <f t="shared" ref="E3" si="1">LEN(D3)</f>
        <v>21</v>
      </c>
      <c r="F3" s="78"/>
      <c r="G3" s="5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炎のミリオンダック 4</v>
      </c>
      <c r="H3" s="95">
        <v>3</v>
      </c>
      <c r="I3" s="95"/>
      <c r="J3" s="95"/>
      <c r="K3" s="137"/>
      <c r="L3" s="138"/>
      <c r="M3" s="139"/>
      <c r="N3" s="139"/>
      <c r="O3" s="139"/>
      <c r="P3" s="139"/>
      <c r="Q3" s="139"/>
      <c r="R3" s="140"/>
      <c r="S3" s="141"/>
    </row>
    <row r="4" spans="1:19" ht="29" customHeight="1" x14ac:dyDescent="0.15">
      <c r="A4" s="6">
        <v>1079</v>
      </c>
      <c r="B4" s="134" t="s">
        <v>192</v>
      </c>
      <c r="C4" s="94" t="s">
        <v>246</v>
      </c>
      <c r="D4" s="94" t="s">
        <v>257</v>
      </c>
      <c r="E4" s="135">
        <f t="shared" ref="E4" si="2">LEN(D4)</f>
        <v>18</v>
      </c>
      <c r="F4" s="78"/>
      <c r="G4" s="5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炎のアニバーサリーダック</v>
      </c>
      <c r="H4" s="95">
        <v>3</v>
      </c>
      <c r="I4" s="95"/>
      <c r="J4" s="95"/>
      <c r="K4" s="137"/>
      <c r="L4" s="138"/>
      <c r="M4" s="139"/>
      <c r="N4" s="139"/>
      <c r="O4" s="139"/>
      <c r="P4" s="139"/>
      <c r="Q4" s="139"/>
      <c r="R4" s="140"/>
      <c r="S4" s="141"/>
    </row>
  </sheetData>
  <sheetProtection selectLockedCells="1" selectUnlockedCells="1"/>
  <autoFilter ref="A1:J1"/>
  <phoneticPr fontId="22"/>
  <conditionalFormatting sqref="E2">
    <cfRule type="cellIs" dxfId="20" priority="3" operator="greaterThan">
      <formula>41</formula>
    </cfRule>
  </conditionalFormatting>
  <conditionalFormatting sqref="E3">
    <cfRule type="cellIs" dxfId="19" priority="2" operator="greaterThan">
      <formula>41</formula>
    </cfRule>
  </conditionalFormatting>
  <conditionalFormatting sqref="E4">
    <cfRule type="cellIs" dxfId="18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G33"/>
  <sheetViews>
    <sheetView workbookViewId="0">
      <selection activeCell="G18" sqref="G18"/>
    </sheetView>
  </sheetViews>
  <sheetFormatPr baseColWidth="12" defaultRowHeight="15" x14ac:dyDescent="0.15"/>
  <cols>
    <col min="2" max="2" width="18.5" style="100" bestFit="1" customWidth="1"/>
    <col min="4" max="4" width="12.83203125" style="100"/>
    <col min="7" max="7" width="26.33203125" bestFit="1" customWidth="1"/>
  </cols>
  <sheetData>
    <row r="1" spans="1:7" x14ac:dyDescent="0.15">
      <c r="A1" s="76" t="s">
        <v>194</v>
      </c>
      <c r="B1" s="99" t="s">
        <v>195</v>
      </c>
      <c r="C1" s="76" t="s">
        <v>196</v>
      </c>
      <c r="D1" s="76" t="s">
        <v>198</v>
      </c>
      <c r="E1" s="74" t="s">
        <v>199</v>
      </c>
      <c r="F1" s="76" t="s">
        <v>197</v>
      </c>
      <c r="G1" s="74" t="s">
        <v>200</v>
      </c>
    </row>
    <row r="2" spans="1:7" x14ac:dyDescent="0.15">
      <c r="A2" s="72">
        <v>414</v>
      </c>
      <c r="B2" s="99" t="str">
        <f>VLOOKUP(A2,[1]characters!$A:$C,3,FALSE)</f>
        <v>炎のミリオンダック 2</v>
      </c>
      <c r="C2" s="72" t="s">
        <v>201</v>
      </c>
      <c r="D2" s="73">
        <v>4140</v>
      </c>
      <c r="E2" s="72" t="s">
        <v>202</v>
      </c>
      <c r="F2" s="72" t="s">
        <v>251</v>
      </c>
      <c r="G2" s="72" t="s">
        <v>253</v>
      </c>
    </row>
    <row r="3" spans="1:7" x14ac:dyDescent="0.15">
      <c r="A3" s="72">
        <v>414</v>
      </c>
      <c r="B3" s="99" t="str">
        <f>VLOOKUP(A3,[1]characters!$A:$C,3,FALSE)</f>
        <v>炎のミリオンダック 2</v>
      </c>
      <c r="C3" s="72" t="s">
        <v>203</v>
      </c>
      <c r="D3" s="73">
        <v>4141</v>
      </c>
      <c r="E3" s="72" t="s">
        <v>202</v>
      </c>
      <c r="F3" s="72" t="s">
        <v>251</v>
      </c>
      <c r="G3" s="72" t="s">
        <v>249</v>
      </c>
    </row>
    <row r="4" spans="1:7" x14ac:dyDescent="0.15">
      <c r="A4" s="72">
        <v>415</v>
      </c>
      <c r="B4" s="99" t="str">
        <f>VLOOKUP(A4,[1]characters!$A:$C,3,FALSE)</f>
        <v>森のミリオンダック 2</v>
      </c>
      <c r="C4" s="72" t="s">
        <v>201</v>
      </c>
      <c r="D4" s="73">
        <v>4150</v>
      </c>
      <c r="E4" s="72" t="s">
        <v>202</v>
      </c>
      <c r="F4" s="72" t="s">
        <v>251</v>
      </c>
      <c r="G4" s="142" t="str">
        <f>G2</f>
        <v>みんなの おかげグヮ！</v>
      </c>
    </row>
    <row r="5" spans="1:7" x14ac:dyDescent="0.15">
      <c r="A5" s="72">
        <v>415</v>
      </c>
      <c r="B5" s="99" t="str">
        <f>VLOOKUP(A5,[1]characters!$A:$C,3,FALSE)</f>
        <v>森のミリオンダック 2</v>
      </c>
      <c r="C5" s="72" t="s">
        <v>203</v>
      </c>
      <c r="D5" s="73">
        <v>4151</v>
      </c>
      <c r="E5" s="72" t="s">
        <v>202</v>
      </c>
      <c r="F5" s="72" t="s">
        <v>251</v>
      </c>
      <c r="G5" s="142" t="str">
        <f>G3</f>
        <v>200万DL ありがとうグヮ！</v>
      </c>
    </row>
    <row r="6" spans="1:7" x14ac:dyDescent="0.15">
      <c r="A6" s="72">
        <v>416</v>
      </c>
      <c r="B6" s="99" t="str">
        <f>VLOOKUP(A6,[1]characters!$A:$C,3,FALSE)</f>
        <v>水のミリオンダック 2</v>
      </c>
      <c r="C6" s="72" t="s">
        <v>201</v>
      </c>
      <c r="D6" s="73">
        <v>4160</v>
      </c>
      <c r="E6" s="72" t="s">
        <v>202</v>
      </c>
      <c r="F6" s="72" t="s">
        <v>251</v>
      </c>
      <c r="G6" s="142" t="str">
        <f t="shared" ref="G6:G17" si="0">G4</f>
        <v>みんなの おかげグヮ！</v>
      </c>
    </row>
    <row r="7" spans="1:7" x14ac:dyDescent="0.15">
      <c r="A7" s="72">
        <v>416</v>
      </c>
      <c r="B7" s="99" t="str">
        <f>VLOOKUP(A7,[1]characters!$A:$C,3,FALSE)</f>
        <v>水のミリオンダック 2</v>
      </c>
      <c r="C7" s="72" t="s">
        <v>203</v>
      </c>
      <c r="D7" s="73">
        <v>4161</v>
      </c>
      <c r="E7" s="72" t="s">
        <v>202</v>
      </c>
      <c r="F7" s="72" t="s">
        <v>251</v>
      </c>
      <c r="G7" s="142" t="str">
        <f t="shared" si="0"/>
        <v>200万DL ありがとうグヮ！</v>
      </c>
    </row>
    <row r="8" spans="1:7" x14ac:dyDescent="0.15">
      <c r="A8" s="72">
        <v>417</v>
      </c>
      <c r="B8" s="99" t="str">
        <f>VLOOKUP(A8,[1]characters!$A:$C,3,FALSE)</f>
        <v>雷のミリオンダック 2</v>
      </c>
      <c r="C8" s="72" t="s">
        <v>201</v>
      </c>
      <c r="D8" s="73">
        <v>4170</v>
      </c>
      <c r="E8" s="72" t="s">
        <v>202</v>
      </c>
      <c r="F8" s="72" t="s">
        <v>251</v>
      </c>
      <c r="G8" s="142" t="str">
        <f t="shared" si="0"/>
        <v>みんなの おかげグヮ！</v>
      </c>
    </row>
    <row r="9" spans="1:7" x14ac:dyDescent="0.15">
      <c r="A9" s="72">
        <v>417</v>
      </c>
      <c r="B9" s="99" t="str">
        <f>VLOOKUP(A9,[1]characters!$A:$C,3,FALSE)</f>
        <v>雷のミリオンダック 2</v>
      </c>
      <c r="C9" s="72" t="s">
        <v>203</v>
      </c>
      <c r="D9" s="73">
        <v>4171</v>
      </c>
      <c r="E9" s="72" t="s">
        <v>202</v>
      </c>
      <c r="F9" s="72" t="s">
        <v>251</v>
      </c>
      <c r="G9" s="142" t="str">
        <f t="shared" si="0"/>
        <v>200万DL ありがとうグヮ！</v>
      </c>
    </row>
    <row r="10" spans="1:7" x14ac:dyDescent="0.15">
      <c r="A10" s="72">
        <v>97</v>
      </c>
      <c r="B10" s="99" t="str">
        <f>VLOOKUP(A10,[1]characters!$A:$C,3,FALSE)</f>
        <v>炎のミリオンダック</v>
      </c>
      <c r="C10" s="72" t="s">
        <v>201</v>
      </c>
      <c r="D10" s="73">
        <v>970</v>
      </c>
      <c r="E10" s="72" t="s">
        <v>202</v>
      </c>
      <c r="F10" s="72" t="s">
        <v>251</v>
      </c>
      <c r="G10" s="72" t="s">
        <v>253</v>
      </c>
    </row>
    <row r="11" spans="1:7" x14ac:dyDescent="0.15">
      <c r="A11" s="72">
        <v>97</v>
      </c>
      <c r="B11" s="99" t="str">
        <f>VLOOKUP(A11,[1]characters!$A:$C,3,FALSE)</f>
        <v>炎のミリオンダック</v>
      </c>
      <c r="C11" s="72" t="s">
        <v>203</v>
      </c>
      <c r="D11" s="73">
        <v>971</v>
      </c>
      <c r="E11" s="72" t="s">
        <v>202</v>
      </c>
      <c r="F11" s="72" t="s">
        <v>251</v>
      </c>
      <c r="G11" s="73" t="s">
        <v>250</v>
      </c>
    </row>
    <row r="12" spans="1:7" x14ac:dyDescent="0.15">
      <c r="A12" s="72">
        <v>98</v>
      </c>
      <c r="B12" s="99" t="str">
        <f>VLOOKUP(A12,[1]characters!$A:$C,3,FALSE)</f>
        <v>森のミリオンダック</v>
      </c>
      <c r="C12" s="72" t="s">
        <v>201</v>
      </c>
      <c r="D12" s="73">
        <v>980</v>
      </c>
      <c r="E12" s="72" t="s">
        <v>202</v>
      </c>
      <c r="F12" s="72" t="s">
        <v>251</v>
      </c>
      <c r="G12" s="142" t="str">
        <f t="shared" si="0"/>
        <v>みんなの おかげグヮ！</v>
      </c>
    </row>
    <row r="13" spans="1:7" x14ac:dyDescent="0.15">
      <c r="A13" s="72">
        <v>98</v>
      </c>
      <c r="B13" s="99" t="str">
        <f>VLOOKUP(A13,[1]characters!$A:$C,3,FALSE)</f>
        <v>森のミリオンダック</v>
      </c>
      <c r="C13" s="72" t="s">
        <v>203</v>
      </c>
      <c r="D13" s="73">
        <v>981</v>
      </c>
      <c r="E13" s="72" t="s">
        <v>202</v>
      </c>
      <c r="F13" s="72" t="s">
        <v>251</v>
      </c>
      <c r="G13" s="142" t="str">
        <f t="shared" si="0"/>
        <v>100万DL ありがとうグヮ！</v>
      </c>
    </row>
    <row r="14" spans="1:7" x14ac:dyDescent="0.15">
      <c r="A14" s="72">
        <v>99</v>
      </c>
      <c r="B14" s="99" t="str">
        <f>VLOOKUP(A14,[1]characters!$A:$C,3,FALSE)</f>
        <v>水のミリオンダック</v>
      </c>
      <c r="C14" s="72" t="s">
        <v>201</v>
      </c>
      <c r="D14" s="73">
        <v>990</v>
      </c>
      <c r="E14" s="72" t="s">
        <v>202</v>
      </c>
      <c r="F14" s="72" t="s">
        <v>251</v>
      </c>
      <c r="G14" s="142" t="str">
        <f t="shared" si="0"/>
        <v>みんなの おかげグヮ！</v>
      </c>
    </row>
    <row r="15" spans="1:7" x14ac:dyDescent="0.15">
      <c r="A15" s="72">
        <v>99</v>
      </c>
      <c r="B15" s="99" t="str">
        <f>VLOOKUP(A15,[1]characters!$A:$C,3,FALSE)</f>
        <v>水のミリオンダック</v>
      </c>
      <c r="C15" s="72" t="s">
        <v>203</v>
      </c>
      <c r="D15" s="73">
        <v>991</v>
      </c>
      <c r="E15" s="72" t="s">
        <v>202</v>
      </c>
      <c r="F15" s="72" t="s">
        <v>251</v>
      </c>
      <c r="G15" s="142" t="str">
        <f t="shared" si="0"/>
        <v>100万DL ありがとうグヮ！</v>
      </c>
    </row>
    <row r="16" spans="1:7" x14ac:dyDescent="0.15">
      <c r="A16" s="72">
        <v>100</v>
      </c>
      <c r="B16" s="99" t="str">
        <f>VLOOKUP(A16,[1]characters!$A:$C,3,FALSE)</f>
        <v>雷のミリオンダック</v>
      </c>
      <c r="C16" s="72" t="s">
        <v>201</v>
      </c>
      <c r="D16" s="73">
        <v>1000</v>
      </c>
      <c r="E16" s="72" t="s">
        <v>202</v>
      </c>
      <c r="F16" s="72" t="s">
        <v>251</v>
      </c>
      <c r="G16" s="142" t="str">
        <f t="shared" si="0"/>
        <v>みんなの おかげグヮ！</v>
      </c>
    </row>
    <row r="17" spans="1:7" x14ac:dyDescent="0.15">
      <c r="A17" s="72">
        <v>100</v>
      </c>
      <c r="B17" s="99" t="str">
        <f>VLOOKUP(A17,[1]characters!$A:$C,3,FALSE)</f>
        <v>雷のミリオンダック</v>
      </c>
      <c r="C17" s="72" t="s">
        <v>203</v>
      </c>
      <c r="D17" s="73">
        <v>1001</v>
      </c>
      <c r="E17" s="72" t="s">
        <v>202</v>
      </c>
      <c r="F17" s="72" t="s">
        <v>251</v>
      </c>
      <c r="G17" s="142" t="str">
        <f t="shared" si="0"/>
        <v>100万DL ありがとうグヮ！</v>
      </c>
    </row>
    <row r="18" spans="1:7" x14ac:dyDescent="0.15">
      <c r="A18" s="72">
        <v>444</v>
      </c>
      <c r="B18" s="99" t="str">
        <f>VLOOKUP(A18,[1]characters!$A:$C,3,FALSE)</f>
        <v>炎のミリオンダック 4</v>
      </c>
      <c r="C18" s="72" t="s">
        <v>201</v>
      </c>
      <c r="D18" s="73">
        <v>4440</v>
      </c>
      <c r="E18" s="72" t="s">
        <v>202</v>
      </c>
      <c r="F18" s="72" t="s">
        <v>251</v>
      </c>
      <c r="G18" s="72" t="s">
        <v>253</v>
      </c>
    </row>
    <row r="19" spans="1:7" x14ac:dyDescent="0.15">
      <c r="A19" s="72">
        <v>444</v>
      </c>
      <c r="B19" s="99" t="str">
        <f>VLOOKUP(A19,[1]characters!$A:$C,3,FALSE)</f>
        <v>炎のミリオンダック 4</v>
      </c>
      <c r="C19" s="72" t="s">
        <v>203</v>
      </c>
      <c r="D19" s="73">
        <v>4441</v>
      </c>
      <c r="E19" s="72" t="s">
        <v>202</v>
      </c>
      <c r="F19" s="72" t="s">
        <v>251</v>
      </c>
      <c r="G19" s="72" t="s">
        <v>254</v>
      </c>
    </row>
    <row r="20" spans="1:7" x14ac:dyDescent="0.15">
      <c r="A20" s="72">
        <v>445</v>
      </c>
      <c r="B20" s="99" t="str">
        <f>VLOOKUP(A20,[1]characters!$A:$C,3,FALSE)</f>
        <v>森のミリオンダック 4</v>
      </c>
      <c r="C20" s="72" t="s">
        <v>201</v>
      </c>
      <c r="D20" s="73">
        <v>4450</v>
      </c>
      <c r="E20" s="72" t="s">
        <v>202</v>
      </c>
      <c r="F20" s="72" t="s">
        <v>251</v>
      </c>
      <c r="G20" s="142" t="str">
        <f>G18</f>
        <v>みんなの おかげグヮ！</v>
      </c>
    </row>
    <row r="21" spans="1:7" x14ac:dyDescent="0.15">
      <c r="A21" s="72">
        <v>445</v>
      </c>
      <c r="B21" s="99" t="str">
        <f>VLOOKUP(A21,[1]characters!$A:$C,3,FALSE)</f>
        <v>森のミリオンダック 4</v>
      </c>
      <c r="C21" s="72" t="s">
        <v>203</v>
      </c>
      <c r="D21" s="73">
        <v>4451</v>
      </c>
      <c r="E21" s="72" t="s">
        <v>202</v>
      </c>
      <c r="F21" s="72" t="s">
        <v>251</v>
      </c>
      <c r="G21" s="142" t="str">
        <f>G19</f>
        <v>400万DL ありがとうグヮ！</v>
      </c>
    </row>
    <row r="22" spans="1:7" x14ac:dyDescent="0.15">
      <c r="A22" s="72">
        <v>446</v>
      </c>
      <c r="B22" s="99" t="str">
        <f>VLOOKUP(A22,[1]characters!$A:$C,3,FALSE)</f>
        <v>水のミリオンダック 4</v>
      </c>
      <c r="C22" s="72" t="s">
        <v>201</v>
      </c>
      <c r="D22" s="73">
        <v>4460</v>
      </c>
      <c r="E22" s="72" t="s">
        <v>202</v>
      </c>
      <c r="F22" s="72" t="s">
        <v>251</v>
      </c>
      <c r="G22" s="142" t="str">
        <f t="shared" ref="G22:G25" si="1">G20</f>
        <v>みんなの おかげグヮ！</v>
      </c>
    </row>
    <row r="23" spans="1:7" x14ac:dyDescent="0.15">
      <c r="A23" s="72">
        <v>446</v>
      </c>
      <c r="B23" s="99" t="str">
        <f>VLOOKUP(A23,[1]characters!$A:$C,3,FALSE)</f>
        <v>水のミリオンダック 4</v>
      </c>
      <c r="C23" s="72" t="s">
        <v>203</v>
      </c>
      <c r="D23" s="73">
        <v>4461</v>
      </c>
      <c r="E23" s="72" t="s">
        <v>202</v>
      </c>
      <c r="F23" s="72" t="s">
        <v>251</v>
      </c>
      <c r="G23" s="142" t="str">
        <f t="shared" si="1"/>
        <v>400万DL ありがとうグヮ！</v>
      </c>
    </row>
    <row r="24" spans="1:7" x14ac:dyDescent="0.15">
      <c r="A24" s="72">
        <v>447</v>
      </c>
      <c r="B24" s="99" t="str">
        <f>VLOOKUP(A24,[1]characters!$A:$C,3,FALSE)</f>
        <v>雷のミリオンダック 4</v>
      </c>
      <c r="C24" s="72" t="s">
        <v>201</v>
      </c>
      <c r="D24" s="73">
        <v>4470</v>
      </c>
      <c r="E24" s="72" t="s">
        <v>202</v>
      </c>
      <c r="F24" s="72" t="s">
        <v>251</v>
      </c>
      <c r="G24" s="142" t="str">
        <f t="shared" si="1"/>
        <v>みんなの おかげグヮ！</v>
      </c>
    </row>
    <row r="25" spans="1:7" x14ac:dyDescent="0.15">
      <c r="A25" s="72">
        <v>447</v>
      </c>
      <c r="B25" s="99" t="str">
        <f>VLOOKUP(A25,[1]characters!$A:$C,3,FALSE)</f>
        <v>雷のミリオンダック 4</v>
      </c>
      <c r="C25" s="72" t="s">
        <v>203</v>
      </c>
      <c r="D25" s="73">
        <v>4471</v>
      </c>
      <c r="E25" s="72" t="s">
        <v>202</v>
      </c>
      <c r="F25" s="72" t="s">
        <v>251</v>
      </c>
      <c r="G25" s="142" t="str">
        <f t="shared" si="1"/>
        <v>400万DL ありがとうグヮ！</v>
      </c>
    </row>
    <row r="26" spans="1:7" x14ac:dyDescent="0.15">
      <c r="A26" s="72">
        <v>1079</v>
      </c>
      <c r="B26" s="99" t="str">
        <f>VLOOKUP(A26,[1]characters!$A:$C,3,FALSE)</f>
        <v>炎のアニバーサリーダック</v>
      </c>
      <c r="C26" s="72" t="s">
        <v>201</v>
      </c>
      <c r="D26" s="73">
        <v>10790</v>
      </c>
      <c r="E26" s="72" t="s">
        <v>192</v>
      </c>
      <c r="F26" s="72" t="s">
        <v>251</v>
      </c>
      <c r="G26" s="72" t="s">
        <v>253</v>
      </c>
    </row>
    <row r="27" spans="1:7" x14ac:dyDescent="0.15">
      <c r="A27" s="72">
        <v>1079</v>
      </c>
      <c r="B27" s="99" t="str">
        <f>VLOOKUP(A27,[1]characters!$A:$C,3,FALSE)</f>
        <v>炎のアニバーサリーダック</v>
      </c>
      <c r="C27" s="72" t="s">
        <v>203</v>
      </c>
      <c r="D27" s="73">
        <v>10791</v>
      </c>
      <c r="E27" s="72" t="s">
        <v>192</v>
      </c>
      <c r="F27" s="72" t="s">
        <v>251</v>
      </c>
      <c r="G27" s="72" t="s">
        <v>256</v>
      </c>
    </row>
    <row r="28" spans="1:7" x14ac:dyDescent="0.15">
      <c r="A28" s="72">
        <v>1080</v>
      </c>
      <c r="B28" s="99" t="str">
        <f>VLOOKUP(A28,[1]characters!$A:$C,3,FALSE)</f>
        <v>森のアニバーサリーダック</v>
      </c>
      <c r="C28" s="72" t="s">
        <v>201</v>
      </c>
      <c r="D28" s="73">
        <v>10800</v>
      </c>
      <c r="E28" s="72" t="s">
        <v>192</v>
      </c>
      <c r="F28" s="72" t="s">
        <v>251</v>
      </c>
      <c r="G28" s="142" t="str">
        <f>G26</f>
        <v>みんなの おかげグヮ！</v>
      </c>
    </row>
    <row r="29" spans="1:7" x14ac:dyDescent="0.15">
      <c r="A29" s="72">
        <v>1080</v>
      </c>
      <c r="B29" s="99" t="str">
        <f>VLOOKUP(A29,[1]characters!$A:$C,3,FALSE)</f>
        <v>森のアニバーサリーダック</v>
      </c>
      <c r="C29" s="72" t="s">
        <v>203</v>
      </c>
      <c r="D29" s="73">
        <v>10801</v>
      </c>
      <c r="E29" s="72" t="s">
        <v>192</v>
      </c>
      <c r="F29" s="72" t="s">
        <v>251</v>
      </c>
      <c r="G29" s="142" t="str">
        <f>G27</f>
        <v>1周年 ありがとうグヮ！</v>
      </c>
    </row>
    <row r="30" spans="1:7" x14ac:dyDescent="0.15">
      <c r="A30" s="72">
        <v>1081</v>
      </c>
      <c r="B30" s="99" t="str">
        <f>VLOOKUP(A30,[1]characters!$A:$C,3,FALSE)</f>
        <v>水のアニバーサリーダック</v>
      </c>
      <c r="C30" s="72" t="s">
        <v>201</v>
      </c>
      <c r="D30" s="73">
        <v>10810</v>
      </c>
      <c r="E30" s="72" t="s">
        <v>192</v>
      </c>
      <c r="F30" s="72" t="s">
        <v>251</v>
      </c>
      <c r="G30" s="142" t="str">
        <f t="shared" ref="G30:G33" si="2">G28</f>
        <v>みんなの おかげグヮ！</v>
      </c>
    </row>
    <row r="31" spans="1:7" x14ac:dyDescent="0.15">
      <c r="A31" s="72">
        <v>1081</v>
      </c>
      <c r="B31" s="99" t="str">
        <f>VLOOKUP(A31,[1]characters!$A:$C,3,FALSE)</f>
        <v>水のアニバーサリーダック</v>
      </c>
      <c r="C31" s="72" t="s">
        <v>203</v>
      </c>
      <c r="D31" s="73">
        <v>10811</v>
      </c>
      <c r="E31" s="72" t="s">
        <v>192</v>
      </c>
      <c r="F31" s="72" t="s">
        <v>251</v>
      </c>
      <c r="G31" s="142" t="str">
        <f t="shared" si="2"/>
        <v>1周年 ありがとうグヮ！</v>
      </c>
    </row>
    <row r="32" spans="1:7" x14ac:dyDescent="0.15">
      <c r="A32" s="72">
        <v>1082</v>
      </c>
      <c r="B32" s="99" t="str">
        <f>VLOOKUP(A32,[1]characters!$A:$C,3,FALSE)</f>
        <v>雷のアニバーサリーダック</v>
      </c>
      <c r="C32" s="72" t="s">
        <v>201</v>
      </c>
      <c r="D32" s="73">
        <v>10820</v>
      </c>
      <c r="E32" s="72" t="s">
        <v>192</v>
      </c>
      <c r="F32" s="72" t="s">
        <v>251</v>
      </c>
      <c r="G32" s="142" t="str">
        <f t="shared" si="2"/>
        <v>みんなの おかげグヮ！</v>
      </c>
    </row>
    <row r="33" spans="1:7" x14ac:dyDescent="0.15">
      <c r="A33" s="72">
        <v>1082</v>
      </c>
      <c r="B33" s="99" t="str">
        <f>VLOOKUP(A33,[1]characters!$A:$C,3,FALSE)</f>
        <v>雷のアニバーサリーダック</v>
      </c>
      <c r="C33" s="72" t="s">
        <v>203</v>
      </c>
      <c r="D33" s="73">
        <v>10821</v>
      </c>
      <c r="E33" s="72" t="s">
        <v>192</v>
      </c>
      <c r="F33" s="72" t="s">
        <v>251</v>
      </c>
      <c r="G33" s="142" t="str">
        <f t="shared" si="2"/>
        <v>1周年 ありがとうグヮ！</v>
      </c>
    </row>
  </sheetData>
  <phoneticPr fontId="22"/>
  <dataValidations count="2">
    <dataValidation type="list" allowBlank="1" showInputMessage="1" showErrorMessage="1" sqref="F2:F33">
      <formula1>"maru,giza,kumo"</formula1>
    </dataValidation>
    <dataValidation type="list" allowBlank="1" showInputMessage="1" showErrorMessage="1" sqref="C2:C3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"/>
  <sheetViews>
    <sheetView showGridLines="0" workbookViewId="0">
      <pane ySplit="1" topLeftCell="A2" activePane="bottomLeft" state="frozen"/>
      <selection pane="bottomLeft" activeCell="C19" sqref="C19"/>
    </sheetView>
  </sheetViews>
  <sheetFormatPr baseColWidth="12" defaultColWidth="13" defaultRowHeight="15" x14ac:dyDescent="0.15"/>
  <cols>
    <col min="1" max="1" width="11.5" style="4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47" t="s">
        <v>105</v>
      </c>
      <c r="B1" s="34" t="s">
        <v>44</v>
      </c>
      <c r="C1" s="13" t="s">
        <v>46</v>
      </c>
      <c r="D1" s="13" t="s">
        <v>48</v>
      </c>
      <c r="E1" s="13" t="s">
        <v>49</v>
      </c>
      <c r="F1" s="35" t="s">
        <v>42</v>
      </c>
      <c r="G1" s="13" t="s">
        <v>47</v>
      </c>
      <c r="H1" s="12" t="s">
        <v>43</v>
      </c>
      <c r="I1" s="75" t="s">
        <v>133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H23" sqref="H23"/>
    </sheetView>
  </sheetViews>
  <sheetFormatPr baseColWidth="12" defaultRowHeight="15" x14ac:dyDescent="0.15"/>
  <sheetData>
    <row r="1" spans="1:2" x14ac:dyDescent="0.15">
      <c r="A1" t="s">
        <v>258</v>
      </c>
      <c r="B1" t="s">
        <v>259</v>
      </c>
    </row>
    <row r="2" spans="1:2" x14ac:dyDescent="0.15">
      <c r="A2" t="s">
        <v>260</v>
      </c>
      <c r="B2">
        <v>1</v>
      </c>
    </row>
    <row r="3" spans="1:2" x14ac:dyDescent="0.15">
      <c r="A3" t="s">
        <v>261</v>
      </c>
      <c r="B3">
        <v>1</v>
      </c>
    </row>
    <row r="4" spans="1:2" x14ac:dyDescent="0.15">
      <c r="A4" t="s">
        <v>262</v>
      </c>
      <c r="B4">
        <v>1</v>
      </c>
    </row>
    <row r="5" spans="1:2" x14ac:dyDescent="0.15">
      <c r="A5" t="s">
        <v>263</v>
      </c>
      <c r="B5">
        <v>1</v>
      </c>
    </row>
    <row r="6" spans="1:2" x14ac:dyDescent="0.15">
      <c r="A6" t="s">
        <v>264</v>
      </c>
      <c r="B6">
        <v>1</v>
      </c>
    </row>
    <row r="7" spans="1:2" x14ac:dyDescent="0.15">
      <c r="A7" t="s">
        <v>265</v>
      </c>
      <c r="B7">
        <v>1</v>
      </c>
    </row>
    <row r="8" spans="1:2" x14ac:dyDescent="0.15">
      <c r="A8" t="s">
        <v>266</v>
      </c>
      <c r="B8">
        <v>1</v>
      </c>
    </row>
    <row r="9" spans="1:2" x14ac:dyDescent="0.15">
      <c r="A9" t="s">
        <v>267</v>
      </c>
      <c r="B9">
        <v>1</v>
      </c>
    </row>
    <row r="10" spans="1:2" x14ac:dyDescent="0.15">
      <c r="A10" t="s">
        <v>268</v>
      </c>
      <c r="B10">
        <v>1</v>
      </c>
    </row>
    <row r="11" spans="1:2" x14ac:dyDescent="0.15">
      <c r="A11" t="s">
        <v>269</v>
      </c>
      <c r="B11">
        <v>1</v>
      </c>
    </row>
    <row r="12" spans="1:2" x14ac:dyDescent="0.15">
      <c r="A12" t="s">
        <v>270</v>
      </c>
      <c r="B12">
        <v>1</v>
      </c>
    </row>
    <row r="13" spans="1:2" x14ac:dyDescent="0.15">
      <c r="A13" t="s">
        <v>271</v>
      </c>
      <c r="B13">
        <v>0</v>
      </c>
    </row>
    <row r="14" spans="1:2" x14ac:dyDescent="0.15">
      <c r="A14" t="s">
        <v>272</v>
      </c>
      <c r="B14">
        <v>500</v>
      </c>
    </row>
    <row r="15" spans="1:2" x14ac:dyDescent="0.15">
      <c r="A15" t="s">
        <v>273</v>
      </c>
      <c r="B15">
        <v>600</v>
      </c>
    </row>
    <row r="16" spans="1:2" x14ac:dyDescent="0.15">
      <c r="A16" t="s">
        <v>274</v>
      </c>
      <c r="B16">
        <v>700</v>
      </c>
    </row>
    <row r="17" spans="1:2" x14ac:dyDescent="0.15">
      <c r="A17" t="s">
        <v>275</v>
      </c>
      <c r="B17">
        <v>5500</v>
      </c>
    </row>
    <row r="18" spans="1:2" x14ac:dyDescent="0.15">
      <c r="A18" t="s">
        <v>276</v>
      </c>
      <c r="B18">
        <v>6000</v>
      </c>
    </row>
    <row r="19" spans="1:2" x14ac:dyDescent="0.15">
      <c r="A19" t="s">
        <v>277</v>
      </c>
      <c r="B19">
        <v>30000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workbookViewId="0">
      <selection activeCell="G16" sqref="G16"/>
    </sheetView>
  </sheetViews>
  <sheetFormatPr baseColWidth="12" defaultColWidth="13" defaultRowHeight="21" customHeight="1" x14ac:dyDescent="0.15"/>
  <cols>
    <col min="1" max="1" width="13" style="4"/>
    <col min="2" max="16384" width="13" style="16"/>
  </cols>
  <sheetData>
    <row r="1" spans="1:9" s="4" customFormat="1" ht="21" customHeight="1" x14ac:dyDescent="0.15">
      <c r="A1" s="23" t="s">
        <v>216</v>
      </c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</row>
    <row r="2" spans="1:9" ht="21" customHeight="1" x14ac:dyDescent="0.15">
      <c r="A2" s="59" t="s">
        <v>217</v>
      </c>
      <c r="B2" s="37" t="s">
        <v>11</v>
      </c>
      <c r="C2" s="37" t="s">
        <v>11</v>
      </c>
      <c r="D2" s="31" t="s">
        <v>115</v>
      </c>
      <c r="E2" s="31" t="s">
        <v>218</v>
      </c>
      <c r="F2" s="31" t="s">
        <v>218</v>
      </c>
      <c r="G2" s="31" t="s">
        <v>218</v>
      </c>
      <c r="H2" s="31" t="s">
        <v>218</v>
      </c>
      <c r="I2" s="31" t="s">
        <v>218</v>
      </c>
    </row>
    <row r="3" spans="1:9" ht="21" customHeight="1" x14ac:dyDescent="0.15">
      <c r="A3" s="60" t="s">
        <v>211</v>
      </c>
      <c r="B3" s="37" t="s">
        <v>11</v>
      </c>
      <c r="C3" s="37" t="s">
        <v>11</v>
      </c>
      <c r="D3" s="31" t="s">
        <v>115</v>
      </c>
      <c r="E3" s="31">
        <v>30</v>
      </c>
      <c r="F3" s="31">
        <v>40</v>
      </c>
      <c r="G3" s="31">
        <f>15+F3</f>
        <v>55</v>
      </c>
      <c r="H3" s="31" t="s">
        <v>115</v>
      </c>
      <c r="I3" s="31" t="s">
        <v>115</v>
      </c>
    </row>
    <row r="4" spans="1:9" s="36" customFormat="1" ht="21" customHeight="1" x14ac:dyDescent="0.15">
      <c r="A4" s="61" t="s">
        <v>212</v>
      </c>
      <c r="B4" s="21" t="s">
        <v>11</v>
      </c>
      <c r="C4" s="21" t="s">
        <v>11</v>
      </c>
      <c r="D4" s="69" t="s">
        <v>115</v>
      </c>
      <c r="E4" s="69">
        <v>25</v>
      </c>
      <c r="F4" s="69">
        <v>35</v>
      </c>
      <c r="G4" s="31">
        <f t="shared" ref="G4:G6" si="0">15+F4</f>
        <v>50</v>
      </c>
      <c r="H4" s="69" t="s">
        <v>115</v>
      </c>
      <c r="I4" s="69" t="s">
        <v>115</v>
      </c>
    </row>
    <row r="5" spans="1:9" ht="21" customHeight="1" x14ac:dyDescent="0.15">
      <c r="A5" s="61" t="s">
        <v>9</v>
      </c>
      <c r="B5" s="50" t="s">
        <v>11</v>
      </c>
      <c r="C5" s="50" t="s">
        <v>11</v>
      </c>
      <c r="D5" s="21">
        <v>10</v>
      </c>
      <c r="E5" s="21">
        <v>20</v>
      </c>
      <c r="F5" s="21">
        <v>30</v>
      </c>
      <c r="G5" s="31">
        <f t="shared" si="0"/>
        <v>45</v>
      </c>
      <c r="H5" s="50" t="s">
        <v>11</v>
      </c>
      <c r="I5" s="50" t="s">
        <v>11</v>
      </c>
    </row>
    <row r="6" spans="1:9" ht="21" customHeight="1" x14ac:dyDescent="0.15">
      <c r="A6" s="61" t="s">
        <v>221</v>
      </c>
      <c r="B6" s="50" t="s">
        <v>11</v>
      </c>
      <c r="C6" s="50" t="s">
        <v>11</v>
      </c>
      <c r="D6" s="21">
        <v>9</v>
      </c>
      <c r="E6" s="21">
        <v>18</v>
      </c>
      <c r="F6" s="21">
        <v>28</v>
      </c>
      <c r="G6" s="31">
        <f t="shared" si="0"/>
        <v>43</v>
      </c>
      <c r="H6" s="50" t="s">
        <v>11</v>
      </c>
      <c r="I6" s="50" t="s">
        <v>11</v>
      </c>
    </row>
    <row r="7" spans="1:9" ht="21" customHeight="1" x14ac:dyDescent="0.15">
      <c r="A7" s="61" t="s">
        <v>112</v>
      </c>
      <c r="B7" s="50" t="s">
        <v>11</v>
      </c>
      <c r="C7" s="50" t="s">
        <v>11</v>
      </c>
      <c r="D7" s="21">
        <v>7</v>
      </c>
      <c r="E7" s="21">
        <v>16</v>
      </c>
      <c r="F7" s="50" t="s">
        <v>11</v>
      </c>
      <c r="G7" s="50" t="s">
        <v>11</v>
      </c>
      <c r="H7" s="50" t="s">
        <v>11</v>
      </c>
      <c r="I7" s="50" t="s">
        <v>11</v>
      </c>
    </row>
    <row r="8" spans="1:9" ht="21" customHeight="1" x14ac:dyDescent="0.15">
      <c r="A8" s="68" t="s">
        <v>222</v>
      </c>
      <c r="B8" s="50" t="s">
        <v>11</v>
      </c>
      <c r="C8" s="50" t="s">
        <v>11</v>
      </c>
      <c r="D8" s="21">
        <v>8</v>
      </c>
      <c r="E8" s="21">
        <v>17</v>
      </c>
      <c r="F8" s="21">
        <v>26</v>
      </c>
      <c r="G8" s="50" t="s">
        <v>11</v>
      </c>
      <c r="H8" s="50" t="s">
        <v>11</v>
      </c>
      <c r="I8" s="50" t="s">
        <v>11</v>
      </c>
    </row>
    <row r="9" spans="1:9" ht="21" customHeight="1" x14ac:dyDescent="0.15">
      <c r="A9" s="61" t="s">
        <v>223</v>
      </c>
      <c r="B9" s="50" t="s">
        <v>11</v>
      </c>
      <c r="C9" s="50" t="s">
        <v>11</v>
      </c>
      <c r="D9" s="21">
        <v>8</v>
      </c>
      <c r="E9" s="21">
        <v>17</v>
      </c>
      <c r="F9" s="21">
        <v>26</v>
      </c>
      <c r="G9" s="50" t="s">
        <v>11</v>
      </c>
      <c r="H9" s="50" t="s">
        <v>11</v>
      </c>
      <c r="I9" s="50" t="s">
        <v>11</v>
      </c>
    </row>
    <row r="10" spans="1:9" ht="21" customHeight="1" x14ac:dyDescent="0.15">
      <c r="A10" s="61" t="s">
        <v>111</v>
      </c>
      <c r="B10" s="50" t="s">
        <v>11</v>
      </c>
      <c r="C10" s="50" t="s">
        <v>11</v>
      </c>
      <c r="D10" s="21">
        <v>6</v>
      </c>
      <c r="E10" s="21">
        <v>14</v>
      </c>
      <c r="F10" s="50" t="s">
        <v>11</v>
      </c>
      <c r="G10" s="50" t="s">
        <v>11</v>
      </c>
      <c r="H10" s="50" t="s">
        <v>11</v>
      </c>
      <c r="I10" s="50" t="s">
        <v>11</v>
      </c>
    </row>
    <row r="11" spans="1:9" ht="21" customHeight="1" x14ac:dyDescent="0.15">
      <c r="A11" s="61" t="s">
        <v>224</v>
      </c>
      <c r="B11" s="50" t="s">
        <v>11</v>
      </c>
      <c r="C11" s="21">
        <v>4</v>
      </c>
      <c r="D11" s="21">
        <v>6</v>
      </c>
      <c r="E11" s="21">
        <v>14</v>
      </c>
      <c r="F11" s="50" t="s">
        <v>11</v>
      </c>
      <c r="G11" s="50" t="s">
        <v>11</v>
      </c>
      <c r="H11" s="50" t="s">
        <v>11</v>
      </c>
      <c r="I11" s="50" t="s">
        <v>11</v>
      </c>
    </row>
    <row r="12" spans="1:9" ht="21" customHeight="1" x14ac:dyDescent="0.15">
      <c r="A12" s="61" t="s">
        <v>8</v>
      </c>
      <c r="B12" s="21">
        <v>2</v>
      </c>
      <c r="C12" s="21">
        <v>4</v>
      </c>
      <c r="D12" s="21">
        <v>6</v>
      </c>
      <c r="E12" s="50" t="s">
        <v>11</v>
      </c>
      <c r="F12" s="50" t="s">
        <v>11</v>
      </c>
      <c r="G12" s="50" t="s">
        <v>11</v>
      </c>
      <c r="H12" s="50" t="s">
        <v>11</v>
      </c>
      <c r="I12" s="50" t="s">
        <v>11</v>
      </c>
    </row>
    <row r="13" spans="1:9" ht="21" customHeight="1" x14ac:dyDescent="0.15">
      <c r="A13" s="62" t="s">
        <v>7</v>
      </c>
      <c r="B13" s="24">
        <v>1</v>
      </c>
      <c r="C13" s="24">
        <v>2</v>
      </c>
      <c r="D13" s="51" t="s">
        <v>11</v>
      </c>
      <c r="E13" s="51" t="s">
        <v>11</v>
      </c>
      <c r="F13" s="51" t="s">
        <v>11</v>
      </c>
      <c r="G13" s="51" t="s">
        <v>11</v>
      </c>
      <c r="H13" s="51" t="s">
        <v>11</v>
      </c>
      <c r="I13" s="51" t="s">
        <v>11</v>
      </c>
    </row>
    <row r="14" spans="1:9" ht="21" customHeight="1" x14ac:dyDescent="0.15">
      <c r="A14" s="63" t="s">
        <v>225</v>
      </c>
      <c r="B14" s="19">
        <v>1</v>
      </c>
      <c r="C14" s="19">
        <v>1</v>
      </c>
      <c r="D14" s="51" t="s">
        <v>11</v>
      </c>
      <c r="E14" s="51" t="s">
        <v>11</v>
      </c>
      <c r="F14" s="51" t="s">
        <v>11</v>
      </c>
      <c r="G14" s="51" t="s">
        <v>11</v>
      </c>
      <c r="H14" s="51" t="s">
        <v>11</v>
      </c>
      <c r="I14" s="51" t="s">
        <v>11</v>
      </c>
    </row>
    <row r="15" spans="1:9" ht="21" customHeight="1" x14ac:dyDescent="0.15">
      <c r="A15" s="30" t="s">
        <v>226</v>
      </c>
      <c r="B15" s="29">
        <v>99</v>
      </c>
      <c r="C15" s="29">
        <v>99</v>
      </c>
      <c r="D15" s="29">
        <v>99</v>
      </c>
      <c r="E15" s="29">
        <v>99</v>
      </c>
      <c r="F15" s="29">
        <v>99</v>
      </c>
      <c r="G15" s="29">
        <v>99</v>
      </c>
      <c r="H15" s="29">
        <v>99</v>
      </c>
      <c r="I15" s="29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16"/>
  </cols>
  <sheetData>
    <row r="1" spans="1:9" ht="21" customHeight="1" x14ac:dyDescent="0.15">
      <c r="A1" s="25" t="s">
        <v>10</v>
      </c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</row>
    <row r="2" spans="1:9" ht="21" customHeight="1" x14ac:dyDescent="0.15">
      <c r="A2" s="55" t="s">
        <v>227</v>
      </c>
      <c r="B2" s="32" t="s">
        <v>115</v>
      </c>
      <c r="C2" s="32" t="s">
        <v>115</v>
      </c>
      <c r="D2" s="32" t="s">
        <v>115</v>
      </c>
      <c r="E2" s="32" t="s">
        <v>115</v>
      </c>
      <c r="F2" s="32" t="s">
        <v>115</v>
      </c>
      <c r="G2" s="32" t="s">
        <v>115</v>
      </c>
      <c r="H2" s="32" t="s">
        <v>115</v>
      </c>
      <c r="I2" s="32" t="s">
        <v>115</v>
      </c>
    </row>
    <row r="3" spans="1:9" ht="21" customHeight="1" x14ac:dyDescent="0.15">
      <c r="A3" s="55" t="s">
        <v>211</v>
      </c>
      <c r="B3" s="32" t="s">
        <v>115</v>
      </c>
      <c r="C3" s="32" t="s">
        <v>115</v>
      </c>
      <c r="D3" s="32" t="s">
        <v>115</v>
      </c>
      <c r="E3" s="32">
        <v>60</v>
      </c>
      <c r="F3" s="32">
        <v>80</v>
      </c>
      <c r="G3" s="32">
        <v>100</v>
      </c>
      <c r="H3" s="32" t="s">
        <v>115</v>
      </c>
      <c r="I3" s="32" t="s">
        <v>115</v>
      </c>
    </row>
    <row r="4" spans="1:9" s="36" customFormat="1" ht="21" customHeight="1" x14ac:dyDescent="0.15">
      <c r="A4" s="56" t="s">
        <v>212</v>
      </c>
      <c r="B4" s="48" t="s">
        <v>115</v>
      </c>
      <c r="C4" s="48" t="s">
        <v>115</v>
      </c>
      <c r="D4" s="48" t="s">
        <v>115</v>
      </c>
      <c r="E4" s="48">
        <v>60</v>
      </c>
      <c r="F4" s="48">
        <v>80</v>
      </c>
      <c r="G4" s="48">
        <v>100</v>
      </c>
      <c r="H4" s="48" t="s">
        <v>115</v>
      </c>
      <c r="I4" s="48" t="s">
        <v>115</v>
      </c>
    </row>
    <row r="5" spans="1:9" ht="21" customHeight="1" x14ac:dyDescent="0.15">
      <c r="A5" s="56" t="s">
        <v>9</v>
      </c>
      <c r="B5" s="52" t="s">
        <v>115</v>
      </c>
      <c r="C5" s="52" t="s">
        <v>115</v>
      </c>
      <c r="D5" s="29">
        <v>40</v>
      </c>
      <c r="E5" s="29">
        <v>60</v>
      </c>
      <c r="F5" s="29">
        <v>80</v>
      </c>
      <c r="G5" s="32">
        <v>100</v>
      </c>
      <c r="H5" s="52" t="s">
        <v>115</v>
      </c>
      <c r="I5" s="52" t="s">
        <v>115</v>
      </c>
    </row>
    <row r="6" spans="1:9" ht="21" customHeight="1" x14ac:dyDescent="0.15">
      <c r="A6" s="56" t="s">
        <v>213</v>
      </c>
      <c r="B6" s="52" t="s">
        <v>115</v>
      </c>
      <c r="C6" s="52" t="s">
        <v>115</v>
      </c>
      <c r="D6" s="29">
        <v>40</v>
      </c>
      <c r="E6" s="29">
        <v>60</v>
      </c>
      <c r="F6" s="29">
        <v>80</v>
      </c>
      <c r="G6" s="48">
        <v>100</v>
      </c>
      <c r="H6" s="52" t="s">
        <v>115</v>
      </c>
      <c r="I6" s="52" t="s">
        <v>115</v>
      </c>
    </row>
    <row r="7" spans="1:9" ht="21" customHeight="1" x14ac:dyDescent="0.15">
      <c r="A7" s="56" t="s">
        <v>214</v>
      </c>
      <c r="B7" s="52" t="s">
        <v>115</v>
      </c>
      <c r="C7" s="52" t="s">
        <v>115</v>
      </c>
      <c r="D7" s="29">
        <v>40</v>
      </c>
      <c r="E7" s="29">
        <v>60</v>
      </c>
      <c r="F7" s="52" t="s">
        <v>115</v>
      </c>
      <c r="G7" s="52" t="s">
        <v>115</v>
      </c>
      <c r="H7" s="52" t="s">
        <v>115</v>
      </c>
      <c r="I7" s="52" t="s">
        <v>115</v>
      </c>
    </row>
    <row r="8" spans="1:9" ht="21" customHeight="1" x14ac:dyDescent="0.15">
      <c r="A8" s="57" t="s">
        <v>215</v>
      </c>
      <c r="B8" s="52" t="s">
        <v>115</v>
      </c>
      <c r="C8" s="52" t="s">
        <v>115</v>
      </c>
      <c r="D8" s="29">
        <v>40</v>
      </c>
      <c r="E8" s="29">
        <v>60</v>
      </c>
      <c r="F8" s="29">
        <v>80</v>
      </c>
      <c r="G8" s="52" t="s">
        <v>115</v>
      </c>
      <c r="H8" s="52" t="s">
        <v>115</v>
      </c>
      <c r="I8" s="52" t="s">
        <v>115</v>
      </c>
    </row>
    <row r="9" spans="1:9" ht="21" customHeight="1" x14ac:dyDescent="0.15">
      <c r="A9" s="45" t="s">
        <v>37</v>
      </c>
      <c r="B9" s="52" t="s">
        <v>115</v>
      </c>
      <c r="C9" s="52" t="s">
        <v>115</v>
      </c>
      <c r="D9" s="29">
        <v>40</v>
      </c>
      <c r="E9" s="29">
        <v>60</v>
      </c>
      <c r="F9" s="29">
        <v>80</v>
      </c>
      <c r="G9" s="52" t="s">
        <v>115</v>
      </c>
      <c r="H9" s="52" t="s">
        <v>115</v>
      </c>
      <c r="I9" s="52" t="s">
        <v>115</v>
      </c>
    </row>
    <row r="10" spans="1:9" ht="21" customHeight="1" x14ac:dyDescent="0.15">
      <c r="A10" s="45" t="s">
        <v>38</v>
      </c>
      <c r="B10" s="52" t="s">
        <v>115</v>
      </c>
      <c r="C10" s="29">
        <v>30</v>
      </c>
      <c r="D10" s="29">
        <v>40</v>
      </c>
      <c r="E10" s="29">
        <v>60</v>
      </c>
      <c r="F10" s="52" t="s">
        <v>115</v>
      </c>
      <c r="G10" s="52" t="s">
        <v>115</v>
      </c>
      <c r="H10" s="52" t="s">
        <v>115</v>
      </c>
      <c r="I10" s="52" t="s">
        <v>115</v>
      </c>
    </row>
    <row r="11" spans="1:9" ht="21" customHeight="1" x14ac:dyDescent="0.15">
      <c r="A11" s="45" t="s">
        <v>39</v>
      </c>
      <c r="B11" s="52" t="s">
        <v>115</v>
      </c>
      <c r="C11" s="29">
        <v>30</v>
      </c>
      <c r="D11" s="29">
        <v>40</v>
      </c>
      <c r="E11" s="29">
        <v>60</v>
      </c>
      <c r="F11" s="52" t="s">
        <v>115</v>
      </c>
      <c r="G11" s="52" t="s">
        <v>115</v>
      </c>
      <c r="H11" s="52" t="s">
        <v>115</v>
      </c>
      <c r="I11" s="52" t="s">
        <v>115</v>
      </c>
    </row>
    <row r="12" spans="1:9" ht="21" customHeight="1" x14ac:dyDescent="0.15">
      <c r="A12" s="46" t="s">
        <v>8</v>
      </c>
      <c r="B12" s="29">
        <v>15</v>
      </c>
      <c r="C12" s="29">
        <v>30</v>
      </c>
      <c r="D12" s="29">
        <v>40</v>
      </c>
      <c r="E12" s="52" t="s">
        <v>115</v>
      </c>
      <c r="F12" s="52" t="s">
        <v>115</v>
      </c>
      <c r="G12" s="52" t="s">
        <v>115</v>
      </c>
      <c r="H12" s="52" t="s">
        <v>115</v>
      </c>
      <c r="I12" s="52" t="s">
        <v>115</v>
      </c>
    </row>
    <row r="13" spans="1:9" ht="21" customHeight="1" x14ac:dyDescent="0.15">
      <c r="A13" s="41" t="s">
        <v>7</v>
      </c>
      <c r="B13" s="29">
        <v>15</v>
      </c>
      <c r="C13" s="29">
        <v>30</v>
      </c>
      <c r="D13" s="29">
        <v>40</v>
      </c>
      <c r="E13" s="52" t="s">
        <v>228</v>
      </c>
      <c r="F13" s="52" t="s">
        <v>228</v>
      </c>
      <c r="G13" s="52" t="s">
        <v>228</v>
      </c>
      <c r="H13" s="52" t="s">
        <v>228</v>
      </c>
      <c r="I13" s="52" t="s">
        <v>228</v>
      </c>
    </row>
    <row r="14" spans="1:9" ht="21" customHeight="1" x14ac:dyDescent="0.15">
      <c r="A14" s="43" t="s">
        <v>40</v>
      </c>
      <c r="B14" s="29">
        <v>10</v>
      </c>
      <c r="C14" s="29">
        <v>20</v>
      </c>
      <c r="D14" s="52" t="s">
        <v>228</v>
      </c>
      <c r="E14" s="52" t="s">
        <v>228</v>
      </c>
      <c r="F14" s="52" t="s">
        <v>228</v>
      </c>
      <c r="G14" s="52" t="s">
        <v>228</v>
      </c>
      <c r="H14" s="52" t="s">
        <v>228</v>
      </c>
      <c r="I14" s="52" t="s">
        <v>228</v>
      </c>
    </row>
    <row r="15" spans="1:9" ht="21" customHeight="1" x14ac:dyDescent="0.15">
      <c r="A15" s="58" t="s">
        <v>229</v>
      </c>
      <c r="B15" s="29">
        <v>1</v>
      </c>
      <c r="C15" s="29">
        <v>1</v>
      </c>
      <c r="D15" s="29">
        <v>1</v>
      </c>
      <c r="E15" s="29">
        <v>1</v>
      </c>
      <c r="F15" s="29">
        <v>1</v>
      </c>
      <c r="G15" s="29">
        <v>1</v>
      </c>
      <c r="H15" s="29">
        <v>1</v>
      </c>
      <c r="I15" s="29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16"/>
  </cols>
  <sheetData>
    <row r="1" spans="1:11" ht="21" customHeight="1" x14ac:dyDescent="0.15">
      <c r="A1" s="38" t="s">
        <v>10</v>
      </c>
      <c r="B1" s="39">
        <v>1</v>
      </c>
      <c r="C1" s="39">
        <v>2</v>
      </c>
      <c r="D1" s="39">
        <v>3</v>
      </c>
      <c r="E1" s="39">
        <v>4</v>
      </c>
      <c r="F1" s="39">
        <v>5</v>
      </c>
      <c r="G1" s="39">
        <v>6</v>
      </c>
      <c r="H1" s="39">
        <v>7</v>
      </c>
      <c r="I1" s="39">
        <v>8</v>
      </c>
    </row>
    <row r="2" spans="1:11" ht="21" customHeight="1" x14ac:dyDescent="0.15">
      <c r="A2" s="40" t="s">
        <v>227</v>
      </c>
      <c r="B2" s="32" t="s">
        <v>115</v>
      </c>
      <c r="C2" s="32" t="s">
        <v>115</v>
      </c>
      <c r="D2" s="32" t="s">
        <v>115</v>
      </c>
      <c r="E2" s="32" t="s">
        <v>115</v>
      </c>
      <c r="F2" s="32" t="s">
        <v>115</v>
      </c>
      <c r="G2" s="32" t="s">
        <v>115</v>
      </c>
      <c r="H2" s="32" t="s">
        <v>115</v>
      </c>
      <c r="I2" s="32" t="s">
        <v>115</v>
      </c>
    </row>
    <row r="3" spans="1:11" ht="21" customHeight="1" x14ac:dyDescent="0.15">
      <c r="A3" s="40" t="s">
        <v>219</v>
      </c>
      <c r="B3" s="32" t="s">
        <v>115</v>
      </c>
      <c r="C3" s="32" t="s">
        <v>115</v>
      </c>
      <c r="D3" s="32" t="s">
        <v>230</v>
      </c>
      <c r="E3" s="42" t="s">
        <v>121</v>
      </c>
      <c r="F3" s="42" t="s">
        <v>121</v>
      </c>
      <c r="G3" s="42" t="s">
        <v>231</v>
      </c>
      <c r="H3" s="32" t="s">
        <v>230</v>
      </c>
      <c r="I3" s="32" t="s">
        <v>115</v>
      </c>
    </row>
    <row r="4" spans="1:11" s="36" customFormat="1" ht="21" customHeight="1" x14ac:dyDescent="0.15">
      <c r="A4" s="40" t="s">
        <v>212</v>
      </c>
      <c r="B4" s="48" t="s">
        <v>115</v>
      </c>
      <c r="C4" s="48" t="s">
        <v>115</v>
      </c>
      <c r="D4" s="48" t="s">
        <v>115</v>
      </c>
      <c r="E4" s="42" t="s">
        <v>65</v>
      </c>
      <c r="F4" s="42" t="s">
        <v>65</v>
      </c>
      <c r="G4" s="42" t="s">
        <v>121</v>
      </c>
      <c r="H4" s="48" t="s">
        <v>232</v>
      </c>
      <c r="I4" s="48" t="s">
        <v>232</v>
      </c>
    </row>
    <row r="5" spans="1:11" ht="21" customHeight="1" x14ac:dyDescent="0.15">
      <c r="A5" s="41" t="s">
        <v>9</v>
      </c>
      <c r="B5" s="52" t="s">
        <v>115</v>
      </c>
      <c r="C5" s="52" t="s">
        <v>115</v>
      </c>
      <c r="D5" s="42" t="s">
        <v>65</v>
      </c>
      <c r="E5" s="42" t="s">
        <v>65</v>
      </c>
      <c r="F5" s="42" t="s">
        <v>65</v>
      </c>
      <c r="G5" s="42" t="s">
        <v>233</v>
      </c>
      <c r="H5" s="52" t="s">
        <v>232</v>
      </c>
      <c r="I5" s="52" t="s">
        <v>232</v>
      </c>
      <c r="K5" s="20" t="s">
        <v>12</v>
      </c>
    </row>
    <row r="6" spans="1:11" ht="21" customHeight="1" x14ac:dyDescent="0.15">
      <c r="A6" s="43" t="s">
        <v>35</v>
      </c>
      <c r="B6" s="52" t="s">
        <v>115</v>
      </c>
      <c r="C6" s="52" t="s">
        <v>115</v>
      </c>
      <c r="D6" s="43" t="s">
        <v>65</v>
      </c>
      <c r="E6" s="43" t="s">
        <v>65</v>
      </c>
      <c r="F6" s="43" t="s">
        <v>65</v>
      </c>
      <c r="G6" s="42" t="s">
        <v>233</v>
      </c>
      <c r="H6" s="52" t="s">
        <v>232</v>
      </c>
      <c r="I6" s="52" t="s">
        <v>232</v>
      </c>
      <c r="K6" s="22" t="s">
        <v>13</v>
      </c>
    </row>
    <row r="7" spans="1:11" ht="21" customHeight="1" x14ac:dyDescent="0.15">
      <c r="A7" s="44" t="s">
        <v>36</v>
      </c>
      <c r="B7" s="52" t="s">
        <v>115</v>
      </c>
      <c r="C7" s="52" t="s">
        <v>115</v>
      </c>
      <c r="D7" s="44" t="s">
        <v>66</v>
      </c>
      <c r="E7" s="44" t="s">
        <v>66</v>
      </c>
      <c r="F7" s="52" t="s">
        <v>115</v>
      </c>
      <c r="G7" s="52" t="s">
        <v>115</v>
      </c>
      <c r="H7" s="52" t="s">
        <v>115</v>
      </c>
      <c r="I7" s="52" t="s">
        <v>115</v>
      </c>
      <c r="K7" s="53" t="s">
        <v>41</v>
      </c>
    </row>
    <row r="8" spans="1:11" ht="21" customHeight="1" x14ac:dyDescent="0.15">
      <c r="A8" s="44" t="s">
        <v>234</v>
      </c>
      <c r="B8" s="52" t="s">
        <v>115</v>
      </c>
      <c r="C8" s="52" t="s">
        <v>115</v>
      </c>
      <c r="D8" s="45" t="s">
        <v>65</v>
      </c>
      <c r="E8" s="45" t="s">
        <v>65</v>
      </c>
      <c r="F8" s="45" t="s">
        <v>65</v>
      </c>
      <c r="G8" s="52" t="s">
        <v>115</v>
      </c>
      <c r="H8" s="52" t="s">
        <v>115</v>
      </c>
      <c r="I8" s="52" t="s">
        <v>115</v>
      </c>
      <c r="K8" s="54"/>
    </row>
    <row r="9" spans="1:11" ht="21" customHeight="1" x14ac:dyDescent="0.15">
      <c r="A9" s="45" t="s">
        <v>37</v>
      </c>
      <c r="B9" s="52" t="s">
        <v>115</v>
      </c>
      <c r="C9" s="52" t="s">
        <v>115</v>
      </c>
      <c r="D9" s="45" t="s">
        <v>65</v>
      </c>
      <c r="E9" s="45" t="s">
        <v>65</v>
      </c>
      <c r="F9" s="45" t="s">
        <v>65</v>
      </c>
      <c r="G9" s="52" t="s">
        <v>115</v>
      </c>
      <c r="H9" s="52" t="s">
        <v>115</v>
      </c>
      <c r="I9" s="52" t="s">
        <v>115</v>
      </c>
    </row>
    <row r="10" spans="1:11" ht="21" customHeight="1" x14ac:dyDescent="0.15">
      <c r="A10" s="45" t="s">
        <v>38</v>
      </c>
      <c r="B10" s="52" t="s">
        <v>115</v>
      </c>
      <c r="C10" s="52" t="s">
        <v>115</v>
      </c>
      <c r="D10" s="45" t="s">
        <v>66</v>
      </c>
      <c r="E10" s="45" t="s">
        <v>66</v>
      </c>
      <c r="F10" s="52" t="s">
        <v>115</v>
      </c>
      <c r="G10" s="52" t="s">
        <v>115</v>
      </c>
      <c r="H10" s="52" t="s">
        <v>115</v>
      </c>
      <c r="I10" s="52" t="s">
        <v>115</v>
      </c>
    </row>
    <row r="11" spans="1:11" ht="21" customHeight="1" x14ac:dyDescent="0.15">
      <c r="A11" s="45" t="s">
        <v>39</v>
      </c>
      <c r="B11" s="52" t="s">
        <v>115</v>
      </c>
      <c r="C11" s="45" t="s">
        <v>66</v>
      </c>
      <c r="D11" s="45" t="s">
        <v>66</v>
      </c>
      <c r="E11" s="45" t="s">
        <v>66</v>
      </c>
      <c r="F11" s="52" t="s">
        <v>115</v>
      </c>
      <c r="G11" s="52" t="s">
        <v>115</v>
      </c>
      <c r="H11" s="52" t="s">
        <v>115</v>
      </c>
      <c r="I11" s="52" t="s">
        <v>115</v>
      </c>
    </row>
    <row r="12" spans="1:11" ht="21" customHeight="1" x14ac:dyDescent="0.15">
      <c r="A12" s="46" t="s">
        <v>8</v>
      </c>
      <c r="B12" s="46" t="s">
        <v>67</v>
      </c>
      <c r="C12" s="46" t="s">
        <v>67</v>
      </c>
      <c r="D12" s="46" t="s">
        <v>67</v>
      </c>
      <c r="E12" s="52" t="s">
        <v>115</v>
      </c>
      <c r="F12" s="52" t="s">
        <v>115</v>
      </c>
      <c r="G12" s="52" t="s">
        <v>115</v>
      </c>
      <c r="H12" s="52" t="s">
        <v>115</v>
      </c>
      <c r="I12" s="52" t="s">
        <v>115</v>
      </c>
    </row>
    <row r="13" spans="1:11" ht="21" customHeight="1" x14ac:dyDescent="0.15">
      <c r="A13" s="41" t="s">
        <v>7</v>
      </c>
      <c r="B13" s="41" t="s">
        <v>68</v>
      </c>
      <c r="C13" s="41" t="s">
        <v>68</v>
      </c>
      <c r="D13" s="52" t="s">
        <v>115</v>
      </c>
      <c r="E13" s="52" t="s">
        <v>115</v>
      </c>
      <c r="F13" s="52" t="s">
        <v>115</v>
      </c>
      <c r="G13" s="52" t="s">
        <v>115</v>
      </c>
      <c r="H13" s="52" t="s">
        <v>115</v>
      </c>
      <c r="I13" s="52" t="s">
        <v>115</v>
      </c>
    </row>
    <row r="14" spans="1:11" ht="21" customHeight="1" x14ac:dyDescent="0.15">
      <c r="A14" s="43" t="s">
        <v>40</v>
      </c>
      <c r="B14" s="43" t="s">
        <v>69</v>
      </c>
      <c r="C14" s="43" t="s">
        <v>69</v>
      </c>
      <c r="D14" s="52" t="s">
        <v>115</v>
      </c>
      <c r="E14" s="52" t="s">
        <v>115</v>
      </c>
      <c r="F14" s="52" t="s">
        <v>115</v>
      </c>
      <c r="G14" s="52" t="s">
        <v>115</v>
      </c>
      <c r="H14" s="52" t="s">
        <v>115</v>
      </c>
      <c r="I14" s="52" t="s">
        <v>115</v>
      </c>
    </row>
    <row r="15" spans="1:11" ht="21" customHeight="1" x14ac:dyDescent="0.15">
      <c r="A15" s="30" t="s">
        <v>226</v>
      </c>
      <c r="B15" s="64" t="s">
        <v>53</v>
      </c>
      <c r="C15" s="64" t="s">
        <v>53</v>
      </c>
      <c r="D15" s="64" t="s">
        <v>53</v>
      </c>
      <c r="E15" s="64" t="s">
        <v>53</v>
      </c>
      <c r="F15" s="64" t="s">
        <v>53</v>
      </c>
      <c r="G15" s="64" t="s">
        <v>53</v>
      </c>
      <c r="H15" s="64" t="s">
        <v>53</v>
      </c>
      <c r="I15" s="64" t="s">
        <v>53</v>
      </c>
    </row>
    <row r="20" spans="1:2" ht="21" customHeight="1" x14ac:dyDescent="0.15">
      <c r="A20" s="16" t="s">
        <v>14</v>
      </c>
    </row>
    <row r="21" spans="1:2" ht="21" customHeight="1" x14ac:dyDescent="0.15">
      <c r="A21" s="14" t="s">
        <v>70</v>
      </c>
      <c r="B21" s="14" t="s">
        <v>71</v>
      </c>
    </row>
    <row r="22" spans="1:2" ht="21" customHeight="1" x14ac:dyDescent="0.15">
      <c r="A22" s="17">
        <v>1</v>
      </c>
      <c r="B22" s="17">
        <v>200</v>
      </c>
    </row>
    <row r="23" spans="1:2" ht="21" customHeight="1" x14ac:dyDescent="0.15">
      <c r="A23" s="17">
        <v>2</v>
      </c>
      <c r="B23" s="17">
        <v>600</v>
      </c>
    </row>
    <row r="24" spans="1:2" ht="21" customHeight="1" x14ac:dyDescent="0.15">
      <c r="A24" s="17">
        <v>3</v>
      </c>
      <c r="B24" s="17">
        <v>1500</v>
      </c>
    </row>
    <row r="25" spans="1:2" ht="21" customHeight="1" x14ac:dyDescent="0.15">
      <c r="A25" s="17">
        <v>4</v>
      </c>
      <c r="B25" s="17">
        <v>3400</v>
      </c>
    </row>
    <row r="26" spans="1:2" ht="21" customHeight="1" x14ac:dyDescent="0.15">
      <c r="A26" s="17">
        <v>5</v>
      </c>
      <c r="B26" s="17">
        <v>6400</v>
      </c>
    </row>
  </sheetData>
  <sheetProtection selectLockedCells="1" selectUnlockedCells="1"/>
  <phoneticPr fontId="9"/>
  <conditionalFormatting sqref="A29:I65535 J1:IV2 J5:J8 L5:IV8 J9:IV65535">
    <cfRule type="cellIs" dxfId="17" priority="24" stopIfTrue="1" operator="equal">
      <formula>1</formula>
    </cfRule>
  </conditionalFormatting>
  <conditionalFormatting sqref="A19:B20 A27:B28 C19:I28">
    <cfRule type="cellIs" dxfId="16" priority="23" stopIfTrue="1" operator="equal">
      <formula>1</formula>
    </cfRule>
  </conditionalFormatting>
  <conditionalFormatting sqref="K5:K8">
    <cfRule type="cellIs" dxfId="15" priority="19" stopIfTrue="1" operator="equal">
      <formula>1</formula>
    </cfRule>
  </conditionalFormatting>
  <conditionalFormatting sqref="J3:IV3">
    <cfRule type="cellIs" dxfId="14" priority="18" stopIfTrue="1" operator="equal">
      <formula>1</formula>
    </cfRule>
  </conditionalFormatting>
  <conditionalFormatting sqref="J4:IV4">
    <cfRule type="cellIs" dxfId="13" priority="17" stopIfTrue="1" operator="equal">
      <formula>1</formula>
    </cfRule>
  </conditionalFormatting>
  <conditionalFormatting sqref="G14:I14">
    <cfRule type="cellIs" dxfId="12" priority="9" stopIfTrue="1" operator="equal">
      <formula>1</formula>
    </cfRule>
  </conditionalFormatting>
  <conditionalFormatting sqref="D13:G13 F10:G12 H10:I13">
    <cfRule type="cellIs" dxfId="11" priority="8" stopIfTrue="1" operator="equal">
      <formula>1</formula>
    </cfRule>
  </conditionalFormatting>
  <conditionalFormatting sqref="F12:G12">
    <cfRule type="cellIs" dxfId="10" priority="7" stopIfTrue="1" operator="equal">
      <formula>1</formula>
    </cfRule>
  </conditionalFormatting>
  <conditionalFormatting sqref="A15">
    <cfRule type="cellIs" dxfId="9" priority="6" stopIfTrue="1" operator="equal">
      <formula>1</formula>
    </cfRule>
  </conditionalFormatting>
  <conditionalFormatting sqref="G7:I9 H5:I6">
    <cfRule type="cellIs" dxfId="8" priority="5" stopIfTrue="1" operator="equal">
      <formula>1</formula>
    </cfRule>
  </conditionalFormatting>
  <conditionalFormatting sqref="B5:C10">
    <cfRule type="cellIs" dxfId="7" priority="4" stopIfTrue="1" operator="equal">
      <formula>1</formula>
    </cfRule>
  </conditionalFormatting>
  <conditionalFormatting sqref="B11">
    <cfRule type="cellIs" dxfId="6" priority="3" stopIfTrue="1" operator="equal">
      <formula>1</formula>
    </cfRule>
  </conditionalFormatting>
  <conditionalFormatting sqref="E12">
    <cfRule type="cellIs" dxfId="5" priority="2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J21" sqref="J21"/>
    </sheetView>
  </sheetViews>
  <sheetFormatPr baseColWidth="12" defaultColWidth="13" defaultRowHeight="21" customHeight="1" x14ac:dyDescent="0.15"/>
  <cols>
    <col min="1" max="1" width="13" style="4"/>
    <col min="2" max="16384" width="13" style="16"/>
  </cols>
  <sheetData>
    <row r="1" spans="1:9" s="4" customFormat="1" ht="21" customHeight="1" x14ac:dyDescent="0.15">
      <c r="A1" s="25" t="s">
        <v>10</v>
      </c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</row>
    <row r="2" spans="1:9" ht="21" customHeight="1" x14ac:dyDescent="0.15">
      <c r="A2" s="59" t="s">
        <v>217</v>
      </c>
      <c r="B2" s="37" t="s">
        <v>11</v>
      </c>
      <c r="C2" s="37" t="s">
        <v>11</v>
      </c>
      <c r="D2" s="37" t="s">
        <v>11</v>
      </c>
      <c r="E2" s="37" t="s">
        <v>11</v>
      </c>
      <c r="F2" s="37" t="s">
        <v>11</v>
      </c>
      <c r="G2" s="37" t="s">
        <v>11</v>
      </c>
      <c r="H2" s="37" t="s">
        <v>11</v>
      </c>
      <c r="I2" s="37" t="s">
        <v>11</v>
      </c>
    </row>
    <row r="3" spans="1:9" ht="21" customHeight="1" x14ac:dyDescent="0.15">
      <c r="A3" s="60" t="s">
        <v>219</v>
      </c>
      <c r="B3" s="37" t="s">
        <v>11</v>
      </c>
      <c r="C3" s="37" t="s">
        <v>11</v>
      </c>
      <c r="D3" s="37" t="s">
        <v>11</v>
      </c>
      <c r="E3" s="37">
        <v>8000</v>
      </c>
      <c r="F3" s="21">
        <v>10000</v>
      </c>
      <c r="G3" s="37">
        <f>5000+F3</f>
        <v>15000</v>
      </c>
      <c r="H3" s="37" t="s">
        <v>11</v>
      </c>
      <c r="I3" s="37" t="s">
        <v>11</v>
      </c>
    </row>
    <row r="4" spans="1:9" s="36" customFormat="1" ht="21" customHeight="1" x14ac:dyDescent="0.15">
      <c r="A4" s="61" t="s">
        <v>220</v>
      </c>
      <c r="B4" s="21" t="s">
        <v>11</v>
      </c>
      <c r="C4" s="21" t="s">
        <v>11</v>
      </c>
      <c r="D4" s="21" t="s">
        <v>11</v>
      </c>
      <c r="E4" s="21">
        <v>7500</v>
      </c>
      <c r="F4" s="21">
        <v>9500</v>
      </c>
      <c r="G4" s="37">
        <f t="shared" ref="G4:G6" si="0">5000+F4</f>
        <v>14500</v>
      </c>
      <c r="H4" s="21" t="s">
        <v>11</v>
      </c>
      <c r="I4" s="21" t="s">
        <v>11</v>
      </c>
    </row>
    <row r="5" spans="1:9" ht="21" customHeight="1" x14ac:dyDescent="0.15">
      <c r="A5" s="61" t="s">
        <v>9</v>
      </c>
      <c r="B5" s="50" t="s">
        <v>11</v>
      </c>
      <c r="C5" s="50" t="s">
        <v>11</v>
      </c>
      <c r="D5" s="21">
        <v>5000</v>
      </c>
      <c r="E5" s="21">
        <v>7000</v>
      </c>
      <c r="F5" s="21">
        <v>9000</v>
      </c>
      <c r="G5" s="37">
        <f t="shared" si="0"/>
        <v>14000</v>
      </c>
      <c r="H5" s="50" t="s">
        <v>11</v>
      </c>
      <c r="I5" s="50" t="s">
        <v>11</v>
      </c>
    </row>
    <row r="6" spans="1:9" ht="21" customHeight="1" x14ac:dyDescent="0.15">
      <c r="A6" s="61" t="s">
        <v>221</v>
      </c>
      <c r="B6" s="50" t="s">
        <v>11</v>
      </c>
      <c r="C6" s="50" t="s">
        <v>11</v>
      </c>
      <c r="D6" s="21">
        <v>4900</v>
      </c>
      <c r="E6" s="21">
        <v>6700</v>
      </c>
      <c r="F6" s="21">
        <v>8500</v>
      </c>
      <c r="G6" s="37">
        <f t="shared" si="0"/>
        <v>13500</v>
      </c>
      <c r="H6" s="50" t="s">
        <v>11</v>
      </c>
      <c r="I6" s="50" t="s">
        <v>11</v>
      </c>
    </row>
    <row r="7" spans="1:9" ht="21" customHeight="1" x14ac:dyDescent="0.15">
      <c r="A7" s="61" t="s">
        <v>112</v>
      </c>
      <c r="B7" s="50" t="s">
        <v>11</v>
      </c>
      <c r="C7" s="50" t="s">
        <v>11</v>
      </c>
      <c r="D7" s="21">
        <v>4800</v>
      </c>
      <c r="E7" s="21">
        <v>6600</v>
      </c>
      <c r="F7" s="50" t="s">
        <v>11</v>
      </c>
      <c r="G7" s="50" t="s">
        <v>11</v>
      </c>
      <c r="H7" s="50" t="s">
        <v>11</v>
      </c>
      <c r="I7" s="50" t="s">
        <v>11</v>
      </c>
    </row>
    <row r="8" spans="1:9" ht="21" customHeight="1" x14ac:dyDescent="0.15">
      <c r="A8" s="61" t="s">
        <v>222</v>
      </c>
      <c r="B8" s="50" t="s">
        <v>11</v>
      </c>
      <c r="C8" s="50" t="s">
        <v>11</v>
      </c>
      <c r="D8" s="50" t="s">
        <v>11</v>
      </c>
      <c r="E8" s="21">
        <v>6300</v>
      </c>
      <c r="F8" s="50" t="s">
        <v>11</v>
      </c>
      <c r="G8" s="50" t="s">
        <v>11</v>
      </c>
      <c r="H8" s="50" t="s">
        <v>11</v>
      </c>
      <c r="I8" s="50" t="s">
        <v>11</v>
      </c>
    </row>
    <row r="9" spans="1:9" ht="21" customHeight="1" x14ac:dyDescent="0.15">
      <c r="A9" s="61" t="s">
        <v>223</v>
      </c>
      <c r="B9" s="50" t="s">
        <v>11</v>
      </c>
      <c r="C9" s="50" t="s">
        <v>11</v>
      </c>
      <c r="D9" s="21">
        <v>4600</v>
      </c>
      <c r="E9" s="21">
        <v>5800</v>
      </c>
      <c r="F9" s="21">
        <v>7600</v>
      </c>
      <c r="G9" s="50" t="s">
        <v>11</v>
      </c>
      <c r="H9" s="50" t="s">
        <v>11</v>
      </c>
      <c r="I9" s="50" t="s">
        <v>11</v>
      </c>
    </row>
    <row r="10" spans="1:9" ht="21" customHeight="1" x14ac:dyDescent="0.15">
      <c r="A10" s="61" t="s">
        <v>111</v>
      </c>
      <c r="B10" s="50" t="s">
        <v>11</v>
      </c>
      <c r="C10" s="50" t="s">
        <v>11</v>
      </c>
      <c r="D10" s="21">
        <v>4400</v>
      </c>
      <c r="E10" s="21">
        <v>5600</v>
      </c>
      <c r="F10" s="50" t="s">
        <v>11</v>
      </c>
      <c r="G10" s="50" t="s">
        <v>11</v>
      </c>
      <c r="H10" s="50" t="s">
        <v>11</v>
      </c>
      <c r="I10" s="50" t="s">
        <v>11</v>
      </c>
    </row>
    <row r="11" spans="1:9" ht="21" customHeight="1" x14ac:dyDescent="0.15">
      <c r="A11" s="61" t="s">
        <v>224</v>
      </c>
      <c r="B11" s="50" t="s">
        <v>11</v>
      </c>
      <c r="C11" s="21">
        <v>3000</v>
      </c>
      <c r="D11" s="21">
        <v>4200</v>
      </c>
      <c r="E11" s="21">
        <v>5400</v>
      </c>
      <c r="F11" s="50" t="s">
        <v>11</v>
      </c>
      <c r="G11" s="50" t="s">
        <v>11</v>
      </c>
      <c r="H11" s="50" t="s">
        <v>11</v>
      </c>
      <c r="I11" s="50" t="s">
        <v>11</v>
      </c>
    </row>
    <row r="12" spans="1:9" ht="21" customHeight="1" x14ac:dyDescent="0.15">
      <c r="A12" s="61" t="s">
        <v>8</v>
      </c>
      <c r="B12" s="21">
        <v>2000</v>
      </c>
      <c r="C12" s="21">
        <v>2800</v>
      </c>
      <c r="D12" s="21">
        <v>4000</v>
      </c>
      <c r="E12" s="50" t="s">
        <v>11</v>
      </c>
      <c r="F12" s="50" t="s">
        <v>11</v>
      </c>
      <c r="G12" s="50" t="s">
        <v>11</v>
      </c>
      <c r="H12" s="50" t="s">
        <v>11</v>
      </c>
      <c r="I12" s="50" t="s">
        <v>11</v>
      </c>
    </row>
    <row r="13" spans="1:9" ht="21" customHeight="1" x14ac:dyDescent="0.15">
      <c r="A13" s="62" t="s">
        <v>7</v>
      </c>
      <c r="B13" s="21">
        <v>1750</v>
      </c>
      <c r="C13" s="21">
        <v>2550</v>
      </c>
      <c r="D13" s="50" t="s">
        <v>11</v>
      </c>
      <c r="E13" s="50" t="s">
        <v>11</v>
      </c>
      <c r="F13" s="50" t="s">
        <v>11</v>
      </c>
      <c r="G13" s="50" t="s">
        <v>11</v>
      </c>
      <c r="H13" s="50" t="s">
        <v>11</v>
      </c>
      <c r="I13" s="50" t="s">
        <v>11</v>
      </c>
    </row>
    <row r="14" spans="1:9" ht="21" customHeight="1" x14ac:dyDescent="0.15">
      <c r="A14" s="62" t="s">
        <v>225</v>
      </c>
      <c r="B14" s="21">
        <v>1500</v>
      </c>
      <c r="C14" s="21">
        <v>2300</v>
      </c>
      <c r="D14" s="50" t="s">
        <v>11</v>
      </c>
      <c r="E14" s="50" t="s">
        <v>11</v>
      </c>
      <c r="F14" s="50" t="s">
        <v>11</v>
      </c>
      <c r="G14" s="50" t="s">
        <v>11</v>
      </c>
      <c r="H14" s="50" t="s">
        <v>11</v>
      </c>
      <c r="I14" s="50" t="s">
        <v>11</v>
      </c>
    </row>
    <row r="15" spans="1:9" ht="21" customHeight="1" x14ac:dyDescent="0.15">
      <c r="A15" s="30" t="s">
        <v>226</v>
      </c>
      <c r="B15" s="29">
        <v>1000</v>
      </c>
      <c r="C15" s="29">
        <v>1000</v>
      </c>
      <c r="D15" s="29">
        <v>1000</v>
      </c>
      <c r="E15" s="29">
        <v>1000</v>
      </c>
      <c r="F15" s="29">
        <v>1000</v>
      </c>
      <c r="G15" s="29">
        <v>1000</v>
      </c>
      <c r="H15" s="29">
        <v>1000</v>
      </c>
      <c r="I15" s="29">
        <v>1000</v>
      </c>
    </row>
  </sheetData>
  <sheetProtection selectLockedCells="1" selectUnlockedCells="1"/>
  <phoneticPr fontId="9"/>
  <conditionalFormatting sqref="L17:R65536 J1:K1048576 S1:IU1048576 L1:R14">
    <cfRule type="cellIs" dxfId="3" priority="3" stopIfTrue="1" operator="equal">
      <formula>1</formula>
    </cfRule>
  </conditionalFormatting>
  <conditionalFormatting sqref="A16:I65536">
    <cfRule type="cellIs" dxfId="2" priority="4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H13" sqref="H13"/>
    </sheetView>
  </sheetViews>
  <sheetFormatPr baseColWidth="12" defaultColWidth="13" defaultRowHeight="21" customHeight="1" x14ac:dyDescent="0.15"/>
  <cols>
    <col min="1" max="16384" width="13" style="16"/>
  </cols>
  <sheetData>
    <row r="1" spans="1:8" ht="21" customHeight="1" x14ac:dyDescent="0.15">
      <c r="A1" s="16" t="s">
        <v>117</v>
      </c>
      <c r="G1" s="16" t="s">
        <v>118</v>
      </c>
    </row>
    <row r="2" spans="1:8" ht="21" customHeight="1" x14ac:dyDescent="0.15">
      <c r="A2" s="14" t="s">
        <v>15</v>
      </c>
      <c r="B2" s="14" t="s">
        <v>16</v>
      </c>
      <c r="G2" s="14" t="s">
        <v>15</v>
      </c>
      <c r="H2" s="14" t="s">
        <v>16</v>
      </c>
    </row>
    <row r="3" spans="1:8" ht="21" customHeight="1" x14ac:dyDescent="0.15">
      <c r="A3" s="17">
        <v>1</v>
      </c>
      <c r="B3" s="26">
        <v>5000</v>
      </c>
      <c r="G3" s="17">
        <v>1</v>
      </c>
      <c r="H3" s="17">
        <v>75</v>
      </c>
    </row>
    <row r="4" spans="1:8" ht="21" customHeight="1" x14ac:dyDescent="0.15">
      <c r="A4" s="17">
        <v>2</v>
      </c>
      <c r="B4" s="18">
        <v>10000</v>
      </c>
      <c r="G4" s="17">
        <v>2</v>
      </c>
      <c r="H4" s="17">
        <v>150</v>
      </c>
    </row>
    <row r="5" spans="1:8" ht="21" customHeight="1" x14ac:dyDescent="0.15">
      <c r="A5" s="17">
        <v>3</v>
      </c>
      <c r="B5" s="18">
        <v>20000</v>
      </c>
      <c r="G5" s="17">
        <v>3</v>
      </c>
      <c r="H5" s="17">
        <v>300</v>
      </c>
    </row>
    <row r="6" spans="1:8" ht="21" customHeight="1" x14ac:dyDescent="0.15">
      <c r="A6" s="17">
        <v>4</v>
      </c>
      <c r="B6" s="18">
        <v>50000</v>
      </c>
      <c r="G6" s="17">
        <v>4</v>
      </c>
      <c r="H6" s="17">
        <v>600</v>
      </c>
    </row>
    <row r="7" spans="1:8" ht="21" customHeight="1" x14ac:dyDescent="0.15">
      <c r="A7" s="17">
        <v>5</v>
      </c>
      <c r="B7" s="18">
        <v>200000</v>
      </c>
      <c r="G7" s="17">
        <v>5</v>
      </c>
      <c r="H7" s="17">
        <v>900</v>
      </c>
    </row>
    <row r="8" spans="1:8" ht="21" customHeight="1" x14ac:dyDescent="0.15">
      <c r="A8" s="17">
        <v>6</v>
      </c>
      <c r="B8" s="27">
        <v>0</v>
      </c>
      <c r="G8" s="17">
        <v>6</v>
      </c>
      <c r="H8" s="28">
        <v>1200</v>
      </c>
    </row>
    <row r="9" spans="1:8" ht="21" customHeight="1" x14ac:dyDescent="0.15">
      <c r="A9" s="17">
        <v>7</v>
      </c>
      <c r="B9" s="27"/>
      <c r="G9" s="17">
        <v>7</v>
      </c>
      <c r="H9" s="27"/>
    </row>
    <row r="10" spans="1:8" ht="21" customHeight="1" x14ac:dyDescent="0.15">
      <c r="A10" s="17">
        <v>8</v>
      </c>
      <c r="B10" s="27"/>
      <c r="G10" s="17">
        <v>8</v>
      </c>
      <c r="H10" s="27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workbookViewId="0">
      <selection activeCell="E19" sqref="E19"/>
    </sheetView>
  </sheetViews>
  <sheetFormatPr baseColWidth="12" defaultRowHeight="15" x14ac:dyDescent="0.15"/>
  <sheetData>
    <row r="2" spans="1:4" x14ac:dyDescent="0.15">
      <c r="A2" t="s">
        <v>204</v>
      </c>
      <c r="B2" s="8">
        <v>591</v>
      </c>
    </row>
    <row r="3" spans="1:4" x14ac:dyDescent="0.15">
      <c r="A3" t="s">
        <v>205</v>
      </c>
      <c r="B3" s="93">
        <v>592</v>
      </c>
    </row>
    <row r="4" spans="1:4" x14ac:dyDescent="0.15">
      <c r="A4" t="s">
        <v>206</v>
      </c>
      <c r="B4" s="93">
        <v>593</v>
      </c>
    </row>
    <row r="7" spans="1:4" x14ac:dyDescent="0.15">
      <c r="A7" t="s">
        <v>207</v>
      </c>
    </row>
    <row r="8" spans="1:4" x14ac:dyDescent="0.15">
      <c r="A8" t="str">
        <f ca="1">A2 &amp;" "&amp;IF(B2="","",B2)&amp;" "&amp; IFERROR(VLOOKUP(B2,units!A:B,2),"なし")</f>
        <v>R3 591 雷のミリオンダック 4</v>
      </c>
    </row>
    <row r="9" spans="1:4" x14ac:dyDescent="0.15">
      <c r="A9" t="str">
        <f ca="1">A3 &amp;" "&amp;IF(B3="","",B3)&amp;" "&amp; IFERROR(VLOOKUP(B3,units!A:B,2),"なし")</f>
        <v>R4 592 雷のミリオンダック 4</v>
      </c>
    </row>
    <row r="10" spans="1:4" x14ac:dyDescent="0.15">
      <c r="A10" t="str">
        <f ca="1">A4 &amp;" "&amp;IF(B4="","",B4)&amp;" "&amp; IFERROR(VLOOKUP(B4,units!A:B,2),"なし")</f>
        <v>R5 593 雷のミリオンダック 4</v>
      </c>
    </row>
    <row r="12" spans="1:4" x14ac:dyDescent="0.15">
      <c r="A12" t="s">
        <v>235</v>
      </c>
    </row>
    <row r="13" spans="1:4" x14ac:dyDescent="0.15">
      <c r="B13" t="s">
        <v>239</v>
      </c>
      <c r="C13" t="s">
        <v>240</v>
      </c>
      <c r="D13" t="s">
        <v>241</v>
      </c>
    </row>
    <row r="14" spans="1:4" x14ac:dyDescent="0.15">
      <c r="A14" t="s">
        <v>237</v>
      </c>
      <c r="B14">
        <f>VLOOKUP($B2,units!$A:$BN,63)</f>
        <v>400</v>
      </c>
      <c r="C14">
        <f>VLOOKUP($B2,units!$A:$BN,64)</f>
        <v>400</v>
      </c>
      <c r="D14">
        <f>VLOOKUP($B2,units!$A:$BN,66)</f>
        <v>400</v>
      </c>
    </row>
    <row r="15" spans="1:4" x14ac:dyDescent="0.15">
      <c r="A15" t="s">
        <v>238</v>
      </c>
      <c r="B15">
        <f>VLOOKUP($B3,units!$A:$BN,63)</f>
        <v>400</v>
      </c>
      <c r="C15">
        <f>VLOOKUP($B3,units!$A:$BN,64)</f>
        <v>400</v>
      </c>
      <c r="D15">
        <f>VLOOKUP($B3,units!$A:$BN,66)</f>
        <v>400</v>
      </c>
    </row>
    <row r="16" spans="1:4" x14ac:dyDescent="0.15">
      <c r="A16" t="s">
        <v>236</v>
      </c>
      <c r="B16">
        <f>VLOOKUP($B4,units!$A:$BN,63)</f>
        <v>400</v>
      </c>
      <c r="C16">
        <f>VLOOKUP($B4,units!$A:$BN,64)</f>
        <v>400</v>
      </c>
      <c r="D16">
        <f>VLOOKUP($B4,units!$A:$BN,66)</f>
        <v>400</v>
      </c>
    </row>
    <row r="19" spans="1:1" ht="19" customHeight="1" x14ac:dyDescent="0.15">
      <c r="A19" t="s">
        <v>208</v>
      </c>
    </row>
    <row r="20" spans="1:1" x14ac:dyDescent="0.15">
      <c r="A20" t="str">
        <f>IFERROR(VLOOKUP($B$2,unit_skills!A:I,3),"なし")</f>
        <v>400万DL ありがとうグヮ！</v>
      </c>
    </row>
    <row r="21" spans="1:1" x14ac:dyDescent="0.15">
      <c r="A21" t="str">
        <f>IFERROR(VLOOKUP($B$2,unit_skills!A:I,4),"なし")</f>
        <v>ユニット強化の素材にすると100万経験値、_x000D_売却すれば100万ビットをGETできる！</v>
      </c>
    </row>
    <row r="22" spans="1:1" x14ac:dyDescent="0.15">
      <c r="A22" t="str">
        <f>"cost:"&amp;IFERROR(VLOOKUP($B$2,unit_skills!A:I,6),"なし")</f>
        <v>cost:5</v>
      </c>
    </row>
    <row r="23" spans="1:1" x14ac:dyDescent="0.15">
      <c r="A23">
        <f>IFERROR(VLOOKUP($B$2,unit_skills!A:I,9),"なし")</f>
        <v>0</v>
      </c>
    </row>
    <row r="25" spans="1:1" x14ac:dyDescent="0.15">
      <c r="A25" t="str">
        <f>IFERROR(VLOOKUP($B$3,unit_skills!A:I,3),"なし")</f>
        <v>400万DL ありがとうグヮ！</v>
      </c>
    </row>
    <row r="26" spans="1:1" x14ac:dyDescent="0.15">
      <c r="A26" t="str">
        <f>IFERROR(VLOOKUP($B$3,unit_skills!A:I,4),"なし")</f>
        <v>ユニット強化の素材にすると100万経験値、_x000D_売却すれば100万ビットをGETできる！</v>
      </c>
    </row>
    <row r="27" spans="1:1" x14ac:dyDescent="0.15">
      <c r="A27" t="str">
        <f>"cost:"&amp;IFERROR(VLOOKUP($B$3,unit_skills!A:I,6),"なし")</f>
        <v>cost:5</v>
      </c>
    </row>
    <row r="28" spans="1:1" x14ac:dyDescent="0.15">
      <c r="A28">
        <f>IFERROR(VLOOKUP($B$3,unit_skills!A:I,9),"なし")</f>
        <v>0</v>
      </c>
    </row>
    <row r="30" spans="1:1" x14ac:dyDescent="0.15">
      <c r="A30" t="str">
        <f>IFERROR(VLOOKUP($B$4,unit_skills!A:I,3),"なし")</f>
        <v>400万DL ありがとうグヮ！</v>
      </c>
    </row>
    <row r="31" spans="1:1" x14ac:dyDescent="0.15">
      <c r="A31" t="str">
        <f>IFERROR(VLOOKUP($B$4,unit_skills!A:I,4),"なし")</f>
        <v>ユニット強化の素材にすると100万経験値、_x000D_売却すれば100万ビットをGETできる！</v>
      </c>
    </row>
    <row r="32" spans="1:1" x14ac:dyDescent="0.15">
      <c r="A32" t="str">
        <f>"cost:"&amp;IFERROR(VLOOKUP($B$4,unit_skills!A:I,6),"なし")</f>
        <v>cost:5</v>
      </c>
    </row>
    <row r="33" spans="1:1" x14ac:dyDescent="0.15">
      <c r="A33">
        <f>IFERROR(VLOOKUP($B$4,unit_skills!A:I,9),"なし")</f>
        <v>0</v>
      </c>
    </row>
    <row r="35" spans="1:1" x14ac:dyDescent="0.15">
      <c r="A35" t="s">
        <v>209</v>
      </c>
    </row>
    <row r="36" spans="1:1" x14ac:dyDescent="0.15">
      <c r="A36" t="str">
        <f>IFERROR(VLOOKUP($B$2,crash_skills!A:I,3),"なし")</f>
        <v>これからも よろしくグヮッ！</v>
      </c>
    </row>
    <row r="37" spans="1:1" x14ac:dyDescent="0.15">
      <c r="A37" t="str">
        <f>IFERROR(VLOOKUP($B$2,crash_skills!A:I,4),"なし")</f>
        <v>効果はないグヮ_x000D_400万DL ありがとう！</v>
      </c>
    </row>
    <row r="38" spans="1:1" x14ac:dyDescent="0.15">
      <c r="A38">
        <f>IFERROR(VLOOKUP($B$2,crash_skills!A:I,6),"なし")</f>
        <v>0</v>
      </c>
    </row>
    <row r="40" spans="1:1" x14ac:dyDescent="0.15">
      <c r="A40" t="str">
        <f>IFERROR(VLOOKUP($B$3,crash_skills!A:I,3),"なし")</f>
        <v>これからも よろしくグヮッ！</v>
      </c>
    </row>
    <row r="41" spans="1:1" x14ac:dyDescent="0.15">
      <c r="A41" t="str">
        <f>IFERROR(VLOOKUP($B$3,crash_skills!A:I,4),"なし")</f>
        <v>効果はないグヮ_x000D_400万DL ありがとう！</v>
      </c>
    </row>
    <row r="42" spans="1:1" x14ac:dyDescent="0.15">
      <c r="A42">
        <f>IFERROR(VLOOKUP($B$3,crash_skills!A:I,6),"なし")</f>
        <v>0</v>
      </c>
    </row>
    <row r="44" spans="1:1" x14ac:dyDescent="0.15">
      <c r="A44" t="str">
        <f>IFERROR(VLOOKUP($B$4,crash_skills!A:I,3),"なし")</f>
        <v>これからも よろしくグヮッ！</v>
      </c>
    </row>
    <row r="45" spans="1:1" x14ac:dyDescent="0.15">
      <c r="A45" t="str">
        <f>IFERROR(VLOOKUP($B$4,crash_skills!A:I,4),"なし")</f>
        <v>効果はないグヮ_x000D_400万DL ありがとう！</v>
      </c>
    </row>
    <row r="46" spans="1:1" x14ac:dyDescent="0.15">
      <c r="A46">
        <f>IFERROR(VLOOKUP($B$4,crash_skills!A:I,6),"なし")</f>
        <v>0</v>
      </c>
    </row>
    <row r="48" spans="1:1" x14ac:dyDescent="0.15">
      <c r="A48" t="s">
        <v>210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01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ghosts_label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2017-06-06T07:14:42Z</dcterms:modified>
</cp:coreProperties>
</file>