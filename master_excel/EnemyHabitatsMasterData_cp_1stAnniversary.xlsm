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760" yWindow="1540" windowWidth="27860" windowHeight="1286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stage_hints_complete" sheetId="19" r:id="rId8"/>
    <sheet name="stage_hints_failure" sheetId="21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7" hidden="1">stage_hints_complete!$B$1:$L$2</definedName>
    <definedName name="_xlnm._FilterDatabase" localSheetId="8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E4" i="9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L6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L4" i="10"/>
  <c r="H2" i="1"/>
  <c r="H3" i="1"/>
  <c r="H4" i="1"/>
  <c r="H5" i="1"/>
  <c r="J2" i="11"/>
  <c r="G2" i="2"/>
  <c r="A2" i="2"/>
  <c r="E3" i="9"/>
  <c r="J9" i="11"/>
  <c r="J8" i="11"/>
  <c r="J7" i="11"/>
  <c r="J3" i="11"/>
  <c r="J10" i="11"/>
  <c r="O3" i="9"/>
  <c r="N3" i="9"/>
  <c r="M3" i="9"/>
  <c r="L3" i="9"/>
  <c r="K3" i="9"/>
  <c r="J3" i="9"/>
  <c r="I3" i="9"/>
  <c r="H3" i="9"/>
  <c r="G3" i="9"/>
  <c r="D3" i="9"/>
  <c r="A3" i="9"/>
  <c r="J11" i="11"/>
  <c r="J6" i="11"/>
  <c r="J5" i="11"/>
  <c r="J4" i="11"/>
  <c r="A4" i="9"/>
  <c r="D4" i="9"/>
  <c r="G4" i="9"/>
  <c r="H4" i="9"/>
  <c r="I4" i="9"/>
  <c r="J4" i="9"/>
  <c r="K4" i="9"/>
  <c r="L4" i="9"/>
  <c r="M4" i="9"/>
  <c r="N4" i="9"/>
  <c r="O4" i="9"/>
  <c r="A2" i="7"/>
  <c r="G2" i="10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N2" i="7"/>
  <c r="I3" i="1"/>
  <c r="I2" i="1"/>
  <c r="J2" i="1"/>
  <c r="J3" i="1"/>
  <c r="I4" i="1"/>
  <c r="J4" i="1"/>
  <c r="I5" i="1"/>
  <c r="J5" i="1"/>
  <c r="M5" i="1"/>
  <c r="M4" i="1"/>
  <c r="M3" i="1"/>
  <c r="M2" i="1"/>
  <c r="A3" i="1"/>
  <c r="N3" i="1"/>
  <c r="O3" i="1"/>
  <c r="P3" i="1"/>
  <c r="Q3" i="1"/>
  <c r="T3" i="1"/>
  <c r="V3" i="1"/>
  <c r="E2" i="9"/>
  <c r="X3" i="1"/>
  <c r="AD3" i="1"/>
  <c r="AE3" i="1"/>
  <c r="AF3" i="1"/>
  <c r="AG3" i="1"/>
  <c r="AI3" i="1"/>
  <c r="A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N5" i="1"/>
  <c r="O5" i="1"/>
  <c r="P5" i="1"/>
  <c r="Q5" i="1"/>
  <c r="T5" i="1"/>
  <c r="V5" i="1"/>
  <c r="X5" i="1"/>
  <c r="AD5" i="1"/>
  <c r="AE5" i="1"/>
  <c r="AF5" i="1"/>
  <c r="AG5" i="1"/>
  <c r="AI5" i="1"/>
  <c r="A2" i="1"/>
  <c r="N2" i="1"/>
  <c r="O2" i="1"/>
  <c r="P2" i="1"/>
  <c r="Q2" i="1"/>
  <c r="T2" i="1"/>
  <c r="V2" i="1"/>
  <c r="X2" i="1"/>
  <c r="AD2" i="1"/>
  <c r="AE2" i="1"/>
  <c r="AF2" i="1"/>
  <c r="AG2" i="1"/>
  <c r="AI2" i="1"/>
  <c r="C11" i="16"/>
  <c r="C10" i="16"/>
  <c r="C9" i="16"/>
  <c r="C8" i="16"/>
  <c r="C7" i="16"/>
  <c r="C6" i="16"/>
  <c r="C5" i="16"/>
  <c r="C4" i="16"/>
  <c r="C3" i="16"/>
  <c r="W2" i="7"/>
  <c r="U2" i="7"/>
  <c r="B2" i="21"/>
  <c r="I2" i="21"/>
  <c r="J2" i="21"/>
  <c r="G2" i="21"/>
  <c r="F2" i="21"/>
  <c r="D2" i="21"/>
  <c r="C2" i="21"/>
  <c r="E11" i="16"/>
  <c r="E10" i="16"/>
  <c r="B2" i="19"/>
  <c r="G2" i="19"/>
  <c r="F2" i="19"/>
  <c r="D2" i="19"/>
  <c r="C2" i="19"/>
  <c r="E9" i="16"/>
  <c r="O2" i="9"/>
  <c r="N2" i="9"/>
  <c r="M2" i="9"/>
  <c r="L2" i="9"/>
  <c r="K2" i="9"/>
  <c r="J2" i="9"/>
  <c r="I2" i="9"/>
  <c r="H2" i="9"/>
  <c r="G2" i="9"/>
  <c r="D2" i="9"/>
  <c r="Y2" i="7"/>
  <c r="R2" i="7"/>
  <c r="Q2" i="7"/>
  <c r="P2" i="7"/>
  <c r="O2" i="7"/>
  <c r="E8" i="16"/>
  <c r="E7" i="16"/>
  <c r="E6" i="16"/>
  <c r="E5" i="16"/>
  <c r="E4" i="16"/>
  <c r="E3" i="16"/>
  <c r="E2" i="16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<sst xmlns="http://schemas.openxmlformats.org/spreadsheetml/2006/main" count="374" uniqueCount="220">
  <si>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</si>
  <si>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</si>
  <si>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</si>
  <si>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</si>
  <si>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</si>
  <si>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</si>
  <si>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</si>
  <si>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</si>
  <si>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</si>
  <si>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</si>
  <si>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</si>
  <si>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</si>
  <si>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</si>
  <si>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</si>
  <si>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</si>
  <si>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</si>
  <si>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</si>
  <si>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</si>
  <si>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</si>
  <si>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</si>
  <si>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</si>
  <si>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</si>
  <si>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</si>
  <si>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</si>
  <si>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</si>
  <si>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</si>
  <si>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</si>
  <si>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</si>
  <si>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</si>
  <si>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</si>
  <si>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</si>
  <si>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</si>
  <si>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</si>
  <si>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</si>
  <si>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</si>
  <si>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</si>
  <si>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</si>
  <si>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</si>
  <si>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</si>
  <si>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</si>
  <si>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</si>
  <si>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</si>
  <si>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</si>
  <si>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</si>
  <si>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</si>
  <si>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</si>
  <si>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</si>
  <si>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</si>
  <si>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</si>
  <si>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</si>
  <si>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</si>
  <si>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</si>
  <si>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</si>
  <si>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</si>
  <si>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</si>
  <si>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</si>
  <si>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</si>
  <si>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</si>
  <si>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</si>
  <si>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</si>
  <si>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</si>
  <si>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</si>
  <si>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</si>
  <si>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</si>
  <si>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</si>
  <si>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</si>
  <si>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</si>
  <si>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</si>
  <si>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</si>
  <si>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</si>
  <si>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</si>
  <si>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</si>
  <si>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</si>
  <si>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</si>
  <si>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</si>
  <si>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</si>
  <si>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</si>
  <si>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</si>
  <si>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</si>
  <si>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</si>
  <si>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</si>
  <si>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</si>
  <si>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</si>
  <si>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</si>
  <si>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</si>
  <si>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</si>
  <si>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</si>
  <si>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</si>
  <si>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</si>
  <si>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</si>
  <si>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</si>
  <si>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</si>
  <si>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</si>
  <si>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</si>
  <si>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</si>
  <si>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</si>
  <si>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</si>
  <si>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</si>
  <si>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</si>
  <si>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</si>
  <si>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</si>
  <si>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</si>
  <si>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</si>
  <si>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</si>
  <si>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</si>
  <si>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</si>
  <si>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</si>
  <si>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</si>
  <si>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</si>
  <si>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</si>
  <si>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</si>
  <si>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</si>
  <si>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</si>
  <si>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</si>
  <si>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</si>
  <si>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</si>
  <si>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</si>
  <si>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</si>
  <si>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</si>
  <si>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</si>
  <si>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</si>
  <si>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</si>
  <si>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</si>
  <si>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</si>
  <si>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</si>
  <si>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</si>
  <si>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</si>
  <si>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</si>
  <si>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</si>
  <si>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</si>
  <si>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</si>
  <si>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</si>
  <si>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</si>
  <si>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</si>
  <si>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</si>
  <si>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</si>
  <si>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</si>
  <si>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</si>
  <si>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</si>
  <si>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</si>
  <si>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</si>
  <si>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</si>
  <si>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</si>
  <si>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</si>
  <si>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</si>
  <si>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</si>
  <si>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</si>
  <si>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</si>
  <si>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</si>
  <si>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stage_id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</si>
  <si>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</si>
  <si>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</si>
  <si>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</si>
  <si>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</si>
  <si>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</si>
  <si>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</si>
  <si>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</si>
  <si>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</si>
  <si>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</si>
  <si>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</si>
  <si>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</si>
  <si>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</si>
  <si>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</si>
  <si>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</si>
  <si>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</si>
  <si>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</si>
  <si>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</si>
  <si>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</si>
  <si>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</si>
  <si>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</si>
  <si>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</si>
  <si>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</si>
  <si>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</si>
  <si>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</si>
  <si>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</si>
  <si>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</si>
  <si>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</si>
  <si>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</si>
  <si>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</si>
  <si>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</si>
  <si>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</si>
  <si>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</si>
  <si>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</si>
  <si>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hp</t>
    <phoneticPr fontId="5"/>
  </si>
  <si>
    <t>attack</t>
    <phoneticPr fontId="5"/>
  </si>
  <si>
    <t>1Anniversary</t>
    <phoneticPr fontId="5"/>
  </si>
  <si>
    <t>ja</t>
    <phoneticPr fontId="5"/>
  </si>
  <si>
    <t>先手用</t>
    <phoneticPr fontId="5"/>
  </si>
  <si>
    <t>一回</t>
    <phoneticPr fontId="5"/>
  </si>
  <si>
    <t>null</t>
  </si>
  <si>
    <t>死亡時</t>
    <phoneticPr fontId="5"/>
  </si>
  <si>
    <t>常時使用</t>
    <phoneticPr fontId="5"/>
  </si>
  <si>
    <t>二択用</t>
    <phoneticPr fontId="5"/>
  </si>
  <si>
    <t>順番１</t>
    <phoneticPr fontId="5"/>
  </si>
  <si>
    <t>順番２</t>
  </si>
  <si>
    <t>順番３</t>
  </si>
  <si>
    <t>順番４</t>
  </si>
  <si>
    <t>備考</t>
    <phoneticPr fontId="5"/>
  </si>
  <si>
    <t>complete</t>
    <phoneticPr fontId="5"/>
  </si>
  <si>
    <t>受け取ってほしいグヮ！</t>
    <phoneticPr fontId="5"/>
  </si>
  <si>
    <t>old</t>
  </si>
  <si>
    <t>これからもよろしくグヮ！</t>
    <phoneticPr fontId="5"/>
  </si>
  <si>
    <t>※Ver.1.7になり、アビリティが解放になったらこちらを使用する</t>
    <phoneticPr fontId="5"/>
  </si>
  <si>
    <t>お祝いするグヮ！</t>
    <phoneticPr fontId="5"/>
  </si>
  <si>
    <t>お祝いするグヮ！</t>
    <phoneticPr fontId="5"/>
  </si>
  <si>
    <t>1年間の感謝の気持ちを</t>
    <phoneticPr fontId="5"/>
  </si>
  <si>
    <t>クラッシュフィーバーは
ついに1周年を迎えたグヮ！</t>
    <phoneticPr fontId="5"/>
  </si>
  <si>
    <t>クラッシュフィーバーは
ついに1周年を迎えたグヮ！</t>
    <phoneticPr fontId="5"/>
  </si>
  <si>
    <t>[effect:crash_condition, target:unit_all, val:50, turn:-1, ],[effect:hungup, target:unit_all, turn:-1, rate:1, ],[effect:fix_speed, target:myself, turn:1]</t>
    <phoneticPr fontId="5"/>
  </si>
  <si>
    <t>[effect:enemy_message, val1:1.5, val2:2],[effect:fix_speed, target:myself, turn:1],[effect:force_change_block, new_block:block_heart, target:block_all, color:block_heart, count:0, val:0.0]</t>
    <phoneticPr fontId="5"/>
  </si>
  <si>
    <t>[effect:enemy_message, val1:1.5, val2:2],[effect:fix_speed, target:myself, turn:1]</t>
    <phoneticPr fontId="5"/>
  </si>
  <si>
    <t>[effect:enemy_message, val1:1.5, val2:2],[effect:suicide, val:1, dead_type:escape, target:myself],[effect:fix_speed, target:myself, turn:1]</t>
    <phoneticPr fontId="5"/>
  </si>
  <si>
    <t>アニバーサリーダックは
感謝の気持ちでいっぱいです
アニバーサリーダックの感謝の気持ちを
受け取ってあげましましょう</t>
    <phoneticPr fontId="5"/>
  </si>
  <si>
    <t>色々あったこの１年間…</t>
    <phoneticPr fontId="5"/>
  </si>
  <si>
    <t>振り返れるようにしといたグヮ！</t>
    <phoneticPr fontId="5"/>
  </si>
  <si>
    <t>[player_name]のこと
いつでも待ってるグワッ！</t>
    <phoneticPr fontId="5"/>
  </si>
  <si>
    <t>[effect:crash_condition, target:unit_all, val:50, turn:-1, ],[effect:hungup, target:unit_all, turn:-1, rate:1, ],[effect:ability_lock, target:unit_all, turn:-1]</t>
    <phoneticPr fontId="5"/>
  </si>
  <si>
    <t>1周年のキセキ</t>
    <phoneticPr fontId="5"/>
  </si>
  <si>
    <t>1周年 ありがとうございます！
感謝の気持ちをこめて
1年分の記念クエストを再開催
この機会に お楽しみ下さい</t>
    <phoneticPr fontId="5"/>
  </si>
  <si>
    <t>stage_hints_data_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</si>
</sst>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FF0000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24"/>
      </patternFill>
    </fill>
    <fill>
      <patternFill patternType="solid">
        <fgColor theme="5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1" fillId="32" borderId="7" xfId="0" applyFont="1" applyFill="1" applyBorder="1"/>
    <xf numFmtId="0" fontId="0" fillId="32" borderId="0" xfId="0" applyFill="1"/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4" fillId="3" borderId="22" xfId="0" applyFont="1" applyFill="1" applyBorder="1" applyAlignment="1">
      <alignment horizontal="left" vertical="center"/>
    </xf>
    <xf numFmtId="0" fontId="4" fillId="31" borderId="2" xfId="0" applyFont="1" applyFill="1" applyBorder="1" applyAlignment="1">
      <alignment horizontal="left" vertical="center"/>
    </xf>
    <xf numFmtId="0" fontId="12" fillId="7" borderId="7" xfId="0" applyFont="1" applyFill="1" applyBorder="1" applyAlignment="1">
      <alignment vertical="center"/>
    </xf>
    <xf numFmtId="176" fontId="4" fillId="0" borderId="7" xfId="0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49" fontId="16" fillId="0" borderId="0" xfId="0" applyNumberFormat="1" applyFont="1" applyFill="1" applyAlignment="1">
      <alignment vertical="center"/>
    </xf>
    <xf numFmtId="0" fontId="27" fillId="0" borderId="0" xfId="0" applyFont="1" applyFill="1" applyBorder="1"/>
    <xf numFmtId="0" fontId="28" fillId="0" borderId="0" xfId="0" applyFont="1" applyFill="1" applyBorder="1"/>
    <xf numFmtId="0" fontId="29" fillId="3" borderId="0" xfId="0" applyFont="1" applyFill="1" applyBorder="1" applyAlignment="1">
      <alignment vertical="center"/>
    </xf>
    <xf numFmtId="0" fontId="31" fillId="0" borderId="0" xfId="0" applyFont="1" applyFill="1" applyBorder="1"/>
    <xf numFmtId="0" fontId="29" fillId="0" borderId="0" xfId="0" applyFont="1" applyFill="1" applyBorder="1" applyAlignment="1">
      <alignment vertical="center"/>
    </xf>
    <xf numFmtId="0" fontId="0" fillId="0" borderId="0" xfId="0" applyBorder="1"/>
    <xf numFmtId="0" fontId="30" fillId="0" borderId="0" xfId="0" applyFont="1" applyFill="1" applyBorder="1"/>
    <xf numFmtId="0" fontId="31" fillId="32" borderId="0" xfId="0" applyFont="1" applyFill="1" applyBorder="1"/>
    <xf numFmtId="38" fontId="16" fillId="32" borderId="0" xfId="628" applyFont="1" applyFill="1" applyBorder="1" applyAlignment="1"/>
    <xf numFmtId="0" fontId="26" fillId="0" borderId="0" xfId="0" applyFont="1" applyBorder="1"/>
    <xf numFmtId="0" fontId="0" fillId="32" borderId="0" xfId="0" applyFill="1" applyBorder="1"/>
    <xf numFmtId="0" fontId="29" fillId="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4" fillId="11" borderId="0" xfId="0" applyFont="1" applyFill="1" applyAlignment="1">
      <alignment horizontal="center" vertical="center"/>
    </xf>
    <xf numFmtId="0" fontId="16" fillId="11" borderId="7" xfId="0" applyFont="1" applyFill="1" applyBorder="1" applyAlignment="1">
      <alignment vertical="center"/>
    </xf>
    <xf numFmtId="0" fontId="14" fillId="11" borderId="0" xfId="0" applyFont="1" applyFill="1" applyAlignment="1">
      <alignment vertical="center"/>
    </xf>
    <xf numFmtId="38" fontId="16" fillId="32" borderId="7" xfId="628" applyFont="1" applyFill="1" applyBorder="1" applyAlignment="1">
      <alignment wrapText="1"/>
    </xf>
    <xf numFmtId="0" fontId="16" fillId="33" borderId="7" xfId="0" applyFont="1" applyFill="1" applyBorder="1" applyAlignment="1">
      <alignment vertical="center" wrapText="1"/>
    </xf>
    <xf numFmtId="0" fontId="6" fillId="35" borderId="7" xfId="0" applyFont="1" applyFill="1" applyBorder="1" applyAlignment="1">
      <alignment vertical="center"/>
    </xf>
    <xf numFmtId="0" fontId="24" fillId="34" borderId="7" xfId="434" applyFill="1" applyBorder="1" applyAlignment="1"/>
    <xf numFmtId="38" fontId="16" fillId="0" borderId="7" xfId="628" applyFont="1" applyFill="1" applyBorder="1" applyAlignment="1">
      <alignment wrapText="1"/>
    </xf>
    <xf numFmtId="0" fontId="51" fillId="0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horizontal="left" vertical="center"/>
    </xf>
    <xf numFmtId="0" fontId="29" fillId="0" borderId="11" xfId="0" applyFont="1" applyFill="1" applyBorder="1" applyAlignment="1"/>
    <xf numFmtId="0" fontId="29" fillId="0" borderId="7" xfId="0" applyFont="1" applyFill="1" applyBorder="1" applyAlignment="1"/>
    <xf numFmtId="0" fontId="6" fillId="33" borderId="3" xfId="0" applyFont="1" applyFill="1" applyBorder="1" applyAlignment="1">
      <alignment vertical="center"/>
    </xf>
    <xf numFmtId="0" fontId="24" fillId="0" borderId="7" xfId="434" applyFill="1" applyBorder="1" applyAlignment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externalLink" Target="externalLinks/externalLink1.xml"/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externalLink" Target="externalLinks/externalLink6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11226</v>
          </cell>
        </row>
        <row r="81">
          <cell r="A81">
            <v>12001</v>
          </cell>
        </row>
        <row r="82">
          <cell r="A82">
            <v>12002</v>
          </cell>
        </row>
        <row r="83">
          <cell r="A83">
            <v>12003</v>
          </cell>
        </row>
        <row r="84">
          <cell r="A84">
            <v>12004</v>
          </cell>
        </row>
        <row r="85">
          <cell r="A85">
            <v>13001</v>
          </cell>
        </row>
        <row r="86">
          <cell r="A86">
            <v>14001</v>
          </cell>
        </row>
        <row r="87">
          <cell r="A87">
            <v>14002</v>
          </cell>
        </row>
        <row r="88">
          <cell r="A88">
            <v>14003</v>
          </cell>
        </row>
        <row r="89">
          <cell r="A89">
            <v>14004</v>
          </cell>
        </row>
        <row r="90">
          <cell r="A90">
            <v>14005</v>
          </cell>
        </row>
        <row r="91">
          <cell r="A91">
            <v>14006</v>
          </cell>
        </row>
        <row r="92">
          <cell r="A92">
            <v>15027</v>
          </cell>
        </row>
        <row r="93">
          <cell r="A93">
            <v>15028</v>
          </cell>
        </row>
        <row r="94">
          <cell r="A94">
            <v>15029</v>
          </cell>
        </row>
        <row r="95">
          <cell r="A95">
            <v>15030</v>
          </cell>
        </row>
        <row r="96">
          <cell r="A96">
            <v>15031</v>
          </cell>
        </row>
        <row r="97">
          <cell r="A97">
            <v>20001</v>
          </cell>
        </row>
        <row r="98">
          <cell r="A98">
            <v>20002</v>
          </cell>
        </row>
        <row r="99">
          <cell r="A99">
            <v>20003</v>
          </cell>
        </row>
        <row r="100">
          <cell r="A100">
            <v>20004</v>
          </cell>
        </row>
        <row r="101">
          <cell r="A101">
            <v>20005</v>
          </cell>
        </row>
        <row r="102">
          <cell r="A102">
            <v>20006</v>
          </cell>
        </row>
        <row r="103">
          <cell r="A103">
            <v>20007</v>
          </cell>
        </row>
        <row r="104">
          <cell r="A104">
            <v>20008</v>
          </cell>
        </row>
        <row r="105">
          <cell r="A105">
            <v>20009</v>
          </cell>
        </row>
        <row r="106">
          <cell r="A106">
            <v>20010</v>
          </cell>
        </row>
        <row r="107">
          <cell r="A107">
            <v>20011</v>
          </cell>
        </row>
        <row r="108">
          <cell r="A108">
            <v>20012</v>
          </cell>
        </row>
        <row r="109">
          <cell r="A109">
            <v>20013</v>
          </cell>
        </row>
        <row r="110">
          <cell r="A110">
            <v>20014</v>
          </cell>
        </row>
        <row r="111">
          <cell r="A111">
            <v>20015</v>
          </cell>
        </row>
        <row r="112">
          <cell r="A112">
            <v>20016</v>
          </cell>
        </row>
        <row r="113">
          <cell r="A113">
            <v>20017</v>
          </cell>
        </row>
        <row r="114">
          <cell r="A114">
            <v>30001</v>
          </cell>
        </row>
        <row r="115">
          <cell r="A115">
            <v>30002</v>
          </cell>
        </row>
        <row r="116">
          <cell r="A116">
            <v>30003</v>
          </cell>
        </row>
        <row r="117">
          <cell r="A117">
            <v>30004</v>
          </cell>
        </row>
        <row r="118">
          <cell r="A118">
            <v>30005</v>
          </cell>
        </row>
        <row r="119">
          <cell r="A119">
            <v>30006</v>
          </cell>
        </row>
        <row r="120">
          <cell r="A120">
            <v>30007</v>
          </cell>
        </row>
        <row r="121">
          <cell r="A121">
            <v>30008</v>
          </cell>
        </row>
        <row r="122">
          <cell r="A122">
            <v>30009</v>
          </cell>
        </row>
        <row r="123">
          <cell r="A123">
            <v>30010</v>
          </cell>
        </row>
        <row r="124">
          <cell r="A124">
            <v>30011</v>
          </cell>
        </row>
        <row r="125">
          <cell r="A125">
            <v>30012</v>
          </cell>
        </row>
        <row r="126">
          <cell r="A126">
            <v>30013</v>
          </cell>
        </row>
        <row r="127">
          <cell r="A127">
            <v>30014</v>
          </cell>
        </row>
        <row r="128">
          <cell r="A128">
            <v>30015</v>
          </cell>
        </row>
        <row r="129">
          <cell r="A129">
            <v>30016</v>
          </cell>
        </row>
        <row r="130">
          <cell r="A130">
            <v>30017</v>
          </cell>
        </row>
        <row r="131">
          <cell r="A131">
            <v>30018</v>
          </cell>
        </row>
        <row r="132">
          <cell r="A132">
            <v>30019</v>
          </cell>
        </row>
        <row r="133">
          <cell r="A133">
            <v>30020</v>
          </cell>
        </row>
        <row r="134">
          <cell r="A134">
            <v>30021</v>
          </cell>
        </row>
        <row r="135">
          <cell r="A135">
            <v>30022</v>
          </cell>
        </row>
        <row r="136">
          <cell r="A136">
            <v>30023</v>
          </cell>
        </row>
        <row r="137">
          <cell r="A137">
            <v>30024</v>
          </cell>
        </row>
        <row r="138">
          <cell r="A138">
            <v>30025</v>
          </cell>
        </row>
        <row r="139">
          <cell r="A139">
            <v>30026</v>
          </cell>
        </row>
        <row r="140">
          <cell r="A140">
            <v>30027</v>
          </cell>
        </row>
        <row r="141">
          <cell r="A141">
            <v>30028</v>
          </cell>
        </row>
        <row r="142">
          <cell r="A142">
            <v>30029</v>
          </cell>
        </row>
        <row r="143">
          <cell r="A143">
            <v>30030</v>
          </cell>
        </row>
        <row r="144">
          <cell r="A144">
            <v>30031</v>
          </cell>
        </row>
        <row r="145">
          <cell r="A145">
            <v>30032</v>
          </cell>
        </row>
        <row r="146">
          <cell r="A146">
            <v>30033</v>
          </cell>
        </row>
        <row r="147">
          <cell r="A147">
            <v>30034</v>
          </cell>
        </row>
        <row r="148">
          <cell r="A148">
            <v>30035</v>
          </cell>
        </row>
        <row r="149">
          <cell r="A149">
            <v>30036</v>
          </cell>
        </row>
        <row r="150">
          <cell r="A150">
            <v>30037</v>
          </cell>
        </row>
        <row r="151">
          <cell r="A151">
            <v>39001</v>
          </cell>
        </row>
        <row r="152">
          <cell r="A152">
            <v>39002</v>
          </cell>
        </row>
        <row r="153">
          <cell r="A153">
            <v>39003</v>
          </cell>
        </row>
        <row r="154">
          <cell r="A154">
            <v>39004</v>
          </cell>
        </row>
        <row r="155">
          <cell r="A155">
            <v>39005</v>
          </cell>
        </row>
        <row r="156">
          <cell r="A156">
            <v>39006</v>
          </cell>
        </row>
        <row r="157">
          <cell r="A157">
            <v>40001</v>
          </cell>
        </row>
        <row r="158">
          <cell r="A158">
            <v>40002</v>
          </cell>
        </row>
        <row r="159">
          <cell r="A159">
            <v>40003</v>
          </cell>
        </row>
        <row r="160">
          <cell r="A160">
            <v>40004</v>
          </cell>
        </row>
        <row r="161">
          <cell r="A161">
            <v>40005</v>
          </cell>
        </row>
        <row r="162">
          <cell r="A162">
            <v>40006</v>
          </cell>
        </row>
        <row r="163">
          <cell r="A163">
            <v>40007</v>
          </cell>
        </row>
        <row r="164">
          <cell r="A164">
            <v>40008</v>
          </cell>
        </row>
        <row r="165">
          <cell r="A165">
            <v>40009</v>
          </cell>
        </row>
        <row r="166">
          <cell r="A166">
            <v>40010</v>
          </cell>
        </row>
        <row r="167">
          <cell r="A167">
            <v>40011</v>
          </cell>
        </row>
        <row r="168">
          <cell r="A168">
            <v>40012</v>
          </cell>
        </row>
        <row r="169">
          <cell r="A169">
            <v>40013</v>
          </cell>
        </row>
        <row r="170">
          <cell r="A170">
            <v>40014</v>
          </cell>
        </row>
        <row r="171">
          <cell r="A171">
            <v>40015</v>
          </cell>
        </row>
        <row r="172">
          <cell r="A172">
            <v>40016</v>
          </cell>
        </row>
        <row r="173">
          <cell r="A173">
            <v>40017</v>
          </cell>
        </row>
        <row r="174">
          <cell r="A174">
            <v>40018</v>
          </cell>
        </row>
        <row r="175">
          <cell r="A175">
            <v>40019</v>
          </cell>
        </row>
        <row r="176">
          <cell r="A176">
            <v>40021</v>
          </cell>
        </row>
        <row r="177">
          <cell r="A177">
            <v>48001</v>
          </cell>
        </row>
        <row r="178">
          <cell r="A178">
            <v>48002</v>
          </cell>
        </row>
        <row r="179">
          <cell r="A179">
            <v>41001</v>
          </cell>
        </row>
        <row r="180">
          <cell r="A180">
            <v>41002</v>
          </cell>
        </row>
        <row r="181">
          <cell r="A181">
            <v>41003</v>
          </cell>
        </row>
        <row r="182">
          <cell r="A182">
            <v>41004</v>
          </cell>
        </row>
        <row r="183">
          <cell r="A183">
            <v>41005</v>
          </cell>
        </row>
        <row r="184">
          <cell r="A184">
            <v>41006</v>
          </cell>
        </row>
        <row r="185">
          <cell r="A185">
            <v>41007</v>
          </cell>
        </row>
        <row r="186">
          <cell r="A186">
            <v>41008</v>
          </cell>
        </row>
        <row r="187">
          <cell r="A187">
            <v>41009</v>
          </cell>
        </row>
        <row r="188">
          <cell r="A188">
            <v>41010</v>
          </cell>
        </row>
        <row r="189">
          <cell r="A189">
            <v>41011</v>
          </cell>
        </row>
        <row r="190">
          <cell r="A190">
            <v>41012</v>
          </cell>
        </row>
        <row r="191">
          <cell r="A191">
            <v>47001</v>
          </cell>
        </row>
        <row r="192">
          <cell r="A192">
            <v>47002</v>
          </cell>
        </row>
        <row r="193">
          <cell r="A193">
            <v>49001</v>
          </cell>
        </row>
        <row r="194">
          <cell r="A194">
            <v>49002</v>
          </cell>
        </row>
        <row r="195">
          <cell r="A195">
            <v>49003</v>
          </cell>
        </row>
        <row r="196">
          <cell r="A196">
            <v>49004</v>
          </cell>
        </row>
        <row r="197">
          <cell r="A197">
            <v>49005</v>
          </cell>
        </row>
        <row r="198">
          <cell r="A198">
            <v>49006</v>
          </cell>
        </row>
        <row r="199">
          <cell r="A199">
            <v>50001</v>
          </cell>
        </row>
        <row r="200">
          <cell r="A200">
            <v>50002</v>
          </cell>
        </row>
        <row r="201">
          <cell r="A201">
            <v>50003</v>
          </cell>
        </row>
        <row r="202">
          <cell r="A202">
            <v>50004</v>
          </cell>
        </row>
        <row r="203">
          <cell r="A203">
            <v>50005</v>
          </cell>
        </row>
        <row r="204">
          <cell r="A204">
            <v>51001</v>
          </cell>
        </row>
        <row r="205">
          <cell r="A205">
            <v>51002</v>
          </cell>
        </row>
        <row r="206">
          <cell r="A206">
            <v>60001</v>
          </cell>
        </row>
        <row r="207">
          <cell r="A207">
            <v>60002</v>
          </cell>
        </row>
        <row r="208">
          <cell r="A208">
            <v>60003</v>
          </cell>
        </row>
        <row r="209">
          <cell r="A209">
            <v>60004</v>
          </cell>
        </row>
        <row r="210">
          <cell r="A210">
            <v>60005</v>
          </cell>
        </row>
        <row r="211">
          <cell r="A211">
            <v>60006</v>
          </cell>
        </row>
        <row r="212">
          <cell r="A212">
            <v>60007</v>
          </cell>
        </row>
        <row r="213">
          <cell r="A213">
            <v>60010</v>
          </cell>
        </row>
        <row r="214">
          <cell r="A214">
            <v>60011</v>
          </cell>
        </row>
        <row r="215">
          <cell r="A215">
            <v>65534</v>
          </cell>
        </row>
        <row r="216">
          <cell r="A216">
            <v>65535</v>
          </cell>
        </row>
        <row r="217">
          <cell r="A217">
            <v>60021</v>
          </cell>
        </row>
        <row r="218">
          <cell r="A218">
            <v>60022</v>
          </cell>
        </row>
        <row r="219">
          <cell r="A219">
            <v>60023</v>
          </cell>
        </row>
        <row r="220">
          <cell r="A22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11226_1</v>
          </cell>
        </row>
        <row r="275">
          <cell r="A275" t="str">
            <v>11226_2</v>
          </cell>
        </row>
        <row r="276">
          <cell r="A276" t="str">
            <v>11226_3</v>
          </cell>
        </row>
        <row r="277">
          <cell r="A277" t="str">
            <v>11226_4</v>
          </cell>
        </row>
        <row r="278">
          <cell r="A278" t="str">
            <v>11226_5</v>
          </cell>
        </row>
        <row r="279">
          <cell r="A279" t="str">
            <v>11226_6</v>
          </cell>
        </row>
        <row r="280">
          <cell r="A280" t="str">
            <v>11226_7</v>
          </cell>
        </row>
        <row r="281">
          <cell r="A281" t="str">
            <v>11226_8</v>
          </cell>
        </row>
        <row r="282">
          <cell r="A282" t="str">
            <v>12001_1</v>
          </cell>
        </row>
        <row r="283">
          <cell r="A283" t="str">
            <v>12001_2</v>
          </cell>
        </row>
        <row r="284">
          <cell r="A284" t="str">
            <v>12001_3</v>
          </cell>
        </row>
        <row r="285">
          <cell r="A285" t="str">
            <v>12002_1</v>
          </cell>
        </row>
        <row r="286">
          <cell r="A286" t="str">
            <v>12002_2</v>
          </cell>
        </row>
        <row r="287">
          <cell r="A287" t="str">
            <v>12003_1</v>
          </cell>
        </row>
        <row r="288">
          <cell r="A288" t="str">
            <v>12003_2</v>
          </cell>
        </row>
        <row r="289">
          <cell r="A289" t="str">
            <v>12003_3</v>
          </cell>
        </row>
        <row r="290">
          <cell r="A290" t="str">
            <v>12003_4</v>
          </cell>
        </row>
        <row r="291">
          <cell r="A291" t="str">
            <v>12004_1</v>
          </cell>
        </row>
        <row r="292">
          <cell r="A292" t="str">
            <v>13001_1</v>
          </cell>
        </row>
        <row r="293">
          <cell r="A293" t="str">
            <v>13001_2</v>
          </cell>
        </row>
        <row r="294">
          <cell r="A294" t="str">
            <v>13001_3</v>
          </cell>
        </row>
        <row r="295">
          <cell r="A295" t="str">
            <v>13001_4</v>
          </cell>
        </row>
        <row r="296">
          <cell r="A296" t="str">
            <v>13001_5</v>
          </cell>
        </row>
        <row r="297">
          <cell r="A297" t="str">
            <v>13001_6</v>
          </cell>
        </row>
        <row r="298">
          <cell r="A298" t="str">
            <v>13001_7</v>
          </cell>
        </row>
        <row r="299">
          <cell r="A299" t="str">
            <v>13001_8</v>
          </cell>
        </row>
        <row r="300">
          <cell r="A300" t="str">
            <v>13001_9</v>
          </cell>
        </row>
        <row r="301">
          <cell r="A301" t="str">
            <v>13001_10</v>
          </cell>
        </row>
        <row r="302">
          <cell r="A302" t="str">
            <v>13001_11</v>
          </cell>
        </row>
        <row r="303">
          <cell r="A303" t="str">
            <v>13001_12</v>
          </cell>
        </row>
        <row r="304">
          <cell r="A304" t="str">
            <v>13001_13</v>
          </cell>
        </row>
        <row r="305">
          <cell r="A305" t="str">
            <v>13001_14</v>
          </cell>
        </row>
        <row r="306">
          <cell r="A306" t="str">
            <v>13001_15</v>
          </cell>
        </row>
        <row r="307">
          <cell r="A307" t="str">
            <v>13001_16</v>
          </cell>
        </row>
        <row r="308">
          <cell r="A308" t="str">
            <v>13001_17</v>
          </cell>
        </row>
        <row r="309">
          <cell r="A309" t="str">
            <v>13001_18</v>
          </cell>
        </row>
        <row r="310">
          <cell r="A310" t="str">
            <v>13001_19</v>
          </cell>
        </row>
        <row r="311">
          <cell r="A311" t="str">
            <v>13001_20</v>
          </cell>
        </row>
        <row r="312">
          <cell r="A312" t="str">
            <v>13001_21</v>
          </cell>
        </row>
        <row r="313">
          <cell r="A313" t="str">
            <v>13001_22</v>
          </cell>
        </row>
        <row r="314">
          <cell r="A314" t="str">
            <v>13001_23</v>
          </cell>
        </row>
        <row r="315">
          <cell r="A315" t="str">
            <v>13001_24</v>
          </cell>
        </row>
        <row r="316">
          <cell r="A316" t="str">
            <v>13001_25</v>
          </cell>
        </row>
        <row r="317">
          <cell r="A317" t="str">
            <v>14001_1</v>
          </cell>
        </row>
        <row r="318">
          <cell r="A318" t="str">
            <v>14001_2</v>
          </cell>
        </row>
        <row r="319">
          <cell r="A319" t="str">
            <v>14001_3</v>
          </cell>
        </row>
        <row r="320">
          <cell r="A320" t="str">
            <v>14001_4</v>
          </cell>
        </row>
        <row r="321">
          <cell r="A321" t="str">
            <v>14001_5</v>
          </cell>
        </row>
        <row r="322">
          <cell r="A322" t="str">
            <v>14001_6</v>
          </cell>
        </row>
        <row r="323">
          <cell r="A323" t="str">
            <v>14001_7</v>
          </cell>
        </row>
        <row r="324">
          <cell r="A324" t="str">
            <v>14001_8</v>
          </cell>
        </row>
        <row r="325">
          <cell r="A325" t="str">
            <v>14002_1</v>
          </cell>
        </row>
        <row r="326">
          <cell r="A326" t="str">
            <v>14002_2</v>
          </cell>
        </row>
        <row r="327">
          <cell r="A327" t="str">
            <v>14003_1</v>
          </cell>
        </row>
        <row r="328">
          <cell r="A328" t="str">
            <v>14003_2</v>
          </cell>
        </row>
        <row r="329">
          <cell r="A329" t="str">
            <v>14003_3</v>
          </cell>
        </row>
        <row r="330">
          <cell r="A330" t="str">
            <v>14003_4</v>
          </cell>
        </row>
        <row r="331">
          <cell r="A331" t="str">
            <v>14004_1</v>
          </cell>
        </row>
        <row r="332">
          <cell r="A332" t="str">
            <v>14004_2</v>
          </cell>
        </row>
        <row r="333">
          <cell r="A333" t="str">
            <v>14004_3</v>
          </cell>
        </row>
        <row r="334">
          <cell r="A334" t="str">
            <v>14004_4</v>
          </cell>
        </row>
        <row r="335">
          <cell r="A335" t="str">
            <v>14005_1</v>
          </cell>
        </row>
        <row r="336">
          <cell r="A336" t="str">
            <v>14006_1</v>
          </cell>
        </row>
        <row r="337">
          <cell r="A337" t="str">
            <v>15027_1</v>
          </cell>
        </row>
        <row r="338">
          <cell r="A338" t="str">
            <v>15027_2</v>
          </cell>
        </row>
        <row r="339">
          <cell r="A339" t="str">
            <v>15027_3</v>
          </cell>
        </row>
        <row r="340">
          <cell r="A340" t="str">
            <v>15027_4</v>
          </cell>
        </row>
        <row r="341">
          <cell r="A341" t="str">
            <v>15028_1</v>
          </cell>
        </row>
        <row r="342">
          <cell r="A342" t="str">
            <v>15028_2</v>
          </cell>
        </row>
        <row r="343">
          <cell r="A343" t="str">
            <v>15028_3</v>
          </cell>
        </row>
        <row r="344">
          <cell r="A344" t="str">
            <v>15028_4</v>
          </cell>
        </row>
        <row r="345">
          <cell r="A345" t="str">
            <v>15029_1</v>
          </cell>
        </row>
        <row r="346">
          <cell r="A346" t="str">
            <v>15029_2</v>
          </cell>
        </row>
        <row r="347">
          <cell r="A347" t="str">
            <v>15029_3</v>
          </cell>
        </row>
        <row r="348">
          <cell r="A348" t="str">
            <v>15029_4</v>
          </cell>
        </row>
        <row r="349">
          <cell r="A349" t="str">
            <v>15030_1</v>
          </cell>
        </row>
        <row r="350">
          <cell r="A350" t="str">
            <v>15030_2</v>
          </cell>
        </row>
        <row r="351">
          <cell r="A351" t="str">
            <v>15030_3</v>
          </cell>
        </row>
        <row r="352">
          <cell r="A352" t="str">
            <v>15030_4</v>
          </cell>
        </row>
        <row r="353">
          <cell r="A353" t="str">
            <v>15031_1</v>
          </cell>
        </row>
        <row r="354">
          <cell r="A354" t="str">
            <v>15031_2</v>
          </cell>
        </row>
        <row r="355">
          <cell r="A355" t="str">
            <v>15031_3</v>
          </cell>
        </row>
        <row r="356">
          <cell r="A356" t="str">
            <v>15031_4</v>
          </cell>
        </row>
        <row r="357">
          <cell r="A357" t="str">
            <v>20001_1</v>
          </cell>
        </row>
        <row r="358">
          <cell r="A358" t="str">
            <v>20001_2</v>
          </cell>
        </row>
        <row r="359">
          <cell r="A359" t="str">
            <v>20001_3</v>
          </cell>
        </row>
        <row r="360">
          <cell r="A360" t="str">
            <v>20002_1</v>
          </cell>
        </row>
        <row r="361">
          <cell r="A361" t="str">
            <v>20002_2</v>
          </cell>
        </row>
        <row r="362">
          <cell r="A362" t="str">
            <v>20002_3</v>
          </cell>
        </row>
        <row r="363">
          <cell r="A363" t="str">
            <v>20003_1</v>
          </cell>
        </row>
        <row r="364">
          <cell r="A364" t="str">
            <v>20003_2</v>
          </cell>
        </row>
        <row r="365">
          <cell r="A365" t="str">
            <v>20003_3</v>
          </cell>
        </row>
        <row r="366">
          <cell r="A366" t="str">
            <v>20004_1</v>
          </cell>
        </row>
        <row r="367">
          <cell r="A367" t="str">
            <v>20004_2</v>
          </cell>
        </row>
        <row r="368">
          <cell r="A368" t="str">
            <v>20004_3</v>
          </cell>
        </row>
        <row r="369">
          <cell r="A369" t="str">
            <v>20005_1</v>
          </cell>
        </row>
        <row r="370">
          <cell r="A370" t="str">
            <v>20005_2</v>
          </cell>
        </row>
        <row r="371">
          <cell r="A371" t="str">
            <v>20005_3</v>
          </cell>
        </row>
        <row r="372">
          <cell r="A372" t="str">
            <v>20006_1</v>
          </cell>
        </row>
        <row r="373">
          <cell r="A373" t="str">
            <v>20006_2</v>
          </cell>
        </row>
        <row r="374">
          <cell r="A374" t="str">
            <v>20006_3</v>
          </cell>
        </row>
        <row r="375">
          <cell r="A375" t="str">
            <v>20007_1</v>
          </cell>
        </row>
        <row r="376">
          <cell r="A376" t="str">
            <v>20007_2</v>
          </cell>
        </row>
        <row r="377">
          <cell r="A377" t="str">
            <v>20007_3</v>
          </cell>
        </row>
        <row r="378">
          <cell r="A378" t="str">
            <v>20008_1</v>
          </cell>
        </row>
        <row r="379">
          <cell r="A379" t="str">
            <v>20008_2</v>
          </cell>
        </row>
        <row r="380">
          <cell r="A380" t="str">
            <v>20008_3</v>
          </cell>
        </row>
        <row r="381">
          <cell r="A381" t="str">
            <v>20009_1</v>
          </cell>
        </row>
        <row r="382">
          <cell r="A382" t="str">
            <v>20009_2</v>
          </cell>
        </row>
        <row r="383">
          <cell r="A383" t="str">
            <v>20009_3</v>
          </cell>
        </row>
        <row r="384">
          <cell r="A384" t="str">
            <v>20010_1</v>
          </cell>
        </row>
        <row r="385">
          <cell r="A385" t="str">
            <v>20010_2</v>
          </cell>
        </row>
        <row r="386">
          <cell r="A386" t="str">
            <v>20010_3</v>
          </cell>
        </row>
        <row r="387">
          <cell r="A387" t="str">
            <v>20011_1</v>
          </cell>
        </row>
        <row r="388">
          <cell r="A388" t="str">
            <v>20011_2</v>
          </cell>
        </row>
        <row r="389">
          <cell r="A389" t="str">
            <v>20011_3</v>
          </cell>
        </row>
        <row r="390">
          <cell r="A390" t="str">
            <v>20012_1</v>
          </cell>
        </row>
        <row r="391">
          <cell r="A391" t="str">
            <v>20012_2</v>
          </cell>
        </row>
        <row r="392">
          <cell r="A392" t="str">
            <v>20012_3</v>
          </cell>
        </row>
        <row r="393">
          <cell r="A393" t="str">
            <v>20013_1</v>
          </cell>
        </row>
        <row r="394">
          <cell r="A394" t="str">
            <v>20013_2</v>
          </cell>
        </row>
        <row r="395">
          <cell r="A395" t="str">
            <v>20013_3</v>
          </cell>
        </row>
        <row r="396">
          <cell r="A396" t="str">
            <v>20014_1</v>
          </cell>
        </row>
        <row r="397">
          <cell r="A397" t="str">
            <v>20014_2</v>
          </cell>
        </row>
        <row r="398">
          <cell r="A398" t="str">
            <v>20014_3</v>
          </cell>
        </row>
        <row r="399">
          <cell r="A399" t="str">
            <v>20015_1</v>
          </cell>
        </row>
        <row r="400">
          <cell r="A400" t="str">
            <v>20015_2</v>
          </cell>
        </row>
        <row r="401">
          <cell r="A401" t="str">
            <v>20015_3</v>
          </cell>
        </row>
        <row r="402">
          <cell r="A402" t="str">
            <v>20016_1</v>
          </cell>
        </row>
        <row r="403">
          <cell r="A403" t="str">
            <v>20016_2</v>
          </cell>
        </row>
        <row r="404">
          <cell r="A404" t="str">
            <v>20016_3</v>
          </cell>
        </row>
        <row r="405">
          <cell r="A405" t="str">
            <v>20017_1</v>
          </cell>
        </row>
        <row r="406">
          <cell r="A406" t="str">
            <v>20017_2</v>
          </cell>
        </row>
        <row r="407">
          <cell r="A407" t="str">
            <v>20017_3</v>
          </cell>
        </row>
        <row r="408">
          <cell r="A408" t="str">
            <v>30001_1</v>
          </cell>
        </row>
        <row r="409">
          <cell r="A409" t="str">
            <v>30001_2</v>
          </cell>
        </row>
        <row r="410">
          <cell r="A410" t="str">
            <v>30001_3</v>
          </cell>
        </row>
        <row r="411">
          <cell r="A411" t="str">
            <v>30002_1</v>
          </cell>
        </row>
        <row r="412">
          <cell r="A412" t="str">
            <v>30002_2</v>
          </cell>
        </row>
        <row r="413">
          <cell r="A413" t="str">
            <v>30002_3</v>
          </cell>
        </row>
        <row r="414">
          <cell r="A414" t="str">
            <v>30003_1</v>
          </cell>
        </row>
        <row r="415">
          <cell r="A415" t="str">
            <v>30003_2</v>
          </cell>
        </row>
        <row r="416">
          <cell r="A416" t="str">
            <v>30003_3</v>
          </cell>
        </row>
        <row r="417">
          <cell r="A417" t="str">
            <v>30004_1</v>
          </cell>
        </row>
        <row r="418">
          <cell r="A418" t="str">
            <v>30004_2</v>
          </cell>
        </row>
        <row r="419">
          <cell r="A419" t="str">
            <v>30004_3</v>
          </cell>
        </row>
        <row r="420">
          <cell r="A420" t="str">
            <v>30005_1</v>
          </cell>
        </row>
        <row r="421">
          <cell r="A421" t="str">
            <v>30005_2</v>
          </cell>
        </row>
        <row r="422">
          <cell r="A422" t="str">
            <v>30005_3</v>
          </cell>
        </row>
        <row r="423">
          <cell r="A423" t="str">
            <v>30006_1</v>
          </cell>
        </row>
        <row r="424">
          <cell r="A424" t="str">
            <v>30006_2</v>
          </cell>
        </row>
        <row r="425">
          <cell r="A425" t="str">
            <v>30006_3</v>
          </cell>
        </row>
        <row r="426">
          <cell r="A426" t="str">
            <v>30007_1</v>
          </cell>
        </row>
        <row r="427">
          <cell r="A427" t="str">
            <v>30007_2</v>
          </cell>
        </row>
        <row r="428">
          <cell r="A428" t="str">
            <v>30007_3</v>
          </cell>
        </row>
        <row r="429">
          <cell r="A429" t="str">
            <v>30008_1</v>
          </cell>
        </row>
        <row r="430">
          <cell r="A430" t="str">
            <v>30008_2</v>
          </cell>
        </row>
        <row r="431">
          <cell r="A431" t="str">
            <v>30008_3</v>
          </cell>
        </row>
        <row r="432">
          <cell r="A432" t="str">
            <v>30009_3</v>
          </cell>
        </row>
        <row r="433">
          <cell r="A433" t="str">
            <v>30009_1</v>
          </cell>
        </row>
        <row r="434">
          <cell r="A434" t="str">
            <v>30009_2</v>
          </cell>
        </row>
        <row r="435">
          <cell r="A435" t="str">
            <v>30010_1</v>
          </cell>
        </row>
        <row r="436">
          <cell r="A436" t="str">
            <v>30010_2</v>
          </cell>
        </row>
        <row r="437">
          <cell r="A437" t="str">
            <v>30010_3</v>
          </cell>
        </row>
        <row r="438">
          <cell r="A438" t="str">
            <v>30011_1</v>
          </cell>
        </row>
        <row r="439">
          <cell r="A439" t="str">
            <v>30011_2</v>
          </cell>
        </row>
        <row r="440">
          <cell r="A440" t="str">
            <v>30011_3</v>
          </cell>
        </row>
        <row r="441">
          <cell r="A441" t="str">
            <v>30012_1</v>
          </cell>
        </row>
        <row r="442">
          <cell r="A442" t="str">
            <v>30012_2</v>
          </cell>
        </row>
        <row r="443">
          <cell r="A443" t="str">
            <v>30012_3</v>
          </cell>
        </row>
        <row r="444">
          <cell r="A444" t="str">
            <v>30013_1</v>
          </cell>
        </row>
        <row r="445">
          <cell r="A445" t="str">
            <v>30013_2</v>
          </cell>
        </row>
        <row r="446">
          <cell r="A446" t="str">
            <v>30014_1</v>
          </cell>
        </row>
        <row r="447">
          <cell r="A447" t="str">
            <v>30014_2</v>
          </cell>
        </row>
        <row r="448">
          <cell r="A448" t="str">
            <v>30015_1</v>
          </cell>
        </row>
        <row r="449">
          <cell r="A449" t="str">
            <v>30015_2</v>
          </cell>
        </row>
        <row r="450">
          <cell r="A450" t="str">
            <v>30016_1</v>
          </cell>
        </row>
        <row r="451">
          <cell r="A451" t="str">
            <v>30016_2</v>
          </cell>
        </row>
        <row r="452">
          <cell r="A452" t="str">
            <v>30017_1</v>
          </cell>
        </row>
        <row r="453">
          <cell r="A453" t="str">
            <v>30017_2</v>
          </cell>
        </row>
        <row r="454">
          <cell r="A454" t="str">
            <v>30018_1</v>
          </cell>
        </row>
        <row r="455">
          <cell r="A455" t="str">
            <v>30018_2</v>
          </cell>
        </row>
        <row r="456">
          <cell r="A456" t="str">
            <v>30019_1</v>
          </cell>
        </row>
        <row r="457">
          <cell r="A457" t="str">
            <v>30019_2</v>
          </cell>
        </row>
        <row r="458">
          <cell r="A458" t="str">
            <v>30020_1</v>
          </cell>
        </row>
        <row r="459">
          <cell r="A459" t="str">
            <v>30020_2</v>
          </cell>
        </row>
        <row r="460">
          <cell r="A460" t="str">
            <v>30021_1</v>
          </cell>
        </row>
        <row r="461">
          <cell r="A461" t="str">
            <v>30021_2</v>
          </cell>
        </row>
        <row r="462">
          <cell r="A462" t="str">
            <v>30021_3</v>
          </cell>
        </row>
        <row r="463">
          <cell r="A463" t="str">
            <v>30022_1</v>
          </cell>
        </row>
        <row r="464">
          <cell r="A464" t="str">
            <v>30022_2</v>
          </cell>
        </row>
        <row r="465">
          <cell r="A465" t="str">
            <v>30023_1</v>
          </cell>
        </row>
        <row r="466">
          <cell r="A466" t="str">
            <v>30023_2</v>
          </cell>
        </row>
        <row r="467">
          <cell r="A467" t="str">
            <v>30023_3</v>
          </cell>
        </row>
        <row r="468">
          <cell r="A468" t="str">
            <v>30024_1</v>
          </cell>
        </row>
        <row r="469">
          <cell r="A469" t="str">
            <v>30024_2</v>
          </cell>
        </row>
        <row r="470">
          <cell r="A470" t="str">
            <v>30024_3</v>
          </cell>
        </row>
        <row r="471">
          <cell r="A471" t="str">
            <v>30025_1</v>
          </cell>
        </row>
        <row r="472">
          <cell r="A472" t="str">
            <v>30025_2</v>
          </cell>
        </row>
        <row r="473">
          <cell r="A473" t="str">
            <v>30025_3</v>
          </cell>
        </row>
        <row r="474">
          <cell r="A474" t="str">
            <v>30026_1</v>
          </cell>
        </row>
        <row r="475">
          <cell r="A475" t="str">
            <v>30026_2</v>
          </cell>
        </row>
        <row r="476">
          <cell r="A476" t="str">
            <v>30026_3</v>
          </cell>
        </row>
        <row r="477">
          <cell r="A477" t="str">
            <v>30027_1</v>
          </cell>
        </row>
        <row r="478">
          <cell r="A478" t="str">
            <v>30027_2</v>
          </cell>
        </row>
        <row r="479">
          <cell r="A479" t="str">
            <v>30027_3</v>
          </cell>
        </row>
        <row r="480">
          <cell r="A480" t="str">
            <v>30028_1</v>
          </cell>
        </row>
        <row r="481">
          <cell r="A481" t="str">
            <v>30028_2</v>
          </cell>
        </row>
        <row r="482">
          <cell r="A482" t="str">
            <v>30028_3</v>
          </cell>
        </row>
        <row r="483">
          <cell r="A483" t="str">
            <v>30029_1</v>
          </cell>
        </row>
        <row r="484">
          <cell r="A484" t="str">
            <v>30029_2</v>
          </cell>
        </row>
        <row r="485">
          <cell r="A485" t="str">
            <v>30029_3</v>
          </cell>
        </row>
        <row r="486">
          <cell r="A486" t="str">
            <v>30030_1</v>
          </cell>
        </row>
        <row r="487">
          <cell r="A487" t="str">
            <v>30030_2</v>
          </cell>
        </row>
        <row r="488">
          <cell r="A488" t="str">
            <v>30030_3</v>
          </cell>
        </row>
        <row r="489">
          <cell r="A489" t="str">
            <v>30031_1</v>
          </cell>
        </row>
        <row r="490">
          <cell r="A490" t="str">
            <v>30031_2</v>
          </cell>
        </row>
        <row r="491">
          <cell r="A491" t="str">
            <v>30031_3</v>
          </cell>
        </row>
        <row r="492">
          <cell r="A492" t="str">
            <v>30032_1</v>
          </cell>
        </row>
        <row r="493">
          <cell r="A493" t="str">
            <v>30032_2</v>
          </cell>
        </row>
        <row r="494">
          <cell r="A494" t="str">
            <v>30032_3</v>
          </cell>
        </row>
        <row r="495">
          <cell r="A495" t="str">
            <v>30033_1</v>
          </cell>
        </row>
        <row r="496">
          <cell r="A496" t="str">
            <v>30033_2</v>
          </cell>
        </row>
        <row r="497">
          <cell r="A497" t="str">
            <v>30033_3</v>
          </cell>
        </row>
        <row r="498">
          <cell r="A498" t="str">
            <v>30034_1</v>
          </cell>
        </row>
        <row r="499">
          <cell r="A499" t="str">
            <v>30034_2</v>
          </cell>
        </row>
        <row r="500">
          <cell r="A500" t="str">
            <v>30034_3</v>
          </cell>
        </row>
        <row r="501">
          <cell r="A501" t="str">
            <v>30035_1</v>
          </cell>
        </row>
        <row r="502">
          <cell r="A502" t="str">
            <v>30035_2</v>
          </cell>
        </row>
        <row r="503">
          <cell r="A503" t="str">
            <v>30035_3</v>
          </cell>
        </row>
        <row r="504">
          <cell r="A504" t="str">
            <v>30036_1</v>
          </cell>
        </row>
        <row r="505">
          <cell r="A505" t="str">
            <v>30036_2</v>
          </cell>
        </row>
        <row r="506">
          <cell r="A506" t="str">
            <v>30036_3</v>
          </cell>
        </row>
        <row r="507">
          <cell r="A507" t="str">
            <v>30037_1</v>
          </cell>
        </row>
        <row r="508">
          <cell r="A508" t="str">
            <v>30037_2</v>
          </cell>
        </row>
        <row r="509">
          <cell r="A509" t="str">
            <v>30037_3</v>
          </cell>
        </row>
        <row r="510">
          <cell r="A510" t="str">
            <v>39001_1</v>
          </cell>
        </row>
        <row r="511">
          <cell r="A511" t="str">
            <v>39001_2</v>
          </cell>
        </row>
        <row r="512">
          <cell r="A512" t="str">
            <v>39001_3</v>
          </cell>
        </row>
        <row r="513">
          <cell r="A513" t="str">
            <v>39001_4</v>
          </cell>
        </row>
        <row r="514">
          <cell r="A514" t="str">
            <v>39001_5</v>
          </cell>
        </row>
        <row r="515">
          <cell r="A515" t="str">
            <v>39002_1</v>
          </cell>
        </row>
        <row r="516">
          <cell r="A516" t="str">
            <v>39002_2</v>
          </cell>
        </row>
        <row r="517">
          <cell r="A517" t="str">
            <v>39002_3</v>
          </cell>
        </row>
        <row r="518">
          <cell r="A518" t="str">
            <v>39002_4</v>
          </cell>
        </row>
        <row r="519">
          <cell r="A519" t="str">
            <v>39003_1</v>
          </cell>
        </row>
        <row r="520">
          <cell r="A520" t="str">
            <v>39003_2</v>
          </cell>
        </row>
        <row r="521">
          <cell r="A521" t="str">
            <v>39003_3</v>
          </cell>
        </row>
        <row r="522">
          <cell r="A522" t="str">
            <v>39003_4</v>
          </cell>
        </row>
        <row r="523">
          <cell r="A523" t="str">
            <v>39004_1</v>
          </cell>
        </row>
        <row r="524">
          <cell r="A524" t="str">
            <v>39004_2</v>
          </cell>
        </row>
        <row r="525">
          <cell r="A525" t="str">
            <v>39004_3</v>
          </cell>
        </row>
        <row r="526">
          <cell r="A526" t="str">
            <v>39004_4</v>
          </cell>
        </row>
        <row r="527">
          <cell r="A527" t="str">
            <v>39005_1</v>
          </cell>
        </row>
        <row r="528">
          <cell r="A528" t="str">
            <v>39005_2</v>
          </cell>
        </row>
        <row r="529">
          <cell r="A529" t="str">
            <v>39005_3</v>
          </cell>
        </row>
        <row r="530">
          <cell r="A530" t="str">
            <v>39005_4</v>
          </cell>
        </row>
        <row r="531">
          <cell r="A531" t="str">
            <v>39005_5</v>
          </cell>
        </row>
        <row r="532">
          <cell r="A532" t="str">
            <v>39006_1</v>
          </cell>
        </row>
        <row r="533">
          <cell r="A533" t="str">
            <v>39006_2</v>
          </cell>
        </row>
        <row r="534">
          <cell r="A534" t="str">
            <v>39006_3</v>
          </cell>
        </row>
        <row r="535">
          <cell r="A535" t="str">
            <v>39006_4</v>
          </cell>
        </row>
        <row r="536">
          <cell r="A536" t="str">
            <v>40001_1</v>
          </cell>
        </row>
        <row r="537">
          <cell r="A537" t="str">
            <v>40002_1</v>
          </cell>
        </row>
        <row r="538">
          <cell r="A538" t="str">
            <v>40002_2</v>
          </cell>
        </row>
        <row r="539">
          <cell r="A539" t="str">
            <v>40002_3</v>
          </cell>
        </row>
        <row r="540">
          <cell r="A540" t="str">
            <v>40003_1</v>
          </cell>
        </row>
        <row r="541">
          <cell r="A541" t="str">
            <v>40004_1</v>
          </cell>
        </row>
        <row r="542">
          <cell r="A542" t="str">
            <v>40005_1</v>
          </cell>
        </row>
        <row r="543">
          <cell r="A543" t="str">
            <v>40006_1</v>
          </cell>
        </row>
        <row r="544">
          <cell r="A544" t="str">
            <v>40007_1</v>
          </cell>
        </row>
        <row r="545">
          <cell r="A545" t="str">
            <v>40008_1</v>
          </cell>
        </row>
        <row r="546">
          <cell r="A546" t="str">
            <v>40009_1</v>
          </cell>
        </row>
        <row r="547">
          <cell r="A547" t="str">
            <v>40010_1</v>
          </cell>
        </row>
        <row r="548">
          <cell r="A548" t="str">
            <v>40011_1</v>
          </cell>
        </row>
        <row r="549">
          <cell r="A549" t="str">
            <v>40012_1</v>
          </cell>
        </row>
        <row r="550">
          <cell r="A550" t="str">
            <v>40013_1</v>
          </cell>
        </row>
        <row r="551">
          <cell r="A551" t="str">
            <v>40014_1</v>
          </cell>
        </row>
        <row r="552">
          <cell r="A552" t="str">
            <v>40015_1</v>
          </cell>
        </row>
        <row r="553">
          <cell r="A553" t="str">
            <v>40016_1</v>
          </cell>
        </row>
        <row r="554">
          <cell r="A554" t="str">
            <v>40016_2</v>
          </cell>
        </row>
        <row r="555">
          <cell r="A555" t="str">
            <v>40017_1</v>
          </cell>
        </row>
        <row r="556">
          <cell r="A556" t="str">
            <v>40017_2</v>
          </cell>
        </row>
        <row r="557">
          <cell r="A557" t="str">
            <v>40017_3</v>
          </cell>
        </row>
        <row r="558">
          <cell r="A558" t="str">
            <v>40018_1</v>
          </cell>
        </row>
        <row r="559">
          <cell r="A559" t="str">
            <v>40018_2</v>
          </cell>
        </row>
        <row r="560">
          <cell r="A560" t="str">
            <v>40018_3</v>
          </cell>
        </row>
        <row r="561">
          <cell r="A561" t="str">
            <v>40019_1</v>
          </cell>
        </row>
        <row r="562">
          <cell r="A562" t="str">
            <v>40019_2</v>
          </cell>
        </row>
        <row r="563">
          <cell r="A563" t="str">
            <v>40019_3</v>
          </cell>
        </row>
        <row r="564">
          <cell r="A564" t="str">
            <v>40021_1</v>
          </cell>
        </row>
        <row r="565">
          <cell r="A565" t="str">
            <v>40021_2</v>
          </cell>
        </row>
        <row r="566">
          <cell r="A566" t="str">
            <v>48001_1</v>
          </cell>
        </row>
        <row r="567">
          <cell r="A567" t="str">
            <v>48002_1</v>
          </cell>
        </row>
        <row r="568">
          <cell r="A568" t="str">
            <v>48002_2</v>
          </cell>
        </row>
        <row r="569">
          <cell r="A569" t="str">
            <v>48002_3</v>
          </cell>
        </row>
        <row r="570">
          <cell r="A570" t="str">
            <v>41001_1</v>
          </cell>
        </row>
        <row r="571">
          <cell r="A571" t="str">
            <v>41001_2</v>
          </cell>
        </row>
        <row r="572">
          <cell r="A572" t="str">
            <v>41001_3</v>
          </cell>
        </row>
        <row r="573">
          <cell r="A573" t="str">
            <v>41002_1</v>
          </cell>
        </row>
        <row r="574">
          <cell r="A574" t="str">
            <v>41002_2</v>
          </cell>
        </row>
        <row r="575">
          <cell r="A575" t="str">
            <v>41002_3</v>
          </cell>
        </row>
        <row r="576">
          <cell r="A576" t="str">
            <v>41003_1</v>
          </cell>
        </row>
        <row r="577">
          <cell r="A577" t="str">
            <v>41003_2</v>
          </cell>
        </row>
        <row r="578">
          <cell r="A578" t="str">
            <v>41003_3</v>
          </cell>
        </row>
        <row r="579">
          <cell r="A579" t="str">
            <v>41004_1</v>
          </cell>
        </row>
        <row r="580">
          <cell r="A580" t="str">
            <v>41004_2</v>
          </cell>
        </row>
        <row r="581">
          <cell r="A581" t="str">
            <v>41004_3</v>
          </cell>
        </row>
        <row r="582">
          <cell r="A582" t="str">
            <v>41005_1</v>
          </cell>
        </row>
        <row r="583">
          <cell r="A583" t="str">
            <v>41005_2</v>
          </cell>
        </row>
        <row r="584">
          <cell r="A584" t="str">
            <v>41005_3</v>
          </cell>
        </row>
        <row r="585">
          <cell r="A585" t="str">
            <v>41006_1</v>
          </cell>
        </row>
        <row r="586">
          <cell r="A586" t="str">
            <v>41006_2</v>
          </cell>
        </row>
        <row r="587">
          <cell r="A587" t="str">
            <v>41006_3</v>
          </cell>
        </row>
        <row r="588">
          <cell r="A588" t="str">
            <v>41007_1</v>
          </cell>
        </row>
        <row r="589">
          <cell r="A589" t="str">
            <v>41007_2</v>
          </cell>
        </row>
        <row r="590">
          <cell r="A590" t="str">
            <v>41007_3</v>
          </cell>
        </row>
        <row r="591">
          <cell r="A591" t="str">
            <v>41008_1</v>
          </cell>
        </row>
        <row r="592">
          <cell r="A592" t="str">
            <v>41008_2</v>
          </cell>
        </row>
        <row r="593">
          <cell r="A593" t="str">
            <v>41008_3</v>
          </cell>
        </row>
        <row r="594">
          <cell r="A594" t="str">
            <v>41009_1</v>
          </cell>
        </row>
        <row r="595">
          <cell r="A595" t="str">
            <v>41009_2</v>
          </cell>
        </row>
        <row r="596">
          <cell r="A596" t="str">
            <v>41009_3</v>
          </cell>
        </row>
        <row r="597">
          <cell r="A597" t="str">
            <v>41010_1</v>
          </cell>
        </row>
        <row r="598">
          <cell r="A598" t="str">
            <v>41010_2</v>
          </cell>
        </row>
        <row r="599">
          <cell r="A599" t="str">
            <v>41010_3</v>
          </cell>
        </row>
        <row r="600">
          <cell r="A600" t="str">
            <v>41011_1</v>
          </cell>
        </row>
        <row r="601">
          <cell r="A601" t="str">
            <v>41011_2</v>
          </cell>
        </row>
        <row r="602">
          <cell r="A602" t="str">
            <v>41012_1</v>
          </cell>
        </row>
        <row r="603">
          <cell r="A603" t="str">
            <v>41012_2</v>
          </cell>
        </row>
        <row r="604">
          <cell r="A604" t="str">
            <v>47001_1</v>
          </cell>
        </row>
        <row r="605">
          <cell r="A605" t="str">
            <v>47001_2</v>
          </cell>
        </row>
        <row r="606">
          <cell r="A606" t="str">
            <v>47002_1</v>
          </cell>
        </row>
        <row r="607">
          <cell r="A607" t="str">
            <v>47002_2</v>
          </cell>
        </row>
        <row r="608">
          <cell r="A608" t="str">
            <v>49001_1</v>
          </cell>
        </row>
        <row r="609">
          <cell r="A609" t="str">
            <v>49002_1</v>
          </cell>
        </row>
        <row r="610">
          <cell r="A610" t="str">
            <v>49002_2</v>
          </cell>
        </row>
        <row r="611">
          <cell r="A611" t="str">
            <v>49003_1</v>
          </cell>
        </row>
        <row r="612">
          <cell r="A612" t="str">
            <v>49003_2</v>
          </cell>
        </row>
        <row r="613">
          <cell r="A613" t="str">
            <v>49004_1</v>
          </cell>
        </row>
        <row r="614">
          <cell r="A614" t="str">
            <v>49004_2</v>
          </cell>
        </row>
        <row r="615">
          <cell r="A615" t="str">
            <v>49004_3</v>
          </cell>
        </row>
        <row r="616">
          <cell r="A616" t="str">
            <v>49005_1</v>
          </cell>
        </row>
        <row r="617">
          <cell r="A617" t="str">
            <v>49006_1</v>
          </cell>
        </row>
        <row r="618">
          <cell r="A618" t="str">
            <v>49006_2</v>
          </cell>
        </row>
        <row r="619">
          <cell r="A619" t="str">
            <v>50001_1</v>
          </cell>
        </row>
        <row r="620">
          <cell r="A620" t="str">
            <v>50002_1</v>
          </cell>
        </row>
        <row r="621">
          <cell r="A621" t="str">
            <v>50003_1</v>
          </cell>
        </row>
        <row r="622">
          <cell r="A622" t="str">
            <v>50004_1</v>
          </cell>
        </row>
        <row r="623">
          <cell r="A623" t="str">
            <v>50005_1</v>
          </cell>
        </row>
        <row r="624">
          <cell r="A624" t="str">
            <v>51001_1</v>
          </cell>
        </row>
        <row r="625">
          <cell r="A625" t="str">
            <v>51002_1</v>
          </cell>
        </row>
        <row r="626">
          <cell r="A626" t="str">
            <v>60001_1</v>
          </cell>
        </row>
        <row r="627">
          <cell r="A627" t="str">
            <v>60002_1</v>
          </cell>
        </row>
        <row r="628">
          <cell r="A628" t="str">
            <v>60002_2</v>
          </cell>
        </row>
        <row r="629">
          <cell r="A629" t="str">
            <v>60003_1</v>
          </cell>
        </row>
        <row r="630">
          <cell r="A630" t="str">
            <v>60003_2</v>
          </cell>
        </row>
        <row r="631">
          <cell r="A631" t="str">
            <v>60003_3</v>
          </cell>
        </row>
        <row r="632">
          <cell r="A632" t="str">
            <v>60004_1</v>
          </cell>
        </row>
        <row r="633">
          <cell r="A633" t="str">
            <v>60005_1</v>
          </cell>
        </row>
        <row r="634">
          <cell r="A634" t="str">
            <v>60006_1</v>
          </cell>
        </row>
        <row r="635">
          <cell r="A635" t="str">
            <v>60006_2</v>
          </cell>
        </row>
        <row r="636">
          <cell r="A636" t="str">
            <v>60006_3</v>
          </cell>
        </row>
        <row r="637">
          <cell r="A637" t="str">
            <v>60007_1</v>
          </cell>
        </row>
        <row r="638">
          <cell r="A638" t="str">
            <v>60007_2</v>
          </cell>
        </row>
        <row r="639">
          <cell r="A639" t="str">
            <v>60007_3</v>
          </cell>
        </row>
        <row r="640">
          <cell r="A640" t="str">
            <v>60010_1</v>
          </cell>
        </row>
        <row r="641">
          <cell r="A641" t="str">
            <v>60011_1</v>
          </cell>
        </row>
        <row r="642">
          <cell r="A642" t="str">
            <v>65535_1</v>
          </cell>
        </row>
        <row r="643">
          <cell r="A643" t="str">
            <v>65535_2</v>
          </cell>
        </row>
        <row r="644">
          <cell r="A644" t="str">
            <v>65535_3</v>
          </cell>
        </row>
        <row r="645">
          <cell r="A645" t="str">
            <v>65535_4</v>
          </cell>
        </row>
        <row r="646">
          <cell r="A646" t="str">
            <v>65535_5</v>
          </cell>
        </row>
        <row r="647">
          <cell r="A647" t="str">
            <v>65535_6</v>
          </cell>
        </row>
        <row r="648">
          <cell r="A648" t="str">
            <v>65535_7</v>
          </cell>
        </row>
        <row r="649">
          <cell r="A649" t="str">
            <v>65535_8</v>
          </cell>
        </row>
        <row r="650">
          <cell r="A650" t="str">
            <v>60021_3</v>
          </cell>
        </row>
        <row r="651">
          <cell r="A651" t="str">
            <v>60022_3</v>
          </cell>
        </row>
        <row r="652">
          <cell r="A652" t="str">
            <v>60023_3</v>
          </cell>
        </row>
        <row r="653">
          <cell r="A653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1"/>
  <sheetViews>
    <sheetView workbookViewId="0">
      <selection activeCell="A9" sqref="A9"/>
    </sheetView>
  </sheetViews>
  <sheetFormatPr baseColWidth="12" defaultRowHeight="15" x14ac:dyDescent="0.15"/>
  <cols>
    <col min="2" max="2" width="18" customWidth="1"/>
    <col min="5" max="5" width="36" customWidth="1"/>
    <col min="6" max="6" width="22.1640625" bestFit="1" customWidth="1"/>
  </cols>
  <sheetData>
    <row r="1" spans="1:30" x14ac:dyDescent="0.15">
      <c r="A1" s="58" t="s">
        <v>127</v>
      </c>
      <c r="B1" s="53" t="s">
        <v>98</v>
      </c>
      <c r="C1" s="53" t="s">
        <v>99</v>
      </c>
      <c r="D1" s="53" t="s">
        <v>100</v>
      </c>
      <c r="E1" s="53" t="s">
        <v>101</v>
      </c>
      <c r="F1" s="53" t="s">
        <v>102</v>
      </c>
      <c r="G1" s="53" t="s">
        <v>103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200</v>
      </c>
      <c r="B2" s="55" t="s">
        <v>104</v>
      </c>
      <c r="C2" s="60" t="s">
        <v>185</v>
      </c>
      <c r="D2" s="55" t="s">
        <v>105</v>
      </c>
      <c r="E2" s="54" t="str">
        <f>B2&amp;C2&amp;D2</f>
        <v>floors_1Anniversary.tmp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200</v>
      </c>
      <c r="B3" s="55" t="s">
        <v>107</v>
      </c>
      <c r="C3" s="60" t="str">
        <f t="shared" ref="C3:C11" si="0">C$2</f>
        <v>1Anniversary</v>
      </c>
      <c r="D3" s="55" t="s">
        <v>105</v>
      </c>
      <c r="E3" s="54" t="str">
        <f>B3&amp;C3&amp;D3</f>
        <v>enemy_habitats_1Anniversary.tmp</v>
      </c>
      <c r="F3" s="55" t="s">
        <v>108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150</v>
      </c>
    </row>
    <row r="4" spans="1:30" x14ac:dyDescent="0.15">
      <c r="A4" s="59" t="s">
        <v>200</v>
      </c>
      <c r="B4" s="55" t="s">
        <v>109</v>
      </c>
      <c r="C4" s="60" t="str">
        <f t="shared" si="0"/>
        <v>1Anniversary</v>
      </c>
      <c r="D4" s="55" t="s">
        <v>105</v>
      </c>
      <c r="E4" s="54" t="str">
        <f>B4&amp;C4&amp;D4</f>
        <v>enemy_habitat_S_1Anniversary.tmp</v>
      </c>
      <c r="F4" s="55" t="s">
        <v>110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200</v>
      </c>
      <c r="B5" s="55" t="s">
        <v>111</v>
      </c>
      <c r="C5" s="60" t="str">
        <f t="shared" si="0"/>
        <v>1Anniversary</v>
      </c>
      <c r="D5" s="55" t="s">
        <v>105</v>
      </c>
      <c r="E5" s="54" t="str">
        <f>B5&amp;C5&amp;D5</f>
        <v>enemy_skill_sets_1Anniversary.tmp</v>
      </c>
      <c r="F5" s="55" t="s">
        <v>112</v>
      </c>
      <c r="G5" s="57" t="s">
        <v>22</v>
      </c>
      <c r="H5" s="57" t="s">
        <v>97</v>
      </c>
      <c r="I5" s="57" t="s">
        <v>92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200</v>
      </c>
      <c r="B6" s="55" t="s">
        <v>113</v>
      </c>
      <c r="C6" s="60" t="str">
        <f t="shared" si="0"/>
        <v>1Anniversary</v>
      </c>
      <c r="D6" s="55" t="s">
        <v>114</v>
      </c>
      <c r="E6" s="54" t="str">
        <f t="shared" ref="E6:E9" si="1">B6&amp;C6&amp;D6</f>
        <v>enemy_skills_tmp_1Anniversary.tmp</v>
      </c>
      <c r="F6" s="55" t="s">
        <v>88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200</v>
      </c>
      <c r="B7" s="55" t="s">
        <v>115</v>
      </c>
      <c r="C7" s="60" t="str">
        <f t="shared" si="0"/>
        <v>1Anniversary</v>
      </c>
      <c r="D7" s="55" t="s">
        <v>105</v>
      </c>
      <c r="E7" s="54" t="str">
        <f>B7&amp;C7&amp;D7</f>
        <v>enemy_skills_i18n_1Anniversary.tmp</v>
      </c>
      <c r="F7" s="55" t="s">
        <v>116</v>
      </c>
      <c r="G7" s="56" t="s">
        <v>79</v>
      </c>
      <c r="H7" s="56" t="s">
        <v>89</v>
      </c>
      <c r="I7" s="56" t="s">
        <v>90</v>
      </c>
      <c r="J7" s="56" t="s">
        <v>91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200</v>
      </c>
      <c r="B8" s="55" t="s">
        <v>117</v>
      </c>
      <c r="C8" s="60" t="str">
        <f t="shared" si="0"/>
        <v>1Anniversary</v>
      </c>
      <c r="D8" s="55" t="s">
        <v>118</v>
      </c>
      <c r="E8" s="54" t="str">
        <f t="shared" si="1"/>
        <v>enemy_skill_triggers_1Anniversary.tmp</v>
      </c>
      <c r="F8" s="55" t="s">
        <v>119</v>
      </c>
      <c r="G8" s="56" t="s">
        <v>92</v>
      </c>
      <c r="H8" s="56" t="s">
        <v>93</v>
      </c>
      <c r="I8" s="56" t="s">
        <v>94</v>
      </c>
      <c r="J8" s="56" t="s">
        <v>95</v>
      </c>
      <c r="K8" s="56" t="s">
        <v>120</v>
      </c>
      <c r="L8" s="56" t="s">
        <v>96</v>
      </c>
      <c r="M8" s="56" t="s">
        <v>121</v>
      </c>
      <c r="N8" s="56" t="s">
        <v>122</v>
      </c>
      <c r="O8" s="56" t="s">
        <v>123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s="68" customFormat="1" x14ac:dyDescent="0.15">
      <c r="A9" s="134" t="s">
        <v>200</v>
      </c>
      <c r="B9" s="63" t="s">
        <v>219</v>
      </c>
      <c r="C9" s="60" t="str">
        <f t="shared" si="0"/>
        <v>1Anniversary</v>
      </c>
      <c r="D9" s="63" t="s">
        <v>152</v>
      </c>
      <c r="E9" s="64" t="str">
        <f t="shared" si="1"/>
        <v>stage_hints_data_1Anniversary.tmp</v>
      </c>
      <c r="F9" s="63" t="s">
        <v>180</v>
      </c>
      <c r="G9" s="66" t="s">
        <v>153</v>
      </c>
      <c r="H9" s="66" t="s">
        <v>149</v>
      </c>
      <c r="I9" s="67" t="s">
        <v>154</v>
      </c>
      <c r="J9" s="62" t="s">
        <v>155</v>
      </c>
      <c r="K9" s="62" t="s">
        <v>156</v>
      </c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</row>
    <row r="10" spans="1:30" s="68" customFormat="1" x14ac:dyDescent="0.15">
      <c r="A10" s="125" t="s">
        <v>159</v>
      </c>
      <c r="B10" s="63" t="s">
        <v>173</v>
      </c>
      <c r="C10" s="60" t="str">
        <f t="shared" si="0"/>
        <v>1Anniversary</v>
      </c>
      <c r="D10" s="63" t="s">
        <v>148</v>
      </c>
      <c r="E10" s="64" t="str">
        <f t="shared" ref="E10:E11" si="2">B10&amp;C10&amp;D10</f>
        <v>stage_hints_data_f_1Anniversary.tmp</v>
      </c>
      <c r="F10" s="63" t="s">
        <v>182</v>
      </c>
      <c r="G10" s="66" t="s">
        <v>153</v>
      </c>
      <c r="H10" s="66" t="s">
        <v>149</v>
      </c>
      <c r="I10" s="67" t="s">
        <v>154</v>
      </c>
      <c r="J10" s="62" t="s">
        <v>155</v>
      </c>
      <c r="K10" s="62" t="s">
        <v>156</v>
      </c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</row>
    <row r="11" spans="1:30" s="68" customFormat="1" x14ac:dyDescent="0.15">
      <c r="A11" s="134" t="s">
        <v>200</v>
      </c>
      <c r="B11" s="63" t="s">
        <v>174</v>
      </c>
      <c r="C11" s="60" t="str">
        <f t="shared" si="0"/>
        <v>1Anniversary</v>
      </c>
      <c r="D11" s="63" t="s">
        <v>148</v>
      </c>
      <c r="E11" s="64" t="str">
        <f t="shared" si="2"/>
        <v>stage_hints_i18n_1Anniversary.tmp</v>
      </c>
      <c r="F11" s="63" t="s">
        <v>180</v>
      </c>
      <c r="G11" s="67" t="s">
        <v>175</v>
      </c>
      <c r="H11" s="85" t="s">
        <v>176</v>
      </c>
      <c r="I11" s="66" t="s">
        <v>177</v>
      </c>
      <c r="J11" s="87" t="s">
        <v>178</v>
      </c>
      <c r="K11" s="62" t="s">
        <v>179</v>
      </c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"/>
  <sheetViews>
    <sheetView showGridLines="0" workbookViewId="0">
      <pane ySplit="1" topLeftCell="A2" activePane="bottomLeft" state="frozen"/>
      <selection activeCell="V2" sqref="V2:X34"/>
      <selection pane="bottomLeft" activeCell="A4" sqref="A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11226_1-1</v>
      </c>
      <c r="B2" s="16" t="str">
        <f>IF(COUNTIF(enemy_habitats!$H:$H,A2),"OK","NG")</f>
        <v>OK</v>
      </c>
      <c r="C2" s="7">
        <v>11226</v>
      </c>
      <c r="D2" s="11" t="str">
        <f ca="1">VLOOKUP($C2,OFFSET([2]quests!$A$1,0,0,COUNTA([2]quests!$A:$A),MATCH(D$1,[2]quests!$1:$1,0)-MATCH($C$1,[2]quests!$1:$1,0)+1),MATCH(D$1,[2]quests!$1:$1,0)-MATCH($C$1,[2]quests!$1:$1,0)+1,FALSE)</f>
        <v>1周年記念★特別クエスト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1周年記念★特別クエスト</v>
      </c>
      <c r="F2" s="21">
        <v>1</v>
      </c>
      <c r="G2" s="23" t="str">
        <f>C2&amp;"_"&amp;F2</f>
        <v>11226_1</v>
      </c>
      <c r="H2" s="15" t="str">
        <f ca="1">VLOOKUP($G2,OFFSET([2]stages!$A$1,0,0,COUNTA([2]stages!$A:$A),MATCH(H$1,[2]stages!$2:$2,0)-MATCH($G$1,[2]stages!$2:$2,0)+1),MATCH(H$1,[2]stages!$2:$2,0)-MATCH($G$1,[2]stages!$2:$2,0)+1,FALSE)</f>
        <v>1周年のキセキ</v>
      </c>
      <c r="I2" s="21">
        <v>1</v>
      </c>
      <c r="J2" s="12">
        <v>60</v>
      </c>
      <c r="K2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zoomScale="90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7" sqref="A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20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2.332031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88" t="s">
        <v>183</v>
      </c>
      <c r="U1" s="26" t="s">
        <v>50</v>
      </c>
      <c r="V1" s="88" t="s">
        <v>184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151</v>
      </c>
    </row>
    <row r="2" spans="1:42" ht="21" customHeight="1" x14ac:dyDescent="0.15">
      <c r="A2" s="16" t="str">
        <f t="shared" ref="A2" si="0">B2&amp;"_"&amp;C2&amp;"-"&amp;G2&amp;"/"&amp;L2&amp;"&lt;lv"&amp;R2&amp;"&gt;s"&amp;AC2</f>
        <v>11226_1-1/1079&lt;lv1&gt;s1</v>
      </c>
      <c r="B2" s="22">
        <v>11226</v>
      </c>
      <c r="C2" s="21">
        <v>1</v>
      </c>
      <c r="D2" s="21">
        <v>1</v>
      </c>
      <c r="E2" s="21">
        <v>1</v>
      </c>
      <c r="F2" s="21">
        <v>1</v>
      </c>
      <c r="G2" s="21">
        <v>1</v>
      </c>
      <c r="H2" s="15" t="str">
        <f t="shared" ref="H2" si="1">B2&amp;"_"&amp;C2&amp;"-"&amp;G2</f>
        <v>11226_1-1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1079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炎のアニバーサリーダック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</v>
      </c>
      <c r="S2" s="25">
        <v>10</v>
      </c>
      <c r="T2" s="8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39950</v>
      </c>
      <c r="U2" s="25">
        <v>1</v>
      </c>
      <c r="V2" s="8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265</v>
      </c>
      <c r="W2" s="5">
        <v>65355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お祝いするグヮ！</v>
      </c>
      <c r="Y2" s="133">
        <v>11226010</v>
      </c>
      <c r="Z2" s="6">
        <v>0</v>
      </c>
      <c r="AA2" s="6">
        <v>25</v>
      </c>
      <c r="AB2" s="6">
        <v>1</v>
      </c>
      <c r="AC2" s="17">
        <v>1</v>
      </c>
      <c r="AD2" s="24">
        <f t="shared" ref="AD2" si="2">L2</f>
        <v>1079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炎のアニバーサリーダック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6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" s="7">
        <v>1</v>
      </c>
      <c r="AI2" s="24">
        <f t="shared" ref="AI2" ca="1" si="3">AF2</f>
        <v>6</v>
      </c>
      <c r="AJ2" s="8">
        <v>100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5">
        <v>1</v>
      </c>
    </row>
    <row r="3" spans="1:42" ht="21" customHeight="1" x14ac:dyDescent="0.15">
      <c r="A3" s="16" t="str">
        <f t="shared" ref="A3:A5" si="4">B3&amp;"_"&amp;C3&amp;"-"&amp;G3&amp;"/"&amp;L3&amp;"&lt;lv"&amp;R3&amp;"&gt;s"&amp;AC3</f>
        <v>11226_1-1/1080&lt;lv1&gt;s1</v>
      </c>
      <c r="B3" s="22">
        <v>11226</v>
      </c>
      <c r="C3" s="21">
        <v>1</v>
      </c>
      <c r="D3" s="21">
        <v>1</v>
      </c>
      <c r="E3" s="21">
        <v>1</v>
      </c>
      <c r="F3" s="21">
        <v>1</v>
      </c>
      <c r="G3" s="21">
        <v>1</v>
      </c>
      <c r="H3" s="15" t="str">
        <f t="shared" ref="H3:H5" si="5">B3&amp;"_"&amp;C3&amp;"-"&amp;G3</f>
        <v>11226_1-1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1080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森のアニバーサリーダック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1</v>
      </c>
      <c r="S3" s="25">
        <v>10</v>
      </c>
      <c r="T3" s="8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32500</v>
      </c>
      <c r="U3" s="25">
        <v>1</v>
      </c>
      <c r="V3" s="8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284</v>
      </c>
      <c r="W3" s="5">
        <v>65355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お祝いするグヮ！</v>
      </c>
      <c r="Y3" s="133">
        <v>11226010</v>
      </c>
      <c r="Z3" s="6">
        <v>0</v>
      </c>
      <c r="AA3" s="6">
        <v>25</v>
      </c>
      <c r="AB3" s="6">
        <v>1</v>
      </c>
      <c r="AC3" s="17">
        <v>1</v>
      </c>
      <c r="AD3" s="24">
        <f t="shared" ref="AD3:AD5" si="6">L3</f>
        <v>1080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森のアニバーサリーダック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3" s="7">
        <v>1</v>
      </c>
      <c r="AI3" s="24">
        <f t="shared" ref="AI3:AI5" ca="1" si="7">AF3</f>
        <v>6</v>
      </c>
      <c r="AJ3" s="8">
        <v>100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5">
        <v>1</v>
      </c>
    </row>
    <row r="4" spans="1:42" ht="21" customHeight="1" x14ac:dyDescent="0.15">
      <c r="A4" s="16" t="str">
        <f t="shared" si="4"/>
        <v>11226_1-1/1081&lt;lv1&gt;s1</v>
      </c>
      <c r="B4" s="22">
        <v>11226</v>
      </c>
      <c r="C4" s="21">
        <v>1</v>
      </c>
      <c r="D4" s="21">
        <v>1</v>
      </c>
      <c r="E4" s="21">
        <v>1</v>
      </c>
      <c r="F4" s="21">
        <v>1</v>
      </c>
      <c r="G4" s="21">
        <v>1</v>
      </c>
      <c r="H4" s="15" t="str">
        <f t="shared" si="5"/>
        <v>11226_1-1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1081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水のアニバーサリーダック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10</v>
      </c>
      <c r="T4" s="8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42500</v>
      </c>
      <c r="U4" s="25">
        <v>1</v>
      </c>
      <c r="V4" s="8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306</v>
      </c>
      <c r="W4" s="5">
        <v>65355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お祝いするグヮ！</v>
      </c>
      <c r="Y4" s="133">
        <v>11226010</v>
      </c>
      <c r="Z4" s="6">
        <v>0</v>
      </c>
      <c r="AA4" s="6">
        <v>25</v>
      </c>
      <c r="AB4" s="6">
        <v>1</v>
      </c>
      <c r="AC4" s="17">
        <v>1</v>
      </c>
      <c r="AD4" s="24">
        <f t="shared" si="6"/>
        <v>1081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水のアニバーサリーダック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6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4" s="7">
        <v>1</v>
      </c>
      <c r="AI4" s="24">
        <f t="shared" ca="1" si="7"/>
        <v>6</v>
      </c>
      <c r="AJ4" s="8">
        <v>100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5">
        <v>1</v>
      </c>
    </row>
    <row r="5" spans="1:42" ht="21" customHeight="1" x14ac:dyDescent="0.15">
      <c r="A5" s="16" t="str">
        <f t="shared" si="4"/>
        <v>11226_1-1/1082&lt;lv1&gt;s1</v>
      </c>
      <c r="B5" s="22">
        <v>11226</v>
      </c>
      <c r="C5" s="21">
        <v>1</v>
      </c>
      <c r="D5" s="21">
        <v>1</v>
      </c>
      <c r="E5" s="21">
        <v>1</v>
      </c>
      <c r="F5" s="21">
        <v>1</v>
      </c>
      <c r="G5" s="21">
        <v>1</v>
      </c>
      <c r="H5" s="15" t="str">
        <f t="shared" si="5"/>
        <v>11226_1-1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1082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雷のアニバーサリーダック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1</v>
      </c>
      <c r="S5" s="25">
        <v>10</v>
      </c>
      <c r="T5" s="8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37380</v>
      </c>
      <c r="U5" s="25">
        <v>1</v>
      </c>
      <c r="V5" s="8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273</v>
      </c>
      <c r="W5" s="5">
        <v>65355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お祝いするグヮ！</v>
      </c>
      <c r="Y5" s="133">
        <v>11226010</v>
      </c>
      <c r="Z5" s="6">
        <v>0</v>
      </c>
      <c r="AA5" s="6">
        <v>25</v>
      </c>
      <c r="AB5" s="6">
        <v>1</v>
      </c>
      <c r="AC5" s="17">
        <v>1</v>
      </c>
      <c r="AD5" s="24">
        <f t="shared" si="6"/>
        <v>1082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雷のアニバーサリーダック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5" s="7">
        <v>1</v>
      </c>
      <c r="AI5" s="24">
        <f t="shared" ca="1" si="7"/>
        <v>6</v>
      </c>
      <c r="AJ5" s="8">
        <v>100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5">
        <v>1</v>
      </c>
    </row>
    <row r="6" spans="1:42" ht="21" customHeight="1" x14ac:dyDescent="0.15">
      <c r="D6" s="3"/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88" zoomScaleNormal="75" zoomScalePageLayoutView="75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M24" sqref="M2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3.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5.6640625" style="3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33" t="s">
        <v>0</v>
      </c>
      <c r="C1" s="33" t="s">
        <v>1</v>
      </c>
      <c r="D1" s="95" t="s">
        <v>28</v>
      </c>
      <c r="E1" s="95" t="s">
        <v>16</v>
      </c>
      <c r="F1" s="95" t="s">
        <v>16</v>
      </c>
      <c r="G1" s="33" t="s">
        <v>19</v>
      </c>
      <c r="H1" s="95" t="s">
        <v>30</v>
      </c>
      <c r="I1" s="95" t="s">
        <v>14</v>
      </c>
      <c r="J1" s="95" t="s">
        <v>15</v>
      </c>
      <c r="K1" s="96" t="s">
        <v>54</v>
      </c>
      <c r="L1" s="96" t="s">
        <v>55</v>
      </c>
      <c r="M1" s="96" t="s">
        <v>2</v>
      </c>
      <c r="N1" s="97" t="s">
        <v>16</v>
      </c>
      <c r="O1" s="95" t="s">
        <v>24</v>
      </c>
      <c r="P1" s="95" t="s">
        <v>23</v>
      </c>
      <c r="Q1" s="98" t="s">
        <v>26</v>
      </c>
      <c r="R1" s="95" t="s">
        <v>25</v>
      </c>
      <c r="S1" s="33" t="s">
        <v>3</v>
      </c>
      <c r="T1" s="33" t="s">
        <v>48</v>
      </c>
      <c r="U1" s="99" t="s">
        <v>183</v>
      </c>
      <c r="V1" s="33" t="s">
        <v>50</v>
      </c>
      <c r="W1" s="99" t="s">
        <v>184</v>
      </c>
      <c r="X1" s="33" t="s">
        <v>52</v>
      </c>
      <c r="Y1" s="33" t="s">
        <v>126</v>
      </c>
      <c r="Z1" s="95" t="s">
        <v>125</v>
      </c>
      <c r="AA1" s="33" t="s">
        <v>8</v>
      </c>
    </row>
    <row r="2" spans="1:27" ht="21" customHeight="1" x14ac:dyDescent="0.15">
      <c r="A2" s="100" t="str">
        <f t="shared" ref="A2" si="0">B2&amp;"_"&amp;C2&amp;"-"&amp;G2&amp;"/"&amp;M2&amp;"&lt;lv"&amp;S2&amp;"&gt;sq"&amp;K2&amp;"st"&amp;L2</f>
        <v>_-/&lt;lv&gt;sqst</v>
      </c>
      <c r="B2" s="101"/>
      <c r="C2" s="91"/>
      <c r="D2" s="15"/>
      <c r="E2" s="18"/>
      <c r="F2" s="18"/>
      <c r="G2" s="91"/>
      <c r="H2" s="15"/>
      <c r="I2" s="18"/>
      <c r="J2" s="18"/>
      <c r="K2" s="38"/>
      <c r="L2" s="38"/>
      <c r="M2" s="92"/>
      <c r="N2" s="18" t="e">
        <f ca="1">VLOOKUP($M2,OFFSET([3]enemies!$A$1,0,0,COUNTA([3]enemies!$A:$A),MATCH(N$1,[3]enemies!$1:$1,0)-MATCH($M$1,[3]enemies!$1:$1,0)+1),MATCH(N$1,[3]enemies!$1:$1,0)-MATCH($M$1,[3]enemies!$1:$1,0)+1,FALSE)</f>
        <v>#N/A</v>
      </c>
      <c r="O2" s="18" t="e">
        <f ca="1">VLOOKUP($M2,OFFSET([3]enemies!$A$1,0,0,COUNTA([3]enemies!$A:$A),MATCH(O$1,[3]enemies!$1:$1,0)-MATCH($M$1,[3]enemies!$1:$1,0)+1),MATCH(O$1,[3]enemies!$1:$1,0)-MATCH($M$1,[3]enemies!$1:$1,0)+1,FALSE)</f>
        <v>#N/A</v>
      </c>
      <c r="P2" s="18" t="e">
        <f ca="1">VLOOKUP($M2,OFFSET([4]characters!$A$1,0,0,COUNTA([4]characters!$A:$A),MATCH(P$1,[4]characters!$1:$1,0)-MATCH($M$1,[4]characters!$1:$1,0)+1),MATCH(P$1,[4]characters!$1:$1,0)-MATCH($M$1,[4]characters!$1:$1,0)+1,FALSE)</f>
        <v>#N/A</v>
      </c>
      <c r="Q2" s="18" t="e">
        <f ca="1">VLOOKUP($M2,OFFSET([3]enemies!$A$1,0,0,COUNTA([3]enemies!$A:$A),MATCH(Q$1,[3]enemies!$1:$1,0)-MATCH($M$1,[3]enemies!$1:$1,0)+1),MATCH(Q$1,[3]enemies!$1:$1,0)-MATCH($M$1,[3]enemies!$1:$1,0)+1,FALSE)</f>
        <v>#N/A</v>
      </c>
      <c r="R2" s="18" t="e">
        <f ca="1">VLOOKUP($M2,OFFSET([3]enemies!$A$1,0,0,COUNTA([3]enemies!$A:$A),MATCH(R$1,[3]enemies!$1:$1,0)-MATCH($M$1,[3]enemies!$1:$1,0)+1),MATCH(R$1,[3]enemies!$1:$1,0)-MATCH($M$1,[3]enemies!$1:$1,0)+1,FALSE)</f>
        <v>#N/A</v>
      </c>
      <c r="S2" s="102"/>
      <c r="T2" s="103"/>
      <c r="U2" s="89" t="e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#N/A</v>
      </c>
      <c r="V2" s="103"/>
      <c r="W2" s="89" t="e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#N/A</v>
      </c>
      <c r="X2" s="102"/>
      <c r="Y2" s="18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124"/>
      <c r="AA2" s="18"/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B2" sqref="B2"/>
    </sheetView>
  </sheetViews>
  <sheetFormatPr baseColWidth="12" defaultColWidth="12.83203125" defaultRowHeight="21" customHeight="1" outlineLevelCol="1" x14ac:dyDescent="0.15"/>
  <cols>
    <col min="1" max="1" width="16.83203125" style="39" customWidth="1"/>
    <col min="2" max="2" width="9.5" style="49" bestFit="1" customWidth="1"/>
    <col min="3" max="3" width="9.6640625" style="49" customWidth="1"/>
    <col min="4" max="4" width="25" style="49" customWidth="1" outlineLevel="1"/>
    <col min="5" max="5" width="44.1640625" style="49" bestFit="1" customWidth="1" outlineLevel="1"/>
    <col min="6" max="6" width="14.6640625" style="49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11226010_112260010</v>
      </c>
      <c r="B2" s="117">
        <v>11226010</v>
      </c>
      <c r="C2" s="117">
        <v>112260010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クラッシュフィーバーは_x000D_ついに1周年を迎えたグヮ！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お祝いするグヮ！</v>
      </c>
      <c r="F2" s="47">
        <v>112260000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11226010_112260015</v>
      </c>
      <c r="B3" s="117">
        <v>11226010</v>
      </c>
      <c r="C3" s="128">
        <v>112260015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クラッシュフィーバーは_x000D_ついに1周年を迎えたグヮ！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お祝いするグヮ！</v>
      </c>
      <c r="F3" s="47">
        <v>112260000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11226010_112260020</v>
      </c>
      <c r="B4" s="117">
        <v>11226010</v>
      </c>
      <c r="C4" s="117">
        <v>112260020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1年間の感謝の気持ちを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受け取ってほしいグヮ！</v>
      </c>
      <c r="F4" s="47">
        <v>112260005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" si="3">B5&amp;"_"&amp;C5</f>
        <v>11226010_112260030</v>
      </c>
      <c r="B5" s="117">
        <v>11226010</v>
      </c>
      <c r="C5" s="117">
        <v>112260030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色々あったこの１年間…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振り返れるようにしといたグヮ！</v>
      </c>
      <c r="F5" s="47">
        <v>112260006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4">B6&amp;"_"&amp;C6</f>
        <v>11226010_112260050</v>
      </c>
      <c r="B6" s="117">
        <v>11226010</v>
      </c>
      <c r="C6" s="117">
        <v>112260050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[player_name]のこと_x000D_いつでも待ってるグワッ！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これからもよろしくグヮ！</v>
      </c>
      <c r="F6" s="47">
        <v>112260007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"/>
  <sheetViews>
    <sheetView showGridLines="0" zoomScale="94" zoomScaleNormal="75" zoomScalePageLayoutView="75" workbookViewId="0">
      <pane ySplit="1" topLeftCell="A2" activePane="bottomLeft" state="frozenSplit"/>
      <selection pane="bottomLeft" activeCell="C6" sqref="C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71.6640625" style="49" customWidth="1"/>
    <col min="3" max="4" width="12.83203125" style="49"/>
    <col min="5" max="5" width="28.33203125" style="49" bestFit="1" customWidth="1"/>
    <col min="6" max="6" width="32.6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124</v>
      </c>
      <c r="E1" s="40" t="s">
        <v>82</v>
      </c>
      <c r="F1" s="40" t="s">
        <v>83</v>
      </c>
      <c r="G1" s="41" t="s">
        <v>129</v>
      </c>
      <c r="H1" s="41" t="s">
        <v>135</v>
      </c>
      <c r="I1" s="41" t="s">
        <v>137</v>
      </c>
      <c r="J1" s="41" t="s">
        <v>136</v>
      </c>
      <c r="K1" s="41" t="s">
        <v>138</v>
      </c>
      <c r="L1" s="41" t="s">
        <v>130</v>
      </c>
      <c r="M1" s="41" t="s">
        <v>128</v>
      </c>
      <c r="N1" s="41" t="s">
        <v>131</v>
      </c>
      <c r="O1" s="41" t="s">
        <v>139</v>
      </c>
      <c r="P1" s="41" t="s">
        <v>140</v>
      </c>
      <c r="Q1" s="41" t="s">
        <v>141</v>
      </c>
      <c r="R1" s="41" t="s">
        <v>142</v>
      </c>
      <c r="S1" s="41" t="s">
        <v>132</v>
      </c>
      <c r="T1" s="41" t="s">
        <v>133</v>
      </c>
      <c r="U1" s="41" t="s">
        <v>143</v>
      </c>
      <c r="V1" s="41" t="s">
        <v>144</v>
      </c>
      <c r="W1" s="41" t="s">
        <v>145</v>
      </c>
      <c r="X1" s="41" t="s">
        <v>146</v>
      </c>
      <c r="Y1" s="41" t="s">
        <v>134</v>
      </c>
      <c r="Z1" s="41" t="s">
        <v>76</v>
      </c>
      <c r="AA1" s="41" t="s">
        <v>77</v>
      </c>
      <c r="AB1" s="41" t="s">
        <v>78</v>
      </c>
    </row>
    <row r="2" spans="1:28" ht="35" customHeight="1" x14ac:dyDescent="0.15">
      <c r="A2" s="117">
        <v>112260010</v>
      </c>
      <c r="B2" s="47" t="s">
        <v>208</v>
      </c>
      <c r="C2" s="50">
        <v>3</v>
      </c>
      <c r="D2" s="50" t="s">
        <v>186</v>
      </c>
      <c r="E2" s="123" t="s">
        <v>206</v>
      </c>
      <c r="F2" s="118" t="s">
        <v>204</v>
      </c>
      <c r="G2" s="61" t="str">
        <f t="shared" ref="G2:G5" si="0">IFERROR(LEFT(B2,FIND("],",B2)),B2)</f>
        <v>[effect:crash_condition, target:unit_all, val:50, turn:-1, ]</v>
      </c>
      <c r="H2" s="61">
        <f t="shared" ref="H2:H5" si="1">FIND("effect:",G2)+7</f>
        <v>9</v>
      </c>
      <c r="I2" s="61">
        <f t="shared" ref="I2:I5" si="2">IFERROR(FIND(",",G2),LEN(G2))</f>
        <v>24</v>
      </c>
      <c r="J2" s="61">
        <f t="shared" ref="J2:J5" si="3">FIND("target:",G2)+7</f>
        <v>33</v>
      </c>
      <c r="K2" s="61">
        <f t="shared" ref="K2:K5" si="4">FIND(",",G2,I2+1)</f>
        <v>41</v>
      </c>
      <c r="L2" s="61" t="str">
        <f>IFERROR(VLOOKUP(MID(G2,J2,K2-J2),[6]skilldef!$C:$D,2,FALSE),"-") &amp; " / " &amp; IFERROR(VLOOKUP(MID(G2,H2,I2-H2),[6]skilldef!$A:$B,2,FALSE),"-")</f>
        <v>味方全体に / -</v>
      </c>
      <c r="M2" s="61" t="str">
        <f t="shared" ref="M2:M5" si="5">IFERROR(RIGHT(B2,LEN(B2)-FIND("],",B2)-1),"none")</f>
        <v>[effect:hungup, target:unit_all, turn:-1, rate:1, ],[effect:fix_speed, target:myself, turn:1]</v>
      </c>
      <c r="N2" s="48" t="str">
        <f>IFERROR(LEFT(M2,FIND("],",M2)+S13),M2)</f>
        <v>[effect:hungup, target:unit_all, turn:-1, rate:1, ]</v>
      </c>
      <c r="O2" s="61">
        <f t="shared" ref="O2:O5" si="6">FIND("effect:",N2)+7</f>
        <v>9</v>
      </c>
      <c r="P2" s="61">
        <f t="shared" ref="P2:P5" si="7">IFERROR(FIND(",",N2),LEN(N2))</f>
        <v>15</v>
      </c>
      <c r="Q2" s="61">
        <f t="shared" ref="Q2:Q5" si="8">FIND("target:",N2)+7</f>
        <v>24</v>
      </c>
      <c r="R2" s="61">
        <f t="shared" ref="R2:R5" si="9">FIND(",",N2,P2+1)</f>
        <v>32</v>
      </c>
      <c r="S2" s="61" t="str">
        <f>IFERROR(VLOOKUP(MID(N2,Q2,R2-Q2),[6]skilldef!$C:$D,2,FALSE),"-") &amp; " / " &amp; IFERROR(VLOOKUP(MID(N2,O2,P2-O2),[6]skilldef!$A:$B,2,FALSE),"-")</f>
        <v>味方全体に / ハングアップ</v>
      </c>
      <c r="T2" s="48" t="str">
        <f t="shared" ref="T2:T5" si="10">IFERROR(RIGHT(M2,LEN(M2)-FIND("],",M2)-1),"none")</f>
        <v>[effect:fix_speed, target:myself, turn:1]</v>
      </c>
      <c r="U2" s="61">
        <f t="shared" ref="U2:U5" si="11">FIND("effect:",T2)+7</f>
        <v>9</v>
      </c>
      <c r="V2" s="61">
        <f t="shared" ref="V2:V5" si="12">IFERROR(FIND(",",T2),LEN(T2))</f>
        <v>18</v>
      </c>
      <c r="W2" s="61">
        <f t="shared" ref="W2:W5" si="13">FIND("target:",T2)+7</f>
        <v>27</v>
      </c>
      <c r="X2" s="61">
        <f t="shared" ref="X2:X5" si="14">FIND(",",T2,V2+1)</f>
        <v>33</v>
      </c>
      <c r="Y2" s="61" t="str">
        <f>IFERROR(VLOOKUP(MID(T2,W2,X2-W2),[6]skilldef!$C:$D,2,FALSE),"-") &amp; " / " &amp; IFERROR(VLOOKUP(MID(T2,U2,V2-U2),[6]skilldef!$A:$B,2,FALSE),"-")</f>
        <v>自分自身に / 行動値設定</v>
      </c>
      <c r="Z2" s="50"/>
      <c r="AA2" s="51"/>
      <c r="AB2" s="50"/>
    </row>
    <row r="3" spans="1:28" ht="35" customHeight="1" x14ac:dyDescent="0.15">
      <c r="A3" s="128">
        <v>112260015</v>
      </c>
      <c r="B3" s="47" t="s">
        <v>216</v>
      </c>
      <c r="C3" s="130">
        <v>0</v>
      </c>
      <c r="D3" s="50" t="s">
        <v>170</v>
      </c>
      <c r="E3" s="129" t="s">
        <v>207</v>
      </c>
      <c r="F3" s="129" t="s">
        <v>203</v>
      </c>
      <c r="G3" s="61" t="str">
        <f t="shared" ref="G3" si="15">IFERROR(LEFT(B3,FIND("],",B3)),B3)</f>
        <v>[effect:crash_condition, target:unit_all, val:50, turn:-1, ]</v>
      </c>
      <c r="H3" s="61">
        <f t="shared" ref="H3" si="16">FIND("effect:",G3)+7</f>
        <v>9</v>
      </c>
      <c r="I3" s="61">
        <f t="shared" ref="I3" si="17">IFERROR(FIND(",",G3),LEN(G3))</f>
        <v>24</v>
      </c>
      <c r="J3" s="61">
        <f t="shared" ref="J3" si="18">FIND("target:",G3)+7</f>
        <v>33</v>
      </c>
      <c r="K3" s="61">
        <f t="shared" ref="K3" si="19">FIND(",",G3,I3+1)</f>
        <v>41</v>
      </c>
      <c r="L3" s="61" t="str">
        <f>IFERROR(VLOOKUP(MID(G3,J3,K3-J3),[6]skilldef!$C:$D,2,FALSE),"-") &amp; " / " &amp; IFERROR(VLOOKUP(MID(G3,H3,I3-H3),[6]skilldef!$A:$B,2,FALSE),"-")</f>
        <v>味方全体に / -</v>
      </c>
      <c r="M3" s="61" t="str">
        <f t="shared" ref="M3" si="20">IFERROR(RIGHT(B3,LEN(B3)-FIND("],",B3)-1),"none")</f>
        <v>[effect:hungup, target:unit_all, turn:-1, rate:1, ],[effect:ability_lock, target:unit_all, turn:-1]</v>
      </c>
      <c r="N3" s="48" t="str">
        <f>IFERROR(LEFT(M3,FIND("],",M3)+S14),M3)</f>
        <v>[effect:hungup, target:unit_all, turn:-1, rate:1, ]</v>
      </c>
      <c r="O3" s="61">
        <f t="shared" ref="O3" si="21">FIND("effect:",N3)+7</f>
        <v>9</v>
      </c>
      <c r="P3" s="61">
        <f t="shared" ref="P3" si="22">IFERROR(FIND(",",N3),LEN(N3))</f>
        <v>15</v>
      </c>
      <c r="Q3" s="61">
        <f t="shared" ref="Q3" si="23">FIND("target:",N3)+7</f>
        <v>24</v>
      </c>
      <c r="R3" s="61">
        <f t="shared" ref="R3" si="24">FIND(",",N3,P3+1)</f>
        <v>32</v>
      </c>
      <c r="S3" s="61" t="str">
        <f>IFERROR(VLOOKUP(MID(N3,Q3,R3-Q3),[6]skilldef!$C:$D,2,FALSE),"-") &amp; " / " &amp; IFERROR(VLOOKUP(MID(N3,O3,P3-O3),[6]skilldef!$A:$B,2,FALSE),"-")</f>
        <v>味方全体に / ハングアップ</v>
      </c>
      <c r="T3" s="48" t="str">
        <f t="shared" ref="T3" si="25">IFERROR(RIGHT(M3,LEN(M3)-FIND("],",M3)-1),"none")</f>
        <v>[effect:ability_lock, target:unit_all, turn:-1]</v>
      </c>
      <c r="U3" s="61">
        <f t="shared" ref="U3" si="26">FIND("effect:",T3)+7</f>
        <v>9</v>
      </c>
      <c r="V3" s="61">
        <f t="shared" ref="V3" si="27">IFERROR(FIND(",",T3),LEN(T3))</f>
        <v>21</v>
      </c>
      <c r="W3" s="61">
        <f t="shared" ref="W3" si="28">FIND("target:",T3)+7</f>
        <v>30</v>
      </c>
      <c r="X3" s="61">
        <f t="shared" ref="X3" si="29">FIND(",",T3,V3+1)</f>
        <v>38</v>
      </c>
      <c r="Y3" s="61" t="str">
        <f>IFERROR(VLOOKUP(MID(T3,W3,X3-W3),[6]skilldef!$C:$D,2,FALSE),"-") &amp; " / " &amp; IFERROR(VLOOKUP(MID(T3,U3,V3-U3),[6]skilldef!$A:$B,2,FALSE),"-")</f>
        <v>味方全体に / -</v>
      </c>
      <c r="Z3" s="50"/>
      <c r="AA3" s="51"/>
      <c r="AB3" s="127" t="s">
        <v>202</v>
      </c>
    </row>
    <row r="4" spans="1:28" ht="21" customHeight="1" x14ac:dyDescent="0.15">
      <c r="A4" s="117">
        <v>112260020</v>
      </c>
      <c r="B4" s="47" t="s">
        <v>209</v>
      </c>
      <c r="C4" s="50">
        <v>3</v>
      </c>
      <c r="D4" s="50" t="s">
        <v>186</v>
      </c>
      <c r="E4" s="118" t="s">
        <v>205</v>
      </c>
      <c r="F4" s="117" t="s">
        <v>199</v>
      </c>
      <c r="G4" s="61"/>
      <c r="H4" s="61"/>
      <c r="I4" s="61"/>
      <c r="J4" s="61"/>
      <c r="K4" s="61"/>
      <c r="L4" s="61" t="str">
        <f>IFERROR(VLOOKUP(MID(G4,J4,K4-J4),[6]skilldef!$C:$D,2,FALSE),"-") &amp; " / " &amp; IFERROR(VLOOKUP(MID(G4,H4,I4-H4),[6]skilldef!$A:$B,2,FALSE),"-")</f>
        <v>- / -</v>
      </c>
      <c r="M4" s="61" t="str">
        <f>IFERROR(RIGHT(B4,LEN(B4)-FIND("],",B4)-1),"none")</f>
        <v>[effect:fix_speed, target:myself, turn:1],[effect:force_change_block, new_block:block_heart, target:block_all, color:block_heart, count:0, val:0.0]</v>
      </c>
      <c r="N4" s="48" t="str">
        <f>IFERROR(LEFT(M4,FIND("],",M4)+S30),M4)</f>
        <v>[effect:fix_speed, target:myself, turn:1]</v>
      </c>
      <c r="O4" s="61">
        <f>FIND("effect:",N4)+7</f>
        <v>9</v>
      </c>
      <c r="P4" s="61">
        <f>IFERROR(FIND(",",N4),LEN(N4))</f>
        <v>18</v>
      </c>
      <c r="Q4" s="61">
        <f>FIND("target:",N4)+7</f>
        <v>27</v>
      </c>
      <c r="R4" s="61">
        <f>FIND(",",N4,P4+1)</f>
        <v>33</v>
      </c>
      <c r="S4" s="61" t="str">
        <f>IFERROR(VLOOKUP(MID(N4,Q4,R4-Q4),[6]skilldef!$C:$D,2,FALSE),"-") &amp; " / " &amp; IFERROR(VLOOKUP(MID(N4,O4,P4-O4),[6]skilldef!$A:$B,2,FALSE),"-")</f>
        <v>自分自身に / 行動値設定</v>
      </c>
      <c r="T4" s="48" t="str">
        <f>IFERROR(RIGHT(M4,LEN(M4)-FIND("],",M4)-1),"none")</f>
        <v>[effect:force_change_block, new_block:block_heart, target:block_all, color:block_heart, count:0, val:0.0]</v>
      </c>
      <c r="U4" s="61">
        <f>FIND("effect:",T4)+7</f>
        <v>9</v>
      </c>
      <c r="V4" s="61">
        <f>IFERROR(FIND(",",T4),LEN(T4))</f>
        <v>27</v>
      </c>
      <c r="W4" s="61">
        <f>FIND("target:",T4)+7</f>
        <v>59</v>
      </c>
      <c r="X4" s="61">
        <f>FIND(",",T4,V4+1)</f>
        <v>50</v>
      </c>
      <c r="Y4" s="61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21" customHeight="1" x14ac:dyDescent="0.15">
      <c r="A5" s="117">
        <v>112260030</v>
      </c>
      <c r="B5" s="47" t="s">
        <v>210</v>
      </c>
      <c r="C5" s="50">
        <v>3</v>
      </c>
      <c r="D5" s="50" t="s">
        <v>186</v>
      </c>
      <c r="E5" s="118" t="s">
        <v>213</v>
      </c>
      <c r="F5" s="118" t="s">
        <v>214</v>
      </c>
      <c r="G5" s="61" t="str">
        <f t="shared" si="0"/>
        <v>[effect:enemy_message, val1:1.5, val2:2]</v>
      </c>
      <c r="H5" s="61">
        <f t="shared" si="1"/>
        <v>9</v>
      </c>
      <c r="I5" s="61">
        <f t="shared" si="2"/>
        <v>22</v>
      </c>
      <c r="J5" s="61" t="e">
        <f t="shared" si="3"/>
        <v>#VALUE!</v>
      </c>
      <c r="K5" s="61">
        <f t="shared" si="4"/>
        <v>32</v>
      </c>
      <c r="L5" s="61" t="str">
        <f>IFERROR(VLOOKUP(MID(G5,J5,K5-J5),[6]skilldef!$C:$D,2,FALSE),"-") &amp; " / " &amp; IFERROR(VLOOKUP(MID(G5,H5,I5-H5),[6]skilldef!$A:$B,2,FALSE),"-")</f>
        <v>- / -</v>
      </c>
      <c r="M5" s="61" t="str">
        <f t="shared" si="5"/>
        <v>[effect:fix_speed, target:myself, turn:1]</v>
      </c>
      <c r="N5" s="48" t="str">
        <f>IFERROR(LEFT(M5,FIND("],",M5)+S14),M5)</f>
        <v>[effect:fix_speed, target:myself, turn:1]</v>
      </c>
      <c r="O5" s="61">
        <f t="shared" si="6"/>
        <v>9</v>
      </c>
      <c r="P5" s="61">
        <f t="shared" si="7"/>
        <v>18</v>
      </c>
      <c r="Q5" s="61">
        <f t="shared" si="8"/>
        <v>27</v>
      </c>
      <c r="R5" s="61">
        <f t="shared" si="9"/>
        <v>33</v>
      </c>
      <c r="S5" s="61" t="str">
        <f>IFERROR(VLOOKUP(MID(N5,Q5,R5-Q5),[6]skilldef!$C:$D,2,FALSE),"-") &amp; " / " &amp; IFERROR(VLOOKUP(MID(N5,O5,P5-O5),[6]skilldef!$A:$B,2,FALSE),"-")</f>
        <v>自分自身に / 行動値設定</v>
      </c>
      <c r="T5" s="48" t="str">
        <f t="shared" si="10"/>
        <v>none</v>
      </c>
      <c r="U5" s="61" t="e">
        <f t="shared" si="11"/>
        <v>#VALUE!</v>
      </c>
      <c r="V5" s="61">
        <f t="shared" si="12"/>
        <v>4</v>
      </c>
      <c r="W5" s="61" t="e">
        <f t="shared" si="13"/>
        <v>#VALUE!</v>
      </c>
      <c r="X5" s="61" t="e">
        <f t="shared" si="14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32" customHeight="1" x14ac:dyDescent="0.15">
      <c r="A6" s="117">
        <v>112260050</v>
      </c>
      <c r="B6" s="47" t="s">
        <v>211</v>
      </c>
      <c r="C6" s="50">
        <v>3</v>
      </c>
      <c r="D6" s="50" t="s">
        <v>170</v>
      </c>
      <c r="E6" s="118" t="s">
        <v>215</v>
      </c>
      <c r="F6" s="118" t="s">
        <v>201</v>
      </c>
      <c r="G6" s="61"/>
      <c r="H6" s="61"/>
      <c r="I6" s="61"/>
      <c r="J6" s="61"/>
      <c r="K6" s="61"/>
      <c r="L6" s="61" t="str">
        <f>IFERROR(VLOOKUP(MID(G6,J6,K6-J6),[6]skilldef!$C:$D,2,FALSE),"-") &amp; " / " &amp; IFERROR(VLOOKUP(MID(G6,H6,I6-H6),[6]skilldef!$A:$B,2,FALSE),"-")</f>
        <v>- / -</v>
      </c>
      <c r="M6" s="61" t="str">
        <f t="shared" ref="M6" si="30">IFERROR(RIGHT(B6,LEN(B6)-FIND("],",B6)-1),"none")</f>
        <v>[effect:suicide, val:1, dead_type:escape, target:myself],[effect:fix_speed, target:myself, turn:1]</v>
      </c>
      <c r="N6" s="48" t="str">
        <f t="shared" ref="N6" si="31">IFERROR(LEFT(M6,FIND("],",M6)+S32),M6)</f>
        <v>[effect:suicide, val:1, dead_type:escape, target:myself]</v>
      </c>
      <c r="O6" s="61">
        <f t="shared" ref="O6" si="32">FIND("effect:",N6)+7</f>
        <v>9</v>
      </c>
      <c r="P6" s="61">
        <f t="shared" ref="P6" si="33">IFERROR(FIND(",",N6),LEN(N6))</f>
        <v>16</v>
      </c>
      <c r="Q6" s="61">
        <f t="shared" ref="Q6" si="34">FIND("target:",N6)+7</f>
        <v>50</v>
      </c>
      <c r="R6" s="61">
        <f t="shared" ref="R6" si="35">FIND(",",N6,P6+1)</f>
        <v>23</v>
      </c>
      <c r="S6" s="61" t="str">
        <f>IFERROR(VLOOKUP(MID(N6,Q6,R6-Q6),[6]skilldef!$C:$D,2,FALSE),"-") &amp; " / " &amp; IFERROR(VLOOKUP(MID(N6,O6,P6-O6),[6]skilldef!$A:$B,2,FALSE),"-")</f>
        <v>- / -</v>
      </c>
      <c r="T6" s="48" t="str">
        <f t="shared" ref="T6" si="36">IFERROR(RIGHT(M6,LEN(M6)-FIND("],",M6)-1),"none")</f>
        <v>[effect:fix_speed, target:myself, turn:1]</v>
      </c>
      <c r="U6" s="61">
        <f t="shared" ref="U6" si="37">FIND("effect:",T6)+7</f>
        <v>9</v>
      </c>
      <c r="V6" s="61">
        <f t="shared" ref="V6" si="38">IFERROR(FIND(",",T6),LEN(T6))</f>
        <v>18</v>
      </c>
      <c r="W6" s="61">
        <f t="shared" ref="W6" si="39">FIND("target:",T6)+7</f>
        <v>27</v>
      </c>
      <c r="X6" s="61">
        <f t="shared" ref="X6" si="40">FIND(",",T6,V6+1)</f>
        <v>33</v>
      </c>
      <c r="Y6" s="61" t="str">
        <f>IFERROR(VLOOKUP(MID(T6,W6,X6-W6),[6]skilldef!$C:$D,2,FALSE),"-") &amp; " / " &amp; IFERROR(VLOOKUP(MID(T6,U6,V6-U6),[6]skilldef!$A:$B,2,FALSE),"-")</f>
        <v>自分自身に / 行動値設定</v>
      </c>
      <c r="Z6" s="50"/>
      <c r="AA6" s="51"/>
      <c r="AB6" s="50"/>
    </row>
    <row r="7" spans="1:28" ht="21" customHeight="1" x14ac:dyDescent="0.15">
      <c r="E7" s="104"/>
      <c r="F7" s="104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1"/>
  <sheetViews>
    <sheetView showGridLines="0" zoomScale="115" zoomScaleNormal="75" zoomScalePageLayoutView="75" workbookViewId="0">
      <pane ySplit="1" topLeftCell="A2" activePane="bottomLeft" state="frozenSplit"/>
      <selection pane="bottomLeft" activeCell="F15" sqref="F1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121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119" t="s">
        <v>197</v>
      </c>
    </row>
    <row r="2" spans="1:11" ht="21" customHeight="1" x14ac:dyDescent="0.15">
      <c r="A2" s="47">
        <v>112260000</v>
      </c>
      <c r="B2" s="47">
        <v>1</v>
      </c>
      <c r="C2" s="47">
        <v>100</v>
      </c>
      <c r="D2" s="47">
        <v>100</v>
      </c>
      <c r="E2" s="47" t="s">
        <v>53</v>
      </c>
      <c r="F2" s="47" t="s">
        <v>53</v>
      </c>
      <c r="G2" s="47">
        <v>1</v>
      </c>
      <c r="H2" s="47" t="s">
        <v>53</v>
      </c>
      <c r="I2" s="47" t="s">
        <v>53</v>
      </c>
      <c r="J2" s="48">
        <f t="shared" ref="J2" si="0">D2</f>
        <v>100</v>
      </c>
      <c r="K2" s="120" t="s">
        <v>187</v>
      </c>
    </row>
    <row r="3" spans="1:11" ht="21" customHeight="1" x14ac:dyDescent="0.15">
      <c r="A3" s="47">
        <v>112260001</v>
      </c>
      <c r="B3" s="47">
        <v>0</v>
      </c>
      <c r="C3" s="47">
        <v>1</v>
      </c>
      <c r="D3" s="47">
        <v>100</v>
      </c>
      <c r="E3" s="47" t="s">
        <v>53</v>
      </c>
      <c r="F3" s="47" t="s">
        <v>53</v>
      </c>
      <c r="G3" s="47">
        <v>1</v>
      </c>
      <c r="H3" s="47" t="s">
        <v>53</v>
      </c>
      <c r="I3" s="47" t="s">
        <v>53</v>
      </c>
      <c r="J3" s="48">
        <f>D3</f>
        <v>100</v>
      </c>
      <c r="K3" s="120" t="s">
        <v>188</v>
      </c>
    </row>
    <row r="4" spans="1:11" ht="21" customHeight="1" x14ac:dyDescent="0.15">
      <c r="A4" s="47">
        <v>112260002</v>
      </c>
      <c r="B4" s="47">
        <v>0</v>
      </c>
      <c r="C4" s="47">
        <v>1</v>
      </c>
      <c r="D4" s="47">
        <v>100</v>
      </c>
      <c r="E4" s="47" t="s">
        <v>189</v>
      </c>
      <c r="F4" s="47" t="s">
        <v>189</v>
      </c>
      <c r="G4" s="47">
        <v>0</v>
      </c>
      <c r="H4" s="47" t="s">
        <v>189</v>
      </c>
      <c r="I4" s="47">
        <v>0</v>
      </c>
      <c r="J4" s="48">
        <f>D4</f>
        <v>100</v>
      </c>
      <c r="K4" s="120" t="s">
        <v>190</v>
      </c>
    </row>
    <row r="5" spans="1:11" ht="21" customHeight="1" x14ac:dyDescent="0.15">
      <c r="A5" s="47">
        <v>112260003</v>
      </c>
      <c r="B5" s="47">
        <v>0</v>
      </c>
      <c r="C5" s="47">
        <v>50</v>
      </c>
      <c r="D5" s="47">
        <v>100</v>
      </c>
      <c r="E5" s="47" t="s">
        <v>53</v>
      </c>
      <c r="F5" s="47" t="s">
        <v>53</v>
      </c>
      <c r="G5" s="47" t="s">
        <v>53</v>
      </c>
      <c r="H5" s="47" t="s">
        <v>53</v>
      </c>
      <c r="I5" s="47" t="s">
        <v>53</v>
      </c>
      <c r="J5" s="48">
        <f t="shared" ref="J5:J11" si="1">D5</f>
        <v>100</v>
      </c>
      <c r="K5" s="120" t="s">
        <v>191</v>
      </c>
    </row>
    <row r="6" spans="1:11" ht="21" customHeight="1" x14ac:dyDescent="0.15">
      <c r="A6" s="47">
        <v>112260004</v>
      </c>
      <c r="B6" s="47">
        <v>0</v>
      </c>
      <c r="C6" s="47">
        <v>100</v>
      </c>
      <c r="D6" s="47">
        <v>50</v>
      </c>
      <c r="E6" s="47" t="s">
        <v>53</v>
      </c>
      <c r="F6" s="47" t="s">
        <v>53</v>
      </c>
      <c r="G6" s="47" t="s">
        <v>53</v>
      </c>
      <c r="H6" s="47" t="s">
        <v>53</v>
      </c>
      <c r="I6" s="47" t="s">
        <v>53</v>
      </c>
      <c r="J6" s="48">
        <f t="shared" si="1"/>
        <v>50</v>
      </c>
      <c r="K6" s="120" t="s">
        <v>192</v>
      </c>
    </row>
    <row r="7" spans="1:11" ht="21" customHeight="1" x14ac:dyDescent="0.15">
      <c r="A7" s="47">
        <v>112260005</v>
      </c>
      <c r="B7" s="47">
        <v>0</v>
      </c>
      <c r="C7" s="47">
        <v>90</v>
      </c>
      <c r="D7" s="47">
        <v>100</v>
      </c>
      <c r="E7" s="47" t="s">
        <v>53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1"/>
        <v>100</v>
      </c>
      <c r="K7" s="120" t="s">
        <v>193</v>
      </c>
    </row>
    <row r="8" spans="1:11" ht="21" customHeight="1" x14ac:dyDescent="0.15">
      <c r="A8" s="47">
        <v>112260006</v>
      </c>
      <c r="B8" s="47">
        <v>0</v>
      </c>
      <c r="C8" s="47">
        <v>80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si="1"/>
        <v>100</v>
      </c>
      <c r="K8" s="120" t="s">
        <v>194</v>
      </c>
    </row>
    <row r="9" spans="1:11" ht="21" customHeight="1" x14ac:dyDescent="0.15">
      <c r="A9" s="47">
        <v>112260007</v>
      </c>
      <c r="B9" s="47">
        <v>0</v>
      </c>
      <c r="C9" s="47">
        <v>70</v>
      </c>
      <c r="D9" s="47">
        <v>100</v>
      </c>
      <c r="E9" s="47" t="s">
        <v>53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si="1"/>
        <v>100</v>
      </c>
      <c r="K9" s="120" t="s">
        <v>195</v>
      </c>
    </row>
    <row r="10" spans="1:11" ht="21" customHeight="1" x14ac:dyDescent="0.15">
      <c r="A10" s="47">
        <v>112260008</v>
      </c>
      <c r="B10" s="47">
        <v>0</v>
      </c>
      <c r="C10" s="47">
        <v>60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1"/>
        <v>100</v>
      </c>
      <c r="K10" s="120" t="s">
        <v>196</v>
      </c>
    </row>
    <row r="11" spans="1:11" ht="21" customHeight="1" x14ac:dyDescent="0.15">
      <c r="A11" s="47">
        <v>112260009</v>
      </c>
      <c r="B11" s="47">
        <v>0</v>
      </c>
      <c r="C11" s="47">
        <v>50</v>
      </c>
      <c r="D11" s="47">
        <v>100</v>
      </c>
      <c r="E11" s="47" t="s">
        <v>53</v>
      </c>
      <c r="F11" s="47" t="s">
        <v>53</v>
      </c>
      <c r="G11" s="47" t="s">
        <v>53</v>
      </c>
      <c r="H11" s="47" t="s">
        <v>53</v>
      </c>
      <c r="I11" s="47" t="s">
        <v>53</v>
      </c>
      <c r="J11" s="48">
        <f t="shared" si="1"/>
        <v>100</v>
      </c>
      <c r="K11" s="120"/>
    </row>
  </sheetData>
  <autoFilter ref="A1:G1"/>
  <phoneticPr fontId="5"/>
  <conditionalFormatting sqref="K1:K1048576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tabSelected="1" workbookViewId="0">
      <pane ySplit="1" topLeftCell="A2" activePane="bottomLeft" state="frozen"/>
      <selection pane="bottomLeft" activeCell="H3" sqref="H3"/>
    </sheetView>
  </sheetViews>
  <sheetFormatPr baseColWidth="12" defaultColWidth="13" defaultRowHeight="15" outlineLevelCol="1" x14ac:dyDescent="0.15"/>
  <cols>
    <col min="1" max="1" width="13" style="8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19" style="94" customWidth="1"/>
    <col min="12" max="12" width="42.6640625" style="94" customWidth="1"/>
  </cols>
  <sheetData>
    <row r="1" spans="1:13" x14ac:dyDescent="0.15">
      <c r="A1" s="69" t="s">
        <v>160</v>
      </c>
      <c r="B1" s="66" t="s">
        <v>161</v>
      </c>
      <c r="C1" s="70" t="s">
        <v>162</v>
      </c>
      <c r="D1" s="70" t="s">
        <v>33</v>
      </c>
      <c r="E1" s="66" t="s">
        <v>163</v>
      </c>
      <c r="F1" s="70" t="s">
        <v>164</v>
      </c>
      <c r="G1" s="70" t="s">
        <v>33</v>
      </c>
      <c r="H1" s="66" t="s">
        <v>165</v>
      </c>
      <c r="I1" s="83" t="s">
        <v>167</v>
      </c>
      <c r="J1" s="72" t="s">
        <v>124</v>
      </c>
      <c r="K1" s="66" t="s">
        <v>158</v>
      </c>
      <c r="L1" s="67" t="s">
        <v>157</v>
      </c>
      <c r="M1" s="73" t="s">
        <v>168</v>
      </c>
    </row>
    <row r="2" spans="1:13" ht="84" x14ac:dyDescent="0.15">
      <c r="A2" s="74" t="s">
        <v>198</v>
      </c>
      <c r="B2" s="75">
        <f>floors!$C$2</f>
        <v>11226</v>
      </c>
      <c r="C2" s="116" t="str">
        <f ca="1">VLOOKUP($B2,OFFSET([2]quests!$A$1,0,0,COUNTA([2]quests!$A:$A),MATCH(C$1,[2]quests!$1:$1,0)-MATCH($B$1,[2]quests!$1:$1,0)+1),MATCH(C$1,[2]quests!$1:$1,0)-MATCH($B$1,[2]quests!$1:$1,0)+1,FALSE)</f>
        <v>1周年記念★特別クエスト</v>
      </c>
      <c r="D2" s="116" t="str">
        <f ca="1">VLOOKUP($B2,OFFSET([2]quests!$A$1,0,0,COUNTA([2]quests!$A:$A),MATCH(D$1,[2]quests!$1:$1,0)-MATCH($B$1,[2]quests!$1:$1,0)+1),MATCH(D$1,[2]quests!$1:$1,0)-MATCH($B$1,[2]quests!$1:$1,0)+1,FALSE)</f>
        <v>1周年記念★特別クエスト</v>
      </c>
      <c r="E2" s="79">
        <v>1</v>
      </c>
      <c r="F2" s="116" t="str">
        <f ca="1">VLOOKUP($B2&amp;"_"&amp;$E2,OFFSET([2]stages!$A$1,0,0,COUNTA([2]stages!$A:$A),MATCH(F$1,[2]stages!$2:$2,0)-MATCH("temp_stage",[2]stages!$2:$2,0)+1),MATCH(F$1,[2]stages!$2:$2,0)-MATCH("temp_stage",[2]stages!$2:$2,0)+1,FALSE)</f>
        <v>1周年のキセキ</v>
      </c>
      <c r="G2" s="116">
        <f ca="1">VLOOKUP($B2&amp;"_"&amp;$E2,OFFSET([2]stages!$A$1,0,0,COUNTA([2]stages!$A:$A),MATCH(G$1,[2]stages!$2:$2,0)-MATCH("temp_stage",[2]stages!$2:$2,0)+1),MATCH(G$1,[2]stages!$2:$2,0)-MATCH("temp_stage",[2]stages!$2:$2,0)+1,FALSE)</f>
        <v>0</v>
      </c>
      <c r="H2" s="132">
        <v>0</v>
      </c>
      <c r="I2" s="55">
        <v>112261</v>
      </c>
      <c r="J2" s="77" t="s">
        <v>170</v>
      </c>
      <c r="K2" s="93" t="s">
        <v>217</v>
      </c>
      <c r="L2" s="122" t="s">
        <v>218</v>
      </c>
      <c r="M2" s="55" t="s">
        <v>181</v>
      </c>
    </row>
    <row r="3" spans="1:13" x14ac:dyDescent="0.15">
      <c r="A3" s="105"/>
      <c r="B3" s="106"/>
      <c r="C3" s="107"/>
      <c r="D3" s="107"/>
      <c r="E3" s="108"/>
      <c r="F3" s="107"/>
      <c r="G3" s="107"/>
      <c r="H3" s="109"/>
      <c r="I3" s="110"/>
      <c r="J3" s="111"/>
      <c r="K3" s="112"/>
      <c r="L3" s="113"/>
      <c r="M3" s="110"/>
    </row>
    <row r="4" spans="1:13" ht="87" customHeight="1" x14ac:dyDescent="0.15">
      <c r="A4" s="105"/>
      <c r="B4" s="106"/>
      <c r="C4" s="107"/>
      <c r="D4" s="107"/>
      <c r="E4" s="108"/>
      <c r="F4" s="107"/>
      <c r="G4" s="107"/>
      <c r="H4" s="109"/>
      <c r="I4" s="110"/>
      <c r="J4" s="111"/>
      <c r="K4" s="112"/>
      <c r="L4" s="113"/>
      <c r="M4" s="110"/>
    </row>
    <row r="5" spans="1:13" x14ac:dyDescent="0.15">
      <c r="A5" s="105"/>
      <c r="B5" s="106"/>
      <c r="C5" s="107"/>
      <c r="D5" s="107"/>
      <c r="E5" s="108"/>
      <c r="F5" s="107"/>
      <c r="G5" s="107"/>
      <c r="H5" s="109"/>
      <c r="I5" s="110"/>
      <c r="J5" s="111"/>
      <c r="K5" s="112"/>
      <c r="L5" s="113"/>
      <c r="M5" s="110"/>
    </row>
    <row r="6" spans="1:13" x14ac:dyDescent="0.15">
      <c r="A6" s="105"/>
      <c r="B6" s="106"/>
      <c r="C6" s="107"/>
      <c r="D6" s="107"/>
      <c r="E6" s="108"/>
      <c r="F6" s="107"/>
      <c r="G6" s="107"/>
      <c r="H6" s="109"/>
      <c r="I6" s="110"/>
      <c r="J6" s="111"/>
      <c r="K6" s="112"/>
      <c r="L6" s="113"/>
      <c r="M6" s="110"/>
    </row>
    <row r="7" spans="1:13" x14ac:dyDescent="0.15">
      <c r="A7" s="105"/>
      <c r="B7" s="106"/>
      <c r="C7" s="107"/>
      <c r="D7" s="107"/>
      <c r="E7" s="108"/>
      <c r="F7" s="107"/>
      <c r="G7" s="107"/>
      <c r="H7" s="109"/>
      <c r="I7" s="110"/>
      <c r="J7" s="111"/>
      <c r="K7" s="112"/>
      <c r="L7" s="113"/>
      <c r="M7" s="110"/>
    </row>
    <row r="8" spans="1:13" x14ac:dyDescent="0.15">
      <c r="A8" s="105"/>
      <c r="B8" s="106"/>
      <c r="C8" s="107"/>
      <c r="D8" s="107"/>
      <c r="E8" s="108"/>
      <c r="F8" s="107"/>
      <c r="G8" s="107"/>
      <c r="H8" s="109"/>
      <c r="I8" s="110"/>
      <c r="J8" s="111"/>
      <c r="K8" s="112"/>
      <c r="L8" s="113"/>
      <c r="M8" s="110"/>
    </row>
    <row r="9" spans="1:13" x14ac:dyDescent="0.15">
      <c r="A9" s="105"/>
      <c r="B9" s="106"/>
      <c r="C9" s="107"/>
      <c r="D9" s="107"/>
      <c r="E9" s="108"/>
      <c r="F9" s="107"/>
      <c r="G9" s="107"/>
      <c r="H9" s="109"/>
      <c r="I9" s="110"/>
      <c r="J9" s="111"/>
      <c r="K9" s="112"/>
      <c r="L9" s="113"/>
      <c r="M9" s="110"/>
    </row>
    <row r="10" spans="1:13" x14ac:dyDescent="0.15">
      <c r="A10" s="105"/>
      <c r="B10" s="106"/>
      <c r="C10" s="107"/>
      <c r="D10" s="107"/>
      <c r="E10" s="108"/>
      <c r="F10" s="107"/>
      <c r="G10" s="107"/>
      <c r="H10" s="109"/>
      <c r="I10" s="110"/>
      <c r="J10" s="111"/>
      <c r="K10" s="112"/>
      <c r="L10" s="113"/>
      <c r="M10" s="110"/>
    </row>
    <row r="11" spans="1:13" x14ac:dyDescent="0.15">
      <c r="A11" s="105"/>
      <c r="B11" s="106"/>
      <c r="C11" s="107"/>
      <c r="D11" s="107"/>
      <c r="E11" s="108"/>
      <c r="F11" s="107"/>
      <c r="G11" s="107"/>
      <c r="H11" s="109"/>
      <c r="I11" s="110"/>
      <c r="J11" s="111"/>
      <c r="K11" s="112"/>
      <c r="L11" s="113"/>
      <c r="M11" s="110"/>
    </row>
    <row r="12" spans="1:13" x14ac:dyDescent="0.15">
      <c r="A12" s="105"/>
      <c r="B12" s="106"/>
      <c r="C12" s="107"/>
      <c r="D12" s="107"/>
      <c r="E12" s="108"/>
      <c r="F12" s="107"/>
      <c r="G12" s="107"/>
      <c r="H12" s="109"/>
      <c r="I12" s="110"/>
      <c r="J12" s="111"/>
      <c r="K12" s="112"/>
      <c r="L12" s="113"/>
      <c r="M12" s="110"/>
    </row>
    <row r="13" spans="1:13" x14ac:dyDescent="0.15">
      <c r="A13" s="105"/>
      <c r="B13" s="106"/>
      <c r="C13" s="107"/>
      <c r="D13" s="107"/>
      <c r="E13" s="108"/>
      <c r="F13" s="107"/>
      <c r="G13" s="107"/>
      <c r="H13" s="109"/>
      <c r="I13" s="110"/>
      <c r="J13" s="111"/>
      <c r="K13" s="112"/>
      <c r="L13" s="113"/>
      <c r="M13" s="110"/>
    </row>
    <row r="14" spans="1:13" x14ac:dyDescent="0.15">
      <c r="A14" s="105"/>
      <c r="B14" s="106"/>
      <c r="C14" s="107"/>
      <c r="D14" s="107"/>
      <c r="E14" s="108"/>
      <c r="F14" s="107"/>
      <c r="G14" s="107"/>
      <c r="H14" s="109"/>
      <c r="I14" s="110"/>
      <c r="J14" s="111"/>
      <c r="K14" s="112"/>
      <c r="L14" s="113"/>
      <c r="M14" s="110"/>
    </row>
    <row r="15" spans="1:13" x14ac:dyDescent="0.15">
      <c r="A15" s="105"/>
      <c r="B15" s="106"/>
      <c r="C15" s="107"/>
      <c r="D15" s="107"/>
      <c r="E15" s="108"/>
      <c r="F15" s="107"/>
      <c r="G15" s="107"/>
      <c r="H15" s="109"/>
      <c r="I15" s="110"/>
      <c r="J15" s="111"/>
      <c r="K15" s="112"/>
      <c r="L15" s="113"/>
      <c r="M15" s="110"/>
    </row>
    <row r="16" spans="1:13" x14ac:dyDescent="0.15">
      <c r="A16" s="105"/>
      <c r="B16" s="106"/>
      <c r="C16" s="107"/>
      <c r="D16" s="107"/>
      <c r="E16" s="108"/>
      <c r="F16" s="107"/>
      <c r="G16" s="107"/>
      <c r="H16" s="109"/>
      <c r="I16" s="110"/>
      <c r="J16" s="111"/>
      <c r="K16" s="112"/>
      <c r="L16" s="113"/>
      <c r="M16" s="110"/>
    </row>
    <row r="17" spans="1:13" x14ac:dyDescent="0.15">
      <c r="A17" s="105"/>
      <c r="B17" s="106"/>
      <c r="C17" s="107"/>
      <c r="D17" s="107"/>
      <c r="E17" s="108"/>
      <c r="F17" s="107"/>
      <c r="G17" s="107"/>
      <c r="H17" s="109"/>
      <c r="I17" s="110"/>
      <c r="J17" s="111"/>
      <c r="K17" s="112"/>
      <c r="L17" s="113"/>
      <c r="M17" s="110"/>
    </row>
    <row r="18" spans="1:13" x14ac:dyDescent="0.15">
      <c r="A18" s="105"/>
      <c r="B18" s="106"/>
      <c r="C18" s="107"/>
      <c r="D18" s="107"/>
      <c r="E18" s="108"/>
      <c r="F18" s="107"/>
      <c r="G18" s="107"/>
      <c r="H18" s="109"/>
      <c r="I18" s="110"/>
      <c r="J18" s="111"/>
      <c r="K18" s="112"/>
      <c r="L18" s="113"/>
      <c r="M18" s="110"/>
    </row>
    <row r="19" spans="1:13" x14ac:dyDescent="0.15">
      <c r="A19" s="105"/>
      <c r="B19" s="106"/>
      <c r="C19" s="107"/>
      <c r="D19" s="107"/>
      <c r="E19" s="108"/>
      <c r="F19" s="107"/>
      <c r="G19" s="107"/>
      <c r="H19" s="109"/>
      <c r="I19" s="110"/>
      <c r="J19" s="111"/>
      <c r="K19" s="112"/>
      <c r="L19" s="113"/>
      <c r="M19" s="110"/>
    </row>
    <row r="20" spans="1:13" x14ac:dyDescent="0.15">
      <c r="A20" s="105"/>
      <c r="B20" s="106"/>
      <c r="C20" s="107"/>
      <c r="D20" s="107"/>
      <c r="E20" s="108"/>
      <c r="F20" s="107"/>
      <c r="G20" s="107"/>
      <c r="H20" s="109"/>
      <c r="I20" s="110"/>
      <c r="J20" s="111"/>
      <c r="K20" s="112"/>
      <c r="L20" s="113"/>
      <c r="M20" s="110"/>
    </row>
    <row r="21" spans="1:13" x14ac:dyDescent="0.15">
      <c r="A21" s="105"/>
      <c r="B21" s="106"/>
      <c r="C21" s="107"/>
      <c r="D21" s="107"/>
      <c r="E21" s="108"/>
      <c r="F21" s="107"/>
      <c r="G21" s="107"/>
      <c r="H21" s="109"/>
      <c r="I21" s="110"/>
      <c r="J21" s="111"/>
      <c r="K21" s="112"/>
      <c r="L21" s="113"/>
      <c r="M21" s="110"/>
    </row>
    <row r="22" spans="1:13" x14ac:dyDescent="0.15">
      <c r="A22" s="105"/>
      <c r="B22" s="106"/>
      <c r="C22" s="107"/>
      <c r="D22" s="107"/>
      <c r="E22" s="108"/>
      <c r="F22" s="107"/>
      <c r="G22" s="107"/>
      <c r="H22" s="109"/>
      <c r="I22" s="110"/>
      <c r="J22" s="111"/>
      <c r="K22" s="112"/>
      <c r="L22" s="113"/>
      <c r="M22" s="110"/>
    </row>
    <row r="23" spans="1:13" x14ac:dyDescent="0.15">
      <c r="A23" s="105"/>
      <c r="B23" s="106"/>
      <c r="C23" s="107"/>
      <c r="D23" s="107"/>
      <c r="E23" s="108"/>
      <c r="F23" s="107"/>
      <c r="G23" s="107"/>
      <c r="H23" s="109"/>
      <c r="I23" s="110"/>
      <c r="J23" s="111"/>
      <c r="K23" s="112"/>
      <c r="L23" s="113"/>
      <c r="M23" s="110"/>
    </row>
    <row r="24" spans="1:13" x14ac:dyDescent="0.15">
      <c r="A24" s="105"/>
      <c r="B24" s="106"/>
      <c r="C24" s="107"/>
      <c r="D24" s="107"/>
      <c r="E24" s="108"/>
      <c r="F24" s="107"/>
      <c r="G24" s="107"/>
      <c r="H24" s="109"/>
      <c r="I24" s="110"/>
      <c r="J24" s="111"/>
      <c r="K24" s="112"/>
      <c r="L24" s="113"/>
      <c r="M24" s="110"/>
    </row>
    <row r="25" spans="1:13" x14ac:dyDescent="0.15">
      <c r="A25" s="105"/>
      <c r="B25" s="106"/>
      <c r="C25" s="107"/>
      <c r="D25" s="107"/>
      <c r="E25" s="108"/>
      <c r="F25" s="107"/>
      <c r="G25" s="107"/>
      <c r="H25" s="109"/>
      <c r="I25" s="110"/>
      <c r="J25" s="111"/>
      <c r="K25" s="112"/>
      <c r="L25" s="113"/>
      <c r="M25" s="110"/>
    </row>
    <row r="26" spans="1:13" x14ac:dyDescent="0.15">
      <c r="A26" s="105"/>
      <c r="B26" s="106"/>
      <c r="C26" s="107"/>
      <c r="D26" s="107"/>
      <c r="E26" s="108"/>
      <c r="F26" s="107"/>
      <c r="G26" s="107"/>
      <c r="H26" s="109"/>
      <c r="I26" s="110"/>
      <c r="J26" s="111"/>
      <c r="K26" s="112"/>
      <c r="L26" s="113"/>
      <c r="M26" s="110"/>
    </row>
    <row r="27" spans="1:13" x14ac:dyDescent="0.15">
      <c r="A27" s="105"/>
      <c r="B27" s="106"/>
      <c r="C27" s="107"/>
      <c r="D27" s="107"/>
      <c r="E27" s="108"/>
      <c r="F27" s="107"/>
      <c r="G27" s="107"/>
      <c r="H27" s="109"/>
      <c r="I27" s="110"/>
      <c r="J27" s="111"/>
      <c r="K27" s="112"/>
      <c r="L27" s="113"/>
      <c r="M27" s="110"/>
    </row>
    <row r="28" spans="1:13" x14ac:dyDescent="0.15">
      <c r="A28" s="105"/>
      <c r="B28" s="106"/>
      <c r="C28" s="107"/>
      <c r="D28" s="107"/>
      <c r="E28" s="108"/>
      <c r="F28" s="107"/>
      <c r="G28" s="107"/>
      <c r="H28" s="109"/>
      <c r="I28" s="110"/>
      <c r="J28" s="111"/>
      <c r="K28" s="112"/>
      <c r="L28" s="113"/>
      <c r="M28" s="110"/>
    </row>
    <row r="29" spans="1:13" x14ac:dyDescent="0.15">
      <c r="A29" s="105"/>
      <c r="B29" s="106"/>
      <c r="C29" s="107"/>
      <c r="D29" s="107"/>
      <c r="E29" s="108"/>
      <c r="F29" s="107"/>
      <c r="G29" s="107"/>
      <c r="H29" s="109"/>
      <c r="I29" s="110"/>
      <c r="J29" s="111"/>
      <c r="K29" s="112"/>
      <c r="L29" s="113"/>
      <c r="M29" s="110"/>
    </row>
    <row r="30" spans="1:13" x14ac:dyDescent="0.15">
      <c r="A30" s="105"/>
      <c r="B30" s="106"/>
      <c r="C30" s="107"/>
      <c r="D30" s="107"/>
      <c r="E30" s="108"/>
      <c r="F30" s="107"/>
      <c r="G30" s="107"/>
      <c r="H30" s="109"/>
      <c r="I30" s="110"/>
      <c r="J30" s="111"/>
      <c r="K30" s="112"/>
      <c r="L30" s="113"/>
      <c r="M30" s="110"/>
    </row>
    <row r="31" spans="1:13" x14ac:dyDescent="0.15">
      <c r="A31" s="105"/>
      <c r="B31" s="106"/>
      <c r="C31" s="107"/>
      <c r="D31" s="107"/>
      <c r="E31" s="108"/>
      <c r="F31" s="107"/>
      <c r="G31" s="107"/>
      <c r="H31" s="109"/>
      <c r="I31" s="110"/>
      <c r="J31" s="111"/>
      <c r="K31" s="112"/>
      <c r="L31" s="113"/>
      <c r="M31" s="110"/>
    </row>
    <row r="32" spans="1:13" x14ac:dyDescent="0.15">
      <c r="A32" s="105"/>
      <c r="B32" s="106"/>
      <c r="C32" s="107"/>
      <c r="D32" s="107"/>
      <c r="E32" s="108"/>
      <c r="F32" s="107"/>
      <c r="G32" s="107"/>
      <c r="H32" s="109"/>
      <c r="I32" s="110"/>
      <c r="J32" s="111"/>
      <c r="K32" s="112"/>
      <c r="L32" s="113"/>
      <c r="M32" s="110"/>
    </row>
    <row r="33" spans="1:13" x14ac:dyDescent="0.15">
      <c r="A33" s="105"/>
      <c r="B33" s="106"/>
      <c r="C33" s="107"/>
      <c r="D33" s="107"/>
      <c r="E33" s="108"/>
      <c r="F33" s="107"/>
      <c r="G33" s="107"/>
      <c r="H33" s="109"/>
      <c r="I33" s="110"/>
      <c r="J33" s="111"/>
      <c r="K33" s="112"/>
      <c r="L33" s="113"/>
      <c r="M33" s="110"/>
    </row>
    <row r="34" spans="1:13" x14ac:dyDescent="0.15">
      <c r="A34" s="105"/>
      <c r="B34" s="106"/>
      <c r="C34" s="107"/>
      <c r="D34" s="107"/>
      <c r="E34" s="108"/>
      <c r="F34" s="107"/>
      <c r="G34" s="107"/>
      <c r="H34" s="109"/>
      <c r="I34" s="110"/>
      <c r="J34" s="111"/>
      <c r="K34" s="112"/>
      <c r="L34" s="113"/>
      <c r="M34" s="110"/>
    </row>
    <row r="35" spans="1:13" x14ac:dyDescent="0.15">
      <c r="A35" s="105"/>
      <c r="B35" s="106"/>
      <c r="C35" s="107"/>
      <c r="D35" s="107"/>
      <c r="E35" s="108"/>
      <c r="F35" s="107"/>
      <c r="G35" s="107"/>
      <c r="H35" s="109"/>
      <c r="I35" s="110"/>
      <c r="J35" s="111"/>
      <c r="K35" s="112"/>
      <c r="L35" s="113"/>
      <c r="M35" s="110"/>
    </row>
    <row r="36" spans="1:13" x14ac:dyDescent="0.15">
      <c r="A36" s="105"/>
      <c r="B36" s="106"/>
      <c r="C36" s="107"/>
      <c r="D36" s="107"/>
      <c r="E36" s="108"/>
      <c r="F36" s="107"/>
      <c r="G36" s="107"/>
      <c r="H36" s="109"/>
      <c r="I36" s="110"/>
      <c r="J36" s="111"/>
      <c r="K36" s="112"/>
      <c r="L36" s="113"/>
      <c r="M36" s="110"/>
    </row>
    <row r="37" spans="1:13" x14ac:dyDescent="0.15">
      <c r="A37" s="105"/>
      <c r="B37" s="106"/>
      <c r="C37" s="107"/>
      <c r="D37" s="107"/>
      <c r="E37" s="108"/>
      <c r="F37" s="107"/>
      <c r="G37" s="107"/>
      <c r="H37" s="109"/>
      <c r="I37" s="110"/>
      <c r="J37" s="111"/>
      <c r="K37" s="112"/>
      <c r="L37" s="113"/>
      <c r="M37" s="110"/>
    </row>
    <row r="38" spans="1:13" x14ac:dyDescent="0.15">
      <c r="A38" s="105"/>
      <c r="B38" s="106"/>
      <c r="C38" s="107"/>
      <c r="D38" s="107"/>
      <c r="E38" s="108"/>
      <c r="F38" s="107"/>
      <c r="G38" s="107"/>
      <c r="H38" s="109"/>
      <c r="I38" s="110"/>
      <c r="J38" s="111"/>
      <c r="K38" s="112"/>
      <c r="L38" s="113"/>
      <c r="M38" s="110"/>
    </row>
    <row r="39" spans="1:13" x14ac:dyDescent="0.15">
      <c r="A39" s="105"/>
      <c r="B39" s="106"/>
      <c r="C39" s="107"/>
      <c r="D39" s="107"/>
      <c r="E39" s="108"/>
      <c r="F39" s="107"/>
      <c r="G39" s="107"/>
      <c r="H39" s="109"/>
      <c r="I39" s="110"/>
      <c r="J39" s="111"/>
      <c r="K39" s="112"/>
      <c r="L39" s="113"/>
      <c r="M39" s="110"/>
    </row>
    <row r="40" spans="1:13" x14ac:dyDescent="0.15">
      <c r="A40" s="105"/>
      <c r="B40" s="106"/>
      <c r="C40" s="107"/>
      <c r="D40" s="107"/>
      <c r="E40" s="108"/>
      <c r="F40" s="107"/>
      <c r="G40" s="107"/>
      <c r="H40" s="109"/>
      <c r="I40" s="110"/>
      <c r="J40" s="111"/>
      <c r="K40" s="112"/>
      <c r="L40" s="113"/>
      <c r="M40" s="110"/>
    </row>
    <row r="41" spans="1:13" x14ac:dyDescent="0.15">
      <c r="A41" s="105"/>
      <c r="B41" s="106"/>
      <c r="C41" s="107"/>
      <c r="D41" s="107"/>
      <c r="E41" s="108"/>
      <c r="F41" s="107"/>
      <c r="G41" s="107"/>
      <c r="H41" s="109"/>
      <c r="I41" s="110"/>
      <c r="J41" s="111"/>
      <c r="K41" s="112"/>
      <c r="L41" s="113"/>
      <c r="M41" s="110"/>
    </row>
    <row r="42" spans="1:13" x14ac:dyDescent="0.15">
      <c r="A42" s="105"/>
      <c r="B42" s="106"/>
      <c r="C42" s="107"/>
      <c r="D42" s="107"/>
      <c r="E42" s="108"/>
      <c r="F42" s="107"/>
      <c r="G42" s="107"/>
      <c r="H42" s="109"/>
      <c r="I42" s="110"/>
      <c r="J42" s="111"/>
      <c r="K42" s="112"/>
      <c r="L42" s="113"/>
      <c r="M42" s="110"/>
    </row>
    <row r="43" spans="1:13" x14ac:dyDescent="0.15">
      <c r="A43" s="105"/>
      <c r="B43" s="106"/>
      <c r="C43" s="107"/>
      <c r="D43" s="107"/>
      <c r="E43" s="108"/>
      <c r="F43" s="107"/>
      <c r="G43" s="107"/>
      <c r="H43" s="109"/>
      <c r="I43" s="110"/>
      <c r="J43" s="111"/>
      <c r="K43" s="112"/>
      <c r="L43" s="113"/>
      <c r="M43" s="110"/>
    </row>
    <row r="44" spans="1:13" x14ac:dyDescent="0.15">
      <c r="A44" s="105"/>
      <c r="B44" s="106"/>
      <c r="C44" s="107"/>
      <c r="D44" s="107"/>
      <c r="E44" s="108"/>
      <c r="F44" s="107"/>
      <c r="G44" s="107"/>
      <c r="H44" s="109"/>
      <c r="I44" s="110"/>
      <c r="J44" s="111"/>
      <c r="K44" s="112"/>
      <c r="L44" s="113"/>
      <c r="M44" s="110"/>
    </row>
    <row r="45" spans="1:13" x14ac:dyDescent="0.15">
      <c r="A45" s="105"/>
      <c r="B45" s="106"/>
      <c r="C45" s="107"/>
      <c r="D45" s="107"/>
      <c r="E45" s="108"/>
      <c r="F45" s="107"/>
      <c r="G45" s="107"/>
      <c r="H45" s="109"/>
      <c r="I45" s="110"/>
      <c r="J45" s="111"/>
      <c r="K45" s="112"/>
      <c r="L45" s="113"/>
      <c r="M45" s="110"/>
    </row>
    <row r="46" spans="1:13" x14ac:dyDescent="0.15">
      <c r="A46" s="105"/>
      <c r="B46" s="106"/>
      <c r="C46" s="107"/>
      <c r="D46" s="107"/>
      <c r="E46" s="108"/>
      <c r="F46" s="107"/>
      <c r="G46" s="107"/>
      <c r="H46" s="109"/>
      <c r="I46" s="110"/>
      <c r="J46" s="111"/>
      <c r="K46" s="112"/>
      <c r="L46" s="113"/>
      <c r="M46" s="110"/>
    </row>
    <row r="47" spans="1:13" x14ac:dyDescent="0.15">
      <c r="A47" s="105"/>
      <c r="B47" s="106"/>
      <c r="C47" s="107"/>
      <c r="D47" s="107"/>
      <c r="E47" s="108"/>
      <c r="F47" s="107"/>
      <c r="G47" s="107"/>
      <c r="H47" s="109"/>
      <c r="I47" s="110"/>
      <c r="J47" s="111"/>
      <c r="K47" s="112"/>
      <c r="L47" s="113"/>
      <c r="M47" s="110"/>
    </row>
    <row r="48" spans="1:13" x14ac:dyDescent="0.15">
      <c r="A48" s="105"/>
      <c r="B48" s="106"/>
      <c r="C48" s="107"/>
      <c r="D48" s="107"/>
      <c r="E48" s="108"/>
      <c r="F48" s="107"/>
      <c r="G48" s="107"/>
      <c r="H48" s="109"/>
      <c r="I48" s="110"/>
      <c r="J48" s="111"/>
      <c r="K48" s="112"/>
      <c r="L48" s="113"/>
      <c r="M48" s="110"/>
    </row>
    <row r="49" spans="1:13" x14ac:dyDescent="0.15">
      <c r="A49" s="105"/>
      <c r="B49" s="106"/>
      <c r="C49" s="107"/>
      <c r="D49" s="107"/>
      <c r="E49" s="108"/>
      <c r="F49" s="107"/>
      <c r="G49" s="107"/>
      <c r="H49" s="109"/>
      <c r="I49" s="110"/>
      <c r="J49" s="111"/>
      <c r="K49" s="112"/>
      <c r="L49" s="113"/>
      <c r="M49" s="110"/>
    </row>
    <row r="50" spans="1:13" x14ac:dyDescent="0.15">
      <c r="A50" s="105"/>
      <c r="B50" s="106"/>
      <c r="C50" s="107"/>
      <c r="D50" s="107"/>
      <c r="E50" s="108"/>
      <c r="F50" s="107"/>
      <c r="G50" s="107"/>
      <c r="H50" s="109"/>
      <c r="I50" s="110"/>
      <c r="J50" s="111"/>
      <c r="K50" s="112"/>
      <c r="L50" s="113"/>
      <c r="M50" s="110"/>
    </row>
    <row r="51" spans="1:13" x14ac:dyDescent="0.15">
      <c r="A51" s="105"/>
      <c r="B51" s="106"/>
      <c r="C51" s="107"/>
      <c r="D51" s="107"/>
      <c r="E51" s="108"/>
      <c r="F51" s="107"/>
      <c r="G51" s="107"/>
      <c r="H51" s="109"/>
      <c r="I51" s="110"/>
      <c r="J51" s="111"/>
      <c r="K51" s="112"/>
      <c r="L51" s="113"/>
      <c r="M51" s="110"/>
    </row>
    <row r="52" spans="1:13" x14ac:dyDescent="0.15">
      <c r="A52" s="105"/>
      <c r="B52" s="106"/>
      <c r="C52" s="107"/>
      <c r="D52" s="107"/>
      <c r="E52" s="108"/>
      <c r="F52" s="107"/>
      <c r="G52" s="107"/>
      <c r="H52" s="109"/>
      <c r="I52" s="110"/>
      <c r="J52" s="111"/>
      <c r="K52" s="112"/>
      <c r="L52" s="113"/>
      <c r="M52" s="110"/>
    </row>
    <row r="53" spans="1:13" x14ac:dyDescent="0.15">
      <c r="A53" s="105"/>
      <c r="B53" s="106"/>
      <c r="C53" s="107"/>
      <c r="D53" s="107"/>
      <c r="E53" s="108"/>
      <c r="F53" s="107"/>
      <c r="G53" s="107"/>
      <c r="H53" s="109"/>
      <c r="I53" s="110"/>
      <c r="J53" s="111"/>
      <c r="K53" s="112"/>
      <c r="L53" s="113"/>
      <c r="M53" s="110"/>
    </row>
    <row r="54" spans="1:13" x14ac:dyDescent="0.15">
      <c r="A54" s="105"/>
      <c r="B54" s="106"/>
      <c r="C54" s="107"/>
      <c r="D54" s="107"/>
      <c r="E54" s="108"/>
      <c r="F54" s="107"/>
      <c r="G54" s="107"/>
      <c r="H54" s="109"/>
      <c r="I54" s="110"/>
      <c r="J54" s="111"/>
      <c r="K54" s="112"/>
      <c r="L54" s="113"/>
      <c r="M54" s="110"/>
    </row>
    <row r="55" spans="1:13" x14ac:dyDescent="0.15">
      <c r="A55" s="105"/>
      <c r="B55" s="106"/>
      <c r="C55" s="107"/>
      <c r="D55" s="107"/>
      <c r="E55" s="108"/>
      <c r="F55" s="107"/>
      <c r="G55" s="107"/>
      <c r="H55" s="109"/>
      <c r="I55" s="114"/>
      <c r="J55" s="111"/>
      <c r="K55" s="112"/>
      <c r="L55" s="113"/>
      <c r="M55" s="110"/>
    </row>
    <row r="56" spans="1:13" x14ac:dyDescent="0.15">
      <c r="A56" s="105"/>
      <c r="B56" s="106"/>
      <c r="C56" s="107"/>
      <c r="D56" s="107"/>
      <c r="E56" s="108"/>
      <c r="F56" s="107"/>
      <c r="G56" s="107"/>
      <c r="H56" s="109"/>
      <c r="I56" s="114"/>
      <c r="J56" s="111"/>
      <c r="K56" s="112"/>
      <c r="L56" s="113"/>
      <c r="M56" s="110"/>
    </row>
    <row r="57" spans="1:13" x14ac:dyDescent="0.15">
      <c r="A57" s="105"/>
      <c r="B57" s="106"/>
      <c r="C57" s="107"/>
      <c r="D57" s="107"/>
      <c r="E57" s="108"/>
      <c r="F57" s="107"/>
      <c r="G57" s="107"/>
      <c r="H57" s="109"/>
      <c r="I57" s="114"/>
      <c r="J57" s="111"/>
      <c r="K57" s="112"/>
      <c r="L57" s="113"/>
      <c r="M57" s="110"/>
    </row>
    <row r="58" spans="1:13" x14ac:dyDescent="0.15">
      <c r="A58" s="105"/>
      <c r="B58" s="106"/>
      <c r="C58" s="107"/>
      <c r="D58" s="107"/>
      <c r="E58" s="108"/>
      <c r="F58" s="107"/>
      <c r="G58" s="107"/>
      <c r="H58" s="109"/>
      <c r="I58" s="114"/>
      <c r="J58" s="111"/>
      <c r="K58" s="112"/>
      <c r="L58" s="113"/>
      <c r="M58" s="110"/>
    </row>
    <row r="59" spans="1:13" x14ac:dyDescent="0.15">
      <c r="A59" s="105"/>
      <c r="B59" s="106"/>
      <c r="C59" s="107"/>
      <c r="D59" s="107"/>
      <c r="E59" s="108"/>
      <c r="F59" s="107"/>
      <c r="G59" s="107"/>
      <c r="H59" s="109"/>
      <c r="I59" s="114"/>
      <c r="J59" s="111"/>
      <c r="K59" s="112"/>
      <c r="L59" s="113"/>
      <c r="M59" s="110"/>
    </row>
    <row r="60" spans="1:13" x14ac:dyDescent="0.15">
      <c r="A60" s="105"/>
      <c r="B60" s="106"/>
      <c r="C60" s="107"/>
      <c r="D60" s="107"/>
      <c r="E60" s="108"/>
      <c r="F60" s="107"/>
      <c r="G60" s="107"/>
      <c r="H60" s="109"/>
      <c r="I60" s="114"/>
      <c r="J60" s="111"/>
      <c r="K60" s="112"/>
      <c r="L60" s="113"/>
      <c r="M60" s="110"/>
    </row>
    <row r="61" spans="1:13" x14ac:dyDescent="0.15">
      <c r="A61" s="105"/>
      <c r="B61" s="106"/>
      <c r="C61" s="107"/>
      <c r="D61" s="107"/>
      <c r="E61" s="108"/>
      <c r="F61" s="107"/>
      <c r="G61" s="107"/>
      <c r="H61" s="109"/>
      <c r="I61" s="114"/>
      <c r="J61" s="111"/>
      <c r="K61" s="112"/>
      <c r="L61" s="113"/>
      <c r="M61" s="110"/>
    </row>
    <row r="62" spans="1:13" x14ac:dyDescent="0.15">
      <c r="A62" s="105"/>
      <c r="B62" s="106"/>
      <c r="C62" s="107"/>
      <c r="D62" s="107"/>
      <c r="E62" s="108"/>
      <c r="F62" s="107"/>
      <c r="G62" s="107"/>
      <c r="H62" s="109"/>
      <c r="I62" s="114"/>
      <c r="J62" s="111"/>
      <c r="K62" s="112"/>
      <c r="L62" s="113"/>
      <c r="M62" s="110"/>
    </row>
    <row r="63" spans="1:13" x14ac:dyDescent="0.15">
      <c r="A63" s="105"/>
      <c r="B63" s="106"/>
      <c r="C63" s="107"/>
      <c r="D63" s="107"/>
      <c r="E63" s="108"/>
      <c r="F63" s="107"/>
      <c r="G63" s="107"/>
      <c r="H63" s="109"/>
      <c r="I63" s="114"/>
      <c r="J63" s="111"/>
      <c r="K63" s="112"/>
      <c r="L63" s="113"/>
      <c r="M63" s="110"/>
    </row>
    <row r="64" spans="1:13" x14ac:dyDescent="0.15">
      <c r="A64" s="105"/>
      <c r="B64" s="106"/>
      <c r="C64" s="107"/>
      <c r="D64" s="107"/>
      <c r="E64" s="108"/>
      <c r="F64" s="107"/>
      <c r="G64" s="107"/>
      <c r="H64" s="109"/>
      <c r="I64" s="114"/>
      <c r="J64" s="111"/>
      <c r="K64" s="112"/>
      <c r="L64" s="113"/>
      <c r="M64" s="110"/>
    </row>
    <row r="65" spans="1:13" x14ac:dyDescent="0.15">
      <c r="A65" s="105"/>
      <c r="B65" s="106"/>
      <c r="C65" s="107"/>
      <c r="D65" s="107"/>
      <c r="E65" s="108"/>
      <c r="F65" s="107"/>
      <c r="G65" s="107"/>
      <c r="H65" s="109"/>
      <c r="I65" s="114"/>
      <c r="J65" s="111"/>
      <c r="K65" s="112"/>
      <c r="L65" s="113"/>
      <c r="M65" s="110"/>
    </row>
    <row r="66" spans="1:13" x14ac:dyDescent="0.15">
      <c r="A66" s="105"/>
      <c r="B66" s="106"/>
      <c r="C66" s="107"/>
      <c r="D66" s="107"/>
      <c r="E66" s="108"/>
      <c r="F66" s="107"/>
      <c r="G66" s="107"/>
      <c r="H66" s="109"/>
      <c r="I66" s="114"/>
      <c r="J66" s="111"/>
      <c r="K66" s="112"/>
      <c r="L66" s="113"/>
      <c r="M66" s="110"/>
    </row>
    <row r="67" spans="1:13" x14ac:dyDescent="0.15">
      <c r="A67" s="105"/>
      <c r="B67" s="106"/>
      <c r="C67" s="107"/>
      <c r="D67" s="107"/>
      <c r="E67" s="108"/>
      <c r="F67" s="107"/>
      <c r="G67" s="107"/>
      <c r="H67" s="109"/>
      <c r="I67" s="114"/>
      <c r="J67" s="111"/>
      <c r="K67" s="112"/>
      <c r="L67" s="113"/>
      <c r="M67" s="110"/>
    </row>
    <row r="68" spans="1:13" x14ac:dyDescent="0.15">
      <c r="A68" s="105"/>
      <c r="B68" s="106"/>
      <c r="C68" s="107"/>
      <c r="D68" s="107"/>
      <c r="E68" s="108"/>
      <c r="F68" s="107"/>
      <c r="G68" s="107"/>
      <c r="H68" s="109"/>
      <c r="I68" s="114"/>
      <c r="J68" s="111"/>
      <c r="K68" s="112"/>
      <c r="L68" s="113"/>
      <c r="M68" s="110"/>
    </row>
    <row r="69" spans="1:13" x14ac:dyDescent="0.15">
      <c r="A69" s="105"/>
      <c r="B69" s="106"/>
      <c r="C69" s="107"/>
      <c r="D69" s="107"/>
      <c r="E69" s="108"/>
      <c r="F69" s="107"/>
      <c r="G69" s="107"/>
      <c r="H69" s="109"/>
      <c r="I69" s="114"/>
      <c r="J69" s="111"/>
      <c r="K69" s="112"/>
      <c r="L69" s="113"/>
      <c r="M69" s="110"/>
    </row>
    <row r="70" spans="1:13" x14ac:dyDescent="0.15">
      <c r="A70" s="105"/>
      <c r="B70" s="106"/>
      <c r="C70" s="107"/>
      <c r="D70" s="107"/>
      <c r="E70" s="108"/>
      <c r="F70" s="107"/>
      <c r="G70" s="107"/>
      <c r="H70" s="109"/>
      <c r="I70" s="114"/>
      <c r="J70" s="111"/>
      <c r="K70" s="112"/>
      <c r="L70" s="113"/>
      <c r="M70" s="110"/>
    </row>
    <row r="71" spans="1:13" x14ac:dyDescent="0.15">
      <c r="A71" s="105"/>
      <c r="B71" s="106"/>
      <c r="C71" s="107"/>
      <c r="D71" s="107"/>
      <c r="E71" s="108"/>
      <c r="F71" s="107"/>
      <c r="G71" s="107"/>
      <c r="H71" s="109"/>
      <c r="I71" s="114"/>
      <c r="J71" s="111"/>
      <c r="K71" s="112"/>
      <c r="L71" s="113"/>
      <c r="M71" s="110"/>
    </row>
    <row r="72" spans="1:13" x14ac:dyDescent="0.15">
      <c r="A72" s="105"/>
      <c r="B72" s="106"/>
      <c r="C72" s="107"/>
      <c r="D72" s="107"/>
      <c r="E72" s="108"/>
      <c r="F72" s="107"/>
      <c r="G72" s="107"/>
      <c r="H72" s="109"/>
      <c r="I72" s="114"/>
      <c r="J72" s="111"/>
      <c r="K72" s="112"/>
      <c r="L72" s="113"/>
      <c r="M72" s="110"/>
    </row>
    <row r="73" spans="1:13" x14ac:dyDescent="0.15">
      <c r="A73" s="105"/>
      <c r="B73" s="106"/>
      <c r="C73" s="107"/>
      <c r="D73" s="107"/>
      <c r="E73" s="108"/>
      <c r="F73" s="107"/>
      <c r="G73" s="107"/>
      <c r="H73" s="109"/>
      <c r="I73" s="114"/>
      <c r="J73" s="111"/>
      <c r="K73" s="112"/>
      <c r="L73" s="113"/>
      <c r="M73" s="110"/>
    </row>
    <row r="74" spans="1:13" x14ac:dyDescent="0.15">
      <c r="A74" s="105"/>
      <c r="B74" s="106"/>
      <c r="C74" s="107"/>
      <c r="D74" s="107"/>
      <c r="E74" s="108"/>
      <c r="F74" s="107"/>
      <c r="G74" s="107"/>
      <c r="H74" s="109"/>
      <c r="I74" s="114"/>
      <c r="J74" s="111"/>
      <c r="K74" s="112"/>
      <c r="L74" s="113"/>
      <c r="M74" s="110"/>
    </row>
    <row r="75" spans="1:13" x14ac:dyDescent="0.15">
      <c r="A75" s="105"/>
      <c r="B75" s="106"/>
      <c r="C75" s="107"/>
      <c r="D75" s="107"/>
      <c r="E75" s="108"/>
      <c r="F75" s="107"/>
      <c r="G75" s="107"/>
      <c r="H75" s="109"/>
      <c r="I75" s="114"/>
      <c r="J75" s="111"/>
      <c r="K75" s="112"/>
      <c r="L75" s="113"/>
      <c r="M75" s="110"/>
    </row>
    <row r="76" spans="1:13" x14ac:dyDescent="0.15">
      <c r="A76" s="105"/>
      <c r="B76" s="106"/>
      <c r="C76" s="107"/>
      <c r="D76" s="107"/>
      <c r="E76" s="108"/>
      <c r="F76" s="107"/>
      <c r="G76" s="107"/>
      <c r="H76" s="109"/>
      <c r="I76" s="114"/>
      <c r="J76" s="111"/>
      <c r="K76" s="112"/>
      <c r="L76" s="113"/>
      <c r="M76" s="110"/>
    </row>
    <row r="77" spans="1:13" x14ac:dyDescent="0.15">
      <c r="A77" s="105"/>
      <c r="B77" s="106"/>
      <c r="C77" s="107"/>
      <c r="D77" s="107"/>
      <c r="E77" s="108"/>
      <c r="F77" s="107"/>
      <c r="G77" s="107"/>
      <c r="H77" s="109"/>
      <c r="I77" s="114"/>
      <c r="J77" s="111"/>
      <c r="K77" s="112"/>
      <c r="L77" s="113"/>
      <c r="M77" s="110"/>
    </row>
    <row r="78" spans="1:13" x14ac:dyDescent="0.15">
      <c r="A78" s="105"/>
      <c r="B78" s="106"/>
      <c r="C78" s="107"/>
      <c r="D78" s="107"/>
      <c r="E78" s="108"/>
      <c r="F78" s="107"/>
      <c r="G78" s="107"/>
      <c r="H78" s="109"/>
      <c r="I78" s="114"/>
      <c r="J78" s="111"/>
      <c r="K78" s="112"/>
      <c r="L78" s="113"/>
      <c r="M78" s="110"/>
    </row>
    <row r="79" spans="1:13" x14ac:dyDescent="0.15">
      <c r="A79" s="105"/>
      <c r="B79" s="106"/>
      <c r="C79" s="107"/>
      <c r="D79" s="107"/>
      <c r="E79" s="108"/>
      <c r="F79" s="107"/>
      <c r="G79" s="107"/>
      <c r="H79" s="109"/>
      <c r="I79" s="114"/>
      <c r="J79" s="111"/>
      <c r="K79" s="112"/>
      <c r="L79" s="113"/>
      <c r="M79" s="110"/>
    </row>
    <row r="80" spans="1:13" x14ac:dyDescent="0.15">
      <c r="A80" s="105"/>
      <c r="B80" s="106"/>
      <c r="C80" s="107"/>
      <c r="D80" s="107"/>
      <c r="E80" s="108"/>
      <c r="F80" s="107"/>
      <c r="G80" s="107"/>
      <c r="H80" s="109"/>
      <c r="I80" s="114"/>
      <c r="J80" s="111"/>
      <c r="K80" s="112"/>
      <c r="L80" s="113"/>
      <c r="M80" s="110"/>
    </row>
    <row r="81" spans="1:13" x14ac:dyDescent="0.15">
      <c r="A81" s="105"/>
      <c r="B81" s="106"/>
      <c r="C81" s="107"/>
      <c r="D81" s="107"/>
      <c r="E81" s="108"/>
      <c r="F81" s="107"/>
      <c r="G81" s="107"/>
      <c r="H81" s="109"/>
      <c r="I81" s="114"/>
      <c r="J81" s="111"/>
      <c r="K81" s="112"/>
      <c r="L81" s="113"/>
      <c r="M81" s="110"/>
    </row>
    <row r="82" spans="1:13" x14ac:dyDescent="0.15">
      <c r="A82" s="105"/>
      <c r="B82" s="106"/>
      <c r="C82" s="107"/>
      <c r="D82" s="107"/>
      <c r="E82" s="108"/>
      <c r="F82" s="107"/>
      <c r="G82" s="107"/>
      <c r="H82" s="109"/>
      <c r="I82" s="114"/>
      <c r="J82" s="111"/>
      <c r="K82" s="112"/>
      <c r="L82" s="113"/>
      <c r="M82" s="110"/>
    </row>
    <row r="83" spans="1:13" x14ac:dyDescent="0.15">
      <c r="A83" s="105"/>
      <c r="B83" s="106"/>
      <c r="C83" s="107"/>
      <c r="D83" s="107"/>
      <c r="E83" s="108"/>
      <c r="F83" s="107"/>
      <c r="G83" s="107"/>
      <c r="H83" s="109"/>
      <c r="I83" s="114"/>
      <c r="J83" s="111"/>
      <c r="K83" s="112"/>
      <c r="L83" s="113"/>
      <c r="M83" s="110"/>
    </row>
    <row r="84" spans="1:13" x14ac:dyDescent="0.15">
      <c r="A84" s="105"/>
      <c r="B84" s="106"/>
      <c r="C84" s="107"/>
      <c r="D84" s="107"/>
      <c r="E84" s="108"/>
      <c r="F84" s="107"/>
      <c r="G84" s="107"/>
      <c r="H84" s="109"/>
      <c r="I84" s="114"/>
      <c r="J84" s="111"/>
      <c r="K84" s="112"/>
      <c r="L84" s="113"/>
      <c r="M84" s="110"/>
    </row>
    <row r="85" spans="1:13" x14ac:dyDescent="0.15">
      <c r="A85" s="105"/>
      <c r="B85" s="106"/>
      <c r="C85" s="107"/>
      <c r="D85" s="107"/>
      <c r="E85" s="108"/>
      <c r="F85" s="107"/>
      <c r="G85" s="107"/>
      <c r="H85" s="109"/>
      <c r="I85" s="114"/>
      <c r="J85" s="111"/>
      <c r="K85" s="112"/>
      <c r="L85" s="113"/>
      <c r="M85" s="110"/>
    </row>
    <row r="86" spans="1:13" x14ac:dyDescent="0.15">
      <c r="A86" s="105"/>
      <c r="B86" s="106"/>
      <c r="C86" s="107"/>
      <c r="D86" s="107"/>
      <c r="E86" s="108"/>
      <c r="F86" s="107"/>
      <c r="G86" s="107"/>
      <c r="H86" s="109"/>
      <c r="I86" s="114"/>
      <c r="J86" s="111"/>
      <c r="K86" s="112"/>
      <c r="L86" s="113"/>
      <c r="M86" s="110"/>
    </row>
    <row r="87" spans="1:13" x14ac:dyDescent="0.15">
      <c r="A87" s="105"/>
      <c r="B87" s="106"/>
      <c r="C87" s="107"/>
      <c r="D87" s="107"/>
      <c r="E87" s="108"/>
      <c r="F87" s="107"/>
      <c r="G87" s="107"/>
      <c r="H87" s="109"/>
      <c r="I87" s="114"/>
      <c r="J87" s="111"/>
      <c r="K87" s="112"/>
      <c r="L87" s="113"/>
      <c r="M87" s="110"/>
    </row>
    <row r="88" spans="1:13" x14ac:dyDescent="0.15">
      <c r="A88" s="105"/>
      <c r="B88" s="106"/>
      <c r="C88" s="107"/>
      <c r="D88" s="107"/>
      <c r="E88" s="108"/>
      <c r="F88" s="107"/>
      <c r="G88" s="107"/>
      <c r="H88" s="109"/>
      <c r="I88" s="114"/>
      <c r="J88" s="111"/>
      <c r="K88" s="112"/>
      <c r="L88" s="113"/>
      <c r="M88" s="110"/>
    </row>
    <row r="89" spans="1:13" x14ac:dyDescent="0.15">
      <c r="A89" s="105"/>
      <c r="B89" s="106"/>
      <c r="C89" s="107"/>
      <c r="D89" s="107"/>
      <c r="E89" s="108"/>
      <c r="F89" s="107"/>
      <c r="G89" s="107"/>
      <c r="H89" s="109"/>
      <c r="I89" s="110"/>
      <c r="J89" s="111"/>
      <c r="K89" s="112"/>
      <c r="L89" s="113"/>
      <c r="M89" s="110"/>
    </row>
    <row r="90" spans="1:13" x14ac:dyDescent="0.15">
      <c r="A90" s="105"/>
      <c r="B90" s="106"/>
      <c r="C90" s="107"/>
      <c r="D90" s="107"/>
      <c r="E90" s="108"/>
      <c r="F90" s="107"/>
      <c r="G90" s="107"/>
      <c r="H90" s="109"/>
      <c r="I90" s="110"/>
      <c r="J90" s="111"/>
      <c r="K90" s="112"/>
      <c r="L90" s="113"/>
      <c r="M90" s="110"/>
    </row>
    <row r="91" spans="1:13" x14ac:dyDescent="0.15">
      <c r="A91" s="105"/>
      <c r="B91" s="106"/>
      <c r="C91" s="107"/>
      <c r="D91" s="107"/>
      <c r="E91" s="108"/>
      <c r="F91" s="107"/>
      <c r="G91" s="107"/>
      <c r="H91" s="109"/>
      <c r="I91" s="110"/>
      <c r="J91" s="111"/>
      <c r="K91" s="112"/>
      <c r="L91" s="113"/>
      <c r="M91" s="110"/>
    </row>
    <row r="92" spans="1:13" x14ac:dyDescent="0.15">
      <c r="A92" s="105"/>
      <c r="B92" s="106"/>
      <c r="C92" s="107"/>
      <c r="D92" s="107"/>
      <c r="E92" s="108"/>
      <c r="F92" s="107"/>
      <c r="G92" s="107"/>
      <c r="H92" s="109"/>
      <c r="I92" s="110"/>
      <c r="J92" s="111"/>
      <c r="K92" s="112"/>
      <c r="L92" s="113"/>
      <c r="M92" s="110"/>
    </row>
    <row r="93" spans="1:13" x14ac:dyDescent="0.15">
      <c r="A93" s="105"/>
      <c r="B93" s="106"/>
      <c r="C93" s="107"/>
      <c r="D93" s="107"/>
      <c r="E93" s="108"/>
      <c r="F93" s="107"/>
      <c r="G93" s="107"/>
      <c r="H93" s="109"/>
      <c r="I93" s="110"/>
      <c r="J93" s="111"/>
      <c r="K93" s="112"/>
      <c r="L93" s="113"/>
      <c r="M93" s="110"/>
    </row>
    <row r="94" spans="1:13" x14ac:dyDescent="0.15">
      <c r="A94" s="105"/>
      <c r="B94" s="106"/>
      <c r="C94" s="107"/>
      <c r="D94" s="107"/>
      <c r="E94" s="108"/>
      <c r="F94" s="107"/>
      <c r="G94" s="107"/>
      <c r="H94" s="109"/>
      <c r="I94" s="110"/>
      <c r="J94" s="111"/>
      <c r="K94" s="112"/>
      <c r="L94" s="113"/>
      <c r="M94" s="110"/>
    </row>
    <row r="95" spans="1:13" x14ac:dyDescent="0.15">
      <c r="A95" s="105"/>
      <c r="B95" s="106"/>
      <c r="C95" s="107"/>
      <c r="D95" s="107"/>
      <c r="E95" s="108"/>
      <c r="F95" s="107"/>
      <c r="G95" s="107"/>
      <c r="H95" s="109"/>
      <c r="I95" s="110"/>
      <c r="J95" s="111"/>
      <c r="K95" s="112"/>
      <c r="L95" s="113"/>
      <c r="M95" s="110"/>
    </row>
    <row r="96" spans="1:13" x14ac:dyDescent="0.15">
      <c r="A96" s="105"/>
      <c r="B96" s="106"/>
      <c r="C96" s="107"/>
      <c r="D96" s="107"/>
      <c r="E96" s="108"/>
      <c r="F96" s="107"/>
      <c r="G96" s="107"/>
      <c r="H96" s="109"/>
      <c r="I96" s="110"/>
      <c r="J96" s="111"/>
      <c r="K96" s="112"/>
      <c r="L96" s="113"/>
      <c r="M96" s="110"/>
    </row>
    <row r="97" spans="1:13" x14ac:dyDescent="0.15">
      <c r="A97" s="105"/>
      <c r="B97" s="106"/>
      <c r="C97" s="107"/>
      <c r="D97" s="107"/>
      <c r="E97" s="108"/>
      <c r="F97" s="107"/>
      <c r="G97" s="107"/>
      <c r="H97" s="109"/>
      <c r="I97" s="110"/>
      <c r="J97" s="111"/>
      <c r="K97" s="112"/>
      <c r="L97" s="113"/>
      <c r="M97" s="110"/>
    </row>
    <row r="98" spans="1:13" x14ac:dyDescent="0.15">
      <c r="A98" s="105"/>
      <c r="B98" s="106"/>
      <c r="C98" s="107"/>
      <c r="D98" s="107"/>
      <c r="E98" s="108"/>
      <c r="F98" s="107"/>
      <c r="G98" s="107"/>
      <c r="H98" s="109"/>
      <c r="I98" s="110"/>
      <c r="J98" s="111"/>
      <c r="K98" s="112"/>
      <c r="L98" s="113"/>
      <c r="M98" s="110"/>
    </row>
    <row r="99" spans="1:13" x14ac:dyDescent="0.15">
      <c r="A99" s="105"/>
      <c r="B99" s="106"/>
      <c r="C99" s="107"/>
      <c r="D99" s="107"/>
      <c r="E99" s="108"/>
      <c r="F99" s="107"/>
      <c r="G99" s="107"/>
      <c r="H99" s="109"/>
      <c r="I99" s="110"/>
      <c r="J99" s="111"/>
      <c r="K99" s="112"/>
      <c r="L99" s="113"/>
      <c r="M99" s="110"/>
    </row>
    <row r="100" spans="1:13" x14ac:dyDescent="0.15">
      <c r="A100" s="105"/>
      <c r="B100" s="106"/>
      <c r="C100" s="107"/>
      <c r="D100" s="107"/>
      <c r="E100" s="108"/>
      <c r="F100" s="107"/>
      <c r="G100" s="107"/>
      <c r="H100" s="109"/>
      <c r="I100" s="110"/>
      <c r="J100" s="111"/>
      <c r="K100" s="112"/>
      <c r="L100" s="113"/>
      <c r="M100" s="110"/>
    </row>
    <row r="101" spans="1:13" x14ac:dyDescent="0.15">
      <c r="A101" s="105"/>
      <c r="B101" s="106"/>
      <c r="C101" s="107"/>
      <c r="D101" s="107"/>
      <c r="E101" s="108"/>
      <c r="F101" s="107"/>
      <c r="G101" s="107"/>
      <c r="H101" s="109"/>
      <c r="I101" s="110"/>
      <c r="J101" s="111"/>
      <c r="K101" s="112"/>
      <c r="L101" s="113"/>
      <c r="M101" s="110"/>
    </row>
    <row r="102" spans="1:13" x14ac:dyDescent="0.15">
      <c r="A102" s="105"/>
      <c r="B102" s="106"/>
      <c r="C102" s="107"/>
      <c r="D102" s="107"/>
      <c r="E102" s="108"/>
      <c r="F102" s="107"/>
      <c r="G102" s="107"/>
      <c r="H102" s="109"/>
      <c r="I102" s="110"/>
      <c r="J102" s="111"/>
      <c r="K102" s="112"/>
      <c r="L102" s="113"/>
      <c r="M102" s="110"/>
    </row>
    <row r="103" spans="1:13" x14ac:dyDescent="0.15">
      <c r="A103" s="105"/>
      <c r="B103" s="106"/>
      <c r="C103" s="107"/>
      <c r="D103" s="107"/>
      <c r="E103" s="108"/>
      <c r="F103" s="107"/>
      <c r="G103" s="107"/>
      <c r="H103" s="109"/>
      <c r="I103" s="110"/>
      <c r="J103" s="111"/>
      <c r="K103" s="112"/>
      <c r="L103" s="113"/>
      <c r="M103" s="110"/>
    </row>
    <row r="104" spans="1:13" x14ac:dyDescent="0.15">
      <c r="A104" s="105"/>
      <c r="B104" s="106"/>
      <c r="C104" s="107"/>
      <c r="D104" s="107"/>
      <c r="E104" s="108"/>
      <c r="F104" s="107"/>
      <c r="G104" s="107"/>
      <c r="H104" s="109"/>
      <c r="I104" s="110"/>
      <c r="J104" s="111"/>
      <c r="K104" s="112"/>
      <c r="L104" s="113"/>
      <c r="M104" s="110"/>
    </row>
    <row r="105" spans="1:13" x14ac:dyDescent="0.15">
      <c r="A105" s="105"/>
      <c r="B105" s="106"/>
      <c r="C105" s="107"/>
      <c r="D105" s="107"/>
      <c r="E105" s="108"/>
      <c r="F105" s="107"/>
      <c r="G105" s="107"/>
      <c r="H105" s="109"/>
      <c r="I105" s="110"/>
      <c r="J105" s="111"/>
      <c r="K105" s="112"/>
      <c r="L105" s="113"/>
      <c r="M105" s="110"/>
    </row>
    <row r="106" spans="1:13" x14ac:dyDescent="0.15">
      <c r="A106" s="105"/>
      <c r="B106" s="106"/>
      <c r="C106" s="107"/>
      <c r="D106" s="107"/>
      <c r="E106" s="108"/>
      <c r="F106" s="107"/>
      <c r="G106" s="107"/>
      <c r="H106" s="109"/>
      <c r="I106" s="110"/>
      <c r="J106" s="111"/>
      <c r="K106" s="112"/>
      <c r="L106" s="113"/>
      <c r="M106" s="110"/>
    </row>
    <row r="107" spans="1:13" x14ac:dyDescent="0.15">
      <c r="A107" s="105"/>
      <c r="B107" s="106"/>
      <c r="C107" s="107"/>
      <c r="D107" s="107"/>
      <c r="E107" s="108"/>
      <c r="F107" s="107"/>
      <c r="G107" s="107"/>
      <c r="H107" s="109"/>
      <c r="I107" s="110"/>
      <c r="J107" s="111"/>
      <c r="K107" s="112"/>
      <c r="L107" s="113"/>
      <c r="M107" s="110"/>
    </row>
    <row r="108" spans="1:13" x14ac:dyDescent="0.15">
      <c r="A108" s="105"/>
      <c r="B108" s="106"/>
      <c r="C108" s="107"/>
      <c r="D108" s="107"/>
      <c r="E108" s="108"/>
      <c r="F108" s="107"/>
      <c r="G108" s="107"/>
      <c r="H108" s="109"/>
      <c r="I108" s="110"/>
      <c r="J108" s="111"/>
      <c r="K108" s="112"/>
      <c r="L108" s="113"/>
      <c r="M108" s="110"/>
    </row>
    <row r="109" spans="1:13" x14ac:dyDescent="0.15">
      <c r="A109" s="105"/>
      <c r="B109" s="106"/>
      <c r="C109" s="107"/>
      <c r="D109" s="107"/>
      <c r="E109" s="108"/>
      <c r="F109" s="107"/>
      <c r="G109" s="107"/>
      <c r="H109" s="109"/>
      <c r="I109" s="110"/>
      <c r="J109" s="111"/>
      <c r="K109" s="112"/>
      <c r="L109" s="113"/>
      <c r="M109" s="110"/>
    </row>
    <row r="110" spans="1:13" x14ac:dyDescent="0.15">
      <c r="A110" s="105"/>
      <c r="B110" s="106"/>
      <c r="C110" s="107"/>
      <c r="D110" s="107"/>
      <c r="E110" s="108"/>
      <c r="F110" s="107"/>
      <c r="G110" s="107"/>
      <c r="H110" s="109"/>
      <c r="I110" s="110"/>
      <c r="J110" s="111"/>
      <c r="K110" s="112"/>
      <c r="L110" s="113"/>
      <c r="M110" s="110"/>
    </row>
    <row r="111" spans="1:13" x14ac:dyDescent="0.15">
      <c r="A111" s="105"/>
      <c r="B111" s="106"/>
      <c r="C111" s="107"/>
      <c r="D111" s="107"/>
      <c r="E111" s="108"/>
      <c r="F111" s="107"/>
      <c r="G111" s="107"/>
      <c r="H111" s="109"/>
      <c r="I111" s="110"/>
      <c r="J111" s="111"/>
      <c r="K111" s="112"/>
      <c r="L111" s="113"/>
      <c r="M111" s="110"/>
    </row>
    <row r="112" spans="1:13" x14ac:dyDescent="0.15">
      <c r="A112" s="105"/>
      <c r="B112" s="106"/>
      <c r="C112" s="107"/>
      <c r="D112" s="107"/>
      <c r="E112" s="108"/>
      <c r="F112" s="107"/>
      <c r="G112" s="107"/>
      <c r="H112" s="109"/>
      <c r="I112" s="110"/>
      <c r="J112" s="111"/>
      <c r="K112" s="112"/>
      <c r="L112" s="113"/>
      <c r="M112" s="110"/>
    </row>
    <row r="113" spans="1:13" x14ac:dyDescent="0.15">
      <c r="A113" s="105"/>
      <c r="B113" s="106"/>
      <c r="C113" s="107"/>
      <c r="D113" s="107"/>
      <c r="E113" s="108"/>
      <c r="F113" s="107"/>
      <c r="G113" s="107"/>
      <c r="H113" s="109"/>
      <c r="I113" s="110"/>
      <c r="J113" s="111"/>
      <c r="K113" s="112"/>
      <c r="L113" s="113"/>
      <c r="M113" s="110"/>
    </row>
    <row r="114" spans="1:13" x14ac:dyDescent="0.15">
      <c r="A114" s="105"/>
      <c r="B114" s="106"/>
      <c r="C114" s="107"/>
      <c r="D114" s="107"/>
      <c r="E114" s="108"/>
      <c r="F114" s="107"/>
      <c r="G114" s="107"/>
      <c r="H114" s="109"/>
      <c r="I114" s="110"/>
      <c r="J114" s="111"/>
      <c r="K114" s="112"/>
      <c r="L114" s="113"/>
      <c r="M114" s="110"/>
    </row>
    <row r="115" spans="1:13" x14ac:dyDescent="0.15">
      <c r="A115" s="105"/>
      <c r="B115" s="106"/>
      <c r="C115" s="107"/>
      <c r="D115" s="107"/>
      <c r="E115" s="108"/>
      <c r="F115" s="107"/>
      <c r="G115" s="107"/>
      <c r="H115" s="109"/>
      <c r="I115" s="110"/>
      <c r="J115" s="111"/>
      <c r="K115" s="112"/>
      <c r="L115" s="113"/>
      <c r="M115" s="110"/>
    </row>
    <row r="116" spans="1:13" x14ac:dyDescent="0.15">
      <c r="A116" s="105"/>
      <c r="B116" s="106"/>
      <c r="C116" s="107"/>
      <c r="D116" s="107"/>
      <c r="E116" s="108"/>
      <c r="F116" s="107"/>
      <c r="G116" s="107"/>
      <c r="H116" s="109"/>
      <c r="I116" s="110"/>
      <c r="J116" s="111"/>
      <c r="K116" s="112"/>
      <c r="L116" s="113"/>
      <c r="M116" s="110"/>
    </row>
    <row r="117" spans="1:13" x14ac:dyDescent="0.15">
      <c r="A117" s="105"/>
      <c r="B117" s="106"/>
      <c r="C117" s="107"/>
      <c r="D117" s="107"/>
      <c r="E117" s="108"/>
      <c r="F117" s="107"/>
      <c r="G117" s="107"/>
      <c r="H117" s="109"/>
      <c r="I117" s="110"/>
      <c r="J117" s="111"/>
      <c r="K117" s="112"/>
      <c r="L117" s="113"/>
      <c r="M117" s="110"/>
    </row>
    <row r="118" spans="1:13" x14ac:dyDescent="0.15">
      <c r="A118" s="105"/>
      <c r="B118" s="106"/>
      <c r="C118" s="107"/>
      <c r="D118" s="107"/>
      <c r="E118" s="108"/>
      <c r="F118" s="107"/>
      <c r="G118" s="107"/>
      <c r="H118" s="109"/>
      <c r="I118" s="110"/>
      <c r="J118" s="111"/>
      <c r="K118" s="112"/>
      <c r="L118" s="113"/>
      <c r="M118" s="110"/>
    </row>
    <row r="119" spans="1:13" x14ac:dyDescent="0.15">
      <c r="A119" s="105"/>
      <c r="B119" s="106"/>
      <c r="C119" s="107"/>
      <c r="D119" s="107"/>
      <c r="E119" s="108"/>
      <c r="F119" s="107"/>
      <c r="G119" s="107"/>
      <c r="H119" s="109"/>
      <c r="I119" s="110"/>
      <c r="J119" s="111"/>
      <c r="K119" s="112"/>
      <c r="L119" s="113"/>
      <c r="M119" s="110"/>
    </row>
    <row r="120" spans="1:13" x14ac:dyDescent="0.15">
      <c r="A120" s="105"/>
      <c r="B120" s="106"/>
      <c r="C120" s="107"/>
      <c r="D120" s="107"/>
      <c r="E120" s="108"/>
      <c r="F120" s="107"/>
      <c r="G120" s="107"/>
      <c r="H120" s="109"/>
      <c r="I120" s="110"/>
      <c r="J120" s="111"/>
      <c r="K120" s="112"/>
      <c r="L120" s="113"/>
      <c r="M120" s="110"/>
    </row>
    <row r="121" spans="1:13" x14ac:dyDescent="0.15">
      <c r="A121" s="105"/>
      <c r="B121" s="106"/>
      <c r="C121" s="107"/>
      <c r="D121" s="107"/>
      <c r="E121" s="108"/>
      <c r="F121" s="107"/>
      <c r="G121" s="107"/>
      <c r="H121" s="109"/>
      <c r="I121" s="110"/>
      <c r="J121" s="111"/>
      <c r="K121" s="112"/>
      <c r="L121" s="113"/>
      <c r="M121" s="110"/>
    </row>
    <row r="122" spans="1:13" x14ac:dyDescent="0.15">
      <c r="A122" s="105"/>
      <c r="B122" s="106"/>
      <c r="C122" s="107"/>
      <c r="D122" s="107"/>
      <c r="E122" s="108"/>
      <c r="F122" s="107"/>
      <c r="G122" s="107"/>
      <c r="H122" s="109"/>
      <c r="I122" s="110"/>
      <c r="J122" s="111"/>
      <c r="K122" s="112"/>
      <c r="L122" s="113"/>
      <c r="M122" s="110"/>
    </row>
    <row r="123" spans="1:13" x14ac:dyDescent="0.15">
      <c r="A123" s="105"/>
      <c r="B123" s="106"/>
      <c r="C123" s="107"/>
      <c r="D123" s="107"/>
      <c r="E123" s="108"/>
      <c r="F123" s="107"/>
      <c r="G123" s="107"/>
      <c r="H123" s="109"/>
      <c r="I123" s="110"/>
      <c r="J123" s="111"/>
      <c r="K123" s="112"/>
      <c r="L123" s="113"/>
      <c r="M123" s="110"/>
    </row>
    <row r="124" spans="1:13" x14ac:dyDescent="0.15">
      <c r="A124" s="105"/>
      <c r="B124" s="106"/>
      <c r="C124" s="107"/>
      <c r="D124" s="107"/>
      <c r="E124" s="108"/>
      <c r="F124" s="107"/>
      <c r="G124" s="107"/>
      <c r="H124" s="109"/>
      <c r="I124" s="110"/>
      <c r="J124" s="111"/>
      <c r="K124" s="112"/>
      <c r="L124" s="113"/>
      <c r="M124" s="110"/>
    </row>
    <row r="125" spans="1:13" x14ac:dyDescent="0.15">
      <c r="A125" s="105"/>
      <c r="B125" s="106"/>
      <c r="C125" s="107"/>
      <c r="D125" s="107"/>
      <c r="E125" s="108"/>
      <c r="F125" s="107"/>
      <c r="G125" s="107"/>
      <c r="H125" s="109"/>
      <c r="I125" s="110"/>
      <c r="J125" s="111"/>
      <c r="K125" s="112"/>
      <c r="L125" s="113"/>
      <c r="M125" s="110"/>
    </row>
    <row r="126" spans="1:13" x14ac:dyDescent="0.15">
      <c r="A126" s="105"/>
      <c r="B126" s="106"/>
      <c r="C126" s="107"/>
      <c r="D126" s="107"/>
      <c r="E126" s="108"/>
      <c r="F126" s="107"/>
      <c r="G126" s="107"/>
      <c r="H126" s="109"/>
      <c r="I126" s="110"/>
      <c r="J126" s="111"/>
      <c r="K126" s="112"/>
      <c r="L126" s="113"/>
      <c r="M126" s="110"/>
    </row>
    <row r="127" spans="1:13" x14ac:dyDescent="0.15">
      <c r="A127" s="105"/>
      <c r="B127" s="106"/>
      <c r="C127" s="107"/>
      <c r="D127" s="107"/>
      <c r="E127" s="108"/>
      <c r="F127" s="107"/>
      <c r="G127" s="107"/>
      <c r="H127" s="109"/>
      <c r="I127" s="110"/>
      <c r="J127" s="111"/>
      <c r="K127" s="112"/>
      <c r="L127" s="113"/>
      <c r="M127" s="110"/>
    </row>
    <row r="128" spans="1:13" x14ac:dyDescent="0.15">
      <c r="A128" s="105"/>
      <c r="B128" s="106"/>
      <c r="C128" s="107"/>
      <c r="D128" s="107"/>
      <c r="E128" s="108"/>
      <c r="F128" s="107"/>
      <c r="G128" s="107"/>
      <c r="H128" s="109"/>
      <c r="I128" s="110"/>
      <c r="J128" s="111"/>
      <c r="K128" s="112"/>
      <c r="L128" s="113"/>
      <c r="M128" s="110"/>
    </row>
    <row r="129" spans="1:13" x14ac:dyDescent="0.15">
      <c r="A129" s="105"/>
      <c r="B129" s="106"/>
      <c r="C129" s="107"/>
      <c r="D129" s="107"/>
      <c r="E129" s="108"/>
      <c r="F129" s="107"/>
      <c r="G129" s="107"/>
      <c r="H129" s="109"/>
      <c r="I129" s="110"/>
      <c r="J129" s="111"/>
      <c r="K129" s="112"/>
      <c r="L129" s="113"/>
      <c r="M129" s="110"/>
    </row>
    <row r="130" spans="1:13" x14ac:dyDescent="0.15">
      <c r="A130" s="105"/>
      <c r="B130" s="110"/>
      <c r="C130" s="110"/>
      <c r="D130" s="110"/>
      <c r="E130" s="110"/>
      <c r="F130" s="110"/>
      <c r="G130" s="110"/>
      <c r="H130" s="110"/>
      <c r="I130" s="110"/>
      <c r="J130" s="110"/>
      <c r="K130" s="115"/>
      <c r="L130" s="115"/>
      <c r="M130" s="110"/>
    </row>
    <row r="131" spans="1:13" x14ac:dyDescent="0.15">
      <c r="A131" s="105"/>
      <c r="B131" s="110"/>
      <c r="C131" s="110"/>
      <c r="D131" s="110"/>
      <c r="E131" s="110"/>
      <c r="F131" s="110"/>
      <c r="G131" s="110"/>
      <c r="H131" s="110"/>
      <c r="I131" s="110"/>
      <c r="J131" s="110"/>
      <c r="K131" s="115"/>
      <c r="L131" s="115"/>
      <c r="M131" s="110"/>
    </row>
    <row r="132" spans="1:13" x14ac:dyDescent="0.15">
      <c r="A132" s="105"/>
      <c r="B132" s="110"/>
      <c r="C132" s="110"/>
      <c r="D132" s="110"/>
      <c r="E132" s="110"/>
      <c r="F132" s="110"/>
      <c r="G132" s="110"/>
      <c r="H132" s="110"/>
      <c r="I132" s="110"/>
      <c r="J132" s="110"/>
      <c r="K132" s="115"/>
      <c r="L132" s="115"/>
      <c r="M132" s="110"/>
    </row>
    <row r="133" spans="1:13" x14ac:dyDescent="0.15">
      <c r="A133" s="105"/>
      <c r="B133" s="110"/>
      <c r="C133" s="110"/>
      <c r="D133" s="110"/>
      <c r="E133" s="110"/>
      <c r="F133" s="110"/>
      <c r="G133" s="110"/>
      <c r="H133" s="110"/>
      <c r="I133" s="110"/>
      <c r="J133" s="110"/>
      <c r="K133" s="115"/>
      <c r="L133" s="115"/>
      <c r="M133" s="110"/>
    </row>
    <row r="134" spans="1:13" x14ac:dyDescent="0.15">
      <c r="A134" s="105"/>
      <c r="B134" s="110"/>
      <c r="C134" s="110"/>
      <c r="D134" s="110"/>
      <c r="E134" s="110"/>
      <c r="F134" s="110"/>
      <c r="G134" s="110"/>
      <c r="H134" s="110"/>
      <c r="I134" s="110"/>
      <c r="J134" s="110"/>
      <c r="K134" s="115"/>
      <c r="L134" s="115"/>
      <c r="M134" s="110"/>
    </row>
  </sheetData>
  <phoneticPr fontId="5"/>
  <dataValidations count="1">
    <dataValidation type="list" allowBlank="1" showInputMessage="1" showErrorMessage="1" sqref="A2:A12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L12" sqref="L12"/>
    </sheetView>
  </sheetViews>
  <sheetFormatPr baseColWidth="12" defaultColWidth="13" defaultRowHeight="15" outlineLevelCol="1" x14ac:dyDescent="0.15"/>
  <cols>
    <col min="1" max="1" width="13" style="8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9" t="s">
        <v>160</v>
      </c>
      <c r="B1" s="66" t="s">
        <v>147</v>
      </c>
      <c r="C1" s="70" t="s">
        <v>162</v>
      </c>
      <c r="D1" s="70" t="s">
        <v>33</v>
      </c>
      <c r="E1" s="66" t="s">
        <v>163</v>
      </c>
      <c r="F1" s="70" t="s">
        <v>18</v>
      </c>
      <c r="G1" s="70" t="s">
        <v>33</v>
      </c>
      <c r="H1" s="66" t="s">
        <v>165</v>
      </c>
      <c r="I1" s="81" t="s">
        <v>166</v>
      </c>
      <c r="J1" s="83" t="s">
        <v>167</v>
      </c>
      <c r="K1" s="72" t="s">
        <v>124</v>
      </c>
      <c r="L1" s="71" t="s">
        <v>158</v>
      </c>
      <c r="M1" s="84" t="s">
        <v>157</v>
      </c>
      <c r="N1" s="73" t="s">
        <v>168</v>
      </c>
    </row>
    <row r="2" spans="1:14" ht="69" customHeight="1" x14ac:dyDescent="0.15">
      <c r="A2" s="74" t="s">
        <v>169</v>
      </c>
      <c r="B2" s="75">
        <f>floors!$C$2</f>
        <v>11226</v>
      </c>
      <c r="C2" s="76" t="str">
        <f ca="1">VLOOKUP($B2,OFFSET([2]quests!$A$1,0,0,COUNTA([2]quests!$A:$A),MATCH(C$1,[2]quests!$1:$1,0)-MATCH($B$1,[2]quests!$1:$1,0)+1),MATCH(C$1,[2]quests!$1:$1,0)-MATCH($B$1,[2]quests!$1:$1,0)+1,FALSE)</f>
        <v>1周年記念★特別クエスト</v>
      </c>
      <c r="D2" s="76" t="str">
        <f ca="1">VLOOKUP($B2,OFFSET([2]quests!$A$1,0,0,COUNTA([2]quests!$A:$A),MATCH(D$1,[2]quests!$1:$1,0)-MATCH($B$1,[2]quests!$1:$1,0)+1),MATCH(D$1,[2]quests!$1:$1,0)-MATCH($B$1,[2]quests!$1:$1,0)+1,FALSE)</f>
        <v>1周年記念★特別クエスト</v>
      </c>
      <c r="E2" s="77">
        <v>1</v>
      </c>
      <c r="F2" s="76" t="str">
        <f ca="1">VLOOKUP($B2&amp;"_"&amp;$E2,OFFSET([2]stages!$A$1,0,0,COUNTA([2]stages!$A:$A),MATCH(F$1,[2]stages!$2:$2,0)-MATCH("temp_stage",[2]stages!$2:$2,0)+1),MATCH(F$1,[2]stages!$2:$2,0)-MATCH("temp_stage",[2]stages!$2:$2,0)+1,FALSE)</f>
        <v>1周年のキセキ</v>
      </c>
      <c r="G2" s="76">
        <f ca="1">VLOOKUP($B2&amp;"_"&amp;$E2,OFFSET([2]stages!$A$1,0,0,COUNTA([2]stages!$A:$A),MATCH(G$1,[2]stages!$2:$2,0)-MATCH("temp_stage",[2]stages!$2:$2,0)+1),MATCH(G$1,[2]stages!$2:$2,0)-MATCH("temp_stage",[2]stages!$2:$2,0)+1,FALSE)</f>
        <v>0</v>
      </c>
      <c r="H2" s="131">
        <v>1</v>
      </c>
      <c r="I2" s="82">
        <f>ROW()-1</f>
        <v>1</v>
      </c>
      <c r="J2" s="78" t="str">
        <f>B2&amp;TEXT(I2,"00")</f>
        <v>1122601</v>
      </c>
      <c r="K2" s="77" t="s">
        <v>170</v>
      </c>
      <c r="L2" s="79" t="s">
        <v>171</v>
      </c>
      <c r="M2" s="126" t="s">
        <v>212</v>
      </c>
      <c r="N2" s="55" t="s">
        <v>172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2016-07-05T18:29:33Z</dcterms:modified>
</cp:coreProperties>
</file>