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940" yWindow="1640" windowWidth="31280" windowHeight="199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1" l="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7" i="11"/>
  <c r="J6" i="11"/>
  <c r="J5" i="11"/>
  <c r="M17" i="10"/>
  <c r="T17" i="10"/>
  <c r="W17" i="10"/>
  <c r="V17" i="10"/>
  <c r="X17" i="10"/>
  <c r="U17" i="10"/>
  <c r="Y17" i="10"/>
  <c r="M48" i="10"/>
  <c r="N48" i="10"/>
  <c r="Q48" i="10"/>
  <c r="P48" i="10"/>
  <c r="R48" i="10"/>
  <c r="O48" i="10"/>
  <c r="S48" i="10"/>
  <c r="M46" i="10"/>
  <c r="N46" i="10"/>
  <c r="Q46" i="10"/>
  <c r="P46" i="10"/>
  <c r="R46" i="10"/>
  <c r="O46" i="10"/>
  <c r="S46" i="10"/>
  <c r="M36" i="10"/>
  <c r="N36" i="10"/>
  <c r="Q36" i="10"/>
  <c r="P36" i="10"/>
  <c r="R36" i="10"/>
  <c r="O36" i="10"/>
  <c r="S36" i="10"/>
  <c r="M30" i="10"/>
  <c r="N30" i="10"/>
  <c r="Q30" i="10"/>
  <c r="P30" i="10"/>
  <c r="R30" i="10"/>
  <c r="O30" i="10"/>
  <c r="S30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M45" i="10"/>
  <c r="N45" i="10"/>
  <c r="Q45" i="10"/>
  <c r="P45" i="10"/>
  <c r="R45" i="10"/>
  <c r="O45" i="10"/>
  <c r="S45" i="10"/>
  <c r="M43" i="10"/>
  <c r="N43" i="10"/>
  <c r="Q43" i="10"/>
  <c r="P43" i="10"/>
  <c r="R43" i="10"/>
  <c r="O43" i="10"/>
  <c r="S43" i="10"/>
  <c r="M29" i="10"/>
  <c r="N29" i="10"/>
  <c r="Q29" i="10"/>
  <c r="P29" i="10"/>
  <c r="R29" i="10"/>
  <c r="O29" i="10"/>
  <c r="S29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M44" i="10"/>
  <c r="N44" i="10"/>
  <c r="Q44" i="10"/>
  <c r="P44" i="10"/>
  <c r="R44" i="10"/>
  <c r="O44" i="10"/>
  <c r="S44" i="10"/>
  <c r="M42" i="10"/>
  <c r="N42" i="10"/>
  <c r="Q42" i="10"/>
  <c r="P42" i="10"/>
  <c r="R42" i="10"/>
  <c r="O42" i="10"/>
  <c r="S42" i="10"/>
  <c r="M28" i="10"/>
  <c r="N28" i="10"/>
  <c r="Q28" i="10"/>
  <c r="P28" i="10"/>
  <c r="R28" i="10"/>
  <c r="O28" i="10"/>
  <c r="S28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M41" i="10"/>
  <c r="N41" i="10"/>
  <c r="Q41" i="10"/>
  <c r="P41" i="10"/>
  <c r="R41" i="10"/>
  <c r="O41" i="10"/>
  <c r="S41" i="10"/>
  <c r="M27" i="10"/>
  <c r="N27" i="10"/>
  <c r="Q27" i="10"/>
  <c r="P27" i="10"/>
  <c r="R27" i="10"/>
  <c r="O27" i="10"/>
  <c r="S27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M26" i="10"/>
  <c r="M40" i="10"/>
  <c r="N40" i="10"/>
  <c r="Q40" i="10"/>
  <c r="P40" i="10"/>
  <c r="R40" i="10"/>
  <c r="O40" i="10"/>
  <c r="S40" i="10"/>
  <c r="N26" i="10"/>
  <c r="Q26" i="10"/>
  <c r="P26" i="10"/>
  <c r="R26" i="10"/>
  <c r="O26" i="10"/>
  <c r="S26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M25" i="10"/>
  <c r="M3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M24" i="10"/>
  <c r="M3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5" i="10"/>
  <c r="Q5" i="10"/>
  <c r="P5" i="10"/>
  <c r="R5" i="10"/>
  <c r="O5" i="10"/>
  <c r="S5" i="10"/>
  <c r="G5" i="10"/>
  <c r="J5" i="10"/>
  <c r="I5" i="10"/>
  <c r="K5" i="10"/>
  <c r="H5" i="10"/>
  <c r="L5" i="10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J69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68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67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66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J59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58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39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38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37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36" i="11"/>
  <c r="O99" i="9"/>
  <c r="N99" i="9"/>
  <c r="M99" i="9"/>
  <c r="L99" i="9"/>
  <c r="K99" i="9"/>
  <c r="J99" i="9"/>
  <c r="I99" i="9"/>
  <c r="H99" i="9"/>
  <c r="G99" i="9"/>
  <c r="E99" i="9"/>
  <c r="D99" i="9"/>
  <c r="A99" i="9"/>
  <c r="J35" i="11"/>
  <c r="O98" i="9"/>
  <c r="N98" i="9"/>
  <c r="M98" i="9"/>
  <c r="L98" i="9"/>
  <c r="K98" i="9"/>
  <c r="J98" i="9"/>
  <c r="I98" i="9"/>
  <c r="H98" i="9"/>
  <c r="G98" i="9"/>
  <c r="E98" i="9"/>
  <c r="D98" i="9"/>
  <c r="A98" i="9"/>
  <c r="J34" i="11"/>
  <c r="O97" i="9"/>
  <c r="N97" i="9"/>
  <c r="M97" i="9"/>
  <c r="L97" i="9"/>
  <c r="K97" i="9"/>
  <c r="J97" i="9"/>
  <c r="I97" i="9"/>
  <c r="H97" i="9"/>
  <c r="G97" i="9"/>
  <c r="E97" i="9"/>
  <c r="D97" i="9"/>
  <c r="A97" i="9"/>
  <c r="J33" i="11"/>
  <c r="O96" i="9"/>
  <c r="N96" i="9"/>
  <c r="M96" i="9"/>
  <c r="L96" i="9"/>
  <c r="K96" i="9"/>
  <c r="J96" i="9"/>
  <c r="I96" i="9"/>
  <c r="H96" i="9"/>
  <c r="G96" i="9"/>
  <c r="E96" i="9"/>
  <c r="D96" i="9"/>
  <c r="A96" i="9"/>
  <c r="J32" i="11"/>
  <c r="O95" i="9"/>
  <c r="N95" i="9"/>
  <c r="M95" i="9"/>
  <c r="L95" i="9"/>
  <c r="K95" i="9"/>
  <c r="J95" i="9"/>
  <c r="I95" i="9"/>
  <c r="H95" i="9"/>
  <c r="G95" i="9"/>
  <c r="E95" i="9"/>
  <c r="D95" i="9"/>
  <c r="A95" i="9"/>
  <c r="J31" i="11"/>
  <c r="O94" i="9"/>
  <c r="N94" i="9"/>
  <c r="M94" i="9"/>
  <c r="L94" i="9"/>
  <c r="K94" i="9"/>
  <c r="J94" i="9"/>
  <c r="I94" i="9"/>
  <c r="H94" i="9"/>
  <c r="G94" i="9"/>
  <c r="E94" i="9"/>
  <c r="D94" i="9"/>
  <c r="A9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88" i="9"/>
  <c r="H88" i="9"/>
  <c r="I88" i="9"/>
  <c r="J88" i="9"/>
  <c r="K88" i="9"/>
  <c r="L88" i="9"/>
  <c r="M88" i="9"/>
  <c r="N88" i="9"/>
  <c r="G89" i="9"/>
  <c r="H89" i="9"/>
  <c r="I89" i="9"/>
  <c r="J89" i="9"/>
  <c r="K89" i="9"/>
  <c r="L89" i="9"/>
  <c r="M89" i="9"/>
  <c r="N89" i="9"/>
  <c r="G90" i="9"/>
  <c r="H90" i="9"/>
  <c r="I90" i="9"/>
  <c r="J90" i="9"/>
  <c r="K90" i="9"/>
  <c r="L90" i="9"/>
  <c r="M90" i="9"/>
  <c r="N90" i="9"/>
  <c r="G91" i="9"/>
  <c r="H91" i="9"/>
  <c r="I91" i="9"/>
  <c r="J91" i="9"/>
  <c r="K91" i="9"/>
  <c r="L91" i="9"/>
  <c r="M91" i="9"/>
  <c r="N91" i="9"/>
  <c r="G111" i="9"/>
  <c r="H111" i="9"/>
  <c r="I111" i="9"/>
  <c r="J111" i="9"/>
  <c r="K111" i="9"/>
  <c r="L111" i="9"/>
  <c r="M111" i="9"/>
  <c r="N111" i="9"/>
  <c r="G112" i="9"/>
  <c r="H112" i="9"/>
  <c r="I112" i="9"/>
  <c r="J112" i="9"/>
  <c r="K112" i="9"/>
  <c r="L112" i="9"/>
  <c r="M112" i="9"/>
  <c r="N112" i="9"/>
  <c r="G113" i="9"/>
  <c r="H113" i="9"/>
  <c r="I113" i="9"/>
  <c r="J113" i="9"/>
  <c r="K113" i="9"/>
  <c r="L113" i="9"/>
  <c r="M113" i="9"/>
  <c r="N113" i="9"/>
  <c r="G114" i="9"/>
  <c r="H114" i="9"/>
  <c r="I114" i="9"/>
  <c r="J114" i="9"/>
  <c r="K114" i="9"/>
  <c r="L114" i="9"/>
  <c r="M114" i="9"/>
  <c r="N114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67" i="9"/>
  <c r="H67" i="9"/>
  <c r="I67" i="9"/>
  <c r="J67" i="9"/>
  <c r="K67" i="9"/>
  <c r="L67" i="9"/>
  <c r="M67" i="9"/>
  <c r="N67" i="9"/>
  <c r="G68" i="9"/>
  <c r="H68" i="9"/>
  <c r="I68" i="9"/>
  <c r="J68" i="9"/>
  <c r="K68" i="9"/>
  <c r="L68" i="9"/>
  <c r="M68" i="9"/>
  <c r="N68" i="9"/>
  <c r="G92" i="9"/>
  <c r="H92" i="9"/>
  <c r="I92" i="9"/>
  <c r="J92" i="9"/>
  <c r="K92" i="9"/>
  <c r="L92" i="9"/>
  <c r="M92" i="9"/>
  <c r="N92" i="9"/>
  <c r="G93" i="9"/>
  <c r="H93" i="9"/>
  <c r="I93" i="9"/>
  <c r="J93" i="9"/>
  <c r="K93" i="9"/>
  <c r="L93" i="9"/>
  <c r="M93" i="9"/>
  <c r="N93" i="9"/>
  <c r="G109" i="9"/>
  <c r="H109" i="9"/>
  <c r="I109" i="9"/>
  <c r="J109" i="9"/>
  <c r="K109" i="9"/>
  <c r="L109" i="9"/>
  <c r="M109" i="9"/>
  <c r="N109" i="9"/>
  <c r="G110" i="9"/>
  <c r="H110" i="9"/>
  <c r="I110" i="9"/>
  <c r="J110" i="9"/>
  <c r="K110" i="9"/>
  <c r="L110" i="9"/>
  <c r="M110" i="9"/>
  <c r="N110" i="9"/>
  <c r="J65" i="11"/>
  <c r="J64" i="11"/>
  <c r="J63" i="11"/>
  <c r="J62" i="11"/>
  <c r="J61" i="11"/>
  <c r="J60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O110" i="9"/>
  <c r="E110" i="9"/>
  <c r="D110" i="9"/>
  <c r="A110" i="9"/>
  <c r="O109" i="9"/>
  <c r="E109" i="9"/>
  <c r="D109" i="9"/>
  <c r="A109" i="9"/>
  <c r="O93" i="9"/>
  <c r="E93" i="9"/>
  <c r="D93" i="9"/>
  <c r="A93" i="9"/>
  <c r="O92" i="9"/>
  <c r="E92" i="9"/>
  <c r="D92" i="9"/>
  <c r="A92" i="9"/>
  <c r="O68" i="9"/>
  <c r="E68" i="9"/>
  <c r="D68" i="9"/>
  <c r="A68" i="9"/>
  <c r="O67" i="9"/>
  <c r="E67" i="9"/>
  <c r="D67" i="9"/>
  <c r="A67" i="9"/>
  <c r="O41" i="9"/>
  <c r="E41" i="9"/>
  <c r="D41" i="9"/>
  <c r="A41" i="9"/>
  <c r="O40" i="9"/>
  <c r="E40" i="9"/>
  <c r="D40" i="9"/>
  <c r="A40" i="9"/>
  <c r="O51" i="9"/>
  <c r="E51" i="9"/>
  <c r="D51" i="9"/>
  <c r="A51" i="9"/>
  <c r="O50" i="9"/>
  <c r="E50" i="9"/>
  <c r="D50" i="9"/>
  <c r="A50" i="9"/>
  <c r="O114" i="9"/>
  <c r="E114" i="9"/>
  <c r="D114" i="9"/>
  <c r="A114" i="9"/>
  <c r="O113" i="9"/>
  <c r="E113" i="9"/>
  <c r="D113" i="9"/>
  <c r="A113" i="9"/>
  <c r="O112" i="9"/>
  <c r="E112" i="9"/>
  <c r="D112" i="9"/>
  <c r="A112" i="9"/>
  <c r="O111" i="9"/>
  <c r="E111" i="9"/>
  <c r="D111" i="9"/>
  <c r="A111" i="9"/>
  <c r="O91" i="9"/>
  <c r="E91" i="9"/>
  <c r="D91" i="9"/>
  <c r="A91" i="9"/>
  <c r="O90" i="9"/>
  <c r="E90" i="9"/>
  <c r="D90" i="9"/>
  <c r="A90" i="9"/>
  <c r="O89" i="9"/>
  <c r="E89" i="9"/>
  <c r="D89" i="9"/>
  <c r="A89" i="9"/>
  <c r="O88" i="9"/>
  <c r="E88" i="9"/>
  <c r="D88" i="9"/>
  <c r="A88" i="9"/>
  <c r="O72" i="9"/>
  <c r="E72" i="9"/>
  <c r="D72" i="9"/>
  <c r="A72" i="9"/>
  <c r="O71" i="9"/>
  <c r="E71" i="9"/>
  <c r="D71" i="9"/>
  <c r="A71" i="9"/>
  <c r="O70" i="9"/>
  <c r="E70" i="9"/>
  <c r="D70" i="9"/>
  <c r="A70" i="9"/>
  <c r="O69" i="9"/>
  <c r="E69" i="9"/>
  <c r="D69" i="9"/>
  <c r="A69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39" i="9"/>
  <c r="E39" i="9"/>
  <c r="D39" i="9"/>
  <c r="A39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J30" i="11"/>
  <c r="J29" i="11"/>
  <c r="O30" i="9"/>
  <c r="E30" i="9"/>
  <c r="D30" i="9"/>
  <c r="A30" i="9"/>
  <c r="O29" i="9"/>
  <c r="E29" i="9"/>
  <c r="D29" i="9"/>
  <c r="A29" i="9"/>
  <c r="J28" i="11"/>
  <c r="O28" i="9"/>
  <c r="E28" i="9"/>
  <c r="D28" i="9"/>
  <c r="A28" i="9"/>
  <c r="J27" i="11"/>
  <c r="O27" i="9"/>
  <c r="E27" i="9"/>
  <c r="D27" i="9"/>
  <c r="A27" i="9"/>
  <c r="J26" i="11"/>
  <c r="O26" i="9"/>
  <c r="E26" i="9"/>
  <c r="D26" i="9"/>
  <c r="A26" i="9"/>
  <c r="J25" i="11"/>
  <c r="O25" i="9"/>
  <c r="E25" i="9"/>
  <c r="D25" i="9"/>
  <c r="A25" i="9"/>
  <c r="J24" i="11"/>
  <c r="O24" i="9"/>
  <c r="E24" i="9"/>
  <c r="D24" i="9"/>
  <c r="A24" i="9"/>
  <c r="J23" i="11"/>
  <c r="O23" i="9"/>
  <c r="E23" i="9"/>
  <c r="D23" i="9"/>
  <c r="A23" i="9"/>
  <c r="J22" i="11"/>
  <c r="O22" i="9"/>
  <c r="E22" i="9"/>
  <c r="D22" i="9"/>
  <c r="A22" i="9"/>
  <c r="J21" i="11"/>
  <c r="O21" i="9"/>
  <c r="E21" i="9"/>
  <c r="D21" i="9"/>
  <c r="A21" i="9"/>
  <c r="J20" i="11"/>
  <c r="O20" i="9"/>
  <c r="E20" i="9"/>
  <c r="D20" i="9"/>
  <c r="A20" i="9"/>
  <c r="J19" i="11"/>
  <c r="O19" i="9"/>
  <c r="E19" i="9"/>
  <c r="D19" i="9"/>
  <c r="A19" i="9"/>
  <c r="J18" i="11"/>
  <c r="O18" i="9"/>
  <c r="E18" i="9"/>
  <c r="D18" i="9"/>
  <c r="A18" i="9"/>
  <c r="T30" i="10"/>
  <c r="W30" i="10"/>
  <c r="V30" i="10"/>
  <c r="X30" i="10"/>
  <c r="U30" i="10"/>
  <c r="Y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J8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8" i="2"/>
  <c r="E8" i="2"/>
  <c r="D8" i="2"/>
  <c r="H2" i="1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AA2" i="7"/>
  <c r="E9" i="16"/>
  <c r="Z2" i="7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<sst xmlns="http://schemas.openxmlformats.org/spreadsheetml/2006/main" count="1401" uniqueCount="451">
  <si>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</si>
  <si>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</si>
  <si>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</si>
  <si>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</si>
  <si>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</si>
  <si>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</si>
  <si>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</si>
  <si>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</si>
  <si>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</si>
  <si>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</si>
  <si>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</si>
  <si>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</si>
  <si>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</si>
  <si>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</si>
  <si>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</si>
  <si>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</si>
  <si>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</si>
  <si>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</si>
  <si>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</si>
  <si>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</si>
  <si>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</si>
  <si>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</si>
  <si>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</si>
  <si>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</si>
  <si>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</si>
  <si>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</si>
  <si>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</si>
  <si>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</si>
  <si>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</si>
  <si>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</si>
  <si>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</si>
  <si>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</si>
  <si>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</si>
  <si>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</si>
  <si>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</si>
  <si>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</si>
  <si>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</si>
  <si>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</si>
  <si>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</si>
  <si>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</si>
  <si>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</si>
  <si>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</si>
  <si>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</si>
  <si>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</si>
  <si>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</si>
  <si>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</si>
  <si>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</si>
  <si>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</si>
  <si>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</si>
  <si>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</si>
  <si>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</si>
  <si>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</si>
  <si>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</si>
  <si>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</si>
  <si>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</si>
  <si>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</si>
  <si>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</si>
  <si>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</si>
  <si>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</si>
  <si>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</si>
  <si>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</si>
  <si>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</si>
  <si>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</si>
  <si>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</si>
  <si>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</si>
  <si>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</si>
  <si>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</si>
  <si>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</si>
  <si>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</si>
  <si>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</si>
  <si>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</si>
  <si>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</si>
  <si>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</si>
  <si>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</si>
  <si>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</si>
  <si>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</si>
  <si>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</si>
  <si>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</si>
  <si>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</si>
  <si>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</si>
  <si>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</si>
  <si>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</si>
  <si>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</si>
  <si>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</si>
  <si>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</si>
  <si>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</si>
  <si>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</si>
  <si>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</si>
  <si>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</si>
  <si>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</si>
  <si>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</si>
  <si>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</si>
  <si>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</si>
  <si>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</si>
  <si>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</si>
  <si>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</si>
  <si>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</si>
  <si>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</si>
  <si>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</si>
  <si>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</si>
  <si>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</si>
  <si>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</si>
  <si>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</si>
  <si>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</si>
  <si>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</si>
  <si>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</si>
  <si>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</si>
  <si>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</si>
  <si>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</si>
  <si>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</si>
  <si>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</si>
  <si>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</si>
  <si>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</si>
  <si>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</si>
  <si>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</si>
  <si>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</si>
  <si>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</si>
  <si>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</si>
  <si>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</si>
  <si>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</si>
  <si>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</si>
  <si>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</si>
  <si>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</si>
  <si>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</si>
  <si>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</si>
  <si>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</si>
  <si>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</si>
  <si>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</si>
  <si>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</si>
  <si>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</si>
  <si>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</si>
  <si>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</si>
  <si>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</si>
  <si>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</si>
  <si>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</si>
  <si>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</si>
  <si>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</si>
  <si>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</si>
  <si>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</si>
  <si>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</si>
  <si>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</si>
  <si>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</si>
  <si>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</si>
  <si>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</si>
  <si>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</si>
  <si>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</si>
  <si>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</si>
  <si>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</si>
  <si>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</si>
  <si>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</si>
  <si>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</si>
  <si>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</si>
  <si>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</si>
  <si>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</si>
  <si>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</si>
  <si>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</si>
  <si>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</si>
  <si>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</si>
  <si>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</si>
  <si>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</si>
  <si>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</si>
  <si>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</si>
  <si>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</si>
  <si>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</si>
  <si>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</si>
  <si>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</si>
  <si>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</si>
  <si>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</si>
  <si>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</si>
  <si>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</si>
  <si>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</si>
  <si>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</si>
  <si>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</si>
  <si>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</si>
  <si>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</si>
  <si>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</si>
  <si>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</si>
  <si>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</si>
  <si>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</si>
  <si>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</si>
  <si>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</si>
  <si>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</si>
  <si>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</si>
  <si>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</si>
  <si>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</si>
  <si>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</si>
  <si>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</si>
  <si>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</si>
  <si>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</si>
  <si>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</si>
  <si>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</si>
  <si>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</si>
  <si>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</si>
  <si>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</si>
  <si>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</si>
  <si>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</si>
  <si>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</si>
  <si>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</si>
  <si>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</si>
  <si>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</si>
  <si>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</si>
  <si>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</si>
  <si>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</si>
  <si>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</si>
  <si>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</si>
  <si>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</si>
  <si>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</si>
  <si>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</si>
  <si>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</si>
  <si>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</si>
  <si>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</si>
  <si>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</si>
  <si>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</si>
  <si>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</si>
  <si>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</si>
  <si>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</si>
  <si>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</si>
  <si>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</si>
  <si>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</si>
  <si>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</si>
  <si>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</si>
  <si>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</si>
  <si>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</si>
  <si>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</si>
  <si>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</si>
  <si>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</si>
  <si>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</si>
  <si>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</si>
  <si>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</si>
  <si>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</si>
  <si>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</si>
  <si>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</si>
  <si>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</si>
  <si>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</si>
  <si>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</si>
  <si>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</si>
  <si>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</si>
  <si>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</si>
  <si>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</si>
  <si>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</si>
  <si>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</si>
  <si>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</si>
  <si>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</si>
  <si>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</si>
  <si>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</si>
  <si>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</si>
  <si>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</si>
  <si>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</si>
  <si>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</si>
  <si>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</si>
  <si>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</si>
  <si>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</si>
  <si>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</si>
  <si>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</si>
  <si>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</si>
  <si>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</si>
  <si>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</si>
  <si>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</si>
  <si>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</si>
  <si>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</si>
  <si>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</si>
  <si>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</si>
  <si>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</si>
  <si>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</si>
  <si>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</si>
  <si>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</si>
  <si>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</si>
  <si>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</si>
  <si>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ボスA1</t>
    <phoneticPr fontId="5"/>
  </si>
  <si>
    <t>ボスA2</t>
  </si>
  <si>
    <t>ボスA3</t>
  </si>
  <si>
    <t>ボスA4</t>
  </si>
  <si>
    <t>ボスA5</t>
  </si>
  <si>
    <t>ボスA6</t>
  </si>
  <si>
    <t>ボスA7</t>
  </si>
  <si>
    <t>全ユニットのスキルターンを4ターン減少+
体力・回復タイプのユニットの
スキルターンを8ターン減少&amp;攻撃力2000UP</t>
    <rPh sb="0" eb="1">
      <t>ゼンユニット</t>
    </rPh>
    <rPh sb="17" eb="19">
      <t>ゲンショウ</t>
    </rPh>
    <rPh sb="21" eb="23">
      <t>タイリョク</t>
    </rPh>
    <rPh sb="24" eb="26">
      <t>カイフク</t>
    </rPh>
    <rPh sb="50" eb="53">
      <t>コウゲキリョク</t>
    </rPh>
    <phoneticPr fontId="5"/>
  </si>
  <si>
    <t>old</t>
    <phoneticPr fontId="5"/>
  </si>
  <si>
    <t>[effect:force_change_block, new_block:damage, target:normal, count:5, val:0.05],[effect:sp_boost, target:unit_hp/unit_heal/or, val:8],[effect:rush, count:1, val:1]</t>
    <phoneticPr fontId="5"/>
  </si>
  <si>
    <t>[effect:force_change_block, new_block:time_bomb, target:normal, count:5, val:0.05, min_time_count:1, max_time_count:1],[effect:sp_boost, target:unit_hp/unit_heal/or, val:8],[effect:rush, count:1, val:1]</t>
    <phoneticPr fontId="5"/>
  </si>
  <si>
    <t>ボスB1</t>
    <phoneticPr fontId="5"/>
  </si>
  <si>
    <t>[effect:force_change_block, new_block:damage, target:normal, count:10, val:0.05],[effect:rush, count:1, val:1]</t>
    <phoneticPr fontId="5"/>
  </si>
  <si>
    <t>[effect:force_change_block, new_block:time_bomb, target:normal, count:10, val:0.05, min_time_count:1, max_time_count:1],[effect:rush, count:1, val:1]</t>
    <phoneticPr fontId="5"/>
  </si>
  <si>
    <t>[effect:force_change_block, new_block:jammer, target:normal, count:10, val:0],[effect:rush, count:1, val:1]</t>
    <phoneticPr fontId="5"/>
  </si>
  <si>
    <t>[effect:panel_freeze, target:normal, count:20],[effect:rush, count:1, val:1]</t>
    <phoneticPr fontId="5"/>
  </si>
  <si>
    <t>ボスB2</t>
  </si>
  <si>
    <t>ボスB3</t>
  </si>
  <si>
    <t>ボスB4</t>
  </si>
  <si>
    <t>ボスB5</t>
  </si>
  <si>
    <t>状態異常耐性+
全ユニットのスキルターンを4ターン減少+
体力・回復タイプのユニットの
スキルターンを8ターン減少&amp;攻撃力2000UP</t>
    <rPh sb="0" eb="4">
      <t>ジョウタイイジョウ</t>
    </rPh>
    <rPh sb="4" eb="6">
      <t>タイセイ</t>
    </rPh>
    <rPh sb="8" eb="9">
      <t>ゼンユニット</t>
    </rPh>
    <rPh sb="25" eb="27">
      <t>ゲンショウ</t>
    </rPh>
    <rPh sb="29" eb="31">
      <t>タイリョク</t>
    </rPh>
    <rPh sb="32" eb="34">
      <t>カイフク</t>
    </rPh>
    <rPh sb="58" eb="61">
      <t>コウゲキリョク</t>
    </rPh>
    <phoneticPr fontId="5"/>
  </si>
  <si>
    <t>単体攻撃+属性パネルをダメージパネルに5個変換</t>
    <rPh sb="5" eb="7">
      <t>ゾクセイパネル</t>
    </rPh>
    <rPh sb="21" eb="23">
      <t>ヘンカン</t>
    </rPh>
    <phoneticPr fontId="5"/>
  </si>
  <si>
    <t>単体攻撃+属性パネルを時限式ダメージパネルに5個変換</t>
    <rPh sb="5" eb="7">
      <t>ゾクセイパネル</t>
    </rPh>
    <rPh sb="11" eb="14">
      <t>ジゲンシキ</t>
    </rPh>
    <rPh sb="24" eb="26">
      <t>ヘンカン</t>
    </rPh>
    <phoneticPr fontId="5"/>
  </si>
  <si>
    <t>単体攻撃+属性パネルをダメージパネルに5個変換+
体力・回復タイプのユニットのスキルターンを8ターン減少</t>
    <rPh sb="5" eb="7">
      <t>ゾクセイパネル</t>
    </rPh>
    <rPh sb="21" eb="23">
      <t>ヘンカン</t>
    </rPh>
    <phoneticPr fontId="5"/>
  </si>
  <si>
    <t>単体攻撃+属性パネルを時限式ダメージパネルに5個変換+
体力・回復タイプのユニットのスキルターンを8ターン減少</t>
    <rPh sb="5" eb="7">
      <t>ゾクセイパネル</t>
    </rPh>
    <rPh sb="11" eb="14">
      <t>ジゲンシキ</t>
    </rPh>
    <rPh sb="24" eb="26">
      <t>ヘンカン</t>
    </rPh>
    <phoneticPr fontId="5"/>
  </si>
  <si>
    <t>単体攻撃+属性パネルをダメージパネルに5個変換+
全ユニットのスキルターンを2ターン減少+
体力・回復タイプのユニットのスキルターンを8ターン減少</t>
    <rPh sb="5" eb="7">
      <t>ゾクセイパネル</t>
    </rPh>
    <rPh sb="21" eb="23">
      <t>ヘンカン</t>
    </rPh>
    <phoneticPr fontId="5"/>
  </si>
  <si>
    <t>単体攻撃+属性パネルを時限式ダメージパネルに5個変換+
全ユニットのスキルターンを2ターン減少+
体力・回復タイプのユニットのスキルターンを8ターン減少</t>
    <rPh sb="5" eb="7">
      <t>ゾクセイパネル</t>
    </rPh>
    <rPh sb="11" eb="14">
      <t>ジゲンシキ</t>
    </rPh>
    <rPh sb="24" eb="26">
      <t>ヘンカン</t>
    </rPh>
    <phoneticPr fontId="5"/>
  </si>
  <si>
    <t>単体攻撃+属性パネルをダメージパネルに10個変換</t>
    <rPh sb="5" eb="7">
      <t>ゾクセイパネル</t>
    </rPh>
    <rPh sb="22" eb="24">
      <t>ヘンカン</t>
    </rPh>
    <phoneticPr fontId="5"/>
  </si>
  <si>
    <t>単体攻撃+属性パネルを時限式ダメージパネルに10個変換</t>
    <rPh sb="5" eb="7">
      <t>ゾクセイパネル</t>
    </rPh>
    <rPh sb="11" eb="14">
      <t>ジゲンシキ</t>
    </rPh>
    <rPh sb="25" eb="27">
      <t>ヘンカン</t>
    </rPh>
    <phoneticPr fontId="5"/>
  </si>
  <si>
    <t>単体攻撃+属性パネルをお邪魔パネルに10個変換</t>
    <phoneticPr fontId="5"/>
  </si>
  <si>
    <t>単体攻撃+属性パネルプロテクト(最大20個)</t>
    <rPh sb="5" eb="7">
      <t>ゾクセイ</t>
    </rPh>
    <rPh sb="16" eb="18">
      <t>サイダイ</t>
    </rPh>
    <rPh sb="20" eb="21">
      <t>コ</t>
    </rPh>
    <phoneticPr fontId="5"/>
  </si>
  <si>
    <t>ボスB6</t>
  </si>
  <si>
    <t>ボスB7</t>
  </si>
  <si>
    <t>ボスB8</t>
  </si>
  <si>
    <t>ボスB9</t>
  </si>
  <si>
    <t>ボスB10</t>
  </si>
  <si>
    <t>ボスB11</t>
  </si>
  <si>
    <t>ボスB12</t>
  </si>
  <si>
    <t>ボスB13</t>
  </si>
  <si>
    <t>[effect:sp_boost, target:unit_all, val:2],[effect:force_change_block, new_block:time_bomb, target:normal, count:5, val:0.05, min_time_count:1, max_time_count:1],[effect:sp_boost, target:unit_hp/unit_heal/or, val:8],[effect:rush, count:1, val:1]</t>
    <phoneticPr fontId="5"/>
  </si>
  <si>
    <t>[effect:sp_boost, target:unit_all, val:2],[effect:force_change_block, new_block:damage, target:normal, count:10, val:0.05],[effect:rush, count:1, val:1],[effect:sp_boost, target:unit_hp/unit_heal/or, val:8]</t>
    <phoneticPr fontId="5"/>
  </si>
  <si>
    <t>[effect:sp_boost, target:unit_all, val:2],[effect:force_change_block, new_block:time_bomb, target:normal, count:10, val:0.05, min_time_count:1, max_time_count:1],[effect:rush, count:1, val:1],[effect:sp_boost, target:unit_hp/unit_heal/or, val:8]</t>
    <phoneticPr fontId="5"/>
  </si>
  <si>
    <t>[effect:sp_boost, target:unit_all, val:2],[effect:force_change_block, new_block:jammer, target:normal, count:10, val:0],[effect:rush, count:1, val:1],[effect:sp_boost, target:unit_hp/unit_heal/or, val:8]</t>
    <phoneticPr fontId="5"/>
  </si>
  <si>
    <t>[effect:sp_boost, target:unit_all, val:2],[effect:panel_freeze, target:normal, count:20],[effect:rush, count:1, val:1],[effect:sp_boost, target:unit_hp/unit_heal/or, val:8]</t>
    <phoneticPr fontId="5"/>
  </si>
  <si>
    <t>単体攻撃+
属性パネルをダメージパネルに10個変換+
全ユニットのスキルターンを2ターン減少+
体力・回復タイプのユニットのスキルターンを8ターン減少</t>
    <rPh sb="6" eb="8">
      <t>ゾクセイパネル</t>
    </rPh>
    <rPh sb="23" eb="25">
      <t>ヘンカン</t>
    </rPh>
    <phoneticPr fontId="5"/>
  </si>
  <si>
    <t>単体攻撃+
属性パネルを時限式ダメージパネルに10個変換+
全ユニットのスキルターンを2ターン減少+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phoneticPr fontId="5"/>
  </si>
  <si>
    <t>単体攻撃+
属性パネルをお邪魔パネルに10個変換+
全ユニットのスキルターンを2ターン減少+
体力・回復タイプのユニットのスキルターンを8ターン減少</t>
    <rPh sb="6" eb="8">
      <t>ゾクセイパネル</t>
    </rPh>
    <rPh sb="22" eb="24">
      <t>ヘンカン</t>
    </rPh>
    <phoneticPr fontId="5"/>
  </si>
  <si>
    <t>単体攻撃+
属性パネルプロテクト(最大20個)+
全ユニットのスキルターンを2ターン減少+
体力・回復タイプのユニットのスキルターンを8ターン減少</t>
    <rPh sb="6" eb="8">
      <t>ゾクセイパネル</t>
    </rPh>
    <rPh sb="17" eb="19">
      <t>サイダイ</t>
    </rPh>
    <rPh sb="21" eb="22">
      <t>コ</t>
    </rPh>
    <phoneticPr fontId="5"/>
  </si>
  <si>
    <t>null</t>
  </si>
  <si>
    <t>[effect:force_change_block, new_block:damage, target:normal, count:10, val:0.05],[effect:rush, count:1, val:1],[effect:sp_boost, target:unit_hp/unit_heal/or, val:8],[effect:drop_block, block_type:crack_bomb, block_color:block_green, color:block_all, val:12, rate:0.08, turn:2, animation:bomb_influence04]</t>
    <phoneticPr fontId="5"/>
  </si>
  <si>
    <t>単体攻撃+
属性パネルをダメージパネルに10個変換+
2ターン低確率で緑のボムパネルをドロップ+
体力・回復タイプのユニットのスキルターンを8ターン減少</t>
    <rPh sb="6" eb="8">
      <t>ゾクセイパネル</t>
    </rPh>
    <rPh sb="23" eb="25">
      <t>ヘンカン</t>
    </rPh>
    <rPh sb="31" eb="34">
      <t>テイカクリツ</t>
    </rPh>
    <rPh sb="35" eb="36">
      <t>ミドリノ</t>
    </rPh>
    <phoneticPr fontId="5"/>
  </si>
  <si>
    <t>[effect:force_change_block, new_block:time_bomb, target:normal, count:10, val:0.05, min_time_count:1, max_time_count:1],[effect:rush, count:1, val:1],[effect:sp_boost, target:unit_hp/unit_heal/or, val:8],[effect:drop_block, block_type:crack_bomb, block_color:block_green, color:block_all, val:12, rate:0.08, turn:2, animation:bomb_influence04]</t>
    <phoneticPr fontId="5"/>
  </si>
  <si>
    <t>[effect:force_change_block, new_block:jammer, target:normal, count:10, val:0],[effect:rush, count:1, val:1],[effect:sp_boost, target:unit_hp/unit_heal/or, val:8],[effect:drop_block, block_type:crack_bomb, block_color:block_green, color:block_all, val:12, rate:0.08, turn:2, animation:bomb_influence04]</t>
    <phoneticPr fontId="5"/>
  </si>
  <si>
    <t>[effect:panel_freeze, target:normal, count:20],[effect:rush, count:1, val:1],[effect:sp_boost, target:unit_hp/unit_heal/or, val:8],[effect:drop_block, block_type:crack_bomb, block_color:block_green, color:block_all, val:12, rate:0.08, turn:2, animation:bomb_influence04]</t>
    <phoneticPr fontId="5"/>
  </si>
  <si>
    <t>単体攻撃+
属性パネルを時限式ダメージパネルに10個変換+
2ターン低確率で緑のボムパネルをドロップ+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phoneticPr fontId="5"/>
  </si>
  <si>
    <t>単体攻撃+
属性パネルをお邪魔パネルに10個変換+
2ターン低確率で緑のボムパネルをドロップ+
体力・回復タイプのユニットのスキルターンを8ターン減少</t>
    <rPh sb="6" eb="8">
      <t>ゾクセイパネル</t>
    </rPh>
    <rPh sb="22" eb="24">
      <t>ヘンカン</t>
    </rPh>
    <phoneticPr fontId="5"/>
  </si>
  <si>
    <t>単体攻撃+
属性パネルプロテクト(最大20個)+
2ターン低確率で緑のボムパネルをドロップ+
体力・回復タイプのユニットのスキルターンを8ターン減少</t>
    <rPh sb="6" eb="8">
      <t>ゾクセイパネル</t>
    </rPh>
    <rPh sb="17" eb="19">
      <t>サイダイ</t>
    </rPh>
    <rPh sb="21" eb="22">
      <t>コ</t>
    </rPh>
    <phoneticPr fontId="5"/>
  </si>
  <si>
    <t>[effect:fix_speed, target:myself, turn:1],[effect:tolerance, target:myself, turn:-1, count:-1, tolerance_effect:all, animation:enemy_tolerance],[effect:sp_boost, target:unit_all, val:4],[effect:sp_boost, target:unit_hp/unit_heal/or, val:8],[effect:enhance_unit, target:unit_hp/unit_heal/or, turn:-1, status:attack, val:2000, calc:add]</t>
    <phoneticPr fontId="5"/>
  </si>
  <si>
    <t>[effect:force_change_block, new_block:damage, target:normal, count:15, val:0.05],[effect:rush, count:1, val:1]</t>
  </si>
  <si>
    <t>[effect:force_change_block, new_block:time_bomb, target:normal, count:15, val:0.05, min_time_count:1, max_time_count:1],[effect:rush, count:1, val:1]</t>
  </si>
  <si>
    <t>[effect:force_change_block, new_block:jammer, target:normal, count:15, val:0],[effect:rush, count:1, val:1]</t>
  </si>
  <si>
    <t>[effect:sp_boost, target:unit_all, val:2],[effect:force_change_block, new_block:damage, target:normal, count:15, val:0.05],[effect:rush, count:1, val:1],[effect:sp_boost, target:unit_hp/unit_heal/or, val:8]</t>
  </si>
  <si>
    <t>[effect:sp_boost, target:unit_all, val:2],[effect:force_change_block, new_block:time_bomb, target:normal, count:15, val:0.05, min_time_count:1, max_time_count:1],[effect:rush, count:1, val:1],[effect:sp_boost, target:unit_hp/unit_heal/or, val:8]</t>
  </si>
  <si>
    <t>[effect:sp_boost, target:unit_all, val:2],[effect:force_change_block, new_block:jammer, target:normal, count:15, val:0],[effect:rush, count:1, val:1],[effect:sp_boost, target:unit_hp/unit_heal/or, val:8]</t>
  </si>
  <si>
    <t>[effect:panel_freeze, target:normal, count:30],[effect:rush, count:1, val:1]</t>
    <phoneticPr fontId="5"/>
  </si>
  <si>
    <t>[effect:sp_boost, target:unit_all, val:2],[effect:panel_freeze, target:normal, count:30],[effect:rush, count:1, val:1],[effect:sp_boost, target:unit_hp/unit_heal/or, val:8]</t>
    <phoneticPr fontId="5"/>
  </si>
  <si>
    <t>単体攻撃+属性パネルをダメージパネルに15個変換</t>
    <rPh sb="5" eb="7">
      <t>ゾクセイパネル</t>
    </rPh>
    <rPh sb="22" eb="24">
      <t>ヘンカン</t>
    </rPh>
    <phoneticPr fontId="5"/>
  </si>
  <si>
    <t>単体攻撃+属性パネルを時限式ダメージパネルに15個変換</t>
    <rPh sb="5" eb="7">
      <t>ゾクセイパネル</t>
    </rPh>
    <rPh sb="11" eb="14">
      <t>ジゲンシキ</t>
    </rPh>
    <rPh sb="25" eb="27">
      <t>ヘンカン</t>
    </rPh>
    <phoneticPr fontId="5"/>
  </si>
  <si>
    <t>単体攻撃+属性パネルをお邪魔パネルに15個変換</t>
  </si>
  <si>
    <t>単体攻撃+
属性パネルをダメージパネルに15個変換+
全ユニットのスキルターンを2ターン減少+
体力・回復タイプのユニットのスキルターンを8ターン減少</t>
    <rPh sb="6" eb="8">
      <t>ゾクセイパネル</t>
    </rPh>
    <rPh sb="23" eb="25">
      <t>ヘンカン</t>
    </rPh>
    <phoneticPr fontId="5"/>
  </si>
  <si>
    <t>単体攻撃+
属性パネルを時限式ダメージパネルに15個変換+
全ユニットのスキルターンを2ターン減少+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phoneticPr fontId="5"/>
  </si>
  <si>
    <t>単体攻撃+
属性パネルをお邪魔パネルに15個変換+
全ユニットのスキルターンを2ターン減少+
体力・回復タイプのユニットのスキルターンを8ターン減少</t>
    <rPh sb="6" eb="8">
      <t>ゾクセイパネル</t>
    </rPh>
    <rPh sb="22" eb="24">
      <t>ヘンカン</t>
    </rPh>
    <phoneticPr fontId="5"/>
  </si>
  <si>
    <t>単体攻撃+
属性パネルプロテクト(最大30個)+
全ユニットのスキルターンを2ターン減少+
体力・回復タイプのユニットのスキルターンを8ターン減少</t>
    <rPh sb="6" eb="8">
      <t>ゾクセイパネル</t>
    </rPh>
    <rPh sb="17" eb="19">
      <t>サイダイ</t>
    </rPh>
    <phoneticPr fontId="5"/>
  </si>
  <si>
    <t>単体攻撃+属性パネルプロテクト(最大30個)</t>
    <rPh sb="5" eb="7">
      <t>ゾクセイ</t>
    </rPh>
    <rPh sb="16" eb="18">
      <t>サイダイ</t>
    </rPh>
    <phoneticPr fontId="5"/>
  </si>
  <si>
    <t>[effect:force_change_block, new_block:damage, target:normal, count:15, val:0.05],[effect:rush, count:1, val:1],[effect:sp_boost, target:unit_hp/unit_heal/or, val:8],[effect:change_panel_ratio, turn:3, block_type:red, val:0, animation:block_incidence04]</t>
    <phoneticPr fontId="5"/>
  </si>
  <si>
    <t>[effect:force_change_block, new_block:time_bomb, target:normal, count:15, val:0.05, min_time_count:1, max_time_count:1],[effect:rush, count:1, val:1],[effect:sp_boost, target:unit_hp/unit_heal/or, val:8],[effect:change_panel_ratio, turn:3, block_type:red, val:0, animation:block_incidence04]</t>
    <phoneticPr fontId="5"/>
  </si>
  <si>
    <t>[effect:force_change_block, new_block:jammer, target:normal, count:15, val:0],[effect:rush, count:1, val:1],[effect:sp_boost, target:unit_hp/unit_heal/or, val:8],[effect:change_panel_ratio, turn:3, block_type:red, val:0, animation:block_incidence04]</t>
    <phoneticPr fontId="5"/>
  </si>
  <si>
    <t>[effect:panel_freeze, target:normal, count:30],[effect:rush, count:1, val:1],[effect:sp_boost, target:unit_hp/unit_heal/or, val:8],[effect:change_panel_ratio, turn:3, block_type:red, val:0, animation:block_incidence04]</t>
    <phoneticPr fontId="5"/>
  </si>
  <si>
    <t>単体攻撃+
属性パネルをダメージパネルに15個変換+
3ターン赤パネルが出現しない+
体力・回復タイプのユニットのスキルターンを8ターン減少</t>
    <rPh sb="6" eb="8">
      <t>ゾクセイパネル</t>
    </rPh>
    <rPh sb="23" eb="25">
      <t>ヘンカン</t>
    </rPh>
    <rPh sb="31" eb="32">
      <t>アカパネル</t>
    </rPh>
    <rPh sb="36" eb="38">
      <t>シュツゲンシナイ</t>
    </rPh>
    <phoneticPr fontId="5"/>
  </si>
  <si>
    <t>単体攻撃+
属性パネルを時限式ダメージパネルに15個変換+
3ターン赤パネルが出現しない+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phoneticPr fontId="5"/>
  </si>
  <si>
    <t>単体攻撃+
属性パネルをお邪魔パネルに15個変換+
3ターン赤パネルが出現しない+
体力・回復タイプのユニットのスキルターンを8ターン減少</t>
    <rPh sb="6" eb="8">
      <t>ゾクセイパネル</t>
    </rPh>
    <rPh sb="22" eb="24">
      <t>ヘンカン</t>
    </rPh>
    <phoneticPr fontId="5"/>
  </si>
  <si>
    <t>単体攻撃+
属性パネルプロテクト(最大30個)+
3ターン赤パネルが出現しない+
体力・回復タイプのユニットのスキルターンを8ターン減少</t>
    <rPh sb="6" eb="8">
      <t>ゾクセイパネル</t>
    </rPh>
    <rPh sb="17" eb="19">
      <t>サイダイ</t>
    </rPh>
    <phoneticPr fontId="5"/>
  </si>
  <si>
    <t>ボスC1</t>
    <phoneticPr fontId="5"/>
  </si>
  <si>
    <t>ボスC2</t>
  </si>
  <si>
    <t>ボスC3</t>
  </si>
  <si>
    <t>ボスC4</t>
  </si>
  <si>
    <t>ボスC5</t>
  </si>
  <si>
    <t>ボスC6</t>
  </si>
  <si>
    <t>ボスC7</t>
  </si>
  <si>
    <t>ボスC8</t>
  </si>
  <si>
    <t>ボスC9</t>
  </si>
  <si>
    <t>ボスC10</t>
  </si>
  <si>
    <t>ボスC11</t>
  </si>
  <si>
    <t>ボスC12</t>
  </si>
  <si>
    <t>ボスC13</t>
  </si>
  <si>
    <t>[effect:force_change_block, new_block:damage, target:normal, count:15, val:0.05],[effect:rush, count:1, val:1],[effect:sp_boost, target:unit_hp/unit_heal/or, val:8],[effect:change_panel_ratio, turn:3, block_type:blue, val:0, animation:block_incidence04]</t>
    <phoneticPr fontId="5"/>
  </si>
  <si>
    <t>[effect:force_change_block, new_block:time_bomb, target:normal, count:15, val:0.05, min_time_count:1, max_time_count:1],[effect:rush, count:1, val:1],[effect:sp_boost, target:unit_hp/unit_heal/or, val:8],[effect:change_panel_ratio, turn:3, block_type:blue, val:0, animation:block_incidence04]</t>
    <phoneticPr fontId="5"/>
  </si>
  <si>
    <t>[effect:force_change_block, new_block:jammer, target:normal, count:15, val:0],[effect:rush, count:1, val:1],[effect:sp_boost, target:unit_hp/unit_heal/or, val:8],[effect:change_panel_ratio, turn:3, block_type:blue, val:0, animation:block_incidence04]</t>
    <phoneticPr fontId="5"/>
  </si>
  <si>
    <t>[effect:panel_freeze, target:normal, count:30],[effect:rush, count:1, val:1],[effect:sp_boost, target:unit_hp/unit_heal/or, val:8],[effect:change_panel_ratio, turn:3, block_type:blue, val:0, animation:block_incidence04]</t>
    <phoneticPr fontId="5"/>
  </si>
  <si>
    <t>単体攻撃+
属性パネルをダメージパネルに15個変換+
3ターン青パネルが出現しない+
体力・回復タイプのユニットのスキルターンを8ターン減少</t>
    <rPh sb="6" eb="8">
      <t>ゾクセイパネル</t>
    </rPh>
    <rPh sb="23" eb="25">
      <t>ヘンカン</t>
    </rPh>
    <rPh sb="31" eb="32">
      <t>アオ</t>
    </rPh>
    <rPh sb="36" eb="38">
      <t>シュツゲンシナイ</t>
    </rPh>
    <phoneticPr fontId="5"/>
  </si>
  <si>
    <t>単体攻撃+
属性パネルを時限式ダメージパネルに15個変換+
3ターン青パネルが出現しない+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rPh sb="34" eb="35">
      <t>アオ</t>
    </rPh>
    <phoneticPr fontId="5"/>
  </si>
  <si>
    <t>単体攻撃+
属性パネルをお邪魔パネルに15個変換+
3ターン青パネルが出現しない+
体力・回復タイプのユニットのスキルターンを8ターン減少</t>
    <rPh sb="6" eb="8">
      <t>ゾクセイパネル</t>
    </rPh>
    <rPh sb="22" eb="24">
      <t>ヘンカン</t>
    </rPh>
    <rPh sb="30" eb="31">
      <t>アオ</t>
    </rPh>
    <phoneticPr fontId="5"/>
  </si>
  <si>
    <t>単体攻撃+
属性パネルプロテクト(最大30個)+
3ターン青パネルが出現しない+
体力・回復タイプのユニットのスキルターンを8ターン減少</t>
    <rPh sb="6" eb="8">
      <t>ゾクセイパネル</t>
    </rPh>
    <rPh sb="17" eb="19">
      <t>サイダイ</t>
    </rPh>
    <rPh sb="29" eb="30">
      <t>アオ</t>
    </rPh>
    <phoneticPr fontId="5"/>
  </si>
  <si>
    <t>[effect:force_change_block, new_block:damage, target:normal, count:15, val:0.05],[effect:rush, count:1, val:1],[effect:sp_boost, target:unit_hp/unit_heal/or, val:8],[effect:change_panel_ratio, turn:3, block_type:yellow, val:0, animation:block_incidence04]</t>
    <phoneticPr fontId="5"/>
  </si>
  <si>
    <t>[effect:force_change_block, new_block:time_bomb, target:normal, count:15, val:0.05, min_time_count:1, max_time_count:1],[effect:rush, count:1, val:1],[effect:sp_boost, target:unit_hp/unit_heal/or, val:8],[effect:change_panel_ratio, turn:3, block_type:yellow, val:0, animation:block_incidence04]</t>
    <phoneticPr fontId="5"/>
  </si>
  <si>
    <t>[effect:force_change_block, new_block:jammer, target:normal, count:15, val:0],[effect:rush, count:1, val:1],[effect:sp_boost, target:unit_hp/unit_heal/or, val:8],[effect:change_panel_ratio, turn:3, block_type:yellow, val:0, animation:block_incidence04]</t>
    <phoneticPr fontId="5"/>
  </si>
  <si>
    <t>[effect:panel_freeze, target:normal, count:30],[effect:rush, count:1, val:1],[effect:sp_boost, target:unit_hp/unit_heal/or, val:8],[effect:change_panel_ratio, turn:3, block_type:yellow, val:0, animation:block_incidence04]</t>
    <phoneticPr fontId="5"/>
  </si>
  <si>
    <t>単体攻撃+
属性パネルをダメージパネルに15個変換+
3ターン黄パネルが出現しない+
体力・回復タイプのユニットのスキルターンを8ターン減少</t>
    <rPh sb="6" eb="8">
      <t>ゾクセイパネル</t>
    </rPh>
    <rPh sb="23" eb="25">
      <t>ヘンカン</t>
    </rPh>
    <rPh sb="31" eb="32">
      <t>キ</t>
    </rPh>
    <rPh sb="36" eb="38">
      <t>シュツゲンシナイ</t>
    </rPh>
    <phoneticPr fontId="5"/>
  </si>
  <si>
    <t>単体攻撃+
属性パネルを時限式ダメージパネルに15個変換+
3ターン黄パネルが出現しない+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phoneticPr fontId="5"/>
  </si>
  <si>
    <t>単体攻撃+
属性パネルをお邪魔パネルに15個変換+
3ターン黄パネルが出現しない+
体力・回復タイプのユニットのスキルターンを8ターン減少</t>
    <rPh sb="6" eb="8">
      <t>ゾクセイパネル</t>
    </rPh>
    <rPh sb="22" eb="24">
      <t>ヘンカン</t>
    </rPh>
    <phoneticPr fontId="5"/>
  </si>
  <si>
    <t>単体攻撃+
属性パネルプロテクト(最大30個)+
3ターン黄パネルが出現しない+
体力・回復タイプのユニットのスキルターンを8ターン減少</t>
    <rPh sb="6" eb="8">
      <t>ゾクセイパネル</t>
    </rPh>
    <rPh sb="17" eb="19">
      <t>サイダイ</t>
    </rPh>
    <phoneticPr fontId="5"/>
  </si>
  <si>
    <t>[effect:force_change_block, new_block:damage, target:normal, count:15, val:0.05],[effect:rush, count:1, val:1],[effect:sp_boost, target:unit_hp/unit_heal/or, val:8],[effect:change_panel_ratio, turn:3, block_type:green, val:0, animation:block_incidence04]</t>
    <phoneticPr fontId="5"/>
  </si>
  <si>
    <t>[effect:force_change_block, new_block:time_bomb, target:normal, count:15, val:0.05, min_time_count:1, max_time_count:1],[effect:rush, count:1, val:1],[effect:sp_boost, target:unit_hp/unit_heal/or, val:8],[effect:change_panel_ratio, turn:3, block_type:green, val:0, animation:block_incidence04]</t>
    <phoneticPr fontId="5"/>
  </si>
  <si>
    <t>[effect:force_change_block, new_block:jammer, target:normal, count:15, val:0],[effect:rush, count:1, val:1],[effect:sp_boost, target:unit_hp/unit_heal/or, val:8],[effect:change_panel_ratio, turn:3, block_type:green, val:0, animation:block_incidence04]</t>
    <phoneticPr fontId="5"/>
  </si>
  <si>
    <t>[effect:panel_freeze, target:normal, count:30],[effect:rush, count:1, val:1],[effect:sp_boost, target:unit_hp/unit_heal/or, val:8],[effect:change_panel_ratio, turn:3, block_type:green, val:0, animation:block_incidence04]</t>
    <phoneticPr fontId="5"/>
  </si>
  <si>
    <t>単体攻撃+
属性パネルをダメージパネルに15個変換+
3ターン緑パネルが出現しない+
体力・回復タイプのユニットのスキルターンを8ターン減少</t>
    <rPh sb="6" eb="8">
      <t>ゾクセイパネル</t>
    </rPh>
    <rPh sb="23" eb="25">
      <t>ヘンカン</t>
    </rPh>
    <rPh sb="31" eb="32">
      <t>ミドリ</t>
    </rPh>
    <rPh sb="36" eb="38">
      <t>シュツゲンシナイ</t>
    </rPh>
    <phoneticPr fontId="5"/>
  </si>
  <si>
    <t>単体攻撃+
属性パネルをお邪魔パネルに15個変換+
3ターン緑パネルが出現しない+
体力・回復タイプのユニットのスキルターンを8ターン減少</t>
    <rPh sb="6" eb="8">
      <t>ゾクセイパネル</t>
    </rPh>
    <rPh sb="22" eb="24">
      <t>ヘンカン</t>
    </rPh>
    <phoneticPr fontId="5"/>
  </si>
  <si>
    <t>単体攻撃+
属性パネルを時限式ダメージパネルに15個変換+
3ターン緑パネルが出現しない+
体力・回復タイプのユニットのスキルターンを8ターン減少</t>
    <rPh sb="6" eb="8">
      <t>ゾクセイパネル</t>
    </rPh>
    <rPh sb="12" eb="15">
      <t>ジゲンシキ</t>
    </rPh>
    <rPh sb="26" eb="28">
      <t>ヘンカン</t>
    </rPh>
    <phoneticPr fontId="5"/>
  </si>
  <si>
    <t>単体攻撃+
属性パネルプロテクト(最大30個)+
3ターン緑パネルが出現しない+
体力・回復タイプのユニットのスキルターンを8ターン減少</t>
    <rPh sb="6" eb="8">
      <t>ゾクセイパネル</t>
    </rPh>
    <rPh sb="17" eb="19">
      <t>サイダイ</t>
    </rPh>
    <phoneticPr fontId="5"/>
  </si>
  <si>
    <t>[effect:force_change_block, new_block:jammer, target:normal, count:15, val:0],[effect:rush, count:1, val:1],[effect:drop_block, block_type:jammer, color:block_all, val:0.1, rate:0.1, turn:4, animation:jammer_influence04]</t>
    <phoneticPr fontId="5"/>
  </si>
  <si>
    <t>[effect:panel_freeze, target:normal, count:30],[effect:rush, count:1, val:1],[effect:drop_freeze, turn:4, block_type:normal, rate:0.1, animation:drop_protect]</t>
    <phoneticPr fontId="5"/>
  </si>
  <si>
    <t>[effect:force_change_block, new_block:damage, target:normal, count:15, val:0.05],[effect:rush, count:1, val:1],[effect:drop_block, block_type:damage, block_color:block_blue, color:block_all, val:0.1, rate:0.1, turn:4, animation:damage_influence04]</t>
    <phoneticPr fontId="5"/>
  </si>
  <si>
    <t>確率で青のダメージパネルがドロップ+
単体攻撃+属性パネルをダメージパネルに15個変換</t>
    <rPh sb="0" eb="2">
      <t>カクリツデ</t>
    </rPh>
    <rPh sb="3" eb="4">
      <t>アオノ</t>
    </rPh>
    <rPh sb="24" eb="26">
      <t>ゾクセイパネル</t>
    </rPh>
    <rPh sb="41" eb="43">
      <t>ヘンカン</t>
    </rPh>
    <phoneticPr fontId="5"/>
  </si>
  <si>
    <t>確率で青の時限式ダメージパネルがドロップ+
単体攻撃+属性パネルを時限式ダメージパネルに15個変換</t>
    <rPh sb="0" eb="2">
      <t>カクリツデ</t>
    </rPh>
    <rPh sb="3" eb="4">
      <t>アオノ</t>
    </rPh>
    <rPh sb="5" eb="8">
      <t>ジゲンシキ</t>
    </rPh>
    <rPh sb="27" eb="29">
      <t>ゾクセイパネル</t>
    </rPh>
    <rPh sb="33" eb="36">
      <t>ジゲンシキ</t>
    </rPh>
    <rPh sb="47" eb="49">
      <t>ヘンカン</t>
    </rPh>
    <phoneticPr fontId="5"/>
  </si>
  <si>
    <t>確率でお邪魔パネルがドロップ+
単体攻撃+属性パネルをお邪魔パネルに15個変換</t>
    <rPh sb="0" eb="2">
      <t>カクリツデ</t>
    </rPh>
    <phoneticPr fontId="5"/>
  </si>
  <si>
    <t>確率で属性パネルがプロテクトされてドロップ+
単体攻撃+属性パネルプロテクト(最大30個)</t>
    <rPh sb="0" eb="2">
      <t>カクリツデ</t>
    </rPh>
    <rPh sb="3" eb="5">
      <t>ゾクセイ</t>
    </rPh>
    <rPh sb="28" eb="30">
      <t>ゾクセイ</t>
    </rPh>
    <rPh sb="39" eb="41">
      <t>サイダイ</t>
    </rPh>
    <phoneticPr fontId="5"/>
  </si>
  <si>
    <t>[effect:force_change_block, new_block:damage, target:normal, count:15, val:0.05],[effect:rush, count:1, val:1],[effect:drop_block, block_type:damage, block_color:block_yellow, color:block_all, val:0.1, rate:0.1, turn:4, animation:damage_influence04]</t>
    <phoneticPr fontId="5"/>
  </si>
  <si>
    <t>確率で黄のダメージパネルがドロップ+
単体攻撃+属性パネルをダメージパネルに15個変換</t>
    <rPh sb="0" eb="2">
      <t>カクリツデ</t>
    </rPh>
    <rPh sb="3" eb="4">
      <t>キ</t>
    </rPh>
    <rPh sb="24" eb="26">
      <t>ゾクセイパネル</t>
    </rPh>
    <rPh sb="41" eb="43">
      <t>ヘンカン</t>
    </rPh>
    <phoneticPr fontId="5"/>
  </si>
  <si>
    <t>確率で黄の時限式ダメージパネルがドロップ+
単体攻撃+属性パネルを時限式ダメージパネルに15個変換</t>
    <rPh sb="0" eb="2">
      <t>カクリツデ</t>
    </rPh>
    <rPh sb="3" eb="4">
      <t>キ</t>
    </rPh>
    <rPh sb="5" eb="8">
      <t>ジゲンシキ</t>
    </rPh>
    <rPh sb="27" eb="29">
      <t>ゾクセイパネル</t>
    </rPh>
    <rPh sb="33" eb="36">
      <t>ジゲンシキ</t>
    </rPh>
    <rPh sb="47" eb="49">
      <t>ヘンカン</t>
    </rPh>
    <phoneticPr fontId="5"/>
  </si>
  <si>
    <t>[effect:force_change_block, new_block:damage, target:normal, count:15, val:0.05],[effect:rush, count:1, val:1],[effect:drop_block, block_type:damage, block_color:block_green, color:block_all, val:0.1, rate:0.1, turn:4, animation:damage_influence04]</t>
    <phoneticPr fontId="5"/>
  </si>
  <si>
    <t>確率で緑のダメージパネルがドロップ+
単体攻撃+属性パネルをダメージパネルに15個変換</t>
    <rPh sb="0" eb="2">
      <t>カクリツデ</t>
    </rPh>
    <rPh sb="3" eb="4">
      <t>ミドリ</t>
    </rPh>
    <rPh sb="24" eb="26">
      <t>ゾクセイパネル</t>
    </rPh>
    <rPh sb="41" eb="43">
      <t>ヘンカン</t>
    </rPh>
    <phoneticPr fontId="5"/>
  </si>
  <si>
    <t>確率で緑の時限式ダメージパネルがドロップ+
単体攻撃+属性パネルを時限式ダメージパネルに15個変換</t>
    <rPh sb="0" eb="2">
      <t>カクリツデ</t>
    </rPh>
    <rPh sb="3" eb="4">
      <t>ミドリ</t>
    </rPh>
    <rPh sb="5" eb="8">
      <t>ジゲンシキ</t>
    </rPh>
    <rPh sb="27" eb="29">
      <t>ゾクセイパネル</t>
    </rPh>
    <rPh sb="33" eb="36">
      <t>ジゲンシキ</t>
    </rPh>
    <rPh sb="47" eb="49">
      <t>ヘンカン</t>
    </rPh>
    <phoneticPr fontId="5"/>
  </si>
  <si>
    <t>[effect:force_change_block, new_block:damage, target:normal, count:15, val:0.05],[effect:rush, count:1, val:1],[effect:drop_block, block_type:damage, block_color:block_red, color:block_all, val:0.1, rate:0.1, turn:4, animation:damage_influence04]</t>
    <phoneticPr fontId="5"/>
  </si>
  <si>
    <t>確率で赤のダメージパネルがドロップ+
単体攻撃+属性パネルをダメージパネルに15個変換</t>
    <rPh sb="0" eb="2">
      <t>カクリツデ</t>
    </rPh>
    <rPh sb="3" eb="4">
      <t>アカ</t>
    </rPh>
    <rPh sb="24" eb="26">
      <t>ゾクセイパネル</t>
    </rPh>
    <rPh sb="41" eb="43">
      <t>ヘンカン</t>
    </rPh>
    <phoneticPr fontId="5"/>
  </si>
  <si>
    <t>確率で赤の時限式ダメージパネルがドロップ+
単体攻撃+属性パネルを時限式ダメージパネルに15個変換</t>
    <rPh sb="0" eb="2">
      <t>カクリツデ</t>
    </rPh>
    <rPh sb="3" eb="4">
      <t>アカ</t>
    </rPh>
    <rPh sb="5" eb="8">
      <t>ジゲンシキ</t>
    </rPh>
    <rPh sb="27" eb="29">
      <t>ゾクセイパネル</t>
    </rPh>
    <rPh sb="33" eb="36">
      <t>ジゲンシキ</t>
    </rPh>
    <rPh sb="47" eb="49">
      <t>ヘンカン</t>
    </rPh>
    <phoneticPr fontId="5"/>
  </si>
  <si>
    <t>ボスC14</t>
  </si>
  <si>
    <t>ボスC15</t>
  </si>
  <si>
    <t>ボスC16</t>
  </si>
  <si>
    <t>ボスC17</t>
  </si>
  <si>
    <t>ボスC18</t>
  </si>
  <si>
    <t>ボスC19</t>
  </si>
  <si>
    <t>ボスC20</t>
  </si>
  <si>
    <t>ボスC21</t>
  </si>
  <si>
    <t>ボスC22</t>
  </si>
  <si>
    <t>ボスC23</t>
  </si>
  <si>
    <t>ボスC24</t>
  </si>
  <si>
    <t>ボスC25</t>
  </si>
  <si>
    <t>ボスC26</t>
  </si>
  <si>
    <t>ボスC27</t>
  </si>
  <si>
    <t>ボスC28</t>
  </si>
  <si>
    <t>ボスC29</t>
  </si>
  <si>
    <t>ボスC30</t>
  </si>
  <si>
    <t>ボスC31</t>
  </si>
  <si>
    <t>ボスC32</t>
  </si>
  <si>
    <t>ボスC33</t>
  </si>
  <si>
    <t>ボスC34</t>
  </si>
  <si>
    <t>ボスC35</t>
  </si>
  <si>
    <t>単体攻撃+属性パネルをボムパネルに5個変換</t>
    <rPh sb="5" eb="7">
      <t>ゾクセイパネル</t>
    </rPh>
    <rPh sb="19" eb="21">
      <t>ヘンカン</t>
    </rPh>
    <phoneticPr fontId="5"/>
  </si>
  <si>
    <t>[effect:force_change_block, new_block:color_break, target:normal, count:3, val:0],[effect:rush, count:1, val:1]</t>
    <phoneticPr fontId="5"/>
  </si>
  <si>
    <t>[effect:force_change_magnet, target:normal, count:1, red:1, green:1, blue:1, yellow:1, heart:0, reverse:0, generate:0, turn:4, animation:change_block],[effect:rush, count:1, val:1]</t>
    <phoneticPr fontId="5"/>
  </si>
  <si>
    <t>単体攻撃+属性パネルをCBPに3個変換</t>
    <rPh sb="5" eb="7">
      <t>ゾクセイパネル</t>
    </rPh>
    <rPh sb="17" eb="19">
      <t>ヘンカン</t>
    </rPh>
    <phoneticPr fontId="5"/>
  </si>
  <si>
    <t>単体攻撃+属性パネルをマグネットパネルに1個変換</t>
    <rPh sb="5" eb="7">
      <t>ゾクセイパネル</t>
    </rPh>
    <rPh sb="22" eb="24">
      <t>ヘンカン</t>
    </rPh>
    <phoneticPr fontId="5"/>
  </si>
  <si>
    <t>[effect:force_change_block, new_block:crack_bomb, target:normal, count:5, val:12],[effect:rush, count:1, val:1]</t>
    <phoneticPr fontId="5"/>
  </si>
  <si>
    <t>単体攻撃+属性パネルをボムパネルに5個変換+
体力・回復タイプのユニットのスキルターンを8ターン減少</t>
    <phoneticPr fontId="5"/>
  </si>
  <si>
    <t>単体攻撃+属性パネルをCBPに3個変換+
体力・回復タイプのユニットのスキルターンを8ターン減少</t>
    <phoneticPr fontId="5"/>
  </si>
  <si>
    <t>[effect:force_change_magnet, target:normal, count:1, red:1, green:1, blue:1, yellow:1, heart:0, reverse:0, generate:0, turn:4, animation:change_block],[effect:sp_boost, target:unit_hp/unit_heal/or, val:8],[effect:rush, count:1, val:1]</t>
    <phoneticPr fontId="5"/>
  </si>
  <si>
    <t>[effect:force_change_block, new_block:crack_bomb, target:normal, count:5, val:12],[effect:sp_boost, target:unit_hp/unit_heal/or, val:8],[effect:rush, count:1, val:1]</t>
    <phoneticPr fontId="5"/>
  </si>
  <si>
    <t>[effect:sp_boost, target:unit_all, val:4],[effect:force_change_block, new_block:crack_bomb, target:normal, count:5, val:12],[effect:sp_boost, target:unit_hp/unit_heal/or, val:8],[effect:rush, count:1, val:1]</t>
    <phoneticPr fontId="5"/>
  </si>
  <si>
    <t>単体攻撃+属性パネルをボムパネルに5個変換+
全ユニットのスキルターンを2ターン減少+
体力・回復タイプのユニットのスキルターンを8ターン減少</t>
    <phoneticPr fontId="5"/>
  </si>
  <si>
    <t>[effect:force_change_block, new_block:color_break, target:normal, count:3, val:0],[effect:sp_boost, target:unit_hp/unit_heal/or, val:8],[effect:rush, count:1, val:1]</t>
    <phoneticPr fontId="5"/>
  </si>
  <si>
    <t>[effect:sp_boost, target:unit_all, val:2],[effect:force_change_block, new_block:color_break, target:normal, count:3, val:0],[effect:sp_boost, target:unit_hp/unit_heal/or, val:8],[effect:rush, count:1, val:1]</t>
    <phoneticPr fontId="5"/>
  </si>
  <si>
    <t>単体攻撃+属性パネルをCBPに3個変換+
全ユニットのスキルターンを2ターン減少+
体力・回復タイプのユニットのスキルターンを8ターン減少</t>
    <phoneticPr fontId="5"/>
  </si>
  <si>
    <t>[effect:sp_boost, target:unit_all, val:2],[effect:force_change_magnet, target:normal, count:1, red:1, green:1, blue:1, yellow:1, heart:0, reverse:0, generate:0, turn:4, animation:change_block],[effect:sp_boost, target:unit_hp/unit_heal/or, val:8],[effect:rush, count:1, val:1]</t>
    <phoneticPr fontId="5"/>
  </si>
  <si>
    <t>単体攻撃+属性パネルをマグネットパネルに1個変換+
体力・回復タイプのユニットのスキルターンを8ターン減少</t>
    <phoneticPr fontId="5"/>
  </si>
  <si>
    <t>単体攻撃+属性パネルをマグネットパネルに1個変換+
全ユニットのスキルターンを2ターン減少+
体力・回復タイプのユニットのスキルターンを8ターン減少</t>
    <phoneticPr fontId="5"/>
  </si>
  <si>
    <t>[effect:fix_speed, target:myself, turn:1],[effect:sp_boost, target:unit_all, val:4],[effect:sp_boost, target:unit_hp/unit_heal/or, val:8],[effect:enhance_unit, target:unit_hp/unit_heal/or, turn:-1, status:attack, val:2000, calc:add]</t>
    <phoneticPr fontId="5"/>
  </si>
  <si>
    <t>[effect:force_change_block, new_block:damage, target:normal, count:5, val:0.05],[effect:rush, count:1, val:1]</t>
    <phoneticPr fontId="5"/>
  </si>
  <si>
    <t>[effect:force_change_block, new_block:time_bomb, target:normal, count:5, val:0.05, min_time_count:1, max_time_count:1],[effect:rush, count:1, val:1]</t>
    <phoneticPr fontId="5"/>
  </si>
  <si>
    <t>[effect:sp_boost, target:unit_all, val:4],[effect:force_change_block, new_block:damage, target:normal, count:5, val:0.05],[effect:sp_boost, target:unit_hp/unit_heal/or, val:8],[effect:rush, count:1, val:1]</t>
    <phoneticPr fontId="5"/>
  </si>
  <si>
    <t>[effect:force_change_block, new_block:time_bomb, target:normal, count:15, val:0.05, min_time_count:1, max_time_count:1],[effect:rush, count:1, val:1],[effect:drop_block, block_type:time_bomb, block_color:block_green, color:block_all, val:0.1, rate:0.1, turn:4, min_time_count:2, max_time_count:2, animation:time_bomb_influence04]</t>
    <phoneticPr fontId="5"/>
  </si>
  <si>
    <t>[effect:force_change_block, new_block:time_bomb, target:normal, count:15, val:0.05, min_time_count:1, max_time_count:1],[effect:rush, count:1, val:1],[effect:drop_block, block_type:time_bomb, block_color:block_blue, color:block_all, val:0.1, rate:0.1, turn:4, min_time_count:2, max_time_count:2, animation:time_bomb_influence04]</t>
    <phoneticPr fontId="5"/>
  </si>
  <si>
    <t>[effect:force_change_block, new_block:time_bomb, target:normal, count:15, val:0.05, min_time_count:1, max_time_count:1],[effect:rush, count:1, val:1],[effect:drop_block, block_type:time_bomb, block_color:block_yellow, color:block_all, val:0.1, rate:0.1, turn:4, min_time_count:2, max_time_count:2, animation:time_bomb_influence04]</t>
    <phoneticPr fontId="5"/>
  </si>
  <si>
    <t>[effect:force_change_block, new_block:time_bomb, target:normal, count:15, val:0.05, min_time_count:1, max_time_count:1],[effect:rush, count:1, val:1],[effect:drop_block, block_type:time_bomb, block_color:block_red, color:block_all, val:0.1, rate:0.1, turn:4, min_time_count:2, max_time_count:2, animation:time_bomb_influence04]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</si>
</sst>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2" borderId="7" xfId="0" applyFont="1" applyFill="1" applyBorder="1" applyAlignment="1">
      <alignment vertical="center"/>
    </xf>
    <xf numFmtId="0" fontId="16" fillId="2" borderId="7" xfId="0" applyFont="1" applyFill="1" applyBorder="1" applyAlignment="1">
      <alignment horizontal="left" vertical="center"/>
    </xf>
    <xf numFmtId="0" fontId="16" fillId="2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5" sqref="A5:A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276</v>
      </c>
      <c r="B2" s="56" t="s">
        <v>107</v>
      </c>
      <c r="C2" s="61">
        <v>61001</v>
      </c>
      <c r="D2" s="56" t="s">
        <v>108</v>
      </c>
      <c r="E2" s="55" t="str">
        <f>B2&amp;C2&amp;D2</f>
        <v>floors_61001.tmp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276</v>
      </c>
      <c r="B3" s="56" t="s">
        <v>110</v>
      </c>
      <c r="C3" s="61">
        <v>61001</v>
      </c>
      <c r="D3" s="56" t="s">
        <v>108</v>
      </c>
      <c r="E3" s="55" t="str">
        <f>B3&amp;C3&amp;D3</f>
        <v>enemy_habitats_61001.tmp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189</v>
      </c>
      <c r="B4" s="56" t="s">
        <v>112</v>
      </c>
      <c r="C4" s="61">
        <v>61001</v>
      </c>
      <c r="D4" s="56" t="s">
        <v>108</v>
      </c>
      <c r="E4" s="55" t="str">
        <f>B4&amp;C4&amp;D4</f>
        <v>enemy_habitat_S_61001.tmp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276</v>
      </c>
      <c r="B5" s="56" t="s">
        <v>114</v>
      </c>
      <c r="C5" s="61">
        <v>61001</v>
      </c>
      <c r="D5" s="56" t="s">
        <v>108</v>
      </c>
      <c r="E5" s="55" t="str">
        <f>B5&amp;C5&amp;D5</f>
        <v>enemy_skill_sets_61001.tmp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276</v>
      </c>
      <c r="B6" s="56" t="s">
        <v>116</v>
      </c>
      <c r="C6" s="61">
        <v>61001</v>
      </c>
      <c r="D6" s="56" t="s">
        <v>117</v>
      </c>
      <c r="E6" s="55" t="str">
        <f t="shared" ref="E6:E10" si="0">B6&amp;C6&amp;D6</f>
        <v>enemy_skills_tmp_61001.tmp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276</v>
      </c>
      <c r="B7" s="56" t="s">
        <v>118</v>
      </c>
      <c r="C7" s="61">
        <v>61001</v>
      </c>
      <c r="D7" s="56" t="s">
        <v>108</v>
      </c>
      <c r="E7" s="55" t="str">
        <f>B7&amp;C7&amp;D7</f>
        <v>enemy_skills_i18n_61001.tmp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276</v>
      </c>
      <c r="B8" s="56" t="s">
        <v>120</v>
      </c>
      <c r="C8" s="61">
        <v>61001</v>
      </c>
      <c r="D8" s="56" t="s">
        <v>121</v>
      </c>
      <c r="E8" s="55" t="str">
        <f t="shared" si="0"/>
        <v>enemy_skill_triggers_61001.tmp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189</v>
      </c>
      <c r="B9" s="66" t="s">
        <v>179</v>
      </c>
      <c r="C9" s="61">
        <v>61001</v>
      </c>
      <c r="D9" s="66" t="s">
        <v>173</v>
      </c>
      <c r="E9" s="67" t="str">
        <f t="shared" si="0"/>
        <v>stage_bug_bonuses_61001.tmp</v>
      </c>
      <c r="F9" s="66" t="s">
        <v>174</v>
      </c>
      <c r="G9" s="63" t="s">
        <v>151</v>
      </c>
      <c r="H9" s="63" t="s">
        <v>175</v>
      </c>
      <c r="I9" s="63" t="s">
        <v>176</v>
      </c>
      <c r="J9" s="65" t="s">
        <v>177</v>
      </c>
      <c r="K9" s="63" t="s">
        <v>178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189</v>
      </c>
      <c r="B10" s="66" t="s">
        <v>203</v>
      </c>
      <c r="C10" s="61">
        <v>61001</v>
      </c>
      <c r="D10" s="66" t="s">
        <v>182</v>
      </c>
      <c r="E10" s="67" t="str">
        <f t="shared" si="0"/>
        <v>stage_hints_data_c_61001.tmp</v>
      </c>
      <c r="F10" s="66" t="s">
        <v>212</v>
      </c>
      <c r="G10" s="72" t="s">
        <v>183</v>
      </c>
      <c r="H10" s="72" t="s">
        <v>175</v>
      </c>
      <c r="I10" s="73" t="s">
        <v>184</v>
      </c>
      <c r="J10" s="65" t="s">
        <v>185</v>
      </c>
      <c r="K10" s="65" t="s">
        <v>186</v>
      </c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</row>
    <row r="11" spans="1:30" s="74" customFormat="1" x14ac:dyDescent="0.15">
      <c r="A11" s="60" t="s">
        <v>189</v>
      </c>
      <c r="B11" s="66" t="s">
        <v>204</v>
      </c>
      <c r="C11" s="61">
        <v>61001</v>
      </c>
      <c r="D11" s="66" t="s">
        <v>173</v>
      </c>
      <c r="E11" s="67" t="str">
        <f t="shared" ref="E11:E13" si="1">B11&amp;C11&amp;D11</f>
        <v>stage_hints_data_f_61001.tmp</v>
      </c>
      <c r="F11" s="66" t="s">
        <v>214</v>
      </c>
      <c r="G11" s="72" t="s">
        <v>183</v>
      </c>
      <c r="H11" s="72" t="s">
        <v>175</v>
      </c>
      <c r="I11" s="73" t="s">
        <v>184</v>
      </c>
      <c r="J11" s="65" t="s">
        <v>185</v>
      </c>
      <c r="K11" s="65" t="s">
        <v>186</v>
      </c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</row>
    <row r="12" spans="1:30" s="74" customFormat="1" x14ac:dyDescent="0.15">
      <c r="A12" s="66" t="s">
        <v>205</v>
      </c>
      <c r="B12" s="66" t="s">
        <v>206</v>
      </c>
      <c r="C12" s="61">
        <v>61001</v>
      </c>
      <c r="D12" s="66" t="s">
        <v>173</v>
      </c>
      <c r="E12" s="67" t="str">
        <f t="shared" si="1"/>
        <v>stage_hints_i18n_61001.tmp</v>
      </c>
      <c r="F12" s="66" t="s">
        <v>215</v>
      </c>
      <c r="G12" s="73" t="s">
        <v>207</v>
      </c>
      <c r="H12" s="95" t="s">
        <v>208</v>
      </c>
      <c r="I12" s="72" t="s">
        <v>209</v>
      </c>
      <c r="J12" s="104" t="s">
        <v>210</v>
      </c>
      <c r="K12" s="65" t="s">
        <v>211</v>
      </c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</row>
    <row r="13" spans="1:30" s="74" customFormat="1" x14ac:dyDescent="0.15">
      <c r="A13" s="66" t="s">
        <v>263</v>
      </c>
      <c r="B13" s="66" t="s">
        <v>262</v>
      </c>
      <c r="C13" s="61">
        <v>61001</v>
      </c>
      <c r="D13" s="66" t="s">
        <v>243</v>
      </c>
      <c r="E13" s="67" t="str">
        <f t="shared" si="1"/>
        <v>stage_bonuses_61001.tmp</v>
      </c>
      <c r="F13" s="66" t="s">
        <v>242</v>
      </c>
      <c r="G13" s="72" t="s">
        <v>244</v>
      </c>
      <c r="H13" s="72" t="s">
        <v>245</v>
      </c>
      <c r="I13" s="72" t="s">
        <v>246</v>
      </c>
      <c r="J13" s="72" t="s">
        <v>247</v>
      </c>
      <c r="K13" s="72" t="s">
        <v>248</v>
      </c>
      <c r="L13" s="72" t="s">
        <v>249</v>
      </c>
      <c r="M13" s="72" t="s">
        <v>250</v>
      </c>
      <c r="N13" s="72" t="s">
        <v>251</v>
      </c>
      <c r="O13" s="72" t="s">
        <v>252</v>
      </c>
      <c r="P13" s="72" t="s">
        <v>253</v>
      </c>
      <c r="Q13" s="72" t="s">
        <v>254</v>
      </c>
      <c r="R13" s="72" t="s">
        <v>255</v>
      </c>
      <c r="S13" s="72" t="s">
        <v>256</v>
      </c>
      <c r="T13" s="72" t="s">
        <v>257</v>
      </c>
      <c r="U13" s="72" t="s">
        <v>258</v>
      </c>
      <c r="V13" s="72" t="s">
        <v>259</v>
      </c>
      <c r="W13" s="72" t="s">
        <v>260</v>
      </c>
      <c r="X13" s="72" t="s">
        <v>261</v>
      </c>
      <c r="Y13" s="103"/>
      <c r="Z13" s="103"/>
      <c r="AA13" s="103"/>
      <c r="AB13" s="103"/>
      <c r="AC13" s="103"/>
      <c r="AD13" s="103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8"/>
  <sheetViews>
    <sheetView showGridLines="0" workbookViewId="0">
      <pane ySplit="1" topLeftCell="A2" activePane="bottomLeft" state="frozen"/>
      <selection activeCell="V2" sqref="V2:X34"/>
      <selection pane="bottomLeft" activeCell="F10" sqref="F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8" si="0">G2&amp;"-"&amp;I2</f>
        <v>61001_1-1</v>
      </c>
      <c r="B2" s="16" t="str">
        <f>IF(COUNTIF(enemy_habitats!$H:$H,A2),"OK","NG")</f>
        <v>OK</v>
      </c>
      <c r="C2" s="7">
        <v>61001</v>
      </c>
      <c r="D2" s="11" t="str">
        <f ca="1">VLOOKUP($C2,OFFSET([2]quests!$A$1,0,0,COUNTA([2]quests!$A:$A),MATCH(D$1,[2]quests!$1:$1,0)-MATCH($C$1,[2]quests!$1:$1,0)+1),MATCH(D$1,[2]quests!$1:$1,0)-MATCH($C$1,[2]quests!$1:$1,0)+1,FALSE)</f>
        <v>団結クエスト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団結クエスト1</v>
      </c>
      <c r="F2" s="21">
        <v>1</v>
      </c>
      <c r="G2" s="23" t="str">
        <f t="shared" ref="G2:G8" si="1">C2&amp;"_"&amp;F2</f>
        <v>61001_1</v>
      </c>
      <c r="H2" s="15" t="str">
        <f ca="1">VLOOKUP($G2,OFFSET([2]stages!$A$1,0,0,COUNTA([2]stages!$A:$A),MATCH(H$1,[2]stages!$2:$2,0)-MATCH($G$1,[2]stages!$2:$2,0)+1),MATCH(H$1,[2]stages!$2:$2,0)-MATCH($G$1,[2]stages!$2:$2,0)+1,FALSE)</f>
        <v>団結クエストA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61001_2-1</v>
      </c>
      <c r="B3" s="16" t="str">
        <f>IF(COUNTIF(enemy_habitats!$H:$H,A3),"OK","NG")</f>
        <v>OK</v>
      </c>
      <c r="C3" s="7">
        <v>61001</v>
      </c>
      <c r="D3" s="11" t="str">
        <f ca="1">VLOOKUP($C3,OFFSET([2]quests!$A$1,0,0,COUNTA([2]quests!$A:$A),MATCH(D$1,[2]quests!$1:$1,0)-MATCH($C$1,[2]quests!$1:$1,0)+1),MATCH(D$1,[2]quests!$1:$1,0)-MATCH($C$1,[2]quests!$1:$1,0)+1,FALSE)</f>
        <v>団結クエスト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団結クエスト1</v>
      </c>
      <c r="F3" s="21">
        <v>2</v>
      </c>
      <c r="G3" s="23" t="str">
        <f t="shared" si="1"/>
        <v>61001_2</v>
      </c>
      <c r="H3" s="15" t="str">
        <f ca="1">VLOOKUP($G3,OFFSET([2]stages!$A$1,0,0,COUNTA([2]stages!$A:$A),MATCH(H$1,[2]stages!$2:$2,0)-MATCH($G$1,[2]stages!$2:$2,0)+1),MATCH(H$1,[2]stages!$2:$2,0)-MATCH($G$1,[2]stages!$2:$2,0)+1,FALSE)</f>
        <v>団結クエストB</v>
      </c>
      <c r="I3" s="21">
        <v>1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61001_3-1</v>
      </c>
      <c r="B4" s="16" t="str">
        <f>IF(COUNTIF(enemy_habitats!$H:$H,A4),"OK","NG")</f>
        <v>OK</v>
      </c>
      <c r="C4" s="7">
        <v>61001</v>
      </c>
      <c r="D4" s="11" t="str">
        <f ca="1">VLOOKUP($C4,OFFSET([2]quests!$A$1,0,0,COUNTA([2]quests!$A:$A),MATCH(D$1,[2]quests!$1:$1,0)-MATCH($C$1,[2]quests!$1:$1,0)+1),MATCH(D$1,[2]quests!$1:$1,0)-MATCH($C$1,[2]quests!$1:$1,0)+1,FALSE)</f>
        <v>団結クエスト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団結クエスト1</v>
      </c>
      <c r="F4" s="21">
        <v>3</v>
      </c>
      <c r="G4" s="23" t="str">
        <f t="shared" si="1"/>
        <v>61001_3</v>
      </c>
      <c r="H4" s="15" t="str">
        <f ca="1">VLOOKUP($G4,OFFSET([2]stages!$A$1,0,0,COUNTA([2]stages!$A:$A),MATCH(H$1,[2]stages!$2:$2,0)-MATCH($G$1,[2]stages!$2:$2,0)+1),MATCH(H$1,[2]stages!$2:$2,0)-MATCH($G$1,[2]stages!$2:$2,0)+1,FALSE)</f>
        <v>団結クエストC1</v>
      </c>
      <c r="I4" s="21">
        <v>1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61001_4-1</v>
      </c>
      <c r="B5" s="16" t="str">
        <f>IF(COUNTIF(enemy_habitats!$H:$H,A5),"OK","NG")</f>
        <v>OK</v>
      </c>
      <c r="C5" s="7">
        <v>61001</v>
      </c>
      <c r="D5" s="11" t="str">
        <f ca="1">VLOOKUP($C5,OFFSET([2]quests!$A$1,0,0,COUNTA([2]quests!$A:$A),MATCH(D$1,[2]quests!$1:$1,0)-MATCH($C$1,[2]quests!$1:$1,0)+1),MATCH(D$1,[2]quests!$1:$1,0)-MATCH($C$1,[2]quests!$1:$1,0)+1,FALSE)</f>
        <v>団結クエスト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団結クエスト1</v>
      </c>
      <c r="F5" s="21">
        <v>4</v>
      </c>
      <c r="G5" s="23" t="str">
        <f t="shared" si="1"/>
        <v>61001_4</v>
      </c>
      <c r="H5" s="15" t="str">
        <f ca="1">VLOOKUP($G5,OFFSET([2]stages!$A$1,0,0,COUNTA([2]stages!$A:$A),MATCH(H$1,[2]stages!$2:$2,0)-MATCH($G$1,[2]stages!$2:$2,0)+1),MATCH(H$1,[2]stages!$2:$2,0)-MATCH($G$1,[2]stages!$2:$2,0)+1,FALSE)</f>
        <v>団結クエストC2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61001_5-1</v>
      </c>
      <c r="B6" s="16" t="str">
        <f>IF(COUNTIF(enemy_habitats!$H:$H,A6),"OK","NG")</f>
        <v>OK</v>
      </c>
      <c r="C6" s="7">
        <v>61001</v>
      </c>
      <c r="D6" s="11" t="str">
        <f ca="1">VLOOKUP($C6,OFFSET([2]quests!$A$1,0,0,COUNTA([2]quests!$A:$A),MATCH(D$1,[2]quests!$1:$1,0)-MATCH($C$1,[2]quests!$1:$1,0)+1),MATCH(D$1,[2]quests!$1:$1,0)-MATCH($C$1,[2]quests!$1:$1,0)+1,FALSE)</f>
        <v>団結クエスト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団結クエスト1</v>
      </c>
      <c r="F6" s="21">
        <v>5</v>
      </c>
      <c r="G6" s="23" t="str">
        <f t="shared" si="1"/>
        <v>61001_5</v>
      </c>
      <c r="H6" s="15" t="str">
        <f ca="1">VLOOKUP($G6,OFFSET([2]stages!$A$1,0,0,COUNTA([2]stages!$A:$A),MATCH(H$1,[2]stages!$2:$2,0)-MATCH($G$1,[2]stages!$2:$2,0)+1),MATCH(H$1,[2]stages!$2:$2,0)-MATCH($G$1,[2]stages!$2:$2,0)+1,FALSE)</f>
        <v>団結クエストC3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61001_6-1</v>
      </c>
      <c r="B7" s="16" t="str">
        <f>IF(COUNTIF(enemy_habitats!$H:$H,A7),"OK","NG")</f>
        <v>OK</v>
      </c>
      <c r="C7" s="7">
        <v>61001</v>
      </c>
      <c r="D7" s="11" t="str">
        <f ca="1">VLOOKUP($C7,OFFSET([2]quests!$A$1,0,0,COUNTA([2]quests!$A:$A),MATCH(D$1,[2]quests!$1:$1,0)-MATCH($C$1,[2]quests!$1:$1,0)+1),MATCH(D$1,[2]quests!$1:$1,0)-MATCH($C$1,[2]quests!$1:$1,0)+1,FALSE)</f>
        <v>団結クエスト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団結クエスト1</v>
      </c>
      <c r="F7" s="21">
        <v>6</v>
      </c>
      <c r="G7" s="23" t="str">
        <f t="shared" si="1"/>
        <v>61001_6</v>
      </c>
      <c r="H7" s="15" t="str">
        <f ca="1">VLOOKUP($G7,OFFSET([2]stages!$A$1,0,0,COUNTA([2]stages!$A:$A),MATCH(H$1,[2]stages!$2:$2,0)-MATCH($G$1,[2]stages!$2:$2,0)+1),MATCH(H$1,[2]stages!$2:$2,0)-MATCH($G$1,[2]stages!$2:$2,0)+1,FALSE)</f>
        <v>団結クエストC4</v>
      </c>
      <c r="I7" s="21">
        <v>1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61001_7-1</v>
      </c>
      <c r="B8" s="16" t="str">
        <f>IF(COUNTIF(enemy_habitats!$H:$H,A8),"OK","NG")</f>
        <v>OK</v>
      </c>
      <c r="C8" s="7">
        <v>61001</v>
      </c>
      <c r="D8" s="11" t="str">
        <f ca="1">VLOOKUP($C8,OFFSET([2]quests!$A$1,0,0,COUNTA([2]quests!$A:$A),MATCH(D$1,[2]quests!$1:$1,0)-MATCH($C$1,[2]quests!$1:$1,0)+1),MATCH(D$1,[2]quests!$1:$1,0)-MATCH($C$1,[2]quests!$1:$1,0)+1,FALSE)</f>
        <v>団結クエスト</v>
      </c>
      <c r="E8" s="18" t="str">
        <f ca="1">VLOOKUP($C8,OFFSET([2]quests!$A$1,0,0,COUNTA([2]quests!$A:$A),MATCH(E$1,[2]quests!$1:$1,0)-MATCH($C$1,[2]quests!$1:$1,0)+1),MATCH(E$1,[2]quests!$1:$1,0)-MATCH($C$1,[2]quests!$1:$1,0)+1,FALSE)</f>
        <v>団結クエスト1</v>
      </c>
      <c r="F8" s="21">
        <v>7</v>
      </c>
      <c r="G8" s="23" t="str">
        <f t="shared" si="1"/>
        <v>61001_7</v>
      </c>
      <c r="H8" s="15" t="str">
        <f ca="1">VLOOKUP($G8,OFFSET([2]stages!$A$1,0,0,COUNTA([2]stages!$A:$A),MATCH(H$1,[2]stages!$2:$2,0)-MATCH($G$1,[2]stages!$2:$2,0)+1),MATCH(H$1,[2]stages!$2:$2,0)-MATCH($G$1,[2]stages!$2:$2,0)+1,FALSE)</f>
        <v>団結クエストD</v>
      </c>
      <c r="I8" s="21">
        <v>1</v>
      </c>
      <c r="J8" s="12">
        <v>60</v>
      </c>
      <c r="K8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5" sqref="U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7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5.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5" t="s">
        <v>264</v>
      </c>
      <c r="U1" s="26" t="s">
        <v>50</v>
      </c>
      <c r="V1" s="105" t="s">
        <v>265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61001_1-1/969&lt;lv99&gt;s1</v>
      </c>
      <c r="B2" s="22">
        <v>61001</v>
      </c>
      <c r="C2" s="21">
        <v>1</v>
      </c>
      <c r="D2" s="2" t="str">
        <f t="shared" ref="D2:D7" si="1">B2&amp;"_"&amp;C2</f>
        <v>61001_1</v>
      </c>
      <c r="E2" s="4" t="str">
        <f ca="1">VLOOKUP($B2,OFFSET([2]quests!$A$1,0,0,COUNTA([2]quests!$A:$A),MATCH(E$1,[2]quests!$1:$1,0)-MATCH($B$1,[2]quests!$1:$1,0)+1),MATCH(E$1,[2]quests!$1:$1,0)-MATCH($B$1,[2]quests!$1:$1,0)+1,FALSE)</f>
        <v>団結クエスト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団結クエストA</v>
      </c>
      <c r="G2" s="21">
        <v>1</v>
      </c>
      <c r="H2" s="15" t="str">
        <f t="shared" ref="H2:H7" si="2">B2&amp;"_"&amp;C2&amp;"-"&amp;G2</f>
        <v>61001_1-1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969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超排撃の焔砲巨神 ユミル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99</v>
      </c>
      <c r="S2" s="25">
        <v>10</v>
      </c>
      <c r="T2" s="106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2477330</v>
      </c>
      <c r="U2" s="25">
        <v>0.5</v>
      </c>
      <c r="V2" s="106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4757.5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61000000</v>
      </c>
      <c r="Z2" s="6">
        <v>1</v>
      </c>
      <c r="AA2" s="6">
        <v>100</v>
      </c>
      <c r="AB2" s="6">
        <v>1</v>
      </c>
      <c r="AC2" s="17">
        <v>1</v>
      </c>
      <c r="AD2" s="24">
        <f t="shared" ref="AD2:AD7" si="3">L2</f>
        <v>969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超排撃の焔砲巨神 ユミル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4">
        <f t="shared" ref="AI2:AI7" ca="1" si="4">AF2</f>
        <v>6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61001_2-1/859&lt;lv99&gt;s1</v>
      </c>
      <c r="B3" s="22">
        <v>61001</v>
      </c>
      <c r="C3" s="21">
        <v>2</v>
      </c>
      <c r="D3" s="2" t="str">
        <f t="shared" si="1"/>
        <v>61001_2</v>
      </c>
      <c r="E3" s="4" t="str">
        <f ca="1">VLOOKUP($B3,OFFSET([2]quests!$A$1,0,0,COUNTA([2]quests!$A:$A),MATCH(E$1,[2]quests!$1:$1,0)-MATCH($B$1,[2]quests!$1:$1,0)+1),MATCH(E$1,[2]quests!$1:$1,0)-MATCH($B$1,[2]quests!$1:$1,0)+1,FALSE)</f>
        <v>団結クエスト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団結クエストB</v>
      </c>
      <c r="G3" s="21">
        <v>1</v>
      </c>
      <c r="H3" s="15" t="str">
        <f t="shared" si="2"/>
        <v>61001_2-1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859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夢鯨大食 Mr.ホエール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99</v>
      </c>
      <c r="S3" s="25">
        <v>50</v>
      </c>
      <c r="T3" s="106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12138900</v>
      </c>
      <c r="U3" s="25">
        <v>1</v>
      </c>
      <c r="V3" s="106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9422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61000100</v>
      </c>
      <c r="Z3" s="6">
        <v>1</v>
      </c>
      <c r="AA3" s="6">
        <v>100</v>
      </c>
      <c r="AB3" s="6">
        <v>1</v>
      </c>
      <c r="AC3" s="17">
        <v>1</v>
      </c>
      <c r="AD3" s="24">
        <f t="shared" si="3"/>
        <v>859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夢鯨大食 Mr.ホエール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61001_3-1/861&lt;lv99&gt;s1</v>
      </c>
      <c r="B4" s="22">
        <v>61001</v>
      </c>
      <c r="C4" s="21">
        <v>3</v>
      </c>
      <c r="D4" s="2" t="str">
        <f t="shared" si="1"/>
        <v>61001_3</v>
      </c>
      <c r="E4" s="4" t="str">
        <f ca="1">VLOOKUP($B4,OFFSET([2]quests!$A$1,0,0,COUNTA([2]quests!$A:$A),MATCH(E$1,[2]quests!$1:$1,0)-MATCH($B$1,[2]quests!$1:$1,0)+1),MATCH(E$1,[2]quests!$1:$1,0)-MATCH($B$1,[2]quests!$1:$1,0)+1,FALSE)</f>
        <v>団結クエスト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団結クエストC1</v>
      </c>
      <c r="G4" s="21">
        <v>1</v>
      </c>
      <c r="H4" s="15" t="str">
        <f t="shared" si="2"/>
        <v>61001_3-1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861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青燈の巨躯 ジーナ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99</v>
      </c>
      <c r="S4" s="25">
        <v>99</v>
      </c>
      <c r="T4" s="106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24525567</v>
      </c>
      <c r="U4" s="25">
        <v>1.3</v>
      </c>
      <c r="V4" s="106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11884.6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61000200</v>
      </c>
      <c r="Z4" s="6">
        <v>1</v>
      </c>
      <c r="AA4" s="6">
        <v>100</v>
      </c>
      <c r="AB4" s="6">
        <v>1</v>
      </c>
      <c r="AC4" s="17">
        <v>1</v>
      </c>
      <c r="AD4" s="24">
        <f t="shared" si="3"/>
        <v>861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青燈の巨躯 ジーナ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6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ca="1" si="4"/>
        <v>6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61001_4-1/971&lt;lv99&gt;s1</v>
      </c>
      <c r="B5" s="22">
        <v>61001</v>
      </c>
      <c r="C5" s="21">
        <v>4</v>
      </c>
      <c r="D5" s="2" t="str">
        <f t="shared" si="1"/>
        <v>61001_4</v>
      </c>
      <c r="E5" s="4" t="str">
        <f ca="1">VLOOKUP($B5,OFFSET([2]quests!$A$1,0,0,COUNTA([2]quests!$A:$A),MATCH(E$1,[2]quests!$1:$1,0)-MATCH($B$1,[2]quests!$1:$1,0)+1),MATCH(E$1,[2]quests!$1:$1,0)-MATCH($B$1,[2]quests!$1:$1,0)+1,FALSE)</f>
        <v>団結クエスト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団結クエストC2</v>
      </c>
      <c r="G5" s="21">
        <v>1</v>
      </c>
      <c r="H5" s="15" t="str">
        <f t="shared" si="2"/>
        <v>61001_4-1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971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機獅蛮勇 ブレイブリー・ライオン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99</v>
      </c>
      <c r="S5" s="25">
        <v>99</v>
      </c>
      <c r="T5" s="106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24035022</v>
      </c>
      <c r="U5" s="25">
        <v>1.2</v>
      </c>
      <c r="V5" s="106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12436.8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61000300</v>
      </c>
      <c r="Z5" s="6">
        <v>1</v>
      </c>
      <c r="AA5" s="6">
        <v>100</v>
      </c>
      <c r="AB5" s="6">
        <v>1</v>
      </c>
      <c r="AC5" s="17">
        <v>1</v>
      </c>
      <c r="AD5" s="24">
        <f t="shared" si="3"/>
        <v>971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機獅蛮勇 ブレイブリー・ライオン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4"/>
        <v>6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61001_5-1/962&lt;lv99&gt;s1</v>
      </c>
      <c r="B6" s="22">
        <v>61001</v>
      </c>
      <c r="C6" s="21">
        <v>5</v>
      </c>
      <c r="D6" s="2" t="str">
        <f t="shared" si="1"/>
        <v>61001_5</v>
      </c>
      <c r="E6" s="4" t="str">
        <f ca="1">VLOOKUP($B6,OFFSET([2]quests!$A$1,0,0,COUNTA([2]quests!$A:$A),MATCH(E$1,[2]quests!$1:$1,0)-MATCH($B$1,[2]quests!$1:$1,0)+1),MATCH(E$1,[2]quests!$1:$1,0)-MATCH($B$1,[2]quests!$1:$1,0)+1,FALSE)</f>
        <v>団結クエスト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団結クエストC3</v>
      </c>
      <c r="G6" s="21">
        <v>1</v>
      </c>
      <c r="H6" s="15" t="str">
        <f t="shared" si="2"/>
        <v>61001_5-1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962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酩酊する大宴龍 ヤマタノオロチ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99</v>
      </c>
      <c r="S6" s="25">
        <v>99</v>
      </c>
      <c r="T6" s="106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28768410</v>
      </c>
      <c r="U6" s="25">
        <v>1.2</v>
      </c>
      <c r="V6" s="106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12067.199999999999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61000400</v>
      </c>
      <c r="Z6" s="6">
        <v>1</v>
      </c>
      <c r="AA6" s="6">
        <v>100</v>
      </c>
      <c r="AB6" s="6">
        <v>1</v>
      </c>
      <c r="AC6" s="17">
        <v>1</v>
      </c>
      <c r="AD6" s="24">
        <f t="shared" si="3"/>
        <v>962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酩酊する大宴龍 ヤマタノオロチ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4">
        <f t="shared" ca="1" si="4"/>
        <v>6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61001_6-1/980&lt;lv99&gt;s1</v>
      </c>
      <c r="B7" s="22">
        <v>61001</v>
      </c>
      <c r="C7" s="21">
        <v>6</v>
      </c>
      <c r="D7" s="2" t="str">
        <f t="shared" si="1"/>
        <v>61001_6</v>
      </c>
      <c r="E7" s="4" t="str">
        <f ca="1">VLOOKUP($B7,OFFSET([2]quests!$A$1,0,0,COUNTA([2]quests!$A:$A),MATCH(E$1,[2]quests!$1:$1,0)-MATCH($B$1,[2]quests!$1:$1,0)+1),MATCH(E$1,[2]quests!$1:$1,0)-MATCH($B$1,[2]quests!$1:$1,0)+1,FALSE)</f>
        <v>団結クエスト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団結クエストC4</v>
      </c>
      <c r="G7" s="21">
        <v>1</v>
      </c>
      <c r="H7" s="15" t="str">
        <f t="shared" si="2"/>
        <v>61001_6-1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980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猛熱の災厄 超大型巨人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ti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99</v>
      </c>
      <c r="S7" s="25">
        <v>99</v>
      </c>
      <c r="T7" s="106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24525567</v>
      </c>
      <c r="U7" s="25">
        <v>1.2</v>
      </c>
      <c r="V7" s="106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11418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61000500</v>
      </c>
      <c r="Z7" s="6">
        <v>1</v>
      </c>
      <c r="AA7" s="6">
        <v>100</v>
      </c>
      <c r="AB7" s="6">
        <v>1</v>
      </c>
      <c r="AC7" s="17">
        <v>1</v>
      </c>
      <c r="AD7" s="24">
        <f t="shared" si="3"/>
        <v>980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猛熱の災厄 超大型巨人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6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6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ref="A8" si="5">B8&amp;"_"&amp;C8&amp;"-"&amp;G8&amp;"/"&amp;L8&amp;"&lt;lv"&amp;R8&amp;"&gt;s"&amp;AC8</f>
        <v>61001_7-1/1&lt;lv99&gt;s1</v>
      </c>
      <c r="B8" s="22">
        <v>61001</v>
      </c>
      <c r="C8" s="21">
        <v>7</v>
      </c>
      <c r="D8" s="2" t="str">
        <f t="shared" ref="D8" si="6">B8&amp;"_"&amp;C8</f>
        <v>61001_7</v>
      </c>
      <c r="E8" s="4" t="str">
        <f ca="1">VLOOKUP($B8,OFFSET([2]quests!$A$1,0,0,COUNTA([2]quests!$A:$A),MATCH(E$1,[2]quests!$1:$1,0)-MATCH($B$1,[2]quests!$1:$1,0)+1),MATCH(E$1,[2]quests!$1:$1,0)-MATCH($B$1,[2]quests!$1:$1,0)+1,FALSE)</f>
        <v>団結クエスト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団結クエストD</v>
      </c>
      <c r="G8" s="21">
        <v>1</v>
      </c>
      <c r="H8" s="15" t="str">
        <f t="shared" ref="H8" si="7">B8&amp;"_"&amp;C8&amp;"-"&amp;G8</f>
        <v>61001_7-1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ジェリー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99</v>
      </c>
      <c r="S8" s="25">
        <v>3.8</v>
      </c>
      <c r="T8" s="106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76380</v>
      </c>
      <c r="U8" s="25">
        <v>1.2</v>
      </c>
      <c r="V8" s="106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8834.4</v>
      </c>
      <c r="W8" s="5">
        <v>0</v>
      </c>
      <c r="X8" s="4" t="str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8" s="4">
        <v>0</v>
      </c>
      <c r="Z8" s="6">
        <v>1</v>
      </c>
      <c r="AA8" s="6">
        <v>100</v>
      </c>
      <c r="AB8" s="6">
        <v>1</v>
      </c>
      <c r="AC8" s="17">
        <v>1</v>
      </c>
      <c r="AD8" s="24">
        <f t="shared" ref="AD8" si="8">L8</f>
        <v>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ジェリー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Drop1T</v>
      </c>
      <c r="AH8" s="7">
        <v>1</v>
      </c>
      <c r="AI8" s="24">
        <f t="shared" ref="AI8" ca="1" si="9">AF8</f>
        <v>1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2" sqref="A2:XFD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5" t="s">
        <v>264</v>
      </c>
      <c r="V1" s="26" t="s">
        <v>50</v>
      </c>
      <c r="W1" s="105" t="s">
        <v>265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65535_1-1/2&lt;lv1&gt;sq1st2</v>
      </c>
      <c r="B2" s="22">
        <v>65535</v>
      </c>
      <c r="C2" s="21">
        <v>1</v>
      </c>
      <c r="D2" s="2" t="str">
        <f>B2&amp;"_"&amp;C2</f>
        <v>65535_1</v>
      </c>
      <c r="E2" s="4" t="str">
        <f ca="1">VLOOKUP($B2,OFFSET([2]quests!$A$1,0,0,COUNTA([2]quests!$A:$A),MATCH(E$1,[2]quests!$1:$1,0)-MATCH($B$1,[2]quests!$1:$1,0)+1),MATCH(E$1,[2]quests!$1:$1,0)-MATCH($B$1,[2]quests!$1:$1,0)+1,FALSE)</f>
        <v>１２３４５６７８９０１２３４５６７８９０１２３４５６７８９０</v>
      </c>
      <c r="F2" s="4" t="str">
        <f ca="1">VLOOKUP($D2,OFFSET([2]stages!$A$1,0,0,COUNTA([2]stages!$A:$A),MATCH(F$1,[2]stages!$2:$2,0)-MATCH($D$1,[2]stages!$2:$2,0)+1),MATCH(F$1,[2]stages!$2:$2,0)-MATCH($D$1,[2]stages!$2:$2,0)+1,FALSE)</f>
        <v>テンプレート</v>
      </c>
      <c r="G2" s="21">
        <v>1</v>
      </c>
      <c r="H2" s="15" t="str">
        <f>B2&amp;"_"&amp;C2&amp;"-"&amp;G2</f>
        <v>65535_1-1</v>
      </c>
      <c r="I2" s="4" t="e">
        <f ca="1">VLOOKUP($H2,OFFSET(floors!$A$1,0,0,COUNTA(floors!$A:$A),MATCH(I$1,floors!$1:$1,0)-MATCH($H$1,floors!$1:$1,0)+1),MATCH(I$1,floors!$1:$1,0)-MATCH($H$1,floors!$1:$1,0)+1,FALSE)</f>
        <v>#N/A</v>
      </c>
      <c r="J2" s="4" t="e">
        <f ca="1">VLOOKUP($H2,OFFSET(floors!$A$1,0,0,COUNTA(floors!$A:$A),MATCH(J$1,floors!$1:$1,0)-MATCH($H$1,floors!$1:$1,0)+1),MATCH(J$1,floors!$1:$1,0)-MATCH($H$1,floors!$1:$1,0)+1,FALSE)</f>
        <v>#N/A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106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25">
        <v>1</v>
      </c>
      <c r="W2" s="106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5">
        <v>0</v>
      </c>
      <c r="Y2" s="4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4">
        <f ca="1">VLOOKUP($M2,OFFSET([3]enemies!$A$1,0,0,COUNTA([3]enemies!$A:$A),MATCH(Z$1,[3]enemies!$1:$1,0)-MATCH($M$1,[3]enemies!$1:$1,0)+1),MATCH(Z$1,[3]enemies!$1:$1,0)-MATCH($M$1,[3]enemies!$1:$1,0)+1,FALSE)</f>
        <v>0</v>
      </c>
      <c r="AA2" s="69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4"/>
  <sheetViews>
    <sheetView showGridLines="0" workbookViewId="0">
      <pane xSplit="5" ySplit="1" topLeftCell="F56" activePane="bottomRight" state="frozen"/>
      <selection pane="topRight"/>
      <selection pane="bottomLeft"/>
      <selection pane="bottomRight" activeCell="F11" sqref="F11:F1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4.83203125" style="49" customWidth="1" outlineLevel="1"/>
    <col min="5" max="5" width="57.33203125" style="49" customWidth="1" outlineLevel="1"/>
    <col min="6" max="6" width="10.1640625" style="49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61000000_61000001</v>
      </c>
      <c r="B2" s="108">
        <v>61000000</v>
      </c>
      <c r="C2" s="108">
        <v>61000001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ボスA1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全ユニットのスキルターンを4ターン減少+_x000D_体力・回復タイプのユニットの_x000D_スキルターンを8ターン減少&amp;攻撃力2000UP</v>
      </c>
      <c r="F2" s="108">
        <v>61000001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61000000_61000002</v>
      </c>
      <c r="B3" s="108">
        <v>61000000</v>
      </c>
      <c r="C3" s="108">
        <v>61000002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ボスA2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単体攻撃+属性パネルをダメージパネルに5個変換</v>
      </c>
      <c r="F3" s="108">
        <v>61000002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" s="47"/>
      <c r="Q3" s="47"/>
      <c r="R3" s="47"/>
    </row>
    <row r="4" spans="1:18" ht="21" customHeight="1" x14ac:dyDescent="0.15">
      <c r="A4" s="39" t="str">
        <f t="shared" si="1"/>
        <v>61000000_61000003</v>
      </c>
      <c r="B4" s="108">
        <v>61000000</v>
      </c>
      <c r="C4" s="108">
        <v>61000003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ボスA3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単体攻撃+属性パネルを時限式ダメージパネルに5個変換</v>
      </c>
      <c r="F4" s="108">
        <v>61000003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" s="47"/>
      <c r="Q4" s="47"/>
      <c r="R4" s="47"/>
    </row>
    <row r="5" spans="1:18" ht="21" customHeight="1" x14ac:dyDescent="0.15">
      <c r="A5" s="39" t="str">
        <f t="shared" ref="A5:A7" si="2">B5&amp;"_"&amp;C5</f>
        <v>61000000_61000004</v>
      </c>
      <c r="B5" s="108">
        <v>61000000</v>
      </c>
      <c r="C5" s="108">
        <v>61000004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ボスA2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単体攻撃+属性パネルをボムパネルに5個変換</v>
      </c>
      <c r="F5" s="108">
        <v>61000004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" s="47"/>
      <c r="Q5" s="47"/>
      <c r="R5" s="47"/>
    </row>
    <row r="6" spans="1:18" ht="21" customHeight="1" x14ac:dyDescent="0.15">
      <c r="A6" s="39" t="str">
        <f t="shared" si="2"/>
        <v>61000000_61000005</v>
      </c>
      <c r="B6" s="108">
        <v>61000000</v>
      </c>
      <c r="C6" s="108">
        <v>61000005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ボスA3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単体攻撃+属性パネルをCBPに3個変換</v>
      </c>
      <c r="F6" s="108">
        <v>61000005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2"/>
        <v>61000000_61000006</v>
      </c>
      <c r="B7" s="108">
        <v>61000000</v>
      </c>
      <c r="C7" s="108">
        <v>61000006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ボスA3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単体攻撃+属性パネルをマグネットパネルに1個変換</v>
      </c>
      <c r="F7" s="108">
        <v>61000006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23" si="3">B8&amp;"_"&amp;C8</f>
        <v>61000000_61000007</v>
      </c>
      <c r="B8" s="108">
        <v>61000000</v>
      </c>
      <c r="C8" s="108">
        <v>61000007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ボスA4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単体攻撃+属性パネルをダメージパネルに5個変換+_x000D_体力・回復タイプのユニットのスキルターンを8ターン減少</v>
      </c>
      <c r="F8" s="108">
        <v>61000007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" s="47"/>
      <c r="Q8" s="47"/>
      <c r="R8" s="47"/>
    </row>
    <row r="9" spans="1:18" ht="21" customHeight="1" x14ac:dyDescent="0.15">
      <c r="A9" s="39" t="str">
        <f t="shared" si="3"/>
        <v>61000000_61000008</v>
      </c>
      <c r="B9" s="108">
        <v>61000000</v>
      </c>
      <c r="C9" s="108">
        <v>61000008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ボスA5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単体攻撃+属性パネルを時限式ダメージパネルに5個変換+_x000D_体力・回復タイプのユニットのスキルターンを8ターン減少</v>
      </c>
      <c r="F9" s="108">
        <v>61000008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" s="47"/>
      <c r="Q9" s="47"/>
      <c r="R9" s="47"/>
    </row>
    <row r="10" spans="1:18" ht="21" customHeight="1" x14ac:dyDescent="0.15">
      <c r="A10" s="39" t="str">
        <f t="shared" si="3"/>
        <v>61000000_61000009</v>
      </c>
      <c r="B10" s="108">
        <v>61000000</v>
      </c>
      <c r="C10" s="108">
        <v>61000009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ボスA4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単体攻撃+属性パネルをボムパネルに5個変換+_x000D_体力・回復タイプのユニットのスキルターンを8ターン減少</v>
      </c>
      <c r="F10" s="108">
        <v>61000009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0" s="47"/>
      <c r="Q10" s="47"/>
      <c r="R10" s="47"/>
    </row>
    <row r="11" spans="1:18" ht="21" customHeight="1" x14ac:dyDescent="0.15">
      <c r="A11" s="39" t="str">
        <f t="shared" si="3"/>
        <v>61000000_61000010</v>
      </c>
      <c r="B11" s="108">
        <v>61000000</v>
      </c>
      <c r="C11" s="108">
        <v>61000010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ボスA5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単体攻撃+属性パネルをCBPに3個変換+_x000D_体力・回復タイプのユニットのスキルターンを8ターン減少</v>
      </c>
      <c r="F11" s="108">
        <v>61000010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3"/>
        <v>61000000_61000011</v>
      </c>
      <c r="B12" s="108">
        <v>61000000</v>
      </c>
      <c r="C12" s="108">
        <v>61000011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ボスA5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単体攻撃+属性パネルをマグネットパネルに1個変換+_x000D_体力・回復タイプのユニットのスキルターンを8ターン減少</v>
      </c>
      <c r="F12" s="108">
        <v>61000011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61000000_61000012</v>
      </c>
      <c r="B13" s="108">
        <v>61000000</v>
      </c>
      <c r="C13" s="108">
        <v>61000012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ボスA6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単体攻撃+属性パネルをダメージパネルに5個変換+_x000D_全ユニットのスキルターンを2ターン減少+_x000D_体力・回復タイプのユニットのスキルターンを8ターン減少</v>
      </c>
      <c r="F13" s="108">
        <v>61000012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3" s="47"/>
      <c r="Q13" s="47"/>
      <c r="R13" s="47"/>
    </row>
    <row r="14" spans="1:18" ht="21" customHeight="1" x14ac:dyDescent="0.15">
      <c r="A14" s="39" t="str">
        <f t="shared" si="3"/>
        <v>61000000_61000013</v>
      </c>
      <c r="B14" s="108">
        <v>61000000</v>
      </c>
      <c r="C14" s="108">
        <v>61000013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ボスA7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単体攻撃+属性パネルを時限式ダメージパネルに5個変換+_x000D_全ユニットのスキルターンを2ターン減少+_x000D_体力・回復タイプのユニットのスキルターンを8ターン減少</v>
      </c>
      <c r="F14" s="108">
        <v>61000013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4" s="47"/>
      <c r="Q14" s="47"/>
      <c r="R14" s="47"/>
    </row>
    <row r="15" spans="1:18" ht="21" customHeight="1" x14ac:dyDescent="0.15">
      <c r="A15" s="39" t="str">
        <f t="shared" ref="A15:A16" si="4">B15&amp;"_"&amp;C15</f>
        <v>61000000_61000014</v>
      </c>
      <c r="B15" s="108">
        <v>61000000</v>
      </c>
      <c r="C15" s="108">
        <v>61000014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ボスA6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単体攻撃+属性パネルをボムパネルに5個変換+_x000D_全ユニットのスキルターンを2ターン減少+_x000D_体力・回復タイプのユニットのスキルターンを8ターン減少</v>
      </c>
      <c r="F15" s="108">
        <v>61000014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5" s="47"/>
      <c r="Q15" s="47"/>
      <c r="R15" s="47"/>
    </row>
    <row r="16" spans="1:18" ht="21" customHeight="1" x14ac:dyDescent="0.15">
      <c r="A16" s="39" t="str">
        <f t="shared" si="4"/>
        <v>61000000_61000015</v>
      </c>
      <c r="B16" s="108">
        <v>61000000</v>
      </c>
      <c r="C16" s="108">
        <v>61000015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ボスA7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単体攻撃+属性パネルをCBPに3個変換+_x000D_全ユニットのスキルターンを2ターン減少+_x000D_体力・回復タイプのユニットのスキルターンを8ターン減少</v>
      </c>
      <c r="F16" s="108">
        <v>61000015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7"/>
      <c r="Q16" s="47"/>
      <c r="R16" s="47"/>
    </row>
    <row r="17" spans="1:18" ht="21" customHeight="1" x14ac:dyDescent="0.15">
      <c r="A17" s="39" t="str">
        <f t="shared" ref="A17" si="5">B17&amp;"_"&amp;C17</f>
        <v>61000000_61000016</v>
      </c>
      <c r="B17" s="108">
        <v>61000000</v>
      </c>
      <c r="C17" s="108">
        <v>61000016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ボスA7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単体攻撃+属性パネルをマグネットパネルに1個変換+_x000D_全ユニットのスキルターンを2ターン減少+_x000D_体力・回復タイプのユニットのスキルターンを8ターン減少</v>
      </c>
      <c r="F17" s="108">
        <v>61000016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3"/>
        <v>61000100_61000100</v>
      </c>
      <c r="B18" s="111">
        <v>61000100</v>
      </c>
      <c r="C18" s="111">
        <v>61000100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ボスB1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状態異常耐性+_x000D_全ユニットのスキルターンを4ターン減少+_x000D_体力・回復タイプのユニットの_x000D_スキルターンを8ターン減少&amp;攻撃力2000UP</v>
      </c>
      <c r="F18" s="111">
        <v>61000100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3"/>
        <v>61000100_61000101</v>
      </c>
      <c r="B19" s="111">
        <v>61000100</v>
      </c>
      <c r="C19" s="111">
        <v>61000101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ボスB2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単体攻撃+属性パネルをダメージパネルに10個変換</v>
      </c>
      <c r="F19" s="111">
        <v>61000101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9" s="47"/>
      <c r="Q19" s="47"/>
      <c r="R19" s="47"/>
    </row>
    <row r="20" spans="1:18" ht="21" customHeight="1" x14ac:dyDescent="0.15">
      <c r="A20" s="39" t="str">
        <f t="shared" si="3"/>
        <v>61000100_61000102</v>
      </c>
      <c r="B20" s="111">
        <v>61000100</v>
      </c>
      <c r="C20" s="111">
        <v>61000102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ボスB3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単体攻撃+属性パネルを時限式ダメージパネルに10個変換</v>
      </c>
      <c r="F20" s="111">
        <v>61000102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0" s="47"/>
      <c r="Q20" s="47"/>
      <c r="R20" s="47"/>
    </row>
    <row r="21" spans="1:18" ht="21" customHeight="1" x14ac:dyDescent="0.15">
      <c r="A21" s="39" t="str">
        <f t="shared" si="3"/>
        <v>61000100_61000103</v>
      </c>
      <c r="B21" s="111">
        <v>61000100</v>
      </c>
      <c r="C21" s="111">
        <v>61000103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ボスB4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単体攻撃+属性パネルをお邪魔パネルに10個変換</v>
      </c>
      <c r="F21" s="111">
        <v>61000103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3"/>
        <v>61000100_61000104</v>
      </c>
      <c r="B22" s="111">
        <v>61000100</v>
      </c>
      <c r="C22" s="111">
        <v>61000104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ボスB5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単体攻撃+属性パネルプロテクト(最大20個)</v>
      </c>
      <c r="F22" s="111">
        <v>61000104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61000100_61000105</v>
      </c>
      <c r="B23" s="111">
        <v>61000100</v>
      </c>
      <c r="C23" s="111">
        <v>61000105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ボスB6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単体攻撃+_x000D_属性パネルをダメージパネルに10個変換+_x000D_2ターン低確率で緑のボムパネルをドロップ+_x000D_体力・回復タイプのユニットのスキルターンを8ターン減少</v>
      </c>
      <c r="F23" s="111">
        <v>61000105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3" s="47"/>
      <c r="Q23" s="47"/>
      <c r="R23" s="47"/>
    </row>
    <row r="24" spans="1:18" ht="21" customHeight="1" x14ac:dyDescent="0.15">
      <c r="A24" s="39" t="str">
        <f t="shared" ref="A24:A27" si="6">B24&amp;"_"&amp;C24</f>
        <v>61000100_61000106</v>
      </c>
      <c r="B24" s="111">
        <v>61000100</v>
      </c>
      <c r="C24" s="111">
        <v>61000106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ボスB7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単体攻撃+_x000D_属性パネルを時限式ダメージパネルに10個変換+_x000D_2ターン低確率で緑のボムパネルをドロップ+_x000D_体力・回復タイプのユニットのスキルターンを8ターン減少</v>
      </c>
      <c r="F24" s="111">
        <v>61000106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4" s="47"/>
      <c r="Q24" s="47"/>
      <c r="R24" s="47"/>
    </row>
    <row r="25" spans="1:18" ht="21" customHeight="1" x14ac:dyDescent="0.15">
      <c r="A25" s="39" t="str">
        <f t="shared" si="6"/>
        <v>61000100_61000107</v>
      </c>
      <c r="B25" s="111">
        <v>61000100</v>
      </c>
      <c r="C25" s="111">
        <v>61000107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ボスB8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単体攻撃+_x000D_属性パネルをお邪魔パネルに10個変換+_x000D_2ターン低確率で緑のボムパネルをドロップ+_x000D_体力・回復タイプのユニットのスキルターンを8ターン減少</v>
      </c>
      <c r="F25" s="111">
        <v>61000107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7"/>
      <c r="Q25" s="47"/>
      <c r="R25" s="47"/>
    </row>
    <row r="26" spans="1:18" ht="21" customHeight="1" x14ac:dyDescent="0.15">
      <c r="A26" s="39" t="str">
        <f t="shared" si="6"/>
        <v>61000100_61000108</v>
      </c>
      <c r="B26" s="111">
        <v>61000100</v>
      </c>
      <c r="C26" s="111">
        <v>61000108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ボスB9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単体攻撃+_x000D_属性パネルプロテクト(最大20個)+_x000D_2ターン低確率で緑のボムパネルをドロップ+_x000D_体力・回復タイプのユニットのスキルターンを8ターン減少</v>
      </c>
      <c r="F26" s="111">
        <v>61000108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6"/>
        <v>61000100_61000109</v>
      </c>
      <c r="B27" s="111">
        <v>61000100</v>
      </c>
      <c r="C27" s="111">
        <v>61000109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ボスB10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単体攻撃+_x000D_属性パネルをダメージパネルに10個変換+_x000D_全ユニットのスキルターンを2ターン減少+_x000D_体力・回復タイプのユニットのスキルターンを8ターン減少</v>
      </c>
      <c r="F27" s="111">
        <v>61000109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7" s="47"/>
      <c r="Q27" s="47"/>
      <c r="R27" s="47"/>
    </row>
    <row r="28" spans="1:18" ht="21" customHeight="1" x14ac:dyDescent="0.15">
      <c r="A28" s="39" t="str">
        <f t="shared" ref="A28:A29" si="7">B28&amp;"_"&amp;C28</f>
        <v>61000100_61000110</v>
      </c>
      <c r="B28" s="111">
        <v>61000100</v>
      </c>
      <c r="C28" s="111">
        <v>61000110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ボスB11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単体攻撃+_x000D_属性パネルを時限式ダメージパネルに10個変換+_x000D_全ユニットのスキルターンを2ターン減少+_x000D_体力・回復タイプのユニットのスキルターンを8ターン減少</v>
      </c>
      <c r="F28" s="111">
        <v>61000110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8" s="47"/>
      <c r="Q28" s="47"/>
      <c r="R28" s="47"/>
    </row>
    <row r="29" spans="1:18" ht="21" customHeight="1" x14ac:dyDescent="0.15">
      <c r="A29" s="39" t="str">
        <f t="shared" si="7"/>
        <v>61000100_61000111</v>
      </c>
      <c r="B29" s="111">
        <v>61000100</v>
      </c>
      <c r="C29" s="111">
        <v>61000111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ボスB12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単体攻撃+_x000D_属性パネルをお邪魔パネルに10個変換+_x000D_全ユニットのスキルターンを2ターン減少+_x000D_体力・回復タイプのユニットのスキルターンを8ターン減少</v>
      </c>
      <c r="F29" s="111">
        <v>61000111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47"/>
      <c r="Q29" s="47"/>
      <c r="R29" s="47"/>
    </row>
    <row r="30" spans="1:18" ht="21" customHeight="1" x14ac:dyDescent="0.15">
      <c r="A30" s="39" t="str">
        <f t="shared" ref="A30:A48" si="8">B30&amp;"_"&amp;C30</f>
        <v>61000100_61000112</v>
      </c>
      <c r="B30" s="111">
        <v>61000100</v>
      </c>
      <c r="C30" s="111">
        <v>61000112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ボスB13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単体攻撃+_x000D_属性パネルプロテクト(最大20個)+_x000D_全ユニットのスキルターンを2ターン減少+_x000D_体力・回復タイプのユニットのスキルターンを8ターン減少</v>
      </c>
      <c r="F30" s="111">
        <v>61000112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61000200_61000200</v>
      </c>
      <c r="B31" s="120">
        <v>61000200</v>
      </c>
      <c r="C31" s="114">
        <v>61000200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ボスC1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状態異常耐性+_x000D_全ユニットのスキルターンを4ターン減少+_x000D_体力・回復タイプのユニットの_x000D_スキルターンを8ターン減少&amp;攻撃力2000UP</v>
      </c>
      <c r="F31" s="114">
        <v>61000200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8"/>
        <v>61000200_61000201</v>
      </c>
      <c r="B32" s="120">
        <v>61000200</v>
      </c>
      <c r="C32" s="114">
        <v>61000201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ボスC2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32" s="114">
        <v>61000201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2" s="47"/>
      <c r="Q32" s="47"/>
      <c r="R32" s="47"/>
    </row>
    <row r="33" spans="1:18" ht="21" customHeight="1" x14ac:dyDescent="0.15">
      <c r="A33" s="39" t="str">
        <f t="shared" si="8"/>
        <v>61000200_61000202</v>
      </c>
      <c r="B33" s="120">
        <v>61000200</v>
      </c>
      <c r="C33" s="114">
        <v>61000202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ボスC3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33" s="114">
        <v>61000202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3" s="47"/>
      <c r="Q33" s="47"/>
      <c r="R33" s="47"/>
    </row>
    <row r="34" spans="1:18" ht="21" customHeight="1" x14ac:dyDescent="0.15">
      <c r="A34" s="39" t="str">
        <f t="shared" si="8"/>
        <v>61000200_61000203</v>
      </c>
      <c r="B34" s="120">
        <v>61000200</v>
      </c>
      <c r="C34" s="114">
        <v>61000203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ボスC4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34" s="114">
        <v>61000203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 t="shared" si="8"/>
        <v>61000200_61000204</v>
      </c>
      <c r="B35" s="120">
        <v>61000200</v>
      </c>
      <c r="C35" s="114">
        <v>61000204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ボスC5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35" s="114">
        <v>61000204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8"/>
        <v>61000200_61000205</v>
      </c>
      <c r="B36" s="120">
        <v>61000200</v>
      </c>
      <c r="C36" s="114">
        <v>61000205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ボスC6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単体攻撃+_x000D_属性パネルをダメージパネルに15個変換+_x000D_全ユニットのスキルターンを2ターン減少+_x000D_体力・回復タイプのユニットのスキルターンを8ターン減少</v>
      </c>
      <c r="F36" s="114">
        <v>61000205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6" s="47"/>
      <c r="Q36" s="47"/>
      <c r="R36" s="47"/>
    </row>
    <row r="37" spans="1:18" ht="21" customHeight="1" x14ac:dyDescent="0.15">
      <c r="A37" s="39" t="str">
        <f t="shared" si="8"/>
        <v>61000200_61000206</v>
      </c>
      <c r="B37" s="120">
        <v>61000200</v>
      </c>
      <c r="C37" s="114">
        <v>61000206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ボスC7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単体攻撃+_x000D_属性パネルを時限式ダメージパネルに15個変換+_x000D_全ユニットのスキルターンを2ターン減少+_x000D_体力・回復タイプのユニットのスキルターンを8ターン減少</v>
      </c>
      <c r="F37" s="114">
        <v>61000206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7" s="47"/>
      <c r="Q37" s="47"/>
      <c r="R37" s="47"/>
    </row>
    <row r="38" spans="1:18" ht="21" customHeight="1" x14ac:dyDescent="0.15">
      <c r="A38" s="39" t="str">
        <f t="shared" si="8"/>
        <v>61000200_61000207</v>
      </c>
      <c r="B38" s="120">
        <v>61000200</v>
      </c>
      <c r="C38" s="114">
        <v>61000207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ボスC8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単体攻撃+_x000D_属性パネルをお邪魔パネルに15個変換+_x000D_全ユニットのスキルターンを2ターン減少+_x000D_体力・回復タイプのユニットのスキルターンを8ターン減少</v>
      </c>
      <c r="F38" s="114">
        <v>61000207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7"/>
      <c r="Q38" s="47"/>
      <c r="R38" s="47"/>
    </row>
    <row r="39" spans="1:18" ht="21" customHeight="1" x14ac:dyDescent="0.15">
      <c r="A39" s="39" t="str">
        <f t="shared" si="8"/>
        <v>61000200_61000208</v>
      </c>
      <c r="B39" s="120">
        <v>61000200</v>
      </c>
      <c r="C39" s="114">
        <v>61000208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ボスC9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単体攻撃+_x000D_属性パネルプロテクト(最大30個)+_x000D_全ユニットのスキルターンを2ターン減少+_x000D_体力・回復タイプのユニットのスキルターンを8ターン減少</v>
      </c>
      <c r="F39" s="114">
        <v>61000208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>B40&amp;"_"&amp;C40</f>
        <v>61000200_61000227</v>
      </c>
      <c r="B40" s="120">
        <v>61000200</v>
      </c>
      <c r="C40" s="114">
        <v>61000227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ボスC28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確率でお邪魔パネルがドロップ+_x000D_単体攻撃+属性パネルをお邪魔パネルに15個変換</v>
      </c>
      <c r="F40" s="114">
        <v>61000227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7"/>
      <c r="Q40" s="47"/>
      <c r="R40" s="47"/>
    </row>
    <row r="41" spans="1:18" ht="21" customHeight="1" x14ac:dyDescent="0.15">
      <c r="A41" s="39" t="str">
        <f>B41&amp;"_"&amp;C41</f>
        <v>61000200_61000228</v>
      </c>
      <c r="B41" s="120">
        <v>61000200</v>
      </c>
      <c r="C41" s="114">
        <v>61000228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ボスC29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確率で属性パネルがプロテクトされてドロップ+_x000D_単体攻撃+属性パネルプロテクト(最大30個)</v>
      </c>
      <c r="F41" s="114">
        <v>61000228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:A45" si="9">B42&amp;"_"&amp;C42</f>
        <v>61000200_61000201</v>
      </c>
      <c r="B42" s="120">
        <v>61000200</v>
      </c>
      <c r="C42" s="114">
        <v>61000201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ボスC2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42" s="114">
        <v>61000235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2" s="47"/>
      <c r="Q42" s="47"/>
      <c r="R42" s="47"/>
    </row>
    <row r="43" spans="1:18" ht="21" customHeight="1" x14ac:dyDescent="0.15">
      <c r="A43" s="39" t="str">
        <f t="shared" si="9"/>
        <v>61000200_61000202</v>
      </c>
      <c r="B43" s="120">
        <v>61000200</v>
      </c>
      <c r="C43" s="114">
        <v>61000202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ボスC3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43" s="114">
        <v>61000236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3" s="47"/>
      <c r="Q43" s="47"/>
      <c r="R43" s="47"/>
    </row>
    <row r="44" spans="1:18" ht="21" customHeight="1" x14ac:dyDescent="0.15">
      <c r="A44" s="39" t="str">
        <f t="shared" si="9"/>
        <v>61000200_61000203</v>
      </c>
      <c r="B44" s="120">
        <v>61000200</v>
      </c>
      <c r="C44" s="114">
        <v>61000203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ボスC4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44" s="114">
        <v>61000237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4" s="47"/>
      <c r="Q44" s="47"/>
      <c r="R44" s="47"/>
    </row>
    <row r="45" spans="1:18" ht="21" customHeight="1" x14ac:dyDescent="0.15">
      <c r="A45" s="39" t="str">
        <f t="shared" si="9"/>
        <v>61000200_61000204</v>
      </c>
      <c r="B45" s="120">
        <v>61000200</v>
      </c>
      <c r="C45" s="114">
        <v>61000204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ボスC5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45" s="114">
        <v>61000238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61000200_61000209</v>
      </c>
      <c r="B46" s="120">
        <v>61000200</v>
      </c>
      <c r="C46" s="120">
        <v>61000209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ボスC10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単体攻撃+_x000D_属性パネルをダメージパネルに15個変換+_x000D_3ターン赤パネルが出現しない+_x000D_体力・回復タイプのユニットのスキルターンを8ターン減少</v>
      </c>
      <c r="F46" s="120">
        <v>61000209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6" s="47"/>
      <c r="Q46" s="47"/>
      <c r="R46" s="47"/>
    </row>
    <row r="47" spans="1:18" ht="21" customHeight="1" x14ac:dyDescent="0.15">
      <c r="A47" s="39" t="str">
        <f t="shared" si="8"/>
        <v>61000200_61000210</v>
      </c>
      <c r="B47" s="120">
        <v>61000200</v>
      </c>
      <c r="C47" s="120">
        <v>61000210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ボスC11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単体攻撃+_x000D_属性パネルを時限式ダメージパネルに15個変換+_x000D_3ターン赤パネルが出現しない+_x000D_体力・回復タイプのユニットのスキルターンを8ターン減少</v>
      </c>
      <c r="F47" s="120">
        <v>61000210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7" s="47"/>
      <c r="Q47" s="47"/>
      <c r="R47" s="47"/>
    </row>
    <row r="48" spans="1:18" ht="21" customHeight="1" x14ac:dyDescent="0.15">
      <c r="A48" s="39" t="str">
        <f t="shared" si="8"/>
        <v>61000200_61000211</v>
      </c>
      <c r="B48" s="120">
        <v>61000200</v>
      </c>
      <c r="C48" s="120">
        <v>61000211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ボスC12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単体攻撃+_x000D_属性パネルをお邪魔パネルに15個変換+_x000D_3ターン赤パネルが出現しない+_x000D_体力・回復タイプのユニットのスキルターンを8ターン減少</v>
      </c>
      <c r="F48" s="120">
        <v>61000211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8" s="47"/>
      <c r="Q48" s="47"/>
      <c r="R48" s="47"/>
    </row>
    <row r="49" spans="1:18" ht="21" customHeight="1" x14ac:dyDescent="0.15">
      <c r="A49" s="39" t="str">
        <f t="shared" ref="A49" si="10">B49&amp;"_"&amp;C49</f>
        <v>61000200_61000212</v>
      </c>
      <c r="B49" s="120">
        <v>61000200</v>
      </c>
      <c r="C49" s="120">
        <v>61000212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ボスC13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単体攻撃+_x000D_属性パネルプロテクト(最大30個)+_x000D_3ターン赤パネルが出現しない+_x000D_体力・回復タイプのユニットのスキルターンを8ターン減少</v>
      </c>
      <c r="F49" s="120">
        <v>61000212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:A68" si="11">B50&amp;"_"&amp;C50</f>
        <v>61000200_61000225</v>
      </c>
      <c r="B50" s="120">
        <v>61000200</v>
      </c>
      <c r="C50" s="120">
        <v>61000225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ボスC26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確率で青のダメージパネルがドロップ+_x000D_単体攻撃+属性パネルをダメージパネルに15個変換</v>
      </c>
      <c r="F50" s="120">
        <v>61000225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0" s="47"/>
      <c r="Q50" s="47"/>
      <c r="R50" s="47"/>
    </row>
    <row r="51" spans="1:18" ht="21" customHeight="1" x14ac:dyDescent="0.15">
      <c r="A51" s="39" t="str">
        <f t="shared" si="11"/>
        <v>61000200_61000226</v>
      </c>
      <c r="B51" s="120">
        <v>61000200</v>
      </c>
      <c r="C51" s="120">
        <v>61000226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ボスC27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確率で青の時限式ダメージパネルがドロップ+_x000D_単体攻撃+属性パネルを時限式ダメージパネルに15個変換</v>
      </c>
      <c r="F51" s="120">
        <v>61000226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1" s="47"/>
      <c r="Q51" s="47"/>
      <c r="R51" s="47"/>
    </row>
    <row r="52" spans="1:18" ht="21" customHeight="1" x14ac:dyDescent="0.15">
      <c r="A52" s="39" t="str">
        <f t="shared" si="11"/>
        <v>61000300_61000200</v>
      </c>
      <c r="B52" s="114">
        <v>61000300</v>
      </c>
      <c r="C52" s="114">
        <v>61000200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ボスC1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状態異常耐性+_x000D_全ユニットのスキルターンを4ターン減少+_x000D_体力・回復タイプのユニットの_x000D_スキルターンを8ターン減少&amp;攻撃力2000UP</v>
      </c>
      <c r="F52" s="114">
        <v>61000200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1"/>
        <v>61000300_61000201</v>
      </c>
      <c r="B53" s="114">
        <v>61000300</v>
      </c>
      <c r="C53" s="114">
        <v>61000201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ボスC2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53" s="114">
        <v>61000201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3" s="47"/>
      <c r="Q53" s="47"/>
      <c r="R53" s="47"/>
    </row>
    <row r="54" spans="1:18" ht="21" customHeight="1" x14ac:dyDescent="0.15">
      <c r="A54" s="39" t="str">
        <f t="shared" si="11"/>
        <v>61000300_61000202</v>
      </c>
      <c r="B54" s="114">
        <v>61000300</v>
      </c>
      <c r="C54" s="114">
        <v>61000202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ボスC3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54" s="114">
        <v>61000202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4" s="47"/>
      <c r="Q54" s="47"/>
      <c r="R54" s="47"/>
    </row>
    <row r="55" spans="1:18" ht="21" customHeight="1" x14ac:dyDescent="0.15">
      <c r="A55" s="39" t="str">
        <f t="shared" si="11"/>
        <v>61000300_61000203</v>
      </c>
      <c r="B55" s="114">
        <v>61000300</v>
      </c>
      <c r="C55" s="114">
        <v>61000203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ボスC4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55" s="114">
        <v>61000203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7"/>
      <c r="Q55" s="47"/>
      <c r="R55" s="47"/>
    </row>
    <row r="56" spans="1:18" ht="21" customHeight="1" x14ac:dyDescent="0.15">
      <c r="A56" s="39" t="str">
        <f t="shared" si="11"/>
        <v>61000300_61000204</v>
      </c>
      <c r="B56" s="114">
        <v>61000300</v>
      </c>
      <c r="C56" s="114">
        <v>61000204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ボスC5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56" s="114">
        <v>61000204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1"/>
        <v>61000300_61000205</v>
      </c>
      <c r="B57" s="114">
        <v>61000300</v>
      </c>
      <c r="C57" s="114">
        <v>61000205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ボスC6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単体攻撃+_x000D_属性パネルをダメージパネルに15個変換+_x000D_全ユニットのスキルターンを2ターン減少+_x000D_体力・回復タイプのユニットのスキルターンを8ターン減少</v>
      </c>
      <c r="F57" s="114">
        <v>61000205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7" s="47"/>
      <c r="Q57" s="47"/>
      <c r="R57" s="47"/>
    </row>
    <row r="58" spans="1:18" ht="21" customHeight="1" x14ac:dyDescent="0.15">
      <c r="A58" s="39" t="str">
        <f t="shared" si="11"/>
        <v>61000300_61000206</v>
      </c>
      <c r="B58" s="114">
        <v>61000300</v>
      </c>
      <c r="C58" s="114">
        <v>61000206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ボスC7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単体攻撃+_x000D_属性パネルを時限式ダメージパネルに15個変換+_x000D_全ユニットのスキルターンを2ターン減少+_x000D_体力・回復タイプのユニットのスキルターンを8ターン減少</v>
      </c>
      <c r="F58" s="114">
        <v>61000206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8" s="47"/>
      <c r="Q58" s="47"/>
      <c r="R58" s="47"/>
    </row>
    <row r="59" spans="1:18" ht="21" customHeight="1" x14ac:dyDescent="0.15">
      <c r="A59" s="39" t="str">
        <f t="shared" si="11"/>
        <v>61000300_61000207</v>
      </c>
      <c r="B59" s="114">
        <v>61000300</v>
      </c>
      <c r="C59" s="114">
        <v>61000207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ボスC8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単体攻撃+_x000D_属性パネルをお邪魔パネルに15個変換+_x000D_全ユニットのスキルターンを2ターン減少+_x000D_体力・回復タイプのユニットのスキルターンを8ターン減少</v>
      </c>
      <c r="F59" s="114">
        <v>61000207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9" s="47"/>
      <c r="Q59" s="47"/>
      <c r="R59" s="47"/>
    </row>
    <row r="60" spans="1:18" ht="21" customHeight="1" x14ac:dyDescent="0.15">
      <c r="A60" s="39" t="str">
        <f t="shared" si="11"/>
        <v>61000300_61000208</v>
      </c>
      <c r="B60" s="114">
        <v>61000300</v>
      </c>
      <c r="C60" s="114">
        <v>61000208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ボスC9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単体攻撃+_x000D_属性パネルプロテクト(最大30個)+_x000D_全ユニットのスキルターンを2ターン減少+_x000D_体力・回復タイプのユニットのスキルターンを8ターン減少</v>
      </c>
      <c r="F60" s="114">
        <v>61000208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>B61&amp;"_"&amp;C61</f>
        <v>61000300_61000227</v>
      </c>
      <c r="B61" s="114">
        <v>61000300</v>
      </c>
      <c r="C61" s="114">
        <v>61000227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ボスC28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確率でお邪魔パネルがドロップ+_x000D_単体攻撃+属性パネルをお邪魔パネルに15個変換</v>
      </c>
      <c r="F61" s="114">
        <v>61000227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1" s="47"/>
      <c r="Q61" s="47"/>
      <c r="R61" s="47"/>
    </row>
    <row r="62" spans="1:18" ht="21" customHeight="1" x14ac:dyDescent="0.15">
      <c r="A62" s="39" t="str">
        <f>B62&amp;"_"&amp;C62</f>
        <v>61000300_61000228</v>
      </c>
      <c r="B62" s="114">
        <v>61000300</v>
      </c>
      <c r="C62" s="114">
        <v>61000228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ボスC29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確率で属性パネルがプロテクトされてドロップ+_x000D_単体攻撃+属性パネルプロテクト(最大30個)</v>
      </c>
      <c r="F62" s="114">
        <v>61000228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ref="A63:A66" si="12">B63&amp;"_"&amp;C63</f>
        <v>61000300_61000201</v>
      </c>
      <c r="B63" s="114">
        <v>61000300</v>
      </c>
      <c r="C63" s="114">
        <v>61000201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ボスC2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63" s="114">
        <v>61000235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3" s="47"/>
      <c r="Q63" s="47"/>
      <c r="R63" s="47"/>
    </row>
    <row r="64" spans="1:18" ht="21" customHeight="1" x14ac:dyDescent="0.15">
      <c r="A64" s="39" t="str">
        <f t="shared" si="12"/>
        <v>61000300_61000202</v>
      </c>
      <c r="B64" s="114">
        <v>61000300</v>
      </c>
      <c r="C64" s="114">
        <v>61000202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ボスC3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64" s="114">
        <v>61000236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4" s="47"/>
      <c r="Q64" s="47"/>
      <c r="R64" s="47"/>
    </row>
    <row r="65" spans="1:18" ht="21" customHeight="1" x14ac:dyDescent="0.15">
      <c r="A65" s="39" t="str">
        <f t="shared" si="12"/>
        <v>61000300_61000203</v>
      </c>
      <c r="B65" s="114">
        <v>61000300</v>
      </c>
      <c r="C65" s="114">
        <v>61000203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ボスC4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65" s="114">
        <v>61000237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5" s="47"/>
      <c r="Q65" s="47"/>
      <c r="R65" s="47"/>
    </row>
    <row r="66" spans="1:18" ht="21" customHeight="1" x14ac:dyDescent="0.15">
      <c r="A66" s="39" t="str">
        <f t="shared" si="12"/>
        <v>61000300_61000204</v>
      </c>
      <c r="B66" s="114">
        <v>61000300</v>
      </c>
      <c r="C66" s="114">
        <v>61000204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ボスC5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66" s="114">
        <v>61000238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1"/>
        <v>61000300_61000229</v>
      </c>
      <c r="B67" s="114">
        <v>61000300</v>
      </c>
      <c r="C67" s="108">
        <v>61000229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ボスC30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確率で黄のダメージパネルがドロップ+_x000D_単体攻撃+属性パネルをダメージパネルに15個変換</v>
      </c>
      <c r="F67" s="108">
        <v>61000229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7" s="47"/>
      <c r="Q67" s="47"/>
      <c r="R67" s="47"/>
    </row>
    <row r="68" spans="1:18" ht="21" customHeight="1" x14ac:dyDescent="0.15">
      <c r="A68" s="39" t="str">
        <f t="shared" si="11"/>
        <v>61000300_61000230</v>
      </c>
      <c r="B68" s="114">
        <v>61000300</v>
      </c>
      <c r="C68" s="108">
        <v>61000230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ボスC31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確率で黄の時限式ダメージパネルがドロップ+_x000D_単体攻撃+属性パネルを時限式ダメージパネルに15個変換</v>
      </c>
      <c r="F68" s="108">
        <v>61000230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8" s="47"/>
      <c r="Q68" s="47"/>
      <c r="R68" s="47"/>
    </row>
    <row r="69" spans="1:18" ht="21" customHeight="1" x14ac:dyDescent="0.15">
      <c r="A69" s="39" t="str">
        <f>B69&amp;"_"&amp;C69</f>
        <v>61000300_61000213</v>
      </c>
      <c r="B69" s="114">
        <v>61000300</v>
      </c>
      <c r="C69" s="108">
        <v>61000213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ボスC14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単体攻撃+_x000D_属性パネルをダメージパネルに15個変換+_x000D_3ターン青パネルが出現しない+_x000D_体力・回復タイプのユニットのスキルターンを8ターン減少</v>
      </c>
      <c r="F69" s="108">
        <v>61000213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9" s="47"/>
      <c r="Q69" s="47"/>
      <c r="R69" s="47"/>
    </row>
    <row r="70" spans="1:18" ht="21" customHeight="1" x14ac:dyDescent="0.15">
      <c r="A70" s="39" t="str">
        <f>B70&amp;"_"&amp;C70</f>
        <v>61000300_61000214</v>
      </c>
      <c r="B70" s="114">
        <v>61000300</v>
      </c>
      <c r="C70" s="108">
        <v>61000214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ボスC15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単体攻撃+_x000D_属性パネルを時限式ダメージパネルに15個変換+_x000D_3ターン青パネルが出現しない+_x000D_体力・回復タイプのユニットのスキルターンを8ターン減少</v>
      </c>
      <c r="F70" s="108">
        <v>61000214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0" s="47"/>
      <c r="Q70" s="47"/>
      <c r="R70" s="47"/>
    </row>
    <row r="71" spans="1:18" ht="21" customHeight="1" x14ac:dyDescent="0.15">
      <c r="A71" s="39" t="str">
        <f>B71&amp;"_"&amp;C71</f>
        <v>61000300_61000215</v>
      </c>
      <c r="B71" s="114">
        <v>61000300</v>
      </c>
      <c r="C71" s="108">
        <v>61000215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ボスC16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単体攻撃+_x000D_属性パネルをお邪魔パネルに15個変換+_x000D_3ターン青パネルが出現しない+_x000D_体力・回復タイプのユニットのスキルターンを8ターン減少</v>
      </c>
      <c r="F71" s="108">
        <v>61000215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1" s="47"/>
      <c r="Q71" s="47"/>
      <c r="R71" s="47"/>
    </row>
    <row r="72" spans="1:18" ht="21" customHeight="1" x14ac:dyDescent="0.15">
      <c r="A72" s="39" t="str">
        <f>B72&amp;"_"&amp;C72</f>
        <v>61000300_61000216</v>
      </c>
      <c r="B72" s="114">
        <v>61000300</v>
      </c>
      <c r="C72" s="108">
        <v>61000216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ボスC17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単体攻撃+_x000D_属性パネルプロテクト(最大30個)+_x000D_3ターン青パネルが出現しない+_x000D_体力・回復タイプのユニットのスキルターンを8ターン減少</v>
      </c>
      <c r="F72" s="108">
        <v>61000216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ref="A73:A81" si="13">B73&amp;"_"&amp;C73</f>
        <v>61000400_61000200</v>
      </c>
      <c r="B73" s="108">
        <v>61000400</v>
      </c>
      <c r="C73" s="114">
        <v>61000200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ボスC1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状態異常耐性+_x000D_全ユニットのスキルターンを4ターン減少+_x000D_体力・回復タイプのユニットの_x000D_スキルターンを8ターン減少&amp;攻撃力2000UP</v>
      </c>
      <c r="F73" s="114">
        <v>61000200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3"/>
        <v>61000400_61000201</v>
      </c>
      <c r="B74" s="108">
        <v>61000400</v>
      </c>
      <c r="C74" s="114">
        <v>61000201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ボスC2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74" s="114">
        <v>61000201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4" s="47"/>
      <c r="Q74" s="47"/>
      <c r="R74" s="47"/>
    </row>
    <row r="75" spans="1:18" ht="21" customHeight="1" x14ac:dyDescent="0.15">
      <c r="A75" s="39" t="str">
        <f t="shared" si="13"/>
        <v>61000400_61000202</v>
      </c>
      <c r="B75" s="108">
        <v>61000400</v>
      </c>
      <c r="C75" s="114">
        <v>61000202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ボスC3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75" s="114">
        <v>61000202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5" s="47"/>
      <c r="Q75" s="47"/>
      <c r="R75" s="47"/>
    </row>
    <row r="76" spans="1:18" ht="21" customHeight="1" x14ac:dyDescent="0.15">
      <c r="A76" s="39" t="str">
        <f t="shared" si="13"/>
        <v>61000400_61000203</v>
      </c>
      <c r="B76" s="108">
        <v>61000400</v>
      </c>
      <c r="C76" s="114">
        <v>61000203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ボスC4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76" s="114">
        <v>61000203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6" s="47"/>
      <c r="Q76" s="47"/>
      <c r="R76" s="47"/>
    </row>
    <row r="77" spans="1:18" ht="21" customHeight="1" x14ac:dyDescent="0.15">
      <c r="A77" s="39" t="str">
        <f t="shared" si="13"/>
        <v>61000400_61000204</v>
      </c>
      <c r="B77" s="108">
        <v>61000400</v>
      </c>
      <c r="C77" s="114">
        <v>61000204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ボスC5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77" s="114">
        <v>61000204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3"/>
        <v>61000400_61000205</v>
      </c>
      <c r="B78" s="108">
        <v>61000400</v>
      </c>
      <c r="C78" s="114">
        <v>61000205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ボスC6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単体攻撃+_x000D_属性パネルをダメージパネルに15個変換+_x000D_全ユニットのスキルターンを2ターン減少+_x000D_体力・回復タイプのユニットのスキルターンを8ターン減少</v>
      </c>
      <c r="F78" s="114">
        <v>61000205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8" s="47"/>
      <c r="Q78" s="47"/>
      <c r="R78" s="47"/>
    </row>
    <row r="79" spans="1:18" ht="21" customHeight="1" x14ac:dyDescent="0.15">
      <c r="A79" s="39" t="str">
        <f t="shared" si="13"/>
        <v>61000400_61000206</v>
      </c>
      <c r="B79" s="108">
        <v>61000400</v>
      </c>
      <c r="C79" s="114">
        <v>61000206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ボスC7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単体攻撃+_x000D_属性パネルを時限式ダメージパネルに15個変換+_x000D_全ユニットのスキルターンを2ターン減少+_x000D_体力・回復タイプのユニットのスキルターンを8ターン減少</v>
      </c>
      <c r="F79" s="114">
        <v>61000206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9" s="47"/>
      <c r="Q79" s="47"/>
      <c r="R79" s="47"/>
    </row>
    <row r="80" spans="1:18" ht="21" customHeight="1" x14ac:dyDescent="0.15">
      <c r="A80" s="39" t="str">
        <f t="shared" si="13"/>
        <v>61000400_61000207</v>
      </c>
      <c r="B80" s="108">
        <v>61000400</v>
      </c>
      <c r="C80" s="114">
        <v>61000207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ボスC8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単体攻撃+_x000D_属性パネルをお邪魔パネルに15個変換+_x000D_全ユニットのスキルターンを2ターン減少+_x000D_体力・回復タイプのユニットのスキルターンを8ターン減少</v>
      </c>
      <c r="F80" s="114">
        <v>61000207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47"/>
      <c r="Q80" s="47"/>
      <c r="R80" s="47"/>
    </row>
    <row r="81" spans="1:18" ht="21" customHeight="1" x14ac:dyDescent="0.15">
      <c r="A81" s="39" t="str">
        <f t="shared" si="13"/>
        <v>61000400_61000208</v>
      </c>
      <c r="B81" s="108">
        <v>61000400</v>
      </c>
      <c r="C81" s="114">
        <v>61000208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ボスC9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単体攻撃+_x000D_属性パネルプロテクト(最大30個)+_x000D_全ユニットのスキルターンを2ターン減少+_x000D_体力・回復タイプのユニットのスキルターンを8ターン減少</v>
      </c>
      <c r="F81" s="114">
        <v>61000208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>B82&amp;"_"&amp;C82</f>
        <v>61000400_61000227</v>
      </c>
      <c r="B82" s="108">
        <v>61000400</v>
      </c>
      <c r="C82" s="114">
        <v>61000227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ボスC28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確率でお邪魔パネルがドロップ+_x000D_単体攻撃+属性パネルをお邪魔パネルに15個変換</v>
      </c>
      <c r="F82" s="114">
        <v>61000227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2" s="47"/>
      <c r="Q82" s="47"/>
      <c r="R82" s="47"/>
    </row>
    <row r="83" spans="1:18" ht="21" customHeight="1" x14ac:dyDescent="0.15">
      <c r="A83" s="39" t="str">
        <f>B83&amp;"_"&amp;C83</f>
        <v>61000400_61000228</v>
      </c>
      <c r="B83" s="108">
        <v>61000400</v>
      </c>
      <c r="C83" s="114">
        <v>61000228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ボスC29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確率で属性パネルがプロテクトされてドロップ+_x000D_単体攻撃+属性パネルプロテクト(最大30個)</v>
      </c>
      <c r="F83" s="114">
        <v>61000228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ref="A84:A87" si="14">B84&amp;"_"&amp;C84</f>
        <v>61000400_61000201</v>
      </c>
      <c r="B84" s="108">
        <v>61000400</v>
      </c>
      <c r="C84" s="114">
        <v>61000201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ボスC2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84" s="114">
        <v>61000235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4" s="47"/>
      <c r="Q84" s="47"/>
      <c r="R84" s="47"/>
    </row>
    <row r="85" spans="1:18" ht="21" customHeight="1" x14ac:dyDescent="0.15">
      <c r="A85" s="39" t="str">
        <f t="shared" si="14"/>
        <v>61000400_61000202</v>
      </c>
      <c r="B85" s="108">
        <v>61000400</v>
      </c>
      <c r="C85" s="114">
        <v>61000202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ボスC3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85" s="114">
        <v>61000236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85" s="47"/>
      <c r="Q85" s="47"/>
      <c r="R85" s="47"/>
    </row>
    <row r="86" spans="1:18" ht="21" customHeight="1" x14ac:dyDescent="0.15">
      <c r="A86" s="39" t="str">
        <f t="shared" si="14"/>
        <v>61000400_61000203</v>
      </c>
      <c r="B86" s="108">
        <v>61000400</v>
      </c>
      <c r="C86" s="114">
        <v>61000203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ボスC4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86" s="114">
        <v>61000237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6" s="47"/>
      <c r="Q86" s="47"/>
      <c r="R86" s="47"/>
    </row>
    <row r="87" spans="1:18" ht="21" customHeight="1" x14ac:dyDescent="0.15">
      <c r="A87" s="39" t="str">
        <f t="shared" si="14"/>
        <v>61000400_61000204</v>
      </c>
      <c r="B87" s="108">
        <v>61000400</v>
      </c>
      <c r="C87" s="114">
        <v>61000204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ボスC5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87" s="114">
        <v>61000238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ref="A88:A93" si="15">B88&amp;"_"&amp;C88</f>
        <v>61000400_61000217</v>
      </c>
      <c r="B88" s="108">
        <v>61000400</v>
      </c>
      <c r="C88" s="111">
        <v>61000217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ボスC18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単体攻撃+_x000D_属性パネルをダメージパネルに15個変換+_x000D_3ターン黄パネルが出現しない+_x000D_体力・回復タイプのユニットのスキルターンを8ターン減少</v>
      </c>
      <c r="F88" s="111">
        <v>61000217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8" s="47"/>
      <c r="Q88" s="47"/>
      <c r="R88" s="47"/>
    </row>
    <row r="89" spans="1:18" ht="21" customHeight="1" x14ac:dyDescent="0.15">
      <c r="A89" s="39" t="str">
        <f t="shared" si="15"/>
        <v>61000400_61000218</v>
      </c>
      <c r="B89" s="108">
        <v>61000400</v>
      </c>
      <c r="C89" s="111">
        <v>61000218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ボスC19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単体攻撃+_x000D_属性パネルを時限式ダメージパネルに15個変換+_x000D_3ターン黄パネルが出現しない+_x000D_体力・回復タイプのユニットのスキルターンを8ターン減少</v>
      </c>
      <c r="F89" s="111">
        <v>61000218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89" s="47"/>
      <c r="Q89" s="47"/>
      <c r="R89" s="47"/>
    </row>
    <row r="90" spans="1:18" ht="21" customHeight="1" x14ac:dyDescent="0.15">
      <c r="A90" s="39" t="str">
        <f t="shared" si="15"/>
        <v>61000400_61000219</v>
      </c>
      <c r="B90" s="108">
        <v>61000400</v>
      </c>
      <c r="C90" s="111">
        <v>61000219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ボスC20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単体攻撃+_x000D_属性パネルをお邪魔パネルに15個変換+_x000D_3ターン黄パネルが出現しない+_x000D_体力・回復タイプのユニットのスキルターンを8ターン減少</v>
      </c>
      <c r="F90" s="111">
        <v>61000219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0" s="47"/>
      <c r="Q90" s="47"/>
      <c r="R90" s="47"/>
    </row>
    <row r="91" spans="1:18" ht="21" customHeight="1" x14ac:dyDescent="0.15">
      <c r="A91" s="39" t="str">
        <f t="shared" si="15"/>
        <v>61000400_61000220</v>
      </c>
      <c r="B91" s="108">
        <v>61000400</v>
      </c>
      <c r="C91" s="111">
        <v>61000220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ボスC21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単体攻撃+_x000D_属性パネルプロテクト(最大30個)+_x000D_3ターン黄パネルが出現しない+_x000D_体力・回復タイプのユニットのスキルターンを8ターン減少</v>
      </c>
      <c r="F91" s="111">
        <v>61000220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5"/>
        <v>61000400_61000231</v>
      </c>
      <c r="B92" s="108">
        <v>61000400</v>
      </c>
      <c r="C92" s="111">
        <v>61000231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ボスC32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確率で緑のダメージパネルがドロップ+_x000D_単体攻撃+属性パネルをダメージパネルに15個変換</v>
      </c>
      <c r="F92" s="111">
        <v>61000231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2" s="47"/>
      <c r="Q92" s="47"/>
      <c r="R92" s="47"/>
    </row>
    <row r="93" spans="1:18" ht="21" customHeight="1" x14ac:dyDescent="0.15">
      <c r="A93" s="39" t="str">
        <f t="shared" si="15"/>
        <v>61000400_61000232</v>
      </c>
      <c r="B93" s="108">
        <v>61000400</v>
      </c>
      <c r="C93" s="111">
        <v>61000232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ボスC33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確率で緑の時限式ダメージパネルがドロップ+_x000D_単体攻撃+属性パネルを時限式ダメージパネルに15個変換</v>
      </c>
      <c r="F93" s="111">
        <v>61000232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3" s="47"/>
      <c r="Q93" s="47"/>
      <c r="R93" s="47"/>
    </row>
    <row r="94" spans="1:18" ht="21" customHeight="1" x14ac:dyDescent="0.15">
      <c r="A94" s="39" t="str">
        <f t="shared" ref="A94:A102" si="16">B94&amp;"_"&amp;C94</f>
        <v>61000500_61000200</v>
      </c>
      <c r="B94" s="117">
        <v>61000500</v>
      </c>
      <c r="C94" s="114">
        <v>61000200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ボスC1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状態異常耐性+_x000D_全ユニットのスキルターンを4ターン減少+_x000D_体力・回復タイプのユニットの_x000D_スキルターンを8ターン減少&amp;攻撃力2000UP</v>
      </c>
      <c r="F94" s="114">
        <v>61000200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8" t="str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6"/>
        <v>61000500_61000201</v>
      </c>
      <c r="B95" s="117">
        <v>61000500</v>
      </c>
      <c r="C95" s="114">
        <v>61000201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ボスC2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95" s="114">
        <v>61000201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5" s="47"/>
      <c r="Q95" s="47"/>
      <c r="R95" s="47"/>
    </row>
    <row r="96" spans="1:18" ht="21" customHeight="1" x14ac:dyDescent="0.15">
      <c r="A96" s="39" t="str">
        <f t="shared" si="16"/>
        <v>61000500_61000202</v>
      </c>
      <c r="B96" s="117">
        <v>61000500</v>
      </c>
      <c r="C96" s="114">
        <v>61000202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ボスC3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96" s="114">
        <v>61000202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6" s="47"/>
      <c r="Q96" s="47"/>
      <c r="R96" s="47"/>
    </row>
    <row r="97" spans="1:18" ht="21" customHeight="1" x14ac:dyDescent="0.15">
      <c r="A97" s="39" t="str">
        <f t="shared" si="16"/>
        <v>61000500_61000203</v>
      </c>
      <c r="B97" s="117">
        <v>61000500</v>
      </c>
      <c r="C97" s="114">
        <v>61000203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ボスC4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97" s="114">
        <v>61000203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7" s="47"/>
      <c r="Q97" s="47"/>
      <c r="R97" s="47"/>
    </row>
    <row r="98" spans="1:18" ht="21" customHeight="1" x14ac:dyDescent="0.15">
      <c r="A98" s="39" t="str">
        <f t="shared" si="16"/>
        <v>61000500_61000204</v>
      </c>
      <c r="B98" s="117">
        <v>61000500</v>
      </c>
      <c r="C98" s="114">
        <v>61000204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ボスC5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98" s="114">
        <v>61000204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6"/>
        <v>61000500_61000205</v>
      </c>
      <c r="B99" s="117">
        <v>61000500</v>
      </c>
      <c r="C99" s="114">
        <v>61000205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ボスC6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単体攻撃+_x000D_属性パネルをダメージパネルに15個変換+_x000D_全ユニットのスキルターンを2ターン減少+_x000D_体力・回復タイプのユニットのスキルターンを8ターン減少</v>
      </c>
      <c r="F99" s="114">
        <v>61000205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9" s="47"/>
      <c r="Q99" s="47"/>
      <c r="R99" s="47"/>
    </row>
    <row r="100" spans="1:18" ht="21" customHeight="1" x14ac:dyDescent="0.15">
      <c r="A100" s="39" t="str">
        <f t="shared" si="16"/>
        <v>61000500_61000206</v>
      </c>
      <c r="B100" s="117">
        <v>61000500</v>
      </c>
      <c r="C100" s="114">
        <v>61000206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ボスC7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単体攻撃+_x000D_属性パネルを時限式ダメージパネルに15個変換+_x000D_全ユニットのスキルターンを2ターン減少+_x000D_体力・回復タイプのユニットのスキルターンを8ターン減少</v>
      </c>
      <c r="F100" s="114">
        <v>61000206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00" s="47"/>
      <c r="Q100" s="47"/>
      <c r="R100" s="47"/>
    </row>
    <row r="101" spans="1:18" ht="21" customHeight="1" x14ac:dyDescent="0.15">
      <c r="A101" s="39" t="str">
        <f t="shared" si="16"/>
        <v>61000500_61000207</v>
      </c>
      <c r="B101" s="117">
        <v>61000500</v>
      </c>
      <c r="C101" s="114">
        <v>61000207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ボスC8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単体攻撃+_x000D_属性パネルをお邪魔パネルに15個変換+_x000D_全ユニットのスキルターンを2ターン減少+_x000D_体力・回復タイプのユニットのスキルターンを8ターン減少</v>
      </c>
      <c r="F101" s="114">
        <v>61000207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1" s="47"/>
      <c r="Q101" s="47"/>
      <c r="R101" s="47"/>
    </row>
    <row r="102" spans="1:18" ht="21" customHeight="1" x14ac:dyDescent="0.15">
      <c r="A102" s="39" t="str">
        <f t="shared" si="16"/>
        <v>61000500_61000208</v>
      </c>
      <c r="B102" s="117">
        <v>61000500</v>
      </c>
      <c r="C102" s="114">
        <v>61000208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ボスC9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単体攻撃+_x000D_属性パネルプロテクト(最大30個)+_x000D_全ユニットのスキルターンを2ターン減少+_x000D_体力・回復タイプのユニットのスキルターンを8ターン減少</v>
      </c>
      <c r="F102" s="114">
        <v>61000208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>B103&amp;"_"&amp;C103</f>
        <v>61000500_61000227</v>
      </c>
      <c r="B103" s="117">
        <v>61000500</v>
      </c>
      <c r="C103" s="114">
        <v>61000227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ボスC28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確率でお邪魔パネルがドロップ+_x000D_単体攻撃+属性パネルをお邪魔パネルに15個変換</v>
      </c>
      <c r="F103" s="114">
        <v>61000227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3" s="47"/>
      <c r="Q103" s="47"/>
      <c r="R103" s="47"/>
    </row>
    <row r="104" spans="1:18" ht="21" customHeight="1" x14ac:dyDescent="0.15">
      <c r="A104" s="39" t="str">
        <f>B104&amp;"_"&amp;C104</f>
        <v>61000500_61000228</v>
      </c>
      <c r="B104" s="117">
        <v>61000500</v>
      </c>
      <c r="C104" s="114">
        <v>61000228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ボスC29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確率で属性パネルがプロテクトされてドロップ+_x000D_単体攻撃+属性パネルプロテクト(最大30個)</v>
      </c>
      <c r="F104" s="114">
        <v>61000228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ref="A105:A108" si="17">B105&amp;"_"&amp;C105</f>
        <v>61000500_61000201</v>
      </c>
      <c r="B105" s="117">
        <v>61000500</v>
      </c>
      <c r="C105" s="114">
        <v>61000201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ボスC2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単体攻撃+属性パネルをダメージパネルに15個変換</v>
      </c>
      <c r="F105" s="114">
        <v>61000235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05" s="47"/>
      <c r="Q105" s="47"/>
      <c r="R105" s="47"/>
    </row>
    <row r="106" spans="1:18" ht="21" customHeight="1" x14ac:dyDescent="0.15">
      <c r="A106" s="39" t="str">
        <f t="shared" si="17"/>
        <v>61000500_61000202</v>
      </c>
      <c r="B106" s="117">
        <v>61000500</v>
      </c>
      <c r="C106" s="114">
        <v>61000202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ボスC3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単体攻撃+属性パネルを時限式ダメージパネルに15個変換</v>
      </c>
      <c r="F106" s="114">
        <v>61000236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06" s="47"/>
      <c r="Q106" s="47"/>
      <c r="R106" s="47"/>
    </row>
    <row r="107" spans="1:18" ht="21" customHeight="1" x14ac:dyDescent="0.15">
      <c r="A107" s="39" t="str">
        <f t="shared" si="17"/>
        <v>61000500_61000203</v>
      </c>
      <c r="B107" s="117">
        <v>61000500</v>
      </c>
      <c r="C107" s="114">
        <v>61000203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ボスC4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単体攻撃+属性パネルをお邪魔パネルに15個変換</v>
      </c>
      <c r="F107" s="114">
        <v>61000237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7" s="47"/>
      <c r="Q107" s="47"/>
      <c r="R107" s="47"/>
    </row>
    <row r="108" spans="1:18" ht="21" customHeight="1" x14ac:dyDescent="0.15">
      <c r="A108" s="39" t="str">
        <f t="shared" si="17"/>
        <v>61000500_61000204</v>
      </c>
      <c r="B108" s="117">
        <v>61000500</v>
      </c>
      <c r="C108" s="114">
        <v>61000204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ボスC5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単体攻撃+属性パネルプロテクト(最大30個)</v>
      </c>
      <c r="F108" s="114">
        <v>61000238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ref="A109" si="18">B109&amp;"_"&amp;C109</f>
        <v>61000500_61000233</v>
      </c>
      <c r="B109" s="117">
        <v>61000500</v>
      </c>
      <c r="C109" s="117">
        <v>61000233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ボスC34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確率で赤のダメージパネルがドロップ+_x000D_単体攻撃+属性パネルをダメージパネルに15個変換</v>
      </c>
      <c r="F109" s="117">
        <v>61000233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09" s="47"/>
      <c r="Q109" s="47"/>
      <c r="R109" s="47"/>
    </row>
    <row r="110" spans="1:18" ht="21" customHeight="1" x14ac:dyDescent="0.15">
      <c r="A110" s="39" t="str">
        <f t="shared" ref="A110" si="19">B110&amp;"_"&amp;C110</f>
        <v>61000500_61000234</v>
      </c>
      <c r="B110" s="117">
        <v>61000500</v>
      </c>
      <c r="C110" s="117">
        <v>61000234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ボスC35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確率で赤の時限式ダメージパネルがドロップ+_x000D_単体攻撃+属性パネルを時限式ダメージパネルに15個変換</v>
      </c>
      <c r="F110" s="117">
        <v>61000234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0" s="47"/>
      <c r="Q110" s="47"/>
      <c r="R110" s="47"/>
    </row>
    <row r="111" spans="1:18" ht="21" customHeight="1" x14ac:dyDescent="0.15">
      <c r="A111" s="39" t="str">
        <f>B111&amp;"_"&amp;C111</f>
        <v>61000500_61000221</v>
      </c>
      <c r="B111" s="117">
        <v>61000500</v>
      </c>
      <c r="C111" s="117">
        <v>61000221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ボスC22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単体攻撃+_x000D_属性パネルをダメージパネルに15個変換+_x000D_3ターン緑パネルが出現しない+_x000D_体力・回復タイプのユニットのスキルターンを8ターン減少</v>
      </c>
      <c r="F111" s="117">
        <v>61000221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1" s="47"/>
      <c r="Q111" s="47"/>
      <c r="R111" s="47"/>
    </row>
    <row r="112" spans="1:18" ht="21" customHeight="1" x14ac:dyDescent="0.15">
      <c r="A112" s="39" t="str">
        <f>B112&amp;"_"&amp;C112</f>
        <v>61000500_61000222</v>
      </c>
      <c r="B112" s="117">
        <v>61000500</v>
      </c>
      <c r="C112" s="117">
        <v>61000222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ボスC23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単体攻撃+_x000D_属性パネルを時限式ダメージパネルに15個変換+_x000D_3ターン緑パネルが出現しない+_x000D_体力・回復タイプのユニットのスキルターンを8ターン減少</v>
      </c>
      <c r="F112" s="117">
        <v>61000222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2" s="47"/>
      <c r="Q112" s="47"/>
      <c r="R112" s="47"/>
    </row>
    <row r="113" spans="1:18" ht="21" customHeight="1" x14ac:dyDescent="0.15">
      <c r="A113" s="39" t="str">
        <f>B113&amp;"_"&amp;C113</f>
        <v>61000500_61000223</v>
      </c>
      <c r="B113" s="117">
        <v>61000500</v>
      </c>
      <c r="C113" s="117">
        <v>61000223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ボスC24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単体攻撃+_x000D_属性パネルをお邪魔パネルに15個変換+_x000D_3ターン緑パネルが出現しない+_x000D_体力・回復タイプのユニットのスキルターンを8ターン減少</v>
      </c>
      <c r="F113" s="117">
        <v>61000223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3" s="47"/>
      <c r="Q113" s="47"/>
      <c r="R113" s="47"/>
    </row>
    <row r="114" spans="1:18" ht="21" customHeight="1" x14ac:dyDescent="0.15">
      <c r="A114" s="39" t="str">
        <f>B114&amp;"_"&amp;C114</f>
        <v>61000500_61000224</v>
      </c>
      <c r="B114" s="117">
        <v>61000500</v>
      </c>
      <c r="C114" s="117">
        <v>61000224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ボスC25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単体攻撃+_x000D_属性パネルプロテクト(最大30個)+_x000D_3ターン緑パネルが出現しない+_x000D_体力・回復タイプのユニットのスキルターンを8ターン減少</v>
      </c>
      <c r="F114" s="117">
        <v>61000224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5"/>
  <sheetViews>
    <sheetView showGridLines="0" tabSelected="1" workbookViewId="0">
      <pane ySplit="1" topLeftCell="A54" activePane="bottomLeft" state="frozenSplit"/>
      <selection pane="bottomLeft" activeCell="B60" sqref="B60"/>
    </sheetView>
  </sheetViews>
  <sheetFormatPr baseColWidth="12" defaultColWidth="12.83203125" defaultRowHeight="21" customHeight="1" outlineLevelCol="1" x14ac:dyDescent="0.15"/>
  <cols>
    <col min="1" max="1" width="8.5" style="49" customWidth="1"/>
    <col min="2" max="2" width="67.1640625" style="49" customWidth="1"/>
    <col min="3" max="3" width="4.33203125" style="49" customWidth="1"/>
    <col min="4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71" customHeight="1" x14ac:dyDescent="0.15">
      <c r="A2" s="108">
        <v>61000001</v>
      </c>
      <c r="B2" s="108" t="s">
        <v>443</v>
      </c>
      <c r="C2" s="109">
        <v>1</v>
      </c>
      <c r="D2" s="109" t="s">
        <v>128</v>
      </c>
      <c r="E2" s="110" t="s">
        <v>268</v>
      </c>
      <c r="F2" s="110" t="s">
        <v>275</v>
      </c>
      <c r="G2" s="62" t="str">
        <f t="shared" ref="G2:G26" si="0">IFERROR(LEFT(B2,FIND("],",B2)),B2)</f>
        <v>[effect:fix_speed, target:myself, turn:1]</v>
      </c>
      <c r="H2" s="62">
        <f t="shared" ref="H2:H26" si="1">FIND("effect:",G2)+7</f>
        <v>9</v>
      </c>
      <c r="I2" s="62">
        <f t="shared" ref="I2:I26" si="2">IFERROR(FIND(",",G2),LEN(G2))</f>
        <v>18</v>
      </c>
      <c r="J2" s="62">
        <f t="shared" ref="J2:J26" si="3">FIND("target:",G2)+7</f>
        <v>27</v>
      </c>
      <c r="K2" s="62">
        <f t="shared" ref="K2:K26" si="4">FIND(",",G2,I2+1)</f>
        <v>33</v>
      </c>
      <c r="L2" s="62" t="str">
        <f>IFERROR(VLOOKUP(MID(G2,J2,K2-J2),[6]skilldef!$C:$D,2,FALSE),"-") &amp; " / " &amp; IFERROR(VLOOKUP(MID(G2,H2,I2-H2),[6]skilldef!$A:$B,2,FALSE),"-")</f>
        <v>自分自身に / 行動値設定</v>
      </c>
      <c r="M2" s="62" t="str">
        <f t="shared" ref="M2:M26" si="5">IFERROR(RIGHT(B2,LEN(B2)-FIND("],",B2)-1),"none")</f>
        <v>[effect:sp_boost, target:unit_all, val:4],[effect:sp_boost, target:unit_hp/unit_heal/or, val:8],[effect:enhance_unit, target:unit_hp/unit_heal/or, turn:-1, status:attack, val:2000, calc:add]</v>
      </c>
      <c r="N2" s="48" t="str">
        <f t="shared" ref="N2:N7" si="6">IFERROR(LEFT(M2,FIND("],",M2)+S21),M2)</f>
        <v>[effect:sp_boost, target:unit_all, val:4],[effect:sp_boost, target:unit_hp/unit_heal/or, val:8],[effect:enhance_unit, target:unit_hp/unit_heal/or, turn:-1, status:attack, val:2000, calc:add]</v>
      </c>
      <c r="O2" s="62">
        <f t="shared" ref="O2:O26" si="7">FIND("effect:",N2)+7</f>
        <v>9</v>
      </c>
      <c r="P2" s="62">
        <f t="shared" ref="P2:P26" si="8">IFERROR(FIND(",",N2),LEN(N2))</f>
        <v>17</v>
      </c>
      <c r="Q2" s="62">
        <f t="shared" ref="Q2:Q26" si="9">FIND("target:",N2)+7</f>
        <v>26</v>
      </c>
      <c r="R2" s="62">
        <f t="shared" ref="R2:R26" si="10">FIND(",",N2,P2+1)</f>
        <v>34</v>
      </c>
      <c r="S2" s="62" t="str">
        <f>IFERROR(VLOOKUP(MID(N2,Q2,R2-Q2),[6]skilldef!$C:$D,2,FALSE),"-") &amp; " / " &amp; IFERROR(VLOOKUP(MID(N2,O2,P2-O2),[6]skilldef!$A:$B,2,FALSE),"-")</f>
        <v>味方全体に / -</v>
      </c>
      <c r="T2" s="48" t="str">
        <f t="shared" ref="T2:T26" si="11">IFERROR(RIGHT(M2,LEN(M2)-FIND("],",M2)-1),"none")</f>
        <v>[effect:sp_boost, target:unit_hp/unit_heal/or, val:8],[effect:enhance_unit, target:unit_hp/unit_heal/or, turn:-1, status:attack, val:2000, calc:add]</v>
      </c>
      <c r="U2" s="62">
        <f t="shared" ref="U2:U26" si="12">FIND("effect:",T2)+7</f>
        <v>9</v>
      </c>
      <c r="V2" s="62">
        <f t="shared" ref="V2:V26" si="13">IFERROR(FIND(",",T2),LEN(T2))</f>
        <v>17</v>
      </c>
      <c r="W2" s="62">
        <f t="shared" ref="W2:W26" si="14">FIND("target:",T2)+7</f>
        <v>26</v>
      </c>
      <c r="X2" s="62">
        <f t="shared" ref="X2:X26" si="15">FIND(",",T2,V2+1)</f>
        <v>46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 x14ac:dyDescent="0.15">
      <c r="A3" s="108">
        <v>61000002</v>
      </c>
      <c r="B3" s="108" t="s">
        <v>444</v>
      </c>
      <c r="C3" s="109">
        <v>1</v>
      </c>
      <c r="D3" s="109" t="s">
        <v>128</v>
      </c>
      <c r="E3" s="110" t="s">
        <v>269</v>
      </c>
      <c r="F3" s="110" t="s">
        <v>289</v>
      </c>
      <c r="G3" s="62" t="str">
        <f t="shared" si="0"/>
        <v>[effect:force_change_block, new_block:damage, target:normal, count:5, val:0.05]</v>
      </c>
      <c r="H3" s="62">
        <f t="shared" si="1"/>
        <v>9</v>
      </c>
      <c r="I3" s="62">
        <f t="shared" si="2"/>
        <v>27</v>
      </c>
      <c r="J3" s="62">
        <f t="shared" si="3"/>
        <v>54</v>
      </c>
      <c r="K3" s="62">
        <f t="shared" si="4"/>
        <v>45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si="5"/>
        <v>[effect:rush, count:1, val:1]</v>
      </c>
      <c r="N3" s="48" t="str">
        <f t="shared" si="6"/>
        <v>[effect:rush, count:1, val:1]</v>
      </c>
      <c r="O3" s="62">
        <f t="shared" si="7"/>
        <v>9</v>
      </c>
      <c r="P3" s="62">
        <f t="shared" si="8"/>
        <v>13</v>
      </c>
      <c r="Q3" s="62" t="e">
        <f t="shared" si="9"/>
        <v>#VALUE!</v>
      </c>
      <c r="R3" s="62">
        <f t="shared" si="10"/>
        <v>22</v>
      </c>
      <c r="S3" s="62" t="str">
        <f>IFERROR(VLOOKUP(MID(N3,Q3,R3-Q3),[6]skilldef!$C:$D,2,FALSE),"-") &amp; " / " &amp; IFERROR(VLOOKUP(MID(N3,O3,P3-O3),[6]skilldef!$A:$B,2,FALSE),"-")</f>
        <v>- / 連続攻撃</v>
      </c>
      <c r="T3" s="48" t="str">
        <f t="shared" si="11"/>
        <v>none</v>
      </c>
      <c r="U3" s="62" t="e">
        <f t="shared" si="12"/>
        <v>#VALUE!</v>
      </c>
      <c r="V3" s="62">
        <f t="shared" si="13"/>
        <v>4</v>
      </c>
      <c r="W3" s="62" t="e">
        <f t="shared" si="14"/>
        <v>#VALUE!</v>
      </c>
      <c r="X3" s="62" t="e">
        <f t="shared" si="15"/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 x14ac:dyDescent="0.15">
      <c r="A4" s="108">
        <v>61000003</v>
      </c>
      <c r="B4" s="108" t="s">
        <v>445</v>
      </c>
      <c r="C4" s="109">
        <v>1</v>
      </c>
      <c r="D4" s="109" t="s">
        <v>128</v>
      </c>
      <c r="E4" s="110" t="s">
        <v>270</v>
      </c>
      <c r="F4" s="110" t="s">
        <v>290</v>
      </c>
      <c r="G4" s="62" t="str">
        <f t="shared" si="0"/>
        <v>[effect:force_change_block, new_block:time_bomb, target:normal, count:5, val:0.05, min_time_count:1, max_time_count:1]</v>
      </c>
      <c r="H4" s="62">
        <f t="shared" si="1"/>
        <v>9</v>
      </c>
      <c r="I4" s="62">
        <f t="shared" si="2"/>
        <v>27</v>
      </c>
      <c r="J4" s="62">
        <f t="shared" si="3"/>
        <v>57</v>
      </c>
      <c r="K4" s="62">
        <f t="shared" si="4"/>
        <v>48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[effect:rush, count:1, val:1]</v>
      </c>
      <c r="N4" s="48" t="str">
        <f t="shared" si="6"/>
        <v>[effect:rush, count:1, val:1]</v>
      </c>
      <c r="O4" s="62">
        <f t="shared" si="7"/>
        <v>9</v>
      </c>
      <c r="P4" s="62">
        <f t="shared" si="8"/>
        <v>13</v>
      </c>
      <c r="Q4" s="62" t="e">
        <f t="shared" si="9"/>
        <v>#VALUE!</v>
      </c>
      <c r="R4" s="62">
        <f t="shared" si="10"/>
        <v>22</v>
      </c>
      <c r="S4" s="62" t="str">
        <f>IFERROR(VLOOKUP(MID(N4,Q4,R4-Q4),[6]skilldef!$C:$D,2,FALSE),"-") &amp; " / " &amp; IFERROR(VLOOKUP(MID(N4,O4,P4-O4),[6]skilldef!$A:$B,2,FALSE),"-")</f>
        <v>- / 連続攻撃</v>
      </c>
      <c r="T4" s="48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21" customHeight="1" x14ac:dyDescent="0.15">
      <c r="A5" s="108">
        <v>61000004</v>
      </c>
      <c r="B5" s="108" t="s">
        <v>430</v>
      </c>
      <c r="C5" s="109">
        <v>1</v>
      </c>
      <c r="D5" s="109" t="s">
        <v>128</v>
      </c>
      <c r="E5" s="110" t="s">
        <v>269</v>
      </c>
      <c r="F5" s="110" t="s">
        <v>425</v>
      </c>
      <c r="G5" s="62" t="str">
        <f t="shared" ref="G5:G6" si="16">IFERROR(LEFT(B5,FIND("],",B5)),B5)</f>
        <v>[effect:force_change_block, new_block:crack_bomb, target:normal, count:5, val:12]</v>
      </c>
      <c r="H5" s="62">
        <f t="shared" ref="H5:H6" si="17">FIND("effect:",G5)+7</f>
        <v>9</v>
      </c>
      <c r="I5" s="62">
        <f t="shared" ref="I5:I6" si="18">IFERROR(FIND(",",G5),LEN(G5))</f>
        <v>27</v>
      </c>
      <c r="J5" s="62">
        <f t="shared" ref="J5:J6" si="19">FIND("target:",G5)+7</f>
        <v>58</v>
      </c>
      <c r="K5" s="62">
        <f t="shared" ref="K5:K6" si="20">FIND(",",G5,I5+1)</f>
        <v>49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ref="M5:M6" si="21">IFERROR(RIGHT(B5,LEN(B5)-FIND("],",B5)-1),"none")</f>
        <v>[effect:rush, count:1, val:1]</v>
      </c>
      <c r="N5" s="48" t="str">
        <f t="shared" si="6"/>
        <v>[effect:rush, count:1, val:1]</v>
      </c>
      <c r="O5" s="62">
        <f t="shared" ref="O5:O6" si="22">FIND("effect:",N5)+7</f>
        <v>9</v>
      </c>
      <c r="P5" s="62">
        <f t="shared" ref="P5:P6" si="23">IFERROR(FIND(",",N5),LEN(N5))</f>
        <v>13</v>
      </c>
      <c r="Q5" s="62" t="e">
        <f t="shared" ref="Q5:Q6" si="24">FIND("target:",N5)+7</f>
        <v>#VALUE!</v>
      </c>
      <c r="R5" s="62">
        <f t="shared" ref="R5:R6" si="25">FIND(",",N5,P5+1)</f>
        <v>22</v>
      </c>
      <c r="S5" s="62" t="str">
        <f>IFERROR(VLOOKUP(MID(N5,Q5,R5-Q5),[6]skilldef!$C:$D,2,FALSE),"-") &amp; " / " &amp; IFERROR(VLOOKUP(MID(N5,O5,P5-O5),[6]skilldef!$A:$B,2,FALSE),"-")</f>
        <v>- / 連続攻撃</v>
      </c>
      <c r="T5" s="48" t="str">
        <f t="shared" ref="T5:T6" si="26">IFERROR(RIGHT(M5,LEN(M5)-FIND("],",M5)-1),"none")</f>
        <v>none</v>
      </c>
      <c r="U5" s="62" t="e">
        <f t="shared" ref="U5:U6" si="27">FIND("effect:",T5)+7</f>
        <v>#VALUE!</v>
      </c>
      <c r="V5" s="62">
        <f t="shared" ref="V5:V6" si="28">IFERROR(FIND(",",T5),LEN(T5))</f>
        <v>4</v>
      </c>
      <c r="W5" s="62" t="e">
        <f t="shared" ref="W5:W6" si="29">FIND("target:",T5)+7</f>
        <v>#VALUE!</v>
      </c>
      <c r="X5" s="62" t="e">
        <f t="shared" ref="X5:X6" si="30">FIND(",",T5,V5+1)</f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 x14ac:dyDescent="0.15">
      <c r="A6" s="108">
        <v>61000005</v>
      </c>
      <c r="B6" s="108" t="s">
        <v>426</v>
      </c>
      <c r="C6" s="109">
        <v>1</v>
      </c>
      <c r="D6" s="109" t="s">
        <v>128</v>
      </c>
      <c r="E6" s="110" t="s">
        <v>270</v>
      </c>
      <c r="F6" s="110" t="s">
        <v>428</v>
      </c>
      <c r="G6" s="62" t="str">
        <f t="shared" si="16"/>
        <v>[effect:force_change_block, new_block:color_break, target:normal, count:3, val:0]</v>
      </c>
      <c r="H6" s="62">
        <f t="shared" si="17"/>
        <v>9</v>
      </c>
      <c r="I6" s="62">
        <f t="shared" si="18"/>
        <v>27</v>
      </c>
      <c r="J6" s="62">
        <f t="shared" si="19"/>
        <v>59</v>
      </c>
      <c r="K6" s="62">
        <f t="shared" si="20"/>
        <v>50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21"/>
        <v>[effect:rush, count:1, val:1]</v>
      </c>
      <c r="N6" s="48" t="str">
        <f t="shared" si="6"/>
        <v>[effect:rush, count:1, val:1]</v>
      </c>
      <c r="O6" s="62">
        <f t="shared" si="22"/>
        <v>9</v>
      </c>
      <c r="P6" s="62">
        <f t="shared" si="23"/>
        <v>13</v>
      </c>
      <c r="Q6" s="62" t="e">
        <f t="shared" si="24"/>
        <v>#VALUE!</v>
      </c>
      <c r="R6" s="62">
        <f t="shared" si="25"/>
        <v>22</v>
      </c>
      <c r="S6" s="62" t="str">
        <f>IFERROR(VLOOKUP(MID(N6,Q6,R6-Q6),[6]skilldef!$C:$D,2,FALSE),"-") &amp; " / " &amp; IFERROR(VLOOKUP(MID(N6,O6,P6-O6),[6]skilldef!$A:$B,2,FALSE),"-")</f>
        <v>- / 連続攻撃</v>
      </c>
      <c r="T6" s="48" t="str">
        <f t="shared" si="26"/>
        <v>none</v>
      </c>
      <c r="U6" s="62" t="e">
        <f t="shared" si="27"/>
        <v>#VALUE!</v>
      </c>
      <c r="V6" s="62">
        <f t="shared" si="28"/>
        <v>4</v>
      </c>
      <c r="W6" s="62" t="e">
        <f t="shared" si="29"/>
        <v>#VALUE!</v>
      </c>
      <c r="X6" s="62" t="e">
        <f t="shared" si="30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1" customHeight="1" x14ac:dyDescent="0.15">
      <c r="A7" s="108">
        <v>61000006</v>
      </c>
      <c r="B7" s="108" t="s">
        <v>427</v>
      </c>
      <c r="C7" s="109">
        <v>1</v>
      </c>
      <c r="D7" s="109" t="s">
        <v>128</v>
      </c>
      <c r="E7" s="110" t="s">
        <v>270</v>
      </c>
      <c r="F7" s="110" t="s">
        <v>429</v>
      </c>
      <c r="G7" s="62" t="str">
        <f t="shared" ref="G7" si="31">IFERROR(LEFT(B7,FIND("],",B7)),B7)</f>
        <v>[effect:force_change_magnet, target:normal, count:1, red:1, green:1, blue:1, yellow:1, heart:0, reverse:0, generate:0, turn:4, animation:change_block]</v>
      </c>
      <c r="H7" s="62">
        <f t="shared" ref="H7" si="32">FIND("effect:",G7)+7</f>
        <v>9</v>
      </c>
      <c r="I7" s="62">
        <f t="shared" ref="I7" si="33">IFERROR(FIND(",",G7),LEN(G7))</f>
        <v>28</v>
      </c>
      <c r="J7" s="62">
        <f t="shared" ref="J7" si="34">FIND("target:",G7)+7</f>
        <v>37</v>
      </c>
      <c r="K7" s="62">
        <f t="shared" ref="K7" si="35">FIND(",",G7,I7+1)</f>
        <v>43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ref="M7" si="36">IFERROR(RIGHT(B7,LEN(B7)-FIND("],",B7)-1),"none")</f>
        <v>[effect:rush, count:1, val:1]</v>
      </c>
      <c r="N7" s="48" t="str">
        <f t="shared" si="6"/>
        <v>[effect:rush, count:1, val:1]</v>
      </c>
      <c r="O7" s="62">
        <f t="shared" ref="O7" si="37">FIND("effect:",N7)+7</f>
        <v>9</v>
      </c>
      <c r="P7" s="62">
        <f t="shared" ref="P7" si="38">IFERROR(FIND(",",N7),LEN(N7))</f>
        <v>13</v>
      </c>
      <c r="Q7" s="62" t="e">
        <f t="shared" ref="Q7" si="39">FIND("target:",N7)+7</f>
        <v>#VALUE!</v>
      </c>
      <c r="R7" s="62">
        <f t="shared" ref="R7" si="40">FIND(",",N7,P7+1)</f>
        <v>22</v>
      </c>
      <c r="S7" s="62" t="str">
        <f>IFERROR(VLOOKUP(MID(N7,Q7,R7-Q7),[6]skilldef!$C:$D,2,FALSE),"-") &amp; " / " &amp; IFERROR(VLOOKUP(MID(N7,O7,P7-O7),[6]skilldef!$A:$B,2,FALSE),"-")</f>
        <v>- / 連続攻撃</v>
      </c>
      <c r="T7" s="48" t="str">
        <f t="shared" ref="T7" si="41">IFERROR(RIGHT(M7,LEN(M7)-FIND("],",M7)-1),"none")</f>
        <v>none</v>
      </c>
      <c r="U7" s="62" t="e">
        <f t="shared" ref="U7" si="42">FIND("effect:",T7)+7</f>
        <v>#VALUE!</v>
      </c>
      <c r="V7" s="62">
        <f t="shared" ref="V7" si="43">IFERROR(FIND(",",T7),LEN(T7))</f>
        <v>4</v>
      </c>
      <c r="W7" s="62" t="e">
        <f t="shared" ref="W7" si="44">FIND("target:",T7)+7</f>
        <v>#VALUE!</v>
      </c>
      <c r="X7" s="62" t="e">
        <f t="shared" ref="X7" si="45">FIND(",",T7,V7+1)</f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33" customHeight="1" x14ac:dyDescent="0.15">
      <c r="A8" s="108">
        <v>61000007</v>
      </c>
      <c r="B8" s="108" t="s">
        <v>277</v>
      </c>
      <c r="C8" s="109">
        <v>1</v>
      </c>
      <c r="D8" s="109" t="s">
        <v>128</v>
      </c>
      <c r="E8" s="110" t="s">
        <v>271</v>
      </c>
      <c r="F8" s="110" t="s">
        <v>291</v>
      </c>
      <c r="G8" s="62" t="str">
        <f t="shared" si="0"/>
        <v>[effect:force_change_block, new_block:damage, target:normal, count:5, val:0.05]</v>
      </c>
      <c r="H8" s="62">
        <f t="shared" si="1"/>
        <v>9</v>
      </c>
      <c r="I8" s="62">
        <f t="shared" si="2"/>
        <v>27</v>
      </c>
      <c r="J8" s="62">
        <f t="shared" si="3"/>
        <v>54</v>
      </c>
      <c r="K8" s="62">
        <f t="shared" si="4"/>
        <v>45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[effect:sp_boost, target:unit_hp/unit_heal/or, val:8],[effect:rush, count:1, val:1]</v>
      </c>
      <c r="N8" s="48" t="str">
        <f>IFERROR(LEFT(M8,FIND("],",M8)+S24),M8)</f>
        <v>[effect:sp_boost, target:unit_hp/unit_heal/or, val:8],[effect:rush, count:1, val:1]</v>
      </c>
      <c r="O8" s="62">
        <f t="shared" si="7"/>
        <v>9</v>
      </c>
      <c r="P8" s="62">
        <f t="shared" si="8"/>
        <v>17</v>
      </c>
      <c r="Q8" s="62">
        <f t="shared" si="9"/>
        <v>26</v>
      </c>
      <c r="R8" s="62">
        <f t="shared" si="10"/>
        <v>46</v>
      </c>
      <c r="S8" s="62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[effect:rush, count:1, val:1]</v>
      </c>
      <c r="U8" s="62">
        <f t="shared" si="12"/>
        <v>9</v>
      </c>
      <c r="V8" s="62">
        <f t="shared" si="13"/>
        <v>13</v>
      </c>
      <c r="W8" s="62" t="e">
        <f t="shared" si="14"/>
        <v>#VALUE!</v>
      </c>
      <c r="X8" s="62">
        <f t="shared" si="15"/>
        <v>22</v>
      </c>
      <c r="Y8" s="62" t="str">
        <f>IFERROR(VLOOKUP(MID(T8,W8,X8-W8),[6]skilldef!$C:$D,2,FALSE),"-") &amp; " / " &amp; IFERROR(VLOOKUP(MID(T8,U8,V8-U8),[6]skilldef!$A:$B,2,FALSE),"-")</f>
        <v>- / 連続攻撃</v>
      </c>
      <c r="Z8" s="50"/>
      <c r="AA8" s="51"/>
      <c r="AB8" s="50"/>
    </row>
    <row r="9" spans="1:28" ht="42" customHeight="1" x14ac:dyDescent="0.15">
      <c r="A9" s="108">
        <v>61000008</v>
      </c>
      <c r="B9" s="108" t="s">
        <v>278</v>
      </c>
      <c r="C9" s="109">
        <v>1</v>
      </c>
      <c r="D9" s="109" t="s">
        <v>128</v>
      </c>
      <c r="E9" s="110" t="s">
        <v>272</v>
      </c>
      <c r="F9" s="110" t="s">
        <v>292</v>
      </c>
      <c r="G9" s="62" t="str">
        <f t="shared" si="0"/>
        <v>[effect:force_change_block, new_block:time_bomb, target:normal, count:5, val:0.05, min_time_count:1, max_time_count:1]</v>
      </c>
      <c r="H9" s="62">
        <f t="shared" si="1"/>
        <v>9</v>
      </c>
      <c r="I9" s="62">
        <f t="shared" si="2"/>
        <v>27</v>
      </c>
      <c r="J9" s="62">
        <f t="shared" si="3"/>
        <v>57</v>
      </c>
      <c r="K9" s="62">
        <f t="shared" si="4"/>
        <v>48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[effect:sp_boost, target:unit_hp/unit_heal/or, val:8],[effect:rush, count:1, val:1]</v>
      </c>
      <c r="N9" s="48" t="str">
        <f>IFERROR(LEFT(M9,FIND("],",M9)+S25),M9)</f>
        <v>[effect:sp_boost, target:unit_hp/unit_heal/or, val:8],[effect:rush, count:1, val:1]</v>
      </c>
      <c r="O9" s="62">
        <f t="shared" si="7"/>
        <v>9</v>
      </c>
      <c r="P9" s="62">
        <f t="shared" si="8"/>
        <v>17</v>
      </c>
      <c r="Q9" s="62">
        <f t="shared" si="9"/>
        <v>26</v>
      </c>
      <c r="R9" s="62">
        <f t="shared" si="10"/>
        <v>46</v>
      </c>
      <c r="S9" s="62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[effect:rush, count:1, val:1]</v>
      </c>
      <c r="U9" s="62">
        <f t="shared" si="12"/>
        <v>9</v>
      </c>
      <c r="V9" s="62">
        <f t="shared" si="13"/>
        <v>13</v>
      </c>
      <c r="W9" s="62" t="e">
        <f t="shared" si="14"/>
        <v>#VALUE!</v>
      </c>
      <c r="X9" s="62">
        <f t="shared" si="15"/>
        <v>22</v>
      </c>
      <c r="Y9" s="62" t="str">
        <f>IFERROR(VLOOKUP(MID(T9,W9,X9-W9),[6]skilldef!$C:$D,2,FALSE),"-") &amp; " / " &amp; IFERROR(VLOOKUP(MID(T9,U9,V9-U9),[6]skilldef!$A:$B,2,FALSE),"-")</f>
        <v>- / 連続攻撃</v>
      </c>
      <c r="Z9" s="50"/>
      <c r="AA9" s="51"/>
      <c r="AB9" s="50"/>
    </row>
    <row r="10" spans="1:28" ht="33" customHeight="1" x14ac:dyDescent="0.15">
      <c r="A10" s="108">
        <v>61000009</v>
      </c>
      <c r="B10" s="108" t="s">
        <v>434</v>
      </c>
      <c r="C10" s="109">
        <v>1</v>
      </c>
      <c r="D10" s="109" t="s">
        <v>128</v>
      </c>
      <c r="E10" s="110" t="s">
        <v>271</v>
      </c>
      <c r="F10" s="110" t="s">
        <v>431</v>
      </c>
      <c r="G10" s="62" t="str">
        <f t="shared" ref="G10:G11" si="46">IFERROR(LEFT(B10,FIND("],",B10)),B10)</f>
        <v>[effect:force_change_block, new_block:crack_bomb, target:normal, count:5, val:12]</v>
      </c>
      <c r="H10" s="62">
        <f t="shared" ref="H10:H11" si="47">FIND("effect:",G10)+7</f>
        <v>9</v>
      </c>
      <c r="I10" s="62">
        <f t="shared" ref="I10:I11" si="48">IFERROR(FIND(",",G10),LEN(G10))</f>
        <v>27</v>
      </c>
      <c r="J10" s="62">
        <f t="shared" ref="J10:J11" si="49">FIND("target:",G10)+7</f>
        <v>58</v>
      </c>
      <c r="K10" s="62">
        <f t="shared" ref="K10:K11" si="50">FIND(",",G10,I10+1)</f>
        <v>49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ref="M10:M11" si="51">IFERROR(RIGHT(B10,LEN(B10)-FIND("],",B10)-1),"none")</f>
        <v>[effect:sp_boost, target:unit_hp/unit_heal/or, val:8],[effect:rush, count:1, val:1]</v>
      </c>
      <c r="N10" s="48" t="str">
        <f>IFERROR(LEFT(M10,FIND("],",M10)+S26),M10)</f>
        <v>[effect:sp_boost, target:unit_hp/unit_heal/or, val:8],[effect:rush, count:1, val:1]</v>
      </c>
      <c r="O10" s="62">
        <f t="shared" ref="O10:O11" si="52">FIND("effect:",N10)+7</f>
        <v>9</v>
      </c>
      <c r="P10" s="62">
        <f t="shared" ref="P10:P11" si="53">IFERROR(FIND(",",N10),LEN(N10))</f>
        <v>17</v>
      </c>
      <c r="Q10" s="62">
        <f t="shared" ref="Q10:Q11" si="54">FIND("target:",N10)+7</f>
        <v>26</v>
      </c>
      <c r="R10" s="62">
        <f t="shared" ref="R10:R11" si="55">FIND(",",N10,P10+1)</f>
        <v>46</v>
      </c>
      <c r="S10" s="62" t="str">
        <f>IFERROR(VLOOKUP(MID(N10,Q10,R10-Q10),[6]skilldef!$C:$D,2,FALSE),"-") &amp; " / " &amp; IFERROR(VLOOKUP(MID(N10,O10,P10-O10),[6]skilldef!$A:$B,2,FALSE),"-")</f>
        <v>- / -</v>
      </c>
      <c r="T10" s="48" t="str">
        <f t="shared" ref="T10:T11" si="56">IFERROR(RIGHT(M10,LEN(M10)-FIND("],",M10)-1),"none")</f>
        <v>[effect:rush, count:1, val:1]</v>
      </c>
      <c r="U10" s="62">
        <f t="shared" ref="U10:U11" si="57">FIND("effect:",T10)+7</f>
        <v>9</v>
      </c>
      <c r="V10" s="62">
        <f t="shared" ref="V10:V11" si="58">IFERROR(FIND(",",T10),LEN(T10))</f>
        <v>13</v>
      </c>
      <c r="W10" s="62" t="e">
        <f t="shared" ref="W10:W11" si="59">FIND("target:",T10)+7</f>
        <v>#VALUE!</v>
      </c>
      <c r="X10" s="62">
        <f t="shared" ref="X10:X11" si="60">FIND(",",T10,V10+1)</f>
        <v>22</v>
      </c>
      <c r="Y10" s="62" t="str">
        <f>IFERROR(VLOOKUP(MID(T10,W10,X10-W10),[6]skilldef!$C:$D,2,FALSE),"-") &amp; " / " &amp; IFERROR(VLOOKUP(MID(T10,U10,V10-U10),[6]skilldef!$A:$B,2,FALSE),"-")</f>
        <v>- / 連続攻撃</v>
      </c>
      <c r="Z10" s="50"/>
      <c r="AA10" s="51"/>
      <c r="AB10" s="50"/>
    </row>
    <row r="11" spans="1:28" ht="42" customHeight="1" x14ac:dyDescent="0.15">
      <c r="A11" s="108">
        <v>61000010</v>
      </c>
      <c r="B11" s="108" t="s">
        <v>437</v>
      </c>
      <c r="C11" s="109">
        <v>1</v>
      </c>
      <c r="D11" s="109" t="s">
        <v>128</v>
      </c>
      <c r="E11" s="110" t="s">
        <v>272</v>
      </c>
      <c r="F11" s="110" t="s">
        <v>432</v>
      </c>
      <c r="G11" s="62" t="str">
        <f t="shared" si="46"/>
        <v>[effect:force_change_block, new_block:color_break, target:normal, count:3, val:0]</v>
      </c>
      <c r="H11" s="62">
        <f t="shared" si="47"/>
        <v>9</v>
      </c>
      <c r="I11" s="62">
        <f t="shared" si="48"/>
        <v>27</v>
      </c>
      <c r="J11" s="62">
        <f t="shared" si="49"/>
        <v>59</v>
      </c>
      <c r="K11" s="62">
        <f t="shared" si="50"/>
        <v>50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1"/>
        <v>[effect:sp_boost, target:unit_hp/unit_heal/or, val:8],[effect:rush, count:1, val:1]</v>
      </c>
      <c r="N11" s="48" t="str">
        <f>IFERROR(LEFT(M11,FIND("],",M11)+S27),M11)</f>
        <v>[effect:sp_boost, target:unit_hp/unit_heal/or, val:8],[effect:rush, count:1, val:1]</v>
      </c>
      <c r="O11" s="62">
        <f t="shared" si="52"/>
        <v>9</v>
      </c>
      <c r="P11" s="62">
        <f t="shared" si="53"/>
        <v>17</v>
      </c>
      <c r="Q11" s="62">
        <f t="shared" si="54"/>
        <v>26</v>
      </c>
      <c r="R11" s="62">
        <f t="shared" si="55"/>
        <v>46</v>
      </c>
      <c r="S11" s="62" t="str">
        <f>IFERROR(VLOOKUP(MID(N11,Q11,R11-Q11),[6]skilldef!$C:$D,2,FALSE),"-") &amp; " / " &amp; IFERROR(VLOOKUP(MID(N11,O11,P11-O11),[6]skilldef!$A:$B,2,FALSE),"-")</f>
        <v>- / -</v>
      </c>
      <c r="T11" s="48" t="str">
        <f t="shared" si="56"/>
        <v>[effect:rush, count:1, val:1]</v>
      </c>
      <c r="U11" s="62">
        <f t="shared" si="57"/>
        <v>9</v>
      </c>
      <c r="V11" s="62">
        <f t="shared" si="58"/>
        <v>13</v>
      </c>
      <c r="W11" s="62" t="e">
        <f t="shared" si="59"/>
        <v>#VALUE!</v>
      </c>
      <c r="X11" s="62">
        <f t="shared" si="60"/>
        <v>22</v>
      </c>
      <c r="Y11" s="62" t="str">
        <f>IFERROR(VLOOKUP(MID(T11,W11,X11-W11),[6]skilldef!$C:$D,2,FALSE),"-") &amp; " / " &amp; IFERROR(VLOOKUP(MID(T11,U11,V11-U11),[6]skilldef!$A:$B,2,FALSE),"-")</f>
        <v>- / 連続攻撃</v>
      </c>
      <c r="Z11" s="50"/>
      <c r="AA11" s="51"/>
      <c r="AB11" s="50"/>
    </row>
    <row r="12" spans="1:28" ht="42" customHeight="1" x14ac:dyDescent="0.15">
      <c r="A12" s="108">
        <v>61000011</v>
      </c>
      <c r="B12" s="108" t="s">
        <v>433</v>
      </c>
      <c r="C12" s="109">
        <v>1</v>
      </c>
      <c r="D12" s="109" t="s">
        <v>128</v>
      </c>
      <c r="E12" s="110" t="s">
        <v>272</v>
      </c>
      <c r="F12" s="110" t="s">
        <v>441</v>
      </c>
      <c r="G12" s="62" t="str">
        <f t="shared" ref="G12" si="61">IFERROR(LEFT(B12,FIND("],",B12)),B12)</f>
        <v>[effect:force_change_magnet, target:normal, count:1, red:1, green:1, blue:1, yellow:1, heart:0, reverse:0, generate:0, turn:4, animation:change_block]</v>
      </c>
      <c r="H12" s="62">
        <f t="shared" ref="H12" si="62">FIND("effect:",G12)+7</f>
        <v>9</v>
      </c>
      <c r="I12" s="62">
        <f t="shared" ref="I12" si="63">IFERROR(FIND(",",G12),LEN(G12))</f>
        <v>28</v>
      </c>
      <c r="J12" s="62">
        <f t="shared" ref="J12" si="64">FIND("target:",G12)+7</f>
        <v>37</v>
      </c>
      <c r="K12" s="62">
        <f t="shared" ref="K12" si="65">FIND(",",G12,I12+1)</f>
        <v>43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ref="M12" si="66">IFERROR(RIGHT(B12,LEN(B12)-FIND("],",B12)-1),"none")</f>
        <v>[effect:sp_boost, target:unit_hp/unit_heal/or, val:8],[effect:rush, count:1, val:1]</v>
      </c>
      <c r="N12" s="48" t="str">
        <f>IFERROR(LEFT(M12,FIND("],",M12)+S28),M12)</f>
        <v>[effect:sp_boost, target:unit_hp/unit_heal/or, val:8],[effect:rush, count:1, val:1]</v>
      </c>
      <c r="O12" s="62">
        <f t="shared" ref="O12" si="67">FIND("effect:",N12)+7</f>
        <v>9</v>
      </c>
      <c r="P12" s="62">
        <f t="shared" ref="P12" si="68">IFERROR(FIND(",",N12),LEN(N12))</f>
        <v>17</v>
      </c>
      <c r="Q12" s="62">
        <f t="shared" ref="Q12" si="69">FIND("target:",N12)+7</f>
        <v>26</v>
      </c>
      <c r="R12" s="62">
        <f t="shared" ref="R12" si="70">FIND(",",N12,P12+1)</f>
        <v>46</v>
      </c>
      <c r="S12" s="62" t="str">
        <f>IFERROR(VLOOKUP(MID(N12,Q12,R12-Q12),[6]skilldef!$C:$D,2,FALSE),"-") &amp; " / " &amp; IFERROR(VLOOKUP(MID(N12,O12,P12-O12),[6]skilldef!$A:$B,2,FALSE),"-")</f>
        <v>- / -</v>
      </c>
      <c r="T12" s="48" t="str">
        <f t="shared" ref="T12" si="71">IFERROR(RIGHT(M12,LEN(M12)-FIND("],",M12)-1),"none")</f>
        <v>[effect:rush, count:1, val:1]</v>
      </c>
      <c r="U12" s="62">
        <f t="shared" ref="U12" si="72">FIND("effect:",T12)+7</f>
        <v>9</v>
      </c>
      <c r="V12" s="62">
        <f t="shared" ref="V12" si="73">IFERROR(FIND(",",T12),LEN(T12))</f>
        <v>13</v>
      </c>
      <c r="W12" s="62" t="e">
        <f t="shared" ref="W12" si="74">FIND("target:",T12)+7</f>
        <v>#VALUE!</v>
      </c>
      <c r="X12" s="62">
        <f t="shared" ref="X12" si="75">FIND(",",T12,V12+1)</f>
        <v>22</v>
      </c>
      <c r="Y12" s="62" t="str">
        <f>IFERROR(VLOOKUP(MID(T12,W12,X12-W12),[6]skilldef!$C:$D,2,FALSE),"-") &amp; " / " &amp; IFERROR(VLOOKUP(MID(T12,U12,V12-U12),[6]skilldef!$A:$B,2,FALSE),"-")</f>
        <v>- / 連続攻撃</v>
      </c>
      <c r="Z12" s="50"/>
      <c r="AA12" s="51"/>
      <c r="AB12" s="50"/>
    </row>
    <row r="13" spans="1:28" ht="44" customHeight="1" x14ac:dyDescent="0.15">
      <c r="A13" s="108">
        <v>61000012</v>
      </c>
      <c r="B13" s="108" t="s">
        <v>446</v>
      </c>
      <c r="C13" s="109">
        <v>1</v>
      </c>
      <c r="D13" s="109" t="s">
        <v>128</v>
      </c>
      <c r="E13" s="110" t="s">
        <v>273</v>
      </c>
      <c r="F13" s="110" t="s">
        <v>293</v>
      </c>
      <c r="G13" s="62" t="str">
        <f t="shared" si="0"/>
        <v>[effect:sp_boost, target:unit_all, val:4]</v>
      </c>
      <c r="H13" s="62">
        <f t="shared" si="1"/>
        <v>9</v>
      </c>
      <c r="I13" s="62">
        <f t="shared" si="2"/>
        <v>17</v>
      </c>
      <c r="J13" s="62">
        <f t="shared" si="3"/>
        <v>26</v>
      </c>
      <c r="K13" s="62">
        <f t="shared" si="4"/>
        <v>34</v>
      </c>
      <c r="L13" s="62" t="str">
        <f>IFERROR(VLOOKUP(MID(G13,J13,K13-J13),[6]skilldef!$C:$D,2,FALSE),"-") &amp; " / " &amp; IFERROR(VLOOKUP(MID(G13,H13,I13-H13),[6]skilldef!$A:$B,2,FALSE),"-")</f>
        <v>味方全体に / -</v>
      </c>
      <c r="M13" s="62" t="str">
        <f t="shared" si="5"/>
        <v>[effect:force_change_block, new_block:damage, target:normal, count:5, val:0.05],[effect:sp_boost, target:unit_hp/unit_heal/or, val:8],[effect:rush, count:1, val:1]</v>
      </c>
      <c r="N13" s="48" t="str">
        <f t="shared" ref="N13" si="76">IFERROR(LEFT(M13,FIND("],",M13)+S26),M13)</f>
        <v>[effect:force_change_block, new_block:damage, target:normal, count:5, val:0.05],[effect:sp_boost, target:unit_hp/unit_heal/or, val:8],[effect:rush, count:1, val:1]</v>
      </c>
      <c r="O13" s="62">
        <f t="shared" si="7"/>
        <v>9</v>
      </c>
      <c r="P13" s="62">
        <f t="shared" si="8"/>
        <v>27</v>
      </c>
      <c r="Q13" s="62">
        <f t="shared" si="9"/>
        <v>54</v>
      </c>
      <c r="R13" s="62">
        <f t="shared" si="10"/>
        <v>45</v>
      </c>
      <c r="S13" s="62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[effect:sp_boost, target:unit_hp/unit_heal/or, val:8],[effect:rush, count:1, val:1]</v>
      </c>
      <c r="U13" s="62">
        <f t="shared" si="12"/>
        <v>9</v>
      </c>
      <c r="V13" s="62">
        <f t="shared" si="13"/>
        <v>17</v>
      </c>
      <c r="W13" s="62">
        <f t="shared" si="14"/>
        <v>26</v>
      </c>
      <c r="X13" s="62">
        <f t="shared" si="15"/>
        <v>46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53" customHeight="1" x14ac:dyDescent="0.15">
      <c r="A14" s="108">
        <v>61000013</v>
      </c>
      <c r="B14" s="108" t="s">
        <v>307</v>
      </c>
      <c r="C14" s="109">
        <v>1</v>
      </c>
      <c r="D14" s="109" t="s">
        <v>128</v>
      </c>
      <c r="E14" s="110" t="s">
        <v>274</v>
      </c>
      <c r="F14" s="110" t="s">
        <v>294</v>
      </c>
      <c r="G14" s="62" t="str">
        <f t="shared" si="0"/>
        <v>[effect:sp_boost, target:unit_all, val:2]</v>
      </c>
      <c r="H14" s="62">
        <f t="shared" si="1"/>
        <v>9</v>
      </c>
      <c r="I14" s="62">
        <f t="shared" si="2"/>
        <v>17</v>
      </c>
      <c r="J14" s="62">
        <f t="shared" si="3"/>
        <v>26</v>
      </c>
      <c r="K14" s="62">
        <f t="shared" si="4"/>
        <v>34</v>
      </c>
      <c r="L14" s="62" t="str">
        <f>IFERROR(VLOOKUP(MID(G14,J14,K14-J14),[6]skilldef!$C:$D,2,FALSE),"-") &amp; " / " &amp; IFERROR(VLOOKUP(MID(G14,H14,I14-H14),[6]skilldef!$A:$B,2,FALSE),"-")</f>
        <v>味方全体に / -</v>
      </c>
      <c r="M14" s="62" t="str">
        <f t="shared" si="5"/>
        <v>[effect:force_change_block, new_block:time_bomb, target:normal, count:5, val:0.05, min_time_count:1, max_time_count:1],[effect:sp_boost, target:unit_hp/unit_heal/or, val:8],[effect:rush, count:1, val:1]</v>
      </c>
      <c r="N14" s="48" t="str">
        <f>IFERROR(LEFT(M14,FIND("],",M14)+S27),M14)</f>
        <v>[effect:force_change_block, new_block:time_bomb, target:normal, count:5, val:0.05, min_time_count:1, max_time_count:1],[effect:sp_boost, target:unit_hp/unit_heal/or, val:8],[effect:rush, count:1, val:1]</v>
      </c>
      <c r="O14" s="62">
        <f t="shared" si="7"/>
        <v>9</v>
      </c>
      <c r="P14" s="62">
        <f t="shared" si="8"/>
        <v>27</v>
      </c>
      <c r="Q14" s="62">
        <f t="shared" si="9"/>
        <v>57</v>
      </c>
      <c r="R14" s="62">
        <f t="shared" si="10"/>
        <v>48</v>
      </c>
      <c r="S14" s="62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[effect:sp_boost, target:unit_hp/unit_heal/or, val:8],[effect:rush, count:1, val:1]</v>
      </c>
      <c r="U14" s="62">
        <f t="shared" si="12"/>
        <v>9</v>
      </c>
      <c r="V14" s="62">
        <f t="shared" si="13"/>
        <v>17</v>
      </c>
      <c r="W14" s="62">
        <f t="shared" si="14"/>
        <v>26</v>
      </c>
      <c r="X14" s="62">
        <f t="shared" si="15"/>
        <v>46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44" customHeight="1" x14ac:dyDescent="0.15">
      <c r="A15" s="108">
        <v>61000014</v>
      </c>
      <c r="B15" s="108" t="s">
        <v>435</v>
      </c>
      <c r="C15" s="109">
        <v>1</v>
      </c>
      <c r="D15" s="109" t="s">
        <v>128</v>
      </c>
      <c r="E15" s="110" t="s">
        <v>273</v>
      </c>
      <c r="F15" s="110" t="s">
        <v>436</v>
      </c>
      <c r="G15" s="62" t="str">
        <f t="shared" ref="G15:G16" si="77">IFERROR(LEFT(B15,FIND("],",B15)),B15)</f>
        <v>[effect:sp_boost, target:unit_all, val:4]</v>
      </c>
      <c r="H15" s="62">
        <f t="shared" ref="H15:H16" si="78">FIND("effect:",G15)+7</f>
        <v>9</v>
      </c>
      <c r="I15" s="62">
        <f t="shared" ref="I15:I16" si="79">IFERROR(FIND(",",G15),LEN(G15))</f>
        <v>17</v>
      </c>
      <c r="J15" s="62">
        <f t="shared" ref="J15:J16" si="80">FIND("target:",G15)+7</f>
        <v>26</v>
      </c>
      <c r="K15" s="62">
        <f t="shared" ref="K15:K16" si="81">FIND(",",G15,I15+1)</f>
        <v>34</v>
      </c>
      <c r="L15" s="62" t="str">
        <f>IFERROR(VLOOKUP(MID(G15,J15,K15-J15),[6]skilldef!$C:$D,2,FALSE),"-") &amp; " / " &amp; IFERROR(VLOOKUP(MID(G15,H15,I15-H15),[6]skilldef!$A:$B,2,FALSE),"-")</f>
        <v>味方全体に / -</v>
      </c>
      <c r="M15" s="62" t="str">
        <f t="shared" ref="M15:M16" si="82">IFERROR(RIGHT(B15,LEN(B15)-FIND("],",B15)-1),"none")</f>
        <v>[effect:force_change_block, new_block:crack_bomb, target:normal, count:5, val:12],[effect:sp_boost, target:unit_hp/unit_heal/or, val:8],[effect:rush, count:1, val:1]</v>
      </c>
      <c r="N15" s="48" t="str">
        <f t="shared" ref="N15" si="83">IFERROR(LEFT(M15,FIND("],",M15)+S28),M15)</f>
        <v>[effect:force_change_block, new_block:crack_bomb, target:normal, count:5, val:12],[effect:sp_boost, target:unit_hp/unit_heal/or, val:8],[effect:rush, count:1, val:1]</v>
      </c>
      <c r="O15" s="62">
        <f t="shared" ref="O15:O16" si="84">FIND("effect:",N15)+7</f>
        <v>9</v>
      </c>
      <c r="P15" s="62">
        <f t="shared" ref="P15:P16" si="85">IFERROR(FIND(",",N15),LEN(N15))</f>
        <v>27</v>
      </c>
      <c r="Q15" s="62">
        <f t="shared" ref="Q15:Q16" si="86">FIND("target:",N15)+7</f>
        <v>58</v>
      </c>
      <c r="R15" s="62">
        <f t="shared" ref="R15:R16" si="87">FIND(",",N15,P15+1)</f>
        <v>49</v>
      </c>
      <c r="S15" s="62" t="str">
        <f>IFERROR(VLOOKUP(MID(N15,Q15,R15-Q15),[6]skilldef!$C:$D,2,FALSE),"-") &amp; " / " &amp; IFERROR(VLOOKUP(MID(N15,O15,P15-O15),[6]skilldef!$A:$B,2,FALSE),"-")</f>
        <v>- / -</v>
      </c>
      <c r="T15" s="48" t="str">
        <f t="shared" ref="T15:T16" si="88">IFERROR(RIGHT(M15,LEN(M15)-FIND("],",M15)-1),"none")</f>
        <v>[effect:sp_boost, target:unit_hp/unit_heal/or, val:8],[effect:rush, count:1, val:1]</v>
      </c>
      <c r="U15" s="62">
        <f t="shared" ref="U15:U16" si="89">FIND("effect:",T15)+7</f>
        <v>9</v>
      </c>
      <c r="V15" s="62">
        <f t="shared" ref="V15:V16" si="90">IFERROR(FIND(",",T15),LEN(T15))</f>
        <v>17</v>
      </c>
      <c r="W15" s="62">
        <f t="shared" ref="W15:W16" si="91">FIND("target:",T15)+7</f>
        <v>26</v>
      </c>
      <c r="X15" s="62">
        <f t="shared" ref="X15:X16" si="92">FIND(",",T15,V15+1)</f>
        <v>46</v>
      </c>
      <c r="Y15" s="62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53" customHeight="1" x14ac:dyDescent="0.15">
      <c r="A16" s="108">
        <v>61000015</v>
      </c>
      <c r="B16" s="108" t="s">
        <v>438</v>
      </c>
      <c r="C16" s="109">
        <v>1</v>
      </c>
      <c r="D16" s="109" t="s">
        <v>128</v>
      </c>
      <c r="E16" s="110" t="s">
        <v>274</v>
      </c>
      <c r="F16" s="110" t="s">
        <v>439</v>
      </c>
      <c r="G16" s="62" t="str">
        <f t="shared" si="77"/>
        <v>[effect:sp_boost, target:unit_all, val:2]</v>
      </c>
      <c r="H16" s="62">
        <f t="shared" si="78"/>
        <v>9</v>
      </c>
      <c r="I16" s="62">
        <f t="shared" si="79"/>
        <v>17</v>
      </c>
      <c r="J16" s="62">
        <f t="shared" si="80"/>
        <v>26</v>
      </c>
      <c r="K16" s="62">
        <f t="shared" si="81"/>
        <v>34</v>
      </c>
      <c r="L16" s="62" t="str">
        <f>IFERROR(VLOOKUP(MID(G16,J16,K16-J16),[6]skilldef!$C:$D,2,FALSE),"-") &amp; " / " &amp; IFERROR(VLOOKUP(MID(G16,H16,I16-H16),[6]skilldef!$A:$B,2,FALSE),"-")</f>
        <v>味方全体に / -</v>
      </c>
      <c r="M16" s="62" t="str">
        <f t="shared" si="82"/>
        <v>[effect:force_change_block, new_block:color_break, target:normal, count:3, val:0],[effect:sp_boost, target:unit_hp/unit_heal/or, val:8],[effect:rush, count:1, val:1]</v>
      </c>
      <c r="N16" s="48" t="str">
        <f>IFERROR(LEFT(M16,FIND("],",M16)+S29),M16)</f>
        <v>[effect:force_change_block, new_block:color_break, target:normal, count:3, val:0],[effect:sp_boost, target:unit_hp/unit_heal/or, val:8],[effect:rush, count:1, val:1]</v>
      </c>
      <c r="O16" s="62">
        <f t="shared" si="84"/>
        <v>9</v>
      </c>
      <c r="P16" s="62">
        <f t="shared" si="85"/>
        <v>27</v>
      </c>
      <c r="Q16" s="62">
        <f t="shared" si="86"/>
        <v>59</v>
      </c>
      <c r="R16" s="62">
        <f t="shared" si="87"/>
        <v>50</v>
      </c>
      <c r="S16" s="62" t="str">
        <f>IFERROR(VLOOKUP(MID(N16,Q16,R16-Q16),[6]skilldef!$C:$D,2,FALSE),"-") &amp; " / " &amp; IFERROR(VLOOKUP(MID(N16,O16,P16-O16),[6]skilldef!$A:$B,2,FALSE),"-")</f>
        <v>- / -</v>
      </c>
      <c r="T16" s="48" t="str">
        <f t="shared" si="88"/>
        <v>[effect:sp_boost, target:unit_hp/unit_heal/or, val:8],[effect:rush, count:1, val:1]</v>
      </c>
      <c r="U16" s="62">
        <f t="shared" si="89"/>
        <v>9</v>
      </c>
      <c r="V16" s="62">
        <f t="shared" si="90"/>
        <v>17</v>
      </c>
      <c r="W16" s="62">
        <f t="shared" si="91"/>
        <v>26</v>
      </c>
      <c r="X16" s="62">
        <f t="shared" si="92"/>
        <v>46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53" customHeight="1" x14ac:dyDescent="0.15">
      <c r="A17" s="108">
        <v>61000016</v>
      </c>
      <c r="B17" s="108" t="s">
        <v>440</v>
      </c>
      <c r="C17" s="109">
        <v>1</v>
      </c>
      <c r="D17" s="109" t="s">
        <v>128</v>
      </c>
      <c r="E17" s="110" t="s">
        <v>274</v>
      </c>
      <c r="F17" s="110" t="s">
        <v>442</v>
      </c>
      <c r="G17" s="62" t="str">
        <f t="shared" ref="G17" si="93">IFERROR(LEFT(B17,FIND("],",B17)),B17)</f>
        <v>[effect:sp_boost, target:unit_all, val:2]</v>
      </c>
      <c r="H17" s="62">
        <f t="shared" ref="H17" si="94">FIND("effect:",G17)+7</f>
        <v>9</v>
      </c>
      <c r="I17" s="62">
        <f t="shared" ref="I17" si="95">IFERROR(FIND(",",G17),LEN(G17))</f>
        <v>17</v>
      </c>
      <c r="J17" s="62">
        <f t="shared" ref="J17" si="96">FIND("target:",G17)+7</f>
        <v>26</v>
      </c>
      <c r="K17" s="62">
        <f t="shared" ref="K17" si="97">FIND(",",G17,I17+1)</f>
        <v>34</v>
      </c>
      <c r="L17" s="62" t="str">
        <f>IFERROR(VLOOKUP(MID(G17,J17,K17-J17),[6]skilldef!$C:$D,2,FALSE),"-") &amp; " / " &amp; IFERROR(VLOOKUP(MID(G17,H17,I17-H17),[6]skilldef!$A:$B,2,FALSE),"-")</f>
        <v>味方全体に / -</v>
      </c>
      <c r="M17" s="62" t="str">
        <f t="shared" ref="M17" si="98">IFERROR(RIGHT(B17,LEN(B17)-FIND("],",B17)-1),"none")</f>
        <v>[effect:force_change_magnet, target:normal, count:1, red:1, green:1, blue:1, yellow:1, heart:0, reverse:0, generate:0, turn:4, animation:change_block],[effect:sp_boost, target:unit_hp/unit_heal/or, val:8],[effect:rush, count:1, val:1]</v>
      </c>
      <c r="N17" s="48" t="str">
        <f>IFERROR(LEFT(M17,FIND("],",M17)+S30),M17)</f>
        <v>[effect:force_change_magnet, target:normal, count:1, red:1, green:1, blue:1, yellow:1, heart:0, reverse:0, generate:0, turn:4, animation:change_block],[effect:sp_boost, target:unit_hp/unit_heal/or, val:8],[effect:rush, count:1, val:1]</v>
      </c>
      <c r="O17" s="62">
        <f t="shared" ref="O17" si="99">FIND("effect:",N17)+7</f>
        <v>9</v>
      </c>
      <c r="P17" s="62">
        <f t="shared" ref="P17" si="100">IFERROR(FIND(",",N17),LEN(N17))</f>
        <v>28</v>
      </c>
      <c r="Q17" s="62">
        <f t="shared" ref="Q17" si="101">FIND("target:",N17)+7</f>
        <v>37</v>
      </c>
      <c r="R17" s="62">
        <f t="shared" ref="R17" si="102">FIND(",",N17,P17+1)</f>
        <v>43</v>
      </c>
      <c r="S17" s="62" t="str">
        <f>IFERROR(VLOOKUP(MID(N17,Q17,R17-Q17),[6]skilldef!$C:$D,2,FALSE),"-") &amp; " / " &amp; IFERROR(VLOOKUP(MID(N17,O17,P17-O17),[6]skilldef!$A:$B,2,FALSE),"-")</f>
        <v>- / -</v>
      </c>
      <c r="T17" s="48" t="str">
        <f t="shared" ref="T17" si="103">IFERROR(RIGHT(M17,LEN(M17)-FIND("],",M17)-1),"none")</f>
        <v>[effect:sp_boost, target:unit_hp/unit_heal/or, val:8],[effect:rush, count:1, val:1]</v>
      </c>
      <c r="U17" s="62">
        <f t="shared" ref="U17" si="104">FIND("effect:",T17)+7</f>
        <v>9</v>
      </c>
      <c r="V17" s="62">
        <f t="shared" ref="V17" si="105">IFERROR(FIND(",",T17),LEN(T17))</f>
        <v>17</v>
      </c>
      <c r="W17" s="62">
        <f t="shared" ref="W17" si="106">FIND("target:",T17)+7</f>
        <v>26</v>
      </c>
      <c r="X17" s="62">
        <f t="shared" ref="X17" si="107">FIND(",",T17,V17+1)</f>
        <v>46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65" customHeight="1" x14ac:dyDescent="0.15">
      <c r="A18" s="111">
        <v>61000100</v>
      </c>
      <c r="B18" s="111" t="s">
        <v>325</v>
      </c>
      <c r="C18" s="112">
        <v>1</v>
      </c>
      <c r="D18" s="112" t="s">
        <v>128</v>
      </c>
      <c r="E18" s="113" t="s">
        <v>279</v>
      </c>
      <c r="F18" s="113" t="s">
        <v>288</v>
      </c>
      <c r="G18" s="62" t="str">
        <f t="shared" si="0"/>
        <v>[effect:fix_speed, target:myself, turn:1]</v>
      </c>
      <c r="H18" s="62">
        <f t="shared" si="1"/>
        <v>9</v>
      </c>
      <c r="I18" s="62">
        <f t="shared" si="2"/>
        <v>18</v>
      </c>
      <c r="J18" s="62">
        <f t="shared" si="3"/>
        <v>27</v>
      </c>
      <c r="K18" s="62">
        <f t="shared" si="4"/>
        <v>33</v>
      </c>
      <c r="L18" s="62" t="str">
        <f>IFERROR(VLOOKUP(MID(G18,J18,K18-J18),[6]skilldef!$C:$D,2,FALSE),"-") &amp; " / " &amp; IFERROR(VLOOKUP(MID(G18,H18,I18-H18),[6]skilldef!$A:$B,2,FALSE),"-")</f>
        <v>自分自身に / 行動値設定</v>
      </c>
      <c r="M18" s="62" t="str">
        <f t="shared" si="5"/>
        <v>[effect:tolerance, target:myself, turn:-1, count:-1, tolerance_effect:all, animation:enemy_tolerance],[effect:sp_boost, target:unit_all, val:4],[effect:sp_boost, target:unit_hp/unit_heal/or, val:8],[effect:enhance_unit, target:unit_hp/unit_heal/or, turn:-1, status:attack, val:2000, calc:add]</v>
      </c>
      <c r="N18" s="48" t="str">
        <f t="shared" ref="N18:N25" si="108">IFERROR(LEFT(M18,FIND("],",M18)+S28),M18)</f>
        <v>[effect:tolerance, target:myself, turn:-1, count:-1, tolerance_effect:all, animation:enemy_tolerance],[effect:sp_boost, target:unit_all, val:4],[effect:sp_boost, target:unit_hp/unit_heal/or, val:8],[effect:enhance_unit, target:unit_hp/unit_heal/or, turn:-1, status:attack, val:2000, calc:add]</v>
      </c>
      <c r="O18" s="62">
        <f t="shared" si="7"/>
        <v>9</v>
      </c>
      <c r="P18" s="62">
        <f t="shared" si="8"/>
        <v>18</v>
      </c>
      <c r="Q18" s="62">
        <f t="shared" si="9"/>
        <v>27</v>
      </c>
      <c r="R18" s="62">
        <f t="shared" si="10"/>
        <v>33</v>
      </c>
      <c r="S18" s="62" t="str">
        <f>IFERROR(VLOOKUP(MID(N18,Q18,R18-Q18),[6]skilldef!$C:$D,2,FALSE),"-") &amp; " / " &amp; IFERROR(VLOOKUP(MID(N18,O18,P18-O18),[6]skilldef!$A:$B,2,FALSE),"-")</f>
        <v>自分自身に / 状態異常耐性</v>
      </c>
      <c r="T18" s="48" t="str">
        <f t="shared" si="11"/>
        <v>[effect:sp_boost, target:unit_all, val:4],[effect:sp_boost, target:unit_hp/unit_heal/or, val:8],[effect:enhance_unit, target:unit_hp/unit_heal/or, turn:-1, status:attack, val:2000, calc:add]</v>
      </c>
      <c r="U18" s="62">
        <f t="shared" si="12"/>
        <v>9</v>
      </c>
      <c r="V18" s="62">
        <f t="shared" si="13"/>
        <v>17</v>
      </c>
      <c r="W18" s="62">
        <f t="shared" si="14"/>
        <v>26</v>
      </c>
      <c r="X18" s="62">
        <f t="shared" si="15"/>
        <v>34</v>
      </c>
      <c r="Y18" s="62" t="str">
        <f>IFERROR(VLOOKUP(MID(T18,W18,X18-W18),[6]skilldef!$C:$D,2,FALSE),"-") &amp; " / " &amp; IFERROR(VLOOKUP(MID(T18,U18,V18-U18),[6]skilldef!$A:$B,2,FALSE),"-")</f>
        <v>味方全体に / -</v>
      </c>
      <c r="Z18" s="50"/>
      <c r="AA18" s="51"/>
      <c r="AB18" s="50"/>
    </row>
    <row r="19" spans="1:28" ht="21" customHeight="1" x14ac:dyDescent="0.15">
      <c r="A19" s="111">
        <v>61000101</v>
      </c>
      <c r="B19" s="111" t="s">
        <v>280</v>
      </c>
      <c r="C19" s="112">
        <v>1</v>
      </c>
      <c r="D19" s="112" t="s">
        <v>128</v>
      </c>
      <c r="E19" s="113" t="s">
        <v>284</v>
      </c>
      <c r="F19" s="113" t="s">
        <v>295</v>
      </c>
      <c r="G19" s="62" t="str">
        <f t="shared" si="0"/>
        <v>[effect:force_change_block, new_block:damage, target:normal, count:10, val:0.05]</v>
      </c>
      <c r="H19" s="62">
        <f t="shared" si="1"/>
        <v>9</v>
      </c>
      <c r="I19" s="62">
        <f t="shared" si="2"/>
        <v>27</v>
      </c>
      <c r="J19" s="62">
        <f t="shared" si="3"/>
        <v>54</v>
      </c>
      <c r="K19" s="62">
        <f t="shared" si="4"/>
        <v>45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5"/>
        <v>[effect:rush, count:1, val:1]</v>
      </c>
      <c r="N19" s="48" t="str">
        <f t="shared" si="108"/>
        <v>[effect:rush, count:1, val:1]</v>
      </c>
      <c r="O19" s="62">
        <f t="shared" si="7"/>
        <v>9</v>
      </c>
      <c r="P19" s="62">
        <f t="shared" si="8"/>
        <v>13</v>
      </c>
      <c r="Q19" s="62" t="e">
        <f t="shared" si="9"/>
        <v>#VALUE!</v>
      </c>
      <c r="R19" s="62">
        <f t="shared" si="10"/>
        <v>22</v>
      </c>
      <c r="S19" s="62" t="str">
        <f>IFERROR(VLOOKUP(MID(N19,Q19,R19-Q19),[6]skilldef!$C:$D,2,FALSE),"-") &amp; " / " &amp; IFERROR(VLOOKUP(MID(N19,O19,P19-O19),[6]skilldef!$A:$B,2,FALSE),"-")</f>
        <v>- / 連続攻撃</v>
      </c>
      <c r="T19" s="48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111">
        <v>61000102</v>
      </c>
      <c r="B20" s="111" t="s">
        <v>281</v>
      </c>
      <c r="C20" s="112">
        <v>1</v>
      </c>
      <c r="D20" s="112" t="s">
        <v>128</v>
      </c>
      <c r="E20" s="113" t="s">
        <v>285</v>
      </c>
      <c r="F20" s="113" t="s">
        <v>296</v>
      </c>
      <c r="G20" s="62" t="str">
        <f t="shared" si="0"/>
        <v>[effect:force_change_block, new_block:time_bomb, target:normal, count:10, val:0.05, min_time_count:1, max_time_count:1]</v>
      </c>
      <c r="H20" s="62">
        <f t="shared" si="1"/>
        <v>9</v>
      </c>
      <c r="I20" s="62">
        <f t="shared" si="2"/>
        <v>27</v>
      </c>
      <c r="J20" s="62">
        <f t="shared" si="3"/>
        <v>57</v>
      </c>
      <c r="K20" s="62">
        <f t="shared" si="4"/>
        <v>48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[effect:rush, count:1, val:1]</v>
      </c>
      <c r="N20" s="48" t="str">
        <f t="shared" si="108"/>
        <v>[effect:rush, count:1, val:1]</v>
      </c>
      <c r="O20" s="62">
        <f t="shared" si="7"/>
        <v>9</v>
      </c>
      <c r="P20" s="62">
        <f t="shared" si="8"/>
        <v>13</v>
      </c>
      <c r="Q20" s="62" t="e">
        <f t="shared" si="9"/>
        <v>#VALUE!</v>
      </c>
      <c r="R20" s="62">
        <f t="shared" si="10"/>
        <v>22</v>
      </c>
      <c r="S20" s="62" t="str">
        <f>IFERROR(VLOOKUP(MID(N20,Q20,R20-Q20),[6]skilldef!$C:$D,2,FALSE),"-") &amp; " / " &amp; IFERROR(VLOOKUP(MID(N20,O20,P20-O20),[6]skilldef!$A:$B,2,FALSE),"-")</f>
        <v>- / 連続攻撃</v>
      </c>
      <c r="T20" s="48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1" customHeight="1" x14ac:dyDescent="0.15">
      <c r="A21" s="111">
        <v>61000103</v>
      </c>
      <c r="B21" s="111" t="s">
        <v>282</v>
      </c>
      <c r="C21" s="112">
        <v>1</v>
      </c>
      <c r="D21" s="112" t="s">
        <v>128</v>
      </c>
      <c r="E21" s="113" t="s">
        <v>286</v>
      </c>
      <c r="F21" s="113" t="s">
        <v>297</v>
      </c>
      <c r="G21" s="62" t="str">
        <f t="shared" si="0"/>
        <v>[effect:force_change_block, new_block:jammer, target:normal, count:10, val:0]</v>
      </c>
      <c r="H21" s="62">
        <f t="shared" si="1"/>
        <v>9</v>
      </c>
      <c r="I21" s="62">
        <f t="shared" si="2"/>
        <v>27</v>
      </c>
      <c r="J21" s="62">
        <f t="shared" si="3"/>
        <v>54</v>
      </c>
      <c r="K21" s="62">
        <f t="shared" si="4"/>
        <v>45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5"/>
        <v>[effect:rush, count:1, val:1]</v>
      </c>
      <c r="N21" s="48" t="str">
        <f t="shared" si="108"/>
        <v>[effect:rush, count:1, val:1]</v>
      </c>
      <c r="O21" s="62">
        <f t="shared" si="7"/>
        <v>9</v>
      </c>
      <c r="P21" s="62">
        <f t="shared" si="8"/>
        <v>13</v>
      </c>
      <c r="Q21" s="62" t="e">
        <f t="shared" si="9"/>
        <v>#VALUE!</v>
      </c>
      <c r="R21" s="62">
        <f t="shared" si="10"/>
        <v>22</v>
      </c>
      <c r="S21" s="62" t="str">
        <f>IFERROR(VLOOKUP(MID(N21,Q21,R21-Q21),[6]skilldef!$C:$D,2,FALSE),"-") &amp; " / " &amp; IFERROR(VLOOKUP(MID(N21,O21,P21-O21),[6]skilldef!$A:$B,2,FALSE),"-")</f>
        <v>- / 連続攻撃</v>
      </c>
      <c r="T21" s="48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21" customHeight="1" x14ac:dyDescent="0.15">
      <c r="A22" s="111">
        <v>61000104</v>
      </c>
      <c r="B22" s="111" t="s">
        <v>283</v>
      </c>
      <c r="C22" s="112">
        <v>1</v>
      </c>
      <c r="D22" s="112" t="s">
        <v>128</v>
      </c>
      <c r="E22" s="113" t="s">
        <v>287</v>
      </c>
      <c r="F22" s="113" t="s">
        <v>298</v>
      </c>
      <c r="G22" s="62" t="str">
        <f t="shared" si="0"/>
        <v>[effect:panel_freeze, target:normal, count:20]</v>
      </c>
      <c r="H22" s="62">
        <f t="shared" si="1"/>
        <v>9</v>
      </c>
      <c r="I22" s="62">
        <f t="shared" si="2"/>
        <v>21</v>
      </c>
      <c r="J22" s="62">
        <f t="shared" si="3"/>
        <v>30</v>
      </c>
      <c r="K22" s="62">
        <f t="shared" si="4"/>
        <v>36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[effect:rush, count:1, val:1]</v>
      </c>
      <c r="N22" s="48" t="str">
        <f t="shared" si="108"/>
        <v>[effect:rush, count:1, val:1]</v>
      </c>
      <c r="O22" s="62">
        <f t="shared" si="7"/>
        <v>9</v>
      </c>
      <c r="P22" s="62">
        <f t="shared" si="8"/>
        <v>13</v>
      </c>
      <c r="Q22" s="62" t="e">
        <f t="shared" si="9"/>
        <v>#VALUE!</v>
      </c>
      <c r="R22" s="62">
        <f t="shared" si="10"/>
        <v>22</v>
      </c>
      <c r="S22" s="62" t="str">
        <f>IFERROR(VLOOKUP(MID(N22,Q22,R22-Q22),[6]skilldef!$C:$D,2,FALSE),"-") &amp; " / " &amp; IFERROR(VLOOKUP(MID(N22,O22,P22-O22),[6]skilldef!$A:$B,2,FALSE),"-")</f>
        <v>- / 連続攻撃</v>
      </c>
      <c r="T22" s="48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57" customHeight="1" x14ac:dyDescent="0.15">
      <c r="A23" s="111">
        <v>61000105</v>
      </c>
      <c r="B23" s="111" t="s">
        <v>317</v>
      </c>
      <c r="C23" s="112">
        <v>1</v>
      </c>
      <c r="D23" s="112" t="s">
        <v>128</v>
      </c>
      <c r="E23" s="113" t="s">
        <v>299</v>
      </c>
      <c r="F23" s="113" t="s">
        <v>318</v>
      </c>
      <c r="G23" s="62" t="str">
        <f t="shared" si="0"/>
        <v>[effect:force_change_block, new_block:damage, target:normal, count:10, val:0.05]</v>
      </c>
      <c r="H23" s="62">
        <f t="shared" si="1"/>
        <v>9</v>
      </c>
      <c r="I23" s="62">
        <f t="shared" si="2"/>
        <v>27</v>
      </c>
      <c r="J23" s="62">
        <f t="shared" si="3"/>
        <v>54</v>
      </c>
      <c r="K23" s="62">
        <f t="shared" si="4"/>
        <v>45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[effect:rush, count:1, val:1],[effect:sp_boost, target:unit_hp/unit_heal/or, val:8],[effect:drop_block, block_type:crack_bomb, block_color:block_green, color:block_all, val:12, rate:0.08, turn:2, animation:bomb_influence04]</v>
      </c>
      <c r="N23" s="48" t="str">
        <f t="shared" si="108"/>
        <v>[effect:rush, count:1, val:1],[effect:sp_boost, target:unit_hp/unit_heal/or, val:8],[effect:drop_block, block_type:crack_bomb, block_color:block_green, color:block_all, val:12, rate:0.08, turn:2, animation:bomb_influence04]</v>
      </c>
      <c r="O23" s="62">
        <f t="shared" si="7"/>
        <v>9</v>
      </c>
      <c r="P23" s="62">
        <f t="shared" si="8"/>
        <v>13</v>
      </c>
      <c r="Q23" s="62">
        <f t="shared" si="9"/>
        <v>56</v>
      </c>
      <c r="R23" s="62">
        <f t="shared" si="10"/>
        <v>22</v>
      </c>
      <c r="S23" s="62" t="str">
        <f>IFERROR(VLOOKUP(MID(N23,Q23,R23-Q23),[6]skilldef!$C:$D,2,FALSE),"-") &amp; " / " &amp; IFERROR(VLOOKUP(MID(N23,O23,P23-O23),[6]skilldef!$A:$B,2,FALSE),"-")</f>
        <v>- / 連続攻撃</v>
      </c>
      <c r="T23" s="48" t="str">
        <f t="shared" si="11"/>
        <v>[effect:sp_boost, target:unit_hp/unit_heal/or, val:8],[effect:drop_block, block_type:crack_bomb, block_color:block_green, color:block_all, val:12, rate:0.08, turn:2, animation:bomb_influence04]</v>
      </c>
      <c r="U23" s="62">
        <f t="shared" si="12"/>
        <v>9</v>
      </c>
      <c r="V23" s="62">
        <f t="shared" si="13"/>
        <v>17</v>
      </c>
      <c r="W23" s="62">
        <f t="shared" si="14"/>
        <v>26</v>
      </c>
      <c r="X23" s="62">
        <f t="shared" si="15"/>
        <v>46</v>
      </c>
      <c r="Y23" s="62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68" customHeight="1" x14ac:dyDescent="0.15">
      <c r="A24" s="111">
        <v>61000106</v>
      </c>
      <c r="B24" s="111" t="s">
        <v>319</v>
      </c>
      <c r="C24" s="112">
        <v>1</v>
      </c>
      <c r="D24" s="112" t="s">
        <v>128</v>
      </c>
      <c r="E24" s="113" t="s">
        <v>300</v>
      </c>
      <c r="F24" s="113" t="s">
        <v>322</v>
      </c>
      <c r="G24" s="62" t="str">
        <f t="shared" si="0"/>
        <v>[effect:force_change_block, new_block:time_bomb, target:normal, count:10, val:0.05, min_time_count:1, max_time_count:1]</v>
      </c>
      <c r="H24" s="62">
        <f t="shared" si="1"/>
        <v>9</v>
      </c>
      <c r="I24" s="62">
        <f t="shared" si="2"/>
        <v>27</v>
      </c>
      <c r="J24" s="62">
        <f t="shared" si="3"/>
        <v>57</v>
      </c>
      <c r="K24" s="62">
        <f t="shared" si="4"/>
        <v>48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>[effect:rush, count:1, val:1],[effect:sp_boost, target:unit_hp/unit_heal/or, val:8],[effect:drop_block, block_type:crack_bomb, block_color:block_green, color:block_all, val:12, rate:0.08, turn:2, animation:bomb_influence04]</v>
      </c>
      <c r="N24" s="48" t="str">
        <f t="shared" si="108"/>
        <v>[effect:rush, count:1, val:1],[effect:sp_boost, target:unit_hp/unit_heal/or, val:8],[effect:drop_block, block_type:crack_bomb, block_color:block_green, color:block_all, val:12, rate:0.08, turn:2, animation:bomb_influence04]</v>
      </c>
      <c r="O24" s="62">
        <f t="shared" si="7"/>
        <v>9</v>
      </c>
      <c r="P24" s="62">
        <f t="shared" si="8"/>
        <v>13</v>
      </c>
      <c r="Q24" s="62">
        <f t="shared" si="9"/>
        <v>56</v>
      </c>
      <c r="R24" s="62">
        <f t="shared" si="10"/>
        <v>22</v>
      </c>
      <c r="S24" s="62" t="str">
        <f>IFERROR(VLOOKUP(MID(N24,Q24,R24-Q24),[6]skilldef!$C:$D,2,FALSE),"-") &amp; " / " &amp; IFERROR(VLOOKUP(MID(N24,O24,P24-O24),[6]skilldef!$A:$B,2,FALSE),"-")</f>
        <v>- / 連続攻撃</v>
      </c>
      <c r="T24" s="48" t="str">
        <f t="shared" si="11"/>
        <v>[effect:sp_boost, target:unit_hp/unit_heal/or, val:8],[effect:drop_block, block_type:crack_bomb, block_color:block_green, color:block_all, val:12, rate:0.08, turn:2, animation:bomb_influence04]</v>
      </c>
      <c r="U24" s="62">
        <f t="shared" si="12"/>
        <v>9</v>
      </c>
      <c r="V24" s="62">
        <f t="shared" si="13"/>
        <v>17</v>
      </c>
      <c r="W24" s="62">
        <f t="shared" si="14"/>
        <v>26</v>
      </c>
      <c r="X24" s="62">
        <f t="shared" si="15"/>
        <v>46</v>
      </c>
      <c r="Y24" s="62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75" customHeight="1" x14ac:dyDescent="0.15">
      <c r="A25" s="111">
        <v>61000107</v>
      </c>
      <c r="B25" s="111" t="s">
        <v>320</v>
      </c>
      <c r="C25" s="112">
        <v>1</v>
      </c>
      <c r="D25" s="112" t="s">
        <v>128</v>
      </c>
      <c r="E25" s="113" t="s">
        <v>301</v>
      </c>
      <c r="F25" s="113" t="s">
        <v>323</v>
      </c>
      <c r="G25" s="62" t="str">
        <f t="shared" si="0"/>
        <v>[effect:force_change_block, new_block:jammer, target:normal, count:10, val:0]</v>
      </c>
      <c r="H25" s="62">
        <f t="shared" si="1"/>
        <v>9</v>
      </c>
      <c r="I25" s="62">
        <f t="shared" si="2"/>
        <v>27</v>
      </c>
      <c r="J25" s="62">
        <f t="shared" si="3"/>
        <v>54</v>
      </c>
      <c r="K25" s="62">
        <f t="shared" si="4"/>
        <v>45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5"/>
        <v>[effect:rush, count:1, val:1],[effect:sp_boost, target:unit_hp/unit_heal/or, val:8],[effect:drop_block, block_type:crack_bomb, block_color:block_green, color:block_all, val:12, rate:0.08, turn:2, animation:bomb_influence04]</v>
      </c>
      <c r="N25" s="48" t="str">
        <f t="shared" si="108"/>
        <v>[effect:rush, count:1, val:1],[effect:sp_boost, target:unit_hp/unit_heal/or, val:8],[effect:drop_block, block_type:crack_bomb, block_color:block_green, color:block_all, val:12, rate:0.08, turn:2, animation:bomb_influence04]</v>
      </c>
      <c r="O25" s="62">
        <f t="shared" si="7"/>
        <v>9</v>
      </c>
      <c r="P25" s="62">
        <f t="shared" si="8"/>
        <v>13</v>
      </c>
      <c r="Q25" s="62">
        <f t="shared" si="9"/>
        <v>56</v>
      </c>
      <c r="R25" s="62">
        <f t="shared" si="10"/>
        <v>22</v>
      </c>
      <c r="S25" s="62" t="str">
        <f>IFERROR(VLOOKUP(MID(N25,Q25,R25-Q25),[6]skilldef!$C:$D,2,FALSE),"-") &amp; " / " &amp; IFERROR(VLOOKUP(MID(N25,O25,P25-O25),[6]skilldef!$A:$B,2,FALSE),"-")</f>
        <v>- / 連続攻撃</v>
      </c>
      <c r="T25" s="48" t="str">
        <f t="shared" si="11"/>
        <v>[effect:sp_boost, target:unit_hp/unit_heal/or, val:8],[effect:drop_block, block_type:crack_bomb, block_color:block_green, color:block_all, val:12, rate:0.08, turn:2, animation:bomb_influence04]</v>
      </c>
      <c r="U25" s="62">
        <f t="shared" si="12"/>
        <v>9</v>
      </c>
      <c r="V25" s="62">
        <f t="shared" si="13"/>
        <v>17</v>
      </c>
      <c r="W25" s="62">
        <f t="shared" si="14"/>
        <v>26</v>
      </c>
      <c r="X25" s="62">
        <f t="shared" si="15"/>
        <v>46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80" customHeight="1" x14ac:dyDescent="0.15">
      <c r="A26" s="111">
        <v>61000108</v>
      </c>
      <c r="B26" s="111" t="s">
        <v>321</v>
      </c>
      <c r="C26" s="112">
        <v>1</v>
      </c>
      <c r="D26" s="112" t="s">
        <v>128</v>
      </c>
      <c r="E26" s="113" t="s">
        <v>302</v>
      </c>
      <c r="F26" s="113" t="s">
        <v>324</v>
      </c>
      <c r="G26" s="62" t="str">
        <f t="shared" si="0"/>
        <v>[effect:panel_freeze, target:normal, count:20]</v>
      </c>
      <c r="H26" s="62">
        <f t="shared" si="1"/>
        <v>9</v>
      </c>
      <c r="I26" s="62">
        <f t="shared" si="2"/>
        <v>21</v>
      </c>
      <c r="J26" s="62">
        <f t="shared" si="3"/>
        <v>30</v>
      </c>
      <c r="K26" s="62">
        <f t="shared" si="4"/>
        <v>36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[effect:rush, count:1, val:1],[effect:sp_boost, target:unit_hp/unit_heal/or, val:8],[effect:drop_block, block_type:crack_bomb, block_color:block_green, color:block_all, val:12, rate:0.08, turn:2, animation:bomb_influence04]</v>
      </c>
      <c r="N26" s="48" t="str">
        <f>IFERROR(LEFT(M26,FIND("],",M26)+S40),M26)</f>
        <v>[effect:rush, count:1, val:1],[effect:sp_boost, target:unit_hp/unit_heal/or, val:8],[effect:drop_block, block_type:crack_bomb, block_color:block_green, color:block_all, val:12, rate:0.08, turn:2, animation:bomb_influence04]</v>
      </c>
      <c r="O26" s="62">
        <f t="shared" si="7"/>
        <v>9</v>
      </c>
      <c r="P26" s="62">
        <f t="shared" si="8"/>
        <v>13</v>
      </c>
      <c r="Q26" s="62">
        <f t="shared" si="9"/>
        <v>56</v>
      </c>
      <c r="R26" s="62">
        <f t="shared" si="10"/>
        <v>22</v>
      </c>
      <c r="S26" s="62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11"/>
        <v>[effect:sp_boost, target:unit_hp/unit_heal/or, val:8],[effect:drop_block, block_type:crack_bomb, block_color:block_green, color:block_all, val:12, rate:0.08, turn:2, animation:bomb_influence04]</v>
      </c>
      <c r="U26" s="62">
        <f t="shared" si="12"/>
        <v>9</v>
      </c>
      <c r="V26" s="62">
        <f t="shared" si="13"/>
        <v>17</v>
      </c>
      <c r="W26" s="62">
        <f t="shared" si="14"/>
        <v>26</v>
      </c>
      <c r="X26" s="62">
        <f t="shared" si="15"/>
        <v>46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60" customHeight="1" x14ac:dyDescent="0.15">
      <c r="A27" s="111">
        <v>61000109</v>
      </c>
      <c r="B27" s="111" t="s">
        <v>308</v>
      </c>
      <c r="C27" s="112">
        <v>1</v>
      </c>
      <c r="D27" s="112" t="s">
        <v>128</v>
      </c>
      <c r="E27" s="113" t="s">
        <v>303</v>
      </c>
      <c r="F27" s="113" t="s">
        <v>312</v>
      </c>
      <c r="G27" s="62" t="str">
        <f t="shared" ref="G27:G35" si="109">IFERROR(LEFT(B27,FIND("],",B27)),B27)</f>
        <v>[effect:sp_boost, target:unit_all, val:2]</v>
      </c>
      <c r="H27" s="62">
        <f t="shared" ref="H27:H35" si="110">FIND("effect:",G27)+7</f>
        <v>9</v>
      </c>
      <c r="I27" s="62">
        <f t="shared" ref="I27:I35" si="111">IFERROR(FIND(",",G27),LEN(G27))</f>
        <v>17</v>
      </c>
      <c r="J27" s="62">
        <f t="shared" ref="J27:J35" si="112">FIND("target:",G27)+7</f>
        <v>26</v>
      </c>
      <c r="K27" s="62">
        <f t="shared" ref="K27:K35" si="113">FIND(",",G27,I27+1)</f>
        <v>34</v>
      </c>
      <c r="L27" s="62" t="str">
        <f>IFERROR(VLOOKUP(MID(G27,J27,K27-J27),[6]skilldef!$C:$D,2,FALSE),"-") &amp; " / " &amp; IFERROR(VLOOKUP(MID(G27,H27,I27-H27),[6]skilldef!$A:$B,2,FALSE),"-")</f>
        <v>味方全体に / -</v>
      </c>
      <c r="M27" s="62" t="str">
        <f t="shared" ref="M27:M35" si="114">IFERROR(RIGHT(B27,LEN(B27)-FIND("],",B27)-1),"none")</f>
        <v>[effect:force_change_block, new_block:damage, target:normal, count:10, val:0.05],[effect:rush, count:1, val:1],[effect:sp_boost, target:unit_hp/unit_heal/or, val:8]</v>
      </c>
      <c r="N27" s="48" t="str">
        <f>IFERROR(LEFT(M27,FIND("],",M27)+S41),M27)</f>
        <v>[effect:force_change_block, new_block:damage, target:normal, count:10, val:0.05],[effect:rush, count:1, val:1],[effect:sp_boost, target:unit_hp/unit_heal/or, val:8]</v>
      </c>
      <c r="O27" s="62">
        <f t="shared" ref="O27:O35" si="115">FIND("effect:",N27)+7</f>
        <v>9</v>
      </c>
      <c r="P27" s="62">
        <f t="shared" ref="P27:P35" si="116">IFERROR(FIND(",",N27),LEN(N27))</f>
        <v>27</v>
      </c>
      <c r="Q27" s="62">
        <f t="shared" ref="Q27:Q35" si="117">FIND("target:",N27)+7</f>
        <v>54</v>
      </c>
      <c r="R27" s="62">
        <f t="shared" ref="R27:R35" si="118">FIND(",",N27,P27+1)</f>
        <v>45</v>
      </c>
      <c r="S27" s="62" t="str">
        <f>IFERROR(VLOOKUP(MID(N27,Q27,R27-Q27),[6]skilldef!$C:$D,2,FALSE),"-") &amp; " / " &amp; IFERROR(VLOOKUP(MID(N27,O27,P27-O27),[6]skilldef!$A:$B,2,FALSE),"-")</f>
        <v>- / -</v>
      </c>
      <c r="T27" s="48" t="str">
        <f t="shared" ref="T27:T35" si="119">IFERROR(RIGHT(M27,LEN(M27)-FIND("],",M27)-1),"none")</f>
        <v>[effect:rush, count:1, val:1],[effect:sp_boost, target:unit_hp/unit_heal/or, val:8]</v>
      </c>
      <c r="U27" s="62">
        <f t="shared" ref="U27:U35" si="120">FIND("effect:",T27)+7</f>
        <v>9</v>
      </c>
      <c r="V27" s="62">
        <f t="shared" ref="V27:V35" si="121">IFERROR(FIND(",",T27),LEN(T27))</f>
        <v>13</v>
      </c>
      <c r="W27" s="62">
        <f t="shared" ref="W27:W35" si="122">FIND("target:",T27)+7</f>
        <v>56</v>
      </c>
      <c r="X27" s="62">
        <f t="shared" ref="X27:X35" si="123">FIND(",",T27,V27+1)</f>
        <v>22</v>
      </c>
      <c r="Y27" s="62" t="str">
        <f>IFERROR(VLOOKUP(MID(T27,W27,X27-W27),[6]skilldef!$C:$D,2,FALSE),"-") &amp; " / " &amp; IFERROR(VLOOKUP(MID(T27,U27,V27-U27),[6]skilldef!$A:$B,2,FALSE),"-")</f>
        <v>- / 連続攻撃</v>
      </c>
      <c r="Z27" s="50"/>
      <c r="AA27" s="51"/>
      <c r="AB27" s="50"/>
    </row>
    <row r="28" spans="1:28" ht="53" customHeight="1" x14ac:dyDescent="0.15">
      <c r="A28" s="111">
        <v>61000110</v>
      </c>
      <c r="B28" s="111" t="s">
        <v>309</v>
      </c>
      <c r="C28" s="112">
        <v>1</v>
      </c>
      <c r="D28" s="112" t="s">
        <v>128</v>
      </c>
      <c r="E28" s="113" t="s">
        <v>304</v>
      </c>
      <c r="F28" s="113" t="s">
        <v>313</v>
      </c>
      <c r="G28" s="62" t="str">
        <f t="shared" si="109"/>
        <v>[effect:sp_boost, target:unit_all, val:2]</v>
      </c>
      <c r="H28" s="62">
        <f t="shared" si="110"/>
        <v>9</v>
      </c>
      <c r="I28" s="62">
        <f t="shared" si="111"/>
        <v>17</v>
      </c>
      <c r="J28" s="62">
        <f t="shared" si="112"/>
        <v>26</v>
      </c>
      <c r="K28" s="62">
        <f t="shared" si="113"/>
        <v>34</v>
      </c>
      <c r="L28" s="62" t="str">
        <f>IFERROR(VLOOKUP(MID(G28,J28,K28-J28),[6]skilldef!$C:$D,2,FALSE),"-") &amp; " / " &amp; IFERROR(VLOOKUP(MID(G28,H28,I28-H28),[6]skilldef!$A:$B,2,FALSE),"-")</f>
        <v>味方全体に / -</v>
      </c>
      <c r="M28" s="62" t="str">
        <f t="shared" si="114"/>
        <v>[effect:force_change_block, new_block:time_bomb, target:normal, count:10, val:0.05, min_time_count:1, max_time_count:1],[effect:rush, count:1, val:1],[effect:sp_boost, target:unit_hp/unit_heal/or, val:8]</v>
      </c>
      <c r="N28" s="48" t="str">
        <f>IFERROR(LEFT(M28,FIND("],",M28)+S42),M28)</f>
        <v>[effect:force_change_block, new_block:time_bomb, target:normal, count:10, val:0.05, min_time_count:1, max_time_count:1],[effect:rush, count:1, val:1],[effect:sp_boost, target:unit_hp/unit_heal/or, val:8]</v>
      </c>
      <c r="O28" s="62">
        <f t="shared" si="115"/>
        <v>9</v>
      </c>
      <c r="P28" s="62">
        <f t="shared" si="116"/>
        <v>27</v>
      </c>
      <c r="Q28" s="62">
        <f t="shared" si="117"/>
        <v>57</v>
      </c>
      <c r="R28" s="62">
        <f t="shared" si="118"/>
        <v>48</v>
      </c>
      <c r="S28" s="62" t="str">
        <f>IFERROR(VLOOKUP(MID(N28,Q28,R28-Q28),[6]skilldef!$C:$D,2,FALSE),"-") &amp; " / " &amp; IFERROR(VLOOKUP(MID(N28,O28,P28-O28),[6]skilldef!$A:$B,2,FALSE),"-")</f>
        <v>- / -</v>
      </c>
      <c r="T28" s="48" t="str">
        <f t="shared" si="119"/>
        <v>[effect:rush, count:1, val:1],[effect:sp_boost, target:unit_hp/unit_heal/or, val:8]</v>
      </c>
      <c r="U28" s="62">
        <f t="shared" si="120"/>
        <v>9</v>
      </c>
      <c r="V28" s="62">
        <f t="shared" si="121"/>
        <v>13</v>
      </c>
      <c r="W28" s="62">
        <f t="shared" si="122"/>
        <v>56</v>
      </c>
      <c r="X28" s="62">
        <f t="shared" si="123"/>
        <v>22</v>
      </c>
      <c r="Y28" s="62" t="str">
        <f>IFERROR(VLOOKUP(MID(T28,W28,X28-W28),[6]skilldef!$C:$D,2,FALSE),"-") &amp; " / " &amp; IFERROR(VLOOKUP(MID(T28,U28,V28-U28),[6]skilldef!$A:$B,2,FALSE),"-")</f>
        <v>- / 連続攻撃</v>
      </c>
      <c r="Z28" s="50"/>
      <c r="AA28" s="51"/>
      <c r="AB28" s="50"/>
    </row>
    <row r="29" spans="1:28" ht="57" customHeight="1" x14ac:dyDescent="0.15">
      <c r="A29" s="111">
        <v>61000111</v>
      </c>
      <c r="B29" s="111" t="s">
        <v>310</v>
      </c>
      <c r="C29" s="112">
        <v>1</v>
      </c>
      <c r="D29" s="112" t="s">
        <v>128</v>
      </c>
      <c r="E29" s="113" t="s">
        <v>305</v>
      </c>
      <c r="F29" s="113" t="s">
        <v>314</v>
      </c>
      <c r="G29" s="62" t="str">
        <f t="shared" si="109"/>
        <v>[effect:sp_boost, target:unit_all, val:2]</v>
      </c>
      <c r="H29" s="62">
        <f t="shared" si="110"/>
        <v>9</v>
      </c>
      <c r="I29" s="62">
        <f t="shared" si="111"/>
        <v>17</v>
      </c>
      <c r="J29" s="62">
        <f t="shared" si="112"/>
        <v>26</v>
      </c>
      <c r="K29" s="62">
        <f t="shared" si="113"/>
        <v>34</v>
      </c>
      <c r="L29" s="62" t="str">
        <f>IFERROR(VLOOKUP(MID(G29,J29,K29-J29),[6]skilldef!$C:$D,2,FALSE),"-") &amp; " / " &amp; IFERROR(VLOOKUP(MID(G29,H29,I29-H29),[6]skilldef!$A:$B,2,FALSE),"-")</f>
        <v>味方全体に / -</v>
      </c>
      <c r="M29" s="62" t="str">
        <f t="shared" si="114"/>
        <v>[effect:force_change_block, new_block:jammer, target:normal, count:10, val:0],[effect:rush, count:1, val:1],[effect:sp_boost, target:unit_hp/unit_heal/or, val:8]</v>
      </c>
      <c r="N29" s="48" t="str">
        <f>IFERROR(LEFT(M29,FIND("],",M29)+S43),M29)</f>
        <v>[effect:force_change_block, new_block:jammer, target:normal, count:10, val:0],[effect:rush, count:1, val:1],[effect:sp_boost, target:unit_hp/unit_heal/or, val:8]</v>
      </c>
      <c r="O29" s="62">
        <f t="shared" si="115"/>
        <v>9</v>
      </c>
      <c r="P29" s="62">
        <f t="shared" si="116"/>
        <v>27</v>
      </c>
      <c r="Q29" s="62">
        <f t="shared" si="117"/>
        <v>54</v>
      </c>
      <c r="R29" s="62">
        <f t="shared" si="118"/>
        <v>45</v>
      </c>
      <c r="S29" s="62" t="str">
        <f>IFERROR(VLOOKUP(MID(N29,Q29,R29-Q29),[6]skilldef!$C:$D,2,FALSE),"-") &amp; " / " &amp; IFERROR(VLOOKUP(MID(N29,O29,P29-O29),[6]skilldef!$A:$B,2,FALSE),"-")</f>
        <v>- / -</v>
      </c>
      <c r="T29" s="48" t="str">
        <f t="shared" si="119"/>
        <v>[effect:rush, count:1, val:1],[effect:sp_boost, target:unit_hp/unit_heal/or, val:8]</v>
      </c>
      <c r="U29" s="62">
        <f t="shared" si="120"/>
        <v>9</v>
      </c>
      <c r="V29" s="62">
        <f t="shared" si="121"/>
        <v>13</v>
      </c>
      <c r="W29" s="62">
        <f t="shared" si="122"/>
        <v>56</v>
      </c>
      <c r="X29" s="62">
        <f t="shared" si="123"/>
        <v>22</v>
      </c>
      <c r="Y29" s="62" t="str">
        <f>IFERROR(VLOOKUP(MID(T29,W29,X29-W29),[6]skilldef!$C:$D,2,FALSE),"-") &amp; " / " &amp; IFERROR(VLOOKUP(MID(T29,U29,V29-U29),[6]skilldef!$A:$B,2,FALSE),"-")</f>
        <v>- / 連続攻撃</v>
      </c>
      <c r="Z29" s="50"/>
      <c r="AA29" s="51"/>
      <c r="AB29" s="50"/>
    </row>
    <row r="30" spans="1:28" ht="75" customHeight="1" x14ac:dyDescent="0.15">
      <c r="A30" s="111">
        <v>61000112</v>
      </c>
      <c r="B30" s="111" t="s">
        <v>311</v>
      </c>
      <c r="C30" s="112">
        <v>1</v>
      </c>
      <c r="D30" s="112" t="s">
        <v>128</v>
      </c>
      <c r="E30" s="113" t="s">
        <v>306</v>
      </c>
      <c r="F30" s="113" t="s">
        <v>315</v>
      </c>
      <c r="G30" s="62" t="str">
        <f t="shared" si="109"/>
        <v>[effect:sp_boost, target:unit_all, val:2]</v>
      </c>
      <c r="H30" s="62">
        <f t="shared" si="110"/>
        <v>9</v>
      </c>
      <c r="I30" s="62">
        <f t="shared" si="111"/>
        <v>17</v>
      </c>
      <c r="J30" s="62">
        <f t="shared" si="112"/>
        <v>26</v>
      </c>
      <c r="K30" s="62">
        <f t="shared" si="113"/>
        <v>34</v>
      </c>
      <c r="L30" s="62" t="str">
        <f>IFERROR(VLOOKUP(MID(G30,J30,K30-J30),[6]skilldef!$C:$D,2,FALSE),"-") &amp; " / " &amp; IFERROR(VLOOKUP(MID(G30,H30,I30-H30),[6]skilldef!$A:$B,2,FALSE),"-")</f>
        <v>味方全体に / -</v>
      </c>
      <c r="M30" s="62" t="str">
        <f t="shared" si="114"/>
        <v>[effect:panel_freeze, target:normal, count:20],[effect:rush, count:1, val:1],[effect:sp_boost, target:unit_hp/unit_heal/or, val:8]</v>
      </c>
      <c r="N30" s="48" t="str">
        <f>IFERROR(LEFT(M30,FIND("],",M30)+S36),M30)</f>
        <v>[effect:panel_freeze, target:normal, count:20],[effect:rush, count:1, val:1],[effect:sp_boost, target:unit_hp/unit_heal/or, val:8]</v>
      </c>
      <c r="O30" s="62">
        <f t="shared" si="115"/>
        <v>9</v>
      </c>
      <c r="P30" s="62">
        <f t="shared" si="116"/>
        <v>21</v>
      </c>
      <c r="Q30" s="62">
        <f t="shared" si="117"/>
        <v>30</v>
      </c>
      <c r="R30" s="62">
        <f t="shared" si="118"/>
        <v>36</v>
      </c>
      <c r="S30" s="62" t="str">
        <f>IFERROR(VLOOKUP(MID(N30,Q30,R30-Q30),[6]skilldef!$C:$D,2,FALSE),"-") &amp; " / " &amp; IFERROR(VLOOKUP(MID(N30,O30,P30-O30),[6]skilldef!$A:$B,2,FALSE),"-")</f>
        <v>- / -</v>
      </c>
      <c r="T30" s="48" t="str">
        <f t="shared" si="119"/>
        <v>[effect:rush, count:1, val:1],[effect:sp_boost, target:unit_hp/unit_heal/or, val:8]</v>
      </c>
      <c r="U30" s="62">
        <f t="shared" si="120"/>
        <v>9</v>
      </c>
      <c r="V30" s="62">
        <f t="shared" si="121"/>
        <v>13</v>
      </c>
      <c r="W30" s="62">
        <f t="shared" si="122"/>
        <v>56</v>
      </c>
      <c r="X30" s="62">
        <f t="shared" si="123"/>
        <v>22</v>
      </c>
      <c r="Y30" s="62" t="str">
        <f>IFERROR(VLOOKUP(MID(T30,W30,X30-W30),[6]skilldef!$C:$D,2,FALSE),"-") &amp; " / " &amp; IFERROR(VLOOKUP(MID(T30,U30,V30-U30),[6]skilldef!$A:$B,2,FALSE),"-")</f>
        <v>- / 連続攻撃</v>
      </c>
      <c r="Z30" s="50"/>
      <c r="AA30" s="51"/>
      <c r="AB30" s="50"/>
    </row>
    <row r="31" spans="1:28" ht="65" customHeight="1" x14ac:dyDescent="0.15">
      <c r="A31" s="114">
        <v>61000200</v>
      </c>
      <c r="B31" s="114" t="s">
        <v>325</v>
      </c>
      <c r="C31" s="115">
        <v>1</v>
      </c>
      <c r="D31" s="115" t="s">
        <v>128</v>
      </c>
      <c r="E31" s="116" t="s">
        <v>350</v>
      </c>
      <c r="F31" s="116" t="s">
        <v>288</v>
      </c>
      <c r="G31" s="62" t="str">
        <f t="shared" si="109"/>
        <v>[effect:fix_speed, target:myself, turn:1]</v>
      </c>
      <c r="H31" s="62">
        <f t="shared" si="110"/>
        <v>9</v>
      </c>
      <c r="I31" s="62">
        <f t="shared" si="111"/>
        <v>18</v>
      </c>
      <c r="J31" s="62">
        <f t="shared" si="112"/>
        <v>27</v>
      </c>
      <c r="K31" s="62">
        <f t="shared" si="113"/>
        <v>33</v>
      </c>
      <c r="L31" s="62" t="str">
        <f>IFERROR(VLOOKUP(MID(G31,J31,K31-J31),[6]skilldef!$C:$D,2,FALSE),"-") &amp; " / " &amp; IFERROR(VLOOKUP(MID(G31,H31,I31-H31),[6]skilldef!$A:$B,2,FALSE),"-")</f>
        <v>自分自身に / 行動値設定</v>
      </c>
      <c r="M31" s="62" t="str">
        <f t="shared" si="114"/>
        <v>[effect:tolerance, target:myself, turn:-1, count:-1, tolerance_effect:all, animation:enemy_tolerance],[effect:sp_boost, target:unit_all, val:4],[effect:sp_boost, target:unit_hp/unit_heal/or, val:8],[effect:enhance_unit, target:unit_hp/unit_heal/or, turn:-1, status:attack, val:2000, calc:add]</v>
      </c>
      <c r="N31" s="48" t="str">
        <f>IFERROR(LEFT(M31,FIND("],",M31)+S37),M31)</f>
        <v>[effect:tolerance, target:myself, turn:-1, count:-1, tolerance_effect:all, animation:enemy_tolerance],[effect:sp_boost, target:unit_all, val:4],[effect:sp_boost, target:unit_hp/unit_heal/or, val:8],[effect:enhance_unit, target:unit_hp/unit_heal/or, turn:-1, status:attack, val:2000, calc:add]</v>
      </c>
      <c r="O31" s="62">
        <f t="shared" si="115"/>
        <v>9</v>
      </c>
      <c r="P31" s="62">
        <f t="shared" si="116"/>
        <v>18</v>
      </c>
      <c r="Q31" s="62">
        <f t="shared" si="117"/>
        <v>27</v>
      </c>
      <c r="R31" s="62">
        <f t="shared" si="118"/>
        <v>33</v>
      </c>
      <c r="S31" s="62" t="str">
        <f>IFERROR(VLOOKUP(MID(N31,Q31,R31-Q31),[6]skilldef!$C:$D,2,FALSE),"-") &amp; " / " &amp; IFERROR(VLOOKUP(MID(N31,O31,P31-O31),[6]skilldef!$A:$B,2,FALSE),"-")</f>
        <v>自分自身に / 状態異常耐性</v>
      </c>
      <c r="T31" s="48" t="str">
        <f t="shared" si="119"/>
        <v>[effect:sp_boost, target:unit_all, val:4],[effect:sp_boost, target:unit_hp/unit_heal/or, val:8],[effect:enhance_unit, target:unit_hp/unit_heal/or, turn:-1, status:attack, val:2000, calc:add]</v>
      </c>
      <c r="U31" s="62">
        <f t="shared" si="120"/>
        <v>9</v>
      </c>
      <c r="V31" s="62">
        <f t="shared" si="121"/>
        <v>17</v>
      </c>
      <c r="W31" s="62">
        <f t="shared" si="122"/>
        <v>26</v>
      </c>
      <c r="X31" s="62">
        <f t="shared" si="123"/>
        <v>34</v>
      </c>
      <c r="Y31" s="62" t="str">
        <f>IFERROR(VLOOKUP(MID(T31,W31,X31-W31),[6]skilldef!$C:$D,2,FALSE),"-") &amp; " / " &amp; IFERROR(VLOOKUP(MID(T31,U31,V31-U31),[6]skilldef!$A:$B,2,FALSE),"-")</f>
        <v>味方全体に / -</v>
      </c>
      <c r="Z31" s="50"/>
      <c r="AA31" s="51"/>
      <c r="AB31" s="50"/>
    </row>
    <row r="32" spans="1:28" ht="21" customHeight="1" x14ac:dyDescent="0.15">
      <c r="A32" s="114">
        <v>61000201</v>
      </c>
      <c r="B32" s="114" t="s">
        <v>326</v>
      </c>
      <c r="C32" s="115">
        <v>1</v>
      </c>
      <c r="D32" s="115" t="s">
        <v>128</v>
      </c>
      <c r="E32" s="116" t="s">
        <v>351</v>
      </c>
      <c r="F32" s="116" t="s">
        <v>334</v>
      </c>
      <c r="G32" s="62" t="str">
        <f t="shared" si="109"/>
        <v>[effect:force_change_block, new_block:damage, target:normal, count:15, val:0.05]</v>
      </c>
      <c r="H32" s="62">
        <f t="shared" si="110"/>
        <v>9</v>
      </c>
      <c r="I32" s="62">
        <f t="shared" si="111"/>
        <v>27</v>
      </c>
      <c r="J32" s="62">
        <f t="shared" si="112"/>
        <v>54</v>
      </c>
      <c r="K32" s="62">
        <f t="shared" si="113"/>
        <v>45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114"/>
        <v>[effect:rush, count:1, val:1]</v>
      </c>
      <c r="N32" s="48" t="str">
        <f>IFERROR(LEFT(M32,FIND("],",M32)+S38),M32)</f>
        <v>[effect:rush, count:1, val:1]</v>
      </c>
      <c r="O32" s="62">
        <f t="shared" si="115"/>
        <v>9</v>
      </c>
      <c r="P32" s="62">
        <f t="shared" si="116"/>
        <v>13</v>
      </c>
      <c r="Q32" s="62" t="e">
        <f t="shared" si="117"/>
        <v>#VALUE!</v>
      </c>
      <c r="R32" s="62">
        <f t="shared" si="118"/>
        <v>22</v>
      </c>
      <c r="S32" s="62" t="str">
        <f>IFERROR(VLOOKUP(MID(N32,Q32,R32-Q32),[6]skilldef!$C:$D,2,FALSE),"-") &amp; " / " &amp; IFERROR(VLOOKUP(MID(N32,O32,P32-O32),[6]skilldef!$A:$B,2,FALSE),"-")</f>
        <v>- / 連続攻撃</v>
      </c>
      <c r="T32" s="48" t="str">
        <f t="shared" si="119"/>
        <v>none</v>
      </c>
      <c r="U32" s="62" t="e">
        <f t="shared" si="120"/>
        <v>#VALUE!</v>
      </c>
      <c r="V32" s="62">
        <f t="shared" si="121"/>
        <v>4</v>
      </c>
      <c r="W32" s="62" t="e">
        <f t="shared" si="122"/>
        <v>#VALUE!</v>
      </c>
      <c r="X32" s="62" t="e">
        <f t="shared" si="123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21" customHeight="1" x14ac:dyDescent="0.15">
      <c r="A33" s="114">
        <v>61000202</v>
      </c>
      <c r="B33" s="114" t="s">
        <v>327</v>
      </c>
      <c r="C33" s="115">
        <v>1</v>
      </c>
      <c r="D33" s="115" t="s">
        <v>128</v>
      </c>
      <c r="E33" s="116" t="s">
        <v>352</v>
      </c>
      <c r="F33" s="116" t="s">
        <v>335</v>
      </c>
      <c r="G33" s="62" t="str">
        <f t="shared" si="109"/>
        <v>[effect:force_change_block, new_block:time_bomb, target:normal, count:15, val:0.05, min_time_count:1, max_time_count:1]</v>
      </c>
      <c r="H33" s="62">
        <f t="shared" si="110"/>
        <v>9</v>
      </c>
      <c r="I33" s="62">
        <f t="shared" si="111"/>
        <v>27</v>
      </c>
      <c r="J33" s="62">
        <f t="shared" si="112"/>
        <v>57</v>
      </c>
      <c r="K33" s="62">
        <f t="shared" si="113"/>
        <v>48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114"/>
        <v>[effect:rush, count:1, val:1]</v>
      </c>
      <c r="N33" s="48" t="str">
        <f>IFERROR(LEFT(M33,FIND("],",M33)+S39),M33)</f>
        <v>[effect:rush, count:1, val:1]</v>
      </c>
      <c r="O33" s="62">
        <f t="shared" si="115"/>
        <v>9</v>
      </c>
      <c r="P33" s="62">
        <f t="shared" si="116"/>
        <v>13</v>
      </c>
      <c r="Q33" s="62" t="e">
        <f t="shared" si="117"/>
        <v>#VALUE!</v>
      </c>
      <c r="R33" s="62">
        <f t="shared" si="118"/>
        <v>22</v>
      </c>
      <c r="S33" s="62" t="str">
        <f>IFERROR(VLOOKUP(MID(N33,Q33,R33-Q33),[6]skilldef!$C:$D,2,FALSE),"-") &amp; " / " &amp; IFERROR(VLOOKUP(MID(N33,O33,P33-O33),[6]skilldef!$A:$B,2,FALSE),"-")</f>
        <v>- / 連続攻撃</v>
      </c>
      <c r="T33" s="48" t="str">
        <f t="shared" si="119"/>
        <v>none</v>
      </c>
      <c r="U33" s="62" t="e">
        <f t="shared" si="120"/>
        <v>#VALUE!</v>
      </c>
      <c r="V33" s="62">
        <f t="shared" si="121"/>
        <v>4</v>
      </c>
      <c r="W33" s="62" t="e">
        <f t="shared" si="122"/>
        <v>#VALUE!</v>
      </c>
      <c r="X33" s="62" t="e">
        <f t="shared" si="123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21" customHeight="1" x14ac:dyDescent="0.15">
      <c r="A34" s="114">
        <v>61000203</v>
      </c>
      <c r="B34" s="114" t="s">
        <v>328</v>
      </c>
      <c r="C34" s="115">
        <v>1</v>
      </c>
      <c r="D34" s="115" t="s">
        <v>128</v>
      </c>
      <c r="E34" s="116" t="s">
        <v>353</v>
      </c>
      <c r="F34" s="116" t="s">
        <v>336</v>
      </c>
      <c r="G34" s="62" t="str">
        <f t="shared" si="109"/>
        <v>[effect:force_change_block, new_block:jammer, target:normal, count:15, val:0]</v>
      </c>
      <c r="H34" s="62">
        <f t="shared" si="110"/>
        <v>9</v>
      </c>
      <c r="I34" s="62">
        <f t="shared" si="111"/>
        <v>27</v>
      </c>
      <c r="J34" s="62">
        <f t="shared" si="112"/>
        <v>54</v>
      </c>
      <c r="K34" s="62">
        <f t="shared" si="113"/>
        <v>45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114"/>
        <v>[effect:rush, count:1, val:1]</v>
      </c>
      <c r="N34" s="48" t="str">
        <f>IFERROR(LEFT(M34,FIND("],",M34)+#REF!),M34)</f>
        <v>[effect:rush, count:1, val:1]</v>
      </c>
      <c r="O34" s="62">
        <f t="shared" si="115"/>
        <v>9</v>
      </c>
      <c r="P34" s="62">
        <f t="shared" si="116"/>
        <v>13</v>
      </c>
      <c r="Q34" s="62" t="e">
        <f t="shared" si="117"/>
        <v>#VALUE!</v>
      </c>
      <c r="R34" s="62">
        <f t="shared" si="118"/>
        <v>22</v>
      </c>
      <c r="S34" s="62" t="str">
        <f>IFERROR(VLOOKUP(MID(N34,Q34,R34-Q34),[6]skilldef!$C:$D,2,FALSE),"-") &amp; " / " &amp; IFERROR(VLOOKUP(MID(N34,O34,P34-O34),[6]skilldef!$A:$B,2,FALSE),"-")</f>
        <v>- / 連続攻撃</v>
      </c>
      <c r="T34" s="48" t="str">
        <f t="shared" si="119"/>
        <v>none</v>
      </c>
      <c r="U34" s="62" t="e">
        <f t="shared" si="120"/>
        <v>#VALUE!</v>
      </c>
      <c r="V34" s="62">
        <f t="shared" si="121"/>
        <v>4</v>
      </c>
      <c r="W34" s="62" t="e">
        <f t="shared" si="122"/>
        <v>#VALUE!</v>
      </c>
      <c r="X34" s="62" t="e">
        <f t="shared" si="123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 x14ac:dyDescent="0.15">
      <c r="A35" s="114">
        <v>61000204</v>
      </c>
      <c r="B35" s="114" t="s">
        <v>332</v>
      </c>
      <c r="C35" s="115">
        <v>1</v>
      </c>
      <c r="D35" s="115" t="s">
        <v>128</v>
      </c>
      <c r="E35" s="116" t="s">
        <v>354</v>
      </c>
      <c r="F35" s="116" t="s">
        <v>341</v>
      </c>
      <c r="G35" s="62" t="str">
        <f t="shared" si="109"/>
        <v>[effect:panel_freeze, target:normal, count:30]</v>
      </c>
      <c r="H35" s="62">
        <f t="shared" si="110"/>
        <v>9</v>
      </c>
      <c r="I35" s="62">
        <f t="shared" si="111"/>
        <v>21</v>
      </c>
      <c r="J35" s="62">
        <f t="shared" si="112"/>
        <v>30</v>
      </c>
      <c r="K35" s="62">
        <f t="shared" si="113"/>
        <v>36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114"/>
        <v>[effect:rush, count:1, val:1]</v>
      </c>
      <c r="N35" s="48" t="str">
        <f>IFERROR(LEFT(M35,FIND("],",M35)+#REF!),M35)</f>
        <v>[effect:rush, count:1, val:1]</v>
      </c>
      <c r="O35" s="62">
        <f t="shared" si="115"/>
        <v>9</v>
      </c>
      <c r="P35" s="62">
        <f t="shared" si="116"/>
        <v>13</v>
      </c>
      <c r="Q35" s="62" t="e">
        <f t="shared" si="117"/>
        <v>#VALUE!</v>
      </c>
      <c r="R35" s="62">
        <f t="shared" si="118"/>
        <v>22</v>
      </c>
      <c r="S35" s="62" t="str">
        <f>IFERROR(VLOOKUP(MID(N35,Q35,R35-Q35),[6]skilldef!$C:$D,2,FALSE),"-") &amp; " / " &amp; IFERROR(VLOOKUP(MID(N35,O35,P35-O35),[6]skilldef!$A:$B,2,FALSE),"-")</f>
        <v>- / 連続攻撃</v>
      </c>
      <c r="T35" s="48" t="str">
        <f t="shared" si="119"/>
        <v>none</v>
      </c>
      <c r="U35" s="62" t="e">
        <f t="shared" si="120"/>
        <v>#VALUE!</v>
      </c>
      <c r="V35" s="62">
        <f t="shared" si="121"/>
        <v>4</v>
      </c>
      <c r="W35" s="62" t="e">
        <f t="shared" si="122"/>
        <v>#VALUE!</v>
      </c>
      <c r="X35" s="62" t="e">
        <f t="shared" si="123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</row>
    <row r="36" spans="1:28" ht="60" customHeight="1" x14ac:dyDescent="0.15">
      <c r="A36" s="114">
        <v>61000205</v>
      </c>
      <c r="B36" s="114" t="s">
        <v>329</v>
      </c>
      <c r="C36" s="115">
        <v>1</v>
      </c>
      <c r="D36" s="115" t="s">
        <v>128</v>
      </c>
      <c r="E36" s="116" t="s">
        <v>355</v>
      </c>
      <c r="F36" s="116" t="s">
        <v>337</v>
      </c>
      <c r="G36" s="62" t="str">
        <f t="shared" ref="G36:G39" si="124">IFERROR(LEFT(B36,FIND("],",B36)),B36)</f>
        <v>[effect:sp_boost, target:unit_all, val:2]</v>
      </c>
      <c r="H36" s="62">
        <f t="shared" ref="H36:H39" si="125">FIND("effect:",G36)+7</f>
        <v>9</v>
      </c>
      <c r="I36" s="62">
        <f t="shared" ref="I36:I39" si="126">IFERROR(FIND(",",G36),LEN(G36))</f>
        <v>17</v>
      </c>
      <c r="J36" s="62">
        <f t="shared" ref="J36:J39" si="127">FIND("target:",G36)+7</f>
        <v>26</v>
      </c>
      <c r="K36" s="62">
        <f t="shared" ref="K36:K39" si="128">FIND(",",G36,I36+1)</f>
        <v>34</v>
      </c>
      <c r="L36" s="62" t="str">
        <f>IFERROR(VLOOKUP(MID(G36,J36,K36-J36),[6]skilldef!$C:$D,2,FALSE),"-") &amp; " / " &amp; IFERROR(VLOOKUP(MID(G36,H36,I36-H36),[6]skilldef!$A:$B,2,FALSE),"-")</f>
        <v>味方全体に / -</v>
      </c>
      <c r="M36" s="62" t="str">
        <f t="shared" ref="M36:M39" si="129">IFERROR(RIGHT(B36,LEN(B36)-FIND("],",B36)-1),"none")</f>
        <v>[effect:force_change_block, new_block:damage, target:normal, count:15, val:0.05],[effect:rush, count:1, val:1],[effect:sp_boost, target:unit_hp/unit_heal/or, val:8]</v>
      </c>
      <c r="N36" s="48" t="str">
        <f>IFERROR(LEFT(M36,FIND("],",M36)+S46),M36)</f>
        <v>[effect:force_change_block, new_block:damage, target:normal, count:15, val:0.05],[effect:rush, count:1, val:1],[effect:sp_boost, target:unit_hp/unit_heal/or, val:8]</v>
      </c>
      <c r="O36" s="62">
        <f t="shared" ref="O36:O39" si="130">FIND("effect:",N36)+7</f>
        <v>9</v>
      </c>
      <c r="P36" s="62">
        <f t="shared" ref="P36:P39" si="131">IFERROR(FIND(",",N36),LEN(N36))</f>
        <v>27</v>
      </c>
      <c r="Q36" s="62">
        <f t="shared" ref="Q36:Q39" si="132">FIND("target:",N36)+7</f>
        <v>54</v>
      </c>
      <c r="R36" s="62">
        <f t="shared" ref="R36:R39" si="133">FIND(",",N36,P36+1)</f>
        <v>45</v>
      </c>
      <c r="S36" s="62" t="str">
        <f>IFERROR(VLOOKUP(MID(N36,Q36,R36-Q36),[6]skilldef!$C:$D,2,FALSE),"-") &amp; " / " &amp; IFERROR(VLOOKUP(MID(N36,O36,P36-O36),[6]skilldef!$A:$B,2,FALSE),"-")</f>
        <v>- / -</v>
      </c>
      <c r="T36" s="48" t="str">
        <f t="shared" ref="T36:T39" si="134">IFERROR(RIGHT(M36,LEN(M36)-FIND("],",M36)-1),"none")</f>
        <v>[effect:rush, count:1, val:1],[effect:sp_boost, target:unit_hp/unit_heal/or, val:8]</v>
      </c>
      <c r="U36" s="62">
        <f t="shared" ref="U36:U39" si="135">FIND("effect:",T36)+7</f>
        <v>9</v>
      </c>
      <c r="V36" s="62">
        <f t="shared" ref="V36:V39" si="136">IFERROR(FIND(",",T36),LEN(T36))</f>
        <v>13</v>
      </c>
      <c r="W36" s="62">
        <f t="shared" ref="W36:W39" si="137">FIND("target:",T36)+7</f>
        <v>56</v>
      </c>
      <c r="X36" s="62">
        <f t="shared" ref="X36:X39" si="138">FIND(",",T36,V36+1)</f>
        <v>22</v>
      </c>
      <c r="Y36" s="62" t="str">
        <f>IFERROR(VLOOKUP(MID(T36,W36,X36-W36),[6]skilldef!$C:$D,2,FALSE),"-") &amp; " / " &amp; IFERROR(VLOOKUP(MID(T36,U36,V36-U36),[6]skilldef!$A:$B,2,FALSE),"-")</f>
        <v>- / 連続攻撃</v>
      </c>
      <c r="Z36" s="50"/>
      <c r="AA36" s="51"/>
      <c r="AB36" s="50"/>
    </row>
    <row r="37" spans="1:28" ht="53" customHeight="1" x14ac:dyDescent="0.15">
      <c r="A37" s="114">
        <v>61000206</v>
      </c>
      <c r="B37" s="114" t="s">
        <v>330</v>
      </c>
      <c r="C37" s="115">
        <v>1</v>
      </c>
      <c r="D37" s="115" t="s">
        <v>128</v>
      </c>
      <c r="E37" s="116" t="s">
        <v>356</v>
      </c>
      <c r="F37" s="116" t="s">
        <v>338</v>
      </c>
      <c r="G37" s="62" t="str">
        <f t="shared" si="124"/>
        <v>[effect:sp_boost, target:unit_all, val:2]</v>
      </c>
      <c r="H37" s="62">
        <f t="shared" si="125"/>
        <v>9</v>
      </c>
      <c r="I37" s="62">
        <f t="shared" si="126"/>
        <v>17</v>
      </c>
      <c r="J37" s="62">
        <f t="shared" si="127"/>
        <v>26</v>
      </c>
      <c r="K37" s="62">
        <f t="shared" si="128"/>
        <v>34</v>
      </c>
      <c r="L37" s="62" t="str">
        <f>IFERROR(VLOOKUP(MID(G37,J37,K37-J37),[6]skilldef!$C:$D,2,FALSE),"-") &amp; " / " &amp; IFERROR(VLOOKUP(MID(G37,H37,I37-H37),[6]skilldef!$A:$B,2,FALSE),"-")</f>
        <v>味方全体に / -</v>
      </c>
      <c r="M37" s="62" t="str">
        <f t="shared" si="129"/>
        <v>[effect:force_change_block, new_block:time_bomb, target:normal, count:15, val:0.05, min_time_count:1, max_time_count:1],[effect:rush, count:1, val:1],[effect:sp_boost, target:unit_hp/unit_heal/or, val:8]</v>
      </c>
      <c r="N37" s="48" t="str">
        <f>IFERROR(LEFT(M37,FIND("],",M37)+S47),M37)</f>
        <v>[effect:force_change_block, new_block:time_bomb, target:normal, count:15, val:0.05, min_time_count:1, max_time_count:1],[effect:rush, count:1, val:1],[effect:sp_boost, target:unit_hp/unit_heal/or, val:8]</v>
      </c>
      <c r="O37" s="62">
        <f t="shared" si="130"/>
        <v>9</v>
      </c>
      <c r="P37" s="62">
        <f t="shared" si="131"/>
        <v>27</v>
      </c>
      <c r="Q37" s="62">
        <f t="shared" si="132"/>
        <v>57</v>
      </c>
      <c r="R37" s="62">
        <f t="shared" si="133"/>
        <v>48</v>
      </c>
      <c r="S37" s="62" t="str">
        <f>IFERROR(VLOOKUP(MID(N37,Q37,R37-Q37),[6]skilldef!$C:$D,2,FALSE),"-") &amp; " / " &amp; IFERROR(VLOOKUP(MID(N37,O37,P37-O37),[6]skilldef!$A:$B,2,FALSE),"-")</f>
        <v>- / -</v>
      </c>
      <c r="T37" s="48" t="str">
        <f t="shared" si="134"/>
        <v>[effect:rush, count:1, val:1],[effect:sp_boost, target:unit_hp/unit_heal/or, val:8]</v>
      </c>
      <c r="U37" s="62">
        <f t="shared" si="135"/>
        <v>9</v>
      </c>
      <c r="V37" s="62">
        <f t="shared" si="136"/>
        <v>13</v>
      </c>
      <c r="W37" s="62">
        <f t="shared" si="137"/>
        <v>56</v>
      </c>
      <c r="X37" s="62">
        <f t="shared" si="138"/>
        <v>22</v>
      </c>
      <c r="Y37" s="62" t="str">
        <f>IFERROR(VLOOKUP(MID(T37,W37,X37-W37),[6]skilldef!$C:$D,2,FALSE),"-") &amp; " / " &amp; IFERROR(VLOOKUP(MID(T37,U37,V37-U37),[6]skilldef!$A:$B,2,FALSE),"-")</f>
        <v>- / 連続攻撃</v>
      </c>
      <c r="Z37" s="50"/>
      <c r="AA37" s="51"/>
      <c r="AB37" s="50"/>
    </row>
    <row r="38" spans="1:28" ht="57" customHeight="1" x14ac:dyDescent="0.15">
      <c r="A38" s="114">
        <v>61000207</v>
      </c>
      <c r="B38" s="114" t="s">
        <v>331</v>
      </c>
      <c r="C38" s="115">
        <v>1</v>
      </c>
      <c r="D38" s="115" t="s">
        <v>128</v>
      </c>
      <c r="E38" s="116" t="s">
        <v>357</v>
      </c>
      <c r="F38" s="116" t="s">
        <v>339</v>
      </c>
      <c r="G38" s="62" t="str">
        <f t="shared" si="124"/>
        <v>[effect:sp_boost, target:unit_all, val:2]</v>
      </c>
      <c r="H38" s="62">
        <f t="shared" si="125"/>
        <v>9</v>
      </c>
      <c r="I38" s="62">
        <f t="shared" si="126"/>
        <v>17</v>
      </c>
      <c r="J38" s="62">
        <f t="shared" si="127"/>
        <v>26</v>
      </c>
      <c r="K38" s="62">
        <f t="shared" si="128"/>
        <v>34</v>
      </c>
      <c r="L38" s="62" t="str">
        <f>IFERROR(VLOOKUP(MID(G38,J38,K38-J38),[6]skilldef!$C:$D,2,FALSE),"-") &amp; " / " &amp; IFERROR(VLOOKUP(MID(G38,H38,I38-H38),[6]skilldef!$A:$B,2,FALSE),"-")</f>
        <v>味方全体に / -</v>
      </c>
      <c r="M38" s="62" t="str">
        <f t="shared" si="129"/>
        <v>[effect:force_change_block, new_block:jammer, target:normal, count:15, val:0],[effect:rush, count:1, val:1],[effect:sp_boost, target:unit_hp/unit_heal/or, val:8]</v>
      </c>
      <c r="N38" s="48" t="str">
        <f>IFERROR(LEFT(M38,FIND("],",M38)+S48),M38)</f>
        <v>[effect:force_change_block, new_block:jammer, target:normal, count:15, val:0],[effect:rush, count:1, val:1],[effect:sp_boost, target:unit_hp/unit_heal/or, val:8]</v>
      </c>
      <c r="O38" s="62">
        <f t="shared" si="130"/>
        <v>9</v>
      </c>
      <c r="P38" s="62">
        <f t="shared" si="131"/>
        <v>27</v>
      </c>
      <c r="Q38" s="62">
        <f t="shared" si="132"/>
        <v>54</v>
      </c>
      <c r="R38" s="62">
        <f t="shared" si="133"/>
        <v>45</v>
      </c>
      <c r="S38" s="62" t="str">
        <f>IFERROR(VLOOKUP(MID(N38,Q38,R38-Q38),[6]skilldef!$C:$D,2,FALSE),"-") &amp; " / " &amp; IFERROR(VLOOKUP(MID(N38,O38,P38-O38),[6]skilldef!$A:$B,2,FALSE),"-")</f>
        <v>- / -</v>
      </c>
      <c r="T38" s="48" t="str">
        <f t="shared" si="134"/>
        <v>[effect:rush, count:1, val:1],[effect:sp_boost, target:unit_hp/unit_heal/or, val:8]</v>
      </c>
      <c r="U38" s="62">
        <f t="shared" si="135"/>
        <v>9</v>
      </c>
      <c r="V38" s="62">
        <f t="shared" si="136"/>
        <v>13</v>
      </c>
      <c r="W38" s="62">
        <f t="shared" si="137"/>
        <v>56</v>
      </c>
      <c r="X38" s="62">
        <f t="shared" si="138"/>
        <v>22</v>
      </c>
      <c r="Y38" s="62" t="str">
        <f>IFERROR(VLOOKUP(MID(T38,W38,X38-W38),[6]skilldef!$C:$D,2,FALSE),"-") &amp; " / " &amp; IFERROR(VLOOKUP(MID(T38,U38,V38-U38),[6]skilldef!$A:$B,2,FALSE),"-")</f>
        <v>- / 連続攻撃</v>
      </c>
      <c r="Z38" s="50"/>
      <c r="AA38" s="51"/>
      <c r="AB38" s="50"/>
    </row>
    <row r="39" spans="1:28" ht="75" customHeight="1" x14ac:dyDescent="0.15">
      <c r="A39" s="114">
        <v>61000208</v>
      </c>
      <c r="B39" s="114" t="s">
        <v>333</v>
      </c>
      <c r="C39" s="115">
        <v>1</v>
      </c>
      <c r="D39" s="115" t="s">
        <v>128</v>
      </c>
      <c r="E39" s="116" t="s">
        <v>358</v>
      </c>
      <c r="F39" s="116" t="s">
        <v>340</v>
      </c>
      <c r="G39" s="62" t="str">
        <f t="shared" si="124"/>
        <v>[effect:sp_boost, target:unit_all, val:2]</v>
      </c>
      <c r="H39" s="62">
        <f t="shared" si="125"/>
        <v>9</v>
      </c>
      <c r="I39" s="62">
        <f t="shared" si="126"/>
        <v>17</v>
      </c>
      <c r="J39" s="62">
        <f t="shared" si="127"/>
        <v>26</v>
      </c>
      <c r="K39" s="62">
        <f t="shared" si="128"/>
        <v>34</v>
      </c>
      <c r="L39" s="62" t="str">
        <f>IFERROR(VLOOKUP(MID(G39,J39,K39-J39),[6]skilldef!$C:$D,2,FALSE),"-") &amp; " / " &amp; IFERROR(VLOOKUP(MID(G39,H39,I39-H39),[6]skilldef!$A:$B,2,FALSE),"-")</f>
        <v>味方全体に / -</v>
      </c>
      <c r="M39" s="62" t="str">
        <f t="shared" si="129"/>
        <v>[effect:panel_freeze, target:normal, count:30],[effect:rush, count:1, val:1],[effect:sp_boost, target:unit_hp/unit_heal/or, val:8]</v>
      </c>
      <c r="N39" s="48" t="str">
        <f>IFERROR(LEFT(M39,FIND("],",M39)+S49),M39)</f>
        <v>[effect:panel_freeze, target:normal, count:30],[effect:rush, count:1, val:1],[effect:sp_boost, target:unit_hp/unit_heal/or, val:8]</v>
      </c>
      <c r="O39" s="62">
        <f t="shared" si="130"/>
        <v>9</v>
      </c>
      <c r="P39" s="62">
        <f t="shared" si="131"/>
        <v>21</v>
      </c>
      <c r="Q39" s="62">
        <f t="shared" si="132"/>
        <v>30</v>
      </c>
      <c r="R39" s="62">
        <f t="shared" si="133"/>
        <v>36</v>
      </c>
      <c r="S39" s="62" t="str">
        <f>IFERROR(VLOOKUP(MID(N39,Q39,R39-Q39),[6]skilldef!$C:$D,2,FALSE),"-") &amp; " / " &amp; IFERROR(VLOOKUP(MID(N39,O39,P39-O39),[6]skilldef!$A:$B,2,FALSE),"-")</f>
        <v>- / -</v>
      </c>
      <c r="T39" s="48" t="str">
        <f t="shared" si="134"/>
        <v>[effect:rush, count:1, val:1],[effect:sp_boost, target:unit_hp/unit_heal/or, val:8]</v>
      </c>
      <c r="U39" s="62">
        <f t="shared" si="135"/>
        <v>9</v>
      </c>
      <c r="V39" s="62">
        <f t="shared" si="136"/>
        <v>13</v>
      </c>
      <c r="W39" s="62">
        <f t="shared" si="137"/>
        <v>56</v>
      </c>
      <c r="X39" s="62">
        <f t="shared" si="138"/>
        <v>22</v>
      </c>
      <c r="Y39" s="62" t="str">
        <f>IFERROR(VLOOKUP(MID(T39,W39,X39-W39),[6]skilldef!$C:$D,2,FALSE),"-") &amp; " / " &amp; IFERROR(VLOOKUP(MID(T39,U39,V39-U39),[6]skilldef!$A:$B,2,FALSE),"-")</f>
        <v>- / 連続攻撃</v>
      </c>
      <c r="Z39" s="50"/>
      <c r="AA39" s="51"/>
      <c r="AB39" s="50"/>
    </row>
    <row r="40" spans="1:28" ht="57" customHeight="1" x14ac:dyDescent="0.15">
      <c r="A40" s="114">
        <v>61000209</v>
      </c>
      <c r="B40" s="114" t="s">
        <v>342</v>
      </c>
      <c r="C40" s="115">
        <v>1</v>
      </c>
      <c r="D40" s="115" t="s">
        <v>128</v>
      </c>
      <c r="E40" s="116" t="s">
        <v>359</v>
      </c>
      <c r="F40" s="116" t="s">
        <v>346</v>
      </c>
      <c r="G40" s="62" t="str">
        <f t="shared" ref="G40:G55" si="139">IFERROR(LEFT(B40,FIND("],",B40)),B40)</f>
        <v>[effect:force_change_block, new_block:damage, target:normal, count:15, val:0.05]</v>
      </c>
      <c r="H40" s="62">
        <f t="shared" ref="H40:H55" si="140">FIND("effect:",G40)+7</f>
        <v>9</v>
      </c>
      <c r="I40" s="62">
        <f t="shared" ref="I40:I55" si="141">IFERROR(FIND(",",G40),LEN(G40))</f>
        <v>27</v>
      </c>
      <c r="J40" s="62">
        <f t="shared" ref="J40:J55" si="142">FIND("target:",G40)+7</f>
        <v>54</v>
      </c>
      <c r="K40" s="62">
        <f t="shared" ref="K40:K55" si="143">FIND(",",G40,I40+1)</f>
        <v>45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ref="M40:M55" si="144">IFERROR(RIGHT(B40,LEN(B40)-FIND("],",B40)-1),"none")</f>
        <v>[effect:rush, count:1, val:1],[effect:sp_boost, target:unit_hp/unit_heal/or, val:8],[effect:change_panel_ratio, turn:3, block_type:red, val:0, animation:block_incidence04]</v>
      </c>
      <c r="N40" s="48" t="str">
        <f>IFERROR(LEFT(M40,FIND("],",M40)+#REF!),M40)</f>
        <v>[effect:rush, count:1, val:1],[effect:sp_boost, target:unit_hp/unit_heal/or, val:8],[effect:change_panel_ratio, turn:3, block_type:red, val:0, animation:block_incidence04]</v>
      </c>
      <c r="O40" s="62">
        <f t="shared" ref="O40:O55" si="145">FIND("effect:",N40)+7</f>
        <v>9</v>
      </c>
      <c r="P40" s="62">
        <f t="shared" ref="P40:P55" si="146">IFERROR(FIND(",",N40),LEN(N40))</f>
        <v>13</v>
      </c>
      <c r="Q40" s="62">
        <f t="shared" ref="Q40:Q55" si="147">FIND("target:",N40)+7</f>
        <v>56</v>
      </c>
      <c r="R40" s="62">
        <f t="shared" ref="R40:R55" si="148">FIND(",",N40,P40+1)</f>
        <v>22</v>
      </c>
      <c r="S40" s="62" t="str">
        <f>IFERROR(VLOOKUP(MID(N40,Q40,R40-Q40),[6]skilldef!$C:$D,2,FALSE),"-") &amp; " / " &amp; IFERROR(VLOOKUP(MID(N40,O40,P40-O40),[6]skilldef!$A:$B,2,FALSE),"-")</f>
        <v>- / 連続攻撃</v>
      </c>
      <c r="T40" s="48" t="str">
        <f t="shared" ref="T40:T55" si="149">IFERROR(RIGHT(M40,LEN(M40)-FIND("],",M40)-1),"none")</f>
        <v>[effect:sp_boost, target:unit_hp/unit_heal/or, val:8],[effect:change_panel_ratio, turn:3, block_type:red, val:0, animation:block_incidence04]</v>
      </c>
      <c r="U40" s="62">
        <f t="shared" ref="U40:U55" si="150">FIND("effect:",T40)+7</f>
        <v>9</v>
      </c>
      <c r="V40" s="62">
        <f t="shared" ref="V40:V55" si="151">IFERROR(FIND(",",T40),LEN(T40))</f>
        <v>17</v>
      </c>
      <c r="W40" s="62">
        <f t="shared" ref="W40:W55" si="152">FIND("target:",T40)+7</f>
        <v>26</v>
      </c>
      <c r="X40" s="62">
        <f t="shared" ref="X40:X55" si="153">FIND(",",T40,V40+1)</f>
        <v>46</v>
      </c>
      <c r="Y40" s="62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68" customHeight="1" x14ac:dyDescent="0.15">
      <c r="A41" s="114">
        <v>61000210</v>
      </c>
      <c r="B41" s="114" t="s">
        <v>343</v>
      </c>
      <c r="C41" s="115">
        <v>1</v>
      </c>
      <c r="D41" s="115" t="s">
        <v>128</v>
      </c>
      <c r="E41" s="116" t="s">
        <v>360</v>
      </c>
      <c r="F41" s="116" t="s">
        <v>347</v>
      </c>
      <c r="G41" s="62" t="str">
        <f t="shared" si="139"/>
        <v>[effect:force_change_block, new_block:time_bomb, target:normal, count:15, val:0.05, min_time_count:1, max_time_count:1]</v>
      </c>
      <c r="H41" s="62">
        <f t="shared" si="140"/>
        <v>9</v>
      </c>
      <c r="I41" s="62">
        <f t="shared" si="141"/>
        <v>27</v>
      </c>
      <c r="J41" s="62">
        <f t="shared" si="142"/>
        <v>57</v>
      </c>
      <c r="K41" s="62">
        <f t="shared" si="143"/>
        <v>48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144"/>
        <v>[effect:rush, count:1, val:1],[effect:sp_boost, target:unit_hp/unit_heal/or, val:8],[effect:change_panel_ratio, turn:3, block_type:red, val:0, animation:block_incidence04]</v>
      </c>
      <c r="N41" s="48" t="str">
        <f>IFERROR(LEFT(M41,FIND("],",M41)+#REF!),M41)</f>
        <v>[effect:rush, count:1, val:1],[effect:sp_boost, target:unit_hp/unit_heal/or, val:8],[effect:change_panel_ratio, turn:3, block_type:red, val:0, animation:block_incidence04]</v>
      </c>
      <c r="O41" s="62">
        <f t="shared" si="145"/>
        <v>9</v>
      </c>
      <c r="P41" s="62">
        <f t="shared" si="146"/>
        <v>13</v>
      </c>
      <c r="Q41" s="62">
        <f t="shared" si="147"/>
        <v>56</v>
      </c>
      <c r="R41" s="62">
        <f t="shared" si="148"/>
        <v>22</v>
      </c>
      <c r="S41" s="62" t="str">
        <f>IFERROR(VLOOKUP(MID(N41,Q41,R41-Q41),[6]skilldef!$C:$D,2,FALSE),"-") &amp; " / " &amp; IFERROR(VLOOKUP(MID(N41,O41,P41-O41),[6]skilldef!$A:$B,2,FALSE),"-")</f>
        <v>- / 連続攻撃</v>
      </c>
      <c r="T41" s="48" t="str">
        <f t="shared" si="149"/>
        <v>[effect:sp_boost, target:unit_hp/unit_heal/or, val:8],[effect:change_panel_ratio, turn:3, block_type:red, val:0, animation:block_incidence04]</v>
      </c>
      <c r="U41" s="62">
        <f t="shared" si="150"/>
        <v>9</v>
      </c>
      <c r="V41" s="62">
        <f t="shared" si="151"/>
        <v>17</v>
      </c>
      <c r="W41" s="62">
        <f t="shared" si="152"/>
        <v>26</v>
      </c>
      <c r="X41" s="62">
        <f t="shared" si="153"/>
        <v>46</v>
      </c>
      <c r="Y41" s="62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75" customHeight="1" x14ac:dyDescent="0.15">
      <c r="A42" s="114">
        <v>61000211</v>
      </c>
      <c r="B42" s="114" t="s">
        <v>344</v>
      </c>
      <c r="C42" s="115">
        <v>1</v>
      </c>
      <c r="D42" s="115" t="s">
        <v>128</v>
      </c>
      <c r="E42" s="116" t="s">
        <v>361</v>
      </c>
      <c r="F42" s="116" t="s">
        <v>348</v>
      </c>
      <c r="G42" s="62" t="str">
        <f t="shared" si="139"/>
        <v>[effect:force_change_block, new_block:jammer, target:normal, count:15, val:0]</v>
      </c>
      <c r="H42" s="62">
        <f t="shared" si="140"/>
        <v>9</v>
      </c>
      <c r="I42" s="62">
        <f t="shared" si="141"/>
        <v>27</v>
      </c>
      <c r="J42" s="62">
        <f t="shared" si="142"/>
        <v>54</v>
      </c>
      <c r="K42" s="62">
        <f t="shared" si="143"/>
        <v>45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144"/>
        <v>[effect:rush, count:1, val:1],[effect:sp_boost, target:unit_hp/unit_heal/or, val:8],[effect:change_panel_ratio, turn:3, block_type:red, val:0, animation:block_incidence04]</v>
      </c>
      <c r="N42" s="48" t="str">
        <f>IFERROR(LEFT(M42,FIND("],",M42)+S44),M42)</f>
        <v>[effect:rush, count:1, val:1],[effect:sp_boost, target:unit_hp/unit_heal/or, val:8],[effect:change_panel_ratio, turn:3, block_type:red, val:0, animation:block_incidence04]</v>
      </c>
      <c r="O42" s="62">
        <f t="shared" si="145"/>
        <v>9</v>
      </c>
      <c r="P42" s="62">
        <f t="shared" si="146"/>
        <v>13</v>
      </c>
      <c r="Q42" s="62">
        <f t="shared" si="147"/>
        <v>56</v>
      </c>
      <c r="R42" s="62">
        <f t="shared" si="148"/>
        <v>22</v>
      </c>
      <c r="S42" s="62" t="str">
        <f>IFERROR(VLOOKUP(MID(N42,Q42,R42-Q42),[6]skilldef!$C:$D,2,FALSE),"-") &amp; " / " &amp; IFERROR(VLOOKUP(MID(N42,O42,P42-O42),[6]skilldef!$A:$B,2,FALSE),"-")</f>
        <v>- / 連続攻撃</v>
      </c>
      <c r="T42" s="48" t="str">
        <f t="shared" si="149"/>
        <v>[effect:sp_boost, target:unit_hp/unit_heal/or, val:8],[effect:change_panel_ratio, turn:3, block_type:red, val:0, animation:block_incidence04]</v>
      </c>
      <c r="U42" s="62">
        <f t="shared" si="150"/>
        <v>9</v>
      </c>
      <c r="V42" s="62">
        <f t="shared" si="151"/>
        <v>17</v>
      </c>
      <c r="W42" s="62">
        <f t="shared" si="152"/>
        <v>26</v>
      </c>
      <c r="X42" s="62">
        <f t="shared" si="153"/>
        <v>46</v>
      </c>
      <c r="Y42" s="62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80" customHeight="1" x14ac:dyDescent="0.15">
      <c r="A43" s="114">
        <v>61000212</v>
      </c>
      <c r="B43" s="114" t="s">
        <v>345</v>
      </c>
      <c r="C43" s="115">
        <v>1</v>
      </c>
      <c r="D43" s="115" t="s">
        <v>128</v>
      </c>
      <c r="E43" s="116" t="s">
        <v>362</v>
      </c>
      <c r="F43" s="116" t="s">
        <v>349</v>
      </c>
      <c r="G43" s="62" t="str">
        <f t="shared" si="139"/>
        <v>[effect:panel_freeze, target:normal, count:30]</v>
      </c>
      <c r="H43" s="62">
        <f t="shared" si="140"/>
        <v>9</v>
      </c>
      <c r="I43" s="62">
        <f t="shared" si="141"/>
        <v>21</v>
      </c>
      <c r="J43" s="62">
        <f t="shared" si="142"/>
        <v>30</v>
      </c>
      <c r="K43" s="62">
        <f t="shared" si="143"/>
        <v>36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si="144"/>
        <v>[effect:rush, count:1, val:1],[effect:sp_boost, target:unit_hp/unit_heal/or, val:8],[effect:change_panel_ratio, turn:3, block_type:red, val:0, animation:block_incidence04]</v>
      </c>
      <c r="N43" s="48" t="str">
        <f>IFERROR(LEFT(M43,FIND("],",M43)+S45),M43)</f>
        <v>[effect:rush, count:1, val:1],[effect:sp_boost, target:unit_hp/unit_heal/or, val:8],[effect:change_panel_ratio, turn:3, block_type:red, val:0, animation:block_incidence04]</v>
      </c>
      <c r="O43" s="62">
        <f t="shared" si="145"/>
        <v>9</v>
      </c>
      <c r="P43" s="62">
        <f t="shared" si="146"/>
        <v>13</v>
      </c>
      <c r="Q43" s="62">
        <f t="shared" si="147"/>
        <v>56</v>
      </c>
      <c r="R43" s="62">
        <f t="shared" si="148"/>
        <v>22</v>
      </c>
      <c r="S43" s="62" t="str">
        <f>IFERROR(VLOOKUP(MID(N43,Q43,R43-Q43),[6]skilldef!$C:$D,2,FALSE),"-") &amp; " / " &amp; IFERROR(VLOOKUP(MID(N43,O43,P43-O43),[6]skilldef!$A:$B,2,FALSE),"-")</f>
        <v>- / 連続攻撃</v>
      </c>
      <c r="T43" s="48" t="str">
        <f t="shared" si="149"/>
        <v>[effect:sp_boost, target:unit_hp/unit_heal/or, val:8],[effect:change_panel_ratio, turn:3, block_type:red, val:0, animation:block_incidence04]</v>
      </c>
      <c r="U43" s="62">
        <f t="shared" si="150"/>
        <v>9</v>
      </c>
      <c r="V43" s="62">
        <f t="shared" si="151"/>
        <v>17</v>
      </c>
      <c r="W43" s="62">
        <f t="shared" si="152"/>
        <v>26</v>
      </c>
      <c r="X43" s="62">
        <f t="shared" si="153"/>
        <v>46</v>
      </c>
      <c r="Y43" s="62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57" customHeight="1" x14ac:dyDescent="0.15">
      <c r="A44" s="117">
        <v>61000213</v>
      </c>
      <c r="B44" s="117" t="s">
        <v>363</v>
      </c>
      <c r="C44" s="118">
        <v>1</v>
      </c>
      <c r="D44" s="118" t="s">
        <v>128</v>
      </c>
      <c r="E44" s="119" t="s">
        <v>403</v>
      </c>
      <c r="F44" s="119" t="s">
        <v>367</v>
      </c>
      <c r="G44" s="62" t="str">
        <f t="shared" si="139"/>
        <v>[effect:force_change_block, new_block:damage, target:normal, count:15, val:0.05]</v>
      </c>
      <c r="H44" s="62">
        <f t="shared" si="140"/>
        <v>9</v>
      </c>
      <c r="I44" s="62">
        <f t="shared" si="141"/>
        <v>27</v>
      </c>
      <c r="J44" s="62">
        <f t="shared" si="142"/>
        <v>54</v>
      </c>
      <c r="K44" s="62">
        <f t="shared" si="143"/>
        <v>45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144"/>
        <v>[effect:rush, count:1, val:1],[effect:sp_boost, target:unit_hp/unit_heal/or, val:8],[effect:change_panel_ratio, turn:3, block_type:blue, val:0, animation:block_incidence04]</v>
      </c>
      <c r="N44" s="48" t="str">
        <f>IFERROR(LEFT(M44,FIND("],",M44)+#REF!),M44)</f>
        <v>[effect:rush, count:1, val:1],[effect:sp_boost, target:unit_hp/unit_heal/or, val:8],[effect:change_panel_ratio, turn:3, block_type:blue, val:0, animation:block_incidence04]</v>
      </c>
      <c r="O44" s="62">
        <f t="shared" si="145"/>
        <v>9</v>
      </c>
      <c r="P44" s="62">
        <f t="shared" si="146"/>
        <v>13</v>
      </c>
      <c r="Q44" s="62">
        <f t="shared" si="147"/>
        <v>56</v>
      </c>
      <c r="R44" s="62">
        <f t="shared" si="148"/>
        <v>22</v>
      </c>
      <c r="S44" s="62" t="str">
        <f>IFERROR(VLOOKUP(MID(N44,Q44,R44-Q44),[6]skilldef!$C:$D,2,FALSE),"-") &amp; " / " &amp; IFERROR(VLOOKUP(MID(N44,O44,P44-O44),[6]skilldef!$A:$B,2,FALSE),"-")</f>
        <v>- / 連続攻撃</v>
      </c>
      <c r="T44" s="48" t="str">
        <f t="shared" si="149"/>
        <v>[effect:sp_boost, target:unit_hp/unit_heal/or, val:8],[effect:change_panel_ratio, turn:3, block_type:blue, val:0, animation:block_incidence04]</v>
      </c>
      <c r="U44" s="62">
        <f t="shared" si="150"/>
        <v>9</v>
      </c>
      <c r="V44" s="62">
        <f t="shared" si="151"/>
        <v>17</v>
      </c>
      <c r="W44" s="62">
        <f t="shared" si="152"/>
        <v>26</v>
      </c>
      <c r="X44" s="62">
        <f t="shared" si="153"/>
        <v>46</v>
      </c>
      <c r="Y44" s="62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</row>
    <row r="45" spans="1:28" ht="68" customHeight="1" x14ac:dyDescent="0.15">
      <c r="A45" s="117">
        <v>61000214</v>
      </c>
      <c r="B45" s="117" t="s">
        <v>364</v>
      </c>
      <c r="C45" s="118">
        <v>1</v>
      </c>
      <c r="D45" s="118" t="s">
        <v>128</v>
      </c>
      <c r="E45" s="119" t="s">
        <v>404</v>
      </c>
      <c r="F45" s="119" t="s">
        <v>368</v>
      </c>
      <c r="G45" s="62" t="str">
        <f t="shared" si="139"/>
        <v>[effect:force_change_block, new_block:time_bomb, target:normal, count:15, val:0.05, min_time_count:1, max_time_count:1]</v>
      </c>
      <c r="H45" s="62">
        <f t="shared" si="140"/>
        <v>9</v>
      </c>
      <c r="I45" s="62">
        <f t="shared" si="141"/>
        <v>27</v>
      </c>
      <c r="J45" s="62">
        <f t="shared" si="142"/>
        <v>57</v>
      </c>
      <c r="K45" s="62">
        <f t="shared" si="143"/>
        <v>48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144"/>
        <v>[effect:rush, count:1, val:1],[effect:sp_boost, target:unit_hp/unit_heal/or, val:8],[effect:change_panel_ratio, turn:3, block_type:blue, val:0, animation:block_incidence04]</v>
      </c>
      <c r="N45" s="48" t="str">
        <f>IFERROR(LEFT(M45,FIND("],",M45)+#REF!),M45)</f>
        <v>[effect:rush, count:1, val:1],[effect:sp_boost, target:unit_hp/unit_heal/or, val:8],[effect:change_panel_ratio, turn:3, block_type:blue, val:0, animation:block_incidence04]</v>
      </c>
      <c r="O45" s="62">
        <f t="shared" si="145"/>
        <v>9</v>
      </c>
      <c r="P45" s="62">
        <f t="shared" si="146"/>
        <v>13</v>
      </c>
      <c r="Q45" s="62">
        <f t="shared" si="147"/>
        <v>56</v>
      </c>
      <c r="R45" s="62">
        <f t="shared" si="148"/>
        <v>22</v>
      </c>
      <c r="S45" s="62" t="str">
        <f>IFERROR(VLOOKUP(MID(N45,Q45,R45-Q45),[6]skilldef!$C:$D,2,FALSE),"-") &amp; " / " &amp; IFERROR(VLOOKUP(MID(N45,O45,P45-O45),[6]skilldef!$A:$B,2,FALSE),"-")</f>
        <v>- / 連続攻撃</v>
      </c>
      <c r="T45" s="48" t="str">
        <f t="shared" si="149"/>
        <v>[effect:sp_boost, target:unit_hp/unit_heal/or, val:8],[effect:change_panel_ratio, turn:3, block_type:blue, val:0, animation:block_incidence04]</v>
      </c>
      <c r="U45" s="62">
        <f t="shared" si="150"/>
        <v>9</v>
      </c>
      <c r="V45" s="62">
        <f t="shared" si="151"/>
        <v>17</v>
      </c>
      <c r="W45" s="62">
        <f t="shared" si="152"/>
        <v>26</v>
      </c>
      <c r="X45" s="62">
        <f t="shared" si="153"/>
        <v>46</v>
      </c>
      <c r="Y45" s="62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75" customHeight="1" x14ac:dyDescent="0.15">
      <c r="A46" s="117">
        <v>61000215</v>
      </c>
      <c r="B46" s="117" t="s">
        <v>365</v>
      </c>
      <c r="C46" s="118">
        <v>1</v>
      </c>
      <c r="D46" s="118" t="s">
        <v>128</v>
      </c>
      <c r="E46" s="119" t="s">
        <v>405</v>
      </c>
      <c r="F46" s="119" t="s">
        <v>369</v>
      </c>
      <c r="G46" s="62" t="str">
        <f t="shared" si="139"/>
        <v>[effect:force_change_block, new_block:jammer, target:normal, count:15, val:0]</v>
      </c>
      <c r="H46" s="62">
        <f t="shared" si="140"/>
        <v>9</v>
      </c>
      <c r="I46" s="62">
        <f t="shared" si="141"/>
        <v>27</v>
      </c>
      <c r="J46" s="62">
        <f t="shared" si="142"/>
        <v>54</v>
      </c>
      <c r="K46" s="62">
        <f t="shared" si="143"/>
        <v>45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144"/>
        <v>[effect:rush, count:1, val:1],[effect:sp_boost, target:unit_hp/unit_heal/or, val:8],[effect:change_panel_ratio, turn:3, block_type:blue, val:0, animation:block_incidence04]</v>
      </c>
      <c r="N46" s="48" t="str">
        <f>IFERROR(LEFT(M46,FIND("],",M46)+S48),M46)</f>
        <v>[effect:rush, count:1, val:1],[effect:sp_boost, target:unit_hp/unit_heal/or, val:8],[effect:change_panel_ratio, turn:3, block_type:blue, val:0, animation:block_incidence04]</v>
      </c>
      <c r="O46" s="62">
        <f t="shared" si="145"/>
        <v>9</v>
      </c>
      <c r="P46" s="62">
        <f t="shared" si="146"/>
        <v>13</v>
      </c>
      <c r="Q46" s="62">
        <f t="shared" si="147"/>
        <v>56</v>
      </c>
      <c r="R46" s="62">
        <f t="shared" si="148"/>
        <v>22</v>
      </c>
      <c r="S46" s="62" t="str">
        <f>IFERROR(VLOOKUP(MID(N46,Q46,R46-Q46),[6]skilldef!$C:$D,2,FALSE),"-") &amp; " / " &amp; IFERROR(VLOOKUP(MID(N46,O46,P46-O46),[6]skilldef!$A:$B,2,FALSE),"-")</f>
        <v>- / 連続攻撃</v>
      </c>
      <c r="T46" s="48" t="str">
        <f t="shared" si="149"/>
        <v>[effect:sp_boost, target:unit_hp/unit_heal/or, val:8],[effect:change_panel_ratio, turn:3, block_type:blue, val:0, animation:block_incidence04]</v>
      </c>
      <c r="U46" s="62">
        <f t="shared" si="150"/>
        <v>9</v>
      </c>
      <c r="V46" s="62">
        <f t="shared" si="151"/>
        <v>17</v>
      </c>
      <c r="W46" s="62">
        <f t="shared" si="152"/>
        <v>26</v>
      </c>
      <c r="X46" s="62">
        <f t="shared" si="153"/>
        <v>46</v>
      </c>
      <c r="Y46" s="62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</row>
    <row r="47" spans="1:28" ht="80" customHeight="1" x14ac:dyDescent="0.15">
      <c r="A47" s="117">
        <v>61000216</v>
      </c>
      <c r="B47" s="117" t="s">
        <v>366</v>
      </c>
      <c r="C47" s="118">
        <v>1</v>
      </c>
      <c r="D47" s="118" t="s">
        <v>128</v>
      </c>
      <c r="E47" s="119" t="s">
        <v>406</v>
      </c>
      <c r="F47" s="119" t="s">
        <v>370</v>
      </c>
      <c r="G47" s="62" t="str">
        <f t="shared" si="139"/>
        <v>[effect:panel_freeze, target:normal, count:30]</v>
      </c>
      <c r="H47" s="62">
        <f t="shared" si="140"/>
        <v>9</v>
      </c>
      <c r="I47" s="62">
        <f t="shared" si="141"/>
        <v>21</v>
      </c>
      <c r="J47" s="62">
        <f t="shared" si="142"/>
        <v>30</v>
      </c>
      <c r="K47" s="62">
        <f t="shared" si="143"/>
        <v>36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144"/>
        <v>[effect:rush, count:1, val:1],[effect:sp_boost, target:unit_hp/unit_heal/or, val:8],[effect:change_panel_ratio, turn:3, block_type:blue, val:0, animation:block_incidence04]</v>
      </c>
      <c r="N47" s="48" t="str">
        <f>IFERROR(LEFT(M47,FIND("],",M47)+S49),M47)</f>
        <v>[effect:rush, count:1, val:1],[effect:sp_boost, target:unit_hp/unit_heal/or, val:8],[effect:change_panel_ratio, turn:3, block_type:blue, val:0, animation:block_incidence04]</v>
      </c>
      <c r="O47" s="62">
        <f t="shared" si="145"/>
        <v>9</v>
      </c>
      <c r="P47" s="62">
        <f t="shared" si="146"/>
        <v>13</v>
      </c>
      <c r="Q47" s="62">
        <f t="shared" si="147"/>
        <v>56</v>
      </c>
      <c r="R47" s="62">
        <f t="shared" si="148"/>
        <v>22</v>
      </c>
      <c r="S47" s="62" t="str">
        <f>IFERROR(VLOOKUP(MID(N47,Q47,R47-Q47),[6]skilldef!$C:$D,2,FALSE),"-") &amp; " / " &amp; IFERROR(VLOOKUP(MID(N47,O47,P47-O47),[6]skilldef!$A:$B,2,FALSE),"-")</f>
        <v>- / 連続攻撃</v>
      </c>
      <c r="T47" s="48" t="str">
        <f t="shared" si="149"/>
        <v>[effect:sp_boost, target:unit_hp/unit_heal/or, val:8],[effect:change_panel_ratio, turn:3, block_type:blue, val:0, animation:block_incidence04]</v>
      </c>
      <c r="U47" s="62">
        <f t="shared" si="150"/>
        <v>9</v>
      </c>
      <c r="V47" s="62">
        <f t="shared" si="151"/>
        <v>17</v>
      </c>
      <c r="W47" s="62">
        <f t="shared" si="152"/>
        <v>26</v>
      </c>
      <c r="X47" s="62">
        <f t="shared" si="153"/>
        <v>46</v>
      </c>
      <c r="Y47" s="62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</row>
    <row r="48" spans="1:28" ht="57" customHeight="1" x14ac:dyDescent="0.15">
      <c r="A48" s="120">
        <v>61000217</v>
      </c>
      <c r="B48" s="120" t="s">
        <v>371</v>
      </c>
      <c r="C48" s="121">
        <v>1</v>
      </c>
      <c r="D48" s="121" t="s">
        <v>128</v>
      </c>
      <c r="E48" s="122" t="s">
        <v>407</v>
      </c>
      <c r="F48" s="122" t="s">
        <v>375</v>
      </c>
      <c r="G48" s="62" t="str">
        <f t="shared" si="139"/>
        <v>[effect:force_change_block, new_block:damage, target:normal, count:15, val:0.05]</v>
      </c>
      <c r="H48" s="62">
        <f t="shared" si="140"/>
        <v>9</v>
      </c>
      <c r="I48" s="62">
        <f t="shared" si="141"/>
        <v>27</v>
      </c>
      <c r="J48" s="62">
        <f t="shared" si="142"/>
        <v>54</v>
      </c>
      <c r="K48" s="62">
        <f t="shared" si="143"/>
        <v>45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144"/>
        <v>[effect:rush, count:1, val:1],[effect:sp_boost, target:unit_hp/unit_heal/or, val:8],[effect:change_panel_ratio, turn:3, block_type:yellow, val:0, animation:block_incidence04]</v>
      </c>
      <c r="N48" s="48" t="str">
        <f>IFERROR(LEFT(M48,FIND("],",M48)+#REF!),M48)</f>
        <v>[effect:rush, count:1, val:1],[effect:sp_boost, target:unit_hp/unit_heal/or, val:8],[effect:change_panel_ratio, turn:3, block_type:yellow, val:0, animation:block_incidence04]</v>
      </c>
      <c r="O48" s="62">
        <f t="shared" si="145"/>
        <v>9</v>
      </c>
      <c r="P48" s="62">
        <f t="shared" si="146"/>
        <v>13</v>
      </c>
      <c r="Q48" s="62">
        <f t="shared" si="147"/>
        <v>56</v>
      </c>
      <c r="R48" s="62">
        <f t="shared" si="148"/>
        <v>22</v>
      </c>
      <c r="S48" s="62" t="str">
        <f>IFERROR(VLOOKUP(MID(N48,Q48,R48-Q48),[6]skilldef!$C:$D,2,FALSE),"-") &amp; " / " &amp; IFERROR(VLOOKUP(MID(N48,O48,P48-O48),[6]skilldef!$A:$B,2,FALSE),"-")</f>
        <v>- / 連続攻撃</v>
      </c>
      <c r="T48" s="48" t="str">
        <f t="shared" si="149"/>
        <v>[effect:sp_boost, target:unit_hp/unit_heal/or, val:8],[effect:change_panel_ratio, turn:3, block_type:yellow, val:0, animation:block_incidence04]</v>
      </c>
      <c r="U48" s="62">
        <f t="shared" si="150"/>
        <v>9</v>
      </c>
      <c r="V48" s="62">
        <f t="shared" si="151"/>
        <v>17</v>
      </c>
      <c r="W48" s="62">
        <f t="shared" si="152"/>
        <v>26</v>
      </c>
      <c r="X48" s="62">
        <f t="shared" si="153"/>
        <v>46</v>
      </c>
      <c r="Y48" s="62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</row>
    <row r="49" spans="1:28" ht="68" customHeight="1" x14ac:dyDescent="0.15">
      <c r="A49" s="120">
        <v>61000218</v>
      </c>
      <c r="B49" s="120" t="s">
        <v>372</v>
      </c>
      <c r="C49" s="121">
        <v>1</v>
      </c>
      <c r="D49" s="121" t="s">
        <v>128</v>
      </c>
      <c r="E49" s="122" t="s">
        <v>408</v>
      </c>
      <c r="F49" s="122" t="s">
        <v>376</v>
      </c>
      <c r="G49" s="62" t="str">
        <f t="shared" si="139"/>
        <v>[effect:force_change_block, new_block:time_bomb, target:normal, count:15, val:0.05, min_time_count:1, max_time_count:1]</v>
      </c>
      <c r="H49" s="62">
        <f t="shared" si="140"/>
        <v>9</v>
      </c>
      <c r="I49" s="62">
        <f t="shared" si="141"/>
        <v>27</v>
      </c>
      <c r="J49" s="62">
        <f t="shared" si="142"/>
        <v>57</v>
      </c>
      <c r="K49" s="62">
        <f t="shared" si="143"/>
        <v>48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144"/>
        <v>[effect:rush, count:1, val:1],[effect:sp_boost, target:unit_hp/unit_heal/or, val:8],[effect:change_panel_ratio, turn:3, block_type:yellow, val:0, animation:block_incidence04]</v>
      </c>
      <c r="N49" s="48" t="str">
        <f>IFERROR(LEFT(M49,FIND("],",M49)+#REF!),M49)</f>
        <v>[effect:rush, count:1, val:1],[effect:sp_boost, target:unit_hp/unit_heal/or, val:8],[effect:change_panel_ratio, turn:3, block_type:yellow, val:0, animation:block_incidence04]</v>
      </c>
      <c r="O49" s="62">
        <f t="shared" si="145"/>
        <v>9</v>
      </c>
      <c r="P49" s="62">
        <f t="shared" si="146"/>
        <v>13</v>
      </c>
      <c r="Q49" s="62">
        <f t="shared" si="147"/>
        <v>56</v>
      </c>
      <c r="R49" s="62">
        <f t="shared" si="148"/>
        <v>22</v>
      </c>
      <c r="S49" s="62" t="str">
        <f>IFERROR(VLOOKUP(MID(N49,Q49,R49-Q49),[6]skilldef!$C:$D,2,FALSE),"-") &amp; " / " &amp; IFERROR(VLOOKUP(MID(N49,O49,P49-O49),[6]skilldef!$A:$B,2,FALSE),"-")</f>
        <v>- / 連続攻撃</v>
      </c>
      <c r="T49" s="48" t="str">
        <f t="shared" si="149"/>
        <v>[effect:sp_boost, target:unit_hp/unit_heal/or, val:8],[effect:change_panel_ratio, turn:3, block_type:yellow, val:0, animation:block_incidence04]</v>
      </c>
      <c r="U49" s="62">
        <f t="shared" si="150"/>
        <v>9</v>
      </c>
      <c r="V49" s="62">
        <f t="shared" si="151"/>
        <v>17</v>
      </c>
      <c r="W49" s="62">
        <f t="shared" si="152"/>
        <v>26</v>
      </c>
      <c r="X49" s="62">
        <f t="shared" si="153"/>
        <v>46</v>
      </c>
      <c r="Y49" s="62" t="str">
        <f>IFERROR(VLOOKUP(MID(T49,W49,X49-W49),[6]skilldef!$C:$D,2,FALSE),"-") &amp; " / " &amp; IFERROR(VLOOKUP(MID(T49,U49,V49-U49),[6]skilldef!$A:$B,2,FALSE),"-")</f>
        <v>- / -</v>
      </c>
      <c r="Z49" s="50"/>
      <c r="AA49" s="51"/>
      <c r="AB49" s="50"/>
    </row>
    <row r="50" spans="1:28" ht="75" customHeight="1" x14ac:dyDescent="0.15">
      <c r="A50" s="120">
        <v>61000219</v>
      </c>
      <c r="B50" s="120" t="s">
        <v>373</v>
      </c>
      <c r="C50" s="121">
        <v>1</v>
      </c>
      <c r="D50" s="121" t="s">
        <v>128</v>
      </c>
      <c r="E50" s="122" t="s">
        <v>409</v>
      </c>
      <c r="F50" s="122" t="s">
        <v>377</v>
      </c>
      <c r="G50" s="62" t="str">
        <f t="shared" si="139"/>
        <v>[effect:force_change_block, new_block:jammer, target:normal, count:15, val:0]</v>
      </c>
      <c r="H50" s="62">
        <f t="shared" si="140"/>
        <v>9</v>
      </c>
      <c r="I50" s="62">
        <f t="shared" si="141"/>
        <v>27</v>
      </c>
      <c r="J50" s="62">
        <f t="shared" si="142"/>
        <v>54</v>
      </c>
      <c r="K50" s="62">
        <f t="shared" si="143"/>
        <v>45</v>
      </c>
      <c r="L50" s="62" t="str">
        <f>IFERROR(VLOOKUP(MID(G50,J50,K50-J50),[6]skilldef!$C:$D,2,FALSE),"-") &amp; " / " &amp; IFERROR(VLOOKUP(MID(G50,H50,I50-H50),[6]skilldef!$A:$B,2,FALSE),"-")</f>
        <v>- / -</v>
      </c>
      <c r="M50" s="62" t="str">
        <f t="shared" si="144"/>
        <v>[effect:rush, count:1, val:1],[effect:sp_boost, target:unit_hp/unit_heal/or, val:8],[effect:change_panel_ratio, turn:3, block_type:yellow, val:0, animation:block_incidence04]</v>
      </c>
      <c r="N50" s="48" t="str">
        <f>IFERROR(LEFT(M50,FIND("],",M50)+S52),M50)</f>
        <v>[effect:rush, count:1, val:1],[effect:sp_boost, target:unit_hp/unit_heal/or, val:8],[effect:change_panel_ratio, turn:3, block_type:yellow, val:0, animation:block_incidence04]</v>
      </c>
      <c r="O50" s="62">
        <f t="shared" si="145"/>
        <v>9</v>
      </c>
      <c r="P50" s="62">
        <f t="shared" si="146"/>
        <v>13</v>
      </c>
      <c r="Q50" s="62">
        <f t="shared" si="147"/>
        <v>56</v>
      </c>
      <c r="R50" s="62">
        <f t="shared" si="148"/>
        <v>22</v>
      </c>
      <c r="S50" s="62" t="str">
        <f>IFERROR(VLOOKUP(MID(N50,Q50,R50-Q50),[6]skilldef!$C:$D,2,FALSE),"-") &amp; " / " &amp; IFERROR(VLOOKUP(MID(N50,O50,P50-O50),[6]skilldef!$A:$B,2,FALSE),"-")</f>
        <v>- / 連続攻撃</v>
      </c>
      <c r="T50" s="48" t="str">
        <f t="shared" si="149"/>
        <v>[effect:sp_boost, target:unit_hp/unit_heal/or, val:8],[effect:change_panel_ratio, turn:3, block_type:yellow, val:0, animation:block_incidence04]</v>
      </c>
      <c r="U50" s="62">
        <f t="shared" si="150"/>
        <v>9</v>
      </c>
      <c r="V50" s="62">
        <f t="shared" si="151"/>
        <v>17</v>
      </c>
      <c r="W50" s="62">
        <f t="shared" si="152"/>
        <v>26</v>
      </c>
      <c r="X50" s="62">
        <f t="shared" si="153"/>
        <v>46</v>
      </c>
      <c r="Y50" s="62" t="str">
        <f>IFERROR(VLOOKUP(MID(T50,W50,X50-W50),[6]skilldef!$C:$D,2,FALSE),"-") &amp; " / " &amp; IFERROR(VLOOKUP(MID(T50,U50,V50-U50),[6]skilldef!$A:$B,2,FALSE),"-")</f>
        <v>- / -</v>
      </c>
      <c r="Z50" s="50"/>
      <c r="AA50" s="51"/>
      <c r="AB50" s="50"/>
    </row>
    <row r="51" spans="1:28" ht="80" customHeight="1" x14ac:dyDescent="0.15">
      <c r="A51" s="120">
        <v>61000220</v>
      </c>
      <c r="B51" s="120" t="s">
        <v>374</v>
      </c>
      <c r="C51" s="121">
        <v>1</v>
      </c>
      <c r="D51" s="121" t="s">
        <v>128</v>
      </c>
      <c r="E51" s="122" t="s">
        <v>410</v>
      </c>
      <c r="F51" s="122" t="s">
        <v>378</v>
      </c>
      <c r="G51" s="62" t="str">
        <f t="shared" si="139"/>
        <v>[effect:panel_freeze, target:normal, count:30]</v>
      </c>
      <c r="H51" s="62">
        <f t="shared" si="140"/>
        <v>9</v>
      </c>
      <c r="I51" s="62">
        <f t="shared" si="141"/>
        <v>21</v>
      </c>
      <c r="J51" s="62">
        <f t="shared" si="142"/>
        <v>30</v>
      </c>
      <c r="K51" s="62">
        <f t="shared" si="143"/>
        <v>36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144"/>
        <v>[effect:rush, count:1, val:1],[effect:sp_boost, target:unit_hp/unit_heal/or, val:8],[effect:change_panel_ratio, turn:3, block_type:yellow, val:0, animation:block_incidence04]</v>
      </c>
      <c r="N51" s="48" t="str">
        <f>IFERROR(LEFT(M51,FIND("],",M51)+S53),M51)</f>
        <v>[effect:rush, count:1, val:1],[effect:sp_boost, target:unit_hp/unit_heal/or, val:8],[effect:change_panel_ratio, turn:3, block_type:yellow, val:0, animation:block_incidence04]</v>
      </c>
      <c r="O51" s="62">
        <f t="shared" si="145"/>
        <v>9</v>
      </c>
      <c r="P51" s="62">
        <f t="shared" si="146"/>
        <v>13</v>
      </c>
      <c r="Q51" s="62">
        <f t="shared" si="147"/>
        <v>56</v>
      </c>
      <c r="R51" s="62">
        <f t="shared" si="148"/>
        <v>22</v>
      </c>
      <c r="S51" s="62" t="str">
        <f>IFERROR(VLOOKUP(MID(N51,Q51,R51-Q51),[6]skilldef!$C:$D,2,FALSE),"-") &amp; " / " &amp; IFERROR(VLOOKUP(MID(N51,O51,P51-O51),[6]skilldef!$A:$B,2,FALSE),"-")</f>
        <v>- / 連続攻撃</v>
      </c>
      <c r="T51" s="48" t="str">
        <f t="shared" si="149"/>
        <v>[effect:sp_boost, target:unit_hp/unit_heal/or, val:8],[effect:change_panel_ratio, turn:3, block_type:yellow, val:0, animation:block_incidence04]</v>
      </c>
      <c r="U51" s="62">
        <f t="shared" si="150"/>
        <v>9</v>
      </c>
      <c r="V51" s="62">
        <f t="shared" si="151"/>
        <v>17</v>
      </c>
      <c r="W51" s="62">
        <f t="shared" si="152"/>
        <v>26</v>
      </c>
      <c r="X51" s="62">
        <f t="shared" si="153"/>
        <v>46</v>
      </c>
      <c r="Y51" s="62" t="str">
        <f>IFERROR(VLOOKUP(MID(T51,W51,X51-W51),[6]skilldef!$C:$D,2,FALSE),"-") &amp; " / " &amp; IFERROR(VLOOKUP(MID(T51,U51,V51-U51),[6]skilldef!$A:$B,2,FALSE),"-")</f>
        <v>- / -</v>
      </c>
      <c r="Z51" s="50"/>
      <c r="AA51" s="51"/>
      <c r="AB51" s="50"/>
    </row>
    <row r="52" spans="1:28" ht="57" customHeight="1" x14ac:dyDescent="0.15">
      <c r="A52" s="123">
        <v>61000221</v>
      </c>
      <c r="B52" s="123" t="s">
        <v>379</v>
      </c>
      <c r="C52" s="124">
        <v>1</v>
      </c>
      <c r="D52" s="124" t="s">
        <v>128</v>
      </c>
      <c r="E52" s="125" t="s">
        <v>411</v>
      </c>
      <c r="F52" s="125" t="s">
        <v>383</v>
      </c>
      <c r="G52" s="62" t="str">
        <f t="shared" si="139"/>
        <v>[effect:force_change_block, new_block:damage, target:normal, count:15, val:0.05]</v>
      </c>
      <c r="H52" s="62">
        <f t="shared" si="140"/>
        <v>9</v>
      </c>
      <c r="I52" s="62">
        <f t="shared" si="141"/>
        <v>27</v>
      </c>
      <c r="J52" s="62">
        <f t="shared" si="142"/>
        <v>54</v>
      </c>
      <c r="K52" s="62">
        <f t="shared" si="143"/>
        <v>45</v>
      </c>
      <c r="L52" s="62" t="str">
        <f>IFERROR(VLOOKUP(MID(G52,J52,K52-J52),[6]skilldef!$C:$D,2,FALSE),"-") &amp; " / " &amp; IFERROR(VLOOKUP(MID(G52,H52,I52-H52),[6]skilldef!$A:$B,2,FALSE),"-")</f>
        <v>- / -</v>
      </c>
      <c r="M52" s="62" t="str">
        <f t="shared" si="144"/>
        <v>[effect:rush, count:1, val:1],[effect:sp_boost, target:unit_hp/unit_heal/or, val:8],[effect:change_panel_ratio, turn:3, block_type:green, val:0, animation:block_incidence04]</v>
      </c>
      <c r="N52" s="48" t="str">
        <f>IFERROR(LEFT(M52,FIND("],",M52)+#REF!),M52)</f>
        <v>[effect:rush, count:1, val:1],[effect:sp_boost, target:unit_hp/unit_heal/or, val:8],[effect:change_panel_ratio, turn:3, block_type:green, val:0, animation:block_incidence04]</v>
      </c>
      <c r="O52" s="62">
        <f t="shared" si="145"/>
        <v>9</v>
      </c>
      <c r="P52" s="62">
        <f t="shared" si="146"/>
        <v>13</v>
      </c>
      <c r="Q52" s="62">
        <f t="shared" si="147"/>
        <v>56</v>
      </c>
      <c r="R52" s="62">
        <f t="shared" si="148"/>
        <v>22</v>
      </c>
      <c r="S52" s="62" t="str">
        <f>IFERROR(VLOOKUP(MID(N52,Q52,R52-Q52),[6]skilldef!$C:$D,2,FALSE),"-") &amp; " / " &amp; IFERROR(VLOOKUP(MID(N52,O52,P52-O52),[6]skilldef!$A:$B,2,FALSE),"-")</f>
        <v>- / 連続攻撃</v>
      </c>
      <c r="T52" s="48" t="str">
        <f t="shared" si="149"/>
        <v>[effect:sp_boost, target:unit_hp/unit_heal/or, val:8],[effect:change_panel_ratio, turn:3, block_type:green, val:0, animation:block_incidence04]</v>
      </c>
      <c r="U52" s="62">
        <f t="shared" si="150"/>
        <v>9</v>
      </c>
      <c r="V52" s="62">
        <f t="shared" si="151"/>
        <v>17</v>
      </c>
      <c r="W52" s="62">
        <f t="shared" si="152"/>
        <v>26</v>
      </c>
      <c r="X52" s="62">
        <f t="shared" si="153"/>
        <v>46</v>
      </c>
      <c r="Y52" s="62" t="str">
        <f>IFERROR(VLOOKUP(MID(T52,W52,X52-W52),[6]skilldef!$C:$D,2,FALSE),"-") &amp; " / " &amp; IFERROR(VLOOKUP(MID(T52,U52,V52-U52),[6]skilldef!$A:$B,2,FALSE),"-")</f>
        <v>- / -</v>
      </c>
      <c r="Z52" s="50"/>
      <c r="AA52" s="51"/>
      <c r="AB52" s="50"/>
    </row>
    <row r="53" spans="1:28" ht="68" customHeight="1" x14ac:dyDescent="0.15">
      <c r="A53" s="123">
        <v>61000222</v>
      </c>
      <c r="B53" s="123" t="s">
        <v>380</v>
      </c>
      <c r="C53" s="124">
        <v>1</v>
      </c>
      <c r="D53" s="124" t="s">
        <v>128</v>
      </c>
      <c r="E53" s="125" t="s">
        <v>412</v>
      </c>
      <c r="F53" s="125" t="s">
        <v>385</v>
      </c>
      <c r="G53" s="62" t="str">
        <f t="shared" si="139"/>
        <v>[effect:force_change_block, new_block:time_bomb, target:normal, count:15, val:0.05, min_time_count:1, max_time_count:1]</v>
      </c>
      <c r="H53" s="62">
        <f t="shared" si="140"/>
        <v>9</v>
      </c>
      <c r="I53" s="62">
        <f t="shared" si="141"/>
        <v>27</v>
      </c>
      <c r="J53" s="62">
        <f t="shared" si="142"/>
        <v>57</v>
      </c>
      <c r="K53" s="62">
        <f t="shared" si="143"/>
        <v>48</v>
      </c>
      <c r="L53" s="62" t="str">
        <f>IFERROR(VLOOKUP(MID(G53,J53,K53-J53),[6]skilldef!$C:$D,2,FALSE),"-") &amp; " / " &amp; IFERROR(VLOOKUP(MID(G53,H53,I53-H53),[6]skilldef!$A:$B,2,FALSE),"-")</f>
        <v>- / -</v>
      </c>
      <c r="M53" s="62" t="str">
        <f t="shared" si="144"/>
        <v>[effect:rush, count:1, val:1],[effect:sp_boost, target:unit_hp/unit_heal/or, val:8],[effect:change_panel_ratio, turn:3, block_type:green, val:0, animation:block_incidence04]</v>
      </c>
      <c r="N53" s="48" t="str">
        <f>IFERROR(LEFT(M53,FIND("],",M53)+#REF!),M53)</f>
        <v>[effect:rush, count:1, val:1],[effect:sp_boost, target:unit_hp/unit_heal/or, val:8],[effect:change_panel_ratio, turn:3, block_type:green, val:0, animation:block_incidence04]</v>
      </c>
      <c r="O53" s="62">
        <f t="shared" si="145"/>
        <v>9</v>
      </c>
      <c r="P53" s="62">
        <f t="shared" si="146"/>
        <v>13</v>
      </c>
      <c r="Q53" s="62">
        <f t="shared" si="147"/>
        <v>56</v>
      </c>
      <c r="R53" s="62">
        <f t="shared" si="148"/>
        <v>22</v>
      </c>
      <c r="S53" s="62" t="str">
        <f>IFERROR(VLOOKUP(MID(N53,Q53,R53-Q53),[6]skilldef!$C:$D,2,FALSE),"-") &amp; " / " &amp; IFERROR(VLOOKUP(MID(N53,O53,P53-O53),[6]skilldef!$A:$B,2,FALSE),"-")</f>
        <v>- / 連続攻撃</v>
      </c>
      <c r="T53" s="48" t="str">
        <f t="shared" si="149"/>
        <v>[effect:sp_boost, target:unit_hp/unit_heal/or, val:8],[effect:change_panel_ratio, turn:3, block_type:green, val:0, animation:block_incidence04]</v>
      </c>
      <c r="U53" s="62">
        <f t="shared" si="150"/>
        <v>9</v>
      </c>
      <c r="V53" s="62">
        <f t="shared" si="151"/>
        <v>17</v>
      </c>
      <c r="W53" s="62">
        <f t="shared" si="152"/>
        <v>26</v>
      </c>
      <c r="X53" s="62">
        <f t="shared" si="153"/>
        <v>46</v>
      </c>
      <c r="Y53" s="62" t="str">
        <f>IFERROR(VLOOKUP(MID(T53,W53,X53-W53),[6]skilldef!$C:$D,2,FALSE),"-") &amp; " / " &amp; IFERROR(VLOOKUP(MID(T53,U53,V53-U53),[6]skilldef!$A:$B,2,FALSE),"-")</f>
        <v>- / -</v>
      </c>
      <c r="Z53" s="50"/>
      <c r="AA53" s="51"/>
      <c r="AB53" s="50"/>
    </row>
    <row r="54" spans="1:28" ht="75" customHeight="1" x14ac:dyDescent="0.15">
      <c r="A54" s="123">
        <v>61000223</v>
      </c>
      <c r="B54" s="123" t="s">
        <v>381</v>
      </c>
      <c r="C54" s="124">
        <v>1</v>
      </c>
      <c r="D54" s="124" t="s">
        <v>128</v>
      </c>
      <c r="E54" s="125" t="s">
        <v>413</v>
      </c>
      <c r="F54" s="125" t="s">
        <v>384</v>
      </c>
      <c r="G54" s="62" t="str">
        <f t="shared" si="139"/>
        <v>[effect:force_change_block, new_block:jammer, target:normal, count:15, val:0]</v>
      </c>
      <c r="H54" s="62">
        <f t="shared" si="140"/>
        <v>9</v>
      </c>
      <c r="I54" s="62">
        <f t="shared" si="141"/>
        <v>27</v>
      </c>
      <c r="J54" s="62">
        <f t="shared" si="142"/>
        <v>54</v>
      </c>
      <c r="K54" s="62">
        <f t="shared" si="143"/>
        <v>45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144"/>
        <v>[effect:rush, count:1, val:1],[effect:sp_boost, target:unit_hp/unit_heal/or, val:8],[effect:change_panel_ratio, turn:3, block_type:green, val:0, animation:block_incidence04]</v>
      </c>
      <c r="N54" s="48" t="str">
        <f>IFERROR(LEFT(M54,FIND("],",M54)+S56),M54)</f>
        <v>[effect:rush, count:1, val:1],[effect:sp_boost, target:unit_hp/unit_heal/or, val:8],[effect:change_panel_ratio, turn:3, block_type:green, val:0, animation:block_incidence04]</v>
      </c>
      <c r="O54" s="62">
        <f t="shared" si="145"/>
        <v>9</v>
      </c>
      <c r="P54" s="62">
        <f t="shared" si="146"/>
        <v>13</v>
      </c>
      <c r="Q54" s="62">
        <f t="shared" si="147"/>
        <v>56</v>
      </c>
      <c r="R54" s="62">
        <f t="shared" si="148"/>
        <v>22</v>
      </c>
      <c r="S54" s="62" t="str">
        <f>IFERROR(VLOOKUP(MID(N54,Q54,R54-Q54),[6]skilldef!$C:$D,2,FALSE),"-") &amp; " / " &amp; IFERROR(VLOOKUP(MID(N54,O54,P54-O54),[6]skilldef!$A:$B,2,FALSE),"-")</f>
        <v>- / 連続攻撃</v>
      </c>
      <c r="T54" s="48" t="str">
        <f t="shared" si="149"/>
        <v>[effect:sp_boost, target:unit_hp/unit_heal/or, val:8],[effect:change_panel_ratio, turn:3, block_type:green, val:0, animation:block_incidence04]</v>
      </c>
      <c r="U54" s="62">
        <f t="shared" si="150"/>
        <v>9</v>
      </c>
      <c r="V54" s="62">
        <f t="shared" si="151"/>
        <v>17</v>
      </c>
      <c r="W54" s="62">
        <f t="shared" si="152"/>
        <v>26</v>
      </c>
      <c r="X54" s="62">
        <f t="shared" si="153"/>
        <v>46</v>
      </c>
      <c r="Y54" s="62" t="str">
        <f>IFERROR(VLOOKUP(MID(T54,W54,X54-W54),[6]skilldef!$C:$D,2,FALSE),"-") &amp; " / " &amp; IFERROR(VLOOKUP(MID(T54,U54,V54-U54),[6]skilldef!$A:$B,2,FALSE),"-")</f>
        <v>- / -</v>
      </c>
      <c r="Z54" s="50"/>
      <c r="AA54" s="51"/>
      <c r="AB54" s="50"/>
    </row>
    <row r="55" spans="1:28" ht="80" customHeight="1" x14ac:dyDescent="0.15">
      <c r="A55" s="123">
        <v>61000224</v>
      </c>
      <c r="B55" s="123" t="s">
        <v>382</v>
      </c>
      <c r="C55" s="124">
        <v>1</v>
      </c>
      <c r="D55" s="124" t="s">
        <v>128</v>
      </c>
      <c r="E55" s="125" t="s">
        <v>414</v>
      </c>
      <c r="F55" s="125" t="s">
        <v>386</v>
      </c>
      <c r="G55" s="62" t="str">
        <f t="shared" si="139"/>
        <v>[effect:panel_freeze, target:normal, count:30]</v>
      </c>
      <c r="H55" s="62">
        <f t="shared" si="140"/>
        <v>9</v>
      </c>
      <c r="I55" s="62">
        <f t="shared" si="141"/>
        <v>21</v>
      </c>
      <c r="J55" s="62">
        <f t="shared" si="142"/>
        <v>30</v>
      </c>
      <c r="K55" s="62">
        <f t="shared" si="143"/>
        <v>36</v>
      </c>
      <c r="L55" s="62" t="str">
        <f>IFERROR(VLOOKUP(MID(G55,J55,K55-J55),[6]skilldef!$C:$D,2,FALSE),"-") &amp; " / " &amp; IFERROR(VLOOKUP(MID(G55,H55,I55-H55),[6]skilldef!$A:$B,2,FALSE),"-")</f>
        <v>- / -</v>
      </c>
      <c r="M55" s="62" t="str">
        <f t="shared" si="144"/>
        <v>[effect:rush, count:1, val:1],[effect:sp_boost, target:unit_hp/unit_heal/or, val:8],[effect:change_panel_ratio, turn:3, block_type:green, val:0, animation:block_incidence04]</v>
      </c>
      <c r="N55" s="48" t="str">
        <f>IFERROR(LEFT(M55,FIND("],",M55)+S57),M55)</f>
        <v>[effect:rush, count:1, val:1],[effect:sp_boost, target:unit_hp/unit_heal/or, val:8],[effect:change_panel_ratio, turn:3, block_type:green, val:0, animation:block_incidence04]</v>
      </c>
      <c r="O55" s="62">
        <f t="shared" si="145"/>
        <v>9</v>
      </c>
      <c r="P55" s="62">
        <f t="shared" si="146"/>
        <v>13</v>
      </c>
      <c r="Q55" s="62">
        <f t="shared" si="147"/>
        <v>56</v>
      </c>
      <c r="R55" s="62">
        <f t="shared" si="148"/>
        <v>22</v>
      </c>
      <c r="S55" s="62" t="str">
        <f>IFERROR(VLOOKUP(MID(N55,Q55,R55-Q55),[6]skilldef!$C:$D,2,FALSE),"-") &amp; " / " &amp; IFERROR(VLOOKUP(MID(N55,O55,P55-O55),[6]skilldef!$A:$B,2,FALSE),"-")</f>
        <v>- / 連続攻撃</v>
      </c>
      <c r="T55" s="48" t="str">
        <f t="shared" si="149"/>
        <v>[effect:sp_boost, target:unit_hp/unit_heal/or, val:8],[effect:change_panel_ratio, turn:3, block_type:green, val:0, animation:block_incidence04]</v>
      </c>
      <c r="U55" s="62">
        <f t="shared" si="150"/>
        <v>9</v>
      </c>
      <c r="V55" s="62">
        <f t="shared" si="151"/>
        <v>17</v>
      </c>
      <c r="W55" s="62">
        <f t="shared" si="152"/>
        <v>26</v>
      </c>
      <c r="X55" s="62">
        <f t="shared" si="153"/>
        <v>46</v>
      </c>
      <c r="Y55" s="62" t="str">
        <f>IFERROR(VLOOKUP(MID(T55,W55,X55-W55),[6]skilldef!$C:$D,2,FALSE),"-") &amp; " / " &amp; IFERROR(VLOOKUP(MID(T55,U55,V55-U55),[6]skilldef!$A:$B,2,FALSE),"-")</f>
        <v>- / -</v>
      </c>
      <c r="Z55" s="50"/>
      <c r="AA55" s="51"/>
      <c r="AB55" s="50"/>
    </row>
    <row r="56" spans="1:28" ht="39" customHeight="1" x14ac:dyDescent="0.15">
      <c r="A56" s="114">
        <v>61000225</v>
      </c>
      <c r="B56" s="114" t="s">
        <v>389</v>
      </c>
      <c r="C56" s="115">
        <v>1</v>
      </c>
      <c r="D56" s="115" t="s">
        <v>128</v>
      </c>
      <c r="E56" s="116" t="s">
        <v>415</v>
      </c>
      <c r="F56" s="116" t="s">
        <v>390</v>
      </c>
      <c r="G56" s="62" t="str">
        <f>IFERROR(LEFT(B56,FIND("],",B56)),B56)</f>
        <v>[effect:force_change_block, new_block:damage, target:normal, count:15, val:0.05]</v>
      </c>
      <c r="H56" s="62">
        <f>FIND("effect:",G56)+7</f>
        <v>9</v>
      </c>
      <c r="I56" s="62">
        <f>IFERROR(FIND(",",G56),LEN(G56))</f>
        <v>27</v>
      </c>
      <c r="J56" s="62">
        <f>FIND("target:",G56)+7</f>
        <v>54</v>
      </c>
      <c r="K56" s="62">
        <f>FIND(",",G56,I56+1)</f>
        <v>45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>IFERROR(RIGHT(B56,LEN(B56)-FIND("],",B56)-1),"none")</f>
        <v>[effect:rush, count:1, val:1],[effect:drop_block, block_type:damage, block_color:block_blue, color:block_all, val:0.1, rate:0.1, turn:4, animation:damage_influence04]</v>
      </c>
      <c r="N56" s="48" t="str">
        <f>IFERROR(LEFT(M56,FIND("],",M56)+S62),M56)</f>
        <v>[effect:rush, count:1, val:1],[effect:drop_block, block_type:damage, block_color:block_blue, color:block_all, val:0.1, rate:0.1, turn:4, animation:damage_influence04]</v>
      </c>
      <c r="O56" s="62">
        <f>FIND("effect:",N56)+7</f>
        <v>9</v>
      </c>
      <c r="P56" s="62">
        <f>IFERROR(FIND(",",N56),LEN(N56))</f>
        <v>13</v>
      </c>
      <c r="Q56" s="62" t="e">
        <f>FIND("target:",N56)+7</f>
        <v>#VALUE!</v>
      </c>
      <c r="R56" s="62">
        <f>FIND(",",N56,P56+1)</f>
        <v>22</v>
      </c>
      <c r="S56" s="62" t="str">
        <f>IFERROR(VLOOKUP(MID(N56,Q56,R56-Q56),[6]skilldef!$C:$D,2,FALSE),"-") &amp; " / " &amp; IFERROR(VLOOKUP(MID(N56,O56,P56-O56),[6]skilldef!$A:$B,2,FALSE),"-")</f>
        <v>- / 連続攻撃</v>
      </c>
      <c r="T56" s="48" t="str">
        <f>IFERROR(RIGHT(M56,LEN(M56)-FIND("],",M56)-1),"none")</f>
        <v>[effect:drop_block, block_type:damage, block_color:block_blue, color:block_all, val:0.1, rate:0.1, turn:4, animation:damage_influence04]</v>
      </c>
      <c r="U56" s="62">
        <f>FIND("effect:",T56)+7</f>
        <v>9</v>
      </c>
      <c r="V56" s="62">
        <f>IFERROR(FIND(",",T56),LEN(T56))</f>
        <v>19</v>
      </c>
      <c r="W56" s="62" t="e">
        <f>FIND("target:",T56)+7</f>
        <v>#VALUE!</v>
      </c>
      <c r="X56" s="62">
        <f>FIND(",",T56,V56+1)</f>
        <v>38</v>
      </c>
      <c r="Y56" s="62" t="str">
        <f>IFERROR(VLOOKUP(MID(T56,W56,X56-W56),[6]skilldef!$C:$D,2,FALSE),"-") &amp; " / " &amp; IFERROR(VLOOKUP(MID(T56,U56,V56-U56),[6]skilldef!$A:$B,2,FALSE),"-")</f>
        <v>- / 特定ブロックの割合ドロップ</v>
      </c>
      <c r="Z56" s="50"/>
      <c r="AA56" s="51"/>
      <c r="AB56" s="50"/>
    </row>
    <row r="57" spans="1:28" ht="49" customHeight="1" x14ac:dyDescent="0.15">
      <c r="A57" s="114">
        <v>61000226</v>
      </c>
      <c r="B57" s="114" t="s">
        <v>448</v>
      </c>
      <c r="C57" s="115">
        <v>1</v>
      </c>
      <c r="D57" s="115" t="s">
        <v>128</v>
      </c>
      <c r="E57" s="116" t="s">
        <v>416</v>
      </c>
      <c r="F57" s="116" t="s">
        <v>391</v>
      </c>
      <c r="G57" s="62" t="str">
        <f>IFERROR(LEFT(B57,FIND("],",B57)),B57)</f>
        <v>[effect:force_change_block, new_block:time_bomb, target:normal, count:15, val:0.05, min_time_count:1, max_time_count:1]</v>
      </c>
      <c r="H57" s="62">
        <f>FIND("effect:",G57)+7</f>
        <v>9</v>
      </c>
      <c r="I57" s="62">
        <f>IFERROR(FIND(",",G57),LEN(G57))</f>
        <v>27</v>
      </c>
      <c r="J57" s="62">
        <f>FIND("target:",G57)+7</f>
        <v>57</v>
      </c>
      <c r="K57" s="62">
        <f>FIND(",",G57,I57+1)</f>
        <v>48</v>
      </c>
      <c r="L57" s="62" t="str">
        <f>IFERROR(VLOOKUP(MID(G57,J57,K57-J57),[6]skilldef!$C:$D,2,FALSE),"-") &amp; " / " &amp; IFERROR(VLOOKUP(MID(G57,H57,I57-H57),[6]skilldef!$A:$B,2,FALSE),"-")</f>
        <v>- / -</v>
      </c>
      <c r="M57" s="62" t="str">
        <f>IFERROR(RIGHT(B57,LEN(B57)-FIND("],",B57)-1),"none")</f>
        <v>[effect:rush, count:1, val:1],[effect:drop_block, block_type:time_bomb, block_color:block_blue, color:block_all, val:0.1, rate:0.1, turn:4, min_time_count:2, max_time_count:2, animation:time_bomb_influence04]</v>
      </c>
      <c r="N57" s="48" t="str">
        <f>IFERROR(LEFT(M57,FIND("],",M57)+S63),M57)</f>
        <v>[effect:rush, count:1, val:1],[effect:drop_block, block_type:time_bomb, block_color:block_blue, color:block_all, val:0.1, rate:0.1, turn:4, min_time_count:2, max_time_count:2, animation:time_bomb_influence04]</v>
      </c>
      <c r="O57" s="62">
        <f>FIND("effect:",N57)+7</f>
        <v>9</v>
      </c>
      <c r="P57" s="62">
        <f>IFERROR(FIND(",",N57),LEN(N57))</f>
        <v>13</v>
      </c>
      <c r="Q57" s="62" t="e">
        <f>FIND("target:",N57)+7</f>
        <v>#VALUE!</v>
      </c>
      <c r="R57" s="62">
        <f>FIND(",",N57,P57+1)</f>
        <v>22</v>
      </c>
      <c r="S57" s="62" t="str">
        <f>IFERROR(VLOOKUP(MID(N57,Q57,R57-Q57),[6]skilldef!$C:$D,2,FALSE),"-") &amp; " / " &amp; IFERROR(VLOOKUP(MID(N57,O57,P57-O57),[6]skilldef!$A:$B,2,FALSE),"-")</f>
        <v>- / 連続攻撃</v>
      </c>
      <c r="T57" s="48" t="str">
        <f>IFERROR(RIGHT(M57,LEN(M57)-FIND("],",M57)-1),"none")</f>
        <v>[effect:drop_block, block_type:time_bomb, block_color:block_blue, color:block_all, val:0.1, rate:0.1, turn:4, min_time_count:2, max_time_count:2, animation:time_bomb_influence04]</v>
      </c>
      <c r="U57" s="62">
        <f>FIND("effect:",T57)+7</f>
        <v>9</v>
      </c>
      <c r="V57" s="62">
        <f>IFERROR(FIND(",",T57),LEN(T57))</f>
        <v>19</v>
      </c>
      <c r="W57" s="62" t="e">
        <f>FIND("target:",T57)+7</f>
        <v>#VALUE!</v>
      </c>
      <c r="X57" s="62">
        <f>FIND(",",T57,V57+1)</f>
        <v>41</v>
      </c>
      <c r="Y57" s="62" t="str">
        <f>IFERROR(VLOOKUP(MID(T57,W57,X57-W57),[6]skilldef!$C:$D,2,FALSE),"-") &amp; " / " &amp; IFERROR(VLOOKUP(MID(T57,U57,V57-U57),[6]skilldef!$A:$B,2,FALSE),"-")</f>
        <v>- / 特定ブロックの割合ドロップ</v>
      </c>
      <c r="Z57" s="50"/>
      <c r="AA57" s="51"/>
      <c r="AB57" s="50"/>
    </row>
    <row r="58" spans="1:28" ht="38" customHeight="1" x14ac:dyDescent="0.15">
      <c r="A58" s="114">
        <v>61000227</v>
      </c>
      <c r="B58" s="114" t="s">
        <v>387</v>
      </c>
      <c r="C58" s="115">
        <v>1</v>
      </c>
      <c r="D58" s="115" t="s">
        <v>128</v>
      </c>
      <c r="E58" s="116" t="s">
        <v>417</v>
      </c>
      <c r="F58" s="116" t="s">
        <v>392</v>
      </c>
      <c r="G58" s="62" t="str">
        <f>IFERROR(LEFT(B58,FIND("],",B58)),B58)</f>
        <v>[effect:force_change_block, new_block:jammer, target:normal, count:15, val:0]</v>
      </c>
      <c r="H58" s="62">
        <f>FIND("effect:",G58)+7</f>
        <v>9</v>
      </c>
      <c r="I58" s="62">
        <f>IFERROR(FIND(",",G58),LEN(G58))</f>
        <v>27</v>
      </c>
      <c r="J58" s="62">
        <f>FIND("target:",G58)+7</f>
        <v>54</v>
      </c>
      <c r="K58" s="62">
        <f>FIND(",",G58,I58+1)</f>
        <v>45</v>
      </c>
      <c r="L58" s="62" t="str">
        <f>IFERROR(VLOOKUP(MID(G58,J58,K58-J58),[6]skilldef!$C:$D,2,FALSE),"-") &amp; " / " &amp; IFERROR(VLOOKUP(MID(G58,H58,I58-H58),[6]skilldef!$A:$B,2,FALSE),"-")</f>
        <v>- / -</v>
      </c>
      <c r="M58" s="62" t="str">
        <f>IFERROR(RIGHT(B58,LEN(B58)-FIND("],",B58)-1),"none")</f>
        <v>[effect:rush, count:1, val:1],[effect:drop_block, block_type:jammer, color:block_all, val:0.1, rate:0.1, turn:4, animation:jammer_influence04]</v>
      </c>
      <c r="N58" s="48" t="str">
        <f>IFERROR(LEFT(M58,FIND("],",M58)+#REF!),M58)</f>
        <v>[effect:rush, count:1, val:1],[effect:drop_block, block_type:jammer, color:block_all, val:0.1, rate:0.1, turn:4, animation:jammer_influence04]</v>
      </c>
      <c r="O58" s="62">
        <f>FIND("effect:",N58)+7</f>
        <v>9</v>
      </c>
      <c r="P58" s="62">
        <f>IFERROR(FIND(",",N58),LEN(N58))</f>
        <v>13</v>
      </c>
      <c r="Q58" s="62" t="e">
        <f>FIND("target:",N58)+7</f>
        <v>#VALUE!</v>
      </c>
      <c r="R58" s="62">
        <f>FIND(",",N58,P58+1)</f>
        <v>22</v>
      </c>
      <c r="S58" s="62" t="str">
        <f>IFERROR(VLOOKUP(MID(N58,Q58,R58-Q58),[6]skilldef!$C:$D,2,FALSE),"-") &amp; " / " &amp; IFERROR(VLOOKUP(MID(N58,O58,P58-O58),[6]skilldef!$A:$B,2,FALSE),"-")</f>
        <v>- / 連続攻撃</v>
      </c>
      <c r="T58" s="48" t="str">
        <f>IFERROR(RIGHT(M58,LEN(M58)-FIND("],",M58)-1),"none")</f>
        <v>[effect:drop_block, block_type:jammer, color:block_all, val:0.1, rate:0.1, turn:4, animation:jammer_influence04]</v>
      </c>
      <c r="U58" s="62">
        <f>FIND("effect:",T58)+7</f>
        <v>9</v>
      </c>
      <c r="V58" s="62">
        <f>IFERROR(FIND(",",T58),LEN(T58))</f>
        <v>19</v>
      </c>
      <c r="W58" s="62" t="e">
        <f>FIND("target:",T58)+7</f>
        <v>#VALUE!</v>
      </c>
      <c r="X58" s="62">
        <f>FIND(",",T58,V58+1)</f>
        <v>38</v>
      </c>
      <c r="Y58" s="62" t="str">
        <f>IFERROR(VLOOKUP(MID(T58,W58,X58-W58),[6]skilldef!$C:$D,2,FALSE),"-") &amp; " / " &amp; IFERROR(VLOOKUP(MID(T58,U58,V58-U58),[6]skilldef!$A:$B,2,FALSE),"-")</f>
        <v>- / 特定ブロックの割合ドロップ</v>
      </c>
      <c r="Z58" s="50"/>
      <c r="AA58" s="51"/>
      <c r="AB58" s="50"/>
    </row>
    <row r="59" spans="1:28" ht="39" customHeight="1" x14ac:dyDescent="0.15">
      <c r="A59" s="114">
        <v>61000228</v>
      </c>
      <c r="B59" s="114" t="s">
        <v>388</v>
      </c>
      <c r="C59" s="115">
        <v>1</v>
      </c>
      <c r="D59" s="115" t="s">
        <v>128</v>
      </c>
      <c r="E59" s="116" t="s">
        <v>418</v>
      </c>
      <c r="F59" s="116" t="s">
        <v>393</v>
      </c>
      <c r="G59" s="62" t="str">
        <f>IFERROR(LEFT(B59,FIND("],",B59)),B59)</f>
        <v>[effect:panel_freeze, target:normal, count:30]</v>
      </c>
      <c r="H59" s="62">
        <f>FIND("effect:",G59)+7</f>
        <v>9</v>
      </c>
      <c r="I59" s="62">
        <f>IFERROR(FIND(",",G59),LEN(G59))</f>
        <v>21</v>
      </c>
      <c r="J59" s="62">
        <f>FIND("target:",G59)+7</f>
        <v>30</v>
      </c>
      <c r="K59" s="62">
        <f>FIND(",",G59,I59+1)</f>
        <v>36</v>
      </c>
      <c r="L59" s="62" t="str">
        <f>IFERROR(VLOOKUP(MID(G59,J59,K59-J59),[6]skilldef!$C:$D,2,FALSE),"-") &amp; " / " &amp; IFERROR(VLOOKUP(MID(G59,H59,I59-H59),[6]skilldef!$A:$B,2,FALSE),"-")</f>
        <v>- / -</v>
      </c>
      <c r="M59" s="62" t="str">
        <f>IFERROR(RIGHT(B59,LEN(B59)-FIND("],",B59)-1),"none")</f>
        <v>[effect:rush, count:1, val:1],[effect:drop_freeze, turn:4, block_type:normal, rate:0.1, animation:drop_protect]</v>
      </c>
      <c r="N59" s="48" t="str">
        <f>IFERROR(LEFT(M59,FIND("],",M59)+#REF!),M59)</f>
        <v>[effect:rush, count:1, val:1],[effect:drop_freeze, turn:4, block_type:normal, rate:0.1, animation:drop_protect]</v>
      </c>
      <c r="O59" s="62">
        <f>FIND("effect:",N59)+7</f>
        <v>9</v>
      </c>
      <c r="P59" s="62">
        <f>IFERROR(FIND(",",N59),LEN(N59))</f>
        <v>13</v>
      </c>
      <c r="Q59" s="62" t="e">
        <f>FIND("target:",N59)+7</f>
        <v>#VALUE!</v>
      </c>
      <c r="R59" s="62">
        <f>FIND(",",N59,P59+1)</f>
        <v>22</v>
      </c>
      <c r="S59" s="62" t="str">
        <f>IFERROR(VLOOKUP(MID(N59,Q59,R59-Q59),[6]skilldef!$C:$D,2,FALSE),"-") &amp; " / " &amp; IFERROR(VLOOKUP(MID(N59,O59,P59-O59),[6]skilldef!$A:$B,2,FALSE),"-")</f>
        <v>- / 連続攻撃</v>
      </c>
      <c r="T59" s="48" t="str">
        <f>IFERROR(RIGHT(M59,LEN(M59)-FIND("],",M59)-1),"none")</f>
        <v>[effect:drop_freeze, turn:4, block_type:normal, rate:0.1, animation:drop_protect]</v>
      </c>
      <c r="U59" s="62">
        <f>FIND("effect:",T59)+7</f>
        <v>9</v>
      </c>
      <c r="V59" s="62">
        <f>IFERROR(FIND(",",T59),LEN(T59))</f>
        <v>20</v>
      </c>
      <c r="W59" s="62" t="e">
        <f>FIND("target:",T59)+7</f>
        <v>#VALUE!</v>
      </c>
      <c r="X59" s="62">
        <f>FIND(",",T59,V59+1)</f>
        <v>28</v>
      </c>
      <c r="Y59" s="62" t="str">
        <f>IFERROR(VLOOKUP(MID(T59,W59,X59-W59),[6]skilldef!$C:$D,2,FALSE),"-") &amp; " / " &amp; IFERROR(VLOOKUP(MID(T59,U59,V59-U59),[6]skilldef!$A:$B,2,FALSE),"-")</f>
        <v>- / -</v>
      </c>
      <c r="Z59" s="50"/>
      <c r="AA59" s="51"/>
      <c r="AB59" s="50"/>
    </row>
    <row r="60" spans="1:28" ht="39" customHeight="1" x14ac:dyDescent="0.15">
      <c r="A60" s="117">
        <v>61000229</v>
      </c>
      <c r="B60" s="117" t="s">
        <v>394</v>
      </c>
      <c r="C60" s="118">
        <v>1</v>
      </c>
      <c r="D60" s="118" t="s">
        <v>128</v>
      </c>
      <c r="E60" s="119" t="s">
        <v>419</v>
      </c>
      <c r="F60" s="119" t="s">
        <v>395</v>
      </c>
      <c r="G60" s="62" t="str">
        <f t="shared" ref="G60:G61" si="154">IFERROR(LEFT(B60,FIND("],",B60)),B60)</f>
        <v>[effect:force_change_block, new_block:damage, target:normal, count:15, val:0.05]</v>
      </c>
      <c r="H60" s="62">
        <f t="shared" ref="H60:H61" si="155">FIND("effect:",G60)+7</f>
        <v>9</v>
      </c>
      <c r="I60" s="62">
        <f t="shared" ref="I60:I61" si="156">IFERROR(FIND(",",G60),LEN(G60))</f>
        <v>27</v>
      </c>
      <c r="J60" s="62">
        <f t="shared" ref="J60:J61" si="157">FIND("target:",G60)+7</f>
        <v>54</v>
      </c>
      <c r="K60" s="62">
        <f t="shared" ref="K60:K61" si="158">FIND(",",G60,I60+1)</f>
        <v>45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ref="M60:M61" si="159">IFERROR(RIGHT(B60,LEN(B60)-FIND("],",B60)-1),"none")</f>
        <v>[effect:rush, count:1, val:1],[effect:drop_block, block_type:damage, block_color:block_yellow, color:block_all, val:0.1, rate:0.1, turn:4, animation:damage_influence04]</v>
      </c>
      <c r="N60" s="48" t="str">
        <f t="shared" ref="N60:N65" si="160">IFERROR(LEFT(M60,FIND("],",M60)+S66),M60)</f>
        <v>[effect:rush, count:1, val:1]</v>
      </c>
      <c r="O60" s="62">
        <f t="shared" ref="O60:O61" si="161">FIND("effect:",N60)+7</f>
        <v>9</v>
      </c>
      <c r="P60" s="62">
        <f t="shared" ref="P60:P61" si="162">IFERROR(FIND(",",N60),LEN(N60))</f>
        <v>13</v>
      </c>
      <c r="Q60" s="62" t="e">
        <f t="shared" ref="Q60:Q61" si="163">FIND("target:",N60)+7</f>
        <v>#VALUE!</v>
      </c>
      <c r="R60" s="62">
        <f t="shared" ref="R60:R61" si="164">FIND(",",N60,P60+1)</f>
        <v>22</v>
      </c>
      <c r="S60" s="62" t="str">
        <f>IFERROR(VLOOKUP(MID(N60,Q60,R60-Q60),[6]skilldef!$C:$D,2,FALSE),"-") &amp; " / " &amp; IFERROR(VLOOKUP(MID(N60,O60,P60-O60),[6]skilldef!$A:$B,2,FALSE),"-")</f>
        <v>- / 連続攻撃</v>
      </c>
      <c r="T60" s="48" t="str">
        <f t="shared" ref="T60:T61" si="165">IFERROR(RIGHT(M60,LEN(M60)-FIND("],",M60)-1),"none")</f>
        <v>[effect:drop_block, block_type:damage, block_color:block_yellow, color:block_all, val:0.1, rate:0.1, turn:4, animation:damage_influence04]</v>
      </c>
      <c r="U60" s="62">
        <f t="shared" ref="U60:U61" si="166">FIND("effect:",T60)+7</f>
        <v>9</v>
      </c>
      <c r="V60" s="62">
        <f t="shared" ref="V60:V61" si="167">IFERROR(FIND(",",T60),LEN(T60))</f>
        <v>19</v>
      </c>
      <c r="W60" s="62" t="e">
        <f t="shared" ref="W60:W61" si="168">FIND("target:",T60)+7</f>
        <v>#VALUE!</v>
      </c>
      <c r="X60" s="62">
        <f t="shared" ref="X60:X61" si="169">FIND(",",T60,V60+1)</f>
        <v>38</v>
      </c>
      <c r="Y60" s="62" t="str">
        <f>IFERROR(VLOOKUP(MID(T60,W60,X60-W60),[6]skilldef!$C:$D,2,FALSE),"-") &amp; " / " &amp; IFERROR(VLOOKUP(MID(T60,U60,V60-U60),[6]skilldef!$A:$B,2,FALSE),"-")</f>
        <v>- / 特定ブロックの割合ドロップ</v>
      </c>
      <c r="Z60" s="50"/>
      <c r="AA60" s="51"/>
      <c r="AB60" s="50"/>
    </row>
    <row r="61" spans="1:28" ht="49" customHeight="1" x14ac:dyDescent="0.15">
      <c r="A61" s="117">
        <v>61000230</v>
      </c>
      <c r="B61" s="117" t="s">
        <v>449</v>
      </c>
      <c r="C61" s="118">
        <v>1</v>
      </c>
      <c r="D61" s="118" t="s">
        <v>128</v>
      </c>
      <c r="E61" s="119" t="s">
        <v>420</v>
      </c>
      <c r="F61" s="119" t="s">
        <v>396</v>
      </c>
      <c r="G61" s="62" t="str">
        <f t="shared" si="154"/>
        <v>[effect:force_change_block, new_block:time_bomb, target:normal, count:15, val:0.05, min_time_count:1, max_time_count:1]</v>
      </c>
      <c r="H61" s="62">
        <f t="shared" si="155"/>
        <v>9</v>
      </c>
      <c r="I61" s="62">
        <f t="shared" si="156"/>
        <v>27</v>
      </c>
      <c r="J61" s="62">
        <f t="shared" si="157"/>
        <v>57</v>
      </c>
      <c r="K61" s="62">
        <f t="shared" si="158"/>
        <v>48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si="159"/>
        <v>[effect:rush, count:1, val:1],[effect:drop_block, block_type:time_bomb, block_color:block_yellow, color:block_all, val:0.1, rate:0.1, turn:4, min_time_count:2, max_time_count:2, animation:time_bomb_influence04]</v>
      </c>
      <c r="N61" s="48" t="str">
        <f t="shared" si="160"/>
        <v>[effect:rush, count:1, val:1]</v>
      </c>
      <c r="O61" s="62">
        <f t="shared" si="161"/>
        <v>9</v>
      </c>
      <c r="P61" s="62">
        <f t="shared" si="162"/>
        <v>13</v>
      </c>
      <c r="Q61" s="62" t="e">
        <f t="shared" si="163"/>
        <v>#VALUE!</v>
      </c>
      <c r="R61" s="62">
        <f t="shared" si="164"/>
        <v>22</v>
      </c>
      <c r="S61" s="62" t="str">
        <f>IFERROR(VLOOKUP(MID(N61,Q61,R61-Q61),[6]skilldef!$C:$D,2,FALSE),"-") &amp; " / " &amp; IFERROR(VLOOKUP(MID(N61,O61,P61-O61),[6]skilldef!$A:$B,2,FALSE),"-")</f>
        <v>- / 連続攻撃</v>
      </c>
      <c r="T61" s="48" t="str">
        <f t="shared" si="165"/>
        <v>[effect:drop_block, block_type:time_bomb, block_color:block_yellow, color:block_all, val:0.1, rate:0.1, turn:4, min_time_count:2, max_time_count:2, animation:time_bomb_influence04]</v>
      </c>
      <c r="U61" s="62">
        <f t="shared" si="166"/>
        <v>9</v>
      </c>
      <c r="V61" s="62">
        <f t="shared" si="167"/>
        <v>19</v>
      </c>
      <c r="W61" s="62" t="e">
        <f t="shared" si="168"/>
        <v>#VALUE!</v>
      </c>
      <c r="X61" s="62">
        <f t="shared" si="169"/>
        <v>41</v>
      </c>
      <c r="Y61" s="62" t="str">
        <f>IFERROR(VLOOKUP(MID(T61,W61,X61-W61),[6]skilldef!$C:$D,2,FALSE),"-") &amp; " / " &amp; IFERROR(VLOOKUP(MID(T61,U61,V61-U61),[6]skilldef!$A:$B,2,FALSE),"-")</f>
        <v>- / 特定ブロックの割合ドロップ</v>
      </c>
      <c r="Z61" s="50"/>
      <c r="AA61" s="51"/>
      <c r="AB61" s="50"/>
    </row>
    <row r="62" spans="1:28" ht="39" customHeight="1" x14ac:dyDescent="0.15">
      <c r="A62" s="120">
        <v>61000231</v>
      </c>
      <c r="B62" s="120" t="s">
        <v>397</v>
      </c>
      <c r="C62" s="121">
        <v>1</v>
      </c>
      <c r="D62" s="121" t="s">
        <v>128</v>
      </c>
      <c r="E62" s="122" t="s">
        <v>421</v>
      </c>
      <c r="F62" s="122" t="s">
        <v>398</v>
      </c>
      <c r="G62" s="62" t="str">
        <f t="shared" ref="G62:G65" si="170">IFERROR(LEFT(B62,FIND("],",B62)),B62)</f>
        <v>[effect:force_change_block, new_block:damage, target:normal, count:15, val:0.05]</v>
      </c>
      <c r="H62" s="62">
        <f t="shared" ref="H62:H65" si="171">FIND("effect:",G62)+7</f>
        <v>9</v>
      </c>
      <c r="I62" s="62">
        <f t="shared" ref="I62:I65" si="172">IFERROR(FIND(",",G62),LEN(G62))</f>
        <v>27</v>
      </c>
      <c r="J62" s="62">
        <f t="shared" ref="J62:J65" si="173">FIND("target:",G62)+7</f>
        <v>54</v>
      </c>
      <c r="K62" s="62">
        <f t="shared" ref="K62:K65" si="174">FIND(",",G62,I62+1)</f>
        <v>45</v>
      </c>
      <c r="L62" s="62" t="str">
        <f>IFERROR(VLOOKUP(MID(G62,J62,K62-J62),[6]skilldef!$C:$D,2,FALSE),"-") &amp; " / " &amp; IFERROR(VLOOKUP(MID(G62,H62,I62-H62),[6]skilldef!$A:$B,2,FALSE),"-")</f>
        <v>- / -</v>
      </c>
      <c r="M62" s="62" t="str">
        <f t="shared" ref="M62:M65" si="175">IFERROR(RIGHT(B62,LEN(B62)-FIND("],",B62)-1),"none")</f>
        <v>[effect:rush, count:1, val:1],[effect:drop_block, block_type:damage, block_color:block_green, color:block_all, val:0.1, rate:0.1, turn:4, animation:damage_influence04]</v>
      </c>
      <c r="N62" s="48" t="str">
        <f t="shared" si="160"/>
        <v>[effect:rush, count:1, val:1]</v>
      </c>
      <c r="O62" s="62">
        <f t="shared" ref="O62:O65" si="176">FIND("effect:",N62)+7</f>
        <v>9</v>
      </c>
      <c r="P62" s="62">
        <f t="shared" ref="P62:P65" si="177">IFERROR(FIND(",",N62),LEN(N62))</f>
        <v>13</v>
      </c>
      <c r="Q62" s="62" t="e">
        <f t="shared" ref="Q62:Q65" si="178">FIND("target:",N62)+7</f>
        <v>#VALUE!</v>
      </c>
      <c r="R62" s="62">
        <f t="shared" ref="R62:R65" si="179">FIND(",",N62,P62+1)</f>
        <v>22</v>
      </c>
      <c r="S62" s="62" t="str">
        <f>IFERROR(VLOOKUP(MID(N62,Q62,R62-Q62),[6]skilldef!$C:$D,2,FALSE),"-") &amp; " / " &amp; IFERROR(VLOOKUP(MID(N62,O62,P62-O62),[6]skilldef!$A:$B,2,FALSE),"-")</f>
        <v>- / 連続攻撃</v>
      </c>
      <c r="T62" s="48" t="str">
        <f t="shared" ref="T62:T65" si="180">IFERROR(RIGHT(M62,LEN(M62)-FIND("],",M62)-1),"none")</f>
        <v>[effect:drop_block, block_type:damage, block_color:block_green, color:block_all, val:0.1, rate:0.1, turn:4, animation:damage_influence04]</v>
      </c>
      <c r="U62" s="62">
        <f t="shared" ref="U62:U65" si="181">FIND("effect:",T62)+7</f>
        <v>9</v>
      </c>
      <c r="V62" s="62">
        <f t="shared" ref="V62:V65" si="182">IFERROR(FIND(",",T62),LEN(T62))</f>
        <v>19</v>
      </c>
      <c r="W62" s="62" t="e">
        <f t="shared" ref="W62:W65" si="183">FIND("target:",T62)+7</f>
        <v>#VALUE!</v>
      </c>
      <c r="X62" s="62">
        <f t="shared" ref="X62:X65" si="184">FIND(",",T62,V62+1)</f>
        <v>38</v>
      </c>
      <c r="Y62" s="62" t="str">
        <f>IFERROR(VLOOKUP(MID(T62,W62,X62-W62),[6]skilldef!$C:$D,2,FALSE),"-") &amp; " / " &amp; IFERROR(VLOOKUP(MID(T62,U62,V62-U62),[6]skilldef!$A:$B,2,FALSE),"-")</f>
        <v>- / 特定ブロックの割合ドロップ</v>
      </c>
      <c r="Z62" s="50"/>
      <c r="AA62" s="51"/>
      <c r="AB62" s="50"/>
    </row>
    <row r="63" spans="1:28" ht="49" customHeight="1" x14ac:dyDescent="0.15">
      <c r="A63" s="120">
        <v>61000232</v>
      </c>
      <c r="B63" s="120" t="s">
        <v>447</v>
      </c>
      <c r="C63" s="121">
        <v>1</v>
      </c>
      <c r="D63" s="121" t="s">
        <v>128</v>
      </c>
      <c r="E63" s="122" t="s">
        <v>422</v>
      </c>
      <c r="F63" s="122" t="s">
        <v>399</v>
      </c>
      <c r="G63" s="62" t="str">
        <f t="shared" si="170"/>
        <v>[effect:force_change_block, new_block:time_bomb, target:normal, count:15, val:0.05, min_time_count:1, max_time_count:1]</v>
      </c>
      <c r="H63" s="62">
        <f t="shared" si="171"/>
        <v>9</v>
      </c>
      <c r="I63" s="62">
        <f t="shared" si="172"/>
        <v>27</v>
      </c>
      <c r="J63" s="62">
        <f t="shared" si="173"/>
        <v>57</v>
      </c>
      <c r="K63" s="62">
        <f t="shared" si="174"/>
        <v>48</v>
      </c>
      <c r="L63" s="62" t="str">
        <f>IFERROR(VLOOKUP(MID(G63,J63,K63-J63),[6]skilldef!$C:$D,2,FALSE),"-") &amp; " / " &amp; IFERROR(VLOOKUP(MID(G63,H63,I63-H63),[6]skilldef!$A:$B,2,FALSE),"-")</f>
        <v>- / -</v>
      </c>
      <c r="M63" s="62" t="str">
        <f t="shared" si="175"/>
        <v>[effect:rush, count:1, val:1],[effect:drop_block, block_type:time_bomb, block_color:block_green, color:block_all, val:0.1, rate:0.1, turn:4, min_time_count:2, max_time_count:2, animation:time_bomb_influence04]</v>
      </c>
      <c r="N63" s="48" t="str">
        <f t="shared" si="160"/>
        <v>[effect:rush, count:1, val:1]</v>
      </c>
      <c r="O63" s="62">
        <f t="shared" si="176"/>
        <v>9</v>
      </c>
      <c r="P63" s="62">
        <f t="shared" si="177"/>
        <v>13</v>
      </c>
      <c r="Q63" s="62" t="e">
        <f t="shared" si="178"/>
        <v>#VALUE!</v>
      </c>
      <c r="R63" s="62">
        <f t="shared" si="179"/>
        <v>22</v>
      </c>
      <c r="S63" s="62" t="str">
        <f>IFERROR(VLOOKUP(MID(N63,Q63,R63-Q63),[6]skilldef!$C:$D,2,FALSE),"-") &amp; " / " &amp; IFERROR(VLOOKUP(MID(N63,O63,P63-O63),[6]skilldef!$A:$B,2,FALSE),"-")</f>
        <v>- / 連続攻撃</v>
      </c>
      <c r="T63" s="48" t="str">
        <f t="shared" si="180"/>
        <v>[effect:drop_block, block_type:time_bomb, block_color:block_green, color:block_all, val:0.1, rate:0.1, turn:4, min_time_count:2, max_time_count:2, animation:time_bomb_influence04]</v>
      </c>
      <c r="U63" s="62">
        <f t="shared" si="181"/>
        <v>9</v>
      </c>
      <c r="V63" s="62">
        <f t="shared" si="182"/>
        <v>19</v>
      </c>
      <c r="W63" s="62" t="e">
        <f t="shared" si="183"/>
        <v>#VALUE!</v>
      </c>
      <c r="X63" s="62">
        <f t="shared" si="184"/>
        <v>41</v>
      </c>
      <c r="Y63" s="62" t="str">
        <f>IFERROR(VLOOKUP(MID(T63,W63,X63-W63),[6]skilldef!$C:$D,2,FALSE),"-") &amp; " / " &amp; IFERROR(VLOOKUP(MID(T63,U63,V63-U63),[6]skilldef!$A:$B,2,FALSE),"-")</f>
        <v>- / 特定ブロックの割合ドロップ</v>
      </c>
      <c r="Z63" s="50"/>
      <c r="AA63" s="51"/>
      <c r="AB63" s="50"/>
    </row>
    <row r="64" spans="1:28" ht="39" customHeight="1" x14ac:dyDescent="0.15">
      <c r="A64" s="123">
        <v>61000233</v>
      </c>
      <c r="B64" s="123" t="s">
        <v>400</v>
      </c>
      <c r="C64" s="124">
        <v>1</v>
      </c>
      <c r="D64" s="124" t="s">
        <v>128</v>
      </c>
      <c r="E64" s="125" t="s">
        <v>423</v>
      </c>
      <c r="F64" s="125" t="s">
        <v>401</v>
      </c>
      <c r="G64" s="62" t="str">
        <f t="shared" si="170"/>
        <v>[effect:force_change_block, new_block:damage, target:normal, count:15, val:0.05]</v>
      </c>
      <c r="H64" s="62">
        <f t="shared" si="171"/>
        <v>9</v>
      </c>
      <c r="I64" s="62">
        <f t="shared" si="172"/>
        <v>27</v>
      </c>
      <c r="J64" s="62">
        <f t="shared" si="173"/>
        <v>54</v>
      </c>
      <c r="K64" s="62">
        <f t="shared" si="174"/>
        <v>45</v>
      </c>
      <c r="L64" s="62" t="str">
        <f>IFERROR(VLOOKUP(MID(G64,J64,K64-J64),[6]skilldef!$C:$D,2,FALSE),"-") &amp; " / " &amp; IFERROR(VLOOKUP(MID(G64,H64,I64-H64),[6]skilldef!$A:$B,2,FALSE),"-")</f>
        <v>- / -</v>
      </c>
      <c r="M64" s="62" t="str">
        <f t="shared" si="175"/>
        <v>[effect:rush, count:1, val:1],[effect:drop_block, block_type:damage, block_color:block_red, color:block_all, val:0.1, rate:0.1, turn:4, animation:damage_influence04]</v>
      </c>
      <c r="N64" s="48" t="str">
        <f t="shared" si="160"/>
        <v>[effect:rush, count:1, val:1]</v>
      </c>
      <c r="O64" s="62">
        <f t="shared" si="176"/>
        <v>9</v>
      </c>
      <c r="P64" s="62">
        <f t="shared" si="177"/>
        <v>13</v>
      </c>
      <c r="Q64" s="62" t="e">
        <f t="shared" si="178"/>
        <v>#VALUE!</v>
      </c>
      <c r="R64" s="62">
        <f t="shared" si="179"/>
        <v>22</v>
      </c>
      <c r="S64" s="62" t="str">
        <f>IFERROR(VLOOKUP(MID(N64,Q64,R64-Q64),[6]skilldef!$C:$D,2,FALSE),"-") &amp; " / " &amp; IFERROR(VLOOKUP(MID(N64,O64,P64-O64),[6]skilldef!$A:$B,2,FALSE),"-")</f>
        <v>- / 連続攻撃</v>
      </c>
      <c r="T64" s="48" t="str">
        <f t="shared" si="180"/>
        <v>[effect:drop_block, block_type:damage, block_color:block_red, color:block_all, val:0.1, rate:0.1, turn:4, animation:damage_influence04]</v>
      </c>
      <c r="U64" s="62">
        <f t="shared" si="181"/>
        <v>9</v>
      </c>
      <c r="V64" s="62">
        <f t="shared" si="182"/>
        <v>19</v>
      </c>
      <c r="W64" s="62" t="e">
        <f t="shared" si="183"/>
        <v>#VALUE!</v>
      </c>
      <c r="X64" s="62">
        <f t="shared" si="184"/>
        <v>38</v>
      </c>
      <c r="Y64" s="62" t="str">
        <f>IFERROR(VLOOKUP(MID(T64,W64,X64-W64),[6]skilldef!$C:$D,2,FALSE),"-") &amp; " / " &amp; IFERROR(VLOOKUP(MID(T64,U64,V64-U64),[6]skilldef!$A:$B,2,FALSE),"-")</f>
        <v>- / 特定ブロックの割合ドロップ</v>
      </c>
      <c r="Z64" s="50"/>
      <c r="AA64" s="51"/>
      <c r="AB64" s="50"/>
    </row>
    <row r="65" spans="1:28" ht="49" customHeight="1" x14ac:dyDescent="0.15">
      <c r="A65" s="123">
        <v>61000234</v>
      </c>
      <c r="B65" s="123" t="s">
        <v>450</v>
      </c>
      <c r="C65" s="124">
        <v>1</v>
      </c>
      <c r="D65" s="124" t="s">
        <v>128</v>
      </c>
      <c r="E65" s="125" t="s">
        <v>424</v>
      </c>
      <c r="F65" s="125" t="s">
        <v>402</v>
      </c>
      <c r="G65" s="62" t="str">
        <f t="shared" si="170"/>
        <v>[effect:force_change_block, new_block:time_bomb, target:normal, count:15, val:0.05, min_time_count:1, max_time_count:1]</v>
      </c>
      <c r="H65" s="62">
        <f t="shared" si="171"/>
        <v>9</v>
      </c>
      <c r="I65" s="62">
        <f t="shared" si="172"/>
        <v>27</v>
      </c>
      <c r="J65" s="62">
        <f t="shared" si="173"/>
        <v>57</v>
      </c>
      <c r="K65" s="62">
        <f t="shared" si="174"/>
        <v>48</v>
      </c>
      <c r="L65" s="62" t="str">
        <f>IFERROR(VLOOKUP(MID(G65,J65,K65-J65),[6]skilldef!$C:$D,2,FALSE),"-") &amp; " / " &amp; IFERROR(VLOOKUP(MID(G65,H65,I65-H65),[6]skilldef!$A:$B,2,FALSE),"-")</f>
        <v>- / -</v>
      </c>
      <c r="M65" s="62" t="str">
        <f t="shared" si="175"/>
        <v>[effect:rush, count:1, val:1],[effect:drop_block, block_type:time_bomb, block_color:block_red, color:block_all, val:0.1, rate:0.1, turn:4, min_time_count:2, max_time_count:2, animation:time_bomb_influence04]</v>
      </c>
      <c r="N65" s="48" t="str">
        <f t="shared" si="160"/>
        <v>[effect:rush, count:1, val:1]</v>
      </c>
      <c r="O65" s="62">
        <f t="shared" si="176"/>
        <v>9</v>
      </c>
      <c r="P65" s="62">
        <f t="shared" si="177"/>
        <v>13</v>
      </c>
      <c r="Q65" s="62" t="e">
        <f t="shared" si="178"/>
        <v>#VALUE!</v>
      </c>
      <c r="R65" s="62">
        <f t="shared" si="179"/>
        <v>22</v>
      </c>
      <c r="S65" s="62" t="str">
        <f>IFERROR(VLOOKUP(MID(N65,Q65,R65-Q65),[6]skilldef!$C:$D,2,FALSE),"-") &amp; " / " &amp; IFERROR(VLOOKUP(MID(N65,O65,P65-O65),[6]skilldef!$A:$B,2,FALSE),"-")</f>
        <v>- / 連続攻撃</v>
      </c>
      <c r="T65" s="48" t="str">
        <f t="shared" si="180"/>
        <v>[effect:drop_block, block_type:time_bomb, block_color:block_red, color:block_all, val:0.1, rate:0.1, turn:4, min_time_count:2, max_time_count:2, animation:time_bomb_influence04]</v>
      </c>
      <c r="U65" s="62">
        <f t="shared" si="181"/>
        <v>9</v>
      </c>
      <c r="V65" s="62">
        <f t="shared" si="182"/>
        <v>19</v>
      </c>
      <c r="W65" s="62" t="e">
        <f t="shared" si="183"/>
        <v>#VALUE!</v>
      </c>
      <c r="X65" s="62">
        <f t="shared" si="184"/>
        <v>41</v>
      </c>
      <c r="Y65" s="62" t="str">
        <f>IFERROR(VLOOKUP(MID(T65,W65,X65-W65),[6]skilldef!$C:$D,2,FALSE),"-") &amp; " / " &amp; IFERROR(VLOOKUP(MID(T65,U65,V65-U65),[6]skilldef!$A:$B,2,FALSE),"-")</f>
        <v>- / 特定ブロックの割合ドロップ</v>
      </c>
      <c r="Z65" s="50"/>
      <c r="AA65" s="51"/>
      <c r="AB6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9"/>
  <sheetViews>
    <sheetView showGridLines="0" workbookViewId="0">
      <pane ySplit="1" topLeftCell="A2" activePane="bottomLeft" state="frozenSplit"/>
      <selection pane="bottomLeft" activeCell="A2" sqref="A2:A1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8">
        <v>61000001</v>
      </c>
      <c r="B2" s="47">
        <v>1</v>
      </c>
      <c r="C2" s="47" t="s">
        <v>89</v>
      </c>
      <c r="D2" s="47">
        <v>100</v>
      </c>
      <c r="E2" s="47" t="s">
        <v>267</v>
      </c>
      <c r="F2" s="47" t="s">
        <v>90</v>
      </c>
      <c r="G2" s="47">
        <v>1</v>
      </c>
      <c r="H2" s="47">
        <v>1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108">
        <v>61000002</v>
      </c>
      <c r="B3" s="47">
        <v>0</v>
      </c>
      <c r="C3" s="47">
        <v>50</v>
      </c>
      <c r="D3" s="47">
        <v>20</v>
      </c>
      <c r="E3" s="47" t="s">
        <v>170</v>
      </c>
      <c r="F3" s="47" t="s">
        <v>90</v>
      </c>
      <c r="G3" s="47" t="s">
        <v>170</v>
      </c>
      <c r="H3" s="47">
        <v>1</v>
      </c>
      <c r="I3" s="47" t="s">
        <v>90</v>
      </c>
      <c r="J3" s="48">
        <f t="shared" ref="J3:J4" si="1">D3</f>
        <v>20</v>
      </c>
    </row>
    <row r="4" spans="1:11" ht="21" customHeight="1" x14ac:dyDescent="0.15">
      <c r="A4" s="108">
        <v>61000003</v>
      </c>
      <c r="B4" s="47">
        <v>0</v>
      </c>
      <c r="C4" s="47">
        <v>40</v>
      </c>
      <c r="D4" s="47">
        <v>25</v>
      </c>
      <c r="E4" s="47" t="s">
        <v>170</v>
      </c>
      <c r="F4" s="47" t="s">
        <v>90</v>
      </c>
      <c r="G4" s="47" t="s">
        <v>170</v>
      </c>
      <c r="H4" s="47">
        <v>1</v>
      </c>
      <c r="I4" s="47" t="s">
        <v>90</v>
      </c>
      <c r="J4" s="48">
        <f t="shared" si="1"/>
        <v>25</v>
      </c>
    </row>
    <row r="5" spans="1:11" ht="21" customHeight="1" x14ac:dyDescent="0.15">
      <c r="A5" s="108">
        <v>61000004</v>
      </c>
      <c r="B5" s="47">
        <v>0</v>
      </c>
      <c r="C5" s="47">
        <v>30</v>
      </c>
      <c r="D5" s="47">
        <v>33</v>
      </c>
      <c r="E5" s="47" t="s">
        <v>90</v>
      </c>
      <c r="F5" s="47" t="s">
        <v>90</v>
      </c>
      <c r="G5" s="47" t="s">
        <v>90</v>
      </c>
      <c r="H5" s="47">
        <v>1</v>
      </c>
      <c r="I5" s="47" t="s">
        <v>90</v>
      </c>
      <c r="J5" s="48">
        <f t="shared" ref="J5:J6" si="2">D5</f>
        <v>33</v>
      </c>
    </row>
    <row r="6" spans="1:11" ht="21" customHeight="1" x14ac:dyDescent="0.15">
      <c r="A6" s="108">
        <v>61000005</v>
      </c>
      <c r="B6" s="47">
        <v>0</v>
      </c>
      <c r="C6" s="47">
        <v>20</v>
      </c>
      <c r="D6" s="47">
        <v>50</v>
      </c>
      <c r="E6" s="47" t="s">
        <v>90</v>
      </c>
      <c r="F6" s="47" t="s">
        <v>90</v>
      </c>
      <c r="G6" s="47" t="s">
        <v>90</v>
      </c>
      <c r="H6" s="47">
        <v>1</v>
      </c>
      <c r="I6" s="47" t="s">
        <v>90</v>
      </c>
      <c r="J6" s="48">
        <f t="shared" si="2"/>
        <v>50</v>
      </c>
    </row>
    <row r="7" spans="1:11" ht="21" customHeight="1" x14ac:dyDescent="0.15">
      <c r="A7" s="108">
        <v>61000006</v>
      </c>
      <c r="B7" s="47">
        <v>0</v>
      </c>
      <c r="C7" s="47">
        <v>10</v>
      </c>
      <c r="D7" s="47">
        <v>100</v>
      </c>
      <c r="E7" s="47" t="s">
        <v>90</v>
      </c>
      <c r="F7" s="47" t="s">
        <v>90</v>
      </c>
      <c r="G7" s="47" t="s">
        <v>90</v>
      </c>
      <c r="H7" s="47">
        <v>1</v>
      </c>
      <c r="I7" s="47" t="s">
        <v>90</v>
      </c>
      <c r="J7" s="48">
        <f t="shared" ref="J7" si="3">D7</f>
        <v>100</v>
      </c>
    </row>
    <row r="8" spans="1:11" ht="21" customHeight="1" x14ac:dyDescent="0.15">
      <c r="A8" s="108">
        <v>61000007</v>
      </c>
      <c r="B8" s="47">
        <v>0</v>
      </c>
      <c r="C8" s="47">
        <v>100</v>
      </c>
      <c r="D8" s="47">
        <v>20</v>
      </c>
      <c r="E8" s="47" t="s">
        <v>170</v>
      </c>
      <c r="F8" s="47" t="s">
        <v>90</v>
      </c>
      <c r="G8" s="47">
        <v>1</v>
      </c>
      <c r="H8" s="47">
        <v>2</v>
      </c>
      <c r="I8" s="47" t="s">
        <v>90</v>
      </c>
      <c r="J8" s="48">
        <f t="shared" ref="J8:J14" si="4">D8</f>
        <v>20</v>
      </c>
    </row>
    <row r="9" spans="1:11" ht="21" customHeight="1" x14ac:dyDescent="0.15">
      <c r="A9" s="108">
        <v>61000008</v>
      </c>
      <c r="B9" s="47">
        <v>0</v>
      </c>
      <c r="C9" s="47">
        <v>90</v>
      </c>
      <c r="D9" s="47">
        <v>25</v>
      </c>
      <c r="E9" s="47" t="s">
        <v>170</v>
      </c>
      <c r="F9" s="47" t="s">
        <v>90</v>
      </c>
      <c r="G9" s="47">
        <v>1</v>
      </c>
      <c r="H9" s="47">
        <v>2</v>
      </c>
      <c r="I9" s="47" t="s">
        <v>90</v>
      </c>
      <c r="J9" s="48">
        <f t="shared" si="4"/>
        <v>25</v>
      </c>
    </row>
    <row r="10" spans="1:11" ht="21" customHeight="1" x14ac:dyDescent="0.15">
      <c r="A10" s="108">
        <v>61000009</v>
      </c>
      <c r="B10" s="47">
        <v>0</v>
      </c>
      <c r="C10" s="47">
        <v>80</v>
      </c>
      <c r="D10" s="47">
        <v>33</v>
      </c>
      <c r="E10" s="47" t="s">
        <v>90</v>
      </c>
      <c r="F10" s="47" t="s">
        <v>90</v>
      </c>
      <c r="G10" s="47">
        <v>1</v>
      </c>
      <c r="H10" s="47">
        <v>2</v>
      </c>
      <c r="I10" s="47" t="s">
        <v>90</v>
      </c>
      <c r="J10" s="48">
        <f t="shared" ref="J10:J11" si="5">D10</f>
        <v>33</v>
      </c>
    </row>
    <row r="11" spans="1:11" ht="21" customHeight="1" x14ac:dyDescent="0.15">
      <c r="A11" s="108">
        <v>61000010</v>
      </c>
      <c r="B11" s="47">
        <v>0</v>
      </c>
      <c r="C11" s="47">
        <v>70</v>
      </c>
      <c r="D11" s="47">
        <v>50</v>
      </c>
      <c r="E11" s="47" t="s">
        <v>90</v>
      </c>
      <c r="F11" s="47" t="s">
        <v>90</v>
      </c>
      <c r="G11" s="47">
        <v>1</v>
      </c>
      <c r="H11" s="47">
        <v>2</v>
      </c>
      <c r="I11" s="47" t="s">
        <v>90</v>
      </c>
      <c r="J11" s="48">
        <f t="shared" si="5"/>
        <v>50</v>
      </c>
    </row>
    <row r="12" spans="1:11" ht="21" customHeight="1" x14ac:dyDescent="0.15">
      <c r="A12" s="108">
        <v>61000011</v>
      </c>
      <c r="B12" s="47">
        <v>0</v>
      </c>
      <c r="C12" s="47">
        <v>60</v>
      </c>
      <c r="D12" s="47">
        <v>100</v>
      </c>
      <c r="E12" s="47" t="s">
        <v>90</v>
      </c>
      <c r="F12" s="47" t="s">
        <v>90</v>
      </c>
      <c r="G12" s="47">
        <v>1</v>
      </c>
      <c r="H12" s="47">
        <v>2</v>
      </c>
      <c r="I12" s="47" t="s">
        <v>90</v>
      </c>
      <c r="J12" s="48">
        <f t="shared" ref="J12" si="6">D12</f>
        <v>100</v>
      </c>
    </row>
    <row r="13" spans="1:11" ht="21" customHeight="1" x14ac:dyDescent="0.15">
      <c r="A13" s="108">
        <v>61000012</v>
      </c>
      <c r="B13" s="47">
        <v>0</v>
      </c>
      <c r="C13" s="47">
        <v>150</v>
      </c>
      <c r="D13" s="47">
        <v>20</v>
      </c>
      <c r="E13" s="47" t="s">
        <v>170</v>
      </c>
      <c r="F13" s="47" t="s">
        <v>90</v>
      </c>
      <c r="G13" s="47">
        <v>1</v>
      </c>
      <c r="H13" s="47">
        <v>4</v>
      </c>
      <c r="I13" s="47" t="s">
        <v>90</v>
      </c>
      <c r="J13" s="48">
        <f t="shared" si="4"/>
        <v>20</v>
      </c>
    </row>
    <row r="14" spans="1:11" ht="21" customHeight="1" x14ac:dyDescent="0.15">
      <c r="A14" s="108">
        <v>61000013</v>
      </c>
      <c r="B14" s="47">
        <v>0</v>
      </c>
      <c r="C14" s="47">
        <v>140</v>
      </c>
      <c r="D14" s="47">
        <v>25</v>
      </c>
      <c r="E14" s="47" t="s">
        <v>170</v>
      </c>
      <c r="F14" s="47" t="s">
        <v>90</v>
      </c>
      <c r="G14" s="47">
        <v>1</v>
      </c>
      <c r="H14" s="47">
        <v>4</v>
      </c>
      <c r="I14" s="47" t="s">
        <v>90</v>
      </c>
      <c r="J14" s="48">
        <f t="shared" si="4"/>
        <v>25</v>
      </c>
    </row>
    <row r="15" spans="1:11" ht="21" customHeight="1" x14ac:dyDescent="0.15">
      <c r="A15" s="108">
        <v>61000014</v>
      </c>
      <c r="B15" s="47">
        <v>0</v>
      </c>
      <c r="C15" s="47">
        <v>130</v>
      </c>
      <c r="D15" s="47">
        <v>33</v>
      </c>
      <c r="E15" s="47" t="s">
        <v>90</v>
      </c>
      <c r="F15" s="47" t="s">
        <v>90</v>
      </c>
      <c r="G15" s="47">
        <v>1</v>
      </c>
      <c r="H15" s="47">
        <v>4</v>
      </c>
      <c r="I15" s="47" t="s">
        <v>90</v>
      </c>
      <c r="J15" s="48">
        <f t="shared" ref="J15:J16" si="7">D15</f>
        <v>33</v>
      </c>
    </row>
    <row r="16" spans="1:11" ht="21" customHeight="1" x14ac:dyDescent="0.15">
      <c r="A16" s="108">
        <v>61000015</v>
      </c>
      <c r="B16" s="47">
        <v>0</v>
      </c>
      <c r="C16" s="47">
        <v>120</v>
      </c>
      <c r="D16" s="47">
        <v>50</v>
      </c>
      <c r="E16" s="47" t="s">
        <v>90</v>
      </c>
      <c r="F16" s="47" t="s">
        <v>90</v>
      </c>
      <c r="G16" s="47">
        <v>1</v>
      </c>
      <c r="H16" s="47">
        <v>4</v>
      </c>
      <c r="I16" s="47" t="s">
        <v>90</v>
      </c>
      <c r="J16" s="48">
        <f t="shared" si="7"/>
        <v>50</v>
      </c>
    </row>
    <row r="17" spans="1:11" ht="21" customHeight="1" x14ac:dyDescent="0.15">
      <c r="A17" s="108">
        <v>61000016</v>
      </c>
      <c r="B17" s="47">
        <v>0</v>
      </c>
      <c r="C17" s="47">
        <v>110</v>
      </c>
      <c r="D17" s="47">
        <v>100</v>
      </c>
      <c r="E17" s="47" t="s">
        <v>90</v>
      </c>
      <c r="F17" s="47" t="s">
        <v>90</v>
      </c>
      <c r="G17" s="47">
        <v>1</v>
      </c>
      <c r="H17" s="47">
        <v>4</v>
      </c>
      <c r="I17" s="47" t="s">
        <v>90</v>
      </c>
      <c r="J17" s="48">
        <f t="shared" ref="J17" si="8">D17</f>
        <v>100</v>
      </c>
    </row>
    <row r="18" spans="1:11" ht="21" customHeight="1" x14ac:dyDescent="0.15">
      <c r="A18" s="111">
        <v>61000100</v>
      </c>
      <c r="B18" s="47">
        <v>1</v>
      </c>
      <c r="C18" s="47" t="s">
        <v>316</v>
      </c>
      <c r="D18" s="47">
        <v>100</v>
      </c>
      <c r="E18" s="47" t="s">
        <v>316</v>
      </c>
      <c r="F18" s="47" t="s">
        <v>316</v>
      </c>
      <c r="G18" s="47">
        <v>1</v>
      </c>
      <c r="H18" s="47">
        <v>1</v>
      </c>
      <c r="I18" s="47" t="s">
        <v>316</v>
      </c>
      <c r="J18" s="48">
        <f t="shared" ref="J18:J27" si="9">D18</f>
        <v>100</v>
      </c>
    </row>
    <row r="19" spans="1:11" ht="21" customHeight="1" x14ac:dyDescent="0.15">
      <c r="A19" s="111">
        <v>61000101</v>
      </c>
      <c r="B19" s="47">
        <v>0</v>
      </c>
      <c r="C19" s="47">
        <v>40</v>
      </c>
      <c r="D19" s="47">
        <v>25</v>
      </c>
      <c r="E19" s="47" t="s">
        <v>316</v>
      </c>
      <c r="F19" s="47" t="s">
        <v>316</v>
      </c>
      <c r="G19" s="47" t="s">
        <v>316</v>
      </c>
      <c r="H19" s="47">
        <v>1</v>
      </c>
      <c r="I19" s="47" t="s">
        <v>316</v>
      </c>
      <c r="J19" s="48">
        <f t="shared" si="9"/>
        <v>25</v>
      </c>
    </row>
    <row r="20" spans="1:11" ht="21" customHeight="1" x14ac:dyDescent="0.15">
      <c r="A20" s="111">
        <v>61000102</v>
      </c>
      <c r="B20" s="47">
        <v>0</v>
      </c>
      <c r="C20" s="47">
        <v>30</v>
      </c>
      <c r="D20" s="47">
        <v>33</v>
      </c>
      <c r="E20" s="47" t="s">
        <v>316</v>
      </c>
      <c r="F20" s="47" t="s">
        <v>316</v>
      </c>
      <c r="G20" s="47" t="s">
        <v>316</v>
      </c>
      <c r="H20" s="47">
        <v>1</v>
      </c>
      <c r="I20" s="47" t="s">
        <v>316</v>
      </c>
      <c r="J20" s="48">
        <f t="shared" si="9"/>
        <v>33</v>
      </c>
    </row>
    <row r="21" spans="1:11" ht="21" customHeight="1" x14ac:dyDescent="0.15">
      <c r="A21" s="111">
        <v>61000103</v>
      </c>
      <c r="B21" s="47">
        <v>0</v>
      </c>
      <c r="C21" s="47">
        <v>20</v>
      </c>
      <c r="D21" s="47">
        <v>50</v>
      </c>
      <c r="E21" s="47" t="s">
        <v>316</v>
      </c>
      <c r="F21" s="47" t="s">
        <v>316</v>
      </c>
      <c r="G21" s="47" t="s">
        <v>316</v>
      </c>
      <c r="H21" s="47">
        <v>1</v>
      </c>
      <c r="I21" s="47" t="s">
        <v>316</v>
      </c>
      <c r="J21" s="48">
        <f t="shared" ref="J21" si="10">D21</f>
        <v>50</v>
      </c>
    </row>
    <row r="22" spans="1:11" ht="21" customHeight="1" x14ac:dyDescent="0.15">
      <c r="A22" s="111">
        <v>61000104</v>
      </c>
      <c r="B22" s="47">
        <v>0</v>
      </c>
      <c r="C22" s="47">
        <v>10</v>
      </c>
      <c r="D22" s="47">
        <v>100</v>
      </c>
      <c r="E22" s="47" t="s">
        <v>316</v>
      </c>
      <c r="F22" s="47" t="s">
        <v>316</v>
      </c>
      <c r="G22" s="47" t="s">
        <v>316</v>
      </c>
      <c r="H22" s="47">
        <v>1</v>
      </c>
      <c r="I22" s="47" t="s">
        <v>316</v>
      </c>
      <c r="J22" s="48">
        <f t="shared" si="9"/>
        <v>100</v>
      </c>
    </row>
    <row r="23" spans="1:11" ht="21" customHeight="1" x14ac:dyDescent="0.15">
      <c r="A23" s="111">
        <v>61000105</v>
      </c>
      <c r="B23" s="47">
        <v>0</v>
      </c>
      <c r="C23" s="47">
        <v>80</v>
      </c>
      <c r="D23" s="47">
        <v>25</v>
      </c>
      <c r="E23" s="47" t="s">
        <v>316</v>
      </c>
      <c r="F23" s="47" t="s">
        <v>316</v>
      </c>
      <c r="G23" s="47">
        <v>1</v>
      </c>
      <c r="H23" s="47">
        <v>2</v>
      </c>
      <c r="I23" s="47" t="s">
        <v>316</v>
      </c>
      <c r="J23" s="48">
        <f t="shared" si="9"/>
        <v>25</v>
      </c>
    </row>
    <row r="24" spans="1:11" ht="21" customHeight="1" x14ac:dyDescent="0.15">
      <c r="A24" s="111">
        <v>61000106</v>
      </c>
      <c r="B24" s="47">
        <v>0</v>
      </c>
      <c r="C24" s="47">
        <v>70</v>
      </c>
      <c r="D24" s="47">
        <v>33</v>
      </c>
      <c r="E24" s="47" t="s">
        <v>316</v>
      </c>
      <c r="F24" s="47" t="s">
        <v>316</v>
      </c>
      <c r="G24" s="47">
        <v>1</v>
      </c>
      <c r="H24" s="47">
        <v>2</v>
      </c>
      <c r="I24" s="47" t="s">
        <v>316</v>
      </c>
      <c r="J24" s="48">
        <f t="shared" si="9"/>
        <v>33</v>
      </c>
    </row>
    <row r="25" spans="1:11" ht="21" customHeight="1" x14ac:dyDescent="0.15">
      <c r="A25" s="111">
        <v>61000107</v>
      </c>
      <c r="B25" s="47">
        <v>0</v>
      </c>
      <c r="C25" s="47">
        <v>60</v>
      </c>
      <c r="D25" s="47">
        <v>50</v>
      </c>
      <c r="E25" s="47" t="s">
        <v>316</v>
      </c>
      <c r="F25" s="47" t="s">
        <v>316</v>
      </c>
      <c r="G25" s="47">
        <v>1</v>
      </c>
      <c r="H25" s="47">
        <v>2</v>
      </c>
      <c r="I25" s="47" t="s">
        <v>316</v>
      </c>
      <c r="J25" s="48">
        <f t="shared" si="9"/>
        <v>50</v>
      </c>
    </row>
    <row r="26" spans="1:11" ht="21" customHeight="1" x14ac:dyDescent="0.15">
      <c r="A26" s="111">
        <v>61000108</v>
      </c>
      <c r="B26" s="47">
        <v>0</v>
      </c>
      <c r="C26" s="47">
        <v>50</v>
      </c>
      <c r="D26" s="47">
        <v>100</v>
      </c>
      <c r="E26" s="47" t="s">
        <v>316</v>
      </c>
      <c r="F26" s="47" t="s">
        <v>316</v>
      </c>
      <c r="G26" s="47">
        <v>1</v>
      </c>
      <c r="H26" s="47">
        <v>2</v>
      </c>
      <c r="I26" s="47" t="s">
        <v>316</v>
      </c>
      <c r="J26" s="48">
        <f t="shared" si="9"/>
        <v>100</v>
      </c>
      <c r="K26" s="45"/>
    </row>
    <row r="27" spans="1:11" ht="21" customHeight="1" x14ac:dyDescent="0.15">
      <c r="A27" s="111">
        <v>61000109</v>
      </c>
      <c r="B27" s="47">
        <v>0</v>
      </c>
      <c r="C27" s="47">
        <v>120</v>
      </c>
      <c r="D27" s="47">
        <v>25</v>
      </c>
      <c r="E27" s="47" t="s">
        <v>316</v>
      </c>
      <c r="F27" s="47" t="s">
        <v>316</v>
      </c>
      <c r="G27" s="47">
        <v>1</v>
      </c>
      <c r="H27" s="47">
        <v>4</v>
      </c>
      <c r="I27" s="47" t="s">
        <v>316</v>
      </c>
      <c r="J27" s="48">
        <f t="shared" si="9"/>
        <v>25</v>
      </c>
      <c r="K27" s="45"/>
    </row>
    <row r="28" spans="1:11" ht="21" customHeight="1" x14ac:dyDescent="0.15">
      <c r="A28" s="111">
        <v>61000110</v>
      </c>
      <c r="B28" s="47">
        <v>0</v>
      </c>
      <c r="C28" s="47">
        <v>110</v>
      </c>
      <c r="D28" s="47">
        <v>33</v>
      </c>
      <c r="E28" s="47" t="s">
        <v>316</v>
      </c>
      <c r="F28" s="47" t="s">
        <v>316</v>
      </c>
      <c r="G28" s="47">
        <v>1</v>
      </c>
      <c r="H28" s="47">
        <v>4</v>
      </c>
      <c r="I28" s="47" t="s">
        <v>316</v>
      </c>
      <c r="J28" s="48">
        <f t="shared" ref="J28:J29" si="11">D28</f>
        <v>33</v>
      </c>
      <c r="K28" s="45"/>
    </row>
    <row r="29" spans="1:11" ht="21" customHeight="1" x14ac:dyDescent="0.15">
      <c r="A29" s="111">
        <v>61000111</v>
      </c>
      <c r="B29" s="47">
        <v>0</v>
      </c>
      <c r="C29" s="47">
        <v>100</v>
      </c>
      <c r="D29" s="47">
        <v>50</v>
      </c>
      <c r="E29" s="47" t="s">
        <v>316</v>
      </c>
      <c r="F29" s="47" t="s">
        <v>316</v>
      </c>
      <c r="G29" s="47">
        <v>1</v>
      </c>
      <c r="H29" s="47">
        <v>4</v>
      </c>
      <c r="I29" s="47" t="s">
        <v>316</v>
      </c>
      <c r="J29" s="48">
        <f t="shared" si="11"/>
        <v>50</v>
      </c>
      <c r="K29" s="45"/>
    </row>
    <row r="30" spans="1:11" ht="21" customHeight="1" x14ac:dyDescent="0.15">
      <c r="A30" s="111">
        <v>61000112</v>
      </c>
      <c r="B30" s="47">
        <v>0</v>
      </c>
      <c r="C30" s="47">
        <v>90</v>
      </c>
      <c r="D30" s="47">
        <v>100</v>
      </c>
      <c r="E30" s="47" t="s">
        <v>316</v>
      </c>
      <c r="F30" s="47" t="s">
        <v>316</v>
      </c>
      <c r="G30" s="47">
        <v>1</v>
      </c>
      <c r="H30" s="47">
        <v>4</v>
      </c>
      <c r="I30" s="47" t="s">
        <v>316</v>
      </c>
      <c r="J30" s="48">
        <f t="shared" ref="J30:J42" si="12">D30</f>
        <v>100</v>
      </c>
      <c r="K30" s="45"/>
    </row>
    <row r="31" spans="1:11" ht="21" customHeight="1" x14ac:dyDescent="0.15">
      <c r="A31" s="114">
        <v>61000200</v>
      </c>
      <c r="B31" s="126">
        <v>1</v>
      </c>
      <c r="C31" s="126" t="s">
        <v>316</v>
      </c>
      <c r="D31" s="126">
        <v>100</v>
      </c>
      <c r="E31" s="126" t="s">
        <v>316</v>
      </c>
      <c r="F31" s="126" t="s">
        <v>316</v>
      </c>
      <c r="G31" s="126">
        <v>1</v>
      </c>
      <c r="H31" s="126">
        <v>1</v>
      </c>
      <c r="I31" s="126" t="s">
        <v>316</v>
      </c>
      <c r="J31" s="48">
        <f t="shared" si="12"/>
        <v>100</v>
      </c>
      <c r="K31" s="45"/>
    </row>
    <row r="32" spans="1:11" ht="21" customHeight="1" x14ac:dyDescent="0.15">
      <c r="A32" s="114">
        <v>61000201</v>
      </c>
      <c r="B32" s="126">
        <v>0</v>
      </c>
      <c r="C32" s="126">
        <v>120</v>
      </c>
      <c r="D32" s="126">
        <v>25</v>
      </c>
      <c r="E32" s="126" t="s">
        <v>316</v>
      </c>
      <c r="F32" s="126" t="s">
        <v>316</v>
      </c>
      <c r="G32" s="126">
        <v>1</v>
      </c>
      <c r="H32" s="126">
        <v>3</v>
      </c>
      <c r="I32" s="126" t="s">
        <v>316</v>
      </c>
      <c r="J32" s="48">
        <f t="shared" si="12"/>
        <v>25</v>
      </c>
      <c r="K32" s="45"/>
    </row>
    <row r="33" spans="1:11" ht="21" customHeight="1" x14ac:dyDescent="0.15">
      <c r="A33" s="114">
        <v>61000202</v>
      </c>
      <c r="B33" s="126">
        <v>0</v>
      </c>
      <c r="C33" s="126">
        <v>110</v>
      </c>
      <c r="D33" s="126">
        <v>33</v>
      </c>
      <c r="E33" s="126" t="s">
        <v>316</v>
      </c>
      <c r="F33" s="126" t="s">
        <v>316</v>
      </c>
      <c r="G33" s="126">
        <v>1</v>
      </c>
      <c r="H33" s="126">
        <v>3</v>
      </c>
      <c r="I33" s="126" t="s">
        <v>316</v>
      </c>
      <c r="J33" s="48">
        <f t="shared" si="12"/>
        <v>33</v>
      </c>
      <c r="K33" s="45"/>
    </row>
    <row r="34" spans="1:11" ht="21" customHeight="1" x14ac:dyDescent="0.15">
      <c r="A34" s="114">
        <v>61000203</v>
      </c>
      <c r="B34" s="126">
        <v>0</v>
      </c>
      <c r="C34" s="126">
        <v>100</v>
      </c>
      <c r="D34" s="126">
        <v>50</v>
      </c>
      <c r="E34" s="126" t="s">
        <v>316</v>
      </c>
      <c r="F34" s="126" t="s">
        <v>316</v>
      </c>
      <c r="G34" s="126">
        <v>1</v>
      </c>
      <c r="H34" s="126">
        <v>3</v>
      </c>
      <c r="I34" s="126" t="s">
        <v>316</v>
      </c>
      <c r="J34" s="48">
        <f t="shared" si="12"/>
        <v>50</v>
      </c>
      <c r="K34" s="45"/>
    </row>
    <row r="35" spans="1:11" ht="21" customHeight="1" x14ac:dyDescent="0.15">
      <c r="A35" s="114">
        <v>61000204</v>
      </c>
      <c r="B35" s="126">
        <v>0</v>
      </c>
      <c r="C35" s="126">
        <v>90</v>
      </c>
      <c r="D35" s="126">
        <v>100</v>
      </c>
      <c r="E35" s="126" t="s">
        <v>316</v>
      </c>
      <c r="F35" s="126" t="s">
        <v>316</v>
      </c>
      <c r="G35" s="126">
        <v>1</v>
      </c>
      <c r="H35" s="126">
        <v>3</v>
      </c>
      <c r="I35" s="126" t="s">
        <v>316</v>
      </c>
      <c r="J35" s="48">
        <f t="shared" si="12"/>
        <v>100</v>
      </c>
      <c r="K35" s="45"/>
    </row>
    <row r="36" spans="1:11" ht="21" customHeight="1" x14ac:dyDescent="0.15">
      <c r="A36" s="114">
        <v>61000205</v>
      </c>
      <c r="B36" s="126">
        <v>0</v>
      </c>
      <c r="C36" s="126">
        <v>160</v>
      </c>
      <c r="D36" s="126">
        <v>25</v>
      </c>
      <c r="E36" s="126" t="s">
        <v>316</v>
      </c>
      <c r="F36" s="126" t="s">
        <v>316</v>
      </c>
      <c r="G36" s="126">
        <v>1</v>
      </c>
      <c r="H36" s="126">
        <v>4</v>
      </c>
      <c r="I36" s="126" t="s">
        <v>316</v>
      </c>
      <c r="J36" s="48">
        <f t="shared" si="12"/>
        <v>25</v>
      </c>
      <c r="K36" s="45"/>
    </row>
    <row r="37" spans="1:11" ht="21" customHeight="1" x14ac:dyDescent="0.15">
      <c r="A37" s="114">
        <v>61000206</v>
      </c>
      <c r="B37" s="126">
        <v>0</v>
      </c>
      <c r="C37" s="126">
        <v>150</v>
      </c>
      <c r="D37" s="126">
        <v>33</v>
      </c>
      <c r="E37" s="126" t="s">
        <v>316</v>
      </c>
      <c r="F37" s="126" t="s">
        <v>316</v>
      </c>
      <c r="G37" s="126">
        <v>1</v>
      </c>
      <c r="H37" s="126">
        <v>4</v>
      </c>
      <c r="I37" s="126" t="s">
        <v>316</v>
      </c>
      <c r="J37" s="48">
        <f t="shared" si="12"/>
        <v>33</v>
      </c>
      <c r="K37" s="45"/>
    </row>
    <row r="38" spans="1:11" ht="21" customHeight="1" x14ac:dyDescent="0.15">
      <c r="A38" s="114">
        <v>61000207</v>
      </c>
      <c r="B38" s="126">
        <v>0</v>
      </c>
      <c r="C38" s="126">
        <v>140</v>
      </c>
      <c r="D38" s="126">
        <v>50</v>
      </c>
      <c r="E38" s="126" t="s">
        <v>316</v>
      </c>
      <c r="F38" s="126" t="s">
        <v>316</v>
      </c>
      <c r="G38" s="126">
        <v>1</v>
      </c>
      <c r="H38" s="126">
        <v>4</v>
      </c>
      <c r="I38" s="126" t="s">
        <v>316</v>
      </c>
      <c r="J38" s="48">
        <f t="shared" si="12"/>
        <v>50</v>
      </c>
      <c r="K38" s="45"/>
    </row>
    <row r="39" spans="1:11" ht="21" customHeight="1" x14ac:dyDescent="0.15">
      <c r="A39" s="114">
        <v>61000208</v>
      </c>
      <c r="B39" s="126">
        <v>0</v>
      </c>
      <c r="C39" s="126">
        <v>130</v>
      </c>
      <c r="D39" s="126">
        <v>100</v>
      </c>
      <c r="E39" s="126" t="s">
        <v>316</v>
      </c>
      <c r="F39" s="126" t="s">
        <v>316</v>
      </c>
      <c r="G39" s="126">
        <v>1</v>
      </c>
      <c r="H39" s="126">
        <v>4</v>
      </c>
      <c r="I39" s="126" t="s">
        <v>316</v>
      </c>
      <c r="J39" s="48">
        <f t="shared" si="12"/>
        <v>100</v>
      </c>
      <c r="K39" s="45"/>
    </row>
    <row r="40" spans="1:11" ht="21" customHeight="1" x14ac:dyDescent="0.15">
      <c r="A40" s="120">
        <v>61000209</v>
      </c>
      <c r="B40" s="126">
        <v>0</v>
      </c>
      <c r="C40" s="126">
        <v>80</v>
      </c>
      <c r="D40" s="126">
        <v>25</v>
      </c>
      <c r="E40" s="126" t="s">
        <v>316</v>
      </c>
      <c r="F40" s="126" t="s">
        <v>316</v>
      </c>
      <c r="G40" s="126">
        <v>1</v>
      </c>
      <c r="H40" s="126">
        <v>2</v>
      </c>
      <c r="I40" s="126" t="s">
        <v>316</v>
      </c>
      <c r="J40" s="48">
        <f t="shared" si="12"/>
        <v>25</v>
      </c>
      <c r="K40" s="45"/>
    </row>
    <row r="41" spans="1:11" ht="21" customHeight="1" x14ac:dyDescent="0.15">
      <c r="A41" s="120">
        <v>61000210</v>
      </c>
      <c r="B41" s="126">
        <v>0</v>
      </c>
      <c r="C41" s="126">
        <v>70</v>
      </c>
      <c r="D41" s="126">
        <v>33</v>
      </c>
      <c r="E41" s="126" t="s">
        <v>316</v>
      </c>
      <c r="F41" s="126" t="s">
        <v>316</v>
      </c>
      <c r="G41" s="126">
        <v>1</v>
      </c>
      <c r="H41" s="126">
        <v>2</v>
      </c>
      <c r="I41" s="126" t="s">
        <v>316</v>
      </c>
      <c r="J41" s="48">
        <f t="shared" si="12"/>
        <v>33</v>
      </c>
      <c r="K41" s="45"/>
    </row>
    <row r="42" spans="1:11" ht="21" customHeight="1" x14ac:dyDescent="0.15">
      <c r="A42" s="120">
        <v>61000211</v>
      </c>
      <c r="B42" s="126">
        <v>0</v>
      </c>
      <c r="C42" s="126">
        <v>60</v>
      </c>
      <c r="D42" s="126">
        <v>50</v>
      </c>
      <c r="E42" s="126" t="s">
        <v>316</v>
      </c>
      <c r="F42" s="126" t="s">
        <v>316</v>
      </c>
      <c r="G42" s="126">
        <v>1</v>
      </c>
      <c r="H42" s="126">
        <v>2</v>
      </c>
      <c r="I42" s="126" t="s">
        <v>316</v>
      </c>
      <c r="J42" s="48">
        <f t="shared" si="12"/>
        <v>50</v>
      </c>
      <c r="K42" s="45"/>
    </row>
    <row r="43" spans="1:11" ht="21" customHeight="1" x14ac:dyDescent="0.15">
      <c r="A43" s="120">
        <v>61000212</v>
      </c>
      <c r="B43" s="126">
        <v>0</v>
      </c>
      <c r="C43" s="126">
        <v>50</v>
      </c>
      <c r="D43" s="126">
        <v>100</v>
      </c>
      <c r="E43" s="126" t="s">
        <v>316</v>
      </c>
      <c r="F43" s="126" t="s">
        <v>316</v>
      </c>
      <c r="G43" s="126">
        <v>1</v>
      </c>
      <c r="H43" s="126">
        <v>2</v>
      </c>
      <c r="I43" s="126" t="s">
        <v>316</v>
      </c>
      <c r="J43" s="48">
        <f t="shared" ref="J43:J55" si="13">D43</f>
        <v>100</v>
      </c>
      <c r="K43" s="45"/>
    </row>
    <row r="44" spans="1:11" ht="21" customHeight="1" x14ac:dyDescent="0.15">
      <c r="A44" s="108">
        <v>61000213</v>
      </c>
      <c r="B44" s="126">
        <v>0</v>
      </c>
      <c r="C44" s="126">
        <v>80</v>
      </c>
      <c r="D44" s="126">
        <v>25</v>
      </c>
      <c r="E44" s="126" t="s">
        <v>316</v>
      </c>
      <c r="F44" s="126" t="s">
        <v>316</v>
      </c>
      <c r="G44" s="126">
        <v>1</v>
      </c>
      <c r="H44" s="126">
        <v>2</v>
      </c>
      <c r="I44" s="126" t="s">
        <v>316</v>
      </c>
      <c r="J44" s="48">
        <f t="shared" si="13"/>
        <v>25</v>
      </c>
      <c r="K44" s="45"/>
    </row>
    <row r="45" spans="1:11" ht="21" customHeight="1" x14ac:dyDescent="0.15">
      <c r="A45" s="108">
        <v>61000214</v>
      </c>
      <c r="B45" s="126">
        <v>0</v>
      </c>
      <c r="C45" s="126">
        <v>70</v>
      </c>
      <c r="D45" s="126">
        <v>33</v>
      </c>
      <c r="E45" s="126" t="s">
        <v>316</v>
      </c>
      <c r="F45" s="126" t="s">
        <v>316</v>
      </c>
      <c r="G45" s="126">
        <v>1</v>
      </c>
      <c r="H45" s="126">
        <v>2</v>
      </c>
      <c r="I45" s="126" t="s">
        <v>316</v>
      </c>
      <c r="J45" s="48">
        <f t="shared" si="13"/>
        <v>33</v>
      </c>
      <c r="K45" s="45"/>
    </row>
    <row r="46" spans="1:11" ht="21" customHeight="1" x14ac:dyDescent="0.15">
      <c r="A46" s="108">
        <v>61000215</v>
      </c>
      <c r="B46" s="126">
        <v>0</v>
      </c>
      <c r="C46" s="126">
        <v>60</v>
      </c>
      <c r="D46" s="126">
        <v>50</v>
      </c>
      <c r="E46" s="126" t="s">
        <v>316</v>
      </c>
      <c r="F46" s="126" t="s">
        <v>316</v>
      </c>
      <c r="G46" s="126">
        <v>1</v>
      </c>
      <c r="H46" s="126">
        <v>2</v>
      </c>
      <c r="I46" s="126" t="s">
        <v>316</v>
      </c>
      <c r="J46" s="48">
        <f t="shared" si="13"/>
        <v>50</v>
      </c>
      <c r="K46" s="45"/>
    </row>
    <row r="47" spans="1:11" ht="21" customHeight="1" x14ac:dyDescent="0.15">
      <c r="A47" s="108">
        <v>61000216</v>
      </c>
      <c r="B47" s="126">
        <v>0</v>
      </c>
      <c r="C47" s="126">
        <v>50</v>
      </c>
      <c r="D47" s="126">
        <v>100</v>
      </c>
      <c r="E47" s="126" t="s">
        <v>316</v>
      </c>
      <c r="F47" s="126" t="s">
        <v>316</v>
      </c>
      <c r="G47" s="126">
        <v>1</v>
      </c>
      <c r="H47" s="126">
        <v>2</v>
      </c>
      <c r="I47" s="126" t="s">
        <v>316</v>
      </c>
      <c r="J47" s="48">
        <f t="shared" si="13"/>
        <v>100</v>
      </c>
      <c r="K47" s="45"/>
    </row>
    <row r="48" spans="1:11" ht="21" customHeight="1" x14ac:dyDescent="0.15">
      <c r="A48" s="111">
        <v>61000217</v>
      </c>
      <c r="B48" s="126">
        <v>0</v>
      </c>
      <c r="C48" s="126">
        <v>80</v>
      </c>
      <c r="D48" s="126">
        <v>25</v>
      </c>
      <c r="E48" s="126" t="s">
        <v>316</v>
      </c>
      <c r="F48" s="126" t="s">
        <v>316</v>
      </c>
      <c r="G48" s="126">
        <v>1</v>
      </c>
      <c r="H48" s="126">
        <v>2</v>
      </c>
      <c r="I48" s="126" t="s">
        <v>316</v>
      </c>
      <c r="J48" s="48">
        <f t="shared" si="13"/>
        <v>25</v>
      </c>
      <c r="K48" s="45"/>
    </row>
    <row r="49" spans="1:11" ht="21" customHeight="1" x14ac:dyDescent="0.15">
      <c r="A49" s="111">
        <v>61000218</v>
      </c>
      <c r="B49" s="126">
        <v>0</v>
      </c>
      <c r="C49" s="126">
        <v>70</v>
      </c>
      <c r="D49" s="126">
        <v>33</v>
      </c>
      <c r="E49" s="126" t="s">
        <v>316</v>
      </c>
      <c r="F49" s="126" t="s">
        <v>316</v>
      </c>
      <c r="G49" s="126">
        <v>1</v>
      </c>
      <c r="H49" s="126">
        <v>2</v>
      </c>
      <c r="I49" s="126" t="s">
        <v>316</v>
      </c>
      <c r="J49" s="48">
        <f t="shared" si="13"/>
        <v>33</v>
      </c>
      <c r="K49" s="45"/>
    </row>
    <row r="50" spans="1:11" ht="21" customHeight="1" x14ac:dyDescent="0.15">
      <c r="A50" s="111">
        <v>61000219</v>
      </c>
      <c r="B50" s="126">
        <v>0</v>
      </c>
      <c r="C50" s="126">
        <v>60</v>
      </c>
      <c r="D50" s="126">
        <v>50</v>
      </c>
      <c r="E50" s="126" t="s">
        <v>316</v>
      </c>
      <c r="F50" s="126" t="s">
        <v>316</v>
      </c>
      <c r="G50" s="126">
        <v>1</v>
      </c>
      <c r="H50" s="126">
        <v>2</v>
      </c>
      <c r="I50" s="126" t="s">
        <v>316</v>
      </c>
      <c r="J50" s="48">
        <f t="shared" si="13"/>
        <v>50</v>
      </c>
      <c r="K50" s="45"/>
    </row>
    <row r="51" spans="1:11" ht="21" customHeight="1" x14ac:dyDescent="0.15">
      <c r="A51" s="111">
        <v>61000220</v>
      </c>
      <c r="B51" s="126">
        <v>0</v>
      </c>
      <c r="C51" s="126">
        <v>50</v>
      </c>
      <c r="D51" s="126">
        <v>100</v>
      </c>
      <c r="E51" s="126" t="s">
        <v>316</v>
      </c>
      <c r="F51" s="126" t="s">
        <v>316</v>
      </c>
      <c r="G51" s="126">
        <v>1</v>
      </c>
      <c r="H51" s="126">
        <v>2</v>
      </c>
      <c r="I51" s="126" t="s">
        <v>316</v>
      </c>
      <c r="J51" s="48">
        <f t="shared" si="13"/>
        <v>100</v>
      </c>
      <c r="K51" s="45"/>
    </row>
    <row r="52" spans="1:11" ht="21" customHeight="1" x14ac:dyDescent="0.15">
      <c r="A52" s="117">
        <v>61000221</v>
      </c>
      <c r="B52" s="126">
        <v>0</v>
      </c>
      <c r="C52" s="126">
        <v>80</v>
      </c>
      <c r="D52" s="126">
        <v>25</v>
      </c>
      <c r="E52" s="126" t="s">
        <v>316</v>
      </c>
      <c r="F52" s="126" t="s">
        <v>316</v>
      </c>
      <c r="G52" s="126">
        <v>1</v>
      </c>
      <c r="H52" s="126">
        <v>2</v>
      </c>
      <c r="I52" s="126" t="s">
        <v>316</v>
      </c>
      <c r="J52" s="48">
        <f t="shared" si="13"/>
        <v>25</v>
      </c>
      <c r="K52" s="45"/>
    </row>
    <row r="53" spans="1:11" ht="21" customHeight="1" x14ac:dyDescent="0.15">
      <c r="A53" s="117">
        <v>61000222</v>
      </c>
      <c r="B53" s="126">
        <v>0</v>
      </c>
      <c r="C53" s="126">
        <v>70</v>
      </c>
      <c r="D53" s="126">
        <v>33</v>
      </c>
      <c r="E53" s="126" t="s">
        <v>316</v>
      </c>
      <c r="F53" s="126" t="s">
        <v>316</v>
      </c>
      <c r="G53" s="126">
        <v>1</v>
      </c>
      <c r="H53" s="126">
        <v>2</v>
      </c>
      <c r="I53" s="126" t="s">
        <v>316</v>
      </c>
      <c r="J53" s="48">
        <f t="shared" si="13"/>
        <v>33</v>
      </c>
      <c r="K53" s="45"/>
    </row>
    <row r="54" spans="1:11" ht="21" customHeight="1" x14ac:dyDescent="0.15">
      <c r="A54" s="117">
        <v>61000223</v>
      </c>
      <c r="B54" s="126">
        <v>0</v>
      </c>
      <c r="C54" s="126">
        <v>60</v>
      </c>
      <c r="D54" s="126">
        <v>50</v>
      </c>
      <c r="E54" s="126" t="s">
        <v>316</v>
      </c>
      <c r="F54" s="126" t="s">
        <v>316</v>
      </c>
      <c r="G54" s="126">
        <v>1</v>
      </c>
      <c r="H54" s="126">
        <v>2</v>
      </c>
      <c r="I54" s="126" t="s">
        <v>316</v>
      </c>
      <c r="J54" s="48">
        <f t="shared" si="13"/>
        <v>50</v>
      </c>
      <c r="K54" s="45"/>
    </row>
    <row r="55" spans="1:11" ht="21" customHeight="1" x14ac:dyDescent="0.15">
      <c r="A55" s="117">
        <v>61000224</v>
      </c>
      <c r="B55" s="126">
        <v>0</v>
      </c>
      <c r="C55" s="126">
        <v>50</v>
      </c>
      <c r="D55" s="126">
        <v>100</v>
      </c>
      <c r="E55" s="126" t="s">
        <v>316</v>
      </c>
      <c r="F55" s="126" t="s">
        <v>316</v>
      </c>
      <c r="G55" s="126">
        <v>1</v>
      </c>
      <c r="H55" s="126">
        <v>2</v>
      </c>
      <c r="I55" s="126" t="s">
        <v>316</v>
      </c>
      <c r="J55" s="48">
        <f t="shared" si="13"/>
        <v>100</v>
      </c>
      <c r="K55" s="45"/>
    </row>
    <row r="56" spans="1:11" ht="21" customHeight="1" x14ac:dyDescent="0.15">
      <c r="A56" s="120">
        <v>61000225</v>
      </c>
      <c r="B56" s="126">
        <v>0</v>
      </c>
      <c r="C56" s="126">
        <v>40</v>
      </c>
      <c r="D56" s="126">
        <v>25</v>
      </c>
      <c r="E56" s="126" t="s">
        <v>316</v>
      </c>
      <c r="F56" s="126" t="s">
        <v>316</v>
      </c>
      <c r="G56" s="126">
        <v>1</v>
      </c>
      <c r="H56" s="126">
        <v>1</v>
      </c>
      <c r="I56" s="126" t="s">
        <v>316</v>
      </c>
      <c r="J56" s="48">
        <f t="shared" ref="J56:J69" si="14">D56</f>
        <v>25</v>
      </c>
      <c r="K56" s="45"/>
    </row>
    <row r="57" spans="1:11" ht="21" customHeight="1" x14ac:dyDescent="0.15">
      <c r="A57" s="120">
        <v>61000226</v>
      </c>
      <c r="B57" s="126">
        <v>0</v>
      </c>
      <c r="C57" s="126">
        <v>30</v>
      </c>
      <c r="D57" s="126">
        <v>33</v>
      </c>
      <c r="E57" s="126" t="s">
        <v>316</v>
      </c>
      <c r="F57" s="126" t="s">
        <v>316</v>
      </c>
      <c r="G57" s="126">
        <v>1</v>
      </c>
      <c r="H57" s="126">
        <v>1</v>
      </c>
      <c r="I57" s="126" t="s">
        <v>316</v>
      </c>
      <c r="J57" s="48">
        <f t="shared" si="14"/>
        <v>33</v>
      </c>
      <c r="K57" s="45"/>
    </row>
    <row r="58" spans="1:11" ht="21" customHeight="1" x14ac:dyDescent="0.15">
      <c r="A58" s="114">
        <v>61000227</v>
      </c>
      <c r="B58" s="126">
        <v>0</v>
      </c>
      <c r="C58" s="126">
        <v>20</v>
      </c>
      <c r="D58" s="126">
        <v>50</v>
      </c>
      <c r="E58" s="126" t="s">
        <v>316</v>
      </c>
      <c r="F58" s="126" t="s">
        <v>316</v>
      </c>
      <c r="G58" s="126">
        <v>1</v>
      </c>
      <c r="H58" s="126">
        <v>1</v>
      </c>
      <c r="I58" s="126" t="s">
        <v>316</v>
      </c>
      <c r="J58" s="48">
        <f t="shared" si="14"/>
        <v>50</v>
      </c>
      <c r="K58" s="45"/>
    </row>
    <row r="59" spans="1:11" ht="21" customHeight="1" x14ac:dyDescent="0.15">
      <c r="A59" s="114">
        <v>61000228</v>
      </c>
      <c r="B59" s="126">
        <v>0</v>
      </c>
      <c r="C59" s="126">
        <v>10</v>
      </c>
      <c r="D59" s="126">
        <v>100</v>
      </c>
      <c r="E59" s="126" t="s">
        <v>316</v>
      </c>
      <c r="F59" s="126" t="s">
        <v>316</v>
      </c>
      <c r="G59" s="126">
        <v>1</v>
      </c>
      <c r="H59" s="126">
        <v>1</v>
      </c>
      <c r="I59" s="126" t="s">
        <v>316</v>
      </c>
      <c r="J59" s="48">
        <f t="shared" si="14"/>
        <v>100</v>
      </c>
      <c r="K59" s="45"/>
    </row>
    <row r="60" spans="1:11" ht="21" customHeight="1" x14ac:dyDescent="0.15">
      <c r="A60" s="108">
        <v>61000229</v>
      </c>
      <c r="B60" s="126">
        <v>0</v>
      </c>
      <c r="C60" s="126">
        <v>40</v>
      </c>
      <c r="D60" s="126">
        <v>25</v>
      </c>
      <c r="E60" s="126" t="s">
        <v>316</v>
      </c>
      <c r="F60" s="126" t="s">
        <v>316</v>
      </c>
      <c r="G60" s="126">
        <v>1</v>
      </c>
      <c r="H60" s="126">
        <v>1</v>
      </c>
      <c r="I60" s="126" t="s">
        <v>316</v>
      </c>
      <c r="J60" s="48">
        <f t="shared" si="14"/>
        <v>25</v>
      </c>
      <c r="K60" s="45"/>
    </row>
    <row r="61" spans="1:11" ht="21" customHeight="1" x14ac:dyDescent="0.15">
      <c r="A61" s="108">
        <v>61000230</v>
      </c>
      <c r="B61" s="126">
        <v>0</v>
      </c>
      <c r="C61" s="126">
        <v>30</v>
      </c>
      <c r="D61" s="126">
        <v>33</v>
      </c>
      <c r="E61" s="126" t="s">
        <v>316</v>
      </c>
      <c r="F61" s="126" t="s">
        <v>316</v>
      </c>
      <c r="G61" s="126">
        <v>1</v>
      </c>
      <c r="H61" s="126">
        <v>1</v>
      </c>
      <c r="I61" s="126" t="s">
        <v>316</v>
      </c>
      <c r="J61" s="48">
        <f t="shared" si="14"/>
        <v>33</v>
      </c>
      <c r="K61" s="45"/>
    </row>
    <row r="62" spans="1:11" ht="21" customHeight="1" x14ac:dyDescent="0.15">
      <c r="A62" s="111">
        <v>61000231</v>
      </c>
      <c r="B62" s="126">
        <v>0</v>
      </c>
      <c r="C62" s="126">
        <v>40</v>
      </c>
      <c r="D62" s="126">
        <v>25</v>
      </c>
      <c r="E62" s="126" t="s">
        <v>316</v>
      </c>
      <c r="F62" s="126" t="s">
        <v>316</v>
      </c>
      <c r="G62" s="126">
        <v>1</v>
      </c>
      <c r="H62" s="126">
        <v>1</v>
      </c>
      <c r="I62" s="126" t="s">
        <v>316</v>
      </c>
      <c r="J62" s="48">
        <f t="shared" si="14"/>
        <v>25</v>
      </c>
      <c r="K62" s="45"/>
    </row>
    <row r="63" spans="1:11" ht="21" customHeight="1" x14ac:dyDescent="0.15">
      <c r="A63" s="111">
        <v>61000232</v>
      </c>
      <c r="B63" s="126">
        <v>0</v>
      </c>
      <c r="C63" s="126">
        <v>30</v>
      </c>
      <c r="D63" s="126">
        <v>33</v>
      </c>
      <c r="E63" s="126" t="s">
        <v>316</v>
      </c>
      <c r="F63" s="126" t="s">
        <v>316</v>
      </c>
      <c r="G63" s="126">
        <v>1</v>
      </c>
      <c r="H63" s="126">
        <v>1</v>
      </c>
      <c r="I63" s="126" t="s">
        <v>316</v>
      </c>
      <c r="J63" s="48">
        <f t="shared" si="14"/>
        <v>33</v>
      </c>
      <c r="K63" s="45"/>
    </row>
    <row r="64" spans="1:11" ht="21" customHeight="1" x14ac:dyDescent="0.15">
      <c r="A64" s="117">
        <v>61000233</v>
      </c>
      <c r="B64" s="126">
        <v>0</v>
      </c>
      <c r="C64" s="126">
        <v>40</v>
      </c>
      <c r="D64" s="126">
        <v>25</v>
      </c>
      <c r="E64" s="126" t="s">
        <v>316</v>
      </c>
      <c r="F64" s="126" t="s">
        <v>316</v>
      </c>
      <c r="G64" s="126">
        <v>1</v>
      </c>
      <c r="H64" s="126">
        <v>1</v>
      </c>
      <c r="I64" s="126" t="s">
        <v>316</v>
      </c>
      <c r="J64" s="48">
        <f t="shared" si="14"/>
        <v>25</v>
      </c>
      <c r="K64" s="45"/>
    </row>
    <row r="65" spans="1:11" ht="21" customHeight="1" x14ac:dyDescent="0.15">
      <c r="A65" s="117">
        <v>61000234</v>
      </c>
      <c r="B65" s="126">
        <v>0</v>
      </c>
      <c r="C65" s="126">
        <v>30</v>
      </c>
      <c r="D65" s="126">
        <v>33</v>
      </c>
      <c r="E65" s="126" t="s">
        <v>316</v>
      </c>
      <c r="F65" s="126" t="s">
        <v>316</v>
      </c>
      <c r="G65" s="126">
        <v>1</v>
      </c>
      <c r="H65" s="126">
        <v>1</v>
      </c>
      <c r="I65" s="126" t="s">
        <v>316</v>
      </c>
      <c r="J65" s="48">
        <f t="shared" si="14"/>
        <v>33</v>
      </c>
      <c r="K65" s="45"/>
    </row>
    <row r="66" spans="1:11" ht="21" customHeight="1" x14ac:dyDescent="0.15">
      <c r="A66" s="114">
        <v>61000235</v>
      </c>
      <c r="B66" s="126">
        <v>0</v>
      </c>
      <c r="C66" s="126">
        <v>200</v>
      </c>
      <c r="D66" s="126">
        <v>25</v>
      </c>
      <c r="E66" s="126" t="s">
        <v>316</v>
      </c>
      <c r="F66" s="126" t="s">
        <v>316</v>
      </c>
      <c r="G66" s="126">
        <v>1</v>
      </c>
      <c r="H66" s="126">
        <v>5</v>
      </c>
      <c r="I66" s="126" t="s">
        <v>316</v>
      </c>
      <c r="J66" s="48">
        <f t="shared" si="14"/>
        <v>25</v>
      </c>
      <c r="K66" s="45"/>
    </row>
    <row r="67" spans="1:11" ht="21" customHeight="1" x14ac:dyDescent="0.15">
      <c r="A67" s="114">
        <v>61000236</v>
      </c>
      <c r="B67" s="126">
        <v>0</v>
      </c>
      <c r="C67" s="126">
        <v>190</v>
      </c>
      <c r="D67" s="126">
        <v>33</v>
      </c>
      <c r="E67" s="126" t="s">
        <v>316</v>
      </c>
      <c r="F67" s="126" t="s">
        <v>316</v>
      </c>
      <c r="G67" s="126">
        <v>1</v>
      </c>
      <c r="H67" s="126">
        <v>5</v>
      </c>
      <c r="I67" s="126" t="s">
        <v>316</v>
      </c>
      <c r="J67" s="48">
        <f t="shared" si="14"/>
        <v>33</v>
      </c>
      <c r="K67" s="45"/>
    </row>
    <row r="68" spans="1:11" ht="21" customHeight="1" x14ac:dyDescent="0.15">
      <c r="A68" s="114">
        <v>61000237</v>
      </c>
      <c r="B68" s="126">
        <v>0</v>
      </c>
      <c r="C68" s="126">
        <v>180</v>
      </c>
      <c r="D68" s="126">
        <v>50</v>
      </c>
      <c r="E68" s="126" t="s">
        <v>316</v>
      </c>
      <c r="F68" s="126" t="s">
        <v>316</v>
      </c>
      <c r="G68" s="126">
        <v>1</v>
      </c>
      <c r="H68" s="126">
        <v>5</v>
      </c>
      <c r="I68" s="126" t="s">
        <v>316</v>
      </c>
      <c r="J68" s="48">
        <f t="shared" si="14"/>
        <v>50</v>
      </c>
      <c r="K68" s="45"/>
    </row>
    <row r="69" spans="1:11" ht="21" customHeight="1" x14ac:dyDescent="0.15">
      <c r="A69" s="114">
        <v>61000238</v>
      </c>
      <c r="B69" s="126">
        <v>0</v>
      </c>
      <c r="C69" s="126">
        <v>170</v>
      </c>
      <c r="D69" s="126">
        <v>100</v>
      </c>
      <c r="E69" s="126" t="s">
        <v>316</v>
      </c>
      <c r="F69" s="126" t="s">
        <v>316</v>
      </c>
      <c r="G69" s="126">
        <v>1</v>
      </c>
      <c r="H69" s="126">
        <v>5</v>
      </c>
      <c r="I69" s="126" t="s">
        <v>316</v>
      </c>
      <c r="J69" s="48">
        <f t="shared" si="14"/>
        <v>100</v>
      </c>
      <c r="K69" s="45"/>
    </row>
  </sheetData>
  <autoFilter ref="A1:G1"/>
  <phoneticPr fontId="5"/>
  <conditionalFormatting sqref="K70:K1048576 K1:K2">
    <cfRule type="duplicateValues" dxfId="67" priority="72"/>
  </conditionalFormatting>
  <conditionalFormatting sqref="K3">
    <cfRule type="duplicateValues" dxfId="66" priority="71"/>
  </conditionalFormatting>
  <conditionalFormatting sqref="K4">
    <cfRule type="duplicateValues" dxfId="65" priority="70"/>
  </conditionalFormatting>
  <conditionalFormatting sqref="K8">
    <cfRule type="duplicateValues" dxfId="64" priority="69"/>
  </conditionalFormatting>
  <conditionalFormatting sqref="K9">
    <cfRule type="duplicateValues" dxfId="63" priority="68"/>
  </conditionalFormatting>
  <conditionalFormatting sqref="K13">
    <cfRule type="duplicateValues" dxfId="62" priority="67"/>
  </conditionalFormatting>
  <conditionalFormatting sqref="K14">
    <cfRule type="duplicateValues" dxfId="61" priority="66"/>
  </conditionalFormatting>
  <conditionalFormatting sqref="K18">
    <cfRule type="duplicateValues" dxfId="60" priority="65"/>
  </conditionalFormatting>
  <conditionalFormatting sqref="K19">
    <cfRule type="duplicateValues" dxfId="59" priority="64"/>
  </conditionalFormatting>
  <conditionalFormatting sqref="K22">
    <cfRule type="duplicateValues" dxfId="58" priority="63"/>
  </conditionalFormatting>
  <conditionalFormatting sqref="K23">
    <cfRule type="duplicateValues" dxfId="57" priority="62"/>
  </conditionalFormatting>
  <conditionalFormatting sqref="K24">
    <cfRule type="duplicateValues" dxfId="56" priority="61"/>
  </conditionalFormatting>
  <conditionalFormatting sqref="K25">
    <cfRule type="duplicateValues" dxfId="55" priority="60"/>
  </conditionalFormatting>
  <conditionalFormatting sqref="K26">
    <cfRule type="duplicateValues" dxfId="54" priority="59"/>
  </conditionalFormatting>
  <conditionalFormatting sqref="K27">
    <cfRule type="duplicateValues" dxfId="53" priority="58"/>
  </conditionalFormatting>
  <conditionalFormatting sqref="K28">
    <cfRule type="duplicateValues" dxfId="52" priority="57"/>
  </conditionalFormatting>
  <conditionalFormatting sqref="K21">
    <cfRule type="duplicateValues" dxfId="51" priority="56"/>
  </conditionalFormatting>
  <conditionalFormatting sqref="K20">
    <cfRule type="duplicateValues" dxfId="50" priority="55"/>
  </conditionalFormatting>
  <conditionalFormatting sqref="K29">
    <cfRule type="duplicateValues" dxfId="49" priority="54"/>
  </conditionalFormatting>
  <conditionalFormatting sqref="K30">
    <cfRule type="duplicateValues" dxfId="48" priority="53"/>
  </conditionalFormatting>
  <conditionalFormatting sqref="K31">
    <cfRule type="duplicateValues" dxfId="47" priority="52"/>
  </conditionalFormatting>
  <conditionalFormatting sqref="K32">
    <cfRule type="duplicateValues" dxfId="46" priority="51"/>
  </conditionalFormatting>
  <conditionalFormatting sqref="K35">
    <cfRule type="duplicateValues" dxfId="45" priority="50"/>
  </conditionalFormatting>
  <conditionalFormatting sqref="K36">
    <cfRule type="duplicateValues" dxfId="44" priority="49"/>
  </conditionalFormatting>
  <conditionalFormatting sqref="K37">
    <cfRule type="duplicateValues" dxfId="43" priority="48"/>
  </conditionalFormatting>
  <conditionalFormatting sqref="K38">
    <cfRule type="duplicateValues" dxfId="42" priority="47"/>
  </conditionalFormatting>
  <conditionalFormatting sqref="K39">
    <cfRule type="duplicateValues" dxfId="41" priority="46"/>
  </conditionalFormatting>
  <conditionalFormatting sqref="K40">
    <cfRule type="duplicateValues" dxfId="40" priority="45"/>
  </conditionalFormatting>
  <conditionalFormatting sqref="K41">
    <cfRule type="duplicateValues" dxfId="39" priority="44"/>
  </conditionalFormatting>
  <conditionalFormatting sqref="K34">
    <cfRule type="duplicateValues" dxfId="38" priority="43"/>
  </conditionalFormatting>
  <conditionalFormatting sqref="K33">
    <cfRule type="duplicateValues" dxfId="37" priority="42"/>
  </conditionalFormatting>
  <conditionalFormatting sqref="K42">
    <cfRule type="duplicateValues" dxfId="36" priority="41"/>
  </conditionalFormatting>
  <conditionalFormatting sqref="K43">
    <cfRule type="duplicateValues" dxfId="35" priority="40"/>
  </conditionalFormatting>
  <conditionalFormatting sqref="K44">
    <cfRule type="duplicateValues" dxfId="34" priority="39"/>
  </conditionalFormatting>
  <conditionalFormatting sqref="K45">
    <cfRule type="duplicateValues" dxfId="33" priority="38"/>
  </conditionalFormatting>
  <conditionalFormatting sqref="K48">
    <cfRule type="duplicateValues" dxfId="32" priority="37"/>
  </conditionalFormatting>
  <conditionalFormatting sqref="K49">
    <cfRule type="duplicateValues" dxfId="31" priority="36"/>
  </conditionalFormatting>
  <conditionalFormatting sqref="K50">
    <cfRule type="duplicateValues" dxfId="30" priority="35"/>
  </conditionalFormatting>
  <conditionalFormatting sqref="K51">
    <cfRule type="duplicateValues" dxfId="29" priority="34"/>
  </conditionalFormatting>
  <conditionalFormatting sqref="K52">
    <cfRule type="duplicateValues" dxfId="28" priority="33"/>
  </conditionalFormatting>
  <conditionalFormatting sqref="K53">
    <cfRule type="duplicateValues" dxfId="27" priority="32"/>
  </conditionalFormatting>
  <conditionalFormatting sqref="K54">
    <cfRule type="duplicateValues" dxfId="26" priority="31"/>
  </conditionalFormatting>
  <conditionalFormatting sqref="K47">
    <cfRule type="duplicateValues" dxfId="25" priority="30"/>
  </conditionalFormatting>
  <conditionalFormatting sqref="K46">
    <cfRule type="duplicateValues" dxfId="24" priority="29"/>
  </conditionalFormatting>
  <conditionalFormatting sqref="K55">
    <cfRule type="duplicateValues" dxfId="23" priority="28"/>
  </conditionalFormatting>
  <conditionalFormatting sqref="K56">
    <cfRule type="duplicateValues" dxfId="22" priority="27"/>
  </conditionalFormatting>
  <conditionalFormatting sqref="K57">
    <cfRule type="duplicateValues" dxfId="21" priority="26"/>
  </conditionalFormatting>
  <conditionalFormatting sqref="K58">
    <cfRule type="duplicateValues" dxfId="20" priority="25"/>
  </conditionalFormatting>
  <conditionalFormatting sqref="K61">
    <cfRule type="duplicateValues" dxfId="19" priority="24"/>
  </conditionalFormatting>
  <conditionalFormatting sqref="K62">
    <cfRule type="duplicateValues" dxfId="18" priority="23"/>
  </conditionalFormatting>
  <conditionalFormatting sqref="K63">
    <cfRule type="duplicateValues" dxfId="17" priority="22"/>
  </conditionalFormatting>
  <conditionalFormatting sqref="K64">
    <cfRule type="duplicateValues" dxfId="16" priority="21"/>
  </conditionalFormatting>
  <conditionalFormatting sqref="K65">
    <cfRule type="duplicateValues" dxfId="15" priority="20"/>
  </conditionalFormatting>
  <conditionalFormatting sqref="K60">
    <cfRule type="duplicateValues" dxfId="14" priority="17"/>
  </conditionalFormatting>
  <conditionalFormatting sqref="K59">
    <cfRule type="duplicateValues" dxfId="13" priority="16"/>
  </conditionalFormatting>
  <conditionalFormatting sqref="K66">
    <cfRule type="duplicateValues" dxfId="12" priority="13"/>
  </conditionalFormatting>
  <conditionalFormatting sqref="K69">
    <cfRule type="duplicateValues" dxfId="11" priority="12"/>
  </conditionalFormatting>
  <conditionalFormatting sqref="K68">
    <cfRule type="duplicateValues" dxfId="10" priority="11"/>
  </conditionalFormatting>
  <conditionalFormatting sqref="K67">
    <cfRule type="duplicateValues" dxfId="9" priority="10"/>
  </conditionalFormatting>
  <conditionalFormatting sqref="K5">
    <cfRule type="duplicateValues" dxfId="8" priority="9"/>
  </conditionalFormatting>
  <conditionalFormatting sqref="K6">
    <cfRule type="duplicateValues" dxfId="7" priority="8"/>
  </conditionalFormatting>
  <conditionalFormatting sqref="K7">
    <cfRule type="duplicateValues" dxfId="6" priority="7"/>
  </conditionalFormatting>
  <conditionalFormatting sqref="K10">
    <cfRule type="duplicateValues" dxfId="5" priority="6"/>
  </conditionalFormatting>
  <conditionalFormatting sqref="K11">
    <cfRule type="duplicateValues" dxfId="4" priority="5"/>
  </conditionalFormatting>
  <conditionalFormatting sqref="K12">
    <cfRule type="duplicateValues" dxfId="3" priority="4"/>
  </conditionalFormatting>
  <conditionalFormatting sqref="K15">
    <cfRule type="duplicateValues" dxfId="2" priority="3"/>
  </conditionalFormatting>
  <conditionalFormatting sqref="K16">
    <cfRule type="duplicateValues" dxfId="1" priority="2"/>
  </conditionalFormatting>
  <conditionalFormatting sqref="K1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>
        <f>floors!C2</f>
        <v>61001</v>
      </c>
      <c r="B2" s="56">
        <v>1</v>
      </c>
      <c r="C2" s="70" t="str">
        <f>A2&amp; "_"&amp;B2</f>
        <v>61001_1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169</v>
      </c>
      <c r="G2" s="56">
        <v>1000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171</v>
      </c>
      <c r="R2" s="56" t="s">
        <v>172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190</v>
      </c>
      <c r="B1" s="72" t="s">
        <v>191</v>
      </c>
      <c r="C1" s="76" t="s">
        <v>192</v>
      </c>
      <c r="D1" s="76" t="s">
        <v>33</v>
      </c>
      <c r="E1" s="72" t="s">
        <v>193</v>
      </c>
      <c r="F1" s="76" t="s">
        <v>194</v>
      </c>
      <c r="G1" s="76" t="s">
        <v>33</v>
      </c>
      <c r="H1" s="72" t="s">
        <v>195</v>
      </c>
      <c r="I1" s="91" t="s">
        <v>197</v>
      </c>
      <c r="J1" s="78" t="s">
        <v>127</v>
      </c>
      <c r="K1" s="77" t="s">
        <v>188</v>
      </c>
      <c r="L1" s="92" t="s">
        <v>187</v>
      </c>
      <c r="M1" s="79" t="s">
        <v>198</v>
      </c>
    </row>
    <row r="2" spans="1:13" x14ac:dyDescent="0.15">
      <c r="A2" s="80" t="s">
        <v>202</v>
      </c>
      <c r="B2" s="81">
        <f>floors!$C$2</f>
        <v>61001</v>
      </c>
      <c r="C2" s="82" t="str">
        <f ca="1">VLOOKUP($B2,OFFSET([2]quests!$A$1,0,0,COUNTA([2]quests!$A:$A),MATCH(C$1,[2]quests!$1:$1,0)-MATCH($B$1,[2]quests!$1:$1,0)+1),MATCH(C$1,[2]quests!$1:$1,0)-MATCH($B$1,[2]quests!$1:$1,0)+1,FALSE)</f>
        <v>団結クエスト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団結クエスト1</v>
      </c>
      <c r="E2" s="86" t="s">
        <v>216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200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6" t="s">
        <v>213</v>
      </c>
    </row>
    <row r="3" spans="1:13" x14ac:dyDescent="0.15">
      <c r="A3" s="80" t="s">
        <v>202</v>
      </c>
      <c r="B3" s="81">
        <f>floors!$C$2</f>
        <v>61001</v>
      </c>
      <c r="C3" s="82" t="str">
        <f ca="1">VLOOKUP($B3,OFFSET([2]quests!$A$1,0,0,COUNTA([2]quests!$A:$A),MATCH(C$1,[2]quests!$1:$1,0)-MATCH($B$1,[2]quests!$1:$1,0)+1),MATCH(C$1,[2]quests!$1:$1,0)-MATCH($B$1,[2]quests!$1:$1,0)+1,FALSE)</f>
        <v>団結クエスト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団結クエスト1</v>
      </c>
      <c r="E3" s="86" t="s">
        <v>216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200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6" t="s">
        <v>213</v>
      </c>
    </row>
    <row r="4" spans="1:13" x14ac:dyDescent="0.15">
      <c r="A4" s="80" t="s">
        <v>202</v>
      </c>
      <c r="B4" s="81">
        <f>floors!$C$2</f>
        <v>61001</v>
      </c>
      <c r="C4" s="82" t="str">
        <f ca="1">VLOOKUP($B4,OFFSET([2]quests!$A$1,0,0,COUNTA([2]quests!$A:$A),MATCH(C$1,[2]quests!$1:$1,0)-MATCH($B$1,[2]quests!$1:$1,0)+1),MATCH(C$1,[2]quests!$1:$1,0)-MATCH($B$1,[2]quests!$1:$1,0)+1,FALSE)</f>
        <v>団結クエスト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団結クエスト1</v>
      </c>
      <c r="E4" s="86" t="s">
        <v>216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200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6" t="s">
        <v>213</v>
      </c>
    </row>
    <row r="5" spans="1:13" x14ac:dyDescent="0.15">
      <c r="A5" s="80" t="s">
        <v>202</v>
      </c>
      <c r="B5" s="81">
        <f>floors!$C$2</f>
        <v>61001</v>
      </c>
      <c r="C5" s="82" t="str">
        <f ca="1">VLOOKUP($B5,OFFSET([2]quests!$A$1,0,0,COUNTA([2]quests!$A:$A),MATCH(C$1,[2]quests!$1:$1,0)-MATCH($B$1,[2]quests!$1:$1,0)+1),MATCH(C$1,[2]quests!$1:$1,0)-MATCH($B$1,[2]quests!$1:$1,0)+1,FALSE)</f>
        <v>団結クエスト</v>
      </c>
      <c r="D5" s="82" t="str">
        <f ca="1">VLOOKUP($B5,OFFSET([2]quests!$A$1,0,0,COUNTA([2]quests!$A:$A),MATCH(D$1,[2]quests!$1:$1,0)-MATCH($B$1,[2]quests!$1:$1,0)+1),MATCH(D$1,[2]quests!$1:$1,0)-MATCH($B$1,[2]quests!$1:$1,0)+1,FALSE)</f>
        <v>団結クエスト1</v>
      </c>
      <c r="E5" s="86" t="s">
        <v>216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200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6" t="s">
        <v>213</v>
      </c>
    </row>
    <row r="6" spans="1:13" x14ac:dyDescent="0.15">
      <c r="A6" s="80" t="s">
        <v>202</v>
      </c>
      <c r="B6" s="81">
        <f>floors!$C$2</f>
        <v>61001</v>
      </c>
      <c r="C6" s="82" t="str">
        <f ca="1">VLOOKUP($B6,OFFSET([2]quests!$A$1,0,0,COUNTA([2]quests!$A:$A),MATCH(C$1,[2]quests!$1:$1,0)-MATCH($B$1,[2]quests!$1:$1,0)+1),MATCH(C$1,[2]quests!$1:$1,0)-MATCH($B$1,[2]quests!$1:$1,0)+1,FALSE)</f>
        <v>団結クエスト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団結クエスト1</v>
      </c>
      <c r="E6" s="86" t="s">
        <v>216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200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6" t="s">
        <v>213</v>
      </c>
    </row>
    <row r="7" spans="1:13" x14ac:dyDescent="0.15">
      <c r="A7" s="80" t="s">
        <v>202</v>
      </c>
      <c r="B7" s="81">
        <f>floors!$C$2</f>
        <v>61001</v>
      </c>
      <c r="C7" s="82" t="str">
        <f ca="1">VLOOKUP($B7,OFFSET([2]quests!$A$1,0,0,COUNTA([2]quests!$A:$A),MATCH(C$1,[2]quests!$1:$1,0)-MATCH($B$1,[2]quests!$1:$1,0)+1),MATCH(C$1,[2]quests!$1:$1,0)-MATCH($B$1,[2]quests!$1:$1,0)+1,FALSE)</f>
        <v>団結クエスト</v>
      </c>
      <c r="D7" s="82" t="str">
        <f ca="1">VLOOKUP($B7,OFFSET([2]quests!$A$1,0,0,COUNTA([2]quests!$A:$A),MATCH(D$1,[2]quests!$1:$1,0)-MATCH($B$1,[2]quests!$1:$1,0)+1),MATCH(D$1,[2]quests!$1:$1,0)-MATCH($B$1,[2]quests!$1:$1,0)+1,FALSE)</f>
        <v>団結クエスト1</v>
      </c>
      <c r="E7" s="86" t="s">
        <v>216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200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6" t="s">
        <v>213</v>
      </c>
    </row>
    <row r="8" spans="1:13" x14ac:dyDescent="0.15">
      <c r="A8" s="80" t="s">
        <v>202</v>
      </c>
      <c r="B8" s="81">
        <f>floors!$C$2</f>
        <v>61001</v>
      </c>
      <c r="C8" s="82" t="str">
        <f ca="1">VLOOKUP($B8,OFFSET([2]quests!$A$1,0,0,COUNTA([2]quests!$A:$A),MATCH(C$1,[2]quests!$1:$1,0)-MATCH($B$1,[2]quests!$1:$1,0)+1),MATCH(C$1,[2]quests!$1:$1,0)-MATCH($B$1,[2]quests!$1:$1,0)+1,FALSE)</f>
        <v>団結クエスト</v>
      </c>
      <c r="D8" s="82" t="str">
        <f ca="1">VLOOKUP($B8,OFFSET([2]quests!$A$1,0,0,COUNTA([2]quests!$A:$A),MATCH(D$1,[2]quests!$1:$1,0)-MATCH($B$1,[2]quests!$1:$1,0)+1),MATCH(D$1,[2]quests!$1:$1,0)-MATCH($B$1,[2]quests!$1:$1,0)+1,FALSE)</f>
        <v>団結クエスト1</v>
      </c>
      <c r="E8" s="86" t="s">
        <v>216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200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6" t="s">
        <v>213</v>
      </c>
    </row>
    <row r="9" spans="1:13" x14ac:dyDescent="0.15">
      <c r="A9" s="80" t="s">
        <v>202</v>
      </c>
      <c r="B9" s="81">
        <f>floors!$C$2</f>
        <v>61001</v>
      </c>
      <c r="C9" s="82" t="str">
        <f ca="1">VLOOKUP($B9,OFFSET([2]quests!$A$1,0,0,COUNTA([2]quests!$A:$A),MATCH(C$1,[2]quests!$1:$1,0)-MATCH($B$1,[2]quests!$1:$1,0)+1),MATCH(C$1,[2]quests!$1:$1,0)-MATCH($B$1,[2]quests!$1:$1,0)+1,FALSE)</f>
        <v>団結クエスト</v>
      </c>
      <c r="D9" s="82" t="str">
        <f ca="1">VLOOKUP($B9,OFFSET([2]quests!$A$1,0,0,COUNTA([2]quests!$A:$A),MATCH(D$1,[2]quests!$1:$1,0)-MATCH($B$1,[2]quests!$1:$1,0)+1),MATCH(D$1,[2]quests!$1:$1,0)-MATCH($B$1,[2]quests!$1:$1,0)+1,FALSE)</f>
        <v>団結クエスト1</v>
      </c>
      <c r="E9" s="86" t="s">
        <v>216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200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6" t="s">
        <v>213</v>
      </c>
    </row>
    <row r="10" spans="1:13" x14ac:dyDescent="0.15">
      <c r="A10" s="80" t="s">
        <v>202</v>
      </c>
      <c r="B10" s="81">
        <f>floors!$C$2</f>
        <v>61001</v>
      </c>
      <c r="C10" s="82" t="str">
        <f ca="1">VLOOKUP($B10,OFFSET([2]quests!$A$1,0,0,COUNTA([2]quests!$A:$A),MATCH(C$1,[2]quests!$1:$1,0)-MATCH($B$1,[2]quests!$1:$1,0)+1),MATCH(C$1,[2]quests!$1:$1,0)-MATCH($B$1,[2]quests!$1:$1,0)+1,FALSE)</f>
        <v>団結クエスト</v>
      </c>
      <c r="D10" s="82" t="str">
        <f ca="1">VLOOKUP($B10,OFFSET([2]quests!$A$1,0,0,COUNTA([2]quests!$A:$A),MATCH(D$1,[2]quests!$1:$1,0)-MATCH($B$1,[2]quests!$1:$1,0)+1),MATCH(D$1,[2]quests!$1:$1,0)-MATCH($B$1,[2]quests!$1:$1,0)+1,FALSE)</f>
        <v>団結クエスト1</v>
      </c>
      <c r="E10" s="86" t="s">
        <v>216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200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6" t="s">
        <v>213</v>
      </c>
    </row>
    <row r="11" spans="1:13" x14ac:dyDescent="0.15">
      <c r="A11" s="80" t="s">
        <v>202</v>
      </c>
      <c r="B11" s="81">
        <f>floors!$C$2</f>
        <v>61001</v>
      </c>
      <c r="C11" s="82" t="str">
        <f ca="1">VLOOKUP($B11,OFFSET([2]quests!$A$1,0,0,COUNTA([2]quests!$A:$A),MATCH(C$1,[2]quests!$1:$1,0)-MATCH($B$1,[2]quests!$1:$1,0)+1),MATCH(C$1,[2]quests!$1:$1,0)-MATCH($B$1,[2]quests!$1:$1,0)+1,FALSE)</f>
        <v>団結クエスト</v>
      </c>
      <c r="D11" s="82" t="str">
        <f ca="1">VLOOKUP($B11,OFFSET([2]quests!$A$1,0,0,COUNTA([2]quests!$A:$A),MATCH(D$1,[2]quests!$1:$1,0)-MATCH($B$1,[2]quests!$1:$1,0)+1),MATCH(D$1,[2]quests!$1:$1,0)-MATCH($B$1,[2]quests!$1:$1,0)+1,FALSE)</f>
        <v>団結クエスト1</v>
      </c>
      <c r="E11" s="86" t="s">
        <v>216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200</v>
      </c>
      <c r="K11" s="93" t="str">
        <f>VLOOKUP(I11,[7]stage_hints!$A:$C,3,FALSE)</f>
        <v>ゲリラクエストは要チェック</v>
      </c>
      <c r="L11" s="94" t="str">
        <f>VLOOKUP(I11,[7]stage_hints!$A:$D,4,FALSE)</f>
        <v>時間限定の「アヒル捕獲作戦」では_x000D_経験値素材ユニットが多く手に入ります</v>
      </c>
      <c r="M11" s="56" t="s">
        <v>213</v>
      </c>
    </row>
    <row r="12" spans="1:13" x14ac:dyDescent="0.15">
      <c r="A12" s="80" t="s">
        <v>202</v>
      </c>
      <c r="B12" s="81">
        <f>floors!$C$2</f>
        <v>61001</v>
      </c>
      <c r="C12" s="82" t="str">
        <f ca="1">VLOOKUP($B12,OFFSET([2]quests!$A$1,0,0,COUNTA([2]quests!$A:$A),MATCH(C$1,[2]quests!$1:$1,0)-MATCH($B$1,[2]quests!$1:$1,0)+1),MATCH(C$1,[2]quests!$1:$1,0)-MATCH($B$1,[2]quests!$1:$1,0)+1,FALSE)</f>
        <v>団結クエスト</v>
      </c>
      <c r="D12" s="82" t="str">
        <f ca="1">VLOOKUP($B12,OFFSET([2]quests!$A$1,0,0,COUNTA([2]quests!$A:$A),MATCH(D$1,[2]quests!$1:$1,0)-MATCH($B$1,[2]quests!$1:$1,0)+1),MATCH(D$1,[2]quests!$1:$1,0)-MATCH($B$1,[2]quests!$1:$1,0)+1,FALSE)</f>
        <v>団結クエスト1</v>
      </c>
      <c r="E12" s="86" t="s">
        <v>216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200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6" t="s">
        <v>213</v>
      </c>
    </row>
    <row r="13" spans="1:13" x14ac:dyDescent="0.15">
      <c r="A13" s="80" t="s">
        <v>202</v>
      </c>
      <c r="B13" s="81">
        <f>floors!$C$2</f>
        <v>61001</v>
      </c>
      <c r="C13" s="82" t="str">
        <f ca="1">VLOOKUP($B13,OFFSET([2]quests!$A$1,0,0,COUNTA([2]quests!$A:$A),MATCH(C$1,[2]quests!$1:$1,0)-MATCH($B$1,[2]quests!$1:$1,0)+1),MATCH(C$1,[2]quests!$1:$1,0)-MATCH($B$1,[2]quests!$1:$1,0)+1,FALSE)</f>
        <v>団結クエスト</v>
      </c>
      <c r="D13" s="82" t="str">
        <f ca="1">VLOOKUP($B13,OFFSET([2]quests!$A$1,0,0,COUNTA([2]quests!$A:$A),MATCH(D$1,[2]quests!$1:$1,0)-MATCH($B$1,[2]quests!$1:$1,0)+1),MATCH(D$1,[2]quests!$1:$1,0)-MATCH($B$1,[2]quests!$1:$1,0)+1,FALSE)</f>
        <v>団結クエスト1</v>
      </c>
      <c r="E13" s="86" t="s">
        <v>216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200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6" t="s">
        <v>213</v>
      </c>
    </row>
    <row r="14" spans="1:13" x14ac:dyDescent="0.15">
      <c r="A14" s="80" t="s">
        <v>202</v>
      </c>
      <c r="B14" s="81">
        <f>floors!$C$2</f>
        <v>61001</v>
      </c>
      <c r="C14" s="82" t="str">
        <f ca="1">VLOOKUP($B14,OFFSET([2]quests!$A$1,0,0,COUNTA([2]quests!$A:$A),MATCH(C$1,[2]quests!$1:$1,0)-MATCH($B$1,[2]quests!$1:$1,0)+1),MATCH(C$1,[2]quests!$1:$1,0)-MATCH($B$1,[2]quests!$1:$1,0)+1,FALSE)</f>
        <v>団結クエスト</v>
      </c>
      <c r="D14" s="82" t="str">
        <f ca="1">VLOOKUP($B14,OFFSET([2]quests!$A$1,0,0,COUNTA([2]quests!$A:$A),MATCH(D$1,[2]quests!$1:$1,0)-MATCH($B$1,[2]quests!$1:$1,0)+1),MATCH(D$1,[2]quests!$1:$1,0)-MATCH($B$1,[2]quests!$1:$1,0)+1,FALSE)</f>
        <v>団結クエスト1</v>
      </c>
      <c r="E14" s="86" t="s">
        <v>216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200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6" t="s">
        <v>213</v>
      </c>
    </row>
    <row r="15" spans="1:13" x14ac:dyDescent="0.15">
      <c r="A15" s="80" t="s">
        <v>202</v>
      </c>
      <c r="B15" s="81">
        <f>floors!$C$2</f>
        <v>61001</v>
      </c>
      <c r="C15" s="82" t="str">
        <f ca="1">VLOOKUP($B15,OFFSET([2]quests!$A$1,0,0,COUNTA([2]quests!$A:$A),MATCH(C$1,[2]quests!$1:$1,0)-MATCH($B$1,[2]quests!$1:$1,0)+1),MATCH(C$1,[2]quests!$1:$1,0)-MATCH($B$1,[2]quests!$1:$1,0)+1,FALSE)</f>
        <v>団結クエスト</v>
      </c>
      <c r="D15" s="82" t="str">
        <f ca="1">VLOOKUP($B15,OFFSET([2]quests!$A$1,0,0,COUNTA([2]quests!$A:$A),MATCH(D$1,[2]quests!$1:$1,0)-MATCH($B$1,[2]quests!$1:$1,0)+1),MATCH(D$1,[2]quests!$1:$1,0)-MATCH($B$1,[2]quests!$1:$1,0)+1,FALSE)</f>
        <v>団結クエスト1</v>
      </c>
      <c r="E15" s="86" t="s">
        <v>216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200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6" t="s">
        <v>213</v>
      </c>
    </row>
    <row r="16" spans="1:13" x14ac:dyDescent="0.15">
      <c r="A16" s="80" t="s">
        <v>202</v>
      </c>
      <c r="B16" s="81">
        <f>floors!$C$2</f>
        <v>61001</v>
      </c>
      <c r="C16" s="82" t="str">
        <f ca="1">VLOOKUP($B16,OFFSET([2]quests!$A$1,0,0,COUNTA([2]quests!$A:$A),MATCH(C$1,[2]quests!$1:$1,0)-MATCH($B$1,[2]quests!$1:$1,0)+1),MATCH(C$1,[2]quests!$1:$1,0)-MATCH($B$1,[2]quests!$1:$1,0)+1,FALSE)</f>
        <v>団結クエスト</v>
      </c>
      <c r="D16" s="82" t="str">
        <f ca="1">VLOOKUP($B16,OFFSET([2]quests!$A$1,0,0,COUNTA([2]quests!$A:$A),MATCH(D$1,[2]quests!$1:$1,0)-MATCH($B$1,[2]quests!$1:$1,0)+1),MATCH(D$1,[2]quests!$1:$1,0)-MATCH($B$1,[2]quests!$1:$1,0)+1,FALSE)</f>
        <v>団結クエスト1</v>
      </c>
      <c r="E16" s="86" t="s">
        <v>216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200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6" t="s">
        <v>213</v>
      </c>
    </row>
    <row r="17" spans="1:13" x14ac:dyDescent="0.15">
      <c r="A17" s="80" t="s">
        <v>202</v>
      </c>
      <c r="B17" s="81">
        <f>floors!$C$2</f>
        <v>61001</v>
      </c>
      <c r="C17" s="82" t="str">
        <f ca="1">VLOOKUP($B17,OFFSET([2]quests!$A$1,0,0,COUNTA([2]quests!$A:$A),MATCH(C$1,[2]quests!$1:$1,0)-MATCH($B$1,[2]quests!$1:$1,0)+1),MATCH(C$1,[2]quests!$1:$1,0)-MATCH($B$1,[2]quests!$1:$1,0)+1,FALSE)</f>
        <v>団結クエスト</v>
      </c>
      <c r="D17" s="82" t="str">
        <f ca="1">VLOOKUP($B17,OFFSET([2]quests!$A$1,0,0,COUNTA([2]quests!$A:$A),MATCH(D$1,[2]quests!$1:$1,0)-MATCH($B$1,[2]quests!$1:$1,0)+1),MATCH(D$1,[2]quests!$1:$1,0)-MATCH($B$1,[2]quests!$1:$1,0)+1,FALSE)</f>
        <v>団結クエスト1</v>
      </c>
      <c r="E17" s="86" t="s">
        <v>216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200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6" t="s">
        <v>213</v>
      </c>
    </row>
    <row r="18" spans="1:13" x14ac:dyDescent="0.15">
      <c r="A18" s="80" t="s">
        <v>202</v>
      </c>
      <c r="B18" s="81">
        <f>floors!$C$2</f>
        <v>61001</v>
      </c>
      <c r="C18" s="82" t="str">
        <f ca="1">VLOOKUP($B18,OFFSET([2]quests!$A$1,0,0,COUNTA([2]quests!$A:$A),MATCH(C$1,[2]quests!$1:$1,0)-MATCH($B$1,[2]quests!$1:$1,0)+1),MATCH(C$1,[2]quests!$1:$1,0)-MATCH($B$1,[2]quests!$1:$1,0)+1,FALSE)</f>
        <v>団結クエスト</v>
      </c>
      <c r="D18" s="82" t="str">
        <f ca="1">VLOOKUP($B18,OFFSET([2]quests!$A$1,0,0,COUNTA([2]quests!$A:$A),MATCH(D$1,[2]quests!$1:$1,0)-MATCH($B$1,[2]quests!$1:$1,0)+1),MATCH(D$1,[2]quests!$1:$1,0)-MATCH($B$1,[2]quests!$1:$1,0)+1,FALSE)</f>
        <v>団結クエスト1</v>
      </c>
      <c r="E18" s="86" t="s">
        <v>216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200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6" t="s">
        <v>213</v>
      </c>
    </row>
    <row r="19" spans="1:13" x14ac:dyDescent="0.15">
      <c r="A19" s="80" t="s">
        <v>202</v>
      </c>
      <c r="B19" s="81">
        <f>floors!$C$2</f>
        <v>61001</v>
      </c>
      <c r="C19" s="82" t="str">
        <f ca="1">VLOOKUP($B19,OFFSET([2]quests!$A$1,0,0,COUNTA([2]quests!$A:$A),MATCH(C$1,[2]quests!$1:$1,0)-MATCH($B$1,[2]quests!$1:$1,0)+1),MATCH(C$1,[2]quests!$1:$1,0)-MATCH($B$1,[2]quests!$1:$1,0)+1,FALSE)</f>
        <v>団結クエスト</v>
      </c>
      <c r="D19" s="82" t="str">
        <f ca="1">VLOOKUP($B19,OFFSET([2]quests!$A$1,0,0,COUNTA([2]quests!$A:$A),MATCH(D$1,[2]quests!$1:$1,0)-MATCH($B$1,[2]quests!$1:$1,0)+1),MATCH(D$1,[2]quests!$1:$1,0)-MATCH($B$1,[2]quests!$1:$1,0)+1,FALSE)</f>
        <v>団結クエスト1</v>
      </c>
      <c r="E19" s="86" t="s">
        <v>216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200</v>
      </c>
      <c r="K19" s="93" t="str">
        <f>VLOOKUP(I19,[7]stage_hints!$A:$C,3,FALSE)</f>
        <v>ソロ専用タワーオブザクイーン</v>
      </c>
      <c r="L19" s="94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6" t="s">
        <v>213</v>
      </c>
    </row>
    <row r="20" spans="1:13" x14ac:dyDescent="0.15">
      <c r="A20" s="80" t="s">
        <v>202</v>
      </c>
      <c r="B20" s="81">
        <f>floors!$C$2</f>
        <v>61001</v>
      </c>
      <c r="C20" s="82" t="str">
        <f ca="1">VLOOKUP($B20,OFFSET([2]quests!$A$1,0,0,COUNTA([2]quests!$A:$A),MATCH(C$1,[2]quests!$1:$1,0)-MATCH($B$1,[2]quests!$1:$1,0)+1),MATCH(C$1,[2]quests!$1:$1,0)-MATCH($B$1,[2]quests!$1:$1,0)+1,FALSE)</f>
        <v>団結クエスト</v>
      </c>
      <c r="D20" s="82" t="str">
        <f ca="1">VLOOKUP($B20,OFFSET([2]quests!$A$1,0,0,COUNTA([2]quests!$A:$A),MATCH(D$1,[2]quests!$1:$1,0)-MATCH($B$1,[2]quests!$1:$1,0)+1),MATCH(D$1,[2]quests!$1:$1,0)-MATCH($B$1,[2]quests!$1:$1,0)+1,FALSE)</f>
        <v>団結クエスト1</v>
      </c>
      <c r="E20" s="86" t="s">
        <v>216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200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6" t="s">
        <v>213</v>
      </c>
    </row>
    <row r="21" spans="1:13" x14ac:dyDescent="0.15">
      <c r="A21" s="80" t="s">
        <v>202</v>
      </c>
      <c r="B21" s="81">
        <f>floors!$C$2</f>
        <v>61001</v>
      </c>
      <c r="C21" s="82" t="str">
        <f ca="1">VLOOKUP($B21,OFFSET([2]quests!$A$1,0,0,COUNTA([2]quests!$A:$A),MATCH(C$1,[2]quests!$1:$1,0)-MATCH($B$1,[2]quests!$1:$1,0)+1),MATCH(C$1,[2]quests!$1:$1,0)-MATCH($B$1,[2]quests!$1:$1,0)+1,FALSE)</f>
        <v>団結クエスト</v>
      </c>
      <c r="D21" s="82" t="str">
        <f ca="1">VLOOKUP($B21,OFFSET([2]quests!$A$1,0,0,COUNTA([2]quests!$A:$A),MATCH(D$1,[2]quests!$1:$1,0)-MATCH($B$1,[2]quests!$1:$1,0)+1),MATCH(D$1,[2]quests!$1:$1,0)-MATCH($B$1,[2]quests!$1:$1,0)+1,FALSE)</f>
        <v>団結クエスト1</v>
      </c>
      <c r="E21" s="86" t="s">
        <v>216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200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6" t="s">
        <v>213</v>
      </c>
    </row>
    <row r="22" spans="1:13" x14ac:dyDescent="0.15">
      <c r="A22" s="80" t="s">
        <v>202</v>
      </c>
      <c r="B22" s="81">
        <f>floors!$C$2</f>
        <v>61001</v>
      </c>
      <c r="C22" s="82" t="str">
        <f ca="1">VLOOKUP($B22,OFFSET([2]quests!$A$1,0,0,COUNTA([2]quests!$A:$A),MATCH(C$1,[2]quests!$1:$1,0)-MATCH($B$1,[2]quests!$1:$1,0)+1),MATCH(C$1,[2]quests!$1:$1,0)-MATCH($B$1,[2]quests!$1:$1,0)+1,FALSE)</f>
        <v>団結クエスト</v>
      </c>
      <c r="D22" s="82" t="str">
        <f ca="1">VLOOKUP($B22,OFFSET([2]quests!$A$1,0,0,COUNTA([2]quests!$A:$A),MATCH(D$1,[2]quests!$1:$1,0)-MATCH($B$1,[2]quests!$1:$1,0)+1),MATCH(D$1,[2]quests!$1:$1,0)-MATCH($B$1,[2]quests!$1:$1,0)+1,FALSE)</f>
        <v>団結クエスト1</v>
      </c>
      <c r="E22" s="86" t="s">
        <v>216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200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6" t="s">
        <v>213</v>
      </c>
    </row>
    <row r="23" spans="1:13" x14ac:dyDescent="0.15">
      <c r="A23" s="80" t="s">
        <v>202</v>
      </c>
      <c r="B23" s="81">
        <f>floors!$C$2</f>
        <v>61001</v>
      </c>
      <c r="C23" s="82" t="str">
        <f ca="1">VLOOKUP($B23,OFFSET([2]quests!$A$1,0,0,COUNTA([2]quests!$A:$A),MATCH(C$1,[2]quests!$1:$1,0)-MATCH($B$1,[2]quests!$1:$1,0)+1),MATCH(C$1,[2]quests!$1:$1,0)-MATCH($B$1,[2]quests!$1:$1,0)+1,FALSE)</f>
        <v>団結クエスト</v>
      </c>
      <c r="D23" s="82" t="str">
        <f ca="1">VLOOKUP($B23,OFFSET([2]quests!$A$1,0,0,COUNTA([2]quests!$A:$A),MATCH(D$1,[2]quests!$1:$1,0)-MATCH($B$1,[2]quests!$1:$1,0)+1),MATCH(D$1,[2]quests!$1:$1,0)-MATCH($B$1,[2]quests!$1:$1,0)+1,FALSE)</f>
        <v>団結クエスト1</v>
      </c>
      <c r="E23" s="86" t="s">
        <v>216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200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6" t="s">
        <v>213</v>
      </c>
    </row>
    <row r="24" spans="1:13" x14ac:dyDescent="0.15">
      <c r="A24" s="80" t="s">
        <v>202</v>
      </c>
      <c r="B24" s="81">
        <f>floors!$C$2</f>
        <v>61001</v>
      </c>
      <c r="C24" s="82" t="str">
        <f ca="1">VLOOKUP($B24,OFFSET([2]quests!$A$1,0,0,COUNTA([2]quests!$A:$A),MATCH(C$1,[2]quests!$1:$1,0)-MATCH($B$1,[2]quests!$1:$1,0)+1),MATCH(C$1,[2]quests!$1:$1,0)-MATCH($B$1,[2]quests!$1:$1,0)+1,FALSE)</f>
        <v>団結クエスト</v>
      </c>
      <c r="D24" s="82" t="str">
        <f ca="1">VLOOKUP($B24,OFFSET([2]quests!$A$1,0,0,COUNTA([2]quests!$A:$A),MATCH(D$1,[2]quests!$1:$1,0)-MATCH($B$1,[2]quests!$1:$1,0)+1),MATCH(D$1,[2]quests!$1:$1,0)-MATCH($B$1,[2]quests!$1:$1,0)+1,FALSE)</f>
        <v>団結クエスト1</v>
      </c>
      <c r="E24" s="86" t="s">
        <v>216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200</v>
      </c>
      <c r="K24" s="93" t="str">
        <f>VLOOKUP(I24,[7]stage_hints!$A:$C,3,FALSE)</f>
        <v>果実を使って限界突破</v>
      </c>
      <c r="L24" s="94" t="str">
        <f>VLOOKUP(I24,[7]stage_hints!$A:$D,4,FALSE)</f>
        <v>攻めの果実 癒しの果実_x000D_生命の果実をユニット強化に使うと_x000D_ステータスが限界突破します（計99個迄）</v>
      </c>
      <c r="M24" s="56" t="s">
        <v>213</v>
      </c>
    </row>
    <row r="25" spans="1:13" x14ac:dyDescent="0.15">
      <c r="A25" s="80" t="s">
        <v>202</v>
      </c>
      <c r="B25" s="81">
        <f>floors!$C$2</f>
        <v>61001</v>
      </c>
      <c r="C25" s="82" t="str">
        <f ca="1">VLOOKUP($B25,OFFSET([2]quests!$A$1,0,0,COUNTA([2]quests!$A:$A),MATCH(C$1,[2]quests!$1:$1,0)-MATCH($B$1,[2]quests!$1:$1,0)+1),MATCH(C$1,[2]quests!$1:$1,0)-MATCH($B$1,[2]quests!$1:$1,0)+1,FALSE)</f>
        <v>団結クエスト</v>
      </c>
      <c r="D25" s="82" t="str">
        <f ca="1">VLOOKUP($B25,OFFSET([2]quests!$A$1,0,0,COUNTA([2]quests!$A:$A),MATCH(D$1,[2]quests!$1:$1,0)-MATCH($B$1,[2]quests!$1:$1,0)+1),MATCH(D$1,[2]quests!$1:$1,0)-MATCH($B$1,[2]quests!$1:$1,0)+1,FALSE)</f>
        <v>団結クエスト1</v>
      </c>
      <c r="E25" s="86" t="s">
        <v>216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200</v>
      </c>
      <c r="K25" s="93" t="str">
        <f>VLOOKUP(I25,[7]stage_hints!$A:$C,3,FALSE)</f>
        <v>スキルレベルアップ</v>
      </c>
      <c r="L25" s="94" t="str">
        <f>VLOOKUP(I25,[7]stage_hints!$A:$D,4,FALSE)</f>
        <v>「秘術の果実」を強化に使うと_x000D_スキルレベルを上げることができます</v>
      </c>
      <c r="M25" s="56" t="s">
        <v>213</v>
      </c>
    </row>
    <row r="26" spans="1:13" x14ac:dyDescent="0.15">
      <c r="A26" s="80" t="s">
        <v>202</v>
      </c>
      <c r="B26" s="81">
        <f>floors!$C$2</f>
        <v>61001</v>
      </c>
      <c r="C26" s="82" t="str">
        <f ca="1">VLOOKUP($B26,OFFSET([2]quests!$A$1,0,0,COUNTA([2]quests!$A:$A),MATCH(C$1,[2]quests!$1:$1,0)-MATCH($B$1,[2]quests!$1:$1,0)+1),MATCH(C$1,[2]quests!$1:$1,0)-MATCH($B$1,[2]quests!$1:$1,0)+1,FALSE)</f>
        <v>団結クエスト</v>
      </c>
      <c r="D26" s="82" t="str">
        <f ca="1">VLOOKUP($B26,OFFSET([2]quests!$A$1,0,0,COUNTA([2]quests!$A:$A),MATCH(D$1,[2]quests!$1:$1,0)-MATCH($B$1,[2]quests!$1:$1,0)+1),MATCH(D$1,[2]quests!$1:$1,0)-MATCH($B$1,[2]quests!$1:$1,0)+1,FALSE)</f>
        <v>団結クエスト1</v>
      </c>
      <c r="E26" s="86" t="s">
        <v>216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200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6" t="s">
        <v>213</v>
      </c>
    </row>
    <row r="27" spans="1:13" x14ac:dyDescent="0.15">
      <c r="A27" s="80" t="s">
        <v>202</v>
      </c>
      <c r="B27" s="81">
        <f>floors!$C$2</f>
        <v>61001</v>
      </c>
      <c r="C27" s="82" t="str">
        <f ca="1">VLOOKUP($B27,OFFSET([2]quests!$A$1,0,0,COUNTA([2]quests!$A:$A),MATCH(C$1,[2]quests!$1:$1,0)-MATCH($B$1,[2]quests!$1:$1,0)+1),MATCH(C$1,[2]quests!$1:$1,0)-MATCH($B$1,[2]quests!$1:$1,0)+1,FALSE)</f>
        <v>団結クエスト</v>
      </c>
      <c r="D27" s="82" t="str">
        <f ca="1">VLOOKUP($B27,OFFSET([2]quests!$A$1,0,0,COUNTA([2]quests!$A:$A),MATCH(D$1,[2]quests!$1:$1,0)-MATCH($B$1,[2]quests!$1:$1,0)+1),MATCH(D$1,[2]quests!$1:$1,0)-MATCH($B$1,[2]quests!$1:$1,0)+1,FALSE)</f>
        <v>団結クエスト1</v>
      </c>
      <c r="E27" s="86" t="s">
        <v>216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200</v>
      </c>
      <c r="K27" s="93" t="str">
        <f>VLOOKUP(I27,[7]stage_hints!$A:$C,3,FALSE)</f>
        <v>システム適合者を確認</v>
      </c>
      <c r="L27" s="94" t="str">
        <f>VLOOKUP(I27,[7]stage_hints!$A:$D,4,FALSE)</f>
        <v>ALICEが 「アナタ」を呼んでいます</v>
      </c>
      <c r="M27" s="56" t="s">
        <v>213</v>
      </c>
    </row>
    <row r="28" spans="1:13" x14ac:dyDescent="0.15">
      <c r="A28" s="80" t="s">
        <v>202</v>
      </c>
      <c r="B28" s="81">
        <f>floors!$C$2</f>
        <v>61001</v>
      </c>
      <c r="C28" s="82" t="str">
        <f ca="1">VLOOKUP($B28,OFFSET([2]quests!$A$1,0,0,COUNTA([2]quests!$A:$A),MATCH(C$1,[2]quests!$1:$1,0)-MATCH($B$1,[2]quests!$1:$1,0)+1),MATCH(C$1,[2]quests!$1:$1,0)-MATCH($B$1,[2]quests!$1:$1,0)+1,FALSE)</f>
        <v>団結クエスト</v>
      </c>
      <c r="D28" s="82" t="str">
        <f ca="1">VLOOKUP($B28,OFFSET([2]quests!$A$1,0,0,COUNTA([2]quests!$A:$A),MATCH(D$1,[2]quests!$1:$1,0)-MATCH($B$1,[2]quests!$1:$1,0)+1),MATCH(D$1,[2]quests!$1:$1,0)-MATCH($B$1,[2]quests!$1:$1,0)+1,FALSE)</f>
        <v>団結クエスト1</v>
      </c>
      <c r="E28" s="86" t="s">
        <v>217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200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6" t="s">
        <v>213</v>
      </c>
    </row>
    <row r="29" spans="1:13" x14ac:dyDescent="0.15">
      <c r="A29" s="80" t="s">
        <v>202</v>
      </c>
      <c r="B29" s="81">
        <f>floors!$C$2</f>
        <v>61001</v>
      </c>
      <c r="C29" s="82" t="str">
        <f ca="1">VLOOKUP($B29,OFFSET([2]quests!$A$1,0,0,COUNTA([2]quests!$A:$A),MATCH(C$1,[2]quests!$1:$1,0)-MATCH($B$1,[2]quests!$1:$1,0)+1),MATCH(C$1,[2]quests!$1:$1,0)-MATCH($B$1,[2]quests!$1:$1,0)+1,FALSE)</f>
        <v>団結クエスト</v>
      </c>
      <c r="D29" s="82" t="str">
        <f ca="1">VLOOKUP($B29,OFFSET([2]quests!$A$1,0,0,COUNTA([2]quests!$A:$A),MATCH(D$1,[2]quests!$1:$1,0)-MATCH($B$1,[2]quests!$1:$1,0)+1),MATCH(D$1,[2]quests!$1:$1,0)-MATCH($B$1,[2]quests!$1:$1,0)+1,FALSE)</f>
        <v>団結クエスト1</v>
      </c>
      <c r="E29" s="86" t="s">
        <v>217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200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6" t="s">
        <v>213</v>
      </c>
    </row>
    <row r="30" spans="1:13" x14ac:dyDescent="0.15">
      <c r="A30" s="80" t="s">
        <v>202</v>
      </c>
      <c r="B30" s="81">
        <f>floors!$C$2</f>
        <v>61001</v>
      </c>
      <c r="C30" s="82" t="str">
        <f ca="1">VLOOKUP($B30,OFFSET([2]quests!$A$1,0,0,COUNTA([2]quests!$A:$A),MATCH(C$1,[2]quests!$1:$1,0)-MATCH($B$1,[2]quests!$1:$1,0)+1),MATCH(C$1,[2]quests!$1:$1,0)-MATCH($B$1,[2]quests!$1:$1,0)+1,FALSE)</f>
        <v>団結クエスト</v>
      </c>
      <c r="D30" s="82" t="str">
        <f ca="1">VLOOKUP($B30,OFFSET([2]quests!$A$1,0,0,COUNTA([2]quests!$A:$A),MATCH(D$1,[2]quests!$1:$1,0)-MATCH($B$1,[2]quests!$1:$1,0)+1),MATCH(D$1,[2]quests!$1:$1,0)-MATCH($B$1,[2]quests!$1:$1,0)+1,FALSE)</f>
        <v>団結クエスト1</v>
      </c>
      <c r="E30" s="86" t="s">
        <v>217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200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6" t="s">
        <v>213</v>
      </c>
    </row>
    <row r="31" spans="1:13" x14ac:dyDescent="0.15">
      <c r="A31" s="80" t="s">
        <v>202</v>
      </c>
      <c r="B31" s="81">
        <f>floors!$C$2</f>
        <v>61001</v>
      </c>
      <c r="C31" s="82" t="str">
        <f ca="1">VLOOKUP($B31,OFFSET([2]quests!$A$1,0,0,COUNTA([2]quests!$A:$A),MATCH(C$1,[2]quests!$1:$1,0)-MATCH($B$1,[2]quests!$1:$1,0)+1),MATCH(C$1,[2]quests!$1:$1,0)-MATCH($B$1,[2]quests!$1:$1,0)+1,FALSE)</f>
        <v>団結クエスト</v>
      </c>
      <c r="D31" s="82" t="str">
        <f ca="1">VLOOKUP($B31,OFFSET([2]quests!$A$1,0,0,COUNTA([2]quests!$A:$A),MATCH(D$1,[2]quests!$1:$1,0)-MATCH($B$1,[2]quests!$1:$1,0)+1),MATCH(D$1,[2]quests!$1:$1,0)-MATCH($B$1,[2]quests!$1:$1,0)+1,FALSE)</f>
        <v>団結クエスト1</v>
      </c>
      <c r="E31" s="86" t="s">
        <v>217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200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6" t="s">
        <v>213</v>
      </c>
    </row>
    <row r="32" spans="1:13" x14ac:dyDescent="0.15">
      <c r="A32" s="80" t="s">
        <v>202</v>
      </c>
      <c r="B32" s="81">
        <f>floors!$C$2</f>
        <v>61001</v>
      </c>
      <c r="C32" s="82" t="str">
        <f ca="1">VLOOKUP($B32,OFFSET([2]quests!$A$1,0,0,COUNTA([2]quests!$A:$A),MATCH(C$1,[2]quests!$1:$1,0)-MATCH($B$1,[2]quests!$1:$1,0)+1),MATCH(C$1,[2]quests!$1:$1,0)-MATCH($B$1,[2]quests!$1:$1,0)+1,FALSE)</f>
        <v>団結クエスト</v>
      </c>
      <c r="D32" s="82" t="str">
        <f ca="1">VLOOKUP($B32,OFFSET([2]quests!$A$1,0,0,COUNTA([2]quests!$A:$A),MATCH(D$1,[2]quests!$1:$1,0)-MATCH($B$1,[2]quests!$1:$1,0)+1),MATCH(D$1,[2]quests!$1:$1,0)-MATCH($B$1,[2]quests!$1:$1,0)+1,FALSE)</f>
        <v>団結クエスト1</v>
      </c>
      <c r="E32" s="86" t="s">
        <v>217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200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6" t="s">
        <v>213</v>
      </c>
    </row>
    <row r="33" spans="1:13" x14ac:dyDescent="0.15">
      <c r="A33" s="80" t="s">
        <v>202</v>
      </c>
      <c r="B33" s="81">
        <f>floors!$C$2</f>
        <v>61001</v>
      </c>
      <c r="C33" s="82" t="str">
        <f ca="1">VLOOKUP($B33,OFFSET([2]quests!$A$1,0,0,COUNTA([2]quests!$A:$A),MATCH(C$1,[2]quests!$1:$1,0)-MATCH($B$1,[2]quests!$1:$1,0)+1),MATCH(C$1,[2]quests!$1:$1,0)-MATCH($B$1,[2]quests!$1:$1,0)+1,FALSE)</f>
        <v>団結クエスト</v>
      </c>
      <c r="D33" s="82" t="str">
        <f ca="1">VLOOKUP($B33,OFFSET([2]quests!$A$1,0,0,COUNTA([2]quests!$A:$A),MATCH(D$1,[2]quests!$1:$1,0)-MATCH($B$1,[2]quests!$1:$1,0)+1),MATCH(D$1,[2]quests!$1:$1,0)-MATCH($B$1,[2]quests!$1:$1,0)+1,FALSE)</f>
        <v>団結クエスト1</v>
      </c>
      <c r="E33" s="86" t="s">
        <v>217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200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6" t="s">
        <v>213</v>
      </c>
    </row>
    <row r="34" spans="1:13" x14ac:dyDescent="0.15">
      <c r="A34" s="80" t="s">
        <v>202</v>
      </c>
      <c r="B34" s="81">
        <f>floors!$C$2</f>
        <v>61001</v>
      </c>
      <c r="C34" s="82" t="str">
        <f ca="1">VLOOKUP($B34,OFFSET([2]quests!$A$1,0,0,COUNTA([2]quests!$A:$A),MATCH(C$1,[2]quests!$1:$1,0)-MATCH($B$1,[2]quests!$1:$1,0)+1),MATCH(C$1,[2]quests!$1:$1,0)-MATCH($B$1,[2]quests!$1:$1,0)+1,FALSE)</f>
        <v>団結クエスト</v>
      </c>
      <c r="D34" s="82" t="str">
        <f ca="1">VLOOKUP($B34,OFFSET([2]quests!$A$1,0,0,COUNTA([2]quests!$A:$A),MATCH(D$1,[2]quests!$1:$1,0)-MATCH($B$1,[2]quests!$1:$1,0)+1),MATCH(D$1,[2]quests!$1:$1,0)-MATCH($B$1,[2]quests!$1:$1,0)+1,FALSE)</f>
        <v>団結クエスト1</v>
      </c>
      <c r="E34" s="86" t="s">
        <v>217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200</v>
      </c>
      <c r="K34" s="93" t="str">
        <f>VLOOKUP(I34,[7]stage_hints!$A:$C,3,FALSE)</f>
        <v>ゲリラクエストは要チェック</v>
      </c>
      <c r="L34" s="94" t="str">
        <f>VLOOKUP(I34,[7]stage_hints!$A:$D,4,FALSE)</f>
        <v>時間限定の「アヒル捕獲作戦」では_x000D_経験値素材ユニットが多く手に入ります</v>
      </c>
      <c r="M34" s="56" t="s">
        <v>213</v>
      </c>
    </row>
    <row r="35" spans="1:13" x14ac:dyDescent="0.15">
      <c r="A35" s="80" t="s">
        <v>202</v>
      </c>
      <c r="B35" s="81">
        <f>floors!$C$2</f>
        <v>61001</v>
      </c>
      <c r="C35" s="82" t="str">
        <f ca="1">VLOOKUP($B35,OFFSET([2]quests!$A$1,0,0,COUNTA([2]quests!$A:$A),MATCH(C$1,[2]quests!$1:$1,0)-MATCH($B$1,[2]quests!$1:$1,0)+1),MATCH(C$1,[2]quests!$1:$1,0)-MATCH($B$1,[2]quests!$1:$1,0)+1,FALSE)</f>
        <v>団結クエスト</v>
      </c>
      <c r="D35" s="82" t="str">
        <f ca="1">VLOOKUP($B35,OFFSET([2]quests!$A$1,0,0,COUNTA([2]quests!$A:$A),MATCH(D$1,[2]quests!$1:$1,0)-MATCH($B$1,[2]quests!$1:$1,0)+1),MATCH(D$1,[2]quests!$1:$1,0)-MATCH($B$1,[2]quests!$1:$1,0)+1,FALSE)</f>
        <v>団結クエスト1</v>
      </c>
      <c r="E35" s="86" t="s">
        <v>217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200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6" t="s">
        <v>213</v>
      </c>
    </row>
    <row r="36" spans="1:13" x14ac:dyDescent="0.15">
      <c r="A36" s="80" t="s">
        <v>202</v>
      </c>
      <c r="B36" s="81">
        <f>floors!$C$2</f>
        <v>61001</v>
      </c>
      <c r="C36" s="82" t="str">
        <f ca="1">VLOOKUP($B36,OFFSET([2]quests!$A$1,0,0,COUNTA([2]quests!$A:$A),MATCH(C$1,[2]quests!$1:$1,0)-MATCH($B$1,[2]quests!$1:$1,0)+1),MATCH(C$1,[2]quests!$1:$1,0)-MATCH($B$1,[2]quests!$1:$1,0)+1,FALSE)</f>
        <v>団結クエスト</v>
      </c>
      <c r="D36" s="82" t="str">
        <f ca="1">VLOOKUP($B36,OFFSET([2]quests!$A$1,0,0,COUNTA([2]quests!$A:$A),MATCH(D$1,[2]quests!$1:$1,0)-MATCH($B$1,[2]quests!$1:$1,0)+1),MATCH(D$1,[2]quests!$1:$1,0)-MATCH($B$1,[2]quests!$1:$1,0)+1,FALSE)</f>
        <v>団結クエスト1</v>
      </c>
      <c r="E36" s="86" t="s">
        <v>217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200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6" t="s">
        <v>213</v>
      </c>
    </row>
    <row r="37" spans="1:13" x14ac:dyDescent="0.15">
      <c r="A37" s="80" t="s">
        <v>202</v>
      </c>
      <c r="B37" s="81">
        <f>floors!$C$2</f>
        <v>61001</v>
      </c>
      <c r="C37" s="82" t="str">
        <f ca="1">VLOOKUP($B37,OFFSET([2]quests!$A$1,0,0,COUNTA([2]quests!$A:$A),MATCH(C$1,[2]quests!$1:$1,0)-MATCH($B$1,[2]quests!$1:$1,0)+1),MATCH(C$1,[2]quests!$1:$1,0)-MATCH($B$1,[2]quests!$1:$1,0)+1,FALSE)</f>
        <v>団結クエスト</v>
      </c>
      <c r="D37" s="82" t="str">
        <f ca="1">VLOOKUP($B37,OFFSET([2]quests!$A$1,0,0,COUNTA([2]quests!$A:$A),MATCH(D$1,[2]quests!$1:$1,0)-MATCH($B$1,[2]quests!$1:$1,0)+1),MATCH(D$1,[2]quests!$1:$1,0)-MATCH($B$1,[2]quests!$1:$1,0)+1,FALSE)</f>
        <v>団結クエスト1</v>
      </c>
      <c r="E37" s="86" t="s">
        <v>217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200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6" t="s">
        <v>213</v>
      </c>
    </row>
    <row r="38" spans="1:13" x14ac:dyDescent="0.15">
      <c r="A38" s="80" t="s">
        <v>202</v>
      </c>
      <c r="B38" s="81">
        <f>floors!$C$2</f>
        <v>61001</v>
      </c>
      <c r="C38" s="82" t="str">
        <f ca="1">VLOOKUP($B38,OFFSET([2]quests!$A$1,0,0,COUNTA([2]quests!$A:$A),MATCH(C$1,[2]quests!$1:$1,0)-MATCH($B$1,[2]quests!$1:$1,0)+1),MATCH(C$1,[2]quests!$1:$1,0)-MATCH($B$1,[2]quests!$1:$1,0)+1,FALSE)</f>
        <v>団結クエスト</v>
      </c>
      <c r="D38" s="82" t="str">
        <f ca="1">VLOOKUP($B38,OFFSET([2]quests!$A$1,0,0,COUNTA([2]quests!$A:$A),MATCH(D$1,[2]quests!$1:$1,0)-MATCH($B$1,[2]quests!$1:$1,0)+1),MATCH(D$1,[2]quests!$1:$1,0)-MATCH($B$1,[2]quests!$1:$1,0)+1,FALSE)</f>
        <v>団結クエスト1</v>
      </c>
      <c r="E38" s="86" t="s">
        <v>217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200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6" t="s">
        <v>213</v>
      </c>
    </row>
    <row r="39" spans="1:13" x14ac:dyDescent="0.15">
      <c r="A39" s="80" t="s">
        <v>202</v>
      </c>
      <c r="B39" s="81">
        <f>floors!$C$2</f>
        <v>61001</v>
      </c>
      <c r="C39" s="82" t="str">
        <f ca="1">VLOOKUP($B39,OFFSET([2]quests!$A$1,0,0,COUNTA([2]quests!$A:$A),MATCH(C$1,[2]quests!$1:$1,0)-MATCH($B$1,[2]quests!$1:$1,0)+1),MATCH(C$1,[2]quests!$1:$1,0)-MATCH($B$1,[2]quests!$1:$1,0)+1,FALSE)</f>
        <v>団結クエスト</v>
      </c>
      <c r="D39" s="82" t="str">
        <f ca="1">VLOOKUP($B39,OFFSET([2]quests!$A$1,0,0,COUNTA([2]quests!$A:$A),MATCH(D$1,[2]quests!$1:$1,0)-MATCH($B$1,[2]quests!$1:$1,0)+1),MATCH(D$1,[2]quests!$1:$1,0)-MATCH($B$1,[2]quests!$1:$1,0)+1,FALSE)</f>
        <v>団結クエスト1</v>
      </c>
      <c r="E39" s="86" t="s">
        <v>217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200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6" t="s">
        <v>213</v>
      </c>
    </row>
    <row r="40" spans="1:13" x14ac:dyDescent="0.15">
      <c r="A40" s="80" t="s">
        <v>202</v>
      </c>
      <c r="B40" s="81">
        <f>floors!$C$2</f>
        <v>61001</v>
      </c>
      <c r="C40" s="82" t="str">
        <f ca="1">VLOOKUP($B40,OFFSET([2]quests!$A$1,0,0,COUNTA([2]quests!$A:$A),MATCH(C$1,[2]quests!$1:$1,0)-MATCH($B$1,[2]quests!$1:$1,0)+1),MATCH(C$1,[2]quests!$1:$1,0)-MATCH($B$1,[2]quests!$1:$1,0)+1,FALSE)</f>
        <v>団結クエスト</v>
      </c>
      <c r="D40" s="82" t="str">
        <f ca="1">VLOOKUP($B40,OFFSET([2]quests!$A$1,0,0,COUNTA([2]quests!$A:$A),MATCH(D$1,[2]quests!$1:$1,0)-MATCH($B$1,[2]quests!$1:$1,0)+1),MATCH(D$1,[2]quests!$1:$1,0)-MATCH($B$1,[2]quests!$1:$1,0)+1,FALSE)</f>
        <v>団結クエスト1</v>
      </c>
      <c r="E40" s="86" t="s">
        <v>217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200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6" t="s">
        <v>213</v>
      </c>
    </row>
    <row r="41" spans="1:13" x14ac:dyDescent="0.15">
      <c r="A41" s="80" t="s">
        <v>202</v>
      </c>
      <c r="B41" s="81">
        <f>floors!$C$2</f>
        <v>61001</v>
      </c>
      <c r="C41" s="82" t="str">
        <f ca="1">VLOOKUP($B41,OFFSET([2]quests!$A$1,0,0,COUNTA([2]quests!$A:$A),MATCH(C$1,[2]quests!$1:$1,0)-MATCH($B$1,[2]quests!$1:$1,0)+1),MATCH(C$1,[2]quests!$1:$1,0)-MATCH($B$1,[2]quests!$1:$1,0)+1,FALSE)</f>
        <v>団結クエスト</v>
      </c>
      <c r="D41" s="82" t="str">
        <f ca="1">VLOOKUP($B41,OFFSET([2]quests!$A$1,0,0,COUNTA([2]quests!$A:$A),MATCH(D$1,[2]quests!$1:$1,0)-MATCH($B$1,[2]quests!$1:$1,0)+1),MATCH(D$1,[2]quests!$1:$1,0)-MATCH($B$1,[2]quests!$1:$1,0)+1,FALSE)</f>
        <v>団結クエスト1</v>
      </c>
      <c r="E41" s="86" t="s">
        <v>217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200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6" t="s">
        <v>213</v>
      </c>
    </row>
    <row r="42" spans="1:13" x14ac:dyDescent="0.15">
      <c r="A42" s="80" t="s">
        <v>202</v>
      </c>
      <c r="B42" s="81">
        <f>floors!$C$2</f>
        <v>61001</v>
      </c>
      <c r="C42" s="82" t="str">
        <f ca="1">VLOOKUP($B42,OFFSET([2]quests!$A$1,0,0,COUNTA([2]quests!$A:$A),MATCH(C$1,[2]quests!$1:$1,0)-MATCH($B$1,[2]quests!$1:$1,0)+1),MATCH(C$1,[2]quests!$1:$1,0)-MATCH($B$1,[2]quests!$1:$1,0)+1,FALSE)</f>
        <v>団結クエスト</v>
      </c>
      <c r="D42" s="82" t="str">
        <f ca="1">VLOOKUP($B42,OFFSET([2]quests!$A$1,0,0,COUNTA([2]quests!$A:$A),MATCH(D$1,[2]quests!$1:$1,0)-MATCH($B$1,[2]quests!$1:$1,0)+1),MATCH(D$1,[2]quests!$1:$1,0)-MATCH($B$1,[2]quests!$1:$1,0)+1,FALSE)</f>
        <v>団結クエスト1</v>
      </c>
      <c r="E42" s="86" t="s">
        <v>217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200</v>
      </c>
      <c r="K42" s="93" t="str">
        <f>VLOOKUP(I42,[7]stage_hints!$A:$C,3,FALSE)</f>
        <v>ソロ専用タワーオブザクイーン</v>
      </c>
      <c r="L42" s="94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6" t="s">
        <v>213</v>
      </c>
    </row>
    <row r="43" spans="1:13" x14ac:dyDescent="0.15">
      <c r="A43" s="80" t="s">
        <v>202</v>
      </c>
      <c r="B43" s="81">
        <f>floors!$C$2</f>
        <v>61001</v>
      </c>
      <c r="C43" s="82" t="str">
        <f ca="1">VLOOKUP($B43,OFFSET([2]quests!$A$1,0,0,COUNTA([2]quests!$A:$A),MATCH(C$1,[2]quests!$1:$1,0)-MATCH($B$1,[2]quests!$1:$1,0)+1),MATCH(C$1,[2]quests!$1:$1,0)-MATCH($B$1,[2]quests!$1:$1,0)+1,FALSE)</f>
        <v>団結クエスト</v>
      </c>
      <c r="D43" s="82" t="str">
        <f ca="1">VLOOKUP($B43,OFFSET([2]quests!$A$1,0,0,COUNTA([2]quests!$A:$A),MATCH(D$1,[2]quests!$1:$1,0)-MATCH($B$1,[2]quests!$1:$1,0)+1),MATCH(D$1,[2]quests!$1:$1,0)-MATCH($B$1,[2]quests!$1:$1,0)+1,FALSE)</f>
        <v>団結クエスト1</v>
      </c>
      <c r="E43" s="86" t="s">
        <v>217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200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6" t="s">
        <v>213</v>
      </c>
    </row>
    <row r="44" spans="1:13" x14ac:dyDescent="0.15">
      <c r="A44" s="80" t="s">
        <v>202</v>
      </c>
      <c r="B44" s="81">
        <f>floors!$C$2</f>
        <v>61001</v>
      </c>
      <c r="C44" s="82" t="str">
        <f ca="1">VLOOKUP($B44,OFFSET([2]quests!$A$1,0,0,COUNTA([2]quests!$A:$A),MATCH(C$1,[2]quests!$1:$1,0)-MATCH($B$1,[2]quests!$1:$1,0)+1),MATCH(C$1,[2]quests!$1:$1,0)-MATCH($B$1,[2]quests!$1:$1,0)+1,FALSE)</f>
        <v>団結クエスト</v>
      </c>
      <c r="D44" s="82" t="str">
        <f ca="1">VLOOKUP($B44,OFFSET([2]quests!$A$1,0,0,COUNTA([2]quests!$A:$A),MATCH(D$1,[2]quests!$1:$1,0)-MATCH($B$1,[2]quests!$1:$1,0)+1),MATCH(D$1,[2]quests!$1:$1,0)-MATCH($B$1,[2]quests!$1:$1,0)+1,FALSE)</f>
        <v>団結クエスト1</v>
      </c>
      <c r="E44" s="86" t="s">
        <v>217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200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6" t="s">
        <v>213</v>
      </c>
    </row>
    <row r="45" spans="1:13" x14ac:dyDescent="0.15">
      <c r="A45" s="80" t="s">
        <v>202</v>
      </c>
      <c r="B45" s="81">
        <f>floors!$C$2</f>
        <v>61001</v>
      </c>
      <c r="C45" s="82" t="str">
        <f ca="1">VLOOKUP($B45,OFFSET([2]quests!$A$1,0,0,COUNTA([2]quests!$A:$A),MATCH(C$1,[2]quests!$1:$1,0)-MATCH($B$1,[2]quests!$1:$1,0)+1),MATCH(C$1,[2]quests!$1:$1,0)-MATCH($B$1,[2]quests!$1:$1,0)+1,FALSE)</f>
        <v>団結クエスト</v>
      </c>
      <c r="D45" s="82" t="str">
        <f ca="1">VLOOKUP($B45,OFFSET([2]quests!$A$1,0,0,COUNTA([2]quests!$A:$A),MATCH(D$1,[2]quests!$1:$1,0)-MATCH($B$1,[2]quests!$1:$1,0)+1),MATCH(D$1,[2]quests!$1:$1,0)-MATCH($B$1,[2]quests!$1:$1,0)+1,FALSE)</f>
        <v>団結クエスト1</v>
      </c>
      <c r="E45" s="86" t="s">
        <v>217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200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6" t="s">
        <v>213</v>
      </c>
    </row>
    <row r="46" spans="1:13" x14ac:dyDescent="0.15">
      <c r="A46" s="80" t="s">
        <v>202</v>
      </c>
      <c r="B46" s="81">
        <f>floors!$C$2</f>
        <v>61001</v>
      </c>
      <c r="C46" s="82" t="str">
        <f ca="1">VLOOKUP($B46,OFFSET([2]quests!$A$1,0,0,COUNTA([2]quests!$A:$A),MATCH(C$1,[2]quests!$1:$1,0)-MATCH($B$1,[2]quests!$1:$1,0)+1),MATCH(C$1,[2]quests!$1:$1,0)-MATCH($B$1,[2]quests!$1:$1,0)+1,FALSE)</f>
        <v>団結クエスト</v>
      </c>
      <c r="D46" s="82" t="str">
        <f ca="1">VLOOKUP($B46,OFFSET([2]quests!$A$1,0,0,COUNTA([2]quests!$A:$A),MATCH(D$1,[2]quests!$1:$1,0)-MATCH($B$1,[2]quests!$1:$1,0)+1),MATCH(D$1,[2]quests!$1:$1,0)-MATCH($B$1,[2]quests!$1:$1,0)+1,FALSE)</f>
        <v>団結クエスト1</v>
      </c>
      <c r="E46" s="86" t="s">
        <v>217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200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6" t="s">
        <v>213</v>
      </c>
    </row>
    <row r="47" spans="1:13" x14ac:dyDescent="0.15">
      <c r="A47" s="80" t="s">
        <v>202</v>
      </c>
      <c r="B47" s="81">
        <f>floors!$C$2</f>
        <v>61001</v>
      </c>
      <c r="C47" s="82" t="str">
        <f ca="1">VLOOKUP($B47,OFFSET([2]quests!$A$1,0,0,COUNTA([2]quests!$A:$A),MATCH(C$1,[2]quests!$1:$1,0)-MATCH($B$1,[2]quests!$1:$1,0)+1),MATCH(C$1,[2]quests!$1:$1,0)-MATCH($B$1,[2]quests!$1:$1,0)+1,FALSE)</f>
        <v>団結クエスト</v>
      </c>
      <c r="D47" s="82" t="str">
        <f ca="1">VLOOKUP($B47,OFFSET([2]quests!$A$1,0,0,COUNTA([2]quests!$A:$A),MATCH(D$1,[2]quests!$1:$1,0)-MATCH($B$1,[2]quests!$1:$1,0)+1),MATCH(D$1,[2]quests!$1:$1,0)-MATCH($B$1,[2]quests!$1:$1,0)+1,FALSE)</f>
        <v>団結クエスト1</v>
      </c>
      <c r="E47" s="86" t="s">
        <v>217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200</v>
      </c>
      <c r="K47" s="93" t="str">
        <f>VLOOKUP(I47,[7]stage_hints!$A:$C,3,FALSE)</f>
        <v>果実を使って限界突破</v>
      </c>
      <c r="L47" s="94" t="str">
        <f>VLOOKUP(I47,[7]stage_hints!$A:$D,4,FALSE)</f>
        <v>攻めの果実 癒しの果実_x000D_生命の果実をユニット強化に使うと_x000D_ステータスが限界突破します（計99個迄）</v>
      </c>
      <c r="M47" s="56" t="s">
        <v>213</v>
      </c>
    </row>
    <row r="48" spans="1:13" x14ac:dyDescent="0.15">
      <c r="A48" s="80" t="s">
        <v>202</v>
      </c>
      <c r="B48" s="81">
        <f>floors!$C$2</f>
        <v>61001</v>
      </c>
      <c r="C48" s="82" t="str">
        <f ca="1">VLOOKUP($B48,OFFSET([2]quests!$A$1,0,0,COUNTA([2]quests!$A:$A),MATCH(C$1,[2]quests!$1:$1,0)-MATCH($B$1,[2]quests!$1:$1,0)+1),MATCH(C$1,[2]quests!$1:$1,0)-MATCH($B$1,[2]quests!$1:$1,0)+1,FALSE)</f>
        <v>団結クエスト</v>
      </c>
      <c r="D48" s="82" t="str">
        <f ca="1">VLOOKUP($B48,OFFSET([2]quests!$A$1,0,0,COUNTA([2]quests!$A:$A),MATCH(D$1,[2]quests!$1:$1,0)-MATCH($B$1,[2]quests!$1:$1,0)+1),MATCH(D$1,[2]quests!$1:$1,0)-MATCH($B$1,[2]quests!$1:$1,0)+1,FALSE)</f>
        <v>団結クエスト1</v>
      </c>
      <c r="E48" s="86" t="s">
        <v>217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200</v>
      </c>
      <c r="K48" s="93" t="str">
        <f>VLOOKUP(I48,[7]stage_hints!$A:$C,3,FALSE)</f>
        <v>スキルレベルアップ</v>
      </c>
      <c r="L48" s="94" t="str">
        <f>VLOOKUP(I48,[7]stage_hints!$A:$D,4,FALSE)</f>
        <v>「秘術の果実」を強化に使うと_x000D_スキルレベルを上げることができます</v>
      </c>
      <c r="M48" s="56" t="s">
        <v>213</v>
      </c>
    </row>
    <row r="49" spans="1:13" x14ac:dyDescent="0.15">
      <c r="A49" s="80" t="s">
        <v>202</v>
      </c>
      <c r="B49" s="81">
        <f>floors!$C$2</f>
        <v>61001</v>
      </c>
      <c r="C49" s="82" t="str">
        <f ca="1">VLOOKUP($B49,OFFSET([2]quests!$A$1,0,0,COUNTA([2]quests!$A:$A),MATCH(C$1,[2]quests!$1:$1,0)-MATCH($B$1,[2]quests!$1:$1,0)+1),MATCH(C$1,[2]quests!$1:$1,0)-MATCH($B$1,[2]quests!$1:$1,0)+1,FALSE)</f>
        <v>団結クエスト</v>
      </c>
      <c r="D49" s="82" t="str">
        <f ca="1">VLOOKUP($B49,OFFSET([2]quests!$A$1,0,0,COUNTA([2]quests!$A:$A),MATCH(D$1,[2]quests!$1:$1,0)-MATCH($B$1,[2]quests!$1:$1,0)+1),MATCH(D$1,[2]quests!$1:$1,0)-MATCH($B$1,[2]quests!$1:$1,0)+1,FALSE)</f>
        <v>団結クエスト1</v>
      </c>
      <c r="E49" s="86" t="s">
        <v>217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200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6" t="s">
        <v>213</v>
      </c>
    </row>
    <row r="50" spans="1:13" x14ac:dyDescent="0.15">
      <c r="A50" s="80" t="s">
        <v>202</v>
      </c>
      <c r="B50" s="81">
        <f>floors!$C$2</f>
        <v>61001</v>
      </c>
      <c r="C50" s="82" t="str">
        <f ca="1">VLOOKUP($B50,OFFSET([2]quests!$A$1,0,0,COUNTA([2]quests!$A:$A),MATCH(C$1,[2]quests!$1:$1,0)-MATCH($B$1,[2]quests!$1:$1,0)+1),MATCH(C$1,[2]quests!$1:$1,0)-MATCH($B$1,[2]quests!$1:$1,0)+1,FALSE)</f>
        <v>団結クエスト</v>
      </c>
      <c r="D50" s="82" t="str">
        <f ca="1">VLOOKUP($B50,OFFSET([2]quests!$A$1,0,0,COUNTA([2]quests!$A:$A),MATCH(D$1,[2]quests!$1:$1,0)-MATCH($B$1,[2]quests!$1:$1,0)+1),MATCH(D$1,[2]quests!$1:$1,0)-MATCH($B$1,[2]quests!$1:$1,0)+1,FALSE)</f>
        <v>団結クエスト1</v>
      </c>
      <c r="E50" s="86" t="s">
        <v>217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200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6" t="s">
        <v>213</v>
      </c>
    </row>
    <row r="51" spans="1:13" x14ac:dyDescent="0.15">
      <c r="A51" s="80" t="s">
        <v>202</v>
      </c>
      <c r="B51" s="81">
        <f>floors!$C$2</f>
        <v>61001</v>
      </c>
      <c r="C51" s="82" t="str">
        <f ca="1">VLOOKUP($B51,OFFSET([2]quests!$A$1,0,0,COUNTA([2]quests!$A:$A),MATCH(C$1,[2]quests!$1:$1,0)-MATCH($B$1,[2]quests!$1:$1,0)+1),MATCH(C$1,[2]quests!$1:$1,0)-MATCH($B$1,[2]quests!$1:$1,0)+1,FALSE)</f>
        <v>団結クエスト</v>
      </c>
      <c r="D51" s="82" t="str">
        <f ca="1">VLOOKUP($B51,OFFSET([2]quests!$A$1,0,0,COUNTA([2]quests!$A:$A),MATCH(D$1,[2]quests!$1:$1,0)-MATCH($B$1,[2]quests!$1:$1,0)+1),MATCH(D$1,[2]quests!$1:$1,0)-MATCH($B$1,[2]quests!$1:$1,0)+1,FALSE)</f>
        <v>団結クエスト1</v>
      </c>
      <c r="E51" s="86" t="s">
        <v>217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200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6" t="s">
        <v>213</v>
      </c>
    </row>
    <row r="52" spans="1:13" x14ac:dyDescent="0.15">
      <c r="A52" s="80" t="s">
        <v>202</v>
      </c>
      <c r="B52" s="81">
        <f>floors!$C$2</f>
        <v>61001</v>
      </c>
      <c r="C52" s="82" t="str">
        <f ca="1">VLOOKUP($B52,OFFSET([2]quests!$A$1,0,0,COUNTA([2]quests!$A:$A),MATCH(C$1,[2]quests!$1:$1,0)-MATCH($B$1,[2]quests!$1:$1,0)+1),MATCH(C$1,[2]quests!$1:$1,0)-MATCH($B$1,[2]quests!$1:$1,0)+1,FALSE)</f>
        <v>団結クエスト</v>
      </c>
      <c r="D52" s="82" t="str">
        <f ca="1">VLOOKUP($B52,OFFSET([2]quests!$A$1,0,0,COUNTA([2]quests!$A:$A),MATCH(D$1,[2]quests!$1:$1,0)-MATCH($B$1,[2]quests!$1:$1,0)+1),MATCH(D$1,[2]quests!$1:$1,0)-MATCH($B$1,[2]quests!$1:$1,0)+1,FALSE)</f>
        <v>団結クエスト1</v>
      </c>
      <c r="E52" s="86" t="s">
        <v>217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200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6" t="s">
        <v>213</v>
      </c>
    </row>
    <row r="53" spans="1:13" x14ac:dyDescent="0.15">
      <c r="A53" s="80" t="s">
        <v>202</v>
      </c>
      <c r="B53" s="81">
        <f>floors!$C$2</f>
        <v>61001</v>
      </c>
      <c r="C53" s="82" t="str">
        <f ca="1">VLOOKUP($B53,OFFSET([2]quests!$A$1,0,0,COUNTA([2]quests!$A:$A),MATCH(C$1,[2]quests!$1:$1,0)-MATCH($B$1,[2]quests!$1:$1,0)+1),MATCH(C$1,[2]quests!$1:$1,0)-MATCH($B$1,[2]quests!$1:$1,0)+1,FALSE)</f>
        <v>団結クエスト</v>
      </c>
      <c r="D53" s="82" t="str">
        <f ca="1">VLOOKUP($B53,OFFSET([2]quests!$A$1,0,0,COUNTA([2]quests!$A:$A),MATCH(D$1,[2]quests!$1:$1,0)-MATCH($B$1,[2]quests!$1:$1,0)+1),MATCH(D$1,[2]quests!$1:$1,0)-MATCH($B$1,[2]quests!$1:$1,0)+1,FALSE)</f>
        <v>団結クエスト1</v>
      </c>
      <c r="E53" s="86" t="s">
        <v>217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200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6" t="s">
        <v>213</v>
      </c>
    </row>
    <row r="54" spans="1:13" x14ac:dyDescent="0.15">
      <c r="A54" s="80" t="s">
        <v>202</v>
      </c>
      <c r="B54" s="81">
        <f>floors!$C$2</f>
        <v>61001</v>
      </c>
      <c r="C54" s="82" t="str">
        <f ca="1">VLOOKUP($B54,OFFSET([2]quests!$A$1,0,0,COUNTA([2]quests!$A:$A),MATCH(C$1,[2]quests!$1:$1,0)-MATCH($B$1,[2]quests!$1:$1,0)+1),MATCH(C$1,[2]quests!$1:$1,0)-MATCH($B$1,[2]quests!$1:$1,0)+1,FALSE)</f>
        <v>団結クエスト</v>
      </c>
      <c r="D54" s="82" t="str">
        <f ca="1">VLOOKUP($B54,OFFSET([2]quests!$A$1,0,0,COUNTA([2]quests!$A:$A),MATCH(D$1,[2]quests!$1:$1,0)-MATCH($B$1,[2]quests!$1:$1,0)+1),MATCH(D$1,[2]quests!$1:$1,0)-MATCH($B$1,[2]quests!$1:$1,0)+1,FALSE)</f>
        <v>団結クエスト1</v>
      </c>
      <c r="E54" s="86" t="s">
        <v>217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200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6" t="s">
        <v>213</v>
      </c>
    </row>
    <row r="55" spans="1:13" x14ac:dyDescent="0.15">
      <c r="A55" s="80" t="s">
        <v>202</v>
      </c>
      <c r="B55" s="81">
        <f>floors!$C$2</f>
        <v>61001</v>
      </c>
      <c r="C55" s="82" t="str">
        <f ca="1">VLOOKUP($B55,OFFSET([2]quests!$A$1,0,0,COUNTA([2]quests!$A:$A),MATCH(C$1,[2]quests!$1:$1,0)-MATCH($B$1,[2]quests!$1:$1,0)+1),MATCH(C$1,[2]quests!$1:$1,0)-MATCH($B$1,[2]quests!$1:$1,0)+1,FALSE)</f>
        <v>団結クエスト</v>
      </c>
      <c r="D55" s="82" t="str">
        <f ca="1">VLOOKUP($B55,OFFSET([2]quests!$A$1,0,0,COUNTA([2]quests!$A:$A),MATCH(D$1,[2]quests!$1:$1,0)-MATCH($B$1,[2]quests!$1:$1,0)+1),MATCH(D$1,[2]quests!$1:$1,0)-MATCH($B$1,[2]quests!$1:$1,0)+1,FALSE)</f>
        <v>団結クエスト1</v>
      </c>
      <c r="E55" s="86" t="s">
        <v>217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200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6" t="s">
        <v>213</v>
      </c>
    </row>
    <row r="56" spans="1:13" x14ac:dyDescent="0.15">
      <c r="A56" s="80" t="s">
        <v>202</v>
      </c>
      <c r="B56" s="81">
        <f>floors!$C$2</f>
        <v>61001</v>
      </c>
      <c r="C56" s="82" t="str">
        <f ca="1">VLOOKUP($B56,OFFSET([2]quests!$A$1,0,0,COUNTA([2]quests!$A:$A),MATCH(C$1,[2]quests!$1:$1,0)-MATCH($B$1,[2]quests!$1:$1,0)+1),MATCH(C$1,[2]quests!$1:$1,0)-MATCH($B$1,[2]quests!$1:$1,0)+1,FALSE)</f>
        <v>団結クエスト</v>
      </c>
      <c r="D56" s="82" t="str">
        <f ca="1">VLOOKUP($B56,OFFSET([2]quests!$A$1,0,0,COUNTA([2]quests!$A:$A),MATCH(D$1,[2]quests!$1:$1,0)-MATCH($B$1,[2]quests!$1:$1,0)+1),MATCH(D$1,[2]quests!$1:$1,0)-MATCH($B$1,[2]quests!$1:$1,0)+1,FALSE)</f>
        <v>団結クエスト1</v>
      </c>
      <c r="E56" s="86" t="s">
        <v>217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200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6" t="s">
        <v>213</v>
      </c>
    </row>
    <row r="57" spans="1:13" x14ac:dyDescent="0.15">
      <c r="A57" s="80" t="s">
        <v>202</v>
      </c>
      <c r="B57" s="81">
        <f>floors!$C$2</f>
        <v>61001</v>
      </c>
      <c r="C57" s="82" t="str">
        <f ca="1">VLOOKUP($B57,OFFSET([2]quests!$A$1,0,0,COUNTA([2]quests!$A:$A),MATCH(C$1,[2]quests!$1:$1,0)-MATCH($B$1,[2]quests!$1:$1,0)+1),MATCH(C$1,[2]quests!$1:$1,0)-MATCH($B$1,[2]quests!$1:$1,0)+1,FALSE)</f>
        <v>団結クエスト</v>
      </c>
      <c r="D57" s="82" t="str">
        <f ca="1">VLOOKUP($B57,OFFSET([2]quests!$A$1,0,0,COUNTA([2]quests!$A:$A),MATCH(D$1,[2]quests!$1:$1,0)-MATCH($B$1,[2]quests!$1:$1,0)+1),MATCH(D$1,[2]quests!$1:$1,0)-MATCH($B$1,[2]quests!$1:$1,0)+1,FALSE)</f>
        <v>団結クエスト1</v>
      </c>
      <c r="E57" s="86" t="s">
        <v>217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200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6" t="s">
        <v>213</v>
      </c>
    </row>
    <row r="58" spans="1:13" x14ac:dyDescent="0.15">
      <c r="A58" s="80" t="s">
        <v>202</v>
      </c>
      <c r="B58" s="81">
        <f>floors!$C$2</f>
        <v>61001</v>
      </c>
      <c r="C58" s="82" t="str">
        <f ca="1">VLOOKUP($B58,OFFSET([2]quests!$A$1,0,0,COUNTA([2]quests!$A:$A),MATCH(C$1,[2]quests!$1:$1,0)-MATCH($B$1,[2]quests!$1:$1,0)+1),MATCH(C$1,[2]quests!$1:$1,0)-MATCH($B$1,[2]quests!$1:$1,0)+1,FALSE)</f>
        <v>団結クエスト</v>
      </c>
      <c r="D58" s="82" t="str">
        <f ca="1">VLOOKUP($B58,OFFSET([2]quests!$A$1,0,0,COUNTA([2]quests!$A:$A),MATCH(D$1,[2]quests!$1:$1,0)-MATCH($B$1,[2]quests!$1:$1,0)+1),MATCH(D$1,[2]quests!$1:$1,0)-MATCH($B$1,[2]quests!$1:$1,0)+1,FALSE)</f>
        <v>団結クエスト1</v>
      </c>
      <c r="E58" s="86" t="s">
        <v>217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200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6" t="s">
        <v>213</v>
      </c>
    </row>
    <row r="59" spans="1:13" x14ac:dyDescent="0.15">
      <c r="A59" s="80" t="s">
        <v>202</v>
      </c>
      <c r="B59" s="81">
        <f>floors!$C$2</f>
        <v>61001</v>
      </c>
      <c r="C59" s="82" t="str">
        <f ca="1">VLOOKUP($B59,OFFSET([2]quests!$A$1,0,0,COUNTA([2]quests!$A:$A),MATCH(C$1,[2]quests!$1:$1,0)-MATCH($B$1,[2]quests!$1:$1,0)+1),MATCH(C$1,[2]quests!$1:$1,0)-MATCH($B$1,[2]quests!$1:$1,0)+1,FALSE)</f>
        <v>団結クエスト</v>
      </c>
      <c r="D59" s="82" t="str">
        <f ca="1">VLOOKUP($B59,OFFSET([2]quests!$A$1,0,0,COUNTA([2]quests!$A:$A),MATCH(D$1,[2]quests!$1:$1,0)-MATCH($B$1,[2]quests!$1:$1,0)+1),MATCH(D$1,[2]quests!$1:$1,0)-MATCH($B$1,[2]quests!$1:$1,0)+1,FALSE)</f>
        <v>団結クエスト1</v>
      </c>
      <c r="E59" s="86" t="s">
        <v>217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200</v>
      </c>
      <c r="K59" s="93" t="str">
        <f>VLOOKUP(I59,[7]stage_hints!$A:$C,3,FALSE)</f>
        <v>システム適合者を確認</v>
      </c>
      <c r="L59" s="94" t="str">
        <f>VLOOKUP(I59,[7]stage_hints!$A:$D,4,FALSE)</f>
        <v>ALICEが 「アナタ」を呼んでいます</v>
      </c>
      <c r="M59" s="56" t="s">
        <v>213</v>
      </c>
    </row>
    <row r="60" spans="1:13" x14ac:dyDescent="0.15">
      <c r="A60" s="80" t="s">
        <v>202</v>
      </c>
      <c r="B60" s="81">
        <f>floors!$C$2</f>
        <v>61001</v>
      </c>
      <c r="C60" s="82" t="str">
        <f ca="1">VLOOKUP($B60,OFFSET([2]quests!$A$1,0,0,COUNTA([2]quests!$A:$A),MATCH(C$1,[2]quests!$1:$1,0)-MATCH($B$1,[2]quests!$1:$1,0)+1),MATCH(C$1,[2]quests!$1:$1,0)-MATCH($B$1,[2]quests!$1:$1,0)+1,FALSE)</f>
        <v>団結クエスト</v>
      </c>
      <c r="D60" s="82" t="str">
        <f ca="1">VLOOKUP($B60,OFFSET([2]quests!$A$1,0,0,COUNTA([2]quests!$A:$A),MATCH(D$1,[2]quests!$1:$1,0)-MATCH($B$1,[2]quests!$1:$1,0)+1),MATCH(D$1,[2]quests!$1:$1,0)-MATCH($B$1,[2]quests!$1:$1,0)+1,FALSE)</f>
        <v>団結クエスト1</v>
      </c>
      <c r="E60" s="86" t="s">
        <v>218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6">
        <v>3</v>
      </c>
      <c r="J60" s="83" t="s">
        <v>200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6" t="s">
        <v>213</v>
      </c>
    </row>
    <row r="61" spans="1:13" x14ac:dyDescent="0.15">
      <c r="A61" s="80" t="s">
        <v>202</v>
      </c>
      <c r="B61" s="81">
        <f>floors!$C$2</f>
        <v>61001</v>
      </c>
      <c r="C61" s="82" t="str">
        <f ca="1">VLOOKUP($B61,OFFSET([2]quests!$A$1,0,0,COUNTA([2]quests!$A:$A),MATCH(C$1,[2]quests!$1:$1,0)-MATCH($B$1,[2]quests!$1:$1,0)+1),MATCH(C$1,[2]quests!$1:$1,0)-MATCH($B$1,[2]quests!$1:$1,0)+1,FALSE)</f>
        <v>団結クエスト</v>
      </c>
      <c r="D61" s="82" t="str">
        <f ca="1">VLOOKUP($B61,OFFSET([2]quests!$A$1,0,0,COUNTA([2]quests!$A:$A),MATCH(D$1,[2]quests!$1:$1,0)-MATCH($B$1,[2]quests!$1:$1,0)+1),MATCH(D$1,[2]quests!$1:$1,0)-MATCH($B$1,[2]quests!$1:$1,0)+1,FALSE)</f>
        <v>団結クエスト1</v>
      </c>
      <c r="E61" s="86" t="s">
        <v>218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6">
        <v>6</v>
      </c>
      <c r="J61" s="83" t="s">
        <v>200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6" t="s">
        <v>213</v>
      </c>
    </row>
    <row r="62" spans="1:13" x14ac:dyDescent="0.15">
      <c r="A62" s="80" t="s">
        <v>202</v>
      </c>
      <c r="B62" s="81">
        <f>floors!$C$2</f>
        <v>61001</v>
      </c>
      <c r="C62" s="82" t="str">
        <f ca="1">VLOOKUP($B62,OFFSET([2]quests!$A$1,0,0,COUNTA([2]quests!$A:$A),MATCH(C$1,[2]quests!$1:$1,0)-MATCH($B$1,[2]quests!$1:$1,0)+1),MATCH(C$1,[2]quests!$1:$1,0)-MATCH($B$1,[2]quests!$1:$1,0)+1,FALSE)</f>
        <v>団結クエスト</v>
      </c>
      <c r="D62" s="82" t="str">
        <f ca="1">VLOOKUP($B62,OFFSET([2]quests!$A$1,0,0,COUNTA([2]quests!$A:$A),MATCH(D$1,[2]quests!$1:$1,0)-MATCH($B$1,[2]quests!$1:$1,0)+1),MATCH(D$1,[2]quests!$1:$1,0)-MATCH($B$1,[2]quests!$1:$1,0)+1,FALSE)</f>
        <v>団結クエスト1</v>
      </c>
      <c r="E62" s="86" t="s">
        <v>218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6">
        <v>7</v>
      </c>
      <c r="J62" s="83" t="s">
        <v>200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6" t="s">
        <v>213</v>
      </c>
    </row>
    <row r="63" spans="1:13" x14ac:dyDescent="0.15">
      <c r="A63" s="80" t="s">
        <v>202</v>
      </c>
      <c r="B63" s="81">
        <f>floors!$C$2</f>
        <v>61001</v>
      </c>
      <c r="C63" s="82" t="str">
        <f ca="1">VLOOKUP($B63,OFFSET([2]quests!$A$1,0,0,COUNTA([2]quests!$A:$A),MATCH(C$1,[2]quests!$1:$1,0)-MATCH($B$1,[2]quests!$1:$1,0)+1),MATCH(C$1,[2]quests!$1:$1,0)-MATCH($B$1,[2]quests!$1:$1,0)+1,FALSE)</f>
        <v>団結クエスト</v>
      </c>
      <c r="D63" s="82" t="str">
        <f ca="1">VLOOKUP($B63,OFFSET([2]quests!$A$1,0,0,COUNTA([2]quests!$A:$A),MATCH(D$1,[2]quests!$1:$1,0)-MATCH($B$1,[2]quests!$1:$1,0)+1),MATCH(D$1,[2]quests!$1:$1,0)-MATCH($B$1,[2]quests!$1:$1,0)+1,FALSE)</f>
        <v>団結クエスト1</v>
      </c>
      <c r="E63" s="86" t="s">
        <v>218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6">
        <v>8</v>
      </c>
      <c r="J63" s="83" t="s">
        <v>200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6" t="s">
        <v>213</v>
      </c>
    </row>
    <row r="64" spans="1:13" x14ac:dyDescent="0.15">
      <c r="A64" s="80" t="s">
        <v>202</v>
      </c>
      <c r="B64" s="81">
        <f>floors!$C$2</f>
        <v>61001</v>
      </c>
      <c r="C64" s="82" t="str">
        <f ca="1">VLOOKUP($B64,OFFSET([2]quests!$A$1,0,0,COUNTA([2]quests!$A:$A),MATCH(C$1,[2]quests!$1:$1,0)-MATCH($B$1,[2]quests!$1:$1,0)+1),MATCH(C$1,[2]quests!$1:$1,0)-MATCH($B$1,[2]quests!$1:$1,0)+1,FALSE)</f>
        <v>団結クエスト</v>
      </c>
      <c r="D64" s="82" t="str">
        <f ca="1">VLOOKUP($B64,OFFSET([2]quests!$A$1,0,0,COUNTA([2]quests!$A:$A),MATCH(D$1,[2]quests!$1:$1,0)-MATCH($B$1,[2]quests!$1:$1,0)+1),MATCH(D$1,[2]quests!$1:$1,0)-MATCH($B$1,[2]quests!$1:$1,0)+1,FALSE)</f>
        <v>団結クエスト1</v>
      </c>
      <c r="E64" s="86" t="s">
        <v>218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6">
        <v>9</v>
      </c>
      <c r="J64" s="83" t="s">
        <v>200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6" t="s">
        <v>213</v>
      </c>
    </row>
    <row r="65" spans="1:13" x14ac:dyDescent="0.15">
      <c r="A65" s="80" t="s">
        <v>202</v>
      </c>
      <c r="B65" s="81">
        <f>floors!$C$2</f>
        <v>61001</v>
      </c>
      <c r="C65" s="82" t="str">
        <f ca="1">VLOOKUP($B65,OFFSET([2]quests!$A$1,0,0,COUNTA([2]quests!$A:$A),MATCH(C$1,[2]quests!$1:$1,0)-MATCH($B$1,[2]quests!$1:$1,0)+1),MATCH(C$1,[2]quests!$1:$1,0)-MATCH($B$1,[2]quests!$1:$1,0)+1,FALSE)</f>
        <v>団結クエスト</v>
      </c>
      <c r="D65" s="82" t="str">
        <f ca="1">VLOOKUP($B65,OFFSET([2]quests!$A$1,0,0,COUNTA([2]quests!$A:$A),MATCH(D$1,[2]quests!$1:$1,0)-MATCH($B$1,[2]quests!$1:$1,0)+1),MATCH(D$1,[2]quests!$1:$1,0)-MATCH($B$1,[2]quests!$1:$1,0)+1,FALSE)</f>
        <v>団結クエスト1</v>
      </c>
      <c r="E65" s="86" t="s">
        <v>218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6">
        <v>10</v>
      </c>
      <c r="J65" s="83" t="s">
        <v>200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6" t="s">
        <v>213</v>
      </c>
    </row>
    <row r="66" spans="1:13" x14ac:dyDescent="0.15">
      <c r="A66" s="80" t="s">
        <v>202</v>
      </c>
      <c r="B66" s="81">
        <f>floors!$C$2</f>
        <v>61001</v>
      </c>
      <c r="C66" s="82" t="str">
        <f ca="1">VLOOKUP($B66,OFFSET([2]quests!$A$1,0,0,COUNTA([2]quests!$A:$A),MATCH(C$1,[2]quests!$1:$1,0)-MATCH($B$1,[2]quests!$1:$1,0)+1),MATCH(C$1,[2]quests!$1:$1,0)-MATCH($B$1,[2]quests!$1:$1,0)+1,FALSE)</f>
        <v>団結クエスト</v>
      </c>
      <c r="D66" s="82" t="str">
        <f ca="1">VLOOKUP($B66,OFFSET([2]quests!$A$1,0,0,COUNTA([2]quests!$A:$A),MATCH(D$1,[2]quests!$1:$1,0)-MATCH($B$1,[2]quests!$1:$1,0)+1),MATCH(D$1,[2]quests!$1:$1,0)-MATCH($B$1,[2]quests!$1:$1,0)+1,FALSE)</f>
        <v>団結クエスト1</v>
      </c>
      <c r="E66" s="86" t="s">
        <v>218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6">
        <v>11</v>
      </c>
      <c r="J66" s="83" t="s">
        <v>200</v>
      </c>
      <c r="K66" s="93" t="str">
        <f>VLOOKUP(I66,[7]stage_hints!$A:$C,3,FALSE)</f>
        <v>ゲリラクエストは要チェック</v>
      </c>
      <c r="L66" s="94" t="str">
        <f>VLOOKUP(I66,[7]stage_hints!$A:$D,4,FALSE)</f>
        <v>時間限定の「アヒル捕獲作戦」では_x000D_経験値素材ユニットが多く手に入ります</v>
      </c>
      <c r="M66" s="56" t="s">
        <v>213</v>
      </c>
    </row>
    <row r="67" spans="1:13" x14ac:dyDescent="0.15">
      <c r="A67" s="80" t="s">
        <v>202</v>
      </c>
      <c r="B67" s="81">
        <f>floors!$C$2</f>
        <v>61001</v>
      </c>
      <c r="C67" s="82" t="str">
        <f ca="1">VLOOKUP($B67,OFFSET([2]quests!$A$1,0,0,COUNTA([2]quests!$A:$A),MATCH(C$1,[2]quests!$1:$1,0)-MATCH($B$1,[2]quests!$1:$1,0)+1),MATCH(C$1,[2]quests!$1:$1,0)-MATCH($B$1,[2]quests!$1:$1,0)+1,FALSE)</f>
        <v>団結クエスト</v>
      </c>
      <c r="D67" s="82" t="str">
        <f ca="1">VLOOKUP($B67,OFFSET([2]quests!$A$1,0,0,COUNTA([2]quests!$A:$A),MATCH(D$1,[2]quests!$1:$1,0)-MATCH($B$1,[2]quests!$1:$1,0)+1),MATCH(D$1,[2]quests!$1:$1,0)-MATCH($B$1,[2]quests!$1:$1,0)+1,FALSE)</f>
        <v>団結クエスト1</v>
      </c>
      <c r="E67" s="86" t="s">
        <v>218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6">
        <v>12</v>
      </c>
      <c r="J67" s="83" t="s">
        <v>200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6" t="s">
        <v>213</v>
      </c>
    </row>
    <row r="68" spans="1:13" x14ac:dyDescent="0.15">
      <c r="A68" s="80" t="s">
        <v>202</v>
      </c>
      <c r="B68" s="81">
        <f>floors!$C$2</f>
        <v>61001</v>
      </c>
      <c r="C68" s="82" t="str">
        <f ca="1">VLOOKUP($B68,OFFSET([2]quests!$A$1,0,0,COUNTA([2]quests!$A:$A),MATCH(C$1,[2]quests!$1:$1,0)-MATCH($B$1,[2]quests!$1:$1,0)+1),MATCH(C$1,[2]quests!$1:$1,0)-MATCH($B$1,[2]quests!$1:$1,0)+1,FALSE)</f>
        <v>団結クエスト</v>
      </c>
      <c r="D68" s="82" t="str">
        <f ca="1">VLOOKUP($B68,OFFSET([2]quests!$A$1,0,0,COUNTA([2]quests!$A:$A),MATCH(D$1,[2]quests!$1:$1,0)-MATCH($B$1,[2]quests!$1:$1,0)+1),MATCH(D$1,[2]quests!$1:$1,0)-MATCH($B$1,[2]quests!$1:$1,0)+1,FALSE)</f>
        <v>団結クエスト1</v>
      </c>
      <c r="E68" s="86" t="s">
        <v>218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6">
        <v>13</v>
      </c>
      <c r="J68" s="83" t="s">
        <v>200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6" t="s">
        <v>213</v>
      </c>
    </row>
    <row r="69" spans="1:13" x14ac:dyDescent="0.15">
      <c r="A69" s="80" t="s">
        <v>202</v>
      </c>
      <c r="B69" s="81">
        <f>floors!$C$2</f>
        <v>61001</v>
      </c>
      <c r="C69" s="82" t="str">
        <f ca="1">VLOOKUP($B69,OFFSET([2]quests!$A$1,0,0,COUNTA([2]quests!$A:$A),MATCH(C$1,[2]quests!$1:$1,0)-MATCH($B$1,[2]quests!$1:$1,0)+1),MATCH(C$1,[2]quests!$1:$1,0)-MATCH($B$1,[2]quests!$1:$1,0)+1,FALSE)</f>
        <v>団結クエスト</v>
      </c>
      <c r="D69" s="82" t="str">
        <f ca="1">VLOOKUP($B69,OFFSET([2]quests!$A$1,0,0,COUNTA([2]quests!$A:$A),MATCH(D$1,[2]quests!$1:$1,0)-MATCH($B$1,[2]quests!$1:$1,0)+1),MATCH(D$1,[2]quests!$1:$1,0)-MATCH($B$1,[2]quests!$1:$1,0)+1,FALSE)</f>
        <v>団結クエスト1</v>
      </c>
      <c r="E69" s="86" t="s">
        <v>218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6">
        <v>14</v>
      </c>
      <c r="J69" s="83" t="s">
        <v>200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6" t="s">
        <v>213</v>
      </c>
    </row>
    <row r="70" spans="1:13" x14ac:dyDescent="0.15">
      <c r="A70" s="80" t="s">
        <v>202</v>
      </c>
      <c r="B70" s="81">
        <f>floors!$C$2</f>
        <v>61001</v>
      </c>
      <c r="C70" s="82" t="str">
        <f ca="1">VLOOKUP($B70,OFFSET([2]quests!$A$1,0,0,COUNTA([2]quests!$A:$A),MATCH(C$1,[2]quests!$1:$1,0)-MATCH($B$1,[2]quests!$1:$1,0)+1),MATCH(C$1,[2]quests!$1:$1,0)-MATCH($B$1,[2]quests!$1:$1,0)+1,FALSE)</f>
        <v>団結クエスト</v>
      </c>
      <c r="D70" s="82" t="str">
        <f ca="1">VLOOKUP($B70,OFFSET([2]quests!$A$1,0,0,COUNTA([2]quests!$A:$A),MATCH(D$1,[2]quests!$1:$1,0)-MATCH($B$1,[2]quests!$1:$1,0)+1),MATCH(D$1,[2]quests!$1:$1,0)-MATCH($B$1,[2]quests!$1:$1,0)+1,FALSE)</f>
        <v>団結クエスト1</v>
      </c>
      <c r="E70" s="86" t="s">
        <v>218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6">
        <v>15</v>
      </c>
      <c r="J70" s="83" t="s">
        <v>200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6" t="s">
        <v>213</v>
      </c>
    </row>
    <row r="71" spans="1:13" x14ac:dyDescent="0.15">
      <c r="A71" s="80" t="s">
        <v>202</v>
      </c>
      <c r="B71" s="81">
        <f>floors!$C$2</f>
        <v>61001</v>
      </c>
      <c r="C71" s="82" t="str">
        <f ca="1">VLOOKUP($B71,OFFSET([2]quests!$A$1,0,0,COUNTA([2]quests!$A:$A),MATCH(C$1,[2]quests!$1:$1,0)-MATCH($B$1,[2]quests!$1:$1,0)+1),MATCH(C$1,[2]quests!$1:$1,0)-MATCH($B$1,[2]quests!$1:$1,0)+1,FALSE)</f>
        <v>団結クエスト</v>
      </c>
      <c r="D71" s="82" t="str">
        <f ca="1">VLOOKUP($B71,OFFSET([2]quests!$A$1,0,0,COUNTA([2]quests!$A:$A),MATCH(D$1,[2]quests!$1:$1,0)-MATCH($B$1,[2]quests!$1:$1,0)+1),MATCH(D$1,[2]quests!$1:$1,0)-MATCH($B$1,[2]quests!$1:$1,0)+1,FALSE)</f>
        <v>団結クエスト1</v>
      </c>
      <c r="E71" s="86" t="s">
        <v>218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6">
        <v>16</v>
      </c>
      <c r="J71" s="83" t="s">
        <v>200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6" t="s">
        <v>213</v>
      </c>
    </row>
    <row r="72" spans="1:13" x14ac:dyDescent="0.15">
      <c r="A72" s="80" t="s">
        <v>202</v>
      </c>
      <c r="B72" s="81">
        <f>floors!$C$2</f>
        <v>61001</v>
      </c>
      <c r="C72" s="82" t="str">
        <f ca="1">VLOOKUP($B72,OFFSET([2]quests!$A$1,0,0,COUNTA([2]quests!$A:$A),MATCH(C$1,[2]quests!$1:$1,0)-MATCH($B$1,[2]quests!$1:$1,0)+1),MATCH(C$1,[2]quests!$1:$1,0)-MATCH($B$1,[2]quests!$1:$1,0)+1,FALSE)</f>
        <v>団結クエスト</v>
      </c>
      <c r="D72" s="82" t="str">
        <f ca="1">VLOOKUP($B72,OFFSET([2]quests!$A$1,0,0,COUNTA([2]quests!$A:$A),MATCH(D$1,[2]quests!$1:$1,0)-MATCH($B$1,[2]quests!$1:$1,0)+1),MATCH(D$1,[2]quests!$1:$1,0)-MATCH($B$1,[2]quests!$1:$1,0)+1,FALSE)</f>
        <v>団結クエスト1</v>
      </c>
      <c r="E72" s="86" t="s">
        <v>218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6">
        <v>17</v>
      </c>
      <c r="J72" s="83" t="s">
        <v>200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6" t="s">
        <v>213</v>
      </c>
    </row>
    <row r="73" spans="1:13" x14ac:dyDescent="0.15">
      <c r="A73" s="80" t="s">
        <v>202</v>
      </c>
      <c r="B73" s="81">
        <f>floors!$C$2</f>
        <v>61001</v>
      </c>
      <c r="C73" s="82" t="str">
        <f ca="1">VLOOKUP($B73,OFFSET([2]quests!$A$1,0,0,COUNTA([2]quests!$A:$A),MATCH(C$1,[2]quests!$1:$1,0)-MATCH($B$1,[2]quests!$1:$1,0)+1),MATCH(C$1,[2]quests!$1:$1,0)-MATCH($B$1,[2]quests!$1:$1,0)+1,FALSE)</f>
        <v>団結クエスト</v>
      </c>
      <c r="D73" s="82" t="str">
        <f ca="1">VLOOKUP($B73,OFFSET([2]quests!$A$1,0,0,COUNTA([2]quests!$A:$A),MATCH(D$1,[2]quests!$1:$1,0)-MATCH($B$1,[2]quests!$1:$1,0)+1),MATCH(D$1,[2]quests!$1:$1,0)-MATCH($B$1,[2]quests!$1:$1,0)+1,FALSE)</f>
        <v>団結クエスト1</v>
      </c>
      <c r="E73" s="86" t="s">
        <v>218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6">
        <v>18</v>
      </c>
      <c r="J73" s="83" t="s">
        <v>200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6" t="s">
        <v>213</v>
      </c>
    </row>
    <row r="74" spans="1:13" x14ac:dyDescent="0.15">
      <c r="A74" s="80" t="s">
        <v>202</v>
      </c>
      <c r="B74" s="81">
        <f>floors!$C$2</f>
        <v>61001</v>
      </c>
      <c r="C74" s="82" t="str">
        <f ca="1">VLOOKUP($B74,OFFSET([2]quests!$A$1,0,0,COUNTA([2]quests!$A:$A),MATCH(C$1,[2]quests!$1:$1,0)-MATCH($B$1,[2]quests!$1:$1,0)+1),MATCH(C$1,[2]quests!$1:$1,0)-MATCH($B$1,[2]quests!$1:$1,0)+1,FALSE)</f>
        <v>団結クエスト</v>
      </c>
      <c r="D74" s="82" t="str">
        <f ca="1">VLOOKUP($B74,OFFSET([2]quests!$A$1,0,0,COUNTA([2]quests!$A:$A),MATCH(D$1,[2]quests!$1:$1,0)-MATCH($B$1,[2]quests!$1:$1,0)+1),MATCH(D$1,[2]quests!$1:$1,0)-MATCH($B$1,[2]quests!$1:$1,0)+1,FALSE)</f>
        <v>団結クエスト1</v>
      </c>
      <c r="E74" s="86" t="s">
        <v>218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6">
        <v>19</v>
      </c>
      <c r="J74" s="83" t="s">
        <v>200</v>
      </c>
      <c r="K74" s="93" t="str">
        <f>VLOOKUP(I74,[7]stage_hints!$A:$C,3,FALSE)</f>
        <v>ソロ専用タワーオブザクイーン</v>
      </c>
      <c r="L74" s="94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6" t="s">
        <v>213</v>
      </c>
    </row>
    <row r="75" spans="1:13" x14ac:dyDescent="0.15">
      <c r="A75" s="80" t="s">
        <v>202</v>
      </c>
      <c r="B75" s="81">
        <f>floors!$C$2</f>
        <v>61001</v>
      </c>
      <c r="C75" s="82" t="str">
        <f ca="1">VLOOKUP($B75,OFFSET([2]quests!$A$1,0,0,COUNTA([2]quests!$A:$A),MATCH(C$1,[2]quests!$1:$1,0)-MATCH($B$1,[2]quests!$1:$1,0)+1),MATCH(C$1,[2]quests!$1:$1,0)-MATCH($B$1,[2]quests!$1:$1,0)+1,FALSE)</f>
        <v>団結クエスト</v>
      </c>
      <c r="D75" s="82" t="str">
        <f ca="1">VLOOKUP($B75,OFFSET([2]quests!$A$1,0,0,COUNTA([2]quests!$A:$A),MATCH(D$1,[2]quests!$1:$1,0)-MATCH($B$1,[2]quests!$1:$1,0)+1),MATCH(D$1,[2]quests!$1:$1,0)-MATCH($B$1,[2]quests!$1:$1,0)+1,FALSE)</f>
        <v>団結クエスト1</v>
      </c>
      <c r="E75" s="86" t="s">
        <v>218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6">
        <v>20</v>
      </c>
      <c r="J75" s="83" t="s">
        <v>200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6" t="s">
        <v>213</v>
      </c>
    </row>
    <row r="76" spans="1:13" x14ac:dyDescent="0.15">
      <c r="A76" s="80" t="s">
        <v>202</v>
      </c>
      <c r="B76" s="81">
        <f>floors!$C$2</f>
        <v>61001</v>
      </c>
      <c r="C76" s="82" t="str">
        <f ca="1">VLOOKUP($B76,OFFSET([2]quests!$A$1,0,0,COUNTA([2]quests!$A:$A),MATCH(C$1,[2]quests!$1:$1,0)-MATCH($B$1,[2]quests!$1:$1,0)+1),MATCH(C$1,[2]quests!$1:$1,0)-MATCH($B$1,[2]quests!$1:$1,0)+1,FALSE)</f>
        <v>団結クエスト</v>
      </c>
      <c r="D76" s="82" t="str">
        <f ca="1">VLOOKUP($B76,OFFSET([2]quests!$A$1,0,0,COUNTA([2]quests!$A:$A),MATCH(D$1,[2]quests!$1:$1,0)-MATCH($B$1,[2]quests!$1:$1,0)+1),MATCH(D$1,[2]quests!$1:$1,0)-MATCH($B$1,[2]quests!$1:$1,0)+1,FALSE)</f>
        <v>団結クエスト1</v>
      </c>
      <c r="E76" s="86" t="s">
        <v>218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6">
        <v>21</v>
      </c>
      <c r="J76" s="83" t="s">
        <v>200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6" t="s">
        <v>213</v>
      </c>
    </row>
    <row r="77" spans="1:13" x14ac:dyDescent="0.15">
      <c r="A77" s="80" t="s">
        <v>202</v>
      </c>
      <c r="B77" s="81">
        <f>floors!$C$2</f>
        <v>61001</v>
      </c>
      <c r="C77" s="82" t="str">
        <f ca="1">VLOOKUP($B77,OFFSET([2]quests!$A$1,0,0,COUNTA([2]quests!$A:$A),MATCH(C$1,[2]quests!$1:$1,0)-MATCH($B$1,[2]quests!$1:$1,0)+1),MATCH(C$1,[2]quests!$1:$1,0)-MATCH($B$1,[2]quests!$1:$1,0)+1,FALSE)</f>
        <v>団結クエスト</v>
      </c>
      <c r="D77" s="82" t="str">
        <f ca="1">VLOOKUP($B77,OFFSET([2]quests!$A$1,0,0,COUNTA([2]quests!$A:$A),MATCH(D$1,[2]quests!$1:$1,0)-MATCH($B$1,[2]quests!$1:$1,0)+1),MATCH(D$1,[2]quests!$1:$1,0)-MATCH($B$1,[2]quests!$1:$1,0)+1,FALSE)</f>
        <v>団結クエスト1</v>
      </c>
      <c r="E77" s="86" t="s">
        <v>218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6">
        <v>22</v>
      </c>
      <c r="J77" s="83" t="s">
        <v>200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6" t="s">
        <v>213</v>
      </c>
    </row>
    <row r="78" spans="1:13" x14ac:dyDescent="0.15">
      <c r="A78" s="80" t="s">
        <v>202</v>
      </c>
      <c r="B78" s="81">
        <f>floors!$C$2</f>
        <v>61001</v>
      </c>
      <c r="C78" s="82" t="str">
        <f ca="1">VLOOKUP($B78,OFFSET([2]quests!$A$1,0,0,COUNTA([2]quests!$A:$A),MATCH(C$1,[2]quests!$1:$1,0)-MATCH($B$1,[2]quests!$1:$1,0)+1),MATCH(C$1,[2]quests!$1:$1,0)-MATCH($B$1,[2]quests!$1:$1,0)+1,FALSE)</f>
        <v>団結クエスト</v>
      </c>
      <c r="D78" s="82" t="str">
        <f ca="1">VLOOKUP($B78,OFFSET([2]quests!$A$1,0,0,COUNTA([2]quests!$A:$A),MATCH(D$1,[2]quests!$1:$1,0)-MATCH($B$1,[2]quests!$1:$1,0)+1),MATCH(D$1,[2]quests!$1:$1,0)-MATCH($B$1,[2]quests!$1:$1,0)+1,FALSE)</f>
        <v>団結クエスト1</v>
      </c>
      <c r="E78" s="86" t="s">
        <v>218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6">
        <v>23</v>
      </c>
      <c r="J78" s="83" t="s">
        <v>200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6" t="s">
        <v>213</v>
      </c>
    </row>
    <row r="79" spans="1:13" x14ac:dyDescent="0.15">
      <c r="A79" s="80" t="s">
        <v>202</v>
      </c>
      <c r="B79" s="81">
        <f>floors!$C$2</f>
        <v>61001</v>
      </c>
      <c r="C79" s="82" t="str">
        <f ca="1">VLOOKUP($B79,OFFSET([2]quests!$A$1,0,0,COUNTA([2]quests!$A:$A),MATCH(C$1,[2]quests!$1:$1,0)-MATCH($B$1,[2]quests!$1:$1,0)+1),MATCH(C$1,[2]quests!$1:$1,0)-MATCH($B$1,[2]quests!$1:$1,0)+1,FALSE)</f>
        <v>団結クエスト</v>
      </c>
      <c r="D79" s="82" t="str">
        <f ca="1">VLOOKUP($B79,OFFSET([2]quests!$A$1,0,0,COUNTA([2]quests!$A:$A),MATCH(D$1,[2]quests!$1:$1,0)-MATCH($B$1,[2]quests!$1:$1,0)+1),MATCH(D$1,[2]quests!$1:$1,0)-MATCH($B$1,[2]quests!$1:$1,0)+1,FALSE)</f>
        <v>団結クエスト1</v>
      </c>
      <c r="E79" s="86" t="s">
        <v>218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6">
        <v>24</v>
      </c>
      <c r="J79" s="83" t="s">
        <v>200</v>
      </c>
      <c r="K79" s="93" t="str">
        <f>VLOOKUP(I79,[7]stage_hints!$A:$C,3,FALSE)</f>
        <v>果実を使って限界突破</v>
      </c>
      <c r="L79" s="94" t="str">
        <f>VLOOKUP(I79,[7]stage_hints!$A:$D,4,FALSE)</f>
        <v>攻めの果実 癒しの果実_x000D_生命の果実をユニット強化に使うと_x000D_ステータスが限界突破します（計99個迄）</v>
      </c>
      <c r="M79" s="56" t="s">
        <v>213</v>
      </c>
    </row>
    <row r="80" spans="1:13" x14ac:dyDescent="0.15">
      <c r="A80" s="80" t="s">
        <v>202</v>
      </c>
      <c r="B80" s="81">
        <f>floors!$C$2</f>
        <v>61001</v>
      </c>
      <c r="C80" s="82" t="str">
        <f ca="1">VLOOKUP($B80,OFFSET([2]quests!$A$1,0,0,COUNTA([2]quests!$A:$A),MATCH(C$1,[2]quests!$1:$1,0)-MATCH($B$1,[2]quests!$1:$1,0)+1),MATCH(C$1,[2]quests!$1:$1,0)-MATCH($B$1,[2]quests!$1:$1,0)+1,FALSE)</f>
        <v>団結クエスト</v>
      </c>
      <c r="D80" s="82" t="str">
        <f ca="1">VLOOKUP($B80,OFFSET([2]quests!$A$1,0,0,COUNTA([2]quests!$A:$A),MATCH(D$1,[2]quests!$1:$1,0)-MATCH($B$1,[2]quests!$1:$1,0)+1),MATCH(D$1,[2]quests!$1:$1,0)-MATCH($B$1,[2]quests!$1:$1,0)+1,FALSE)</f>
        <v>団結クエスト1</v>
      </c>
      <c r="E80" s="86" t="s">
        <v>218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6">
        <v>25</v>
      </c>
      <c r="J80" s="83" t="s">
        <v>200</v>
      </c>
      <c r="K80" s="93" t="str">
        <f>VLOOKUP(I80,[7]stage_hints!$A:$C,3,FALSE)</f>
        <v>スキルレベルアップ</v>
      </c>
      <c r="L80" s="94" t="str">
        <f>VLOOKUP(I80,[7]stage_hints!$A:$D,4,FALSE)</f>
        <v>「秘術の果実」を強化に使うと_x000D_スキルレベルを上げることができます</v>
      </c>
      <c r="M80" s="56" t="s">
        <v>213</v>
      </c>
    </row>
    <row r="81" spans="1:13" x14ac:dyDescent="0.15">
      <c r="A81" s="80" t="s">
        <v>202</v>
      </c>
      <c r="B81" s="81">
        <f>floors!$C$2</f>
        <v>61001</v>
      </c>
      <c r="C81" s="82" t="str">
        <f ca="1">VLOOKUP($B81,OFFSET([2]quests!$A$1,0,0,COUNTA([2]quests!$A:$A),MATCH(C$1,[2]quests!$1:$1,0)-MATCH($B$1,[2]quests!$1:$1,0)+1),MATCH(C$1,[2]quests!$1:$1,0)-MATCH($B$1,[2]quests!$1:$1,0)+1,FALSE)</f>
        <v>団結クエスト</v>
      </c>
      <c r="D81" s="82" t="str">
        <f ca="1">VLOOKUP($B81,OFFSET([2]quests!$A$1,0,0,COUNTA([2]quests!$A:$A),MATCH(D$1,[2]quests!$1:$1,0)-MATCH($B$1,[2]quests!$1:$1,0)+1),MATCH(D$1,[2]quests!$1:$1,0)-MATCH($B$1,[2]quests!$1:$1,0)+1,FALSE)</f>
        <v>団結クエスト1</v>
      </c>
      <c r="E81" s="86" t="s">
        <v>218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6">
        <v>26</v>
      </c>
      <c r="J81" s="83" t="s">
        <v>200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6" t="s">
        <v>213</v>
      </c>
    </row>
    <row r="82" spans="1:13" x14ac:dyDescent="0.15">
      <c r="A82" s="80" t="s">
        <v>202</v>
      </c>
      <c r="B82" s="81">
        <f>floors!$C$2</f>
        <v>61001</v>
      </c>
      <c r="C82" s="82" t="str">
        <f ca="1">VLOOKUP($B82,OFFSET([2]quests!$A$1,0,0,COUNTA([2]quests!$A:$A),MATCH(C$1,[2]quests!$1:$1,0)-MATCH($B$1,[2]quests!$1:$1,0)+1),MATCH(C$1,[2]quests!$1:$1,0)-MATCH($B$1,[2]quests!$1:$1,0)+1,FALSE)</f>
        <v>団結クエスト</v>
      </c>
      <c r="D82" s="82" t="str">
        <f ca="1">VLOOKUP($B82,OFFSET([2]quests!$A$1,0,0,COUNTA([2]quests!$A:$A),MATCH(D$1,[2]quests!$1:$1,0)-MATCH($B$1,[2]quests!$1:$1,0)+1),MATCH(D$1,[2]quests!$1:$1,0)-MATCH($B$1,[2]quests!$1:$1,0)+1,FALSE)</f>
        <v>団結クエスト1</v>
      </c>
      <c r="E82" s="86" t="s">
        <v>218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6">
        <v>27</v>
      </c>
      <c r="J82" s="83" t="s">
        <v>200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6" t="s">
        <v>213</v>
      </c>
    </row>
    <row r="83" spans="1:13" x14ac:dyDescent="0.15">
      <c r="A83" s="80" t="s">
        <v>202</v>
      </c>
      <c r="B83" s="81">
        <f>floors!$C$2</f>
        <v>61001</v>
      </c>
      <c r="C83" s="82" t="str">
        <f ca="1">VLOOKUP($B83,OFFSET([2]quests!$A$1,0,0,COUNTA([2]quests!$A:$A),MATCH(C$1,[2]quests!$1:$1,0)-MATCH($B$1,[2]quests!$1:$1,0)+1),MATCH(C$1,[2]quests!$1:$1,0)-MATCH($B$1,[2]quests!$1:$1,0)+1,FALSE)</f>
        <v>団結クエスト</v>
      </c>
      <c r="D83" s="82" t="str">
        <f ca="1">VLOOKUP($B83,OFFSET([2]quests!$A$1,0,0,COUNTA([2]quests!$A:$A),MATCH(D$1,[2]quests!$1:$1,0)-MATCH($B$1,[2]quests!$1:$1,0)+1),MATCH(D$1,[2]quests!$1:$1,0)-MATCH($B$1,[2]quests!$1:$1,0)+1,FALSE)</f>
        <v>団結クエスト1</v>
      </c>
      <c r="E83" s="86" t="s">
        <v>218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6">
        <v>28</v>
      </c>
      <c r="J83" s="83" t="s">
        <v>200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6" t="s">
        <v>213</v>
      </c>
    </row>
    <row r="84" spans="1:13" x14ac:dyDescent="0.15">
      <c r="A84" s="80" t="s">
        <v>202</v>
      </c>
      <c r="B84" s="81">
        <f>floors!$C$2</f>
        <v>61001</v>
      </c>
      <c r="C84" s="82" t="str">
        <f ca="1">VLOOKUP($B84,OFFSET([2]quests!$A$1,0,0,COUNTA([2]quests!$A:$A),MATCH(C$1,[2]quests!$1:$1,0)-MATCH($B$1,[2]quests!$1:$1,0)+1),MATCH(C$1,[2]quests!$1:$1,0)-MATCH($B$1,[2]quests!$1:$1,0)+1,FALSE)</f>
        <v>団結クエスト</v>
      </c>
      <c r="D84" s="82" t="str">
        <f ca="1">VLOOKUP($B84,OFFSET([2]quests!$A$1,0,0,COUNTA([2]quests!$A:$A),MATCH(D$1,[2]quests!$1:$1,0)-MATCH($B$1,[2]quests!$1:$1,0)+1),MATCH(D$1,[2]quests!$1:$1,0)-MATCH($B$1,[2]quests!$1:$1,0)+1,FALSE)</f>
        <v>団結クエスト1</v>
      </c>
      <c r="E84" s="86" t="s">
        <v>218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6">
        <v>29</v>
      </c>
      <c r="J84" s="83" t="s">
        <v>200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6" t="s">
        <v>213</v>
      </c>
    </row>
    <row r="85" spans="1:13" x14ac:dyDescent="0.15">
      <c r="A85" s="80" t="s">
        <v>202</v>
      </c>
      <c r="B85" s="81">
        <f>floors!$C$2</f>
        <v>61001</v>
      </c>
      <c r="C85" s="82" t="str">
        <f ca="1">VLOOKUP($B85,OFFSET([2]quests!$A$1,0,0,COUNTA([2]quests!$A:$A),MATCH(C$1,[2]quests!$1:$1,0)-MATCH($B$1,[2]quests!$1:$1,0)+1),MATCH(C$1,[2]quests!$1:$1,0)-MATCH($B$1,[2]quests!$1:$1,0)+1,FALSE)</f>
        <v>団結クエスト</v>
      </c>
      <c r="D85" s="82" t="str">
        <f ca="1">VLOOKUP($B85,OFFSET([2]quests!$A$1,0,0,COUNTA([2]quests!$A:$A),MATCH(D$1,[2]quests!$1:$1,0)-MATCH($B$1,[2]quests!$1:$1,0)+1),MATCH(D$1,[2]quests!$1:$1,0)-MATCH($B$1,[2]quests!$1:$1,0)+1,FALSE)</f>
        <v>団結クエスト1</v>
      </c>
      <c r="E85" s="86" t="s">
        <v>218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6">
        <v>30</v>
      </c>
      <c r="J85" s="83" t="s">
        <v>200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6" t="s">
        <v>213</v>
      </c>
    </row>
    <row r="86" spans="1:13" x14ac:dyDescent="0.15">
      <c r="A86" s="80" t="s">
        <v>202</v>
      </c>
      <c r="B86" s="81">
        <f>floors!$C$2</f>
        <v>61001</v>
      </c>
      <c r="C86" s="82" t="str">
        <f ca="1">VLOOKUP($B86,OFFSET([2]quests!$A$1,0,0,COUNTA([2]quests!$A:$A),MATCH(C$1,[2]quests!$1:$1,0)-MATCH($B$1,[2]quests!$1:$1,0)+1),MATCH(C$1,[2]quests!$1:$1,0)-MATCH($B$1,[2]quests!$1:$1,0)+1,FALSE)</f>
        <v>団結クエスト</v>
      </c>
      <c r="D86" s="82" t="str">
        <f ca="1">VLOOKUP($B86,OFFSET([2]quests!$A$1,0,0,COUNTA([2]quests!$A:$A),MATCH(D$1,[2]quests!$1:$1,0)-MATCH($B$1,[2]quests!$1:$1,0)+1),MATCH(D$1,[2]quests!$1:$1,0)-MATCH($B$1,[2]quests!$1:$1,0)+1,FALSE)</f>
        <v>団結クエスト1</v>
      </c>
      <c r="E86" s="86" t="s">
        <v>218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6">
        <v>31</v>
      </c>
      <c r="J86" s="83" t="s">
        <v>200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6" t="s">
        <v>213</v>
      </c>
    </row>
    <row r="87" spans="1:13" x14ac:dyDescent="0.15">
      <c r="A87" s="80" t="s">
        <v>202</v>
      </c>
      <c r="B87" s="81">
        <f>floors!$C$2</f>
        <v>61001</v>
      </c>
      <c r="C87" s="82" t="str">
        <f ca="1">VLOOKUP($B87,OFFSET([2]quests!$A$1,0,0,COUNTA([2]quests!$A:$A),MATCH(C$1,[2]quests!$1:$1,0)-MATCH($B$1,[2]quests!$1:$1,0)+1),MATCH(C$1,[2]quests!$1:$1,0)-MATCH($B$1,[2]quests!$1:$1,0)+1,FALSE)</f>
        <v>団結クエスト</v>
      </c>
      <c r="D87" s="82" t="str">
        <f ca="1">VLOOKUP($B87,OFFSET([2]quests!$A$1,0,0,COUNTA([2]quests!$A:$A),MATCH(D$1,[2]quests!$1:$1,0)-MATCH($B$1,[2]quests!$1:$1,0)+1),MATCH(D$1,[2]quests!$1:$1,0)-MATCH($B$1,[2]quests!$1:$1,0)+1,FALSE)</f>
        <v>団結クエスト1</v>
      </c>
      <c r="E87" s="86" t="s">
        <v>218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6">
        <v>32</v>
      </c>
      <c r="J87" s="83" t="s">
        <v>200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6" t="s">
        <v>213</v>
      </c>
    </row>
    <row r="88" spans="1:13" x14ac:dyDescent="0.15">
      <c r="A88" s="80" t="s">
        <v>202</v>
      </c>
      <c r="B88" s="81">
        <f>floors!$C$2</f>
        <v>61001</v>
      </c>
      <c r="C88" s="82" t="str">
        <f ca="1">VLOOKUP($B88,OFFSET([2]quests!$A$1,0,0,COUNTA([2]quests!$A:$A),MATCH(C$1,[2]quests!$1:$1,0)-MATCH($B$1,[2]quests!$1:$1,0)+1),MATCH(C$1,[2]quests!$1:$1,0)-MATCH($B$1,[2]quests!$1:$1,0)+1,FALSE)</f>
        <v>団結クエスト</v>
      </c>
      <c r="D88" s="82" t="str">
        <f ca="1">VLOOKUP($B88,OFFSET([2]quests!$A$1,0,0,COUNTA([2]quests!$A:$A),MATCH(D$1,[2]quests!$1:$1,0)-MATCH($B$1,[2]quests!$1:$1,0)+1),MATCH(D$1,[2]quests!$1:$1,0)-MATCH($B$1,[2]quests!$1:$1,0)+1,FALSE)</f>
        <v>団結クエスト1</v>
      </c>
      <c r="E88" s="86" t="s">
        <v>218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6">
        <v>33</v>
      </c>
      <c r="J88" s="83" t="s">
        <v>200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6" t="s">
        <v>213</v>
      </c>
    </row>
    <row r="89" spans="1:13" x14ac:dyDescent="0.15">
      <c r="A89" s="80" t="s">
        <v>202</v>
      </c>
      <c r="B89" s="81">
        <f>floors!$C$2</f>
        <v>61001</v>
      </c>
      <c r="C89" s="82" t="str">
        <f ca="1">VLOOKUP($B89,OFFSET([2]quests!$A$1,0,0,COUNTA([2]quests!$A:$A),MATCH(C$1,[2]quests!$1:$1,0)-MATCH($B$1,[2]quests!$1:$1,0)+1),MATCH(C$1,[2]quests!$1:$1,0)-MATCH($B$1,[2]quests!$1:$1,0)+1,FALSE)</f>
        <v>団結クエスト</v>
      </c>
      <c r="D89" s="82" t="str">
        <f ca="1">VLOOKUP($B89,OFFSET([2]quests!$A$1,0,0,COUNTA([2]quests!$A:$A),MATCH(D$1,[2]quests!$1:$1,0)-MATCH($B$1,[2]quests!$1:$1,0)+1),MATCH(D$1,[2]quests!$1:$1,0)-MATCH($B$1,[2]quests!$1:$1,0)+1,FALSE)</f>
        <v>団結クエスト1</v>
      </c>
      <c r="E89" s="86" t="s">
        <v>218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6">
        <v>34</v>
      </c>
      <c r="J89" s="83" t="s">
        <v>200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6" t="s">
        <v>213</v>
      </c>
    </row>
    <row r="90" spans="1:13" x14ac:dyDescent="0.15">
      <c r="A90" s="80" t="s">
        <v>202</v>
      </c>
      <c r="B90" s="81">
        <f>floors!$C$2</f>
        <v>61001</v>
      </c>
      <c r="C90" s="82" t="str">
        <f ca="1">VLOOKUP($B90,OFFSET([2]quests!$A$1,0,0,COUNTA([2]quests!$A:$A),MATCH(C$1,[2]quests!$1:$1,0)-MATCH($B$1,[2]quests!$1:$1,0)+1),MATCH(C$1,[2]quests!$1:$1,0)-MATCH($B$1,[2]quests!$1:$1,0)+1,FALSE)</f>
        <v>団結クエスト</v>
      </c>
      <c r="D90" s="82" t="str">
        <f ca="1">VLOOKUP($B90,OFFSET([2]quests!$A$1,0,0,COUNTA([2]quests!$A:$A),MATCH(D$1,[2]quests!$1:$1,0)-MATCH($B$1,[2]quests!$1:$1,0)+1),MATCH(D$1,[2]quests!$1:$1,0)-MATCH($B$1,[2]quests!$1:$1,0)+1,FALSE)</f>
        <v>団結クエスト1</v>
      </c>
      <c r="E90" s="86" t="s">
        <v>218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6">
        <v>35</v>
      </c>
      <c r="J90" s="83" t="s">
        <v>200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6" t="s">
        <v>213</v>
      </c>
    </row>
    <row r="91" spans="1:13" x14ac:dyDescent="0.15">
      <c r="A91" s="80" t="s">
        <v>202</v>
      </c>
      <c r="B91" s="81">
        <f>floors!$C$2</f>
        <v>61001</v>
      </c>
      <c r="C91" s="82" t="str">
        <f ca="1">VLOOKUP($B91,OFFSET([2]quests!$A$1,0,0,COUNTA([2]quests!$A:$A),MATCH(C$1,[2]quests!$1:$1,0)-MATCH($B$1,[2]quests!$1:$1,0)+1),MATCH(C$1,[2]quests!$1:$1,0)-MATCH($B$1,[2]quests!$1:$1,0)+1,FALSE)</f>
        <v>団結クエスト</v>
      </c>
      <c r="D91" s="82" t="str">
        <f ca="1">VLOOKUP($B91,OFFSET([2]quests!$A$1,0,0,COUNTA([2]quests!$A:$A),MATCH(D$1,[2]quests!$1:$1,0)-MATCH($B$1,[2]quests!$1:$1,0)+1),MATCH(D$1,[2]quests!$1:$1,0)-MATCH($B$1,[2]quests!$1:$1,0)+1,FALSE)</f>
        <v>団結クエスト1</v>
      </c>
      <c r="E91" s="86" t="s">
        <v>218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6">
        <v>36</v>
      </c>
      <c r="J91" s="83" t="s">
        <v>200</v>
      </c>
      <c r="K91" s="93" t="str">
        <f>VLOOKUP(I91,[7]stage_hints!$A:$C,3,FALSE)</f>
        <v>タワーオブザクイーンのボス</v>
      </c>
      <c r="L91" s="94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6" t="s">
        <v>213</v>
      </c>
    </row>
    <row r="92" spans="1:13" x14ac:dyDescent="0.15">
      <c r="A92" s="80" t="s">
        <v>202</v>
      </c>
      <c r="B92" s="81">
        <f>floors!$C$2</f>
        <v>61001</v>
      </c>
      <c r="C92" s="82" t="str">
        <f ca="1">VLOOKUP($B92,OFFSET([2]quests!$A$1,0,0,COUNTA([2]quests!$A:$A),MATCH(C$1,[2]quests!$1:$1,0)-MATCH($B$1,[2]quests!$1:$1,0)+1),MATCH(C$1,[2]quests!$1:$1,0)-MATCH($B$1,[2]quests!$1:$1,0)+1,FALSE)</f>
        <v>団結クエスト</v>
      </c>
      <c r="D92" s="82" t="str">
        <f ca="1">VLOOKUP($B92,OFFSET([2]quests!$A$1,0,0,COUNTA([2]quests!$A:$A),MATCH(D$1,[2]quests!$1:$1,0)-MATCH($B$1,[2]quests!$1:$1,0)+1),MATCH(D$1,[2]quests!$1:$1,0)-MATCH($B$1,[2]quests!$1:$1,0)+1,FALSE)</f>
        <v>団結クエスト1</v>
      </c>
      <c r="E92" s="86" t="s">
        <v>218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6">
        <v>37</v>
      </c>
      <c r="J92" s="83" t="s">
        <v>200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6" t="s">
        <v>213</v>
      </c>
    </row>
    <row r="93" spans="1:13" x14ac:dyDescent="0.15">
      <c r="A93" s="80" t="s">
        <v>202</v>
      </c>
      <c r="B93" s="81">
        <f>floors!$C$2</f>
        <v>61001</v>
      </c>
      <c r="C93" s="82" t="str">
        <f ca="1">VLOOKUP($B93,OFFSET([2]quests!$A$1,0,0,COUNTA([2]quests!$A:$A),MATCH(C$1,[2]quests!$1:$1,0)-MATCH($B$1,[2]quests!$1:$1,0)+1),MATCH(C$1,[2]quests!$1:$1,0)-MATCH($B$1,[2]quests!$1:$1,0)+1,FALSE)</f>
        <v>団結クエスト</v>
      </c>
      <c r="D93" s="82" t="str">
        <f ca="1">VLOOKUP($B93,OFFSET([2]quests!$A$1,0,0,COUNTA([2]quests!$A:$A),MATCH(D$1,[2]quests!$1:$1,0)-MATCH($B$1,[2]quests!$1:$1,0)+1),MATCH(D$1,[2]quests!$1:$1,0)-MATCH($B$1,[2]quests!$1:$1,0)+1,FALSE)</f>
        <v>団結クエスト1</v>
      </c>
      <c r="E93" s="86" t="s">
        <v>218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6">
        <v>39</v>
      </c>
      <c r="J93" s="83" t="s">
        <v>200</v>
      </c>
      <c r="K93" s="93" t="str">
        <f>VLOOKUP(I93,[7]stage_hints!$A:$C,3,FALSE)</f>
        <v>システム適合者を確認</v>
      </c>
      <c r="L93" s="94" t="str">
        <f>VLOOKUP(I93,[7]stage_hints!$A:$D,4,FALSE)</f>
        <v>ALICEが 「アナタ」を呼んでいます</v>
      </c>
      <c r="M93" s="56" t="s">
        <v>213</v>
      </c>
    </row>
    <row r="94" spans="1:13" x14ac:dyDescent="0.15">
      <c r="A94" s="80" t="s">
        <v>202</v>
      </c>
      <c r="B94" s="81">
        <f>floors!$C$2</f>
        <v>61001</v>
      </c>
      <c r="C94" s="82" t="str">
        <f ca="1">VLOOKUP($B94,OFFSET([2]quests!$A$1,0,0,COUNTA([2]quests!$A:$A),MATCH(C$1,[2]quests!$1:$1,0)-MATCH($B$1,[2]quests!$1:$1,0)+1),MATCH(C$1,[2]quests!$1:$1,0)-MATCH($B$1,[2]quests!$1:$1,0)+1,FALSE)</f>
        <v>団結クエスト</v>
      </c>
      <c r="D94" s="82" t="str">
        <f ca="1">VLOOKUP($B94,OFFSET([2]quests!$A$1,0,0,COUNTA([2]quests!$A:$A),MATCH(D$1,[2]quests!$1:$1,0)-MATCH($B$1,[2]quests!$1:$1,0)+1),MATCH(D$1,[2]quests!$1:$1,0)-MATCH($B$1,[2]quests!$1:$1,0)+1,FALSE)</f>
        <v>団結クエスト1</v>
      </c>
      <c r="E94" s="86" t="s">
        <v>219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200</v>
      </c>
      <c r="K94" s="93" t="str">
        <f>VLOOKUP(I94,[7]stage_hints!$A:$C,3,FALSE)</f>
        <v>ユニットのお気に入り登録</v>
      </c>
      <c r="L94" s="94" t="str">
        <f>VLOOKUP(I94,[7]stage_hints!$A:$D,4,FALSE)</f>
        <v>大事なユニットを誤って消さないように_x000D_フォルダから「お気に入り登録」しましょう</v>
      </c>
      <c r="M94" s="56" t="s">
        <v>213</v>
      </c>
    </row>
    <row r="95" spans="1:13" x14ac:dyDescent="0.15">
      <c r="A95" s="80" t="s">
        <v>202</v>
      </c>
      <c r="B95" s="81">
        <f>floors!$C$2</f>
        <v>61001</v>
      </c>
      <c r="C95" s="82" t="str">
        <f ca="1">VLOOKUP($B95,OFFSET([2]quests!$A$1,0,0,COUNTA([2]quests!$A:$A),MATCH(C$1,[2]quests!$1:$1,0)-MATCH($B$1,[2]quests!$1:$1,0)+1),MATCH(C$1,[2]quests!$1:$1,0)-MATCH($B$1,[2]quests!$1:$1,0)+1,FALSE)</f>
        <v>団結クエスト</v>
      </c>
      <c r="D95" s="82" t="str">
        <f ca="1">VLOOKUP($B95,OFFSET([2]quests!$A$1,0,0,COUNTA([2]quests!$A:$A),MATCH(D$1,[2]quests!$1:$1,0)-MATCH($B$1,[2]quests!$1:$1,0)+1),MATCH(D$1,[2]quests!$1:$1,0)-MATCH($B$1,[2]quests!$1:$1,0)+1,FALSE)</f>
        <v>団結クエスト1</v>
      </c>
      <c r="E95" s="86" t="s">
        <v>219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200</v>
      </c>
      <c r="K95" s="93" t="str">
        <f>VLOOKUP(I95,[7]stage_hints!$A:$C,3,FALSE)</f>
        <v>リンクガチャ</v>
      </c>
      <c r="L95" s="94" t="str">
        <f>VLOOKUP(I95,[7]stage_hints!$A:$D,4,FALSE)</f>
        <v>無料のリンクガチャを回して_x000D_経験値素材や売却素材を獲得しましょう</v>
      </c>
      <c r="M95" s="56" t="s">
        <v>213</v>
      </c>
    </row>
    <row r="96" spans="1:13" x14ac:dyDescent="0.15">
      <c r="A96" s="80" t="s">
        <v>202</v>
      </c>
      <c r="B96" s="81">
        <f>floors!$C$2</f>
        <v>61001</v>
      </c>
      <c r="C96" s="82" t="str">
        <f ca="1">VLOOKUP($B96,OFFSET([2]quests!$A$1,0,0,COUNTA([2]quests!$A:$A),MATCH(C$1,[2]quests!$1:$1,0)-MATCH($B$1,[2]quests!$1:$1,0)+1),MATCH(C$1,[2]quests!$1:$1,0)-MATCH($B$1,[2]quests!$1:$1,0)+1,FALSE)</f>
        <v>団結クエスト</v>
      </c>
      <c r="D96" s="82" t="str">
        <f ca="1">VLOOKUP($B96,OFFSET([2]quests!$A$1,0,0,COUNTA([2]quests!$A:$A),MATCH(D$1,[2]quests!$1:$1,0)-MATCH($B$1,[2]quests!$1:$1,0)+1),MATCH(D$1,[2]quests!$1:$1,0)-MATCH($B$1,[2]quests!$1:$1,0)+1,FALSE)</f>
        <v>団結クエスト1</v>
      </c>
      <c r="E96" s="86" t="s">
        <v>219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200</v>
      </c>
      <c r="K96" s="93" t="str">
        <f>VLOOKUP(I96,[7]stage_hints!$A:$C,3,FALSE)</f>
        <v>ソロ専用タワーオブザクイーン</v>
      </c>
      <c r="L96" s="94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6" t="s">
        <v>213</v>
      </c>
    </row>
    <row r="97" spans="1:13" x14ac:dyDescent="0.15">
      <c r="A97" s="80" t="s">
        <v>202</v>
      </c>
      <c r="B97" s="81">
        <f>floors!$C$2</f>
        <v>61001</v>
      </c>
      <c r="C97" s="82" t="str">
        <f ca="1">VLOOKUP($B97,OFFSET([2]quests!$A$1,0,0,COUNTA([2]quests!$A:$A),MATCH(C$1,[2]quests!$1:$1,0)-MATCH($B$1,[2]quests!$1:$1,0)+1),MATCH(C$1,[2]quests!$1:$1,0)-MATCH($B$1,[2]quests!$1:$1,0)+1,FALSE)</f>
        <v>団結クエスト</v>
      </c>
      <c r="D97" s="82" t="str">
        <f ca="1">VLOOKUP($B97,OFFSET([2]quests!$A$1,0,0,COUNTA([2]quests!$A:$A),MATCH(D$1,[2]quests!$1:$1,0)-MATCH($B$1,[2]quests!$1:$1,0)+1),MATCH(D$1,[2]quests!$1:$1,0)-MATCH($B$1,[2]quests!$1:$1,0)+1,FALSE)</f>
        <v>団結クエスト1</v>
      </c>
      <c r="E97" s="86" t="s">
        <v>219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200</v>
      </c>
      <c r="K97" s="93" t="str">
        <f>VLOOKUP(I97,[7]stage_hints!$A:$C,3,FALSE)</f>
        <v>スキルを有効に</v>
      </c>
      <c r="L97" s="94" t="str">
        <f>VLOOKUP(I97,[7]stage_hints!$A:$D,4,FALSE)</f>
        <v>ターン経過でユニットのスキルが使えます_x000D_強力スキルでバトルを有利に進めましょう</v>
      </c>
      <c r="M97" s="56" t="s">
        <v>213</v>
      </c>
    </row>
    <row r="98" spans="1:13" x14ac:dyDescent="0.15">
      <c r="A98" s="80" t="s">
        <v>202</v>
      </c>
      <c r="B98" s="81">
        <f>floors!$C$2</f>
        <v>61001</v>
      </c>
      <c r="C98" s="82" t="str">
        <f ca="1">VLOOKUP($B98,OFFSET([2]quests!$A$1,0,0,COUNTA([2]quests!$A:$A),MATCH(C$1,[2]quests!$1:$1,0)-MATCH($B$1,[2]quests!$1:$1,0)+1),MATCH(C$1,[2]quests!$1:$1,0)-MATCH($B$1,[2]quests!$1:$1,0)+1,FALSE)</f>
        <v>団結クエスト</v>
      </c>
      <c r="D98" s="82" t="str">
        <f ca="1">VLOOKUP($B98,OFFSET([2]quests!$A$1,0,0,COUNTA([2]quests!$A:$A),MATCH(D$1,[2]quests!$1:$1,0)-MATCH($B$1,[2]quests!$1:$1,0)+1),MATCH(D$1,[2]quests!$1:$1,0)-MATCH($B$1,[2]quests!$1:$1,0)+1,FALSE)</f>
        <v>団結クエスト1</v>
      </c>
      <c r="E98" s="86" t="s">
        <v>219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200</v>
      </c>
      <c r="K98" s="93" t="str">
        <f>VLOOKUP(I98,[7]stage_hints!$A:$C,3,FALSE)</f>
        <v>ホーム画面からデッキを編成</v>
      </c>
      <c r="L98" s="94" t="str">
        <f>VLOOKUP(I98,[7]stage_hints!$A:$D,4,FALSE)</f>
        <v>ホーム画面でユニットを長押しすると_x000D_すぐにパーティ編成に移動できます</v>
      </c>
      <c r="M98" s="56" t="s">
        <v>213</v>
      </c>
    </row>
    <row r="99" spans="1:13" x14ac:dyDescent="0.15">
      <c r="A99" s="80" t="s">
        <v>202</v>
      </c>
      <c r="B99" s="81">
        <f>floors!$C$2</f>
        <v>61001</v>
      </c>
      <c r="C99" s="82" t="str">
        <f ca="1">VLOOKUP($B99,OFFSET([2]quests!$A$1,0,0,COUNTA([2]quests!$A:$A),MATCH(C$1,[2]quests!$1:$1,0)-MATCH($B$1,[2]quests!$1:$1,0)+1),MATCH(C$1,[2]quests!$1:$1,0)-MATCH($B$1,[2]quests!$1:$1,0)+1,FALSE)</f>
        <v>団結クエスト</v>
      </c>
      <c r="D99" s="82" t="str">
        <f ca="1">VLOOKUP($B99,OFFSET([2]quests!$A$1,0,0,COUNTA([2]quests!$A:$A),MATCH(D$1,[2]quests!$1:$1,0)-MATCH($B$1,[2]quests!$1:$1,0)+1),MATCH(D$1,[2]quests!$1:$1,0)-MATCH($B$1,[2]quests!$1:$1,0)+1,FALSE)</f>
        <v>団結クエスト1</v>
      </c>
      <c r="E99" s="86" t="s">
        <v>219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200</v>
      </c>
      <c r="K99" s="93" t="str">
        <f>VLOOKUP(I99,[7]stage_hints!$A:$C,3,FALSE)</f>
        <v>ステータス情報は長押しで</v>
      </c>
      <c r="L99" s="94" t="str">
        <f>VLOOKUP(I99,[7]stage_hints!$A:$D,4,FALSE)</f>
        <v>ユニットのアイコンを長押しすると_x000D_ステータス情報を確認することができます</v>
      </c>
      <c r="M99" s="56" t="s">
        <v>213</v>
      </c>
    </row>
    <row r="100" spans="1:13" x14ac:dyDescent="0.15">
      <c r="A100" s="80" t="s">
        <v>202</v>
      </c>
      <c r="B100" s="81">
        <f>floors!$C$2</f>
        <v>61001</v>
      </c>
      <c r="C100" s="82" t="str">
        <f ca="1">VLOOKUP($B100,OFFSET([2]quests!$A$1,0,0,COUNTA([2]quests!$A:$A),MATCH(C$1,[2]quests!$1:$1,0)-MATCH($B$1,[2]quests!$1:$1,0)+1),MATCH(C$1,[2]quests!$1:$1,0)-MATCH($B$1,[2]quests!$1:$1,0)+1,FALSE)</f>
        <v>団結クエスト</v>
      </c>
      <c r="D100" s="82" t="str">
        <f ca="1">VLOOKUP($B100,OFFSET([2]quests!$A$1,0,0,COUNTA([2]quests!$A:$A),MATCH(D$1,[2]quests!$1:$1,0)-MATCH($B$1,[2]quests!$1:$1,0)+1),MATCH(D$1,[2]quests!$1:$1,0)-MATCH($B$1,[2]quests!$1:$1,0)+1,FALSE)</f>
        <v>団結クエスト1</v>
      </c>
      <c r="E100" s="86" t="s">
        <v>219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200</v>
      </c>
      <c r="K100" s="93" t="str">
        <f>VLOOKUP(I100,[7]stage_hints!$A:$C,3,FALSE)</f>
        <v>「バグ」のメリット</v>
      </c>
      <c r="L100" s="94" t="str">
        <f>VLOOKUP(I100,[7]stage_hints!$A:$D,4,FALSE)</f>
        <v>ユニットの「バグ」を増やすと_x000D_報酬をもらえる確率がアップします</v>
      </c>
      <c r="M100" s="56" t="s">
        <v>213</v>
      </c>
    </row>
    <row r="101" spans="1:13" x14ac:dyDescent="0.15">
      <c r="A101" s="80" t="s">
        <v>202</v>
      </c>
      <c r="B101" s="81">
        <f>floors!$C$2</f>
        <v>61001</v>
      </c>
      <c r="C101" s="82" t="str">
        <f ca="1">VLOOKUP($B101,OFFSET([2]quests!$A$1,0,0,COUNTA([2]quests!$A:$A),MATCH(C$1,[2]quests!$1:$1,0)-MATCH($B$1,[2]quests!$1:$1,0)+1),MATCH(C$1,[2]quests!$1:$1,0)-MATCH($B$1,[2]quests!$1:$1,0)+1,FALSE)</f>
        <v>団結クエスト</v>
      </c>
      <c r="D101" s="82" t="str">
        <f ca="1">VLOOKUP($B101,OFFSET([2]quests!$A$1,0,0,COUNTA([2]quests!$A:$A),MATCH(D$1,[2]quests!$1:$1,0)-MATCH($B$1,[2]quests!$1:$1,0)+1),MATCH(D$1,[2]quests!$1:$1,0)-MATCH($B$1,[2]quests!$1:$1,0)+1,FALSE)</f>
        <v>団結クエスト1</v>
      </c>
      <c r="E101" s="86" t="s">
        <v>219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200</v>
      </c>
      <c r="K101" s="93" t="str">
        <f>VLOOKUP(I101,[7]stage_hints!$A:$C,3,FALSE)</f>
        <v>「バグ」の増やし方</v>
      </c>
      <c r="L101" s="94" t="str">
        <f>VLOOKUP(I101,[7]stage_hints!$A:$D,4,FALSE)</f>
        <v>同じユニット同士を強化で合成すると_x000D_「バグ」を増やすことができます</v>
      </c>
      <c r="M101" s="56" t="s">
        <v>213</v>
      </c>
    </row>
    <row r="102" spans="1:13" x14ac:dyDescent="0.15">
      <c r="A102" s="80" t="s">
        <v>202</v>
      </c>
      <c r="B102" s="81">
        <f>floors!$C$2</f>
        <v>61001</v>
      </c>
      <c r="C102" s="82" t="str">
        <f ca="1">VLOOKUP($B102,OFFSET([2]quests!$A$1,0,0,COUNTA([2]quests!$A:$A),MATCH(C$1,[2]quests!$1:$1,0)-MATCH($B$1,[2]quests!$1:$1,0)+1),MATCH(C$1,[2]quests!$1:$1,0)-MATCH($B$1,[2]quests!$1:$1,0)+1,FALSE)</f>
        <v>団結クエスト</v>
      </c>
      <c r="D102" s="82" t="str">
        <f ca="1">VLOOKUP($B102,OFFSET([2]quests!$A$1,0,0,COUNTA([2]quests!$A:$A),MATCH(D$1,[2]quests!$1:$1,0)-MATCH($B$1,[2]quests!$1:$1,0)+1),MATCH(D$1,[2]quests!$1:$1,0)-MATCH($B$1,[2]quests!$1:$1,0)+1,FALSE)</f>
        <v>団結クエスト1</v>
      </c>
      <c r="E102" s="86" t="s">
        <v>219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200</v>
      </c>
      <c r="K102" s="93" t="str">
        <f>VLOOKUP(I102,[7]stage_hints!$A:$C,3,FALSE)</f>
        <v>敵の連続攻撃には</v>
      </c>
      <c r="L102" s="94" t="str">
        <f>VLOOKUP(I102,[7]stage_hints!$A:$D,4,FALSE)</f>
        <v>カウンタースキルを持つユニットがいれば_x000D_ダメージ回数分の反撃ができます</v>
      </c>
      <c r="M102" s="56" t="s">
        <v>213</v>
      </c>
    </row>
    <row r="103" spans="1:13" x14ac:dyDescent="0.15">
      <c r="A103" s="80" t="s">
        <v>202</v>
      </c>
      <c r="B103" s="81">
        <f>floors!$C$2</f>
        <v>61001</v>
      </c>
      <c r="C103" s="82" t="str">
        <f ca="1">VLOOKUP($B103,OFFSET([2]quests!$A$1,0,0,COUNTA([2]quests!$A:$A),MATCH(C$1,[2]quests!$1:$1,0)-MATCH($B$1,[2]quests!$1:$1,0)+1),MATCH(C$1,[2]quests!$1:$1,0)-MATCH($B$1,[2]quests!$1:$1,0)+1,FALSE)</f>
        <v>団結クエスト</v>
      </c>
      <c r="D103" s="82" t="str">
        <f ca="1">VLOOKUP($B103,OFFSET([2]quests!$A$1,0,0,COUNTA([2]quests!$A:$A),MATCH(D$1,[2]quests!$1:$1,0)-MATCH($B$1,[2]quests!$1:$1,0)+1),MATCH(D$1,[2]quests!$1:$1,0)-MATCH($B$1,[2]quests!$1:$1,0)+1,FALSE)</f>
        <v>団結クエスト1</v>
      </c>
      <c r="E103" s="86" t="s">
        <v>219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200</v>
      </c>
      <c r="K103" s="93" t="str">
        <f>VLOOKUP(I103,[7]stage_hints!$A:$C,3,FALSE)</f>
        <v>敵のカウンター攻撃には</v>
      </c>
      <c r="L103" s="94" t="str">
        <f>VLOOKUP(I103,[7]stage_hints!$A:$D,4,FALSE)</f>
        <v>カウンターブレイクスキルを持っていれば_x000D_敵のカウンターを解除して攻撃ができます</v>
      </c>
      <c r="M103" s="56" t="s">
        <v>213</v>
      </c>
    </row>
    <row r="104" spans="1:13" x14ac:dyDescent="0.15">
      <c r="A104" s="80" t="s">
        <v>202</v>
      </c>
      <c r="B104" s="81">
        <f>floors!$C$2</f>
        <v>61001</v>
      </c>
      <c r="C104" s="82" t="str">
        <f ca="1">VLOOKUP($B104,OFFSET([2]quests!$A$1,0,0,COUNTA([2]quests!$A:$A),MATCH(C$1,[2]quests!$1:$1,0)-MATCH($B$1,[2]quests!$1:$1,0)+1),MATCH(C$1,[2]quests!$1:$1,0)-MATCH($B$1,[2]quests!$1:$1,0)+1,FALSE)</f>
        <v>団結クエスト</v>
      </c>
      <c r="D104" s="82" t="str">
        <f ca="1">VLOOKUP($B104,OFFSET([2]quests!$A$1,0,0,COUNTA([2]quests!$A:$A),MATCH(D$1,[2]quests!$1:$1,0)-MATCH($B$1,[2]quests!$1:$1,0)+1),MATCH(D$1,[2]quests!$1:$1,0)-MATCH($B$1,[2]quests!$1:$1,0)+1,FALSE)</f>
        <v>団結クエスト1</v>
      </c>
      <c r="E104" s="86" t="s">
        <v>219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200</v>
      </c>
      <c r="K104" s="93" t="str">
        <f>VLOOKUP(I104,[7]stage_hints!$A:$C,3,FALSE)</f>
        <v>ステータスをスキルで下げられたら</v>
      </c>
      <c r="L104" s="94" t="str">
        <f>VLOOKUP(I104,[7]stage_hints!$A:$D,4,FALSE)</f>
        <v>ステータスダウンのスキルを受けたら_x000D_ステータスアップスキルで上書きしましょう</v>
      </c>
      <c r="M104" s="56" t="s">
        <v>213</v>
      </c>
    </row>
    <row r="105" spans="1:13" x14ac:dyDescent="0.15">
      <c r="A105" s="80" t="s">
        <v>202</v>
      </c>
      <c r="B105" s="81">
        <f>floors!$C$2</f>
        <v>61001</v>
      </c>
      <c r="C105" s="82" t="str">
        <f ca="1">VLOOKUP($B105,OFFSET([2]quests!$A$1,0,0,COUNTA([2]quests!$A:$A),MATCH(C$1,[2]quests!$1:$1,0)-MATCH($B$1,[2]quests!$1:$1,0)+1),MATCH(C$1,[2]quests!$1:$1,0)-MATCH($B$1,[2]quests!$1:$1,0)+1,FALSE)</f>
        <v>団結クエスト</v>
      </c>
      <c r="D105" s="82" t="str">
        <f ca="1">VLOOKUP($B105,OFFSET([2]quests!$A$1,0,0,COUNTA([2]quests!$A:$A),MATCH(D$1,[2]quests!$1:$1,0)-MATCH($B$1,[2]quests!$1:$1,0)+1),MATCH(D$1,[2]quests!$1:$1,0)-MATCH($B$1,[2]quests!$1:$1,0)+1,FALSE)</f>
        <v>団結クエスト1</v>
      </c>
      <c r="E105" s="86" t="s">
        <v>219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200</v>
      </c>
      <c r="K105" s="93" t="str">
        <f>VLOOKUP(I105,[7]stage_hints!$A:$C,3,FALSE)</f>
        <v>敵のステータスがスキルで上がったら</v>
      </c>
      <c r="L105" s="94" t="str">
        <f>VLOOKUP(I105,[7]stage_hints!$A:$D,4,FALSE)</f>
        <v>敵のステータスがスキルでアップしたときは_x000D_ステータスダウンスキルで上書きしましょう</v>
      </c>
      <c r="M105" s="56" t="s">
        <v>213</v>
      </c>
    </row>
    <row r="106" spans="1:13" x14ac:dyDescent="0.15">
      <c r="A106" s="80" t="s">
        <v>202</v>
      </c>
      <c r="B106" s="81">
        <f>floors!$C$2</f>
        <v>61001</v>
      </c>
      <c r="C106" s="82" t="str">
        <f ca="1">VLOOKUP($B106,OFFSET([2]quests!$A$1,0,0,COUNTA([2]quests!$A:$A),MATCH(C$1,[2]quests!$1:$1,0)-MATCH($B$1,[2]quests!$1:$1,0)+1),MATCH(C$1,[2]quests!$1:$1,0)-MATCH($B$1,[2]quests!$1:$1,0)+1,FALSE)</f>
        <v>団結クエスト</v>
      </c>
      <c r="D106" s="82" t="str">
        <f ca="1">VLOOKUP($B106,OFFSET([2]quests!$A$1,0,0,COUNTA([2]quests!$A:$A),MATCH(D$1,[2]quests!$1:$1,0)-MATCH($B$1,[2]quests!$1:$1,0)+1),MATCH(D$1,[2]quests!$1:$1,0)-MATCH($B$1,[2]quests!$1:$1,0)+1,FALSE)</f>
        <v>団結クエスト1</v>
      </c>
      <c r="E106" s="86" t="s">
        <v>219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200</v>
      </c>
      <c r="K106" s="93" t="str">
        <f>VLOOKUP(I106,[7]stage_hints!$A:$C,3,FALSE)</f>
        <v>タワーオブザクイーンのボス</v>
      </c>
      <c r="L106" s="94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6" t="s">
        <v>213</v>
      </c>
    </row>
    <row r="107" spans="1:13" x14ac:dyDescent="0.15">
      <c r="A107" s="80" t="s">
        <v>202</v>
      </c>
      <c r="B107" s="81">
        <f>floors!$C$2</f>
        <v>61001</v>
      </c>
      <c r="C107" s="82" t="str">
        <f ca="1">VLOOKUP($B107,OFFSET([2]quests!$A$1,0,0,COUNTA([2]quests!$A:$A),MATCH(C$1,[2]quests!$1:$1,0)-MATCH($B$1,[2]quests!$1:$1,0)+1),MATCH(C$1,[2]quests!$1:$1,0)-MATCH($B$1,[2]quests!$1:$1,0)+1,FALSE)</f>
        <v>団結クエスト</v>
      </c>
      <c r="D107" s="82" t="str">
        <f ca="1">VLOOKUP($B107,OFFSET([2]quests!$A$1,0,0,COUNTA([2]quests!$A:$A),MATCH(D$1,[2]quests!$1:$1,0)-MATCH($B$1,[2]quests!$1:$1,0)+1),MATCH(D$1,[2]quests!$1:$1,0)-MATCH($B$1,[2]quests!$1:$1,0)+1,FALSE)</f>
        <v>団結クエスト1</v>
      </c>
      <c r="E107" s="86" t="s">
        <v>219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200</v>
      </c>
      <c r="K107" s="93" t="str">
        <f>VLOOKUP(I107,[7]stage_hints!$A:$C,3,FALSE)</f>
        <v>限界突破値の引き継ぎ</v>
      </c>
      <c r="L107" s="94" t="str">
        <f>VLOOKUP(I107,[7]stage_hints!$A:$D,4,FALSE)</f>
        <v>同じユニットを強化で合成すると_x000D_限界突破値を引き継げます（覚醒前後も可）</v>
      </c>
      <c r="M107" s="56" t="s">
        <v>213</v>
      </c>
    </row>
    <row r="108" spans="1:13" x14ac:dyDescent="0.15">
      <c r="A108" s="80" t="s">
        <v>202</v>
      </c>
      <c r="B108" s="81">
        <f>floors!$C$2</f>
        <v>61001</v>
      </c>
      <c r="C108" s="82" t="str">
        <f ca="1">VLOOKUP($B108,OFFSET([2]quests!$A$1,0,0,COUNTA([2]quests!$A:$A),MATCH(C$1,[2]quests!$1:$1,0)-MATCH($B$1,[2]quests!$1:$1,0)+1),MATCH(C$1,[2]quests!$1:$1,0)-MATCH($B$1,[2]quests!$1:$1,0)+1,FALSE)</f>
        <v>団結クエスト</v>
      </c>
      <c r="D108" s="82" t="str">
        <f ca="1">VLOOKUP($B108,OFFSET([2]quests!$A$1,0,0,COUNTA([2]quests!$A:$A),MATCH(D$1,[2]quests!$1:$1,0)-MATCH($B$1,[2]quests!$1:$1,0)+1),MATCH(D$1,[2]quests!$1:$1,0)-MATCH($B$1,[2]quests!$1:$1,0)+1,FALSE)</f>
        <v>団結クエスト1</v>
      </c>
      <c r="E108" s="86" t="s">
        <v>219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200</v>
      </c>
      <c r="K108" s="93" t="str">
        <f>VLOOKUP(I108,[7]stage_hints!$A:$C,3,FALSE)</f>
        <v>システム適合者を確認</v>
      </c>
      <c r="L108" s="94" t="str">
        <f>VLOOKUP(I108,[7]stage_hints!$A:$D,4,FALSE)</f>
        <v>ALICEが 「アナタ」を呼んでいます</v>
      </c>
      <c r="M108" s="56" t="s">
        <v>213</v>
      </c>
    </row>
    <row r="109" spans="1:13" x14ac:dyDescent="0.15">
      <c r="A109" s="80" t="s">
        <v>202</v>
      </c>
      <c r="B109" s="81">
        <f>floors!$C$2</f>
        <v>61001</v>
      </c>
      <c r="C109" s="82" t="str">
        <f ca="1">VLOOKUP($B109,OFFSET([2]quests!$A$1,0,0,COUNTA([2]quests!$A:$A),MATCH(C$1,[2]quests!$1:$1,0)-MATCH($B$1,[2]quests!$1:$1,0)+1),MATCH(C$1,[2]quests!$1:$1,0)-MATCH($B$1,[2]quests!$1:$1,0)+1,FALSE)</f>
        <v>団結クエスト</v>
      </c>
      <c r="D109" s="82" t="str">
        <f ca="1">VLOOKUP($B109,OFFSET([2]quests!$A$1,0,0,COUNTA([2]quests!$A:$A),MATCH(D$1,[2]quests!$1:$1,0)-MATCH($B$1,[2]quests!$1:$1,0)+1),MATCH(D$1,[2]quests!$1:$1,0)-MATCH($B$1,[2]quests!$1:$1,0)+1,FALSE)</f>
        <v>団結クエスト1</v>
      </c>
      <c r="E109" s="86" t="s">
        <v>220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200</v>
      </c>
      <c r="K109" s="93" t="str">
        <f>VLOOKUP(I109,[7]stage_hints!$A:$C,3,FALSE)</f>
        <v>ユニットのお気に入り登録</v>
      </c>
      <c r="L109" s="94" t="str">
        <f>VLOOKUP(I109,[7]stage_hints!$A:$D,4,FALSE)</f>
        <v>大事なユニットを誤って消さないように_x000D_フォルダから「お気に入り登録」しましょう</v>
      </c>
      <c r="M109" s="56" t="s">
        <v>213</v>
      </c>
    </row>
    <row r="110" spans="1:13" x14ac:dyDescent="0.15">
      <c r="A110" s="80" t="s">
        <v>202</v>
      </c>
      <c r="B110" s="81">
        <f>floors!$C$2</f>
        <v>61001</v>
      </c>
      <c r="C110" s="82" t="str">
        <f ca="1">VLOOKUP($B110,OFFSET([2]quests!$A$1,0,0,COUNTA([2]quests!$A:$A),MATCH(C$1,[2]quests!$1:$1,0)-MATCH($B$1,[2]quests!$1:$1,0)+1),MATCH(C$1,[2]quests!$1:$1,0)-MATCH($B$1,[2]quests!$1:$1,0)+1,FALSE)</f>
        <v>団結クエスト</v>
      </c>
      <c r="D110" s="82" t="str">
        <f ca="1">VLOOKUP($B110,OFFSET([2]quests!$A$1,0,0,COUNTA([2]quests!$A:$A),MATCH(D$1,[2]quests!$1:$1,0)-MATCH($B$1,[2]quests!$1:$1,0)+1),MATCH(D$1,[2]quests!$1:$1,0)-MATCH($B$1,[2]quests!$1:$1,0)+1,FALSE)</f>
        <v>団結クエスト1</v>
      </c>
      <c r="E110" s="86" t="s">
        <v>220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200</v>
      </c>
      <c r="K110" s="93" t="str">
        <f>VLOOKUP(I110,[7]stage_hints!$A:$C,3,FALSE)</f>
        <v>リンクガチャ</v>
      </c>
      <c r="L110" s="94" t="str">
        <f>VLOOKUP(I110,[7]stage_hints!$A:$D,4,FALSE)</f>
        <v>無料のリンクガチャを回して_x000D_経験値素材や売却素材を獲得しましょう</v>
      </c>
      <c r="M110" s="56" t="s">
        <v>213</v>
      </c>
    </row>
    <row r="111" spans="1:13" x14ac:dyDescent="0.15">
      <c r="A111" s="80" t="s">
        <v>202</v>
      </c>
      <c r="B111" s="81">
        <f>floors!$C$2</f>
        <v>61001</v>
      </c>
      <c r="C111" s="82" t="str">
        <f ca="1">VLOOKUP($B111,OFFSET([2]quests!$A$1,0,0,COUNTA([2]quests!$A:$A),MATCH(C$1,[2]quests!$1:$1,0)-MATCH($B$1,[2]quests!$1:$1,0)+1),MATCH(C$1,[2]quests!$1:$1,0)-MATCH($B$1,[2]quests!$1:$1,0)+1,FALSE)</f>
        <v>団結クエスト</v>
      </c>
      <c r="D111" s="82" t="str">
        <f ca="1">VLOOKUP($B111,OFFSET([2]quests!$A$1,0,0,COUNTA([2]quests!$A:$A),MATCH(D$1,[2]quests!$1:$1,0)-MATCH($B$1,[2]quests!$1:$1,0)+1),MATCH(D$1,[2]quests!$1:$1,0)-MATCH($B$1,[2]quests!$1:$1,0)+1,FALSE)</f>
        <v>団結クエスト1</v>
      </c>
      <c r="E111" s="86" t="s">
        <v>220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200</v>
      </c>
      <c r="K111" s="93" t="str">
        <f>VLOOKUP(I111,[7]stage_hints!$A:$C,3,FALSE)</f>
        <v>ソロ専用タワーオブザクイーン</v>
      </c>
      <c r="L111" s="94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6" t="s">
        <v>213</v>
      </c>
    </row>
    <row r="112" spans="1:13" x14ac:dyDescent="0.15">
      <c r="A112" s="80" t="s">
        <v>202</v>
      </c>
      <c r="B112" s="81">
        <f>floors!$C$2</f>
        <v>61001</v>
      </c>
      <c r="C112" s="82" t="str">
        <f ca="1">VLOOKUP($B112,OFFSET([2]quests!$A$1,0,0,COUNTA([2]quests!$A:$A),MATCH(C$1,[2]quests!$1:$1,0)-MATCH($B$1,[2]quests!$1:$1,0)+1),MATCH(C$1,[2]quests!$1:$1,0)-MATCH($B$1,[2]quests!$1:$1,0)+1,FALSE)</f>
        <v>団結クエスト</v>
      </c>
      <c r="D112" s="82" t="str">
        <f ca="1">VLOOKUP($B112,OFFSET([2]quests!$A$1,0,0,COUNTA([2]quests!$A:$A),MATCH(D$1,[2]quests!$1:$1,0)-MATCH($B$1,[2]quests!$1:$1,0)+1),MATCH(D$1,[2]quests!$1:$1,0)-MATCH($B$1,[2]quests!$1:$1,0)+1,FALSE)</f>
        <v>団結クエスト1</v>
      </c>
      <c r="E112" s="86" t="s">
        <v>220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200</v>
      </c>
      <c r="K112" s="93" t="str">
        <f>VLOOKUP(I112,[7]stage_hints!$A:$C,3,FALSE)</f>
        <v>スキルを有効に</v>
      </c>
      <c r="L112" s="94" t="str">
        <f>VLOOKUP(I112,[7]stage_hints!$A:$D,4,FALSE)</f>
        <v>ターン経過でユニットのスキルが使えます_x000D_強力スキルでバトルを有利に進めましょう</v>
      </c>
      <c r="M112" s="56" t="s">
        <v>213</v>
      </c>
    </row>
    <row r="113" spans="1:13" x14ac:dyDescent="0.15">
      <c r="A113" s="80" t="s">
        <v>202</v>
      </c>
      <c r="B113" s="81">
        <f>floors!$C$2</f>
        <v>61001</v>
      </c>
      <c r="C113" s="82" t="str">
        <f ca="1">VLOOKUP($B113,OFFSET([2]quests!$A$1,0,0,COUNTA([2]quests!$A:$A),MATCH(C$1,[2]quests!$1:$1,0)-MATCH($B$1,[2]quests!$1:$1,0)+1),MATCH(C$1,[2]quests!$1:$1,0)-MATCH($B$1,[2]quests!$1:$1,0)+1,FALSE)</f>
        <v>団結クエスト</v>
      </c>
      <c r="D113" s="82" t="str">
        <f ca="1">VLOOKUP($B113,OFFSET([2]quests!$A$1,0,0,COUNTA([2]quests!$A:$A),MATCH(D$1,[2]quests!$1:$1,0)-MATCH($B$1,[2]quests!$1:$1,0)+1),MATCH(D$1,[2]quests!$1:$1,0)-MATCH($B$1,[2]quests!$1:$1,0)+1,FALSE)</f>
        <v>団結クエスト1</v>
      </c>
      <c r="E113" s="86" t="s">
        <v>220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200</v>
      </c>
      <c r="K113" s="93" t="str">
        <f>VLOOKUP(I113,[7]stage_hints!$A:$C,3,FALSE)</f>
        <v>「バグ」のメリット</v>
      </c>
      <c r="L113" s="94" t="str">
        <f>VLOOKUP(I113,[7]stage_hints!$A:$D,4,FALSE)</f>
        <v>ユニットの「バグ」を増やすと_x000D_報酬をもらえる確率がアップします</v>
      </c>
      <c r="M113" s="56" t="s">
        <v>213</v>
      </c>
    </row>
    <row r="114" spans="1:13" x14ac:dyDescent="0.15">
      <c r="A114" s="80" t="s">
        <v>202</v>
      </c>
      <c r="B114" s="81">
        <f>floors!$C$2</f>
        <v>61001</v>
      </c>
      <c r="C114" s="82" t="str">
        <f ca="1">VLOOKUP($B114,OFFSET([2]quests!$A$1,0,0,COUNTA([2]quests!$A:$A),MATCH(C$1,[2]quests!$1:$1,0)-MATCH($B$1,[2]quests!$1:$1,0)+1),MATCH(C$1,[2]quests!$1:$1,0)-MATCH($B$1,[2]quests!$1:$1,0)+1,FALSE)</f>
        <v>団結クエスト</v>
      </c>
      <c r="D114" s="82" t="str">
        <f ca="1">VLOOKUP($B114,OFFSET([2]quests!$A$1,0,0,COUNTA([2]quests!$A:$A),MATCH(D$1,[2]quests!$1:$1,0)-MATCH($B$1,[2]quests!$1:$1,0)+1),MATCH(D$1,[2]quests!$1:$1,0)-MATCH($B$1,[2]quests!$1:$1,0)+1,FALSE)</f>
        <v>団結クエスト1</v>
      </c>
      <c r="E114" s="86" t="s">
        <v>220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200</v>
      </c>
      <c r="K114" s="93" t="str">
        <f>VLOOKUP(I114,[7]stage_hints!$A:$C,3,FALSE)</f>
        <v>「バグ」の増やし方</v>
      </c>
      <c r="L114" s="94" t="str">
        <f>VLOOKUP(I114,[7]stage_hints!$A:$D,4,FALSE)</f>
        <v>同じユニット同士を強化で合成すると_x000D_「バグ」を増やすことができます</v>
      </c>
      <c r="M114" s="56" t="s">
        <v>213</v>
      </c>
    </row>
    <row r="115" spans="1:13" x14ac:dyDescent="0.15">
      <c r="A115" s="80" t="s">
        <v>202</v>
      </c>
      <c r="B115" s="81">
        <f>floors!$C$2</f>
        <v>61001</v>
      </c>
      <c r="C115" s="82" t="str">
        <f ca="1">VLOOKUP($B115,OFFSET([2]quests!$A$1,0,0,COUNTA([2]quests!$A:$A),MATCH(C$1,[2]quests!$1:$1,0)-MATCH($B$1,[2]quests!$1:$1,0)+1),MATCH(C$1,[2]quests!$1:$1,0)-MATCH($B$1,[2]quests!$1:$1,0)+1,FALSE)</f>
        <v>団結クエスト</v>
      </c>
      <c r="D115" s="82" t="str">
        <f ca="1">VLOOKUP($B115,OFFSET([2]quests!$A$1,0,0,COUNTA([2]quests!$A:$A),MATCH(D$1,[2]quests!$1:$1,0)-MATCH($B$1,[2]quests!$1:$1,0)+1),MATCH(D$1,[2]quests!$1:$1,0)-MATCH($B$1,[2]quests!$1:$1,0)+1,FALSE)</f>
        <v>団結クエスト1</v>
      </c>
      <c r="E115" s="86" t="s">
        <v>220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200</v>
      </c>
      <c r="K115" s="93" t="str">
        <f>VLOOKUP(I115,[7]stage_hints!$A:$C,3,FALSE)</f>
        <v>敵の連続攻撃には</v>
      </c>
      <c r="L115" s="94" t="str">
        <f>VLOOKUP(I115,[7]stage_hints!$A:$D,4,FALSE)</f>
        <v>カウンタースキルを持つユニットがいれば_x000D_ダメージ回数分の反撃ができます</v>
      </c>
      <c r="M115" s="56" t="s">
        <v>213</v>
      </c>
    </row>
    <row r="116" spans="1:13" x14ac:dyDescent="0.15">
      <c r="A116" s="80" t="s">
        <v>202</v>
      </c>
      <c r="B116" s="81">
        <f>floors!$C$2</f>
        <v>61001</v>
      </c>
      <c r="C116" s="82" t="str">
        <f ca="1">VLOOKUP($B116,OFFSET([2]quests!$A$1,0,0,COUNTA([2]quests!$A:$A),MATCH(C$1,[2]quests!$1:$1,0)-MATCH($B$1,[2]quests!$1:$1,0)+1),MATCH(C$1,[2]quests!$1:$1,0)-MATCH($B$1,[2]quests!$1:$1,0)+1,FALSE)</f>
        <v>団結クエスト</v>
      </c>
      <c r="D116" s="82" t="str">
        <f ca="1">VLOOKUP($B116,OFFSET([2]quests!$A$1,0,0,COUNTA([2]quests!$A:$A),MATCH(D$1,[2]quests!$1:$1,0)-MATCH($B$1,[2]quests!$1:$1,0)+1),MATCH(D$1,[2]quests!$1:$1,0)-MATCH($B$1,[2]quests!$1:$1,0)+1,FALSE)</f>
        <v>団結クエスト1</v>
      </c>
      <c r="E116" s="86" t="s">
        <v>220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200</v>
      </c>
      <c r="K116" s="93" t="str">
        <f>VLOOKUP(I116,[7]stage_hints!$A:$C,3,FALSE)</f>
        <v>敵のカウンター攻撃には</v>
      </c>
      <c r="L116" s="94" t="str">
        <f>VLOOKUP(I116,[7]stage_hints!$A:$D,4,FALSE)</f>
        <v>カウンターブレイクスキルを持っていれば_x000D_敵のカウンターを解除して攻撃ができます</v>
      </c>
      <c r="M116" s="56" t="s">
        <v>213</v>
      </c>
    </row>
    <row r="117" spans="1:13" x14ac:dyDescent="0.15">
      <c r="A117" s="80" t="s">
        <v>202</v>
      </c>
      <c r="B117" s="81">
        <f>floors!$C$2</f>
        <v>61001</v>
      </c>
      <c r="C117" s="82" t="str">
        <f ca="1">VLOOKUP($B117,OFFSET([2]quests!$A$1,0,0,COUNTA([2]quests!$A:$A),MATCH(C$1,[2]quests!$1:$1,0)-MATCH($B$1,[2]quests!$1:$1,0)+1),MATCH(C$1,[2]quests!$1:$1,0)-MATCH($B$1,[2]quests!$1:$1,0)+1,FALSE)</f>
        <v>団結クエスト</v>
      </c>
      <c r="D117" s="82" t="str">
        <f ca="1">VLOOKUP($B117,OFFSET([2]quests!$A$1,0,0,COUNTA([2]quests!$A:$A),MATCH(D$1,[2]quests!$1:$1,0)-MATCH($B$1,[2]quests!$1:$1,0)+1),MATCH(D$1,[2]quests!$1:$1,0)-MATCH($B$1,[2]quests!$1:$1,0)+1,FALSE)</f>
        <v>団結クエスト1</v>
      </c>
      <c r="E117" s="86" t="s">
        <v>220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200</v>
      </c>
      <c r="K117" s="93" t="str">
        <f>VLOOKUP(I117,[7]stage_hints!$A:$C,3,FALSE)</f>
        <v>ステータスをスキルで下げられたら</v>
      </c>
      <c r="L117" s="94" t="str">
        <f>VLOOKUP(I117,[7]stage_hints!$A:$D,4,FALSE)</f>
        <v>ステータスダウンのスキルを受けたら_x000D_ステータスアップスキルで上書きしましょう</v>
      </c>
      <c r="M117" s="56" t="s">
        <v>213</v>
      </c>
    </row>
    <row r="118" spans="1:13" x14ac:dyDescent="0.15">
      <c r="A118" s="80" t="s">
        <v>202</v>
      </c>
      <c r="B118" s="81">
        <f>floors!$C$2</f>
        <v>61001</v>
      </c>
      <c r="C118" s="82" t="str">
        <f ca="1">VLOOKUP($B118,OFFSET([2]quests!$A$1,0,0,COUNTA([2]quests!$A:$A),MATCH(C$1,[2]quests!$1:$1,0)-MATCH($B$1,[2]quests!$1:$1,0)+1),MATCH(C$1,[2]quests!$1:$1,0)-MATCH($B$1,[2]quests!$1:$1,0)+1,FALSE)</f>
        <v>団結クエスト</v>
      </c>
      <c r="D118" s="82" t="str">
        <f ca="1">VLOOKUP($B118,OFFSET([2]quests!$A$1,0,0,COUNTA([2]quests!$A:$A),MATCH(D$1,[2]quests!$1:$1,0)-MATCH($B$1,[2]quests!$1:$1,0)+1),MATCH(D$1,[2]quests!$1:$1,0)-MATCH($B$1,[2]quests!$1:$1,0)+1,FALSE)</f>
        <v>団結クエスト1</v>
      </c>
      <c r="E118" s="86" t="s">
        <v>220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200</v>
      </c>
      <c r="K118" s="93" t="str">
        <f>VLOOKUP(I118,[7]stage_hints!$A:$C,3,FALSE)</f>
        <v>敵のステータスがスキルで上がったら</v>
      </c>
      <c r="L118" s="94" t="str">
        <f>VLOOKUP(I118,[7]stage_hints!$A:$D,4,FALSE)</f>
        <v>敵のステータスがスキルでアップしたときは_x000D_ステータスダウンスキルで上書きしましょう</v>
      </c>
      <c r="M118" s="56" t="s">
        <v>213</v>
      </c>
    </row>
    <row r="119" spans="1:13" x14ac:dyDescent="0.15">
      <c r="A119" s="80" t="s">
        <v>202</v>
      </c>
      <c r="B119" s="81">
        <f>floors!$C$2</f>
        <v>61001</v>
      </c>
      <c r="C119" s="82" t="str">
        <f ca="1">VLOOKUP($B119,OFFSET([2]quests!$A$1,0,0,COUNTA([2]quests!$A:$A),MATCH(C$1,[2]quests!$1:$1,0)-MATCH($B$1,[2]quests!$1:$1,0)+1),MATCH(C$1,[2]quests!$1:$1,0)-MATCH($B$1,[2]quests!$1:$1,0)+1,FALSE)</f>
        <v>団結クエスト</v>
      </c>
      <c r="D119" s="82" t="str">
        <f ca="1">VLOOKUP($B119,OFFSET([2]quests!$A$1,0,0,COUNTA([2]quests!$A:$A),MATCH(D$1,[2]quests!$1:$1,0)-MATCH($B$1,[2]quests!$1:$1,0)+1),MATCH(D$1,[2]quests!$1:$1,0)-MATCH($B$1,[2]quests!$1:$1,0)+1,FALSE)</f>
        <v>団結クエスト1</v>
      </c>
      <c r="E119" s="86" t="s">
        <v>220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200</v>
      </c>
      <c r="K119" s="93" t="str">
        <f>VLOOKUP(I119,[7]stage_hints!$A:$C,3,FALSE)</f>
        <v>タワーオブザクイーンのボス</v>
      </c>
      <c r="L119" s="94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6" t="s">
        <v>213</v>
      </c>
    </row>
    <row r="120" spans="1:13" x14ac:dyDescent="0.15">
      <c r="A120" s="80" t="s">
        <v>202</v>
      </c>
      <c r="B120" s="81">
        <f>floors!$C$2</f>
        <v>61001</v>
      </c>
      <c r="C120" s="82" t="str">
        <f ca="1">VLOOKUP($B120,OFFSET([2]quests!$A$1,0,0,COUNTA([2]quests!$A:$A),MATCH(C$1,[2]quests!$1:$1,0)-MATCH($B$1,[2]quests!$1:$1,0)+1),MATCH(C$1,[2]quests!$1:$1,0)-MATCH($B$1,[2]quests!$1:$1,0)+1,FALSE)</f>
        <v>団結クエスト</v>
      </c>
      <c r="D120" s="82" t="str">
        <f ca="1">VLOOKUP($B120,OFFSET([2]quests!$A$1,0,0,COUNTA([2]quests!$A:$A),MATCH(D$1,[2]quests!$1:$1,0)-MATCH($B$1,[2]quests!$1:$1,0)+1),MATCH(D$1,[2]quests!$1:$1,0)-MATCH($B$1,[2]quests!$1:$1,0)+1,FALSE)</f>
        <v>団結クエスト1</v>
      </c>
      <c r="E120" s="86" t="s">
        <v>220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200</v>
      </c>
      <c r="K120" s="93" t="str">
        <f>VLOOKUP(I120,[7]stage_hints!$A:$C,3,FALSE)</f>
        <v>限界突破値の引き継ぎ</v>
      </c>
      <c r="L120" s="94" t="str">
        <f>VLOOKUP(I120,[7]stage_hints!$A:$D,4,FALSE)</f>
        <v>同じユニットを強化で合成すると_x000D_限界突破値を引き継げます（覚醒前後も可）</v>
      </c>
      <c r="M120" s="56" t="s">
        <v>213</v>
      </c>
    </row>
    <row r="121" spans="1:13" x14ac:dyDescent="0.15">
      <c r="A121" s="80" t="s">
        <v>202</v>
      </c>
      <c r="B121" s="81">
        <f>floors!$C$2</f>
        <v>61001</v>
      </c>
      <c r="C121" s="82" t="str">
        <f ca="1">VLOOKUP($B121,OFFSET([2]quests!$A$1,0,0,COUNTA([2]quests!$A:$A),MATCH(C$1,[2]quests!$1:$1,0)-MATCH($B$1,[2]quests!$1:$1,0)+1),MATCH(C$1,[2]quests!$1:$1,0)-MATCH($B$1,[2]quests!$1:$1,0)+1,FALSE)</f>
        <v>団結クエスト</v>
      </c>
      <c r="D121" s="82" t="str">
        <f ca="1">VLOOKUP($B121,OFFSET([2]quests!$A$1,0,0,COUNTA([2]quests!$A:$A),MATCH(D$1,[2]quests!$1:$1,0)-MATCH($B$1,[2]quests!$1:$1,0)+1),MATCH(D$1,[2]quests!$1:$1,0)-MATCH($B$1,[2]quests!$1:$1,0)+1,FALSE)</f>
        <v>団結クエスト1</v>
      </c>
      <c r="E121" s="86" t="s">
        <v>220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200</v>
      </c>
      <c r="K121" s="93" t="str">
        <f>VLOOKUP(I121,[7]stage_hints!$A:$C,3,FALSE)</f>
        <v>システム適合者を確認</v>
      </c>
      <c r="L121" s="94" t="str">
        <f>VLOOKUP(I121,[7]stage_hints!$A:$D,4,FALSE)</f>
        <v>ALICEが 「アナタ」を呼んでいます</v>
      </c>
      <c r="M121" s="56" t="s">
        <v>213</v>
      </c>
    </row>
    <row r="122" spans="1:13" x14ac:dyDescent="0.15">
      <c r="A122" s="80" t="s">
        <v>202</v>
      </c>
      <c r="B122" s="81">
        <f>floors!$C$2</f>
        <v>61001</v>
      </c>
      <c r="C122" s="82" t="str">
        <f ca="1">VLOOKUP($B122,OFFSET([2]quests!$A$1,0,0,COUNTA([2]quests!$A:$A),MATCH(C$1,[2]quests!$1:$1,0)-MATCH($B$1,[2]quests!$1:$1,0)+1),MATCH(C$1,[2]quests!$1:$1,0)-MATCH($B$1,[2]quests!$1:$1,0)+1,FALSE)</f>
        <v>団結クエスト</v>
      </c>
      <c r="D122" s="82" t="str">
        <f ca="1">VLOOKUP($B122,OFFSET([2]quests!$A$1,0,0,COUNTA([2]quests!$A:$A),MATCH(D$1,[2]quests!$1:$1,0)-MATCH($B$1,[2]quests!$1:$1,0)+1),MATCH(D$1,[2]quests!$1:$1,0)-MATCH($B$1,[2]quests!$1:$1,0)+1,FALSE)</f>
        <v>団結クエスト1</v>
      </c>
      <c r="E122" s="86" t="s">
        <v>221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200</v>
      </c>
      <c r="K122" s="93" t="str">
        <f>VLOOKUP(I122,[7]stage_hints!$A:$C,3,FALSE)</f>
        <v>ユニットのお気に入り登録</v>
      </c>
      <c r="L122" s="94" t="str">
        <f>VLOOKUP(I122,[7]stage_hints!$A:$D,4,FALSE)</f>
        <v>大事なユニットを誤って消さないように_x000D_フォルダから「お気に入り登録」しましょう</v>
      </c>
      <c r="M122" s="56" t="s">
        <v>213</v>
      </c>
    </row>
    <row r="123" spans="1:13" x14ac:dyDescent="0.15">
      <c r="A123" s="80" t="s">
        <v>202</v>
      </c>
      <c r="B123" s="81">
        <f>floors!$C$2</f>
        <v>61001</v>
      </c>
      <c r="C123" s="82" t="str">
        <f ca="1">VLOOKUP($B123,OFFSET([2]quests!$A$1,0,0,COUNTA([2]quests!$A:$A),MATCH(C$1,[2]quests!$1:$1,0)-MATCH($B$1,[2]quests!$1:$1,0)+1),MATCH(C$1,[2]quests!$1:$1,0)-MATCH($B$1,[2]quests!$1:$1,0)+1,FALSE)</f>
        <v>団結クエスト</v>
      </c>
      <c r="D123" s="82" t="str">
        <f ca="1">VLOOKUP($B123,OFFSET([2]quests!$A$1,0,0,COUNTA([2]quests!$A:$A),MATCH(D$1,[2]quests!$1:$1,0)-MATCH($B$1,[2]quests!$1:$1,0)+1),MATCH(D$1,[2]quests!$1:$1,0)-MATCH($B$1,[2]quests!$1:$1,0)+1,FALSE)</f>
        <v>団結クエスト1</v>
      </c>
      <c r="E123" s="86" t="s">
        <v>221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200</v>
      </c>
      <c r="K123" s="93" t="str">
        <f>VLOOKUP(I123,[7]stage_hints!$A:$C,3,FALSE)</f>
        <v>リンクガチャ</v>
      </c>
      <c r="L123" s="94" t="str">
        <f>VLOOKUP(I123,[7]stage_hints!$A:$D,4,FALSE)</f>
        <v>無料のリンクガチャを回して_x000D_経験値素材や売却素材を獲得しましょう</v>
      </c>
      <c r="M123" s="56" t="s">
        <v>213</v>
      </c>
    </row>
    <row r="124" spans="1:13" x14ac:dyDescent="0.15">
      <c r="A124" s="80" t="s">
        <v>202</v>
      </c>
      <c r="B124" s="81">
        <f>floors!$C$2</f>
        <v>61001</v>
      </c>
      <c r="C124" s="82" t="str">
        <f ca="1">VLOOKUP($B124,OFFSET([2]quests!$A$1,0,0,COUNTA([2]quests!$A:$A),MATCH(C$1,[2]quests!$1:$1,0)-MATCH($B$1,[2]quests!$1:$1,0)+1),MATCH(C$1,[2]quests!$1:$1,0)-MATCH($B$1,[2]quests!$1:$1,0)+1,FALSE)</f>
        <v>団結クエスト</v>
      </c>
      <c r="D124" s="82" t="str">
        <f ca="1">VLOOKUP($B124,OFFSET([2]quests!$A$1,0,0,COUNTA([2]quests!$A:$A),MATCH(D$1,[2]quests!$1:$1,0)-MATCH($B$1,[2]quests!$1:$1,0)+1),MATCH(D$1,[2]quests!$1:$1,0)-MATCH($B$1,[2]quests!$1:$1,0)+1,FALSE)</f>
        <v>団結クエスト1</v>
      </c>
      <c r="E124" s="86" t="s">
        <v>221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200</v>
      </c>
      <c r="K124" s="93" t="str">
        <f>VLOOKUP(I124,[7]stage_hints!$A:$C,3,FALSE)</f>
        <v>ソロ専用タワーオブザクイーン</v>
      </c>
      <c r="L124" s="94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6" t="s">
        <v>213</v>
      </c>
    </row>
    <row r="125" spans="1:13" x14ac:dyDescent="0.15">
      <c r="A125" s="80" t="s">
        <v>202</v>
      </c>
      <c r="B125" s="81">
        <f>floors!$C$2</f>
        <v>61001</v>
      </c>
      <c r="C125" s="82" t="str">
        <f ca="1">VLOOKUP($B125,OFFSET([2]quests!$A$1,0,0,COUNTA([2]quests!$A:$A),MATCH(C$1,[2]quests!$1:$1,0)-MATCH($B$1,[2]quests!$1:$1,0)+1),MATCH(C$1,[2]quests!$1:$1,0)-MATCH($B$1,[2]quests!$1:$1,0)+1,FALSE)</f>
        <v>団結クエスト</v>
      </c>
      <c r="D125" s="82" t="str">
        <f ca="1">VLOOKUP($B125,OFFSET([2]quests!$A$1,0,0,COUNTA([2]quests!$A:$A),MATCH(D$1,[2]quests!$1:$1,0)-MATCH($B$1,[2]quests!$1:$1,0)+1),MATCH(D$1,[2]quests!$1:$1,0)-MATCH($B$1,[2]quests!$1:$1,0)+1,FALSE)</f>
        <v>団結クエスト1</v>
      </c>
      <c r="E125" s="86" t="s">
        <v>221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200</v>
      </c>
      <c r="K125" s="93" t="str">
        <f>VLOOKUP(I125,[7]stage_hints!$A:$C,3,FALSE)</f>
        <v>スキルを有効に</v>
      </c>
      <c r="L125" s="94" t="str">
        <f>VLOOKUP(I125,[7]stage_hints!$A:$D,4,FALSE)</f>
        <v>ターン経過でユニットのスキルが使えます_x000D_強力スキルでバトルを有利に進めましょう</v>
      </c>
      <c r="M125" s="56" t="s">
        <v>213</v>
      </c>
    </row>
    <row r="126" spans="1:13" x14ac:dyDescent="0.15">
      <c r="A126" s="80" t="s">
        <v>202</v>
      </c>
      <c r="B126" s="81">
        <f>floors!$C$2</f>
        <v>61001</v>
      </c>
      <c r="C126" s="82" t="str">
        <f ca="1">VLOOKUP($B126,OFFSET([2]quests!$A$1,0,0,COUNTA([2]quests!$A:$A),MATCH(C$1,[2]quests!$1:$1,0)-MATCH($B$1,[2]quests!$1:$1,0)+1),MATCH(C$1,[2]quests!$1:$1,0)-MATCH($B$1,[2]quests!$1:$1,0)+1,FALSE)</f>
        <v>団結クエスト</v>
      </c>
      <c r="D126" s="82" t="str">
        <f ca="1">VLOOKUP($B126,OFFSET([2]quests!$A$1,0,0,COUNTA([2]quests!$A:$A),MATCH(D$1,[2]quests!$1:$1,0)-MATCH($B$1,[2]quests!$1:$1,0)+1),MATCH(D$1,[2]quests!$1:$1,0)-MATCH($B$1,[2]quests!$1:$1,0)+1,FALSE)</f>
        <v>団結クエスト1</v>
      </c>
      <c r="E126" s="86" t="s">
        <v>221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200</v>
      </c>
      <c r="K126" s="93" t="str">
        <f>VLOOKUP(I126,[7]stage_hints!$A:$C,3,FALSE)</f>
        <v>「バグ」のメリット</v>
      </c>
      <c r="L126" s="94" t="str">
        <f>VLOOKUP(I126,[7]stage_hints!$A:$D,4,FALSE)</f>
        <v>ユニットの「バグ」を増やすと_x000D_報酬をもらえる確率がアップします</v>
      </c>
      <c r="M126" s="56" t="s">
        <v>213</v>
      </c>
    </row>
    <row r="127" spans="1:13" x14ac:dyDescent="0.15">
      <c r="A127" s="80" t="s">
        <v>202</v>
      </c>
      <c r="B127" s="81">
        <f>floors!$C$2</f>
        <v>61001</v>
      </c>
      <c r="C127" s="82" t="str">
        <f ca="1">VLOOKUP($B127,OFFSET([2]quests!$A$1,0,0,COUNTA([2]quests!$A:$A),MATCH(C$1,[2]quests!$1:$1,0)-MATCH($B$1,[2]quests!$1:$1,0)+1),MATCH(C$1,[2]quests!$1:$1,0)-MATCH($B$1,[2]quests!$1:$1,0)+1,FALSE)</f>
        <v>団結クエスト</v>
      </c>
      <c r="D127" s="82" t="str">
        <f ca="1">VLOOKUP($B127,OFFSET([2]quests!$A$1,0,0,COUNTA([2]quests!$A:$A),MATCH(D$1,[2]quests!$1:$1,0)-MATCH($B$1,[2]quests!$1:$1,0)+1),MATCH(D$1,[2]quests!$1:$1,0)-MATCH($B$1,[2]quests!$1:$1,0)+1,FALSE)</f>
        <v>団結クエスト1</v>
      </c>
      <c r="E127" s="86" t="s">
        <v>221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200</v>
      </c>
      <c r="K127" s="93" t="str">
        <f>VLOOKUP(I127,[7]stage_hints!$A:$C,3,FALSE)</f>
        <v>「バグ」の増やし方</v>
      </c>
      <c r="L127" s="94" t="str">
        <f>VLOOKUP(I127,[7]stage_hints!$A:$D,4,FALSE)</f>
        <v>同じユニット同士を強化で合成すると_x000D_「バグ」を増やすことができます</v>
      </c>
      <c r="M127" s="56" t="s">
        <v>213</v>
      </c>
    </row>
    <row r="128" spans="1:13" x14ac:dyDescent="0.15">
      <c r="A128" s="80" t="s">
        <v>202</v>
      </c>
      <c r="B128" s="81">
        <f>floors!$C$2</f>
        <v>61001</v>
      </c>
      <c r="C128" s="82" t="str">
        <f ca="1">VLOOKUP($B128,OFFSET([2]quests!$A$1,0,0,COUNTA([2]quests!$A:$A),MATCH(C$1,[2]quests!$1:$1,0)-MATCH($B$1,[2]quests!$1:$1,0)+1),MATCH(C$1,[2]quests!$1:$1,0)-MATCH($B$1,[2]quests!$1:$1,0)+1,FALSE)</f>
        <v>団結クエスト</v>
      </c>
      <c r="D128" s="82" t="str">
        <f ca="1">VLOOKUP($B128,OFFSET([2]quests!$A$1,0,0,COUNTA([2]quests!$A:$A),MATCH(D$1,[2]quests!$1:$1,0)-MATCH($B$1,[2]quests!$1:$1,0)+1),MATCH(D$1,[2]quests!$1:$1,0)-MATCH($B$1,[2]quests!$1:$1,0)+1,FALSE)</f>
        <v>団結クエスト1</v>
      </c>
      <c r="E128" s="86" t="s">
        <v>221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200</v>
      </c>
      <c r="K128" s="93" t="str">
        <f>VLOOKUP(I128,[7]stage_hints!$A:$C,3,FALSE)</f>
        <v>敵の連続攻撃には</v>
      </c>
      <c r="L128" s="94" t="str">
        <f>VLOOKUP(I128,[7]stage_hints!$A:$D,4,FALSE)</f>
        <v>カウンタースキルを持つユニットがいれば_x000D_ダメージ回数分の反撃ができます</v>
      </c>
      <c r="M128" s="56" t="s">
        <v>213</v>
      </c>
    </row>
    <row r="129" spans="1:13" x14ac:dyDescent="0.15">
      <c r="A129" s="80" t="s">
        <v>202</v>
      </c>
      <c r="B129" s="81">
        <f>floors!$C$2</f>
        <v>61001</v>
      </c>
      <c r="C129" s="82" t="str">
        <f ca="1">VLOOKUP($B129,OFFSET([2]quests!$A$1,0,0,COUNTA([2]quests!$A:$A),MATCH(C$1,[2]quests!$1:$1,0)-MATCH($B$1,[2]quests!$1:$1,0)+1),MATCH(C$1,[2]quests!$1:$1,0)-MATCH($B$1,[2]quests!$1:$1,0)+1,FALSE)</f>
        <v>団結クエスト</v>
      </c>
      <c r="D129" s="82" t="str">
        <f ca="1">VLOOKUP($B129,OFFSET([2]quests!$A$1,0,0,COUNTA([2]quests!$A:$A),MATCH(D$1,[2]quests!$1:$1,0)-MATCH($B$1,[2]quests!$1:$1,0)+1),MATCH(D$1,[2]quests!$1:$1,0)-MATCH($B$1,[2]quests!$1:$1,0)+1,FALSE)</f>
        <v>団結クエスト1</v>
      </c>
      <c r="E129" s="86" t="s">
        <v>221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200</v>
      </c>
      <c r="K129" s="93" t="str">
        <f>VLOOKUP(I129,[7]stage_hints!$A:$C,3,FALSE)</f>
        <v>敵のカウンター攻撃には</v>
      </c>
      <c r="L129" s="94" t="str">
        <f>VLOOKUP(I129,[7]stage_hints!$A:$D,4,FALSE)</f>
        <v>カウンターブレイクスキルを持っていれば_x000D_敵のカウンターを解除して攻撃ができます</v>
      </c>
      <c r="M129" s="56" t="s">
        <v>213</v>
      </c>
    </row>
    <row r="130" spans="1:13" x14ac:dyDescent="0.15">
      <c r="A130" s="80" t="s">
        <v>202</v>
      </c>
      <c r="B130" s="81">
        <f>floors!$C$2</f>
        <v>61001</v>
      </c>
      <c r="C130" s="82" t="str">
        <f ca="1">VLOOKUP($B130,OFFSET([2]quests!$A$1,0,0,COUNTA([2]quests!$A:$A),MATCH(C$1,[2]quests!$1:$1,0)-MATCH($B$1,[2]quests!$1:$1,0)+1),MATCH(C$1,[2]quests!$1:$1,0)-MATCH($B$1,[2]quests!$1:$1,0)+1,FALSE)</f>
        <v>団結クエスト</v>
      </c>
      <c r="D130" s="82" t="str">
        <f ca="1">VLOOKUP($B130,OFFSET([2]quests!$A$1,0,0,COUNTA([2]quests!$A:$A),MATCH(D$1,[2]quests!$1:$1,0)-MATCH($B$1,[2]quests!$1:$1,0)+1),MATCH(D$1,[2]quests!$1:$1,0)-MATCH($B$1,[2]quests!$1:$1,0)+1,FALSE)</f>
        <v>団結クエスト1</v>
      </c>
      <c r="E130" s="86" t="s">
        <v>221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200</v>
      </c>
      <c r="K130" s="93" t="str">
        <f>VLOOKUP(I130,[7]stage_hints!$A:$C,3,FALSE)</f>
        <v>ステータスをスキルで下げられたら</v>
      </c>
      <c r="L130" s="94" t="str">
        <f>VLOOKUP(I130,[7]stage_hints!$A:$D,4,FALSE)</f>
        <v>ステータスダウンのスキルを受けたら_x000D_ステータスアップスキルで上書きしましょう</v>
      </c>
      <c r="M130" s="56" t="s">
        <v>213</v>
      </c>
    </row>
    <row r="131" spans="1:13" x14ac:dyDescent="0.15">
      <c r="A131" s="80" t="s">
        <v>202</v>
      </c>
      <c r="B131" s="81">
        <f>floors!$C$2</f>
        <v>61001</v>
      </c>
      <c r="C131" s="82" t="str">
        <f ca="1">VLOOKUP($B131,OFFSET([2]quests!$A$1,0,0,COUNTA([2]quests!$A:$A),MATCH(C$1,[2]quests!$1:$1,0)-MATCH($B$1,[2]quests!$1:$1,0)+1),MATCH(C$1,[2]quests!$1:$1,0)-MATCH($B$1,[2]quests!$1:$1,0)+1,FALSE)</f>
        <v>団結クエスト</v>
      </c>
      <c r="D131" s="82" t="str">
        <f ca="1">VLOOKUP($B131,OFFSET([2]quests!$A$1,0,0,COUNTA([2]quests!$A:$A),MATCH(D$1,[2]quests!$1:$1,0)-MATCH($B$1,[2]quests!$1:$1,0)+1),MATCH(D$1,[2]quests!$1:$1,0)-MATCH($B$1,[2]quests!$1:$1,0)+1,FALSE)</f>
        <v>団結クエスト1</v>
      </c>
      <c r="E131" s="86" t="s">
        <v>221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200</v>
      </c>
      <c r="K131" s="93" t="str">
        <f>VLOOKUP(I131,[7]stage_hints!$A:$C,3,FALSE)</f>
        <v>敵のステータスがスキルで上がったら</v>
      </c>
      <c r="L131" s="94" t="str">
        <f>VLOOKUP(I131,[7]stage_hints!$A:$D,4,FALSE)</f>
        <v>敵のステータスがスキルでアップしたときは_x000D_ステータスダウンスキルで上書きしましょう</v>
      </c>
      <c r="M131" s="56" t="s">
        <v>213</v>
      </c>
    </row>
    <row r="132" spans="1:13" x14ac:dyDescent="0.15">
      <c r="A132" s="80" t="s">
        <v>202</v>
      </c>
      <c r="B132" s="81">
        <f>floors!$C$2</f>
        <v>61001</v>
      </c>
      <c r="C132" s="82" t="str">
        <f ca="1">VLOOKUP($B132,OFFSET([2]quests!$A$1,0,0,COUNTA([2]quests!$A:$A),MATCH(C$1,[2]quests!$1:$1,0)-MATCH($B$1,[2]quests!$1:$1,0)+1),MATCH(C$1,[2]quests!$1:$1,0)-MATCH($B$1,[2]quests!$1:$1,0)+1,FALSE)</f>
        <v>団結クエスト</v>
      </c>
      <c r="D132" s="82" t="str">
        <f ca="1">VLOOKUP($B132,OFFSET([2]quests!$A$1,0,0,COUNTA([2]quests!$A:$A),MATCH(D$1,[2]quests!$1:$1,0)-MATCH($B$1,[2]quests!$1:$1,0)+1),MATCH(D$1,[2]quests!$1:$1,0)-MATCH($B$1,[2]quests!$1:$1,0)+1,FALSE)</f>
        <v>団結クエスト1</v>
      </c>
      <c r="E132" s="86" t="s">
        <v>221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200</v>
      </c>
      <c r="K132" s="93" t="str">
        <f>VLOOKUP(I132,[7]stage_hints!$A:$C,3,FALSE)</f>
        <v>タワーオブザクイーンのボス</v>
      </c>
      <c r="L132" s="94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6" t="s">
        <v>213</v>
      </c>
    </row>
    <row r="133" spans="1:13" x14ac:dyDescent="0.15">
      <c r="A133" s="80" t="s">
        <v>202</v>
      </c>
      <c r="B133" s="81">
        <f>floors!$C$2</f>
        <v>61001</v>
      </c>
      <c r="C133" s="82" t="str">
        <f ca="1">VLOOKUP($B133,OFFSET([2]quests!$A$1,0,0,COUNTA([2]quests!$A:$A),MATCH(C$1,[2]quests!$1:$1,0)-MATCH($B$1,[2]quests!$1:$1,0)+1),MATCH(C$1,[2]quests!$1:$1,0)-MATCH($B$1,[2]quests!$1:$1,0)+1,FALSE)</f>
        <v>団結クエスト</v>
      </c>
      <c r="D133" s="82" t="str">
        <f ca="1">VLOOKUP($B133,OFFSET([2]quests!$A$1,0,0,COUNTA([2]quests!$A:$A),MATCH(D$1,[2]quests!$1:$1,0)-MATCH($B$1,[2]quests!$1:$1,0)+1),MATCH(D$1,[2]quests!$1:$1,0)-MATCH($B$1,[2]quests!$1:$1,0)+1,FALSE)</f>
        <v>団結クエスト1</v>
      </c>
      <c r="E133" s="86" t="s">
        <v>221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200</v>
      </c>
      <c r="K133" s="93" t="str">
        <f>VLOOKUP(I133,[7]stage_hints!$A:$C,3,FALSE)</f>
        <v>限界突破値の引き継ぎ</v>
      </c>
      <c r="L133" s="94" t="str">
        <f>VLOOKUP(I133,[7]stage_hints!$A:$D,4,FALSE)</f>
        <v>同じユニットを強化で合成すると_x000D_限界突破値を引き継げます（覚醒前後も可）</v>
      </c>
      <c r="M133" s="56" t="s">
        <v>213</v>
      </c>
    </row>
    <row r="134" spans="1:13" x14ac:dyDescent="0.15">
      <c r="A134" s="80" t="s">
        <v>202</v>
      </c>
      <c r="B134" s="81">
        <f>floors!$C$2</f>
        <v>61001</v>
      </c>
      <c r="C134" s="82" t="str">
        <f ca="1">VLOOKUP($B134,OFFSET([2]quests!$A$1,0,0,COUNTA([2]quests!$A:$A),MATCH(C$1,[2]quests!$1:$1,0)-MATCH($B$1,[2]quests!$1:$1,0)+1),MATCH(C$1,[2]quests!$1:$1,0)-MATCH($B$1,[2]quests!$1:$1,0)+1,FALSE)</f>
        <v>団結クエスト</v>
      </c>
      <c r="D134" s="82" t="str">
        <f ca="1">VLOOKUP($B134,OFFSET([2]quests!$A$1,0,0,COUNTA([2]quests!$A:$A),MATCH(D$1,[2]quests!$1:$1,0)-MATCH($B$1,[2]quests!$1:$1,0)+1),MATCH(D$1,[2]quests!$1:$1,0)-MATCH($B$1,[2]quests!$1:$1,0)+1,FALSE)</f>
        <v>団結クエスト1</v>
      </c>
      <c r="E134" s="86" t="s">
        <v>221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200</v>
      </c>
      <c r="K134" s="93" t="str">
        <f>VLOOKUP(I134,[7]stage_hints!$A:$C,3,FALSE)</f>
        <v>システム適合者を確認</v>
      </c>
      <c r="L134" s="94" t="str">
        <f>VLOOKUP(I134,[7]stage_hints!$A:$D,4,FALSE)</f>
        <v>ALICEが 「アナタ」を呼んでいます</v>
      </c>
      <c r="M134" s="56" t="s">
        <v>213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190</v>
      </c>
      <c r="B1" s="72" t="s">
        <v>151</v>
      </c>
      <c r="C1" s="76" t="s">
        <v>192</v>
      </c>
      <c r="D1" s="76" t="s">
        <v>33</v>
      </c>
      <c r="E1" s="72" t="s">
        <v>193</v>
      </c>
      <c r="F1" s="76" t="s">
        <v>18</v>
      </c>
      <c r="G1" s="76" t="s">
        <v>33</v>
      </c>
      <c r="H1" s="72" t="s">
        <v>195</v>
      </c>
      <c r="I1" s="89" t="s">
        <v>196</v>
      </c>
      <c r="J1" s="91" t="s">
        <v>197</v>
      </c>
      <c r="K1" s="78" t="s">
        <v>127</v>
      </c>
      <c r="L1" s="77" t="s">
        <v>188</v>
      </c>
      <c r="M1" s="92" t="s">
        <v>187</v>
      </c>
      <c r="N1" s="79" t="s">
        <v>198</v>
      </c>
    </row>
    <row r="2" spans="1:14" x14ac:dyDescent="0.15">
      <c r="A2" s="80" t="s">
        <v>199</v>
      </c>
      <c r="B2" s="81">
        <f>floors!$C$2</f>
        <v>61001</v>
      </c>
      <c r="C2" s="82" t="str">
        <f ca="1">VLOOKUP($B2,OFFSET([2]quests!$A$1,0,0,COUNTA([2]quests!$A:$A),MATCH(C$1,[2]quests!$1:$1,0)-MATCH($B$1,[2]quests!$1:$1,0)+1),MATCH(C$1,[2]quests!$1:$1,0)-MATCH($B$1,[2]quests!$1:$1,0)+1,FALSE)</f>
        <v>団結クエスト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団結クエスト1</v>
      </c>
      <c r="E2" s="83">
        <v>99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99</v>
      </c>
      <c r="I2" s="90">
        <f>ROW()-1</f>
        <v>1</v>
      </c>
      <c r="J2" s="85" t="str">
        <f>B2&amp;TEXT(I2,"00")</f>
        <v>6100101</v>
      </c>
      <c r="K2" s="83" t="s">
        <v>200</v>
      </c>
      <c r="L2" s="86" t="s">
        <v>266</v>
      </c>
      <c r="M2" s="87"/>
      <c r="N2" s="56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7" t="s">
        <v>222</v>
      </c>
      <c r="B1" s="98" t="s">
        <v>223</v>
      </c>
      <c r="C1" s="76" t="s">
        <v>224</v>
      </c>
      <c r="D1" s="76" t="s">
        <v>33</v>
      </c>
      <c r="E1" s="98" t="s">
        <v>225</v>
      </c>
      <c r="F1" s="76" t="s">
        <v>226</v>
      </c>
      <c r="G1" s="76" t="s">
        <v>33</v>
      </c>
      <c r="H1" s="98" t="s">
        <v>227</v>
      </c>
      <c r="I1" s="98" t="s">
        <v>228</v>
      </c>
      <c r="J1" s="98" t="s">
        <v>229</v>
      </c>
      <c r="K1" s="72" t="s">
        <v>230</v>
      </c>
      <c r="L1" s="72" t="s">
        <v>231</v>
      </c>
      <c r="M1" s="72" t="s">
        <v>157</v>
      </c>
      <c r="N1" s="76" t="s">
        <v>16</v>
      </c>
      <c r="O1" s="72" t="s">
        <v>232</v>
      </c>
      <c r="P1" s="72" t="s">
        <v>57</v>
      </c>
      <c r="Q1" s="72" t="s">
        <v>233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234</v>
      </c>
      <c r="X1" s="72" t="s">
        <v>235</v>
      </c>
    </row>
    <row r="2" spans="1:24" x14ac:dyDescent="0.15">
      <c r="A2" s="99" t="str">
        <f>B2&amp;"_"&amp;E2&amp;"_"&amp;H2&amp;"_"&amp;I2&amp;"_"&amp;J2</f>
        <v>65535_7_everyone_clear_1</v>
      </c>
      <c r="B2" s="81">
        <v>65535</v>
      </c>
      <c r="C2" s="82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4" t="s">
        <v>236</v>
      </c>
      <c r="I2" s="83" t="s">
        <v>237</v>
      </c>
      <c r="J2" s="83">
        <v>1</v>
      </c>
      <c r="K2" s="83">
        <v>610</v>
      </c>
      <c r="L2" s="83" t="s">
        <v>238</v>
      </c>
      <c r="M2" s="83">
        <v>334</v>
      </c>
      <c r="N2" s="100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01" t="s">
        <v>239</v>
      </c>
      <c r="X2" s="102" t="s">
        <v>240</v>
      </c>
    </row>
    <row r="3" spans="1:24" x14ac:dyDescent="0.15">
      <c r="A3" s="99" t="str">
        <f>B3&amp;"_"&amp;E3&amp;"_"&amp;H3&amp;"_"&amp;I3&amp;"_"&amp;J3</f>
        <v>65535_7_everyone_no_continue_1</v>
      </c>
      <c r="B3" s="81">
        <v>65535</v>
      </c>
      <c r="C3" s="82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4" t="s">
        <v>236</v>
      </c>
      <c r="I3" s="83" t="s">
        <v>241</v>
      </c>
      <c r="J3" s="83">
        <v>1</v>
      </c>
      <c r="K3" s="83">
        <v>610</v>
      </c>
      <c r="L3" s="83" t="s">
        <v>238</v>
      </c>
      <c r="M3" s="83">
        <v>334</v>
      </c>
      <c r="N3" s="100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101" t="s">
        <v>239</v>
      </c>
      <c r="X3" s="102" t="s">
        <v>240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2017-06-08T08:55:58Z</dcterms:modified>
</cp:coreProperties>
</file>