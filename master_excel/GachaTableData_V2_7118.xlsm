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settle_7118100" sheetId="130" r:id="rId4"/>
    <sheet name="tables_settle_7118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tables_settle_7118100!$A$1:$V$273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49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A50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A51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A46" i="131"/>
  <c r="A47" i="131"/>
  <c r="A48" i="131"/>
  <c r="A45" i="131"/>
  <c r="I45" i="131"/>
  <c r="D45" i="131"/>
  <c r="J45" i="131"/>
  <c r="E45" i="131"/>
  <c r="F45" i="131"/>
  <c r="C45" i="131"/>
  <c r="H45" i="131"/>
  <c r="K45" i="131"/>
  <c r="L45" i="131"/>
  <c r="M45" i="131"/>
  <c r="N45" i="131"/>
  <c r="P45" i="131"/>
  <c r="I44" i="131"/>
  <c r="D44" i="131"/>
  <c r="J44" i="131"/>
  <c r="E44" i="131"/>
  <c r="F44" i="131"/>
  <c r="C44" i="131"/>
  <c r="H44" i="131"/>
  <c r="K44" i="131"/>
  <c r="L44" i="131"/>
  <c r="M44" i="131"/>
  <c r="N44" i="131"/>
  <c r="P44" i="131"/>
  <c r="A44" i="131"/>
  <c r="B23" i="130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16" i="131"/>
  <c r="E17" i="131"/>
  <c r="E18" i="131"/>
  <c r="E19" i="131"/>
  <c r="E20" i="131"/>
  <c r="E21" i="131"/>
  <c r="E22" i="131"/>
  <c r="E23" i="131"/>
  <c r="I24" i="131"/>
  <c r="E24" i="131"/>
  <c r="I25" i="131"/>
  <c r="E25" i="131"/>
  <c r="I26" i="131"/>
  <c r="E26" i="131"/>
  <c r="I27" i="131"/>
  <c r="E27" i="131"/>
  <c r="I28" i="131"/>
  <c r="E28" i="131"/>
  <c r="E29" i="131"/>
  <c r="E30" i="131"/>
  <c r="I31" i="131"/>
  <c r="E31" i="131"/>
  <c r="I32" i="131"/>
  <c r="E32" i="131"/>
  <c r="I33" i="131"/>
  <c r="E33" i="131"/>
  <c r="E34" i="131"/>
  <c r="E35" i="131"/>
  <c r="E36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E2" i="131"/>
  <c r="I3" i="131"/>
  <c r="D3" i="131"/>
  <c r="I4" i="131"/>
  <c r="D4" i="131"/>
  <c r="I5" i="131"/>
  <c r="D5" i="131"/>
  <c r="D6" i="131"/>
  <c r="D7" i="131"/>
  <c r="I8" i="131"/>
  <c r="D8" i="131"/>
  <c r="I9" i="131"/>
  <c r="D9" i="131"/>
  <c r="D10" i="131"/>
  <c r="D11" i="131"/>
  <c r="I12" i="131"/>
  <c r="D12" i="131"/>
  <c r="I13" i="131"/>
  <c r="D13" i="131"/>
  <c r="D14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D24" i="131"/>
  <c r="D25" i="131"/>
  <c r="D26" i="131"/>
  <c r="D27" i="131"/>
  <c r="D28" i="131"/>
  <c r="I29" i="131"/>
  <c r="D29" i="131"/>
  <c r="I30" i="131"/>
  <c r="D30" i="131"/>
  <c r="D31" i="131"/>
  <c r="D32" i="131"/>
  <c r="D33" i="131"/>
  <c r="I34" i="131"/>
  <c r="D34" i="131"/>
  <c r="I35" i="131"/>
  <c r="D35" i="131"/>
  <c r="I36" i="131"/>
  <c r="D36" i="131"/>
  <c r="I37" i="131"/>
  <c r="D37" i="131"/>
  <c r="D38" i="131"/>
  <c r="D39" i="131"/>
  <c r="D40" i="131"/>
  <c r="D41" i="131"/>
  <c r="D42" i="131"/>
  <c r="D43" i="131"/>
  <c r="I2" i="131"/>
  <c r="D2" i="131"/>
  <c r="A41" i="131"/>
  <c r="J41" i="131"/>
  <c r="F41" i="131"/>
  <c r="C41" i="131"/>
  <c r="H41" i="131"/>
  <c r="K41" i="131"/>
  <c r="L41" i="131"/>
  <c r="M41" i="131"/>
  <c r="N41" i="131"/>
  <c r="P41" i="131"/>
  <c r="A42" i="131"/>
  <c r="J42" i="131"/>
  <c r="F42" i="131"/>
  <c r="C42" i="131"/>
  <c r="H42" i="131"/>
  <c r="K42" i="131"/>
  <c r="L42" i="131"/>
  <c r="M42" i="131"/>
  <c r="N42" i="131"/>
  <c r="P42" i="131"/>
  <c r="A43" i="131"/>
  <c r="J43" i="131"/>
  <c r="F43" i="131"/>
  <c r="C43" i="131"/>
  <c r="H43" i="131"/>
  <c r="K43" i="131"/>
  <c r="L43" i="131"/>
  <c r="M43" i="131"/>
  <c r="N43" i="131"/>
  <c r="P43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J40" i="131"/>
  <c r="F40" i="131"/>
  <c r="C40" i="131"/>
  <c r="H40" i="131"/>
  <c r="K40" i="131"/>
  <c r="L40" i="131"/>
  <c r="M40" i="131"/>
  <c r="N40" i="131"/>
  <c r="P40" i="131"/>
  <c r="A38" i="131"/>
  <c r="A39" i="131"/>
  <c r="A40" i="131"/>
  <c r="A36" i="131"/>
  <c r="J36" i="131"/>
  <c r="F36" i="131"/>
  <c r="C36" i="131"/>
  <c r="H36" i="131"/>
  <c r="K36" i="131"/>
  <c r="L36" i="131"/>
  <c r="M36" i="131"/>
  <c r="N36" i="131"/>
  <c r="P36" i="131"/>
  <c r="A37" i="131"/>
  <c r="J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H35" i="131"/>
  <c r="F35" i="131"/>
  <c r="C35" i="131"/>
  <c r="A35" i="131"/>
  <c r="P34" i="131"/>
  <c r="N34" i="131"/>
  <c r="M34" i="131"/>
  <c r="L34" i="131"/>
  <c r="K34" i="131"/>
  <c r="J34" i="131"/>
  <c r="H34" i="131"/>
  <c r="F34" i="131"/>
  <c r="C34" i="131"/>
  <c r="A34" i="131"/>
  <c r="A31" i="131"/>
  <c r="J31" i="131"/>
  <c r="F31" i="131"/>
  <c r="C31" i="131"/>
  <c r="H31" i="131"/>
  <c r="K31" i="131"/>
  <c r="L31" i="131"/>
  <c r="M31" i="131"/>
  <c r="N31" i="131"/>
  <c r="P31" i="131"/>
  <c r="A32" i="131"/>
  <c r="J32" i="131"/>
  <c r="F32" i="131"/>
  <c r="C32" i="131"/>
  <c r="H32" i="131"/>
  <c r="K32" i="131"/>
  <c r="L32" i="131"/>
  <c r="M32" i="131"/>
  <c r="N32" i="131"/>
  <c r="P32" i="131"/>
  <c r="A33" i="131"/>
  <c r="J33" i="131"/>
  <c r="F33" i="131"/>
  <c r="C33" i="131"/>
  <c r="H33" i="131"/>
  <c r="K33" i="131"/>
  <c r="L33" i="131"/>
  <c r="M33" i="131"/>
  <c r="N33" i="131"/>
  <c r="P33" i="131"/>
  <c r="A29" i="131"/>
  <c r="J29" i="131"/>
  <c r="F29" i="131"/>
  <c r="C29" i="131"/>
  <c r="H29" i="131"/>
  <c r="K29" i="131"/>
  <c r="L29" i="131"/>
  <c r="M29" i="131"/>
  <c r="N29" i="131"/>
  <c r="P29" i="131"/>
  <c r="A30" i="131"/>
  <c r="J30" i="131"/>
  <c r="F30" i="131"/>
  <c r="C30" i="131"/>
  <c r="H30" i="131"/>
  <c r="K30" i="131"/>
  <c r="L30" i="131"/>
  <c r="M30" i="131"/>
  <c r="N30" i="131"/>
  <c r="P30" i="131"/>
  <c r="A2" i="131"/>
  <c r="A20" i="131"/>
  <c r="J20" i="131"/>
  <c r="F20" i="131"/>
  <c r="C20" i="131"/>
  <c r="H20" i="131"/>
  <c r="K20" i="131"/>
  <c r="L20" i="131"/>
  <c r="M20" i="131"/>
  <c r="N20" i="131"/>
  <c r="P20" i="131"/>
  <c r="A21" i="131"/>
  <c r="J21" i="131"/>
  <c r="F21" i="131"/>
  <c r="C21" i="131"/>
  <c r="H21" i="131"/>
  <c r="K21" i="131"/>
  <c r="L21" i="131"/>
  <c r="M21" i="131"/>
  <c r="N21" i="131"/>
  <c r="P21" i="131"/>
  <c r="A22" i="131"/>
  <c r="J22" i="131"/>
  <c r="F22" i="131"/>
  <c r="C22" i="131"/>
  <c r="H22" i="131"/>
  <c r="K22" i="131"/>
  <c r="L22" i="131"/>
  <c r="M22" i="131"/>
  <c r="N22" i="131"/>
  <c r="P22" i="131"/>
  <c r="A23" i="131"/>
  <c r="J23" i="131"/>
  <c r="F23" i="131"/>
  <c r="C23" i="131"/>
  <c r="H23" i="131"/>
  <c r="K23" i="131"/>
  <c r="L23" i="131"/>
  <c r="M23" i="131"/>
  <c r="N23" i="131"/>
  <c r="P23" i="131"/>
  <c r="B10" i="130"/>
  <c r="J2" i="131"/>
  <c r="F2" i="131"/>
  <c r="C2" i="131"/>
  <c r="J3" i="131"/>
  <c r="F3" i="131"/>
  <c r="C3" i="131"/>
  <c r="J4" i="131"/>
  <c r="F4" i="131"/>
  <c r="C4" i="131"/>
  <c r="J5" i="131"/>
  <c r="F5" i="131"/>
  <c r="C5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1" i="131"/>
  <c r="F11" i="131"/>
  <c r="C11" i="131"/>
  <c r="J12" i="131"/>
  <c r="F12" i="131"/>
  <c r="C12" i="131"/>
  <c r="J13" i="131"/>
  <c r="F13" i="131"/>
  <c r="C13" i="131"/>
  <c r="J14" i="131"/>
  <c r="F14" i="131"/>
  <c r="C14" i="131"/>
  <c r="J15" i="131"/>
  <c r="F15" i="131"/>
  <c r="C15" i="131"/>
  <c r="J16" i="131"/>
  <c r="F16" i="131"/>
  <c r="C16" i="131"/>
  <c r="J17" i="131"/>
  <c r="F17" i="131"/>
  <c r="C17" i="131"/>
  <c r="J18" i="131"/>
  <c r="F18" i="131"/>
  <c r="C18" i="131"/>
  <c r="J19" i="131"/>
  <c r="F19" i="131"/>
  <c r="C19" i="131"/>
  <c r="J24" i="131"/>
  <c r="F24" i="131"/>
  <c r="C24" i="131"/>
  <c r="J25" i="131"/>
  <c r="F25" i="131"/>
  <c r="C25" i="131"/>
  <c r="J26" i="131"/>
  <c r="F26" i="131"/>
  <c r="C26" i="131"/>
  <c r="J27" i="131"/>
  <c r="F27" i="131"/>
  <c r="C27" i="131"/>
  <c r="J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<sst xmlns="http://schemas.openxmlformats.org/spreadsheetml/2006/main" count="304" uniqueCount="211">
  <si>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</si>
  <si>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</si>
  <si>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</si>
  <si>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</si>
  <si>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</si>
  <si>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</si>
  <si>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</si>
  <si>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</si>
  <si>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</si>
  <si>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</si>
  <si>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</si>
  <si>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</si>
  <si>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</si>
  <si>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</si>
  <si>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</si>
  <si>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</si>
  <si>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</si>
  <si>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</si>
  <si>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</si>
  <si>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</si>
  <si>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</si>
  <si>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</si>
  <si>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</si>
  <si>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</si>
  <si>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</si>
  <si>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</si>
  <si>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</si>
  <si>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</si>
  <si>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</si>
  <si>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</si>
  <si>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</si>
  <si>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</si>
  <si>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</si>
  <si>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</si>
  <si>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</si>
  <si>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</si>
  <si>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</si>
  <si>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</si>
  <si>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</si>
  <si>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</si>
  <si>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</si>
  <si>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</si>
  <si>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</si>
  <si>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</si>
  <si>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</si>
  <si>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</si>
  <si>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</si>
  <si>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</si>
  <si>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</si>
  <si>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</si>
  <si>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</si>
  <si>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</si>
  <si>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</si>
  <si>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</si>
  <si>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</si>
  <si>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</si>
  <si>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</si>
  <si>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</si>
  <si>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</si>
  <si>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</si>
  <si>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</si>
  <si>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</si>
  <si>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</si>
  <si>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</si>
  <si>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</si>
  <si>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</si>
  <si>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</si>
  <si>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</si>
  <si>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</si>
  <si>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</si>
  <si>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</si>
  <si>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</si>
  <si>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</si>
  <si>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</si>
  <si>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</si>
  <si>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</si>
  <si>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</si>
  <si>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</si>
  <si>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</si>
  <si>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</si>
  <si>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</si>
  <si>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</si>
  <si>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</si>
  <si>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</si>
  <si>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</si>
  <si>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</si>
  <si>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</si>
  <si>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</si>
  <si>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</si>
  <si>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</si>
  <si>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</si>
  <si>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</si>
  <si>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</si>
  <si>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</si>
  <si>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</si>
  <si>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</si>
  <si>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</si>
  <si>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</si>
  <si>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</si>
  <si>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</si>
  <si>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</si>
  <si>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</si>
  <si>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</si>
  <si>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</si>
  <si>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</si>
  <si>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</si>
  <si>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</si>
  <si>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</si>
  <si>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</si>
  <si>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</si>
  <si>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</si>
  <si>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</si>
  <si>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</si>
  <si>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</si>
  <si>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</si>
  <si>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</si>
  <si>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</si>
  <si>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</si>
  <si>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</si>
  <si>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</si>
  <si>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</si>
  <si>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</si>
  <si>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</si>
  <si>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</si>
  <si>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</si>
  <si>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</si>
  <si>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</si>
  <si>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</si>
  <si>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</si>
  <si>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</si>
  <si>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</si>
  <si>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</si>
  <si>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</si>
  <si>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</si>
  <si>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</si>
  <si>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</si>
  <si>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</si>
  <si>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</si>
  <si>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</si>
  <si>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</si>
  <si>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</si>
  <si>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</si>
  <si>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</si>
  <si>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</si>
  <si>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</si>
  <si>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</si>
  <si>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</si>
  <si>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</si>
  <si>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</si>
  <si>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</si>
  <si>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</si>
  <si>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</si>
  <si>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</si>
  <si>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</si>
  <si>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</si>
  <si>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</si>
  <si>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</si>
  <si>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</si>
  <si>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</si>
  <si>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</si>
  <si>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</si>
  <si>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</si>
  <si>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</si>
  <si>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</si>
  <si>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</si>
  <si>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</si>
  <si>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</si>
  <si>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</si>
  <si>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</si>
  <si>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</si>
  <si>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</si>
  <si>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</si>
  <si>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</si>
  <si>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</si>
  <si>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</si>
  <si>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</si>
  <si>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</si>
  <si>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</si>
  <si>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</si>
  <si>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</si>
  <si>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</si>
  <si>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</si>
  <si>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</si>
  <si>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</si>
  <si>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</si>
  <si>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</si>
  <si>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</si>
  <si>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</si>
  <si>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</si>
  <si>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</si>
  <si>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</si>
  <si>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</si>
  <si>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</si>
  <si>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</si>
  <si>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</si>
  <si>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</si>
  <si>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</si>
  <si>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</si>
  <si>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</si>
  <si>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</si>
  <si>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</si>
  <si>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</si>
  <si>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</si>
  <si>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</si>
  <si>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</si>
  <si>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</si>
  <si>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</si>
  <si>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</si>
  <si>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</si>
  <si>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</si>
  <si>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tables_settle_7118100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</si>
</sst>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0" fillId="0" borderId="1" xfId="0" applyNumberFormat="1" applyFont="1" applyFill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1185</v>
          </cell>
          <cell r="B1161" t="str">
            <v>ja</v>
          </cell>
          <cell r="C1161" t="str">
            <v>兆銀河団の星観者 ハーシェル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yellow</v>
          </cell>
          <cell r="I1161">
            <v>6</v>
          </cell>
          <cell r="J1161" t="str">
            <v>PremiumSSS</v>
          </cell>
          <cell r="K1161" t="str">
            <v>heal</v>
          </cell>
          <cell r="L1161" t="str">
            <v>回復タイプ</v>
          </cell>
          <cell r="M1161" t="str">
            <v>academia</v>
          </cell>
        </row>
        <row r="1162">
          <cell r="A1162">
            <v>1186</v>
          </cell>
          <cell r="B1162" t="str">
            <v>ja</v>
          </cell>
          <cell r="C1162" t="str">
            <v>永存の究極論 ユークリッド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blue</v>
          </cell>
          <cell r="I1162">
            <v>6</v>
          </cell>
          <cell r="J1162" t="str">
            <v>PremiumSSS</v>
          </cell>
          <cell r="K1162" t="str">
            <v>balance</v>
          </cell>
          <cell r="L1162" t="str">
            <v>バランスタイプ</v>
          </cell>
          <cell r="M1162" t="str">
            <v>academia</v>
          </cell>
        </row>
        <row r="1163">
          <cell r="A1163">
            <v>1187</v>
          </cell>
          <cell r="B1163" t="str">
            <v>ja</v>
          </cell>
          <cell r="C1163" t="str">
            <v>電装の烙雷芯 ファラデー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6001</v>
          </cell>
          <cell r="B1164" t="str">
            <v>ja</v>
          </cell>
          <cell r="C1164" t="str">
            <v>ジェリー</v>
          </cell>
          <cell r="D1164" t="str">
            <v>ノーマルクエスト</v>
          </cell>
          <cell r="E1164" t="str">
            <v>QoH</v>
          </cell>
          <cell r="F1164" t="str">
            <v>世界観</v>
          </cell>
          <cell r="G1164" t="str">
            <v>不明</v>
          </cell>
          <cell r="H1164" t="str">
            <v>red</v>
          </cell>
          <cell r="I1164">
            <v>1</v>
          </cell>
          <cell r="J1164" t="str">
            <v>Drop1T</v>
          </cell>
          <cell r="K1164" t="str">
            <v>ra</v>
          </cell>
          <cell r="L1164" t="str">
            <v>ラグランジュチャレンジ</v>
          </cell>
          <cell r="M1164" t="str">
            <v>unknown</v>
          </cell>
        </row>
        <row r="1165">
          <cell r="A1165">
            <v>6002</v>
          </cell>
          <cell r="B1165" t="str">
            <v>ja</v>
          </cell>
          <cell r="C1165" t="str">
            <v>ヨシタカ</v>
          </cell>
          <cell r="D1165" t="str">
            <v>ノーマルクエスト</v>
          </cell>
          <cell r="E1165" t="str">
            <v>アバター</v>
          </cell>
          <cell r="F1165" t="str">
            <v>世界観</v>
          </cell>
          <cell r="G1165" t="str">
            <v>男性</v>
          </cell>
          <cell r="H1165" t="str">
            <v>red</v>
          </cell>
          <cell r="I1165">
            <v>2</v>
          </cell>
          <cell r="J1165" t="str">
            <v>Drop1N</v>
          </cell>
          <cell r="K1165" t="str">
            <v>ra</v>
          </cell>
          <cell r="L1165" t="str">
            <v>ラグランジュチャレンジ</v>
          </cell>
          <cell r="M1165" t="str">
            <v>human</v>
          </cell>
        </row>
        <row r="1166">
          <cell r="A1166">
            <v>6003</v>
          </cell>
          <cell r="B1166" t="str">
            <v>ja</v>
          </cell>
          <cell r="C1166" t="str">
            <v>朱雀</v>
          </cell>
          <cell r="D1166" t="str">
            <v>リンクガチャ:4神</v>
          </cell>
          <cell r="E1166" t="str">
            <v>守護神</v>
          </cell>
          <cell r="F1166" t="str">
            <v>格好いい</v>
          </cell>
          <cell r="G1166" t="str">
            <v>不明</v>
          </cell>
          <cell r="H1166" t="str">
            <v>red</v>
          </cell>
          <cell r="I1166">
            <v>3</v>
          </cell>
          <cell r="J1166" t="str">
            <v>Drop2N</v>
          </cell>
          <cell r="K1166" t="str">
            <v>ra</v>
          </cell>
          <cell r="L1166" t="str">
            <v>ラグランジュチャレンジ</v>
          </cell>
          <cell r="M1166" t="str">
            <v>animal</v>
          </cell>
        </row>
        <row r="1167">
          <cell r="A1167">
            <v>6004</v>
          </cell>
          <cell r="B1167" t="str">
            <v>ja</v>
          </cell>
          <cell r="C1167" t="str">
            <v>ブレット</v>
          </cell>
          <cell r="D1167" t="str">
            <v>ノーマルクエスト</v>
          </cell>
          <cell r="E1167" t="str">
            <v>アバター</v>
          </cell>
          <cell r="F1167" t="str">
            <v>世界観</v>
          </cell>
          <cell r="G1167" t="str">
            <v>不明</v>
          </cell>
          <cell r="H1167" t="str">
            <v>red</v>
          </cell>
          <cell r="I1167">
            <v>1</v>
          </cell>
          <cell r="J1167" t="str">
            <v>Drop1W</v>
          </cell>
          <cell r="K1167" t="str">
            <v>ra</v>
          </cell>
          <cell r="L1167" t="str">
            <v>ラグランジュチャレンジ</v>
          </cell>
          <cell r="M1167" t="str">
            <v>animal</v>
          </cell>
        </row>
        <row r="1168">
          <cell r="A1168">
            <v>6005</v>
          </cell>
          <cell r="B1168" t="str">
            <v>ja</v>
          </cell>
          <cell r="C1168" t="str">
            <v>孤神 テティス</v>
          </cell>
          <cell r="D1168" t="str">
            <v>初期ガチャ</v>
          </cell>
          <cell r="E1168" t="str">
            <v>管理者</v>
          </cell>
          <cell r="F1168" t="str">
            <v>美しい</v>
          </cell>
          <cell r="G1168" t="str">
            <v>女性</v>
          </cell>
          <cell r="H1168" t="str">
            <v>blue</v>
          </cell>
          <cell r="I1168">
            <v>4</v>
          </cell>
          <cell r="J1168" t="str">
            <v>PremiumN</v>
          </cell>
          <cell r="K1168" t="str">
            <v>ra</v>
          </cell>
          <cell r="L1168" t="str">
            <v>ラグランジュチャレンジ</v>
          </cell>
          <cell r="M1168" t="str">
            <v>god</v>
          </cell>
        </row>
        <row r="1169">
          <cell r="A1169">
            <v>6006</v>
          </cell>
          <cell r="B1169" t="str">
            <v>ja</v>
          </cell>
          <cell r="C1169" t="str">
            <v>海底の孤高神 テティス</v>
          </cell>
          <cell r="D1169" t="str">
            <v>初期ガチャ</v>
          </cell>
          <cell r="E1169" t="str">
            <v>管理者</v>
          </cell>
          <cell r="F1169" t="str">
            <v>美しい</v>
          </cell>
          <cell r="G1169" t="str">
            <v>女性</v>
          </cell>
          <cell r="H1169" t="str">
            <v>blue</v>
          </cell>
          <cell r="I1169">
            <v>5</v>
          </cell>
          <cell r="J1169" t="str">
            <v>PremiumN</v>
          </cell>
          <cell r="K1169" t="str">
            <v>ra</v>
          </cell>
          <cell r="L1169" t="str">
            <v>ラグランジュチャレンジ</v>
          </cell>
          <cell r="M1169" t="str">
            <v>god</v>
          </cell>
        </row>
        <row r="1170">
          <cell r="A1170">
            <v>6007</v>
          </cell>
          <cell r="B1170" t="str">
            <v>ja</v>
          </cell>
          <cell r="C1170" t="str">
            <v>番犬 ケルベロス</v>
          </cell>
          <cell r="D1170" t="str">
            <v>初期ガチャ</v>
          </cell>
          <cell r="E1170" t="str">
            <v>破界者</v>
          </cell>
          <cell r="F1170" t="str">
            <v>可愛い</v>
          </cell>
          <cell r="G1170" t="str">
            <v>女性</v>
          </cell>
          <cell r="H1170" t="str">
            <v>red</v>
          </cell>
          <cell r="I1170">
            <v>4</v>
          </cell>
          <cell r="J1170" t="str">
            <v>PremiumN</v>
          </cell>
          <cell r="K1170" t="str">
            <v>ra</v>
          </cell>
          <cell r="L1170" t="str">
            <v>ラグランジュチャレンジ</v>
          </cell>
          <cell r="M1170" t="str">
            <v>animal</v>
          </cell>
        </row>
        <row r="1171">
          <cell r="A1171">
            <v>6008</v>
          </cell>
          <cell r="B1171" t="str">
            <v>ja</v>
          </cell>
          <cell r="C1171" t="str">
            <v>焔神 プロメテウス</v>
          </cell>
          <cell r="D1171" t="str">
            <v>初期ガチャ</v>
          </cell>
          <cell r="E1171" t="str">
            <v>管理者</v>
          </cell>
          <cell r="F1171" t="str">
            <v>格好いい</v>
          </cell>
          <cell r="G1171" t="str">
            <v>男性</v>
          </cell>
          <cell r="H1171" t="str">
            <v>red</v>
          </cell>
          <cell r="I1171">
            <v>4</v>
          </cell>
          <cell r="J1171" t="str">
            <v>PremiumN</v>
          </cell>
          <cell r="K1171" t="str">
            <v>ra</v>
          </cell>
          <cell r="L1171" t="str">
            <v>ラグランジュチャレンジ</v>
          </cell>
          <cell r="M1171" t="str">
            <v>god</v>
          </cell>
        </row>
        <row r="1172">
          <cell r="A1172">
            <v>6009</v>
          </cell>
          <cell r="B1172" t="str">
            <v>ja</v>
          </cell>
          <cell r="C1172" t="str">
            <v>超越自我 ラグランジュ</v>
          </cell>
          <cell r="D1172" t="str">
            <v>ガチャ:フィーバーフェス02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5</v>
          </cell>
          <cell r="J1172" t="str">
            <v>PremiumSSS</v>
          </cell>
          <cell r="K1172" t="str">
            <v>ra</v>
          </cell>
          <cell r="L1172" t="str">
            <v>ラグランジュチャレンジ</v>
          </cell>
          <cell r="M1172" t="str">
            <v>human</v>
          </cell>
        </row>
        <row r="1173">
          <cell r="A1173">
            <v>6010</v>
          </cell>
          <cell r="B1173" t="str">
            <v>ja</v>
          </cell>
          <cell r="C1173" t="str">
            <v>超越凌駕 ラグランジュ</v>
          </cell>
          <cell r="D1173" t="str">
            <v>ガチャ:フィーバーフェス02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6</v>
          </cell>
          <cell r="J1173" t="str">
            <v>PremiumSSS</v>
          </cell>
          <cell r="K1173" t="str">
            <v>ra</v>
          </cell>
          <cell r="L1173" t="str">
            <v>ラグランジュチャレンジ</v>
          </cell>
          <cell r="M1173" t="str">
            <v>human</v>
          </cell>
        </row>
        <row r="1174">
          <cell r="A1174">
            <v>6011</v>
          </cell>
          <cell r="B1174" t="str">
            <v>ja</v>
          </cell>
          <cell r="C1174" t="str">
            <v>パトドッグリーダー ポチ</v>
          </cell>
          <cell r="D1174" t="str">
            <v>ガチャ:フィーバーフェス02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blue</v>
          </cell>
          <cell r="I1174">
            <v>2</v>
          </cell>
          <cell r="J1174" t="str">
            <v>Drop1T</v>
          </cell>
          <cell r="K1174" t="str">
            <v>ra002</v>
          </cell>
          <cell r="L1174" t="str">
            <v>ユークリッドチャレンジ</v>
          </cell>
          <cell r="M1174" t="str">
            <v>unknown</v>
          </cell>
        </row>
        <row r="1175">
          <cell r="A1175">
            <v>6012</v>
          </cell>
          <cell r="B1175" t="str">
            <v>ja</v>
          </cell>
          <cell r="C1175" t="str">
            <v>ミミ</v>
          </cell>
          <cell r="D1175" t="str">
            <v>ガチャ:フィーバーフェス02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yellow</v>
          </cell>
          <cell r="I1175">
            <v>1</v>
          </cell>
          <cell r="J1175" t="str">
            <v>Drop1W</v>
          </cell>
          <cell r="K1175" t="str">
            <v>ra002</v>
          </cell>
          <cell r="L1175" t="str">
            <v>ユークリッドチャレンジ</v>
          </cell>
          <cell r="M1175" t="str">
            <v>animal</v>
          </cell>
        </row>
        <row r="1176">
          <cell r="A1176">
            <v>6013</v>
          </cell>
          <cell r="B1176" t="str">
            <v>ja</v>
          </cell>
          <cell r="C1176" t="str">
            <v>護衛機人 スケアクロウ</v>
          </cell>
          <cell r="D1176" t="str">
            <v>ガチャ:フィーバーフェス02</v>
          </cell>
          <cell r="E1176" t="str">
            <v>執行者</v>
          </cell>
          <cell r="F1176" t="str">
            <v>格好いい</v>
          </cell>
          <cell r="G1176" t="str">
            <v>男性</v>
          </cell>
          <cell r="H1176" t="str">
            <v>blue</v>
          </cell>
          <cell r="I1176">
            <v>2</v>
          </cell>
          <cell r="J1176" t="str">
            <v>Drop1N</v>
          </cell>
          <cell r="K1176" t="str">
            <v>ra002</v>
          </cell>
          <cell r="L1176" t="str">
            <v>ユークリッドチャレンジ</v>
          </cell>
          <cell r="M1176" t="str">
            <v>machine</v>
          </cell>
        </row>
        <row r="1177">
          <cell r="A1177">
            <v>6014</v>
          </cell>
          <cell r="B1177" t="str">
            <v>ja</v>
          </cell>
          <cell r="C1177" t="str">
            <v>月下の人狼 ローレンス</v>
          </cell>
          <cell r="D1177" t="str">
            <v>ガチャ:フィーバーフェス02</v>
          </cell>
          <cell r="E1177" t="str">
            <v>執行者</v>
          </cell>
          <cell r="F1177" t="str">
            <v>格好いい</v>
          </cell>
          <cell r="G1177" t="str">
            <v>男性</v>
          </cell>
          <cell r="H1177" t="str">
            <v>blue</v>
          </cell>
          <cell r="I1177">
            <v>4</v>
          </cell>
          <cell r="J1177" t="str">
            <v>PremiumW</v>
          </cell>
          <cell r="K1177" t="str">
            <v>ra002</v>
          </cell>
          <cell r="L1177" t="str">
            <v>ユークリッドチャレンジ</v>
          </cell>
          <cell r="M1177" t="str">
            <v>animal</v>
          </cell>
        </row>
        <row r="1178">
          <cell r="A1178">
            <v>6015</v>
          </cell>
          <cell r="B1178" t="str">
            <v>ja</v>
          </cell>
          <cell r="C1178" t="str">
            <v>フレイヤ</v>
          </cell>
          <cell r="D1178" t="str">
            <v>ガチャ:フィーバーフェス02</v>
          </cell>
          <cell r="E1178" t="str">
            <v>執行者</v>
          </cell>
          <cell r="F1178" t="str">
            <v>格好いい</v>
          </cell>
          <cell r="G1178" t="str">
            <v>男性</v>
          </cell>
          <cell r="H1178" t="str">
            <v>blue</v>
          </cell>
          <cell r="I1178">
            <v>4</v>
          </cell>
          <cell r="J1178" t="str">
            <v>PremiumSS</v>
          </cell>
          <cell r="K1178" t="str">
            <v>ra002</v>
          </cell>
          <cell r="L1178" t="str">
            <v>ユークリッドチャレンジ</v>
          </cell>
          <cell r="M1178" t="str">
            <v>animal</v>
          </cell>
        </row>
        <row r="1179">
          <cell r="A1179">
            <v>6016</v>
          </cell>
          <cell r="B1179" t="str">
            <v>ja</v>
          </cell>
          <cell r="C1179" t="str">
            <v>根原論理 ユークリッド</v>
          </cell>
          <cell r="D1179" t="str">
            <v>ガチャ:フィーバーフェス02</v>
          </cell>
          <cell r="E1179" t="str">
            <v>執行者</v>
          </cell>
          <cell r="F1179" t="str">
            <v>格好いい</v>
          </cell>
          <cell r="G1179" t="str">
            <v>男性</v>
          </cell>
          <cell r="H1179" t="str">
            <v>blue</v>
          </cell>
          <cell r="I1179">
            <v>5</v>
          </cell>
          <cell r="J1179" t="str">
            <v>PremiumSSS</v>
          </cell>
          <cell r="K1179" t="str">
            <v>ra002</v>
          </cell>
          <cell r="L1179" t="str">
            <v>ユークリッドチャレンジ</v>
          </cell>
          <cell r="M1179" t="str">
            <v>human</v>
          </cell>
        </row>
        <row r="1180">
          <cell r="A1180">
            <v>6017</v>
          </cell>
          <cell r="B1180" t="str">
            <v>ja</v>
          </cell>
          <cell r="C1180" t="str">
            <v>不朽の極論 ユークリッド</v>
          </cell>
          <cell r="D1180" t="str">
            <v>ガチャ:フィーバーフェス02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blue</v>
          </cell>
          <cell r="I1180">
            <v>6</v>
          </cell>
          <cell r="J1180" t="str">
            <v>PremiumSSS</v>
          </cell>
          <cell r="K1180" t="str">
            <v>ra002</v>
          </cell>
          <cell r="L1180" t="str">
            <v>ユークリッドチャレンジ</v>
          </cell>
          <cell r="M1180" t="str">
            <v>human</v>
          </cell>
        </row>
        <row r="1181">
          <cell r="A1181">
            <v>6018</v>
          </cell>
          <cell r="B1181" t="str">
            <v>ja</v>
          </cell>
          <cell r="C1181" t="str">
            <v>ハヅル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red</v>
          </cell>
          <cell r="I1181">
            <v>4</v>
          </cell>
          <cell r="J1181" t="str">
            <v>PremiumSS</v>
          </cell>
          <cell r="K1181" t="str">
            <v>ra002</v>
          </cell>
          <cell r="L1181" t="str">
            <v>ユークリッドチャレンジ</v>
          </cell>
          <cell r="M1181" t="str">
            <v>animal</v>
          </cell>
        </row>
        <row r="1182">
          <cell r="A1182">
            <v>6019</v>
          </cell>
          <cell r="B1182" t="str">
            <v>ja</v>
          </cell>
          <cell r="C1182" t="str">
            <v>天織羽鶴 ハヅル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男性</v>
          </cell>
          <cell r="H1182" t="str">
            <v>red</v>
          </cell>
          <cell r="I1182">
            <v>5</v>
          </cell>
          <cell r="J1182" t="str">
            <v>PremiumSS</v>
          </cell>
          <cell r="K1182" t="str">
            <v>ra002</v>
          </cell>
          <cell r="L1182" t="str">
            <v>ユークリッドチャレンジ</v>
          </cell>
          <cell r="M1182" t="str">
            <v>animal</v>
          </cell>
        </row>
        <row r="1183">
          <cell r="A1183">
            <v>6020</v>
          </cell>
          <cell r="B1183" t="str">
            <v>ja</v>
          </cell>
          <cell r="C1183" t="str">
            <v>ミズチ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4</v>
          </cell>
          <cell r="J1183" t="str">
            <v>PremiumS</v>
          </cell>
          <cell r="K1183" t="str">
            <v>ra002</v>
          </cell>
          <cell r="L1183" t="str">
            <v>ユークリッドチャレンジ</v>
          </cell>
          <cell r="M1183" t="str">
            <v>dragon</v>
          </cell>
        </row>
        <row r="1184">
          <cell r="A1184">
            <v>8001</v>
          </cell>
          <cell r="B1184" t="str">
            <v>ja</v>
          </cell>
          <cell r="C1184" t="str">
            <v>媽祖</v>
          </cell>
          <cell r="D1184" t="str">
            <v>イベント:ミクコラボ01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yellow</v>
          </cell>
          <cell r="I1184">
            <v>5</v>
          </cell>
          <cell r="J1184" t="str">
            <v>PremiumSS</v>
          </cell>
          <cell r="K1184" t="str">
            <v>attack</v>
          </cell>
          <cell r="L1184" t="str">
            <v>攻撃タイプ</v>
          </cell>
          <cell r="M1184" t="str">
            <v>god</v>
          </cell>
        </row>
        <row r="1185">
          <cell r="A1185">
            <v>8002</v>
          </cell>
          <cell r="B1185" t="str">
            <v>ja</v>
          </cell>
          <cell r="C1185" t="str">
            <v>天后 媽祖</v>
          </cell>
          <cell r="D1185" t="str">
            <v>イベント:ミクコラボ01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yellow</v>
          </cell>
          <cell r="I1185">
            <v>6</v>
          </cell>
          <cell r="J1185" t="str">
            <v>PremiumSS</v>
          </cell>
          <cell r="K1185" t="str">
            <v>attack</v>
          </cell>
          <cell r="L1185" t="str">
            <v>攻撃タイプ</v>
          </cell>
          <cell r="M1185" t="str">
            <v>god</v>
          </cell>
        </row>
        <row r="1186">
          <cell r="A1186">
            <v>8003</v>
          </cell>
          <cell r="B1186" t="str">
            <v>ja</v>
          </cell>
          <cell r="C1186" t="str">
            <v>蛟龍</v>
          </cell>
          <cell r="D1186" t="str">
            <v>イベント:ミクコラボ01</v>
          </cell>
          <cell r="E1186" t="str">
            <v>執行者</v>
          </cell>
          <cell r="F1186" t="str">
            <v>格好いい</v>
          </cell>
          <cell r="G1186" t="str">
            <v>不明</v>
          </cell>
          <cell r="H1186" t="str">
            <v>blue</v>
          </cell>
          <cell r="I1186">
            <v>5</v>
          </cell>
          <cell r="J1186" t="str">
            <v>DropWizS</v>
          </cell>
          <cell r="K1186" t="str">
            <v>hp</v>
          </cell>
          <cell r="L1186" t="str">
            <v>体力タイプ</v>
          </cell>
          <cell r="M1186" t="str">
            <v>dragon</v>
          </cell>
        </row>
        <row r="1187">
          <cell r="A1187">
            <v>8004</v>
          </cell>
          <cell r="B1187" t="str">
            <v>ja</v>
          </cell>
          <cell r="C1187" t="str">
            <v>深海蛟龍怪‧晏公</v>
          </cell>
          <cell r="D1187" t="str">
            <v>イベント:ミクコラボ01</v>
          </cell>
          <cell r="E1187" t="str">
            <v>執行者</v>
          </cell>
          <cell r="F1187" t="str">
            <v>格好いい</v>
          </cell>
          <cell r="G1187" t="str">
            <v>不明</v>
          </cell>
          <cell r="H1187" t="str">
            <v>blue</v>
          </cell>
          <cell r="I1187">
            <v>6</v>
          </cell>
          <cell r="J1187" t="str">
            <v>DropWizS</v>
          </cell>
          <cell r="K1187" t="str">
            <v>hp</v>
          </cell>
          <cell r="L1187" t="str">
            <v>体力タイプ</v>
          </cell>
          <cell r="M1187" t="str">
            <v>dragon</v>
          </cell>
        </row>
        <row r="1188">
          <cell r="A1188">
            <v>8005</v>
          </cell>
          <cell r="B1188" t="str">
            <v>ja</v>
          </cell>
          <cell r="C1188" t="str">
            <v>三蔵法師</v>
          </cell>
          <cell r="D1188" t="str">
            <v>イベント:ミクコラボ01</v>
          </cell>
          <cell r="E1188" t="str">
            <v>執行者</v>
          </cell>
          <cell r="F1188" t="str">
            <v>格好いい</v>
          </cell>
          <cell r="G1188" t="str">
            <v>不明</v>
          </cell>
          <cell r="H1188" t="str">
            <v>blue</v>
          </cell>
          <cell r="I1188">
            <v>5</v>
          </cell>
          <cell r="J1188" t="str">
            <v>PremiumSS</v>
          </cell>
          <cell r="K1188" t="str">
            <v>balance</v>
          </cell>
          <cell r="L1188" t="str">
            <v>バランスタイプ</v>
          </cell>
          <cell r="M1188" t="str">
            <v>human</v>
          </cell>
        </row>
        <row r="1189">
          <cell r="A1189">
            <v>8006</v>
          </cell>
          <cell r="B1189" t="str">
            <v>ja</v>
          </cell>
          <cell r="C1189" t="str">
            <v>三蔵法師</v>
          </cell>
          <cell r="D1189" t="str">
            <v>イベント:ミクコラボ01</v>
          </cell>
          <cell r="E1189" t="str">
            <v>執行者</v>
          </cell>
          <cell r="F1189" t="str">
            <v>格好いい</v>
          </cell>
          <cell r="G1189" t="str">
            <v>不明</v>
          </cell>
          <cell r="H1189" t="str">
            <v>blue</v>
          </cell>
          <cell r="I1189">
            <v>6</v>
          </cell>
          <cell r="J1189" t="str">
            <v>PremiumSS</v>
          </cell>
          <cell r="K1189" t="str">
            <v>balance</v>
          </cell>
          <cell r="L1189" t="str">
            <v>バランスタイプ</v>
          </cell>
          <cell r="M1189" t="str">
            <v>human</v>
          </cell>
        </row>
        <row r="1190">
          <cell r="A1190">
            <v>8007</v>
          </cell>
          <cell r="B1190" t="str">
            <v>ja</v>
          </cell>
          <cell r="C1190" t="str">
            <v>孫悟空</v>
          </cell>
          <cell r="D1190" t="str">
            <v>イベント:ミクコラボ01</v>
          </cell>
          <cell r="E1190" t="str">
            <v>執行者</v>
          </cell>
          <cell r="F1190" t="str">
            <v>格好いい</v>
          </cell>
          <cell r="G1190" t="str">
            <v>不明</v>
          </cell>
          <cell r="H1190" t="str">
            <v>red</v>
          </cell>
          <cell r="I1190">
            <v>5</v>
          </cell>
          <cell r="J1190" t="str">
            <v>DropWizS</v>
          </cell>
          <cell r="K1190" t="str">
            <v>attack</v>
          </cell>
          <cell r="L1190" t="str">
            <v>攻撃タイプ</v>
          </cell>
          <cell r="M1190" t="str">
            <v>animal</v>
          </cell>
        </row>
        <row r="1191">
          <cell r="A1191">
            <v>8008</v>
          </cell>
          <cell r="B1191" t="str">
            <v>ja</v>
          </cell>
          <cell r="C1191" t="str">
            <v>孫悟空</v>
          </cell>
          <cell r="D1191" t="str">
            <v>イベント:ミクコラボ01</v>
          </cell>
          <cell r="E1191" t="str">
            <v>執行者</v>
          </cell>
          <cell r="F1191" t="str">
            <v>格好いい</v>
          </cell>
          <cell r="G1191" t="str">
            <v>不明</v>
          </cell>
          <cell r="H1191" t="str">
            <v>red</v>
          </cell>
          <cell r="I1191">
            <v>6</v>
          </cell>
          <cell r="J1191" t="str">
            <v>DropWizS</v>
          </cell>
          <cell r="K1191" t="str">
            <v>attack</v>
          </cell>
          <cell r="L1191" t="str">
            <v>攻撃タイプ</v>
          </cell>
          <cell r="M1191" t="str">
            <v>animal</v>
          </cell>
        </row>
        <row r="1192">
          <cell r="A1192">
            <v>8009</v>
          </cell>
          <cell r="B1192" t="str">
            <v>ja</v>
          </cell>
          <cell r="C1192" t="str">
            <v>西王娘娘</v>
          </cell>
          <cell r="D1192" t="str">
            <v>イベント:ミクコラボ01</v>
          </cell>
          <cell r="E1192" t="str">
            <v>執行者</v>
          </cell>
          <cell r="F1192" t="str">
            <v>格好いい</v>
          </cell>
          <cell r="G1192" t="str">
            <v>不明</v>
          </cell>
          <cell r="H1192" t="str">
            <v>green</v>
          </cell>
          <cell r="I1192">
            <v>5</v>
          </cell>
          <cell r="J1192" t="str">
            <v>PremiumSS</v>
          </cell>
          <cell r="K1192" t="str">
            <v>attack</v>
          </cell>
          <cell r="L1192" t="str">
            <v>攻撃タイプ</v>
          </cell>
          <cell r="M1192" t="str">
            <v>god</v>
          </cell>
        </row>
        <row r="1193">
          <cell r="A1193">
            <v>8010</v>
          </cell>
          <cell r="B1193" t="str">
            <v>ja</v>
          </cell>
          <cell r="C1193" t="str">
            <v>西王娘娘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不明</v>
          </cell>
          <cell r="H1193" t="str">
            <v>green</v>
          </cell>
          <cell r="I1193">
            <v>6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8011</v>
          </cell>
          <cell r="B1194" t="str">
            <v>ja</v>
          </cell>
          <cell r="C1194" t="str">
            <v>月下老人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5</v>
          </cell>
          <cell r="J1194" t="str">
            <v>DropWizS</v>
          </cell>
          <cell r="K1194" t="str">
            <v>balance</v>
          </cell>
          <cell r="L1194" t="str">
            <v>バランスタイプ</v>
          </cell>
          <cell r="M1194" t="str">
            <v>god</v>
          </cell>
        </row>
        <row r="1195">
          <cell r="A1195">
            <v>8012</v>
          </cell>
          <cell r="B1195" t="str">
            <v>ja</v>
          </cell>
          <cell r="C1195" t="str">
            <v>良緣祈福 月下老人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6</v>
          </cell>
          <cell r="J1195" t="str">
            <v>DropWizS</v>
          </cell>
          <cell r="K1195" t="str">
            <v>balance</v>
          </cell>
          <cell r="L1195" t="str">
            <v>バランスタイプ</v>
          </cell>
          <cell r="M1195" t="str">
            <v>god</v>
          </cell>
        </row>
        <row r="1196">
          <cell r="A1196">
            <v>8013</v>
          </cell>
          <cell r="B1196" t="str">
            <v>ja</v>
          </cell>
          <cell r="C1196" t="str">
            <v>初音ミクV3</v>
          </cell>
          <cell r="D1196" t="str">
            <v>初音ミクV3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yellow</v>
          </cell>
          <cell r="I1196">
            <v>4</v>
          </cell>
          <cell r="J1196" t="str">
            <v>DropWizS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8014</v>
          </cell>
          <cell r="B1197" t="str">
            <v>ja</v>
          </cell>
          <cell r="C1197" t="str">
            <v>初音ミクV3</v>
          </cell>
          <cell r="D1197" t="str">
            <v>初音ミクV3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yellow</v>
          </cell>
          <cell r="I1197">
            <v>5</v>
          </cell>
          <cell r="J1197" t="str">
            <v>DropWizS</v>
          </cell>
          <cell r="K1197" t="str">
            <v>balance</v>
          </cell>
          <cell r="L1197" t="str">
            <v>バランスタイプ</v>
          </cell>
          <cell r="M1197" t="str">
            <v>unknown</v>
          </cell>
        </row>
        <row r="1198">
          <cell r="A1198">
            <v>8015</v>
          </cell>
          <cell r="B1198" t="str">
            <v>ja</v>
          </cell>
          <cell r="C1198" t="str">
            <v>初音ミク・アペンド</v>
          </cell>
          <cell r="D1198" t="str">
            <v>初音ミク・アペンド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green</v>
          </cell>
          <cell r="I1198">
            <v>4</v>
          </cell>
          <cell r="J1198" t="str">
            <v>PremiumSSS</v>
          </cell>
          <cell r="K1198" t="str">
            <v>technical</v>
          </cell>
          <cell r="L1198" t="str">
            <v>テクニカルタイプ</v>
          </cell>
          <cell r="M1198" t="str">
            <v>unknown</v>
          </cell>
        </row>
        <row r="1199">
          <cell r="A1199">
            <v>8016</v>
          </cell>
          <cell r="B1199" t="str">
            <v>ja</v>
          </cell>
          <cell r="C1199" t="str">
            <v>初音ミク・アペンド</v>
          </cell>
          <cell r="D1199" t="str">
            <v>初音ミク・アペンド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green</v>
          </cell>
          <cell r="I1199">
            <v>5</v>
          </cell>
          <cell r="J1199" t="str">
            <v>PremiumSSS</v>
          </cell>
          <cell r="K1199" t="str">
            <v>technical</v>
          </cell>
          <cell r="L1199" t="str">
            <v>テクニカルタイプ</v>
          </cell>
          <cell r="M1199" t="str">
            <v>unknown</v>
          </cell>
        </row>
        <row r="1200">
          <cell r="A1200">
            <v>8017</v>
          </cell>
          <cell r="B1200" t="str">
            <v>ja</v>
          </cell>
          <cell r="C1200" t="str">
            <v>初音ミク</v>
          </cell>
          <cell r="D1200" t="str">
            <v>初音ミク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4</v>
          </cell>
          <cell r="J1200" t="str">
            <v>PremiumSSS</v>
          </cell>
          <cell r="K1200" t="str">
            <v>balance</v>
          </cell>
          <cell r="L1200" t="str">
            <v>バランスタイプ</v>
          </cell>
          <cell r="M1200" t="str">
            <v>unknown</v>
          </cell>
        </row>
        <row r="1201">
          <cell r="A1201">
            <v>8018</v>
          </cell>
          <cell r="B1201" t="str">
            <v>ja</v>
          </cell>
          <cell r="C1201" t="str">
            <v>初音ミク</v>
          </cell>
          <cell r="D1201" t="str">
            <v>初音ミク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5</v>
          </cell>
          <cell r="J1201" t="str">
            <v>PremiumSSS</v>
          </cell>
          <cell r="K1201" t="str">
            <v>balance</v>
          </cell>
          <cell r="L1201" t="str">
            <v>バランスタイプ</v>
          </cell>
          <cell r="M1201" t="str">
            <v>unknown</v>
          </cell>
        </row>
        <row r="1202">
          <cell r="A1202">
            <v>8019</v>
          </cell>
          <cell r="B1202" t="str">
            <v>ja</v>
          </cell>
          <cell r="C1202" t="str">
            <v>鏡音リン</v>
          </cell>
          <cell r="D1202" t="str">
            <v>鏡音リン</v>
          </cell>
          <cell r="E1202" t="str">
            <v>執行者</v>
          </cell>
          <cell r="F1202" t="str">
            <v>格好いい</v>
          </cell>
          <cell r="G1202" t="str">
            <v>男性</v>
          </cell>
          <cell r="H1202" t="str">
            <v>yellow</v>
          </cell>
          <cell r="I1202">
            <v>4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unknown</v>
          </cell>
        </row>
        <row r="1203">
          <cell r="A1203">
            <v>8020</v>
          </cell>
          <cell r="B1203" t="str">
            <v>ja</v>
          </cell>
          <cell r="C1203" t="str">
            <v>鏡音リン</v>
          </cell>
          <cell r="D1203" t="str">
            <v>鏡音リン</v>
          </cell>
          <cell r="E1203" t="str">
            <v>執行者</v>
          </cell>
          <cell r="F1203" t="str">
            <v>格好いい</v>
          </cell>
          <cell r="G1203" t="str">
            <v>男性</v>
          </cell>
          <cell r="H1203" t="str">
            <v>yellow</v>
          </cell>
          <cell r="I1203">
            <v>5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unknown</v>
          </cell>
        </row>
        <row r="1204">
          <cell r="A1204">
            <v>8021</v>
          </cell>
          <cell r="B1204" t="str">
            <v>ja</v>
          </cell>
          <cell r="C1204" t="str">
            <v>鏡音レン</v>
          </cell>
          <cell r="D1204" t="str">
            <v>鏡音レン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4</v>
          </cell>
          <cell r="J1204" t="str">
            <v>PremiumSS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8022</v>
          </cell>
          <cell r="B1205" t="str">
            <v>ja</v>
          </cell>
          <cell r="C1205" t="str">
            <v>鏡音レン</v>
          </cell>
          <cell r="D1205" t="str">
            <v>鏡音レン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5</v>
          </cell>
          <cell r="J1205" t="str">
            <v>PremiumSS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8023</v>
          </cell>
          <cell r="B1206" t="str">
            <v>ja</v>
          </cell>
          <cell r="C1206" t="str">
            <v>巡音ルカ</v>
          </cell>
          <cell r="D1206" t="str">
            <v>巡音ルカ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red</v>
          </cell>
          <cell r="I1206">
            <v>3</v>
          </cell>
          <cell r="J1206" t="str">
            <v>PremiumS</v>
          </cell>
          <cell r="K1206" t="str">
            <v>attack</v>
          </cell>
          <cell r="L1206" t="str">
            <v>攻撃タイプ</v>
          </cell>
          <cell r="M1206" t="str">
            <v>unknown</v>
          </cell>
        </row>
        <row r="1207">
          <cell r="A1207">
            <v>8024</v>
          </cell>
          <cell r="B1207" t="str">
            <v>ja</v>
          </cell>
          <cell r="C1207" t="str">
            <v>巡音ルカ</v>
          </cell>
          <cell r="D1207" t="str">
            <v>巡音ルカ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red</v>
          </cell>
          <cell r="I1207">
            <v>4</v>
          </cell>
          <cell r="J1207" t="str">
            <v>PremiumS</v>
          </cell>
          <cell r="K1207" t="str">
            <v>attack</v>
          </cell>
          <cell r="L1207" t="str">
            <v>攻撃タイプ</v>
          </cell>
          <cell r="M1207" t="str">
            <v>unknown</v>
          </cell>
        </row>
        <row r="1208">
          <cell r="A1208">
            <v>8025</v>
          </cell>
          <cell r="B1208" t="str">
            <v>ja</v>
          </cell>
          <cell r="C1208" t="str">
            <v>MEIKO</v>
          </cell>
          <cell r="D1208" t="str">
            <v>MEIKO</v>
          </cell>
          <cell r="E1208" t="str">
            <v>執行者</v>
          </cell>
          <cell r="F1208" t="str">
            <v>格好いい</v>
          </cell>
          <cell r="G1208" t="str">
            <v>男性</v>
          </cell>
          <cell r="H1208" t="str">
            <v>red</v>
          </cell>
          <cell r="I1208">
            <v>3</v>
          </cell>
          <cell r="J1208" t="str">
            <v>PremiumS</v>
          </cell>
          <cell r="K1208" t="str">
            <v>hp</v>
          </cell>
          <cell r="L1208" t="str">
            <v>体力タイプ</v>
          </cell>
          <cell r="M1208" t="str">
            <v>unknown</v>
          </cell>
        </row>
        <row r="1209">
          <cell r="A1209">
            <v>8026</v>
          </cell>
          <cell r="B1209" t="str">
            <v>ja</v>
          </cell>
          <cell r="C1209" t="str">
            <v>MEIKO</v>
          </cell>
          <cell r="D1209" t="str">
            <v>MEIKO</v>
          </cell>
          <cell r="E1209" t="str">
            <v>執行者</v>
          </cell>
          <cell r="F1209" t="str">
            <v>格好いい</v>
          </cell>
          <cell r="G1209" t="str">
            <v>男性</v>
          </cell>
          <cell r="H1209" t="str">
            <v>red</v>
          </cell>
          <cell r="I1209">
            <v>4</v>
          </cell>
          <cell r="J1209" t="str">
            <v>PremiumS</v>
          </cell>
          <cell r="K1209" t="str">
            <v>hp</v>
          </cell>
          <cell r="L1209" t="str">
            <v>体力タイプ</v>
          </cell>
          <cell r="M1209" t="str">
            <v>unknown</v>
          </cell>
        </row>
        <row r="1210">
          <cell r="A1210">
            <v>8027</v>
          </cell>
          <cell r="B1210" t="str">
            <v>ja</v>
          </cell>
          <cell r="C1210" t="str">
            <v>KAITO</v>
          </cell>
          <cell r="D1210" t="str">
            <v>KAITO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blue</v>
          </cell>
          <cell r="I1210">
            <v>3</v>
          </cell>
          <cell r="J1210" t="str">
            <v>PremiumS</v>
          </cell>
          <cell r="K1210" t="str">
            <v>technical</v>
          </cell>
          <cell r="L1210" t="str">
            <v>テクニカルタイプ</v>
          </cell>
          <cell r="M1210" t="str">
            <v>unknown</v>
          </cell>
        </row>
        <row r="1211">
          <cell r="A1211">
            <v>8028</v>
          </cell>
          <cell r="B1211" t="str">
            <v>ja</v>
          </cell>
          <cell r="C1211" t="str">
            <v>KAITO</v>
          </cell>
          <cell r="D1211" t="str">
            <v>KAITO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blue</v>
          </cell>
          <cell r="I1211">
            <v>4</v>
          </cell>
          <cell r="J1211" t="str">
            <v>PremiumS</v>
          </cell>
          <cell r="K1211" t="str">
            <v>technical</v>
          </cell>
          <cell r="L1211" t="str">
            <v>テクニカルタイプ</v>
          </cell>
          <cell r="M1211" t="str">
            <v>unknown</v>
          </cell>
        </row>
        <row r="1212">
          <cell r="A1212">
            <v>8029</v>
          </cell>
          <cell r="B1212" t="str">
            <v>ja</v>
          </cell>
          <cell r="C1212" t="str">
            <v>Expoミク</v>
          </cell>
          <cell r="D1212" t="str">
            <v>Expoミク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4</v>
          </cell>
          <cell r="J1212" t="str">
            <v>Drop2N</v>
          </cell>
          <cell r="K1212" t="str">
            <v>heal</v>
          </cell>
          <cell r="L1212" t="str">
            <v>回復タイプ</v>
          </cell>
          <cell r="M1212" t="str">
            <v>unknown</v>
          </cell>
        </row>
        <row r="1213">
          <cell r="A1213">
            <v>8030</v>
          </cell>
          <cell r="B1213" t="str">
            <v>ja</v>
          </cell>
          <cell r="C1213" t="str">
            <v>Expoミク</v>
          </cell>
          <cell r="D1213" t="str">
            <v>Expoミク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4</v>
          </cell>
          <cell r="J1213" t="str">
            <v>Drop2N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8031</v>
          </cell>
          <cell r="B1214" t="str">
            <v>ja</v>
          </cell>
          <cell r="C1214" t="str">
            <v>閻羅王</v>
          </cell>
          <cell r="D1214" t="str">
            <v>Expoミク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5</v>
          </cell>
          <cell r="J1214" t="str">
            <v>PremiumSS</v>
          </cell>
          <cell r="K1214" t="str">
            <v>balance</v>
          </cell>
          <cell r="L1214" t="str">
            <v>バランスタイプ</v>
          </cell>
          <cell r="M1214" t="str">
            <v>god</v>
          </cell>
        </row>
        <row r="1215">
          <cell r="A1215">
            <v>8032</v>
          </cell>
          <cell r="B1215" t="str">
            <v>ja</v>
          </cell>
          <cell r="C1215" t="str">
            <v>十殿閻羅王</v>
          </cell>
          <cell r="D1215" t="str">
            <v>Expoミク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6</v>
          </cell>
          <cell r="J1215" t="str">
            <v>PremiumSS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8033</v>
          </cell>
          <cell r="B1216" t="str">
            <v>ja</v>
          </cell>
          <cell r="C1216" t="str">
            <v>牛頭馬面</v>
          </cell>
          <cell r="D1216" t="str">
            <v>Expoミク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green</v>
          </cell>
          <cell r="I1216">
            <v>5</v>
          </cell>
          <cell r="J1216" t="str">
            <v>DropWizS</v>
          </cell>
          <cell r="K1216" t="str">
            <v>attack</v>
          </cell>
          <cell r="L1216" t="str">
            <v>攻撃タイプ</v>
          </cell>
          <cell r="M1216" t="str">
            <v>god</v>
          </cell>
        </row>
        <row r="1217">
          <cell r="A1217">
            <v>8034</v>
          </cell>
          <cell r="B1217" t="str">
            <v>ja</v>
          </cell>
          <cell r="C1217" t="str">
            <v>牛頭馬面</v>
          </cell>
          <cell r="D1217" t="str">
            <v>Expoミク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6</v>
          </cell>
          <cell r="J1217" t="str">
            <v>DropWizS</v>
          </cell>
          <cell r="K1217" t="str">
            <v>attack</v>
          </cell>
          <cell r="L1217" t="str">
            <v>攻撃タイプ</v>
          </cell>
          <cell r="M1217" t="str">
            <v>god</v>
          </cell>
        </row>
        <row r="1218">
          <cell r="A1218">
            <v>8035</v>
          </cell>
          <cell r="B1218" t="str">
            <v>ja</v>
          </cell>
          <cell r="C1218" t="str">
            <v>嫦娥</v>
          </cell>
          <cell r="D1218" t="str">
            <v>Expoミク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blue</v>
          </cell>
          <cell r="I1218">
            <v>4</v>
          </cell>
          <cell r="J1218" t="str">
            <v>Drop2N</v>
          </cell>
          <cell r="K1218" t="str">
            <v>heal</v>
          </cell>
          <cell r="L1218" t="str">
            <v>回復タイプ</v>
          </cell>
          <cell r="M1218" t="str">
            <v>unknown</v>
          </cell>
        </row>
        <row r="1219">
          <cell r="A1219">
            <v>8036</v>
          </cell>
          <cell r="B1219" t="str">
            <v>ja</v>
          </cell>
          <cell r="C1219" t="str">
            <v>嫦娥</v>
          </cell>
          <cell r="D1219" t="str">
            <v>Expoミク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4</v>
          </cell>
          <cell r="J1219" t="str">
            <v>Drop2N</v>
          </cell>
          <cell r="K1219" t="str">
            <v>heal</v>
          </cell>
          <cell r="L1219" t="str">
            <v>回復タイプ</v>
          </cell>
          <cell r="M1219" t="str">
            <v>unknown</v>
          </cell>
        </row>
        <row r="1220">
          <cell r="A1220">
            <v>8037</v>
          </cell>
          <cell r="B1220" t="str">
            <v>ja</v>
          </cell>
          <cell r="C1220" t="str">
            <v>后羿</v>
          </cell>
          <cell r="D1220" t="str">
            <v>Expoミク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Drop2N</v>
          </cell>
          <cell r="K1220" t="str">
            <v>heal</v>
          </cell>
          <cell r="L1220" t="str">
            <v>回復タイプ</v>
          </cell>
          <cell r="M1220" t="str">
            <v>unknown</v>
          </cell>
        </row>
        <row r="1221">
          <cell r="A1221">
            <v>8038</v>
          </cell>
          <cell r="B1221" t="str">
            <v>ja</v>
          </cell>
          <cell r="C1221" t="str">
            <v>后羿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8039</v>
          </cell>
          <cell r="B1222" t="str">
            <v>ja</v>
          </cell>
          <cell r="C1222" t="str">
            <v>何仙姑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8040</v>
          </cell>
          <cell r="B1223" t="str">
            <v>ja</v>
          </cell>
          <cell r="C1223" t="str">
            <v>何仙姑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4</v>
          </cell>
          <cell r="J1223" t="str">
            <v>Drop2N</v>
          </cell>
          <cell r="K1223" t="str">
            <v>heal</v>
          </cell>
          <cell r="L1223" t="str">
            <v>回復タイプ</v>
          </cell>
          <cell r="M1223" t="str">
            <v>unknown</v>
          </cell>
        </row>
        <row r="1224">
          <cell r="A1224">
            <v>8041</v>
          </cell>
          <cell r="B1224" t="str">
            <v>ja</v>
          </cell>
          <cell r="C1224" t="str">
            <v>藍采和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4</v>
          </cell>
          <cell r="J1224" t="str">
            <v>Drop2N</v>
          </cell>
          <cell r="K1224" t="str">
            <v>heal</v>
          </cell>
          <cell r="L1224" t="str">
            <v>回復タイプ</v>
          </cell>
          <cell r="M1224" t="str">
            <v>unknown</v>
          </cell>
        </row>
        <row r="1225">
          <cell r="A1225">
            <v>8042</v>
          </cell>
          <cell r="B1225" t="str">
            <v>ja</v>
          </cell>
          <cell r="C1225" t="str">
            <v>藍采和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blue</v>
          </cell>
          <cell r="I1225">
            <v>4</v>
          </cell>
          <cell r="J1225" t="str">
            <v>Drop2N</v>
          </cell>
          <cell r="K1225" t="str">
            <v>heal</v>
          </cell>
          <cell r="L1225" t="str">
            <v>回復タイプ</v>
          </cell>
          <cell r="M1225" t="str">
            <v>unknown</v>
          </cell>
        </row>
        <row r="1226">
          <cell r="A1226">
            <v>8043</v>
          </cell>
          <cell r="B1226" t="str">
            <v>ja</v>
          </cell>
          <cell r="C1226" t="str">
            <v>サンリオキャラ大集合+アザゼル</v>
          </cell>
          <cell r="D1226" t="str">
            <v>サンリオキャラ大集合+アザゼル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5</v>
          </cell>
          <cell r="J1226" t="str">
            <v>DropWizS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8044</v>
          </cell>
          <cell r="B1227" t="str">
            <v>ja</v>
          </cell>
          <cell r="C1227" t="str">
            <v>サンリオキャラ大集合+アザゼル</v>
          </cell>
          <cell r="D1227" t="str">
            <v>サンリオキャラ大集合+アザゼル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6</v>
          </cell>
          <cell r="J1227" t="str">
            <v>DropWizS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8045</v>
          </cell>
          <cell r="B1228" t="str">
            <v>ja</v>
          </cell>
          <cell r="C1228" t="str">
            <v>ニムダ_サンリオキャラ混じり</v>
          </cell>
          <cell r="D1228" t="str">
            <v>ニムダ_サンリオキャラ混じり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yellow</v>
          </cell>
          <cell r="I1228">
            <v>4</v>
          </cell>
          <cell r="J1228" t="str">
            <v>Drop2N</v>
          </cell>
          <cell r="K1228" t="str">
            <v>technical</v>
          </cell>
          <cell r="L1228" t="str">
            <v>テクニカルタイプ</v>
          </cell>
          <cell r="M1228" t="str">
            <v>ss</v>
          </cell>
        </row>
        <row r="1229">
          <cell r="A1229">
            <v>8046</v>
          </cell>
          <cell r="B1229" t="str">
            <v>ja</v>
          </cell>
          <cell r="C1229" t="str">
            <v>ニムダ_サンリオキャラ混じり</v>
          </cell>
          <cell r="D1229" t="str">
            <v>ニムダ_サンリオキャラ混じり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yellow</v>
          </cell>
          <cell r="I1229">
            <v>5</v>
          </cell>
          <cell r="J1229" t="str">
            <v>Drop2N</v>
          </cell>
          <cell r="K1229" t="str">
            <v>technical</v>
          </cell>
          <cell r="L1229" t="str">
            <v>テクニカルタイプ</v>
          </cell>
          <cell r="M1229" t="str">
            <v>ss</v>
          </cell>
        </row>
        <row r="1230">
          <cell r="A1230">
            <v>8047</v>
          </cell>
          <cell r="B1230" t="str">
            <v>ja</v>
          </cell>
          <cell r="C1230" t="str">
            <v>ハローキティ</v>
          </cell>
          <cell r="D1230" t="str">
            <v>ハローキティ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red</v>
          </cell>
          <cell r="I1230">
            <v>4</v>
          </cell>
          <cell r="J1230" t="str">
            <v>Drop2N</v>
          </cell>
          <cell r="K1230" t="str">
            <v>balance</v>
          </cell>
          <cell r="L1230" t="str">
            <v>バランスタイプ</v>
          </cell>
          <cell r="M1230" t="str">
            <v>ss</v>
          </cell>
        </row>
        <row r="1231">
          <cell r="A1231">
            <v>8048</v>
          </cell>
          <cell r="B1231" t="str">
            <v>ja</v>
          </cell>
          <cell r="C1231" t="str">
            <v>ハローキティ</v>
          </cell>
          <cell r="D1231" t="str">
            <v>ハローキティ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red</v>
          </cell>
          <cell r="I1231">
            <v>5</v>
          </cell>
          <cell r="J1231" t="str">
            <v>Drop2N</v>
          </cell>
          <cell r="K1231" t="str">
            <v>balance</v>
          </cell>
          <cell r="L1231" t="str">
            <v>バランスタイプ</v>
          </cell>
          <cell r="M1231" t="str">
            <v>ss</v>
          </cell>
        </row>
        <row r="1232">
          <cell r="A1232">
            <v>8049</v>
          </cell>
          <cell r="B1232" t="str">
            <v>ja</v>
          </cell>
          <cell r="C1232" t="str">
            <v>KIRIMIちゃん</v>
          </cell>
          <cell r="D1232" t="str">
            <v>KIRIMIちゃん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red</v>
          </cell>
          <cell r="I1232">
            <v>4</v>
          </cell>
          <cell r="J1232" t="str">
            <v>Drop2N</v>
          </cell>
          <cell r="K1232" t="str">
            <v>hp</v>
          </cell>
          <cell r="L1232" t="str">
            <v>体力タイプ</v>
          </cell>
          <cell r="M1232" t="str">
            <v>ss</v>
          </cell>
        </row>
        <row r="1233">
          <cell r="A1233">
            <v>8050</v>
          </cell>
          <cell r="B1233" t="str">
            <v>ja</v>
          </cell>
          <cell r="C1233" t="str">
            <v>KIRIMIちゃん</v>
          </cell>
          <cell r="D1233" t="str">
            <v>KIRIMIちゃん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red</v>
          </cell>
          <cell r="I1233">
            <v>5</v>
          </cell>
          <cell r="J1233" t="str">
            <v>Drop2N</v>
          </cell>
          <cell r="K1233" t="str">
            <v>hp</v>
          </cell>
          <cell r="L1233" t="str">
            <v>体力タイプ</v>
          </cell>
          <cell r="M1233" t="str">
            <v>ss</v>
          </cell>
        </row>
        <row r="1234">
          <cell r="A1234">
            <v>8051</v>
          </cell>
          <cell r="B1234" t="str">
            <v>ja</v>
          </cell>
          <cell r="C1234" t="str">
            <v>ハローキティのリボン</v>
          </cell>
          <cell r="D1234" t="str">
            <v>ハローキティのリボン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red</v>
          </cell>
          <cell r="I1234">
            <v>5</v>
          </cell>
          <cell r="J1234" t="str">
            <v>Drop2N</v>
          </cell>
          <cell r="K1234" t="str">
            <v>evolution</v>
          </cell>
          <cell r="L1234" t="str">
            <v>覚醒素材タイプ</v>
          </cell>
          <cell r="M1234" t="str">
            <v>ss</v>
          </cell>
        </row>
        <row r="1235">
          <cell r="A1235">
            <v>8052</v>
          </cell>
          <cell r="B1235" t="str">
            <v>ja</v>
          </cell>
          <cell r="C1235" t="str">
            <v>ママの作ったアップルパイ</v>
          </cell>
          <cell r="D1235" t="str">
            <v>ママの作ったアップルパイ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4</v>
          </cell>
          <cell r="J1235" t="str">
            <v>Drop2N</v>
          </cell>
          <cell r="K1235" t="str">
            <v>evolution</v>
          </cell>
          <cell r="L1235" t="str">
            <v>覚醒素材タイプ</v>
          </cell>
          <cell r="M1235" t="str">
            <v>ss</v>
          </cell>
        </row>
        <row r="1236">
          <cell r="A1236">
            <v>8053</v>
          </cell>
          <cell r="B1236" t="str">
            <v>ja</v>
          </cell>
          <cell r="C1236" t="str">
            <v>D.R.T.H__キティコスプレ</v>
          </cell>
          <cell r="D1236" t="str">
            <v>D.R.T.H__キティコスプレ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5</v>
          </cell>
          <cell r="J1236" t="str">
            <v>PremiumSS</v>
          </cell>
          <cell r="K1236" t="str">
            <v>balance</v>
          </cell>
          <cell r="L1236" t="str">
            <v>バランスタイプ</v>
          </cell>
          <cell r="M1236" t="str">
            <v>ss</v>
          </cell>
        </row>
        <row r="1237">
          <cell r="A1237">
            <v>8054</v>
          </cell>
          <cell r="B1237" t="str">
            <v>ja</v>
          </cell>
          <cell r="C1237" t="str">
            <v>D.R.T.H__キティコスプレ</v>
          </cell>
          <cell r="D1237" t="str">
            <v>D.R.T.H__キティコスプレ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red</v>
          </cell>
          <cell r="I1237">
            <v>6</v>
          </cell>
          <cell r="J1237" t="str">
            <v>PremiumSS</v>
          </cell>
          <cell r="K1237" t="str">
            <v>balance</v>
          </cell>
          <cell r="L1237" t="str">
            <v>バランスタイプ</v>
          </cell>
          <cell r="M1237" t="str">
            <v>ss</v>
          </cell>
        </row>
        <row r="1238">
          <cell r="A1238">
            <v>8055</v>
          </cell>
          <cell r="B1238" t="str">
            <v>ja</v>
          </cell>
          <cell r="C1238" t="str">
            <v>マイメロディ</v>
          </cell>
          <cell r="D1238" t="str">
            <v>マイメロディ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red</v>
          </cell>
          <cell r="I1238">
            <v>4</v>
          </cell>
          <cell r="J1238" t="str">
            <v>PremiumS</v>
          </cell>
          <cell r="K1238" t="str">
            <v>attack</v>
          </cell>
          <cell r="L1238" t="str">
            <v>攻撃タイプ</v>
          </cell>
          <cell r="M1238" t="str">
            <v>ss</v>
          </cell>
        </row>
        <row r="1239">
          <cell r="A1239">
            <v>8056</v>
          </cell>
          <cell r="B1239" t="str">
            <v>ja</v>
          </cell>
          <cell r="C1239" t="str">
            <v>マイメロディ</v>
          </cell>
          <cell r="D1239" t="str">
            <v>マイメロディ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5</v>
          </cell>
          <cell r="J1239" t="str">
            <v>PremiumS</v>
          </cell>
          <cell r="K1239" t="str">
            <v>attack</v>
          </cell>
          <cell r="L1239" t="str">
            <v>攻撃タイプ</v>
          </cell>
          <cell r="M1239" t="str">
            <v>ss</v>
          </cell>
        </row>
        <row r="1240">
          <cell r="A1240">
            <v>8057</v>
          </cell>
          <cell r="B1240" t="str">
            <v>ja</v>
          </cell>
          <cell r="C1240" t="str">
            <v>ニーベルゲン_シナモロールコスプレ</v>
          </cell>
          <cell r="D1240" t="str">
            <v>ニーベルゲン_シナモロールコスプレ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green</v>
          </cell>
          <cell r="I1240">
            <v>4</v>
          </cell>
          <cell r="J1240" t="str">
            <v>PremiumS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8058</v>
          </cell>
          <cell r="B1241" t="str">
            <v>ja</v>
          </cell>
          <cell r="C1241" t="str">
            <v>ニーベルゲン_シナモロールコスプレ</v>
          </cell>
          <cell r="D1241" t="str">
            <v>ニーベルゲン_シナモロールコスプレ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green</v>
          </cell>
          <cell r="I1241">
            <v>5</v>
          </cell>
          <cell r="J1241" t="str">
            <v>PremiumS</v>
          </cell>
          <cell r="K1241" t="str">
            <v>balance</v>
          </cell>
          <cell r="L1241" t="str">
            <v>バランスタイプ</v>
          </cell>
          <cell r="M1241" t="str">
            <v>ss</v>
          </cell>
        </row>
        <row r="1242">
          <cell r="A1242">
            <v>8059</v>
          </cell>
          <cell r="B1242" t="str">
            <v>ja</v>
          </cell>
          <cell r="C1242" t="str">
            <v>カカシ_マイメロディコスプレ</v>
          </cell>
          <cell r="D1242" t="str">
            <v>カカシ_マイメロディコスプレ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green</v>
          </cell>
          <cell r="I1242">
            <v>4</v>
          </cell>
          <cell r="J1242" t="str">
            <v>PremiumS</v>
          </cell>
          <cell r="K1242" t="str">
            <v>technical</v>
          </cell>
          <cell r="L1242" t="str">
            <v>テクニカルタイプ</v>
          </cell>
          <cell r="M1242" t="str">
            <v>ss</v>
          </cell>
        </row>
        <row r="1243">
          <cell r="A1243">
            <v>8060</v>
          </cell>
          <cell r="B1243" t="str">
            <v>ja</v>
          </cell>
          <cell r="C1243" t="str">
            <v>カカシ_マイメロディコスプレ</v>
          </cell>
          <cell r="D1243" t="str">
            <v>カカシ_マイメロディコスプレ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green</v>
          </cell>
          <cell r="I1243">
            <v>5</v>
          </cell>
          <cell r="J1243" t="str">
            <v>PremiumS</v>
          </cell>
          <cell r="K1243" t="str">
            <v>technical</v>
          </cell>
          <cell r="L1243" t="str">
            <v>テクニカルタイプ</v>
          </cell>
          <cell r="M1243" t="str">
            <v>ss</v>
          </cell>
        </row>
        <row r="1244">
          <cell r="A1244">
            <v>8061</v>
          </cell>
          <cell r="B1244" t="str">
            <v>ja</v>
          </cell>
          <cell r="C1244" t="str">
            <v>ケロケロけろっぴ</v>
          </cell>
          <cell r="D1244" t="str">
            <v>ケロケロけろっぴ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green</v>
          </cell>
          <cell r="I1244">
            <v>3</v>
          </cell>
          <cell r="J1244" t="str">
            <v>PremiumS</v>
          </cell>
          <cell r="K1244" t="str">
            <v>balance</v>
          </cell>
          <cell r="L1244" t="str">
            <v>バランスタイプ</v>
          </cell>
          <cell r="M1244" t="str">
            <v>ss</v>
          </cell>
        </row>
        <row r="1245">
          <cell r="A1245">
            <v>8062</v>
          </cell>
          <cell r="B1245" t="str">
            <v>ja</v>
          </cell>
          <cell r="C1245" t="str">
            <v>ケロケロけろっぴ</v>
          </cell>
          <cell r="D1245" t="str">
            <v>ケロケロけろっぴ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green</v>
          </cell>
          <cell r="I1245">
            <v>4</v>
          </cell>
          <cell r="J1245" t="str">
            <v>PremiumS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8063</v>
          </cell>
          <cell r="B1246" t="str">
            <v>ja</v>
          </cell>
          <cell r="C1246" t="str">
            <v>モルドレッド_ポムポムプリンコスプレ</v>
          </cell>
          <cell r="D1246" t="str">
            <v>モルドレッド_ポムポムプリンコスプレ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blue</v>
          </cell>
          <cell r="I1246">
            <v>5</v>
          </cell>
          <cell r="J1246" t="str">
            <v>PremiumSS</v>
          </cell>
          <cell r="K1246" t="str">
            <v>heal</v>
          </cell>
          <cell r="L1246" t="str">
            <v>回復タイプ</v>
          </cell>
          <cell r="M1246" t="str">
            <v>ss</v>
          </cell>
        </row>
        <row r="1247">
          <cell r="A1247">
            <v>8064</v>
          </cell>
          <cell r="B1247" t="str">
            <v>ja</v>
          </cell>
          <cell r="C1247" t="str">
            <v>モルドレッド_ポムポムプリンコスプレ</v>
          </cell>
          <cell r="D1247" t="str">
            <v>モルドレッド_ポムポムプリンコスプレ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blue</v>
          </cell>
          <cell r="I1247">
            <v>6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ss</v>
          </cell>
        </row>
        <row r="1248">
          <cell r="A1248">
            <v>8065</v>
          </cell>
          <cell r="B1248" t="str">
            <v>ja</v>
          </cell>
          <cell r="C1248" t="str">
            <v>クロミ</v>
          </cell>
          <cell r="D1248" t="str">
            <v>クロミ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blue</v>
          </cell>
          <cell r="I1248">
            <v>3</v>
          </cell>
          <cell r="J1248" t="str">
            <v>PremiumS</v>
          </cell>
          <cell r="K1248" t="str">
            <v>technical</v>
          </cell>
          <cell r="L1248" t="str">
            <v>テクニカルタイプ</v>
          </cell>
          <cell r="M1248" t="str">
            <v>ss</v>
          </cell>
        </row>
        <row r="1249">
          <cell r="A1249">
            <v>8066</v>
          </cell>
          <cell r="B1249" t="str">
            <v>ja</v>
          </cell>
          <cell r="C1249" t="str">
            <v>クロミ</v>
          </cell>
          <cell r="D1249" t="str">
            <v>クロミ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technical</v>
          </cell>
          <cell r="L1249" t="str">
            <v>テクニカルタイプ</v>
          </cell>
          <cell r="M1249" t="str">
            <v>ss</v>
          </cell>
        </row>
        <row r="1250">
          <cell r="A1250">
            <v>8067</v>
          </cell>
          <cell r="B1250" t="str">
            <v>ja</v>
          </cell>
          <cell r="C1250" t="str">
            <v>バッドばつ丸</v>
          </cell>
          <cell r="D1250" t="str">
            <v>バッドばつ丸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blue</v>
          </cell>
          <cell r="I1250">
            <v>3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ss</v>
          </cell>
        </row>
        <row r="1251">
          <cell r="A1251">
            <v>8068</v>
          </cell>
          <cell r="B1251" t="str">
            <v>ja</v>
          </cell>
          <cell r="C1251" t="str">
            <v>バッドばつ丸</v>
          </cell>
          <cell r="D1251" t="str">
            <v>バッドばつ丸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blue</v>
          </cell>
          <cell r="I1251">
            <v>4</v>
          </cell>
          <cell r="J1251" t="str">
            <v>PremiumS</v>
          </cell>
          <cell r="K1251" t="str">
            <v>attack</v>
          </cell>
          <cell r="L1251" t="str">
            <v>攻撃タイプ</v>
          </cell>
          <cell r="M1251" t="str">
            <v>ss</v>
          </cell>
        </row>
        <row r="1252">
          <cell r="A1252">
            <v>8069</v>
          </cell>
          <cell r="B1252" t="str">
            <v>ja</v>
          </cell>
          <cell r="C1252" t="str">
            <v>シナモロール</v>
          </cell>
          <cell r="D1252" t="str">
            <v>シナモロール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yellow</v>
          </cell>
          <cell r="I1252">
            <v>4</v>
          </cell>
          <cell r="J1252" t="str">
            <v>PremiumS</v>
          </cell>
          <cell r="K1252" t="str">
            <v>heal</v>
          </cell>
          <cell r="L1252" t="str">
            <v>回復タイプ</v>
          </cell>
          <cell r="M1252" t="str">
            <v>ss</v>
          </cell>
        </row>
        <row r="1253">
          <cell r="A1253">
            <v>8070</v>
          </cell>
          <cell r="B1253" t="str">
            <v>ja</v>
          </cell>
          <cell r="C1253" t="str">
            <v>シナモロール</v>
          </cell>
          <cell r="D1253" t="str">
            <v>シナモロール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yellow</v>
          </cell>
          <cell r="I1253">
            <v>5</v>
          </cell>
          <cell r="J1253" t="str">
            <v>PremiumS</v>
          </cell>
          <cell r="K1253" t="str">
            <v>heal</v>
          </cell>
          <cell r="L1253" t="str">
            <v>回復タイプ</v>
          </cell>
          <cell r="M1253" t="str">
            <v>ss</v>
          </cell>
        </row>
        <row r="1254">
          <cell r="A1254">
            <v>8071</v>
          </cell>
          <cell r="B1254" t="str">
            <v>ja</v>
          </cell>
          <cell r="C1254" t="str">
            <v>ポムポムプリン</v>
          </cell>
          <cell r="D1254" t="str">
            <v>ポムポムプリン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yellow</v>
          </cell>
          <cell r="I1254">
            <v>3</v>
          </cell>
          <cell r="J1254" t="str">
            <v>PremiumS</v>
          </cell>
          <cell r="K1254" t="str">
            <v>hp</v>
          </cell>
          <cell r="L1254" t="str">
            <v>体力タイプ</v>
          </cell>
          <cell r="M1254" t="str">
            <v>ss</v>
          </cell>
        </row>
        <row r="1255">
          <cell r="A1255">
            <v>8072</v>
          </cell>
          <cell r="B1255" t="str">
            <v>ja</v>
          </cell>
          <cell r="C1255" t="str">
            <v>ポムポムプリン</v>
          </cell>
          <cell r="D1255" t="str">
            <v>ポムポムプリン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yellow</v>
          </cell>
          <cell r="I1255">
            <v>4</v>
          </cell>
          <cell r="J1255" t="str">
            <v>PremiumS</v>
          </cell>
          <cell r="K1255" t="str">
            <v>hp</v>
          </cell>
          <cell r="L1255" t="str">
            <v>体力タイプ</v>
          </cell>
          <cell r="M1255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2" t="s">
        <v>209</v>
      </c>
      <c r="B3" s="78" t="s">
        <v>197</v>
      </c>
      <c r="C3" s="47" t="str">
        <f>RIGHT(F3,7)</f>
        <v>7118100</v>
      </c>
      <c r="D3" s="16" t="s">
        <v>32</v>
      </c>
      <c r="E3" s="14" t="str">
        <f t="shared" ref="E3" si="1">B3&amp;C3&amp;D3</f>
        <v>gacha_settle_tables_7118100.tmp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29" sqref="B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7118100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VLOOKUP(L3,tables_settle_7118100!B:C,2,FALSE)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VLOOKUP(L4,tables_settle_7118100!B:C,2,FALSE)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5.9999999999999995E-4</v>
      </c>
      <c r="F5">
        <f>(COUNTIF(tables_settle_7118100!C:C,input_settle_7118100!A26)+COUNTIF(tables_settle_7118100!C:C,input_settle_7118100!A28)+COUNTIF(tables_settle_7118100!C:C,input_settle_7118100!A29))</f>
        <v>50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VLOOKUP(L5,tables_settle_7118100!B:C,2,FALSE)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(COUNTIF(tables_settle_7118100!C:C,input_settle_7118100!A18)+COUNTIF(tables_settle_7118100!C:C,input_settle_7118100!A20)+COUNTIF(tables_settle_7118100!C:C,input_settle_7118100!A22))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VLOOKUP(L6,tables_settle_7118100!B:C,2,FALSE)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VLOOKUP(L7,tables_settle_7118100!B:C,2,FALSE)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VLOOKUP(L8,tables_settle_7118100!B:C,2,FALSE)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VLOOKUP(L9,tables_settle_7118100!B:C,2,FALSE)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VLOOKUP(L10,tables_settle_7118100!B:C,2,FALSE)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VLOOKUP(L11,tables_settle_7118100!B:C,2,FALSE)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VLOOKUP(L12,tables_settle_7118100!B:C,2,FALSE)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VLOOKUP(L13,tables_settle_7118100!B:C,2,FALSE)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VLOOKUP(L14,tables_settle_7118100!B:C,2,FALSE)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VLOOKUP(L15,tables_settle_7118100!B:C,2,FALSE)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VLOOKUP(L16,tables_settle_7118100!B:C,2,FALSE)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COUNTIF(tables_settle_7118100!C:C,input_settle_7118100!A17)-COUNTIF(Q:Q,A17)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VLOOKUP(L17,tables_settle_7118100!B:C,2,FALSE)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COUNTIF(tables_settle_7118100!C:C,input_settle_7118100!A18)-COUNTIF(Q:Q,A18)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VLOOKUP(L18,tables_settle_7118100!B:C,2,FALSE)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COUNTIF(tables_settle_7118100!C:C,input_settle_7118100!A19)-COUNTIF(Q:Q,A19)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VLOOKUP(L19,tables_settle_7118100!B:C,2,FALSE)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COUNTIF(tables_settle_7118100!C:C,input_settle_7118100!A20)-COUNTIF(Q:Q,A20)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VLOOKUP(L20,tables_settle_7118100!B:C,2,FALSE)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COUNTIF(tables_settle_7118100!C:C,input_settle_7118100!A21)-COUNTIF(Q:Q,A21)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COUNTIF(tables_settle_7118100!C:C,input_settle_7118100!A22)-COUNTIF(Q:Q,A22)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3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COUNTIF(tables_settle_7118100!C:C,input_settle_7118100!A23)-COUNTIF(Q:Q,A23)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COUNTIF(tables_settle_7118100!C:C,input_settle_7118100!A24)-COUNTIF(Q:Q,A24)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COUNTIF(tables_settle_7118100!C:C,input_settle_7118100!A25)-COUNTIF(Q:Q,A25)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COUNTIF(tables_settle_7118100!C:C,input_settle_7118100!A26)-COUNTIF(Q:Q,A26)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COUNTIF(tables_settle_7118100!C:C,input_settle_7118100!A27)-COUNTIF(Q:Q,A27)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COUNTIF(tables_settle_7118100!C:C,input_settle_7118100!A28)-COUNTIF(Q:Q,A28)</f>
        <v>20</v>
      </c>
      <c r="F28" s="40">
        <f t="shared" si="7"/>
        <v>2.6249999999999997E-3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COUNTIF(tables_settle_7118100!C:C,input_settle_7118100!A29)-COUNTIF(Q:Q,A29)</f>
        <v>26</v>
      </c>
      <c r="F29" s="40">
        <f>IFERROR(B29/E29,0)</f>
        <v>1.4423076923076922E-4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COUNTIF(tables_settle_7118100!C:C,input_settle_7118100!A30)-COUNTIF(Q:Q,A30)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COUNTIF(tables_settle_7118100!C:C,input_settle_7118100!A31)-COUNTIF(Q:Q,A31)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SUMIF(tables_settle_7118100!C:C,input_settle_7118100!A40,tables_settle_7118100!O:O)</f>
        <v>0</v>
      </c>
      <c r="C40" s="49">
        <f t="shared" ref="C40:C46" si="9">B40/B$47</f>
        <v>0</v>
      </c>
      <c r="E40">
        <v>3</v>
      </c>
      <c r="F40">
        <f>SUMIF(tables_settle_7118100!J:J,input_settle_7118100!E40,tables_settle_7118100!O:O)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SUMIF(tables_settle_7118100!C:C,input_settle_7118100!A41,tables_settle_7118100!O:O)</f>
        <v>0</v>
      </c>
      <c r="C41" s="49">
        <f t="shared" si="9"/>
        <v>0</v>
      </c>
      <c r="E41">
        <v>4</v>
      </c>
      <c r="F41">
        <f>SUMIF(tables_settle_7118100!J:J,input_settle_7118100!E41,tables_settle_7118100!O:O)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SUMIF(tables_settle_7118100!C:C,input_settle_7118100!A42,tables_settle_7118100!O:O)</f>
        <v>0</v>
      </c>
      <c r="C42" s="49">
        <f t="shared" si="9"/>
        <v>0</v>
      </c>
      <c r="E42">
        <v>5</v>
      </c>
      <c r="F42">
        <f>SUMIF(tables_settle_7118100!J:J,input_settle_7118100!E42,tables_settle_7118100!O:O)</f>
        <v>500</v>
      </c>
      <c r="G42" t="e">
        <f>F42/A36</f>
        <v>#DIV/0!</v>
      </c>
    </row>
    <row r="43" spans="1:7" x14ac:dyDescent="0.15">
      <c r="A43" s="29" t="s">
        <v>86</v>
      </c>
      <c r="B43">
        <f>SUMIF(tables_settle_7118100!C:C,input_settle_7118100!A43,tables_settle_7118100!O:O)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SUMIF(tables_settle_7118100!C:C,input_settle_7118100!A44,tables_settle_7118100!O:O)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SUMIF(tables_settle_7118100!C:C,input_settle_7118100!A45,tables_settle_7118100!O:O)</f>
        <v>200</v>
      </c>
      <c r="C45" s="49">
        <f t="shared" si="9"/>
        <v>1</v>
      </c>
      <c r="E45" t="s">
        <v>183</v>
      </c>
      <c r="F45" s="50">
        <f>SUMIF(tables_settle_7118100!I:I,input_settle_7118100!E45,tables_settle_7118100!P:P)</f>
        <v>0</v>
      </c>
    </row>
    <row r="46" spans="1:7" x14ac:dyDescent="0.15">
      <c r="A46" s="29" t="s">
        <v>88</v>
      </c>
      <c r="B46">
        <f>SUMIF(tables_settle_7118100!C:C,input_settle_7118100!A46,tables_settle_7118100!O:O)</f>
        <v>0</v>
      </c>
      <c r="C46" s="49">
        <f t="shared" si="9"/>
        <v>0</v>
      </c>
      <c r="E46" t="s">
        <v>184</v>
      </c>
      <c r="F46" s="50">
        <f>SUMIF(tables_settle_7118100!I:I,input_settle_7118100!E46,tables_settle_7118100!P:P)</f>
        <v>0.06</v>
      </c>
    </row>
    <row r="47" spans="1:7" x14ac:dyDescent="0.15">
      <c r="A47" s="36" t="s">
        <v>45</v>
      </c>
      <c r="B47">
        <f>SUM(B40:B46)</f>
        <v>200</v>
      </c>
      <c r="C47" s="50">
        <f>SUM(C40:C46)</f>
        <v>1</v>
      </c>
      <c r="E47" t="s">
        <v>185</v>
      </c>
      <c r="F47" s="50">
        <f>SUMIF(tables_settle_7118100!I:I,input_settle_7118100!E47,tables_settle_7118100!P:P)</f>
        <v>0.02</v>
      </c>
    </row>
    <row r="48" spans="1:7" x14ac:dyDescent="0.15">
      <c r="E48" t="s">
        <v>186</v>
      </c>
      <c r="F48" s="50">
        <f>SUMIF(tables_settle_7118100!I:I,input_settle_7118100!E48,tables_settle_7118100!P:P)</f>
        <v>0.86000000000000043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9"/>
  <sheetViews>
    <sheetView showGridLines="0" zoomScale="75" zoomScaleNormal="75" zoomScalePageLayoutView="75" workbookViewId="0">
      <pane ySplit="1" topLeftCell="A19" activePane="bottomLeft" state="frozen"/>
      <selection activeCell="E6" sqref="E6"/>
      <selection pane="bottomLeft" activeCell="B52" sqref="B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input_settle_7118100!A$2</f>
        <v>7118100</v>
      </c>
      <c r="B2" s="6">
        <v>168</v>
      </c>
      <c r="C2" s="7" t="str">
        <f t="shared" ref="C2:C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43" si="1">O2/SUM(O:O)</f>
        <v>0.02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input_settle_7118100!A$2</f>
        <v>7118100</v>
      </c>
      <c r="B3" s="6">
        <v>171</v>
      </c>
      <c r="C3" s="7" t="str">
        <f t="shared" si="0"/>
        <v>Premium5R6release</v>
      </c>
      <c r="D3" s="7" t="str">
        <f t="shared" ref="D3:D43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1"/>
        <v>0.02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input_settle_7118100!A$2</f>
        <v>7118100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1"/>
        <v>0.02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input_settle_7118100!A$2</f>
        <v>7118100</v>
      </c>
      <c r="B5" s="5">
        <v>237</v>
      </c>
      <c r="C5" s="7" t="str">
        <f t="shared" si="0"/>
        <v>Premium5R6release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1"/>
        <v>0.02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input_settle_7118100!A$2</f>
        <v>7118100</v>
      </c>
      <c r="B6" s="55">
        <v>732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1"/>
        <v>0.02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input_settle_7118100!A$2</f>
        <v>7118100</v>
      </c>
      <c r="B7" s="55">
        <v>734</v>
      </c>
      <c r="C7" s="7" t="str">
        <f t="shared" si="0"/>
        <v>PremiumSS5R5only</v>
      </c>
      <c r="D7" s="7" t="str">
        <f t="shared" si="2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1"/>
        <v>0.02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input_settle_7118100!A$2</f>
        <v>7118100</v>
      </c>
      <c r="B8" s="55">
        <v>325</v>
      </c>
      <c r="C8" s="7" t="str">
        <f t="shared" si="0"/>
        <v>PremiumSS5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1"/>
        <v>0.02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input_settle_7118100!A$2</f>
        <v>7118100</v>
      </c>
      <c r="B9" s="55">
        <v>391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1"/>
        <v>0.02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input_settle_7118100!A$2</f>
        <v>7118100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si="2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1"/>
        <v>0.02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input_settle_7118100!A$2</f>
        <v>7118100</v>
      </c>
      <c r="B11" s="55">
        <v>850</v>
      </c>
      <c r="C11" s="7" t="str">
        <f t="shared" si="3"/>
        <v>PremiumSS5R5only</v>
      </c>
      <c r="D11" s="7" t="str">
        <f t="shared" si="2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1"/>
        <v>0.02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input_settle_7118100!A$2</f>
        <v>7118100</v>
      </c>
      <c r="B12" s="55">
        <v>404</v>
      </c>
      <c r="C12" s="7" t="str">
        <f t="shared" ref="C12:C13" si="4">D12&amp;J12&amp;E12&amp;F12&amp;G12</f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1"/>
        <v>0.02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input_settle_7118100!A$2</f>
        <v>7118100</v>
      </c>
      <c r="B13" s="55">
        <v>399</v>
      </c>
      <c r="C13" s="7" t="str">
        <f t="shared" si="4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1"/>
        <v>0.02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input_settle_7118100!A$2</f>
        <v>7118100</v>
      </c>
      <c r="B14" s="55">
        <v>866</v>
      </c>
      <c r="C14" s="7" t="str">
        <f t="shared" ref="C14:C15" si="5">D14&amp;J14&amp;E14&amp;F14&amp;G14</f>
        <v>PremiumSS5R5only</v>
      </c>
      <c r="D14" s="7" t="str">
        <f t="shared" si="2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1"/>
        <v>0.02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input_settle_7118100!A$2</f>
        <v>7118100</v>
      </c>
      <c r="B15" s="55">
        <v>868</v>
      </c>
      <c r="C15" s="7" t="str">
        <f t="shared" si="5"/>
        <v>PremiumSS5R5only</v>
      </c>
      <c r="D15" s="7" t="str">
        <f t="shared" si="2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1"/>
        <v>0.02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input_settle_7118100!A$2</f>
        <v>7118100</v>
      </c>
      <c r="B16" s="81">
        <v>435</v>
      </c>
      <c r="C16" s="7" t="str">
        <f t="shared" ref="C16:C17" si="6">D16&amp;J16&amp;E16&amp;F16&amp;G16</f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1"/>
        <v>0.02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input_settle_7118100!A$2</f>
        <v>7118100</v>
      </c>
      <c r="B17" s="81">
        <v>468</v>
      </c>
      <c r="C17" s="7" t="str">
        <f t="shared" si="6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1"/>
        <v>0.02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input_settle_7118100!A$2</f>
        <v>7118100</v>
      </c>
      <c r="B18" s="81">
        <v>493</v>
      </c>
      <c r="C18" s="7" t="str">
        <f t="shared" ref="C18:C19" si="7">D18&amp;J18&amp;E18&amp;F18&amp;G18</f>
        <v>PremiumSS5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1"/>
        <v>0.02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input_settle_7118100!A$2</f>
        <v>7118100</v>
      </c>
      <c r="B19" s="81">
        <v>495</v>
      </c>
      <c r="C19" s="7" t="str">
        <f t="shared" si="7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1"/>
        <v>0.02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input_settle_7118100!A$2</f>
        <v>7118100</v>
      </c>
      <c r="B20" s="81">
        <v>659</v>
      </c>
      <c r="C20" s="7" t="str">
        <f t="shared" ref="C20:C23" si="8">D20&amp;J20&amp;E20&amp;F20&amp;G20</f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si="1"/>
        <v>0.02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input_settle_7118100!A$2</f>
        <v>7118100</v>
      </c>
      <c r="B21" s="81">
        <v>661</v>
      </c>
      <c r="C21" s="7" t="str">
        <f t="shared" si="8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"/>
        <v>0.02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input_settle_7118100!A$2</f>
        <v>7118100</v>
      </c>
      <c r="B22" s="81">
        <v>500</v>
      </c>
      <c r="C22" s="7" t="str">
        <f t="shared" si="8"/>
        <v>PremiumSS5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"/>
        <v>0.02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input_settle_7118100!A$2</f>
        <v>7118100</v>
      </c>
      <c r="B23" s="81">
        <v>603</v>
      </c>
      <c r="C23" s="7" t="str">
        <f t="shared" si="8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"/>
        <v>0.02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input_settle_7118100!A$2</f>
        <v>7118100</v>
      </c>
      <c r="B24" s="81">
        <v>742</v>
      </c>
      <c r="C24" s="7" t="str">
        <f t="shared" ref="C24:C25" si="9">D24&amp;J24&amp;E24&amp;F24&amp;G24</f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 t="shared" si="1"/>
        <v>0.02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input_settle_7118100!A$2</f>
        <v>7118100</v>
      </c>
      <c r="B25" s="81">
        <v>744</v>
      </c>
      <c r="C25" s="7" t="str">
        <f t="shared" si="9"/>
        <v>PremiumSS5R5only</v>
      </c>
      <c r="D25" s="7" t="str">
        <f t="shared" si="2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 t="shared" si="1"/>
        <v>0.02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input_settle_7118100!A$2</f>
        <v>7118100</v>
      </c>
      <c r="B26" s="81">
        <v>937</v>
      </c>
      <c r="C26" s="7" t="str">
        <f t="shared" ref="C26:C27" si="10">D26&amp;J26&amp;E26&amp;F26&amp;G26</f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 t="shared" si="1"/>
        <v>0.02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input_settle_7118100!A$2</f>
        <v>7118100</v>
      </c>
      <c r="B27" s="81">
        <v>941</v>
      </c>
      <c r="C27" s="7" t="str">
        <f t="shared" si="10"/>
        <v>PremiumSS5R5only</v>
      </c>
      <c r="D27" s="7" t="str">
        <f t="shared" si="2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 t="shared" si="1"/>
        <v>0.02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input_settle_7118100!A$2</f>
        <v>7118100</v>
      </c>
      <c r="B28" s="81">
        <v>943</v>
      </c>
      <c r="C28" s="7" t="str">
        <f t="shared" ref="C28" si="11">D28&amp;J28&amp;E28&amp;F28&amp;G28</f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 t="shared" si="1"/>
        <v>0.02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input_settle_7118100!A$2</f>
        <v>7118100</v>
      </c>
      <c r="B29" s="81">
        <v>321</v>
      </c>
      <c r="C29" s="7" t="str">
        <f t="shared" ref="C29:C30" si="12">D29&amp;J29&amp;E29&amp;F29&amp;G29</f>
        <v>PremiumSS5</v>
      </c>
      <c r="D29" s="7" t="str">
        <f t="shared" si="2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 t="shared" si="1"/>
        <v>0.02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input_settle_7118100!A$2</f>
        <v>7118100</v>
      </c>
      <c r="B30" s="81">
        <v>466</v>
      </c>
      <c r="C30" s="7" t="str">
        <f t="shared" si="12"/>
        <v>PremiumSS5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 t="shared" si="1"/>
        <v>0.02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input_settle_7118100!A$2</f>
        <v>7118100</v>
      </c>
      <c r="B31" s="81">
        <v>1012</v>
      </c>
      <c r="C31" s="7" t="str">
        <f t="shared" ref="C31:C33" si="13">D31&amp;J31&amp;E31&amp;F31&amp;G31</f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 t="shared" si="1"/>
        <v>0.02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input_settle_7118100!A$2</f>
        <v>7118100</v>
      </c>
      <c r="B32" s="81">
        <v>1014</v>
      </c>
      <c r="C32" s="7" t="str">
        <f t="shared" si="13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 t="shared" si="1"/>
        <v>0.02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input_settle_7118100!A$2</f>
        <v>7118100</v>
      </c>
      <c r="B33" s="81">
        <v>1018</v>
      </c>
      <c r="C33" s="7" t="str">
        <f t="shared" si="13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 t="shared" si="1"/>
        <v>0.02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 t="str">
        <f ca="1">input_settle_7118100!A$2</f>
        <v>7118100</v>
      </c>
      <c r="B34" s="81">
        <v>677</v>
      </c>
      <c r="C34" s="7" t="str">
        <f t="shared" ref="C34:C35" si="14">D34&amp;J34&amp;E34&amp;F34&amp;G34</f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武遊闊歩 ヴィシュヌ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god</v>
      </c>
      <c r="N34" s="7" t="str">
        <f>VLOOKUP(B34,[1]characters!$A:$G,7,FALSE)</f>
        <v>女性</v>
      </c>
      <c r="O34" s="42">
        <v>10</v>
      </c>
      <c r="P34" s="43">
        <f t="shared" si="1"/>
        <v>0.02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 t="str">
        <f ca="1">input_settle_7118100!A$2</f>
        <v>7118100</v>
      </c>
      <c r="B35" s="81">
        <v>675</v>
      </c>
      <c r="C35" s="7" t="str">
        <f t="shared" si="14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芸楽の奔流 サラスヴァティ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女性</v>
      </c>
      <c r="O35" s="42">
        <v>10</v>
      </c>
      <c r="P35" s="43">
        <f t="shared" si="1"/>
        <v>0.02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 t="str">
        <f ca="1">input_settle_7118100!A$2</f>
        <v>7118100</v>
      </c>
      <c r="B36" s="81">
        <v>771</v>
      </c>
      <c r="C36" s="7" t="str">
        <f t="shared" ref="C36:C37" si="15">D36&amp;J36&amp;E36&amp;F36&amp;G36</f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天織羽鶴 ハヅル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2">
        <v>10</v>
      </c>
      <c r="P36" s="43">
        <f t="shared" si="1"/>
        <v>0.02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 t="str">
        <f ca="1">input_settle_7118100!A$2</f>
        <v>7118100</v>
      </c>
      <c r="B37" s="81">
        <v>773</v>
      </c>
      <c r="C37" s="7" t="str">
        <f t="shared" si="15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浮跳天兎 イナバ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2">
        <v>10</v>
      </c>
      <c r="P37" s="43">
        <f t="shared" si="1"/>
        <v>0.02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 t="str">
        <f ca="1">input_settle_7118100!A$2</f>
        <v>7118100</v>
      </c>
      <c r="B38" s="5">
        <v>1028</v>
      </c>
      <c r="C38" s="7" t="str">
        <f t="shared" ref="C38:C40" si="16">D38&amp;J38&amp;E38&amp;F38&amp;G38</f>
        <v>PremiumSS5R5only</v>
      </c>
      <c r="D38" s="7" t="str">
        <f t="shared" si="2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牛若丸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2">
        <v>10</v>
      </c>
      <c r="P38" s="43">
        <f t="shared" si="1"/>
        <v>0.02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 t="str">
        <f ca="1">input_settle_7118100!A$2</f>
        <v>7118100</v>
      </c>
      <c r="B39" s="5">
        <v>1031</v>
      </c>
      <c r="C39" s="7" t="str">
        <f t="shared" si="16"/>
        <v>PremiumSS5R5only</v>
      </c>
      <c r="D39" s="7" t="str">
        <f t="shared" si="2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紫式部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2">
        <v>10</v>
      </c>
      <c r="P39" s="43">
        <f t="shared" si="1"/>
        <v>0.02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 t="str">
        <f ca="1">input_settle_7118100!A$2</f>
        <v>7118100</v>
      </c>
      <c r="B40" s="5">
        <v>1033</v>
      </c>
      <c r="C40" s="7" t="str">
        <f t="shared" si="16"/>
        <v>PremiumSS5R5only</v>
      </c>
      <c r="D40" s="7" t="str">
        <f t="shared" si="2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清少納言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heal</v>
      </c>
      <c r="M40" s="7" t="str">
        <f>VLOOKUP(B40,[1]characters!$A:$M,13,FALSE)</f>
        <v>human</v>
      </c>
      <c r="N40" s="7" t="str">
        <f>VLOOKUP(B40,[1]characters!$A:$G,7,FALSE)</f>
        <v>男性</v>
      </c>
      <c r="O40" s="42">
        <v>10</v>
      </c>
      <c r="P40" s="43">
        <f t="shared" si="1"/>
        <v>0.02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 t="str">
        <f ca="1">input_settle_7118100!A$2</f>
        <v>7118100</v>
      </c>
      <c r="B41" s="5">
        <v>1069</v>
      </c>
      <c r="C41" s="7" t="str">
        <f t="shared" ref="C41:C43" si="17">D41&amp;J41&amp;E41&amp;F41&amp;G41</f>
        <v>PremiumSS5R5only</v>
      </c>
      <c r="D41" s="7" t="str">
        <f t="shared" si="2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イシュタル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technical</v>
      </c>
      <c r="M41" s="7" t="str">
        <f>VLOOKUP(B41,[1]characters!$A:$M,13,FALSE)</f>
        <v>god</v>
      </c>
      <c r="N41" s="7" t="str">
        <f>VLOOKUP(B41,[1]characters!$A:$G,7,FALSE)</f>
        <v>男性</v>
      </c>
      <c r="O41" s="42">
        <v>10</v>
      </c>
      <c r="P41" s="43">
        <f t="shared" si="1"/>
        <v>0.02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 t="str">
        <f ca="1">input_settle_7118100!A$2</f>
        <v>7118100</v>
      </c>
      <c r="B42" s="5">
        <v>1072</v>
      </c>
      <c r="C42" s="7" t="str">
        <f t="shared" si="17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エンキドゥ</v>
      </c>
      <c r="I42" s="7" t="str">
        <f>VLOOKUP(B42,[1]characters!$A:$J,10,FALSE)</f>
        <v>PremiumSSw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42">
        <v>10</v>
      </c>
      <c r="P42" s="43">
        <f t="shared" si="1"/>
        <v>0.02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 t="str">
        <f ca="1">input_settle_7118100!A$2</f>
        <v>7118100</v>
      </c>
      <c r="B43" s="5">
        <v>1074</v>
      </c>
      <c r="C43" s="7" t="str">
        <f t="shared" si="17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マルドゥク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technical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v>10</v>
      </c>
      <c r="P43" s="43">
        <f t="shared" si="1"/>
        <v>0.02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 t="str">
        <f ca="1">input_settle_7118100!A$2</f>
        <v>7118100</v>
      </c>
      <c r="B44" s="2">
        <v>595</v>
      </c>
      <c r="C44" s="7" t="str">
        <f t="shared" ref="C44" si="18">D44&amp;J44&amp;E44&amp;F44&amp;G44</f>
        <v>PremiumSS5</v>
      </c>
      <c r="D44" s="7" t="str">
        <f t="shared" ref="D44" si="19">IF(OR(I44="PremiumSS",I44="PremiumSSw"),"PremiumSS",IF(I44="PremiumSSS",I44,IF(I44="PremiumW",I44,"Premium")))</f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光華なる神域 アルフヘイム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yellow</v>
      </c>
      <c r="L44" s="7" t="str">
        <f>VLOOKUP(B44,[1]characters!$A:$K,11,FALSE)</f>
        <v>attack</v>
      </c>
      <c r="M44" s="7" t="str">
        <f>VLOOKUP(B44,[1]characters!$A:$M,13,FALSE)</f>
        <v>dragon</v>
      </c>
      <c r="N44" s="7" t="str">
        <f>VLOOKUP(B44,[1]characters!$A:$G,7,FALSE)</f>
        <v>不明</v>
      </c>
      <c r="O44" s="42">
        <v>10</v>
      </c>
      <c r="P44" s="43">
        <f t="shared" ref="P44" si="20">O44/SUM(O:O)</f>
        <v>0.02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 t="str">
        <f ca="1">input_settle_7118100!A$2</f>
        <v>7118100</v>
      </c>
      <c r="B45" s="2">
        <v>475</v>
      </c>
      <c r="C45" s="7" t="str">
        <f t="shared" ref="C45" si="21">D45&amp;J45&amp;E45&amp;F45&amp;G45</f>
        <v>PremiumSS5</v>
      </c>
      <c r="D45" s="7" t="str">
        <f t="shared" ref="D45" si="22">IF(OR(I45="PremiumSS",I45="PremiumSSw"),"PremiumSS",IF(I45="PremiumSSS",I45,IF(I45="PremiumW",I45,"Premium")))</f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緋王 キング・ドライグ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attack</v>
      </c>
      <c r="M45" s="7" t="str">
        <f>VLOOKUP(B45,[1]characters!$A:$M,13,FALSE)</f>
        <v>dragon</v>
      </c>
      <c r="N45" s="7" t="str">
        <f>VLOOKUP(B45,[1]characters!$A:$G,7,FALSE)</f>
        <v>不明</v>
      </c>
      <c r="O45" s="42">
        <v>10</v>
      </c>
      <c r="P45" s="43">
        <f t="shared" ref="P45" si="23">O45/SUM(O:O)</f>
        <v>0.02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 t="str">
        <f ca="1">input_settle_7118100!A$2</f>
        <v>7118100</v>
      </c>
      <c r="B46" s="1">
        <v>1106</v>
      </c>
      <c r="C46" s="7" t="str">
        <f t="shared" ref="C46:C48" si="24">D46&amp;J46&amp;E46&amp;F46&amp;G46</f>
        <v>PremiumSS5R5only</v>
      </c>
      <c r="D46" s="7" t="str">
        <f t="shared" ref="D46:D48" si="25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ラファエロ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attack</v>
      </c>
      <c r="M46" s="7" t="str">
        <f>VLOOKUP(B46,[1]characters!$A:$M,13,FALSE)</f>
        <v>human</v>
      </c>
      <c r="N46" s="7" t="str">
        <f>VLOOKUP(B46,[1]characters!$A:$G,7,FALSE)</f>
        <v>不明</v>
      </c>
      <c r="O46" s="42">
        <v>10</v>
      </c>
      <c r="P46" s="43">
        <f t="shared" ref="P46:P48" si="26">O46/SUM(O:O)</f>
        <v>0.02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 t="str">
        <f ca="1">input_settle_7118100!A$2</f>
        <v>7118100</v>
      </c>
      <c r="B47" s="1">
        <v>1102</v>
      </c>
      <c r="C47" s="7" t="str">
        <f t="shared" si="24"/>
        <v>PremiumSS5R5only</v>
      </c>
      <c r="D47" s="7" t="str">
        <f t="shared" si="25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ドガ</v>
      </c>
      <c r="I47" s="7" t="str">
        <f>VLOOKUP(B47,[1]characters!$A:$J,10,FALSE)</f>
        <v>PremiumSSW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不明</v>
      </c>
      <c r="O47" s="42">
        <v>10</v>
      </c>
      <c r="P47" s="43">
        <f t="shared" si="26"/>
        <v>0.02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 t="str">
        <f ca="1">input_settle_7118100!A$2</f>
        <v>7118100</v>
      </c>
      <c r="B48" s="1">
        <v>1100</v>
      </c>
      <c r="C48" s="7" t="str">
        <f t="shared" si="24"/>
        <v>PremiumSS5R5only</v>
      </c>
      <c r="D48" s="7" t="str">
        <f t="shared" si="25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北斎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不明</v>
      </c>
      <c r="O48" s="42">
        <v>10</v>
      </c>
      <c r="P48" s="43">
        <f t="shared" si="26"/>
        <v>0.02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 t="str">
        <f ca="1">input_settle_7118100!A$2</f>
        <v>7118100</v>
      </c>
      <c r="B49" s="1">
        <v>1137</v>
      </c>
      <c r="C49" s="7" t="str">
        <f t="shared" ref="C49:C51" si="27">D49&amp;J49&amp;E49&amp;F49&amp;G49</f>
        <v>PremiumSS5R5only</v>
      </c>
      <c r="D49" s="7" t="str">
        <f t="shared" ref="D49:D51" si="28">IF(OR(I49="PremiumSS",I49="PremiumSSw"),"PremiumSS",IF(I49="PremiumSSS",I49,IF(I49="PremiumW",I49,"Premium")))</f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諸葛亮</v>
      </c>
      <c r="I49" s="7" t="str">
        <f>VLOOKUP(B49,[1]characters!$A:$J,10,FALSE)</f>
        <v>PremiumSSW</v>
      </c>
      <c r="J49" s="7">
        <f>VLOOKUP(B49,[1]characters!$A:$I,9,FALSE)</f>
        <v>5</v>
      </c>
      <c r="K49" s="7" t="str">
        <f>VLOOKUP(B49,[1]characters!$A:$H,8,FALSE)</f>
        <v>red</v>
      </c>
      <c r="L49" s="7" t="str">
        <f>VLOOKUP(B49,[1]characters!$A:$K,11,FALSE)</f>
        <v>technical</v>
      </c>
      <c r="M49" s="7" t="str">
        <f>VLOOKUP(B49,[1]characters!$A:$M,13,FALSE)</f>
        <v>samurai</v>
      </c>
      <c r="N49" s="7" t="str">
        <f>VLOOKUP(B49,[1]characters!$A:$G,7,FALSE)</f>
        <v>不明</v>
      </c>
      <c r="O49" s="42">
        <v>10</v>
      </c>
      <c r="P49" s="43">
        <f t="shared" ref="P49:P51" si="29">O49/SUM(O:O)</f>
        <v>0.02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 t="str">
        <f ca="1">input_settle_7118100!A$2</f>
        <v>7118100</v>
      </c>
      <c r="B50" s="1">
        <v>1139</v>
      </c>
      <c r="C50" s="7" t="str">
        <f t="shared" si="27"/>
        <v>PremiumSS5R5only</v>
      </c>
      <c r="D50" s="7" t="str">
        <f t="shared" si="28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趙雲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green</v>
      </c>
      <c r="L50" s="7" t="str">
        <f>VLOOKUP(B50,[1]characters!$A:$K,11,FALSE)</f>
        <v>balance</v>
      </c>
      <c r="M50" s="7" t="str">
        <f>VLOOKUP(B50,[1]characters!$A:$M,13,FALSE)</f>
        <v>samurai</v>
      </c>
      <c r="N50" s="7" t="str">
        <f>VLOOKUP(B50,[1]characters!$A:$G,7,FALSE)</f>
        <v>不明</v>
      </c>
      <c r="O50" s="42">
        <v>10</v>
      </c>
      <c r="P50" s="43">
        <f t="shared" si="29"/>
        <v>0.02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 t="str">
        <f ca="1">input_settle_7118100!A$2</f>
        <v>7118100</v>
      </c>
      <c r="B51" s="1">
        <v>1141</v>
      </c>
      <c r="C51" s="7" t="str">
        <f t="shared" si="27"/>
        <v>PremiumSS5R5only</v>
      </c>
      <c r="D51" s="7" t="str">
        <f t="shared" si="28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月英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blue</v>
      </c>
      <c r="L51" s="7" t="str">
        <f>VLOOKUP(B51,[1]characters!$A:$K,11,FALSE)</f>
        <v>balance</v>
      </c>
      <c r="M51" s="7" t="str">
        <f>VLOOKUP(B51,[1]characters!$A:$M,13,FALSE)</f>
        <v>human</v>
      </c>
      <c r="N51" s="7" t="str">
        <f>VLOOKUP(B51,[1]characters!$A:$G,7,FALSE)</f>
        <v>不明</v>
      </c>
      <c r="O51" s="42">
        <v>10</v>
      </c>
      <c r="P51" s="43">
        <f t="shared" si="29"/>
        <v>0.02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K52" s="1"/>
    </row>
    <row r="53" spans="1:22" ht="21" customHeight="1" x14ac:dyDescent="0.15">
      <c r="K53" s="1"/>
    </row>
    <row r="54" spans="1:22" ht="21" customHeight="1" x14ac:dyDescent="0.15">
      <c r="K54" s="1"/>
    </row>
    <row r="55" spans="1:22" ht="21" customHeight="1" x14ac:dyDescent="0.15">
      <c r="K55" s="1"/>
    </row>
    <row r="56" spans="1:22" ht="21" customHeight="1" x14ac:dyDescent="0.15">
      <c r="K56" s="1"/>
    </row>
    <row r="57" spans="1:22" ht="21" customHeight="1" x14ac:dyDescent="0.15">
      <c r="K57" s="1"/>
    </row>
    <row r="58" spans="1:22" ht="21" customHeight="1" x14ac:dyDescent="0.15">
      <c r="K58" s="1"/>
    </row>
    <row r="59" spans="1:22" ht="21" customHeight="1" x14ac:dyDescent="0.15">
      <c r="K59" s="1"/>
    </row>
    <row r="60" spans="1:22" ht="21" customHeight="1" x14ac:dyDescent="0.15">
      <c r="K60" s="1"/>
    </row>
    <row r="61" spans="1:22" ht="21" customHeight="1" x14ac:dyDescent="0.15">
      <c r="K61" s="1"/>
    </row>
    <row r="62" spans="1:22" ht="21" customHeight="1" x14ac:dyDescent="0.15">
      <c r="K62" s="1"/>
    </row>
    <row r="63" spans="1:22" ht="21" customHeight="1" x14ac:dyDescent="0.15">
      <c r="K63" s="1"/>
    </row>
    <row r="64" spans="1:22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input_settle_7118100</vt:lpstr>
      <vt:lpstr>tables_settle_7118100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2016-09-29T01:58:24Z</dcterms:modified>
</cp:coreProperties>
</file>