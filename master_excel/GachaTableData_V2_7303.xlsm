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tables_7303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tables_7303!$A$1:$V$1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03" l="1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<sst xmlns="http://schemas.openxmlformats.org/spreadsheetml/2006/main" count="290" uniqueCount="176">
  <si>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</si>
  <si>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</si>
  <si>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</si>
  <si>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</si>
  <si>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</si>
  <si>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</si>
  <si>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</si>
  <si>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</si>
  <si>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</si>
  <si>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</si>
  <si>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</si>
  <si>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</si>
  <si>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</si>
  <si>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</si>
  <si>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</si>
  <si>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</si>
  <si>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</si>
  <si>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</si>
  <si>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</si>
  <si>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</si>
  <si>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</si>
  <si>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</si>
  <si>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</si>
  <si>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</si>
  <si>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</si>
  <si>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</si>
  <si>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</si>
  <si>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</si>
  <si>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</si>
  <si>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</si>
  <si>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</si>
  <si>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</si>
  <si>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</si>
  <si>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</si>
  <si>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</si>
  <si>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</si>
  <si>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</si>
  <si>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</si>
  <si>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</si>
  <si>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</si>
  <si>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</si>
  <si>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</si>
  <si>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</si>
  <si>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</si>
  <si>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</si>
  <si>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</si>
  <si>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</si>
  <si>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</si>
  <si>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</si>
  <si>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</si>
  <si>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</si>
  <si>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</si>
  <si>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</si>
  <si>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</si>
  <si>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</si>
  <si>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</si>
  <si>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</si>
  <si>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</si>
  <si>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</si>
  <si>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</si>
  <si>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</si>
  <si>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</si>
  <si>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</si>
  <si>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</si>
  <si>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</si>
  <si>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</si>
  <si>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</si>
  <si>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</si>
  <si>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</si>
  <si>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</si>
  <si>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</si>
  <si>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</si>
  <si>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</si>
  <si>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</si>
  <si>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</si>
  <si>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</si>
  <si>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</si>
  <si>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</si>
  <si>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</si>
  <si>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</si>
  <si>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</si>
  <si>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</si>
  <si>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</si>
  <si>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</si>
  <si>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</si>
  <si>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</si>
  <si>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</si>
  <si>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</si>
  <si>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</si>
  <si>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</si>
  <si>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</si>
  <si>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</si>
  <si>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</si>
  <si>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</si>
  <si>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</si>
  <si>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</si>
  <si>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</si>
  <si>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</si>
  <si>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</si>
  <si>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</si>
  <si>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</si>
  <si>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</si>
  <si>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</si>
  <si>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</si>
  <si>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</si>
  <si>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</si>
  <si>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</si>
  <si>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</si>
  <si>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</si>
  <si>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</si>
  <si>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</si>
  <si>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</si>
  <si>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</si>
  <si>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</si>
  <si>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</si>
  <si>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</si>
  <si>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</si>
  <si>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</si>
  <si>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</si>
  <si>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</si>
  <si>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</si>
  <si>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</si>
  <si>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</si>
  <si>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</si>
  <si>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</si>
  <si>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</si>
  <si>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</si>
  <si>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</si>
  <si>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</si>
  <si>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</si>
  <si>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</si>
  <si>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</si>
  <si>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</si>
  <si>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</si>
  <si>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</si>
  <si>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</si>
  <si>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</si>
  <si>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</si>
  <si>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</si>
  <si>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</si>
  <si>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</si>
  <si>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</si>
  <si>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</si>
  <si>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</si>
  <si>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</si>
  <si>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</si>
  <si>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</si>
  <si>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</si>
  <si>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</si>
  <si>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</si>
  <si>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</si>
  <si>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</si>
  <si>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</si>
  <si>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</si>
  <si>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</si>
  <si>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</si>
  <si>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</si>
  <si>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</si>
  <si>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</si>
  <si>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</si>
  <si>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</si>
  <si>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</si>
  <si>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</si>
  <si>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</si>
  <si>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</si>
  <si>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</si>
  <si>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skip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</si>
  <si>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</si>
  <si>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</si>
  <si>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</si>
  <si>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</si>
  <si>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</si>
  <si>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tables_settle_426104</t>
    <phoneticPr fontId="20"/>
  </si>
  <si>
    <t>tables_settle_426105</t>
    <phoneticPr fontId="20"/>
  </si>
  <si>
    <t>tables_426101</t>
    <phoneticPr fontId="20"/>
  </si>
  <si>
    <t>tables_7303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</si>
</sst>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0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1" borderId="1" xfId="2978" applyFont="1" applyFill="1" applyBorder="1"/>
    <xf numFmtId="0" fontId="13" fillId="21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1" borderId="1" xfId="0" applyFont="1" applyFill="1" applyBorder="1"/>
    <xf numFmtId="0" fontId="52" fillId="22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7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4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0" xfId="3662" applyFont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4" fillId="4" borderId="1" xfId="2978" applyFont="1" applyFill="1" applyBorder="1"/>
    <xf numFmtId="0" fontId="4" fillId="0" borderId="1" xfId="3036" applyFont="1" applyBorder="1"/>
    <xf numFmtId="0" fontId="25" fillId="3" borderId="13" xfId="2" applyFont="1" applyFill="1" applyBorder="1" applyAlignment="1">
      <alignment vertical="center"/>
    </xf>
    <xf numFmtId="177" fontId="0" fillId="25" borderId="13" xfId="3575" applyNumberFormat="1" applyFont="1" applyFill="1" applyBorder="1"/>
    <xf numFmtId="0" fontId="52" fillId="3" borderId="13" xfId="0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1" fillId="4" borderId="1" xfId="2978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元ラブレター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元ラブレター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heal</v>
          </cell>
          <cell r="L1127" t="str">
            <v>回復タイプ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1181</v>
          </cell>
          <cell r="B1161" t="str">
            <v>ja</v>
          </cell>
          <cell r="C1161" t="str">
            <v>永存の究極論 ユークリッド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blue</v>
          </cell>
          <cell r="I1161">
            <v>6</v>
          </cell>
          <cell r="J1161" t="str">
            <v>PremiumSSS</v>
          </cell>
          <cell r="K1161" t="str">
            <v>balance</v>
          </cell>
          <cell r="L1161" t="str">
            <v>バランスタイプ</v>
          </cell>
          <cell r="M1161" t="str">
            <v>academia</v>
          </cell>
        </row>
        <row r="1162">
          <cell r="A1162">
            <v>1184</v>
          </cell>
          <cell r="B1162" t="str">
            <v>ja</v>
          </cell>
          <cell r="C1162" t="str">
            <v>電装の烙雷芯 ファラデー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6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1185</v>
          </cell>
          <cell r="B1163" t="str">
            <v>ja</v>
          </cell>
          <cell r="C1163" t="str">
            <v>兆銀河団の星観者 ハーシェル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heal</v>
          </cell>
          <cell r="L1163" t="str">
            <v>回復タイプ</v>
          </cell>
          <cell r="M1163" t="str">
            <v>academia</v>
          </cell>
        </row>
        <row r="1164">
          <cell r="A1164">
            <v>1191</v>
          </cell>
          <cell r="B1164" t="str">
            <v>ja</v>
          </cell>
          <cell r="C1164" t="str">
            <v>オリジナル_ウィザード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5</v>
          </cell>
          <cell r="J1164" t="str">
            <v>DropWizS</v>
          </cell>
          <cell r="K1164" t="str">
            <v>technical</v>
          </cell>
          <cell r="L1164" t="str">
            <v>テクニカルタイプ</v>
          </cell>
          <cell r="M1164" t="str">
            <v>god</v>
          </cell>
        </row>
        <row r="1165">
          <cell r="A1165">
            <v>1192</v>
          </cell>
          <cell r="B1165" t="str">
            <v>ja</v>
          </cell>
          <cell r="C1165" t="str">
            <v>オリジナル_ウィザード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yellow</v>
          </cell>
          <cell r="I1165">
            <v>6</v>
          </cell>
          <cell r="J1165" t="str">
            <v>DropWizS</v>
          </cell>
          <cell r="K1165" t="str">
            <v>balance</v>
          </cell>
          <cell r="L1165" t="str">
            <v>バランスタイプ</v>
          </cell>
          <cell r="M1165" t="str">
            <v>god</v>
          </cell>
        </row>
        <row r="1166">
          <cell r="A1166">
            <v>1193</v>
          </cell>
          <cell r="B1166" t="str">
            <v>ja</v>
          </cell>
          <cell r="C1166" t="str">
            <v>ランスロット_ハロウィン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balance</v>
          </cell>
          <cell r="L1166" t="str">
            <v>バランスタイプ</v>
          </cell>
          <cell r="M1166" t="str">
            <v>god</v>
          </cell>
        </row>
        <row r="1167">
          <cell r="A1167">
            <v>1194</v>
          </cell>
          <cell r="B1167" t="str">
            <v>ja</v>
          </cell>
          <cell r="C1167" t="str">
            <v>オリジナル_ガチャあたり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green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1195</v>
          </cell>
          <cell r="B1168" t="str">
            <v>ja</v>
          </cell>
          <cell r="C1168" t="str">
            <v>オリジナル_ガチャあたり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green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1196</v>
          </cell>
          <cell r="B1169" t="str">
            <v>ja</v>
          </cell>
          <cell r="C1169" t="str">
            <v>ラプンツェル_ハロウィン</v>
          </cell>
          <cell r="D1169" t="str">
            <v>各属性相性良3・黄・R558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green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academia</v>
          </cell>
        </row>
        <row r="1170">
          <cell r="A1170">
            <v>1197</v>
          </cell>
          <cell r="B1170" t="str">
            <v>ja</v>
          </cell>
          <cell r="C1170" t="str">
            <v>バフォメット_ハロウィン</v>
          </cell>
          <cell r="D1170" t="str">
            <v>超覚醒ハーシェル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green</v>
          </cell>
          <cell r="I1170">
            <v>5</v>
          </cell>
          <cell r="J1170" t="str">
            <v>PremiumS</v>
          </cell>
          <cell r="K1170" t="str">
            <v>balance</v>
          </cell>
          <cell r="L1170" t="str">
            <v>バランスタイプ</v>
          </cell>
          <cell r="M1170" t="str">
            <v>academia</v>
          </cell>
        </row>
        <row r="1171">
          <cell r="A1171">
            <v>1198</v>
          </cell>
          <cell r="B1171" t="str">
            <v>ja</v>
          </cell>
          <cell r="C1171" t="str">
            <v>ピノキオ_ハロウィン</v>
          </cell>
          <cell r="D1171" t="str">
            <v>超覚醒ハーシェル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blue</v>
          </cell>
          <cell r="I1171">
            <v>5</v>
          </cell>
          <cell r="J1171" t="str">
            <v>PremiumS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1199</v>
          </cell>
          <cell r="B1172" t="str">
            <v>ja</v>
          </cell>
          <cell r="C1172" t="str">
            <v>ケルベロス_ハロウィン</v>
          </cell>
          <cell r="D1172" t="str">
            <v>超覚醒ハーシェル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yellow</v>
          </cell>
          <cell r="I1172">
            <v>5</v>
          </cell>
          <cell r="J1172" t="str">
            <v>PremiumS</v>
          </cell>
          <cell r="K1172" t="str">
            <v>heal</v>
          </cell>
          <cell r="L1172" t="str">
            <v>回復タイプ</v>
          </cell>
          <cell r="M1172" t="str">
            <v>academia</v>
          </cell>
        </row>
        <row r="1173">
          <cell r="A1173">
            <v>6001</v>
          </cell>
          <cell r="B1173" t="str">
            <v>ja</v>
          </cell>
          <cell r="C1173" t="str">
            <v>ジェリー</v>
          </cell>
          <cell r="D1173" t="str">
            <v>ノーマルクエスト</v>
          </cell>
          <cell r="E1173" t="str">
            <v>QoH</v>
          </cell>
          <cell r="F1173" t="str">
            <v>世界観</v>
          </cell>
          <cell r="G1173" t="str">
            <v>不明</v>
          </cell>
          <cell r="H1173" t="str">
            <v>red</v>
          </cell>
          <cell r="I1173">
            <v>1</v>
          </cell>
          <cell r="J1173" t="str">
            <v>Drop1T</v>
          </cell>
          <cell r="K1173" t="str">
            <v>ra</v>
          </cell>
          <cell r="L1173" t="str">
            <v>ラグランジュチャレンジ</v>
          </cell>
          <cell r="M1173" t="str">
            <v>unknown</v>
          </cell>
        </row>
        <row r="1174">
          <cell r="A1174">
            <v>6002</v>
          </cell>
          <cell r="B1174" t="str">
            <v>ja</v>
          </cell>
          <cell r="C1174" t="str">
            <v>ヨシタカ</v>
          </cell>
          <cell r="D1174" t="str">
            <v>ノーマルクエスト</v>
          </cell>
          <cell r="E1174" t="str">
            <v>アバター</v>
          </cell>
          <cell r="F1174" t="str">
            <v>世界観</v>
          </cell>
          <cell r="G1174" t="str">
            <v>男性</v>
          </cell>
          <cell r="H1174" t="str">
            <v>red</v>
          </cell>
          <cell r="I1174">
            <v>2</v>
          </cell>
          <cell r="J1174" t="str">
            <v>Drop1N</v>
          </cell>
          <cell r="K1174" t="str">
            <v>ra</v>
          </cell>
          <cell r="L1174" t="str">
            <v>ラグランジュチャレンジ</v>
          </cell>
          <cell r="M1174" t="str">
            <v>human</v>
          </cell>
        </row>
        <row r="1175">
          <cell r="A1175">
            <v>6003</v>
          </cell>
          <cell r="B1175" t="str">
            <v>ja</v>
          </cell>
          <cell r="C1175" t="str">
            <v>朱雀</v>
          </cell>
          <cell r="D1175" t="str">
            <v>リンクガチャ:4神</v>
          </cell>
          <cell r="E1175" t="str">
            <v>守護神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3</v>
          </cell>
          <cell r="J1175" t="str">
            <v>Drop2N</v>
          </cell>
          <cell r="K1175" t="str">
            <v>ra</v>
          </cell>
          <cell r="L1175" t="str">
            <v>ラグランジュチャレンジ</v>
          </cell>
          <cell r="M1175" t="str">
            <v>animal</v>
          </cell>
        </row>
        <row r="1176">
          <cell r="A1176">
            <v>6004</v>
          </cell>
          <cell r="B1176" t="str">
            <v>ja</v>
          </cell>
          <cell r="C1176" t="str">
            <v>ブレット</v>
          </cell>
          <cell r="D1176" t="str">
            <v>ノーマルクエスト</v>
          </cell>
          <cell r="E1176" t="str">
            <v>アバター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1</v>
          </cell>
          <cell r="J1176" t="str">
            <v>Drop1W</v>
          </cell>
          <cell r="K1176" t="str">
            <v>ra</v>
          </cell>
          <cell r="L1176" t="str">
            <v>ラグランジュチャレンジ</v>
          </cell>
          <cell r="M1176" t="str">
            <v>animal</v>
          </cell>
        </row>
        <row r="1177">
          <cell r="A1177">
            <v>6005</v>
          </cell>
          <cell r="B1177" t="str">
            <v>ja</v>
          </cell>
          <cell r="C1177" t="str">
            <v>孤神 テティス</v>
          </cell>
          <cell r="D1177" t="str">
            <v>初期ガチャ</v>
          </cell>
          <cell r="E1177" t="str">
            <v>管理者</v>
          </cell>
          <cell r="F1177" t="str">
            <v>美しい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PremiumN</v>
          </cell>
          <cell r="K1177" t="str">
            <v>ra</v>
          </cell>
          <cell r="L1177" t="str">
            <v>ラグランジュチャレンジ</v>
          </cell>
          <cell r="M1177" t="str">
            <v>god</v>
          </cell>
        </row>
        <row r="1178">
          <cell r="A1178">
            <v>6006</v>
          </cell>
          <cell r="B1178" t="str">
            <v>ja</v>
          </cell>
          <cell r="C1178" t="str">
            <v>海底の孤高神 テティス</v>
          </cell>
          <cell r="D1178" t="str">
            <v>初期ガチャ</v>
          </cell>
          <cell r="E1178" t="str">
            <v>管理者</v>
          </cell>
          <cell r="F1178" t="str">
            <v>美しい</v>
          </cell>
          <cell r="G1178" t="str">
            <v>女性</v>
          </cell>
          <cell r="H1178" t="str">
            <v>blue</v>
          </cell>
          <cell r="I1178">
            <v>5</v>
          </cell>
          <cell r="J1178" t="str">
            <v>PremiumN</v>
          </cell>
          <cell r="K1178" t="str">
            <v>ra</v>
          </cell>
          <cell r="L1178" t="str">
            <v>ラグランジュチャレンジ</v>
          </cell>
          <cell r="M1178" t="str">
            <v>god</v>
          </cell>
        </row>
        <row r="1179">
          <cell r="A1179">
            <v>6007</v>
          </cell>
          <cell r="B1179" t="str">
            <v>ja</v>
          </cell>
          <cell r="C1179" t="str">
            <v>番犬 ケルベロス</v>
          </cell>
          <cell r="D1179" t="str">
            <v>初期ガチャ</v>
          </cell>
          <cell r="E1179" t="str">
            <v>破界者</v>
          </cell>
          <cell r="F1179" t="str">
            <v>可愛い</v>
          </cell>
          <cell r="G1179" t="str">
            <v>女性</v>
          </cell>
          <cell r="H1179" t="str">
            <v>red</v>
          </cell>
          <cell r="I1179">
            <v>4</v>
          </cell>
          <cell r="J1179" t="str">
            <v>PremiumN</v>
          </cell>
          <cell r="K1179" t="str">
            <v>ra</v>
          </cell>
          <cell r="L1179" t="str">
            <v>ラグランジュチャレンジ</v>
          </cell>
          <cell r="M1179" t="str">
            <v>animal</v>
          </cell>
        </row>
        <row r="1180">
          <cell r="A1180">
            <v>6008</v>
          </cell>
          <cell r="B1180" t="str">
            <v>ja</v>
          </cell>
          <cell r="C1180" t="str">
            <v>焔神 プロメテウス</v>
          </cell>
          <cell r="D1180" t="str">
            <v>初期ガチャ</v>
          </cell>
          <cell r="E1180" t="str">
            <v>管理者</v>
          </cell>
          <cell r="F1180" t="str">
            <v>格好いい</v>
          </cell>
          <cell r="G1180" t="str">
            <v>男性</v>
          </cell>
          <cell r="H1180" t="str">
            <v>red</v>
          </cell>
          <cell r="I1180">
            <v>4</v>
          </cell>
          <cell r="J1180" t="str">
            <v>PremiumN</v>
          </cell>
          <cell r="K1180" t="str">
            <v>ra</v>
          </cell>
          <cell r="L1180" t="str">
            <v>ラグランジュチャレンジ</v>
          </cell>
          <cell r="M1180" t="str">
            <v>god</v>
          </cell>
        </row>
        <row r="1181">
          <cell r="A1181">
            <v>6009</v>
          </cell>
          <cell r="B1181" t="str">
            <v>ja</v>
          </cell>
          <cell r="C1181" t="str">
            <v>超越自我 ラグランジュ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5</v>
          </cell>
          <cell r="J1181" t="str">
            <v>PremiumSSS</v>
          </cell>
          <cell r="K1181" t="str">
            <v>ra</v>
          </cell>
          <cell r="L1181" t="str">
            <v>ラグランジュチャレンジ</v>
          </cell>
          <cell r="M1181" t="str">
            <v>human</v>
          </cell>
        </row>
        <row r="1182">
          <cell r="A1182">
            <v>6010</v>
          </cell>
          <cell r="B1182" t="str">
            <v>ja</v>
          </cell>
          <cell r="C1182" t="str">
            <v>超越凌駕 ラグランジュ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red</v>
          </cell>
          <cell r="I1182">
            <v>6</v>
          </cell>
          <cell r="J1182" t="str">
            <v>PremiumSSS</v>
          </cell>
          <cell r="K1182" t="str">
            <v>ra</v>
          </cell>
          <cell r="L1182" t="str">
            <v>ラグランジュチャレンジ</v>
          </cell>
          <cell r="M1182" t="str">
            <v>human</v>
          </cell>
        </row>
        <row r="1183">
          <cell r="A1183">
            <v>6011</v>
          </cell>
          <cell r="B1183" t="str">
            <v>ja</v>
          </cell>
          <cell r="C1183" t="str">
            <v>パトドッグリーダー ポチ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2</v>
          </cell>
          <cell r="J1183" t="str">
            <v>Drop1T</v>
          </cell>
          <cell r="K1183" t="str">
            <v>ra002</v>
          </cell>
          <cell r="L1183" t="str">
            <v>ユークリッドチャレンジ</v>
          </cell>
          <cell r="M1183" t="str">
            <v>unknown</v>
          </cell>
        </row>
        <row r="1184">
          <cell r="A1184">
            <v>6012</v>
          </cell>
          <cell r="B1184" t="str">
            <v>ja</v>
          </cell>
          <cell r="C1184" t="str">
            <v>ミミ</v>
          </cell>
          <cell r="D1184" t="str">
            <v>ガチャ:フィーバーフェス02</v>
          </cell>
          <cell r="E1184" t="str">
            <v>執行者</v>
          </cell>
          <cell r="F1184" t="str">
            <v>格好いい</v>
          </cell>
          <cell r="G1184" t="str">
            <v>男性</v>
          </cell>
          <cell r="H1184" t="str">
            <v>yellow</v>
          </cell>
          <cell r="I1184">
            <v>1</v>
          </cell>
          <cell r="J1184" t="str">
            <v>Drop1W</v>
          </cell>
          <cell r="K1184" t="str">
            <v>ra002</v>
          </cell>
          <cell r="L1184" t="str">
            <v>ユークリッドチャレンジ</v>
          </cell>
          <cell r="M1184" t="str">
            <v>animal</v>
          </cell>
        </row>
        <row r="1185">
          <cell r="A1185">
            <v>6013</v>
          </cell>
          <cell r="B1185" t="str">
            <v>ja</v>
          </cell>
          <cell r="C1185" t="str">
            <v>護衛機人 スケアクロウ</v>
          </cell>
          <cell r="D1185" t="str">
            <v>ガチャ:フィーバーフェス02</v>
          </cell>
          <cell r="E1185" t="str">
            <v>執行者</v>
          </cell>
          <cell r="F1185" t="str">
            <v>格好いい</v>
          </cell>
          <cell r="G1185" t="str">
            <v>男性</v>
          </cell>
          <cell r="H1185" t="str">
            <v>blue</v>
          </cell>
          <cell r="I1185">
            <v>2</v>
          </cell>
          <cell r="J1185" t="str">
            <v>Drop1N</v>
          </cell>
          <cell r="K1185" t="str">
            <v>ra002</v>
          </cell>
          <cell r="L1185" t="str">
            <v>ユークリッドチャレンジ</v>
          </cell>
          <cell r="M1185" t="str">
            <v>machine</v>
          </cell>
        </row>
        <row r="1186">
          <cell r="A1186">
            <v>6014</v>
          </cell>
          <cell r="B1186" t="str">
            <v>ja</v>
          </cell>
          <cell r="C1186" t="str">
            <v>月下の人狼 ローレンス</v>
          </cell>
          <cell r="D1186" t="str">
            <v>ガチャ:フィーバーフェス02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blue</v>
          </cell>
          <cell r="I1186">
            <v>4</v>
          </cell>
          <cell r="J1186" t="str">
            <v>PremiumW</v>
          </cell>
          <cell r="K1186" t="str">
            <v>ra002</v>
          </cell>
          <cell r="L1186" t="str">
            <v>ユークリッドチャレンジ</v>
          </cell>
          <cell r="M1186" t="str">
            <v>animal</v>
          </cell>
        </row>
        <row r="1187">
          <cell r="A1187">
            <v>6015</v>
          </cell>
          <cell r="B1187" t="str">
            <v>ja</v>
          </cell>
          <cell r="C1187" t="str">
            <v>フレイヤ</v>
          </cell>
          <cell r="D1187" t="str">
            <v>ガチャ:フィーバーフェス02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blue</v>
          </cell>
          <cell r="I1187">
            <v>4</v>
          </cell>
          <cell r="J1187" t="str">
            <v>PremiumSS</v>
          </cell>
          <cell r="K1187" t="str">
            <v>ra002</v>
          </cell>
          <cell r="L1187" t="str">
            <v>ユークリッドチャレンジ</v>
          </cell>
          <cell r="M1187" t="str">
            <v>animal</v>
          </cell>
        </row>
        <row r="1188">
          <cell r="A1188">
            <v>6016</v>
          </cell>
          <cell r="B1188" t="str">
            <v>ja</v>
          </cell>
          <cell r="C1188" t="str">
            <v>根原論理 ユークリッド</v>
          </cell>
          <cell r="D1188" t="str">
            <v>ガチャ:フィーバーフェス02</v>
          </cell>
          <cell r="E1188" t="str">
            <v>執行者</v>
          </cell>
          <cell r="F1188" t="str">
            <v>格好いい</v>
          </cell>
          <cell r="G1188" t="str">
            <v>男性</v>
          </cell>
          <cell r="H1188" t="str">
            <v>blue</v>
          </cell>
          <cell r="I1188">
            <v>5</v>
          </cell>
          <cell r="J1188" t="str">
            <v>PremiumSSS</v>
          </cell>
          <cell r="K1188" t="str">
            <v>ra002</v>
          </cell>
          <cell r="L1188" t="str">
            <v>ユークリッドチャレンジ</v>
          </cell>
          <cell r="M1188" t="str">
            <v>human</v>
          </cell>
        </row>
        <row r="1189">
          <cell r="A1189">
            <v>6017</v>
          </cell>
          <cell r="B1189" t="str">
            <v>ja</v>
          </cell>
          <cell r="C1189" t="str">
            <v>不朽の極論 ユークリッド</v>
          </cell>
          <cell r="D1189" t="str">
            <v>ガチャ:フィーバーフェス02</v>
          </cell>
          <cell r="E1189" t="str">
            <v>執行者</v>
          </cell>
          <cell r="F1189" t="str">
            <v>格好いい</v>
          </cell>
          <cell r="G1189" t="str">
            <v>男性</v>
          </cell>
          <cell r="H1189" t="str">
            <v>blue</v>
          </cell>
          <cell r="I1189">
            <v>6</v>
          </cell>
          <cell r="J1189" t="str">
            <v>PremiumSSS</v>
          </cell>
          <cell r="K1189" t="str">
            <v>ra002</v>
          </cell>
          <cell r="L1189" t="str">
            <v>ユークリッドチャレンジ</v>
          </cell>
          <cell r="M1189" t="str">
            <v>human</v>
          </cell>
        </row>
        <row r="1190">
          <cell r="A1190">
            <v>6018</v>
          </cell>
          <cell r="B1190" t="str">
            <v>ja</v>
          </cell>
          <cell r="C1190" t="str">
            <v>ハヅル</v>
          </cell>
          <cell r="D1190" t="str">
            <v>ガチャ:フィーバーフェス02</v>
          </cell>
          <cell r="E1190" t="str">
            <v>執行者</v>
          </cell>
          <cell r="F1190" t="str">
            <v>格好いい</v>
          </cell>
          <cell r="G1190" t="str">
            <v>男性</v>
          </cell>
          <cell r="H1190" t="str">
            <v>red</v>
          </cell>
          <cell r="I1190">
            <v>4</v>
          </cell>
          <cell r="J1190" t="str">
            <v>PremiumSS</v>
          </cell>
          <cell r="K1190" t="str">
            <v>ra002</v>
          </cell>
          <cell r="L1190" t="str">
            <v>ユークリッドチャレンジ</v>
          </cell>
          <cell r="M1190" t="str">
            <v>animal</v>
          </cell>
        </row>
        <row r="1191">
          <cell r="A1191">
            <v>6019</v>
          </cell>
          <cell r="B1191" t="str">
            <v>ja</v>
          </cell>
          <cell r="C1191" t="str">
            <v>天織羽鶴 ハヅル</v>
          </cell>
          <cell r="D1191" t="str">
            <v>ガチャ:フィーバーフェス02</v>
          </cell>
          <cell r="E1191" t="str">
            <v>執行者</v>
          </cell>
          <cell r="F1191" t="str">
            <v>格好いい</v>
          </cell>
          <cell r="G1191" t="str">
            <v>男性</v>
          </cell>
          <cell r="H1191" t="str">
            <v>red</v>
          </cell>
          <cell r="I1191">
            <v>5</v>
          </cell>
          <cell r="J1191" t="str">
            <v>PremiumSS</v>
          </cell>
          <cell r="K1191" t="str">
            <v>ra002</v>
          </cell>
          <cell r="L1191" t="str">
            <v>ユークリッドチャレンジ</v>
          </cell>
          <cell r="M1191" t="str">
            <v>animal</v>
          </cell>
        </row>
        <row r="1192">
          <cell r="A1192">
            <v>6020</v>
          </cell>
          <cell r="B1192" t="str">
            <v>ja</v>
          </cell>
          <cell r="C1192" t="str">
            <v>ミズチ</v>
          </cell>
          <cell r="D1192" t="str">
            <v>ガチャ:フィーバーフェス02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blue</v>
          </cell>
          <cell r="I1192">
            <v>4</v>
          </cell>
          <cell r="J1192" t="str">
            <v>PremiumS</v>
          </cell>
          <cell r="K1192" t="str">
            <v>ra002</v>
          </cell>
          <cell r="L1192" t="str">
            <v>ユークリッドチャレンジ</v>
          </cell>
          <cell r="M1192" t="str">
            <v>dragon</v>
          </cell>
        </row>
        <row r="1193">
          <cell r="A1193">
            <v>8001</v>
          </cell>
          <cell r="B1193" t="str">
            <v>ja</v>
          </cell>
          <cell r="C1193" t="str">
            <v>媽祖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yellow</v>
          </cell>
          <cell r="I1193">
            <v>5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8002</v>
          </cell>
          <cell r="B1194" t="str">
            <v>ja</v>
          </cell>
          <cell r="C1194" t="str">
            <v>天后 媽祖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god</v>
          </cell>
        </row>
        <row r="1195">
          <cell r="A1195">
            <v>8003</v>
          </cell>
          <cell r="B1195" t="str">
            <v>ja</v>
          </cell>
          <cell r="C1195" t="str">
            <v>蛟龍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不明</v>
          </cell>
          <cell r="H1195" t="str">
            <v>blue</v>
          </cell>
          <cell r="I1195">
            <v>5</v>
          </cell>
          <cell r="J1195" t="str">
            <v>DropWizS</v>
          </cell>
          <cell r="K1195" t="str">
            <v>hp</v>
          </cell>
          <cell r="L1195" t="str">
            <v>体力タイプ</v>
          </cell>
          <cell r="M1195" t="str">
            <v>dragon</v>
          </cell>
        </row>
        <row r="1196">
          <cell r="A1196">
            <v>8004</v>
          </cell>
          <cell r="B1196" t="str">
            <v>ja</v>
          </cell>
          <cell r="C1196" t="str">
            <v>深海蛟龍怪‧晏公</v>
          </cell>
          <cell r="D1196" t="str">
            <v>イベント:ミクコラボ01</v>
          </cell>
          <cell r="E1196" t="str">
            <v>執行者</v>
          </cell>
          <cell r="F1196" t="str">
            <v>格好いい</v>
          </cell>
          <cell r="G1196" t="str">
            <v>不明</v>
          </cell>
          <cell r="H1196" t="str">
            <v>blue</v>
          </cell>
          <cell r="I1196">
            <v>6</v>
          </cell>
          <cell r="J1196" t="str">
            <v>DropWizS</v>
          </cell>
          <cell r="K1196" t="str">
            <v>hp</v>
          </cell>
          <cell r="L1196" t="str">
            <v>体力タイプ</v>
          </cell>
          <cell r="M1196" t="str">
            <v>dragon</v>
          </cell>
        </row>
        <row r="1197">
          <cell r="A1197">
            <v>8005</v>
          </cell>
          <cell r="B1197" t="str">
            <v>ja</v>
          </cell>
          <cell r="C1197" t="str">
            <v>三蔵法師</v>
          </cell>
          <cell r="D1197" t="str">
            <v>イベント:ミクコラボ01</v>
          </cell>
          <cell r="E1197" t="str">
            <v>執行者</v>
          </cell>
          <cell r="F1197" t="str">
            <v>格好いい</v>
          </cell>
          <cell r="G1197" t="str">
            <v>不明</v>
          </cell>
          <cell r="H1197" t="str">
            <v>blue</v>
          </cell>
          <cell r="I1197">
            <v>5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8006</v>
          </cell>
          <cell r="B1198" t="str">
            <v>ja</v>
          </cell>
          <cell r="C1198" t="str">
            <v>三蔵法師</v>
          </cell>
          <cell r="D1198" t="str">
            <v>イベント:ミクコラボ01</v>
          </cell>
          <cell r="E1198" t="str">
            <v>執行者</v>
          </cell>
          <cell r="F1198" t="str">
            <v>格好いい</v>
          </cell>
          <cell r="G1198" t="str">
            <v>不明</v>
          </cell>
          <cell r="H1198" t="str">
            <v>blue</v>
          </cell>
          <cell r="I1198">
            <v>6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human</v>
          </cell>
        </row>
        <row r="1199">
          <cell r="A1199">
            <v>8007</v>
          </cell>
          <cell r="B1199" t="str">
            <v>ja</v>
          </cell>
          <cell r="C1199" t="str">
            <v>孫悟空</v>
          </cell>
          <cell r="D1199" t="str">
            <v>イベント:ミクコラボ01</v>
          </cell>
          <cell r="E1199" t="str">
            <v>執行者</v>
          </cell>
          <cell r="F1199" t="str">
            <v>格好いい</v>
          </cell>
          <cell r="G1199" t="str">
            <v>不明</v>
          </cell>
          <cell r="H1199" t="str">
            <v>red</v>
          </cell>
          <cell r="I1199">
            <v>5</v>
          </cell>
          <cell r="J1199" t="str">
            <v>DropWizS</v>
          </cell>
          <cell r="K1199" t="str">
            <v>attack</v>
          </cell>
          <cell r="L1199" t="str">
            <v>攻撃タイプ</v>
          </cell>
          <cell r="M1199" t="str">
            <v>animal</v>
          </cell>
        </row>
        <row r="1200">
          <cell r="A1200">
            <v>8008</v>
          </cell>
          <cell r="B1200" t="str">
            <v>ja</v>
          </cell>
          <cell r="C1200" t="str">
            <v>孫悟空</v>
          </cell>
          <cell r="D1200" t="str">
            <v>イベント:ミクコラボ01</v>
          </cell>
          <cell r="E1200" t="str">
            <v>執行者</v>
          </cell>
          <cell r="F1200" t="str">
            <v>格好いい</v>
          </cell>
          <cell r="G1200" t="str">
            <v>不明</v>
          </cell>
          <cell r="H1200" t="str">
            <v>red</v>
          </cell>
          <cell r="I1200">
            <v>6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animal</v>
          </cell>
        </row>
        <row r="1201">
          <cell r="A1201">
            <v>8009</v>
          </cell>
          <cell r="B1201" t="str">
            <v>ja</v>
          </cell>
          <cell r="C1201" t="str">
            <v>西王娘娘</v>
          </cell>
          <cell r="D1201" t="str">
            <v>イベント:ミクコラボ01</v>
          </cell>
          <cell r="E1201" t="str">
            <v>執行者</v>
          </cell>
          <cell r="F1201" t="str">
            <v>格好いい</v>
          </cell>
          <cell r="G1201" t="str">
            <v>不明</v>
          </cell>
          <cell r="H1201" t="str">
            <v>green</v>
          </cell>
          <cell r="I1201">
            <v>5</v>
          </cell>
          <cell r="J1201" t="str">
            <v>PremiumSS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8010</v>
          </cell>
          <cell r="B1202" t="str">
            <v>ja</v>
          </cell>
          <cell r="C1202" t="str">
            <v>西王娘娘</v>
          </cell>
          <cell r="D1202" t="str">
            <v>イベント:ミクコラボ01</v>
          </cell>
          <cell r="E1202" t="str">
            <v>執行者</v>
          </cell>
          <cell r="F1202" t="str">
            <v>格好いい</v>
          </cell>
          <cell r="G1202" t="str">
            <v>不明</v>
          </cell>
          <cell r="H1202" t="str">
            <v>green</v>
          </cell>
          <cell r="I1202">
            <v>6</v>
          </cell>
          <cell r="J1202" t="str">
            <v>PremiumSS</v>
          </cell>
          <cell r="K1202" t="str">
            <v>attack</v>
          </cell>
          <cell r="L1202" t="str">
            <v>攻撃タイプ</v>
          </cell>
          <cell r="M1202" t="str">
            <v>god</v>
          </cell>
        </row>
        <row r="1203">
          <cell r="A1203">
            <v>8011</v>
          </cell>
          <cell r="B1203" t="str">
            <v>ja</v>
          </cell>
          <cell r="C1203" t="str">
            <v>月下老人</v>
          </cell>
          <cell r="D1203" t="str">
            <v>イベント:ミクコラボ01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yellow</v>
          </cell>
          <cell r="I1203">
            <v>5</v>
          </cell>
          <cell r="J1203" t="str">
            <v>DropWizS</v>
          </cell>
          <cell r="K1203" t="str">
            <v>balance</v>
          </cell>
          <cell r="L1203" t="str">
            <v>バランスタイプ</v>
          </cell>
          <cell r="M1203" t="str">
            <v>god</v>
          </cell>
        </row>
        <row r="1204">
          <cell r="A1204">
            <v>8012</v>
          </cell>
          <cell r="B1204" t="str">
            <v>ja</v>
          </cell>
          <cell r="C1204" t="str">
            <v>良緣祈福 月下老人</v>
          </cell>
          <cell r="D1204" t="str">
            <v>イベント:ミクコラボ01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6</v>
          </cell>
          <cell r="J1204" t="str">
            <v>DropWizS</v>
          </cell>
          <cell r="K1204" t="str">
            <v>balance</v>
          </cell>
          <cell r="L1204" t="str">
            <v>バランスタイプ</v>
          </cell>
          <cell r="M1204" t="str">
            <v>god</v>
          </cell>
        </row>
        <row r="1205">
          <cell r="A1205">
            <v>8013</v>
          </cell>
          <cell r="B1205" t="str">
            <v>ja</v>
          </cell>
          <cell r="C1205" t="str">
            <v>初音ミクV3</v>
          </cell>
          <cell r="D1205" t="str">
            <v>初音ミクV3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4</v>
          </cell>
          <cell r="J1205" t="str">
            <v>DropWizS</v>
          </cell>
          <cell r="K1205" t="str">
            <v>balance</v>
          </cell>
          <cell r="L1205" t="str">
            <v>バランスタイプ</v>
          </cell>
          <cell r="M1205" t="str">
            <v>unknown</v>
          </cell>
        </row>
        <row r="1206">
          <cell r="A1206">
            <v>8014</v>
          </cell>
          <cell r="B1206" t="str">
            <v>ja</v>
          </cell>
          <cell r="C1206" t="str">
            <v>初音ミクV3</v>
          </cell>
          <cell r="D1206" t="str">
            <v>初音ミクV3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yellow</v>
          </cell>
          <cell r="I1206">
            <v>5</v>
          </cell>
          <cell r="J1206" t="str">
            <v>DropWizS</v>
          </cell>
          <cell r="K1206" t="str">
            <v>balance</v>
          </cell>
          <cell r="L1206" t="str">
            <v>バランスタイプ</v>
          </cell>
          <cell r="M1206" t="str">
            <v>unknown</v>
          </cell>
        </row>
        <row r="1207">
          <cell r="A1207">
            <v>8015</v>
          </cell>
          <cell r="B1207" t="str">
            <v>ja</v>
          </cell>
          <cell r="C1207" t="str">
            <v>初音ミク・アペンド</v>
          </cell>
          <cell r="D1207" t="str">
            <v>初音ミク・アペンド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4</v>
          </cell>
          <cell r="J1207" t="str">
            <v>PremiumSSS</v>
          </cell>
          <cell r="K1207" t="str">
            <v>technical</v>
          </cell>
          <cell r="L1207" t="str">
            <v>テクニカルタイプ</v>
          </cell>
          <cell r="M1207" t="str">
            <v>unknown</v>
          </cell>
        </row>
        <row r="1208">
          <cell r="A1208">
            <v>8016</v>
          </cell>
          <cell r="B1208" t="str">
            <v>ja</v>
          </cell>
          <cell r="C1208" t="str">
            <v>初音ミク・アペンド</v>
          </cell>
          <cell r="D1208" t="str">
            <v>初音ミク・アペンド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5</v>
          </cell>
          <cell r="J1208" t="str">
            <v>PremiumSSS</v>
          </cell>
          <cell r="K1208" t="str">
            <v>technical</v>
          </cell>
          <cell r="L1208" t="str">
            <v>テクニカルタイプ</v>
          </cell>
          <cell r="M1208" t="str">
            <v>unknown</v>
          </cell>
        </row>
        <row r="1209">
          <cell r="A1209">
            <v>8017</v>
          </cell>
          <cell r="B1209" t="str">
            <v>ja</v>
          </cell>
          <cell r="C1209" t="str">
            <v>初音ミク</v>
          </cell>
          <cell r="D1209" t="str">
            <v>初音ミク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4</v>
          </cell>
          <cell r="J1209" t="str">
            <v>PremiumSSS</v>
          </cell>
          <cell r="K1209" t="str">
            <v>balance</v>
          </cell>
          <cell r="L1209" t="str">
            <v>バランスタイプ</v>
          </cell>
          <cell r="M1209" t="str">
            <v>unknown</v>
          </cell>
        </row>
        <row r="1210">
          <cell r="A1210">
            <v>8018</v>
          </cell>
          <cell r="B1210" t="str">
            <v>ja</v>
          </cell>
          <cell r="C1210" t="str">
            <v>初音ミク</v>
          </cell>
          <cell r="D1210" t="str">
            <v>初音ミク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PremiumSSS</v>
          </cell>
          <cell r="K1210" t="str">
            <v>balance</v>
          </cell>
          <cell r="L1210" t="str">
            <v>バランスタイプ</v>
          </cell>
          <cell r="M1210" t="str">
            <v>unknown</v>
          </cell>
        </row>
        <row r="1211">
          <cell r="A1211">
            <v>8019</v>
          </cell>
          <cell r="B1211" t="str">
            <v>ja</v>
          </cell>
          <cell r="C1211" t="str">
            <v>鏡音リン</v>
          </cell>
          <cell r="D1211" t="str">
            <v>鏡音リン</v>
          </cell>
          <cell r="E1211" t="str">
            <v>執行者</v>
          </cell>
          <cell r="F1211" t="str">
            <v>格好いい</v>
          </cell>
          <cell r="G1211" t="str">
            <v>男性</v>
          </cell>
          <cell r="H1211" t="str">
            <v>yellow</v>
          </cell>
          <cell r="I1211">
            <v>4</v>
          </cell>
          <cell r="J1211" t="str">
            <v>PremiumSS</v>
          </cell>
          <cell r="K1211" t="str">
            <v>balance</v>
          </cell>
          <cell r="L1211" t="str">
            <v>バランスタイプ</v>
          </cell>
          <cell r="M1211" t="str">
            <v>unknown</v>
          </cell>
        </row>
        <row r="1212">
          <cell r="A1212">
            <v>8020</v>
          </cell>
          <cell r="B1212" t="str">
            <v>ja</v>
          </cell>
          <cell r="C1212" t="str">
            <v>鏡音リン</v>
          </cell>
          <cell r="D1212" t="str">
            <v>鏡音リン</v>
          </cell>
          <cell r="E1212" t="str">
            <v>執行者</v>
          </cell>
          <cell r="F1212" t="str">
            <v>格好いい</v>
          </cell>
          <cell r="G1212" t="str">
            <v>男性</v>
          </cell>
          <cell r="H1212" t="str">
            <v>yellow</v>
          </cell>
          <cell r="I1212">
            <v>5</v>
          </cell>
          <cell r="J1212" t="str">
            <v>PremiumSS</v>
          </cell>
          <cell r="K1212" t="str">
            <v>balance</v>
          </cell>
          <cell r="L1212" t="str">
            <v>バランスタイプ</v>
          </cell>
          <cell r="M1212" t="str">
            <v>unknown</v>
          </cell>
        </row>
        <row r="1213">
          <cell r="A1213">
            <v>8021</v>
          </cell>
          <cell r="B1213" t="str">
            <v>ja</v>
          </cell>
          <cell r="C1213" t="str">
            <v>鏡音レン</v>
          </cell>
          <cell r="D1213" t="str">
            <v>鏡音レン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4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8022</v>
          </cell>
          <cell r="B1214" t="str">
            <v>ja</v>
          </cell>
          <cell r="C1214" t="str">
            <v>鏡音レン</v>
          </cell>
          <cell r="D1214" t="str">
            <v>鏡音レン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yellow</v>
          </cell>
          <cell r="I1214">
            <v>5</v>
          </cell>
          <cell r="J1214" t="str">
            <v>PremiumSS</v>
          </cell>
          <cell r="K1214" t="str">
            <v>heal</v>
          </cell>
          <cell r="L1214" t="str">
            <v>回復タイプ</v>
          </cell>
          <cell r="M1214" t="str">
            <v>unknown</v>
          </cell>
        </row>
        <row r="1215">
          <cell r="A1215">
            <v>8023</v>
          </cell>
          <cell r="B1215" t="str">
            <v>ja</v>
          </cell>
          <cell r="C1215" t="str">
            <v>巡音ルカ</v>
          </cell>
          <cell r="D1215" t="str">
            <v>巡音ルカ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3</v>
          </cell>
          <cell r="J1215" t="str">
            <v>PremiumS</v>
          </cell>
          <cell r="K1215" t="str">
            <v>attack</v>
          </cell>
          <cell r="L1215" t="str">
            <v>攻撃タイプ</v>
          </cell>
          <cell r="M1215" t="str">
            <v>unknown</v>
          </cell>
        </row>
        <row r="1216">
          <cell r="A1216">
            <v>8024</v>
          </cell>
          <cell r="B1216" t="str">
            <v>ja</v>
          </cell>
          <cell r="C1216" t="str">
            <v>巡音ルカ</v>
          </cell>
          <cell r="D1216" t="str">
            <v>巡音ルカ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unknown</v>
          </cell>
        </row>
        <row r="1217">
          <cell r="A1217">
            <v>8025</v>
          </cell>
          <cell r="B1217" t="str">
            <v>ja</v>
          </cell>
          <cell r="C1217" t="str">
            <v>MEIKO</v>
          </cell>
          <cell r="D1217" t="str">
            <v>MEIKO</v>
          </cell>
          <cell r="E1217" t="str">
            <v>執行者</v>
          </cell>
          <cell r="F1217" t="str">
            <v>格好いい</v>
          </cell>
          <cell r="G1217" t="str">
            <v>男性</v>
          </cell>
          <cell r="H1217" t="str">
            <v>red</v>
          </cell>
          <cell r="I1217">
            <v>3</v>
          </cell>
          <cell r="J1217" t="str">
            <v>PremiumS</v>
          </cell>
          <cell r="K1217" t="str">
            <v>hp</v>
          </cell>
          <cell r="L1217" t="str">
            <v>体力タイプ</v>
          </cell>
          <cell r="M1217" t="str">
            <v>unknown</v>
          </cell>
        </row>
        <row r="1218">
          <cell r="A1218">
            <v>8026</v>
          </cell>
          <cell r="B1218" t="str">
            <v>ja</v>
          </cell>
          <cell r="C1218" t="str">
            <v>MEIKO</v>
          </cell>
          <cell r="D1218" t="str">
            <v>MEIKO</v>
          </cell>
          <cell r="E1218" t="str">
            <v>執行者</v>
          </cell>
          <cell r="F1218" t="str">
            <v>格好いい</v>
          </cell>
          <cell r="G1218" t="str">
            <v>男性</v>
          </cell>
          <cell r="H1218" t="str">
            <v>red</v>
          </cell>
          <cell r="I1218">
            <v>4</v>
          </cell>
          <cell r="J1218" t="str">
            <v>PremiumS</v>
          </cell>
          <cell r="K1218" t="str">
            <v>hp</v>
          </cell>
          <cell r="L1218" t="str">
            <v>体力タイプ</v>
          </cell>
          <cell r="M1218" t="str">
            <v>unknown</v>
          </cell>
        </row>
        <row r="1219">
          <cell r="A1219">
            <v>8027</v>
          </cell>
          <cell r="B1219" t="str">
            <v>ja</v>
          </cell>
          <cell r="C1219" t="str">
            <v>KAITO</v>
          </cell>
          <cell r="D1219" t="str">
            <v>KAITO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3</v>
          </cell>
          <cell r="J1219" t="str">
            <v>PremiumS</v>
          </cell>
          <cell r="K1219" t="str">
            <v>technical</v>
          </cell>
          <cell r="L1219" t="str">
            <v>テクニカルタイプ</v>
          </cell>
          <cell r="M1219" t="str">
            <v>unknown</v>
          </cell>
        </row>
        <row r="1220">
          <cell r="A1220">
            <v>8028</v>
          </cell>
          <cell r="B1220" t="str">
            <v>ja</v>
          </cell>
          <cell r="C1220" t="str">
            <v>KAITO</v>
          </cell>
          <cell r="D1220" t="str">
            <v>KAITO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PremiumS</v>
          </cell>
          <cell r="K1220" t="str">
            <v>technical</v>
          </cell>
          <cell r="L1220" t="str">
            <v>テクニカルタイプ</v>
          </cell>
          <cell r="M1220" t="str">
            <v>unknown</v>
          </cell>
        </row>
        <row r="1221">
          <cell r="A1221">
            <v>8029</v>
          </cell>
          <cell r="B1221" t="str">
            <v>ja</v>
          </cell>
          <cell r="C1221" t="str">
            <v>Expoミク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8030</v>
          </cell>
          <cell r="B1222" t="str">
            <v>ja</v>
          </cell>
          <cell r="C1222" t="str">
            <v>Expoミク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8031</v>
          </cell>
          <cell r="B1223" t="str">
            <v>ja</v>
          </cell>
          <cell r="C1223" t="str">
            <v>閻羅王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PremiumSS</v>
          </cell>
          <cell r="K1223" t="str">
            <v>balance</v>
          </cell>
          <cell r="L1223" t="str">
            <v>バランスタイプ</v>
          </cell>
          <cell r="M1223" t="str">
            <v>god</v>
          </cell>
        </row>
        <row r="1224">
          <cell r="A1224">
            <v>8032</v>
          </cell>
          <cell r="B1224" t="str">
            <v>ja</v>
          </cell>
          <cell r="C1224" t="str">
            <v>十殿閻羅王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red</v>
          </cell>
          <cell r="I1224">
            <v>6</v>
          </cell>
          <cell r="J1224" t="str">
            <v>PremiumSS</v>
          </cell>
          <cell r="K1224" t="str">
            <v>balance</v>
          </cell>
          <cell r="L1224" t="str">
            <v>バランスタイプ</v>
          </cell>
          <cell r="M1224" t="str">
            <v>god</v>
          </cell>
        </row>
        <row r="1225">
          <cell r="A1225">
            <v>8033</v>
          </cell>
          <cell r="B1225" t="str">
            <v>ja</v>
          </cell>
          <cell r="C1225" t="str">
            <v>牛頭馬面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DropWizS</v>
          </cell>
          <cell r="K1225" t="str">
            <v>attack</v>
          </cell>
          <cell r="L1225" t="str">
            <v>攻撃タイプ</v>
          </cell>
          <cell r="M1225" t="str">
            <v>god</v>
          </cell>
        </row>
        <row r="1226">
          <cell r="A1226">
            <v>8034</v>
          </cell>
          <cell r="B1226" t="str">
            <v>ja</v>
          </cell>
          <cell r="C1226" t="str">
            <v>牛頭馬面</v>
          </cell>
          <cell r="D1226" t="str">
            <v>Expoミク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6</v>
          </cell>
          <cell r="J1226" t="str">
            <v>DropWizS</v>
          </cell>
          <cell r="K1226" t="str">
            <v>attack</v>
          </cell>
          <cell r="L1226" t="str">
            <v>攻撃タイプ</v>
          </cell>
          <cell r="M1226" t="str">
            <v>god</v>
          </cell>
        </row>
        <row r="1227">
          <cell r="A1227">
            <v>8035</v>
          </cell>
          <cell r="B1227" t="str">
            <v>ja</v>
          </cell>
          <cell r="C1227" t="str">
            <v>嫦娥</v>
          </cell>
          <cell r="D1227" t="str">
            <v>Expoミク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blue</v>
          </cell>
          <cell r="I1227">
            <v>4</v>
          </cell>
          <cell r="J1227" t="str">
            <v>Drop2N</v>
          </cell>
          <cell r="K1227" t="str">
            <v>heal</v>
          </cell>
          <cell r="L1227" t="str">
            <v>回復タイプ</v>
          </cell>
          <cell r="M1227" t="str">
            <v>unknown</v>
          </cell>
        </row>
        <row r="1228">
          <cell r="A1228">
            <v>8036</v>
          </cell>
          <cell r="B1228" t="str">
            <v>ja</v>
          </cell>
          <cell r="C1228" t="str">
            <v>嫦娥</v>
          </cell>
          <cell r="D1228" t="str">
            <v>Expoミク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blue</v>
          </cell>
          <cell r="I1228">
            <v>4</v>
          </cell>
          <cell r="J1228" t="str">
            <v>Drop2N</v>
          </cell>
          <cell r="K1228" t="str">
            <v>heal</v>
          </cell>
          <cell r="L1228" t="str">
            <v>回復タイプ</v>
          </cell>
          <cell r="M1228" t="str">
            <v>unknown</v>
          </cell>
        </row>
        <row r="1229">
          <cell r="A1229">
            <v>8037</v>
          </cell>
          <cell r="B1229" t="str">
            <v>ja</v>
          </cell>
          <cell r="C1229" t="str">
            <v>后羿</v>
          </cell>
          <cell r="D1229" t="str">
            <v>Expoミク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blue</v>
          </cell>
          <cell r="I1229">
            <v>4</v>
          </cell>
          <cell r="J1229" t="str">
            <v>Drop2N</v>
          </cell>
          <cell r="K1229" t="str">
            <v>heal</v>
          </cell>
          <cell r="L1229" t="str">
            <v>回復タイプ</v>
          </cell>
          <cell r="M1229" t="str">
            <v>unknown</v>
          </cell>
        </row>
        <row r="1230">
          <cell r="A1230">
            <v>8038</v>
          </cell>
          <cell r="B1230" t="str">
            <v>ja</v>
          </cell>
          <cell r="C1230" t="str">
            <v>后羿</v>
          </cell>
          <cell r="D1230" t="str">
            <v>Expoミク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4</v>
          </cell>
          <cell r="J1230" t="str">
            <v>Drop2N</v>
          </cell>
          <cell r="K1230" t="str">
            <v>heal</v>
          </cell>
          <cell r="L1230" t="str">
            <v>回復タイプ</v>
          </cell>
          <cell r="M1230" t="str">
            <v>unknown</v>
          </cell>
        </row>
        <row r="1231">
          <cell r="A1231">
            <v>8039</v>
          </cell>
          <cell r="B1231" t="str">
            <v>ja</v>
          </cell>
          <cell r="C1231" t="str">
            <v>何仙姑</v>
          </cell>
          <cell r="D1231" t="str">
            <v>Expoミク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4</v>
          </cell>
          <cell r="J1231" t="str">
            <v>Drop2N</v>
          </cell>
          <cell r="K1231" t="str">
            <v>heal</v>
          </cell>
          <cell r="L1231" t="str">
            <v>回復タイプ</v>
          </cell>
          <cell r="M1231" t="str">
            <v>unknown</v>
          </cell>
        </row>
        <row r="1232">
          <cell r="A1232">
            <v>8040</v>
          </cell>
          <cell r="B1232" t="str">
            <v>ja</v>
          </cell>
          <cell r="C1232" t="str">
            <v>何仙姑</v>
          </cell>
          <cell r="D1232" t="str">
            <v>Expoミク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4</v>
          </cell>
          <cell r="J1232" t="str">
            <v>Drop2N</v>
          </cell>
          <cell r="K1232" t="str">
            <v>heal</v>
          </cell>
          <cell r="L1232" t="str">
            <v>回復タイプ</v>
          </cell>
          <cell r="M1232" t="str">
            <v>unknown</v>
          </cell>
        </row>
        <row r="1233">
          <cell r="A1233">
            <v>8041</v>
          </cell>
          <cell r="B1233" t="str">
            <v>ja</v>
          </cell>
          <cell r="C1233" t="str">
            <v>藍采和</v>
          </cell>
          <cell r="D1233" t="str">
            <v>Expoミク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Drop2N</v>
          </cell>
          <cell r="K1233" t="str">
            <v>heal</v>
          </cell>
          <cell r="L1233" t="str">
            <v>回復タイプ</v>
          </cell>
          <cell r="M1233" t="str">
            <v>unknown</v>
          </cell>
        </row>
        <row r="1234">
          <cell r="A1234">
            <v>8042</v>
          </cell>
          <cell r="B1234" t="str">
            <v>ja</v>
          </cell>
          <cell r="C1234" t="str">
            <v>藍采和</v>
          </cell>
          <cell r="D1234" t="str">
            <v>Expoミク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4</v>
          </cell>
          <cell r="J1234" t="str">
            <v>Drop2N</v>
          </cell>
          <cell r="K1234" t="str">
            <v>heal</v>
          </cell>
          <cell r="L1234" t="str">
            <v>回復タイプ</v>
          </cell>
          <cell r="M1234" t="str">
            <v>unknown</v>
          </cell>
        </row>
        <row r="1235">
          <cell r="A1235">
            <v>8043</v>
          </cell>
          <cell r="B1235" t="str">
            <v>ja</v>
          </cell>
          <cell r="C1235" t="str">
            <v>サンリオキャラ大集合+アザゼル</v>
          </cell>
          <cell r="D1235" t="str">
            <v>サンリオキャラ大集合+アザゼル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green</v>
          </cell>
          <cell r="I1235">
            <v>5</v>
          </cell>
          <cell r="J1235" t="str">
            <v>DropWizS</v>
          </cell>
          <cell r="K1235" t="str">
            <v>technical</v>
          </cell>
          <cell r="L1235" t="str">
            <v>テクニカルタイプ</v>
          </cell>
          <cell r="M1235" t="str">
            <v>ss</v>
          </cell>
        </row>
        <row r="1236">
          <cell r="A1236">
            <v>8044</v>
          </cell>
          <cell r="B1236" t="str">
            <v>ja</v>
          </cell>
          <cell r="C1236" t="str">
            <v>サンリオキャラ大集合+アザゼル</v>
          </cell>
          <cell r="D1236" t="str">
            <v>サンリオキャラ大集合+アザゼル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green</v>
          </cell>
          <cell r="I1236">
            <v>6</v>
          </cell>
          <cell r="J1236" t="str">
            <v>DropWizS</v>
          </cell>
          <cell r="K1236" t="str">
            <v>technical</v>
          </cell>
          <cell r="L1236" t="str">
            <v>テクニカルタイプ</v>
          </cell>
          <cell r="M1236" t="str">
            <v>ss</v>
          </cell>
        </row>
        <row r="1237">
          <cell r="A1237">
            <v>8045</v>
          </cell>
          <cell r="B1237" t="str">
            <v>ja</v>
          </cell>
          <cell r="C1237" t="str">
            <v>ニムダ_サンリオキャラ混じり</v>
          </cell>
          <cell r="D1237" t="str">
            <v>ニムダ_サンリオキャラ混じり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technical</v>
          </cell>
          <cell r="L1237" t="str">
            <v>テクニカルタイプ</v>
          </cell>
          <cell r="M1237" t="str">
            <v>ss</v>
          </cell>
        </row>
        <row r="1238">
          <cell r="A1238">
            <v>8046</v>
          </cell>
          <cell r="B1238" t="str">
            <v>ja</v>
          </cell>
          <cell r="C1238" t="str">
            <v>ニムダ_サンリオキャラ混じり</v>
          </cell>
          <cell r="D1238" t="str">
            <v>ニムダ_サンリオキャラ混じり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technical</v>
          </cell>
          <cell r="L1238" t="str">
            <v>テクニカルタイプ</v>
          </cell>
          <cell r="M1238" t="str">
            <v>ss</v>
          </cell>
        </row>
        <row r="1239">
          <cell r="A1239">
            <v>8047</v>
          </cell>
          <cell r="B1239" t="str">
            <v>ja</v>
          </cell>
          <cell r="C1239" t="str">
            <v>ハローキティ</v>
          </cell>
          <cell r="D1239" t="str">
            <v>ハローキティ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4</v>
          </cell>
          <cell r="J1239" t="str">
            <v>Drop2N</v>
          </cell>
          <cell r="K1239" t="str">
            <v>balance</v>
          </cell>
          <cell r="L1239" t="str">
            <v>バランスタイプ</v>
          </cell>
          <cell r="M1239" t="str">
            <v>ss</v>
          </cell>
        </row>
        <row r="1240">
          <cell r="A1240">
            <v>8048</v>
          </cell>
          <cell r="B1240" t="str">
            <v>ja</v>
          </cell>
          <cell r="C1240" t="str">
            <v>ハローキティ</v>
          </cell>
          <cell r="D1240" t="str">
            <v>ハローキティ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red</v>
          </cell>
          <cell r="I1240">
            <v>5</v>
          </cell>
          <cell r="J1240" t="str">
            <v>Drop2N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8049</v>
          </cell>
          <cell r="B1241" t="str">
            <v>ja</v>
          </cell>
          <cell r="C1241" t="str">
            <v>KIRIMIちゃん</v>
          </cell>
          <cell r="D1241" t="str">
            <v>KIRIMIちゃん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red</v>
          </cell>
          <cell r="I1241">
            <v>4</v>
          </cell>
          <cell r="J1241" t="str">
            <v>Drop2N</v>
          </cell>
          <cell r="K1241" t="str">
            <v>hp</v>
          </cell>
          <cell r="L1241" t="str">
            <v>体力タイプ</v>
          </cell>
          <cell r="M1241" t="str">
            <v>ss</v>
          </cell>
        </row>
        <row r="1242">
          <cell r="A1242">
            <v>8050</v>
          </cell>
          <cell r="B1242" t="str">
            <v>ja</v>
          </cell>
          <cell r="C1242" t="str">
            <v>KIRIMIちゃん</v>
          </cell>
          <cell r="D1242" t="str">
            <v>KIRIMIちゃん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red</v>
          </cell>
          <cell r="I1242">
            <v>5</v>
          </cell>
          <cell r="J1242" t="str">
            <v>Drop2N</v>
          </cell>
          <cell r="K1242" t="str">
            <v>hp</v>
          </cell>
          <cell r="L1242" t="str">
            <v>体力タイプ</v>
          </cell>
          <cell r="M1242" t="str">
            <v>ss</v>
          </cell>
        </row>
        <row r="1243">
          <cell r="A1243">
            <v>8051</v>
          </cell>
          <cell r="B1243" t="str">
            <v>ja</v>
          </cell>
          <cell r="C1243" t="str">
            <v>ハローキティのリボン</v>
          </cell>
          <cell r="D1243" t="str">
            <v>ハローキティのリボン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red</v>
          </cell>
          <cell r="I1243">
            <v>5</v>
          </cell>
          <cell r="J1243" t="str">
            <v>Drop2N</v>
          </cell>
          <cell r="K1243" t="str">
            <v>evolution</v>
          </cell>
          <cell r="L1243" t="str">
            <v>覚醒素材タイプ</v>
          </cell>
          <cell r="M1243" t="str">
            <v>ss</v>
          </cell>
        </row>
        <row r="1244">
          <cell r="A1244">
            <v>8052</v>
          </cell>
          <cell r="B1244" t="str">
            <v>ja</v>
          </cell>
          <cell r="C1244" t="str">
            <v>ママの作ったアップルパイ</v>
          </cell>
          <cell r="D1244" t="str">
            <v>ママの作ったアップルパイ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red</v>
          </cell>
          <cell r="I1244">
            <v>4</v>
          </cell>
          <cell r="J1244" t="str">
            <v>Drop2N</v>
          </cell>
          <cell r="K1244" t="str">
            <v>evolution</v>
          </cell>
          <cell r="L1244" t="str">
            <v>覚醒素材タイプ</v>
          </cell>
          <cell r="M1244" t="str">
            <v>ss</v>
          </cell>
        </row>
        <row r="1245">
          <cell r="A1245">
            <v>8053</v>
          </cell>
          <cell r="B1245" t="str">
            <v>ja</v>
          </cell>
          <cell r="C1245" t="str">
            <v>D.R.T.H__キティコスプレ</v>
          </cell>
          <cell r="D1245" t="str">
            <v>D.R.T.H__キティコスプレ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8054</v>
          </cell>
          <cell r="B1246" t="str">
            <v>ja</v>
          </cell>
          <cell r="C1246" t="str">
            <v>D.R.T.H__キティコスプレ</v>
          </cell>
          <cell r="D1246" t="str">
            <v>D.R.T.H__キティコスプレ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ss</v>
          </cell>
        </row>
        <row r="1247">
          <cell r="A1247">
            <v>8055</v>
          </cell>
          <cell r="B1247" t="str">
            <v>ja</v>
          </cell>
          <cell r="C1247" t="str">
            <v>マイメロディ</v>
          </cell>
          <cell r="D1247" t="str">
            <v>マイメロディ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red</v>
          </cell>
          <cell r="I1247">
            <v>4</v>
          </cell>
          <cell r="J1247" t="str">
            <v>PremiumS</v>
          </cell>
          <cell r="K1247" t="str">
            <v>attack</v>
          </cell>
          <cell r="L1247" t="str">
            <v>攻撃タイプ</v>
          </cell>
          <cell r="M1247" t="str">
            <v>ss</v>
          </cell>
        </row>
        <row r="1248">
          <cell r="A1248">
            <v>8056</v>
          </cell>
          <cell r="B1248" t="str">
            <v>ja</v>
          </cell>
          <cell r="C1248" t="str">
            <v>マイメロディ</v>
          </cell>
          <cell r="D1248" t="str">
            <v>マイメロディ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red</v>
          </cell>
          <cell r="I1248">
            <v>5</v>
          </cell>
          <cell r="J1248" t="str">
            <v>PremiumS</v>
          </cell>
          <cell r="K1248" t="str">
            <v>attack</v>
          </cell>
          <cell r="L1248" t="str">
            <v>攻撃タイプ</v>
          </cell>
          <cell r="M1248" t="str">
            <v>ss</v>
          </cell>
        </row>
        <row r="1249">
          <cell r="A1249">
            <v>8057</v>
          </cell>
          <cell r="B1249" t="str">
            <v>ja</v>
          </cell>
          <cell r="C1249" t="str">
            <v>ニーベルゲン_シナモロールコスプレ</v>
          </cell>
          <cell r="D1249" t="str">
            <v>ニーベルゲン_シナモロールコスプレ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green</v>
          </cell>
          <cell r="I1249">
            <v>4</v>
          </cell>
          <cell r="J1249" t="str">
            <v>PremiumS</v>
          </cell>
          <cell r="K1249" t="str">
            <v>balance</v>
          </cell>
          <cell r="L1249" t="str">
            <v>バランスタイプ</v>
          </cell>
          <cell r="M1249" t="str">
            <v>ss</v>
          </cell>
        </row>
        <row r="1250">
          <cell r="A1250">
            <v>8058</v>
          </cell>
          <cell r="B1250" t="str">
            <v>ja</v>
          </cell>
          <cell r="C1250" t="str">
            <v>ニーベルゲン_シナモロールコスプレ</v>
          </cell>
          <cell r="D1250" t="str">
            <v>ニーベルゲン_シナモロールコスプレ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green</v>
          </cell>
          <cell r="I1250">
            <v>5</v>
          </cell>
          <cell r="J1250" t="str">
            <v>PremiumS</v>
          </cell>
          <cell r="K1250" t="str">
            <v>balance</v>
          </cell>
          <cell r="L1250" t="str">
            <v>バランスタイプ</v>
          </cell>
          <cell r="M1250" t="str">
            <v>ss</v>
          </cell>
        </row>
        <row r="1251">
          <cell r="A1251">
            <v>8059</v>
          </cell>
          <cell r="B1251" t="str">
            <v>ja</v>
          </cell>
          <cell r="C1251" t="str">
            <v>カカシ_マイメロディコスプレ</v>
          </cell>
          <cell r="D1251" t="str">
            <v>カカシ_マイメロディコスプレ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green</v>
          </cell>
          <cell r="I1251">
            <v>4</v>
          </cell>
          <cell r="J1251" t="str">
            <v>PremiumS</v>
          </cell>
          <cell r="K1251" t="str">
            <v>technical</v>
          </cell>
          <cell r="L1251" t="str">
            <v>テクニカルタイプ</v>
          </cell>
          <cell r="M1251" t="str">
            <v>ss</v>
          </cell>
        </row>
        <row r="1252">
          <cell r="A1252">
            <v>8060</v>
          </cell>
          <cell r="B1252" t="str">
            <v>ja</v>
          </cell>
          <cell r="C1252" t="str">
            <v>カカシ_マイメロディコスプレ</v>
          </cell>
          <cell r="D1252" t="str">
            <v>カカシ_マイメロディコスプレ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green</v>
          </cell>
          <cell r="I1252">
            <v>5</v>
          </cell>
          <cell r="J1252" t="str">
            <v>PremiumS</v>
          </cell>
          <cell r="K1252" t="str">
            <v>technical</v>
          </cell>
          <cell r="L1252" t="str">
            <v>テクニカルタイプ</v>
          </cell>
          <cell r="M1252" t="str">
            <v>ss</v>
          </cell>
        </row>
        <row r="1253">
          <cell r="A1253">
            <v>8061</v>
          </cell>
          <cell r="B1253" t="str">
            <v>ja</v>
          </cell>
          <cell r="C1253" t="str">
            <v>ケロケロけろっぴ</v>
          </cell>
          <cell r="D1253" t="str">
            <v>ケロケロけろっぴ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green</v>
          </cell>
          <cell r="I1253">
            <v>3</v>
          </cell>
          <cell r="J1253" t="str">
            <v>PremiumS</v>
          </cell>
          <cell r="K1253" t="str">
            <v>balance</v>
          </cell>
          <cell r="L1253" t="str">
            <v>バランスタイプ</v>
          </cell>
          <cell r="M1253" t="str">
            <v>ss</v>
          </cell>
        </row>
        <row r="1254">
          <cell r="A1254">
            <v>8062</v>
          </cell>
          <cell r="B1254" t="str">
            <v>ja</v>
          </cell>
          <cell r="C1254" t="str">
            <v>ケロケロけろっぴ</v>
          </cell>
          <cell r="D1254" t="str">
            <v>ケロケロけろっぴ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green</v>
          </cell>
          <cell r="I1254">
            <v>4</v>
          </cell>
          <cell r="J1254" t="str">
            <v>PremiumS</v>
          </cell>
          <cell r="K1254" t="str">
            <v>balance</v>
          </cell>
          <cell r="L1254" t="str">
            <v>バランスタイプ</v>
          </cell>
          <cell r="M1254" t="str">
            <v>ss</v>
          </cell>
        </row>
        <row r="1255">
          <cell r="A1255">
            <v>8063</v>
          </cell>
          <cell r="B1255" t="str">
            <v>ja</v>
          </cell>
          <cell r="C1255" t="str">
            <v>モルドレッド_ポムポムプリンコスプレ</v>
          </cell>
          <cell r="D1255" t="str">
            <v>モルドレッド_ポムポムプリンコスプレ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blue</v>
          </cell>
          <cell r="I1255">
            <v>5</v>
          </cell>
          <cell r="J1255" t="str">
            <v>PremiumSS</v>
          </cell>
          <cell r="K1255" t="str">
            <v>heal</v>
          </cell>
          <cell r="L1255" t="str">
            <v>回復タイプ</v>
          </cell>
          <cell r="M1255" t="str">
            <v>ss</v>
          </cell>
        </row>
        <row r="1256">
          <cell r="A1256">
            <v>8064</v>
          </cell>
          <cell r="B1256" t="str">
            <v>ja</v>
          </cell>
          <cell r="C1256" t="str">
            <v>モルドレッド_ポムポムプリンコスプレ</v>
          </cell>
          <cell r="D1256" t="str">
            <v>モルドレッド_ポムポムプリンコスプレ</v>
          </cell>
          <cell r="E1256" t="str">
            <v>執行者</v>
          </cell>
          <cell r="F1256" t="str">
            <v>格好いい</v>
          </cell>
          <cell r="G1256" t="str">
            <v>女性</v>
          </cell>
          <cell r="H1256" t="str">
            <v>blue</v>
          </cell>
          <cell r="I1256">
            <v>6</v>
          </cell>
          <cell r="J1256" t="str">
            <v>PremiumSS</v>
          </cell>
          <cell r="K1256" t="str">
            <v>heal</v>
          </cell>
          <cell r="L1256" t="str">
            <v>回復タイプ</v>
          </cell>
          <cell r="M1256" t="str">
            <v>ss</v>
          </cell>
        </row>
        <row r="1257">
          <cell r="A1257">
            <v>8065</v>
          </cell>
          <cell r="B1257" t="str">
            <v>ja</v>
          </cell>
          <cell r="C1257" t="str">
            <v>クロミ</v>
          </cell>
          <cell r="D1257" t="str">
            <v>クロミ</v>
          </cell>
          <cell r="E1257" t="str">
            <v>執行者</v>
          </cell>
          <cell r="F1257" t="str">
            <v>格好いい</v>
          </cell>
          <cell r="G1257" t="str">
            <v>女性</v>
          </cell>
          <cell r="H1257" t="str">
            <v>blue</v>
          </cell>
          <cell r="I1257">
            <v>3</v>
          </cell>
          <cell r="J1257" t="str">
            <v>PremiumS</v>
          </cell>
          <cell r="K1257" t="str">
            <v>technical</v>
          </cell>
          <cell r="L1257" t="str">
            <v>テクニカルタイプ</v>
          </cell>
          <cell r="M1257" t="str">
            <v>ss</v>
          </cell>
        </row>
        <row r="1258">
          <cell r="A1258">
            <v>8066</v>
          </cell>
          <cell r="B1258" t="str">
            <v>ja</v>
          </cell>
          <cell r="C1258" t="str">
            <v>クロミ</v>
          </cell>
          <cell r="D1258" t="str">
            <v>クロミ</v>
          </cell>
          <cell r="E1258" t="str">
            <v>執行者</v>
          </cell>
          <cell r="F1258" t="str">
            <v>格好いい</v>
          </cell>
          <cell r="G1258" t="str">
            <v>女性</v>
          </cell>
          <cell r="H1258" t="str">
            <v>blue</v>
          </cell>
          <cell r="I1258">
            <v>4</v>
          </cell>
          <cell r="J1258" t="str">
            <v>PremiumS</v>
          </cell>
          <cell r="K1258" t="str">
            <v>technical</v>
          </cell>
          <cell r="L1258" t="str">
            <v>テクニカルタイプ</v>
          </cell>
          <cell r="M1258" t="str">
            <v>ss</v>
          </cell>
        </row>
        <row r="1259">
          <cell r="A1259">
            <v>8067</v>
          </cell>
          <cell r="B1259" t="str">
            <v>ja</v>
          </cell>
          <cell r="C1259" t="str">
            <v>バッドばつ丸</v>
          </cell>
          <cell r="D1259" t="str">
            <v>バッドばつ丸</v>
          </cell>
          <cell r="E1259" t="str">
            <v>執行者</v>
          </cell>
          <cell r="F1259" t="str">
            <v>格好いい</v>
          </cell>
          <cell r="G1259" t="str">
            <v>女性</v>
          </cell>
          <cell r="H1259" t="str">
            <v>blue</v>
          </cell>
          <cell r="I1259">
            <v>3</v>
          </cell>
          <cell r="J1259" t="str">
            <v>PremiumS</v>
          </cell>
          <cell r="K1259" t="str">
            <v>attack</v>
          </cell>
          <cell r="L1259" t="str">
            <v>攻撃タイプ</v>
          </cell>
          <cell r="M1259" t="str">
            <v>ss</v>
          </cell>
        </row>
        <row r="1260">
          <cell r="A1260">
            <v>8068</v>
          </cell>
          <cell r="B1260" t="str">
            <v>ja</v>
          </cell>
          <cell r="C1260" t="str">
            <v>バッドばつ丸</v>
          </cell>
          <cell r="D1260" t="str">
            <v>バッドばつ丸</v>
          </cell>
          <cell r="E1260" t="str">
            <v>執行者</v>
          </cell>
          <cell r="F1260" t="str">
            <v>格好いい</v>
          </cell>
          <cell r="G1260" t="str">
            <v>女性</v>
          </cell>
          <cell r="H1260" t="str">
            <v>blue</v>
          </cell>
          <cell r="I1260">
            <v>4</v>
          </cell>
          <cell r="J1260" t="str">
            <v>PremiumS</v>
          </cell>
          <cell r="K1260" t="str">
            <v>attack</v>
          </cell>
          <cell r="L1260" t="str">
            <v>攻撃タイプ</v>
          </cell>
          <cell r="M1260" t="str">
            <v>ss</v>
          </cell>
        </row>
        <row r="1261">
          <cell r="A1261">
            <v>8069</v>
          </cell>
          <cell r="B1261" t="str">
            <v>ja</v>
          </cell>
          <cell r="C1261" t="str">
            <v>シナモロール</v>
          </cell>
          <cell r="D1261" t="str">
            <v>シナモロール</v>
          </cell>
          <cell r="E1261" t="str">
            <v>執行者</v>
          </cell>
          <cell r="F1261" t="str">
            <v>格好いい</v>
          </cell>
          <cell r="G1261" t="str">
            <v>女性</v>
          </cell>
          <cell r="H1261" t="str">
            <v>yellow</v>
          </cell>
          <cell r="I1261">
            <v>4</v>
          </cell>
          <cell r="J1261" t="str">
            <v>PremiumS</v>
          </cell>
          <cell r="K1261" t="str">
            <v>heal</v>
          </cell>
          <cell r="L1261" t="str">
            <v>回復タイプ</v>
          </cell>
          <cell r="M1261" t="str">
            <v>ss</v>
          </cell>
        </row>
        <row r="1262">
          <cell r="A1262">
            <v>8070</v>
          </cell>
          <cell r="B1262" t="str">
            <v>ja</v>
          </cell>
          <cell r="C1262" t="str">
            <v>シナモロール</v>
          </cell>
          <cell r="D1262" t="str">
            <v>シナモロール</v>
          </cell>
          <cell r="E1262" t="str">
            <v>執行者</v>
          </cell>
          <cell r="F1262" t="str">
            <v>格好いい</v>
          </cell>
          <cell r="G1262" t="str">
            <v>女性</v>
          </cell>
          <cell r="H1262" t="str">
            <v>yellow</v>
          </cell>
          <cell r="I1262">
            <v>5</v>
          </cell>
          <cell r="J1262" t="str">
            <v>PremiumS</v>
          </cell>
          <cell r="K1262" t="str">
            <v>heal</v>
          </cell>
          <cell r="L1262" t="str">
            <v>回復タイプ</v>
          </cell>
          <cell r="M1262" t="str">
            <v>ss</v>
          </cell>
        </row>
        <row r="1263">
          <cell r="A1263">
            <v>8071</v>
          </cell>
          <cell r="B1263" t="str">
            <v>ja</v>
          </cell>
          <cell r="C1263" t="str">
            <v>ポムポムプリン</v>
          </cell>
          <cell r="D1263" t="str">
            <v>ポムポムプリン</v>
          </cell>
          <cell r="E1263" t="str">
            <v>執行者</v>
          </cell>
          <cell r="F1263" t="str">
            <v>格好いい</v>
          </cell>
          <cell r="G1263" t="str">
            <v>女性</v>
          </cell>
          <cell r="H1263" t="str">
            <v>yellow</v>
          </cell>
          <cell r="I1263">
            <v>3</v>
          </cell>
          <cell r="J1263" t="str">
            <v>PremiumS</v>
          </cell>
          <cell r="K1263" t="str">
            <v>hp</v>
          </cell>
          <cell r="L1263" t="str">
            <v>体力タイプ</v>
          </cell>
          <cell r="M1263" t="str">
            <v>ss</v>
          </cell>
        </row>
        <row r="1264">
          <cell r="A1264">
            <v>8072</v>
          </cell>
          <cell r="B1264" t="str">
            <v>ja</v>
          </cell>
          <cell r="C1264" t="str">
            <v>ポムポムプリン</v>
          </cell>
          <cell r="D1264" t="str">
            <v>ポムポムプリン</v>
          </cell>
          <cell r="E1264" t="str">
            <v>執行者</v>
          </cell>
          <cell r="F1264" t="str">
            <v>格好いい</v>
          </cell>
          <cell r="G1264" t="str">
            <v>女性</v>
          </cell>
          <cell r="H1264" t="str">
            <v>yellow</v>
          </cell>
          <cell r="I1264">
            <v>4</v>
          </cell>
          <cell r="J1264" t="str">
            <v>PremiumS</v>
          </cell>
          <cell r="K1264" t="str">
            <v>hp</v>
          </cell>
          <cell r="L1264" t="str">
            <v>体力タイプ</v>
          </cell>
          <cell r="M1264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I24" sqref="I2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9" t="s">
        <v>169</v>
      </c>
      <c r="B2" s="38" t="s">
        <v>59</v>
      </c>
      <c r="C2" s="35">
        <v>7303</v>
      </c>
      <c r="D2" s="16" t="s">
        <v>37</v>
      </c>
      <c r="E2" s="14" t="str">
        <f t="shared" ref="E2:E3" si="0">B2&amp;C2&amp;D2</f>
        <v>gacha_select_tables_7303.tmp</v>
      </c>
      <c r="F2" s="59" t="s">
        <v>175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7" t="s">
        <v>166</v>
      </c>
      <c r="B3" s="56" t="s">
        <v>170</v>
      </c>
      <c r="C3" s="57" t="str">
        <f t="shared" ref="C2:C3" si="1">RIGHT(F3,6)</f>
        <v>426104</v>
      </c>
      <c r="D3" s="16" t="s">
        <v>171</v>
      </c>
      <c r="E3" s="14" t="str">
        <f t="shared" si="0"/>
        <v>gacha_settle_tables_426104.tmp</v>
      </c>
      <c r="F3" s="57" t="s">
        <v>172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7" t="s">
        <v>166</v>
      </c>
      <c r="B4" s="56" t="s">
        <v>170</v>
      </c>
      <c r="C4" s="57" t="str">
        <f t="shared" ref="C4" si="2">RIGHT(F4,6)</f>
        <v>426105</v>
      </c>
      <c r="D4" s="16" t="s">
        <v>171</v>
      </c>
      <c r="E4" s="14" t="str">
        <f t="shared" ref="E4" si="3">B4&amp;C4&amp;D4</f>
        <v>gacha_settle_tables_426105.tmp</v>
      </c>
      <c r="F4" s="57" t="s">
        <v>173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7" t="s">
        <v>166</v>
      </c>
      <c r="B5" s="38" t="s">
        <v>59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8" t="s">
        <v>174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7" t="s">
        <v>166</v>
      </c>
      <c r="B6" s="38" t="s">
        <v>59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8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7" t="s">
        <v>166</v>
      </c>
      <c r="B7" s="38" t="s">
        <v>59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8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7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7" t="s">
        <v>166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7" t="s">
        <v>166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9"/>
  <sheetViews>
    <sheetView showGridLines="0" zoomScale="75" zoomScaleNormal="75" zoomScalePageLayoutView="75" workbookViewId="0">
      <pane ySplit="1" topLeftCell="A25" activePane="bottomLeft" state="frozen"/>
      <selection activeCell="D34" sqref="D34"/>
      <selection pane="bottomLeft" activeCell="A72" sqref="A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7303010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2">
        <v>19</v>
      </c>
      <c r="P2" s="33">
        <f>O2/SUM(O:O)</f>
        <v>1.9250253292806486E-2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7303010</v>
      </c>
      <c r="B3" s="5">
        <v>321</v>
      </c>
      <c r="C3" s="7" t="str">
        <f t="shared" si="0"/>
        <v>PremiumSS5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2">
        <v>1</v>
      </c>
      <c r="P3" s="33">
        <f>O3/SUM(O:O)</f>
        <v>1.0131712259371835E-3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7303010</v>
      </c>
      <c r="B4" s="5">
        <v>324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2">
        <v>19</v>
      </c>
      <c r="P4" s="33">
        <f>O4/SUM(O:O)</f>
        <v>1.9250253292806486E-2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7303010</v>
      </c>
      <c r="B5" s="5">
        <v>325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32">
        <v>1</v>
      </c>
      <c r="P5" s="33">
        <f>O5/SUM(O:O)</f>
        <v>1.0131712259371835E-3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7303010</v>
      </c>
      <c r="B6" s="5">
        <v>383</v>
      </c>
      <c r="C6" s="7" t="str">
        <f t="shared" si="0"/>
        <v>PremiumSS4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2">
        <v>19</v>
      </c>
      <c r="P6" s="33">
        <f>O6/SUM(O:O)</f>
        <v>1.9250253292806486E-2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7303010</v>
      </c>
      <c r="B7" s="2">
        <v>384</v>
      </c>
      <c r="C7" s="7" t="str">
        <f t="shared" ref="C7:C70" si="2">D7&amp;J7&amp;E7&amp;F7&amp;G7</f>
        <v>PremiumSS5</v>
      </c>
      <c r="D7" s="7" t="str">
        <f t="shared" ref="D7:D70" si="3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32">
        <v>10</v>
      </c>
      <c r="P7" s="33">
        <f t="shared" ref="P7:P71" si="4">O7/SUM(O:O)</f>
        <v>1.0131712259371834E-2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7303010</v>
      </c>
      <c r="B8" s="2">
        <v>385</v>
      </c>
      <c r="C8" s="7" t="str">
        <f t="shared" si="2"/>
        <v>PremiumSS4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32">
        <v>19</v>
      </c>
      <c r="P8" s="33">
        <f t="shared" si="4"/>
        <v>1.9250253292806486E-2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7303010</v>
      </c>
      <c r="B9" s="2">
        <v>386</v>
      </c>
      <c r="C9" s="7" t="str">
        <f t="shared" si="2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2">
        <v>1</v>
      </c>
      <c r="P9" s="33">
        <f t="shared" si="4"/>
        <v>1.0131712259371835E-3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7303010</v>
      </c>
      <c r="B10" s="2">
        <v>390</v>
      </c>
      <c r="C10" s="7" t="str">
        <f t="shared" si="2"/>
        <v>PremiumSS4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2">
        <v>19</v>
      </c>
      <c r="P10" s="33">
        <f t="shared" si="4"/>
        <v>1.9250253292806486E-2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7303010</v>
      </c>
      <c r="B11" s="2">
        <v>391</v>
      </c>
      <c r="C11" s="7" t="str">
        <f t="shared" si="2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32">
        <v>1</v>
      </c>
      <c r="P11" s="33">
        <f t="shared" si="4"/>
        <v>1.0131712259371835E-3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7303010</v>
      </c>
      <c r="B12" s="2">
        <v>398</v>
      </c>
      <c r="C12" s="7" t="str">
        <f t="shared" si="2"/>
        <v>PremiumSS4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2">
        <v>19</v>
      </c>
      <c r="P12" s="33">
        <f t="shared" si="4"/>
        <v>1.9250253292806486E-2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7303010</v>
      </c>
      <c r="B13" s="2">
        <v>399</v>
      </c>
      <c r="C13" s="7" t="str">
        <f t="shared" si="2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2">
        <v>1</v>
      </c>
      <c r="P13" s="33">
        <f t="shared" si="4"/>
        <v>1.0131712259371835E-3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7303010</v>
      </c>
      <c r="B14" s="2">
        <v>403</v>
      </c>
      <c r="C14" s="7" t="str">
        <f t="shared" si="2"/>
        <v>PremiumSS4</v>
      </c>
      <c r="D14" s="7" t="str">
        <f t="shared" si="3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32">
        <v>19</v>
      </c>
      <c r="P14" s="33">
        <f t="shared" si="4"/>
        <v>1.9250253292806486E-2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7303010</v>
      </c>
      <c r="B15" s="2">
        <v>404</v>
      </c>
      <c r="C15" s="7" t="str">
        <f t="shared" si="2"/>
        <v>PremiumSS5</v>
      </c>
      <c r="D15" s="7" t="str">
        <f t="shared" si="3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32">
        <v>1</v>
      </c>
      <c r="P15" s="33">
        <f t="shared" si="4"/>
        <v>1.0131712259371835E-3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7303010</v>
      </c>
      <c r="B16" s="2">
        <v>434</v>
      </c>
      <c r="C16" s="7" t="str">
        <f t="shared" si="2"/>
        <v>PremiumSS4</v>
      </c>
      <c r="D16" s="7" t="str">
        <f t="shared" si="3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32">
        <v>19</v>
      </c>
      <c r="P16" s="33">
        <f t="shared" si="4"/>
        <v>1.9250253292806486E-2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7303010</v>
      </c>
      <c r="B17" s="2">
        <v>435</v>
      </c>
      <c r="C17" s="7" t="str">
        <f t="shared" si="2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32">
        <v>10</v>
      </c>
      <c r="P17" s="33">
        <f t="shared" si="4"/>
        <v>1.0131712259371834E-2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7303010</v>
      </c>
      <c r="B18" s="2">
        <v>465</v>
      </c>
      <c r="C18" s="7" t="str">
        <f t="shared" si="2"/>
        <v>PremiumSS4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32">
        <v>19</v>
      </c>
      <c r="P18" s="33">
        <f t="shared" si="4"/>
        <v>1.9250253292806486E-2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7303010</v>
      </c>
      <c r="B19" s="2">
        <v>466</v>
      </c>
      <c r="C19" s="7" t="str">
        <f t="shared" si="2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32">
        <v>1</v>
      </c>
      <c r="P19" s="33">
        <f t="shared" si="4"/>
        <v>1.0131712259371835E-3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7303010</v>
      </c>
      <c r="B20" s="2">
        <v>467</v>
      </c>
      <c r="C20" s="7" t="str">
        <f t="shared" si="2"/>
        <v>PremiumSS4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32">
        <v>19</v>
      </c>
      <c r="P20" s="33">
        <f t="shared" si="4"/>
        <v>1.9250253292806486E-2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7303010</v>
      </c>
      <c r="B21" s="2">
        <v>468</v>
      </c>
      <c r="C21" s="7" t="str">
        <f t="shared" si="2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32">
        <v>1</v>
      </c>
      <c r="P21" s="33">
        <f t="shared" si="4"/>
        <v>1.0131712259371835E-3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7303010</v>
      </c>
      <c r="B22" s="2">
        <v>474</v>
      </c>
      <c r="C22" s="7" t="str">
        <f t="shared" si="2"/>
        <v>PremiumSS4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2">
        <v>19</v>
      </c>
      <c r="P22" s="33">
        <f t="shared" si="4"/>
        <v>1.9250253292806486E-2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7303010</v>
      </c>
      <c r="B23" s="2">
        <v>475</v>
      </c>
      <c r="C23" s="7" t="str">
        <f t="shared" si="2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32">
        <v>1</v>
      </c>
      <c r="P23" s="33">
        <f t="shared" si="4"/>
        <v>1.0131712259371835E-3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7303010</v>
      </c>
      <c r="B24" s="2">
        <v>492</v>
      </c>
      <c r="C24" s="7" t="str">
        <f t="shared" si="2"/>
        <v>PremiumSS4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32">
        <v>19</v>
      </c>
      <c r="P24" s="33">
        <f t="shared" si="4"/>
        <v>1.9250253292806486E-2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7303010</v>
      </c>
      <c r="B25" s="2">
        <v>493</v>
      </c>
      <c r="C25" s="7" t="str">
        <f t="shared" si="2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32">
        <v>1</v>
      </c>
      <c r="P25" s="33">
        <f t="shared" si="4"/>
        <v>1.0131712259371835E-3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7303010</v>
      </c>
      <c r="B26" s="2">
        <v>494</v>
      </c>
      <c r="C26" s="7" t="str">
        <f t="shared" si="2"/>
        <v>PremiumSS4</v>
      </c>
      <c r="D26" s="7" t="str">
        <f t="shared" si="3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32">
        <v>19</v>
      </c>
      <c r="P26" s="33">
        <f t="shared" si="4"/>
        <v>1.9250253292806486E-2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7303010</v>
      </c>
      <c r="B27" s="2">
        <v>495</v>
      </c>
      <c r="C27" s="7" t="str">
        <f t="shared" si="2"/>
        <v>PremiumSS5</v>
      </c>
      <c r="D27" s="7" t="str">
        <f t="shared" si="3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32">
        <v>1</v>
      </c>
      <c r="P27" s="33">
        <f t="shared" si="4"/>
        <v>1.0131712259371835E-3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7303010</v>
      </c>
      <c r="B28" s="2">
        <v>499</v>
      </c>
      <c r="C28" s="7" t="str">
        <f t="shared" si="2"/>
        <v>PremiumSS4</v>
      </c>
      <c r="D28" s="7" t="str">
        <f t="shared" si="3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32">
        <v>19</v>
      </c>
      <c r="P28" s="33">
        <f t="shared" si="4"/>
        <v>1.9250253292806486E-2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7303010</v>
      </c>
      <c r="B29" s="2">
        <v>500</v>
      </c>
      <c r="C29" s="7" t="str">
        <f t="shared" si="2"/>
        <v>PremiumSS5</v>
      </c>
      <c r="D29" s="7" t="str">
        <f t="shared" si="3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32">
        <v>1</v>
      </c>
      <c r="P29" s="33">
        <f t="shared" si="4"/>
        <v>1.0131712259371835E-3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7303010</v>
      </c>
      <c r="B30" s="2">
        <v>594</v>
      </c>
      <c r="C30" s="7" t="str">
        <f t="shared" si="2"/>
        <v>PremiumSS4</v>
      </c>
      <c r="D30" s="7" t="str">
        <f t="shared" si="3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32">
        <v>19</v>
      </c>
      <c r="P30" s="33">
        <f t="shared" si="4"/>
        <v>1.9250253292806486E-2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7303010</v>
      </c>
      <c r="B31" s="2">
        <v>595</v>
      </c>
      <c r="C31" s="7" t="str">
        <f t="shared" si="2"/>
        <v>PremiumSS5</v>
      </c>
      <c r="D31" s="7" t="str">
        <f t="shared" si="3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32">
        <v>1</v>
      </c>
      <c r="P31" s="33">
        <f t="shared" si="4"/>
        <v>1.0131712259371835E-3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7303010</v>
      </c>
      <c r="B32" s="2">
        <v>602</v>
      </c>
      <c r="C32" s="7" t="str">
        <f t="shared" si="2"/>
        <v>PremiumSS4</v>
      </c>
      <c r="D32" s="7" t="str">
        <f t="shared" si="3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2">
        <v>19</v>
      </c>
      <c r="P32" s="33">
        <f t="shared" si="4"/>
        <v>1.9250253292806486E-2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7303010</v>
      </c>
      <c r="B33" s="2">
        <v>603</v>
      </c>
      <c r="C33" s="7" t="str">
        <f t="shared" si="2"/>
        <v>PremiumSS5</v>
      </c>
      <c r="D33" s="7" t="str">
        <f t="shared" si="3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2">
        <v>1</v>
      </c>
      <c r="P33" s="33">
        <f t="shared" si="4"/>
        <v>1.0131712259371835E-3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7303010</v>
      </c>
      <c r="B34" s="2">
        <v>658</v>
      </c>
      <c r="C34" s="7" t="str">
        <f t="shared" si="2"/>
        <v>PremiumSS4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32">
        <v>19</v>
      </c>
      <c r="P34" s="33">
        <f t="shared" si="4"/>
        <v>1.9250253292806486E-2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7303010</v>
      </c>
      <c r="B35" s="2">
        <v>659</v>
      </c>
      <c r="C35" s="7" t="str">
        <f t="shared" si="2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32">
        <v>1</v>
      </c>
      <c r="P35" s="33">
        <f t="shared" si="4"/>
        <v>1.0131712259371835E-3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7303010</v>
      </c>
      <c r="B36" s="2">
        <v>660</v>
      </c>
      <c r="C36" s="7" t="str">
        <f t="shared" si="2"/>
        <v>PremiumSS4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32">
        <v>19</v>
      </c>
      <c r="P36" s="33">
        <f t="shared" si="4"/>
        <v>1.9250253292806486E-2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7303010</v>
      </c>
      <c r="B37" s="2">
        <v>661</v>
      </c>
      <c r="C37" s="7" t="str">
        <f t="shared" si="2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32">
        <v>10</v>
      </c>
      <c r="P37" s="33">
        <f t="shared" si="4"/>
        <v>1.0131712259371834E-2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7303010</v>
      </c>
      <c r="B38" s="2">
        <v>674</v>
      </c>
      <c r="C38" s="7" t="str">
        <f t="shared" si="2"/>
        <v>PremiumSS4</v>
      </c>
      <c r="D38" s="7" t="str">
        <f t="shared" si="3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32">
        <v>19</v>
      </c>
      <c r="P38" s="33">
        <f t="shared" si="4"/>
        <v>1.9250253292806486E-2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7303010</v>
      </c>
      <c r="B39" s="2">
        <v>675</v>
      </c>
      <c r="C39" s="7" t="str">
        <f t="shared" si="2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32">
        <v>1</v>
      </c>
      <c r="P39" s="33">
        <f t="shared" si="4"/>
        <v>1.0131712259371835E-3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7303010</v>
      </c>
      <c r="B40" s="2">
        <v>676</v>
      </c>
      <c r="C40" s="7" t="str">
        <f t="shared" si="2"/>
        <v>PremiumSS4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32">
        <v>19</v>
      </c>
      <c r="P40" s="33">
        <f t="shared" si="4"/>
        <v>1.9250253292806486E-2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7303010</v>
      </c>
      <c r="B41" s="2">
        <v>677</v>
      </c>
      <c r="C41" s="7" t="str">
        <f t="shared" si="2"/>
        <v>PremiumSS5</v>
      </c>
      <c r="D41" s="7" t="str">
        <f t="shared" si="3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32">
        <v>1</v>
      </c>
      <c r="P41" s="33">
        <f t="shared" si="4"/>
        <v>1.0131712259371835E-3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7303010</v>
      </c>
      <c r="B42" s="2">
        <v>732</v>
      </c>
      <c r="C42" s="7" t="str">
        <f t="shared" si="2"/>
        <v>PremiumSS5R5only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32">
        <v>20</v>
      </c>
      <c r="P42" s="33">
        <f t="shared" si="4"/>
        <v>2.0263424518743668E-2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7303010</v>
      </c>
      <c r="B43" s="2">
        <v>734</v>
      </c>
      <c r="C43" s="7" t="str">
        <f t="shared" si="2"/>
        <v>PremiumSS5R5only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32">
        <v>20</v>
      </c>
      <c r="P43" s="33">
        <f t="shared" si="4"/>
        <v>2.0263424518743668E-2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7303010</v>
      </c>
      <c r="B44" s="2">
        <v>770</v>
      </c>
      <c r="C44" s="7" t="str">
        <f t="shared" si="2"/>
        <v>PremiumSS4</v>
      </c>
      <c r="D44" s="7" t="str">
        <f t="shared" si="3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32">
        <v>19</v>
      </c>
      <c r="P44" s="33">
        <f t="shared" si="4"/>
        <v>1.9250253292806486E-2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7303010</v>
      </c>
      <c r="B45" s="2">
        <v>771</v>
      </c>
      <c r="C45" s="7" t="str">
        <f t="shared" si="2"/>
        <v>PremiumSS5</v>
      </c>
      <c r="D45" s="7" t="str">
        <f t="shared" si="3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32">
        <v>1</v>
      </c>
      <c r="P45" s="33">
        <f t="shared" si="4"/>
        <v>1.0131712259371835E-3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7303010</v>
      </c>
      <c r="B46" s="2">
        <v>772</v>
      </c>
      <c r="C46" s="7" t="str">
        <f t="shared" si="2"/>
        <v>PremiumSS4</v>
      </c>
      <c r="D46" s="7" t="str">
        <f t="shared" si="3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2">
        <v>19</v>
      </c>
      <c r="P46" s="33">
        <f t="shared" si="4"/>
        <v>1.9250253292806486E-2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7303010</v>
      </c>
      <c r="B47" s="2">
        <v>773</v>
      </c>
      <c r="C47" s="7" t="str">
        <f t="shared" si="2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2">
        <v>1</v>
      </c>
      <c r="P47" s="33">
        <f t="shared" si="4"/>
        <v>1.0131712259371835E-3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7303010</v>
      </c>
      <c r="B48" s="2">
        <v>848</v>
      </c>
      <c r="C48" s="7" t="str">
        <f t="shared" si="2"/>
        <v>PremiumSS5R5only</v>
      </c>
      <c r="D48" s="7" t="str">
        <f t="shared" si="3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32">
        <v>20</v>
      </c>
      <c r="P48" s="33">
        <f t="shared" si="4"/>
        <v>2.0263424518743668E-2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7303010</v>
      </c>
      <c r="B49" s="2">
        <v>850</v>
      </c>
      <c r="C49" s="7" t="str">
        <f t="shared" si="2"/>
        <v>PremiumSS5R5only</v>
      </c>
      <c r="D49" s="7" t="str">
        <f t="shared" si="3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2">
        <v>20</v>
      </c>
      <c r="P49" s="33">
        <f t="shared" si="4"/>
        <v>2.0263424518743668E-2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7303010</v>
      </c>
      <c r="B50" s="2">
        <v>866</v>
      </c>
      <c r="C50" s="7" t="str">
        <f t="shared" si="2"/>
        <v>PremiumSS5R5only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32">
        <v>20</v>
      </c>
      <c r="P50" s="33">
        <f t="shared" si="4"/>
        <v>2.0263424518743668E-2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7303010</v>
      </c>
      <c r="B51" s="2">
        <v>868</v>
      </c>
      <c r="C51" s="7" t="str">
        <f t="shared" si="2"/>
        <v>PremiumSS5R5only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32">
        <v>20</v>
      </c>
      <c r="P51" s="33">
        <f t="shared" si="4"/>
        <v>2.0263424518743668E-2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7303010</v>
      </c>
      <c r="B52" s="2">
        <v>742</v>
      </c>
      <c r="C52" s="7" t="str">
        <f t="shared" si="2"/>
        <v>PremiumSS5R5only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32">
        <v>20</v>
      </c>
      <c r="P52" s="33">
        <f t="shared" si="4"/>
        <v>2.0263424518743668E-2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7303010</v>
      </c>
      <c r="B53" s="2">
        <v>744</v>
      </c>
      <c r="C53" s="7" t="str">
        <f t="shared" si="2"/>
        <v>PremiumSS5R5only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32">
        <v>20</v>
      </c>
      <c r="P53" s="33">
        <f t="shared" si="4"/>
        <v>2.0263424518743668E-2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7303010</v>
      </c>
      <c r="B54" s="2">
        <v>937</v>
      </c>
      <c r="C54" s="7" t="str">
        <f t="shared" si="2"/>
        <v>PremiumSS5R5only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32">
        <v>20</v>
      </c>
      <c r="P54" s="33">
        <f t="shared" si="4"/>
        <v>2.0263424518743668E-2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7303010</v>
      </c>
      <c r="B55" s="2">
        <v>941</v>
      </c>
      <c r="C55" s="7" t="str">
        <f t="shared" si="2"/>
        <v>PremiumSS5R5only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32">
        <v>20</v>
      </c>
      <c r="P55" s="33">
        <f t="shared" si="4"/>
        <v>2.0263424518743668E-2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7303010</v>
      </c>
      <c r="B56" s="2">
        <v>943</v>
      </c>
      <c r="C56" s="7" t="str">
        <f t="shared" si="2"/>
        <v>PremiumSS5R5only</v>
      </c>
      <c r="D56" s="7" t="str">
        <f t="shared" si="3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32">
        <v>20</v>
      </c>
      <c r="P56" s="33">
        <f t="shared" si="4"/>
        <v>2.0263424518743668E-2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7303010</v>
      </c>
      <c r="B57" s="2">
        <v>1012</v>
      </c>
      <c r="C57" s="7" t="str">
        <f t="shared" si="2"/>
        <v>PremiumSS5R5only</v>
      </c>
      <c r="D57" s="7" t="str">
        <f t="shared" si="3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32">
        <v>20</v>
      </c>
      <c r="P57" s="33">
        <f t="shared" si="4"/>
        <v>2.0263424518743668E-2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7303010</v>
      </c>
      <c r="B58" s="2">
        <v>1014</v>
      </c>
      <c r="C58" s="7" t="str">
        <f t="shared" si="2"/>
        <v>PremiumSS5R5only</v>
      </c>
      <c r="D58" s="7" t="str">
        <f t="shared" si="3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32">
        <v>20</v>
      </c>
      <c r="P58" s="33">
        <f t="shared" si="4"/>
        <v>2.0263424518743668E-2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7303010</v>
      </c>
      <c r="B59" s="2">
        <v>1018</v>
      </c>
      <c r="C59" s="7" t="str">
        <f t="shared" si="2"/>
        <v>PremiumSS5R5only</v>
      </c>
      <c r="D59" s="7" t="str">
        <f t="shared" si="3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32">
        <v>20</v>
      </c>
      <c r="P59" s="33">
        <f t="shared" si="4"/>
        <v>2.0263424518743668E-2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7303010</v>
      </c>
      <c r="B60" s="2">
        <v>1028</v>
      </c>
      <c r="C60" s="7" t="str">
        <f t="shared" si="2"/>
        <v>PremiumSS5R5only</v>
      </c>
      <c r="D60" s="7" t="str">
        <f t="shared" si="3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32">
        <v>20</v>
      </c>
      <c r="P60" s="33">
        <f t="shared" si="4"/>
        <v>2.0263424518743668E-2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7303010</v>
      </c>
      <c r="B61" s="2">
        <v>1031</v>
      </c>
      <c r="C61" s="7" t="str">
        <f t="shared" si="2"/>
        <v>PremiumSS5R5only</v>
      </c>
      <c r="D61" s="7" t="str">
        <f t="shared" si="3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32">
        <v>20</v>
      </c>
      <c r="P61" s="33">
        <f t="shared" si="4"/>
        <v>2.0263424518743668E-2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7303010</v>
      </c>
      <c r="B62" s="2">
        <v>1033</v>
      </c>
      <c r="C62" s="7" t="str">
        <f t="shared" si="2"/>
        <v>PremiumSS5R5only</v>
      </c>
      <c r="D62" s="7" t="str">
        <f t="shared" si="3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32">
        <v>20</v>
      </c>
      <c r="P62" s="33">
        <f t="shared" si="4"/>
        <v>2.0263424518743668E-2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7303010</v>
      </c>
      <c r="B63" s="2">
        <v>1072</v>
      </c>
      <c r="C63" s="7" t="str">
        <f t="shared" si="2"/>
        <v>PremiumSS5R5only</v>
      </c>
      <c r="D63" s="7" t="str">
        <f t="shared" si="3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32">
        <v>20</v>
      </c>
      <c r="P63" s="33">
        <f t="shared" si="4"/>
        <v>2.0263424518743668E-2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7303010</v>
      </c>
      <c r="B64" s="2">
        <v>1074</v>
      </c>
      <c r="C64" s="7" t="str">
        <f t="shared" si="2"/>
        <v>PremiumSS5R5only</v>
      </c>
      <c r="D64" s="7" t="str">
        <f t="shared" si="3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32">
        <v>20</v>
      </c>
      <c r="P64" s="33">
        <f t="shared" si="4"/>
        <v>2.0263424518743668E-2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7303010</v>
      </c>
      <c r="B65" s="2">
        <v>1069</v>
      </c>
      <c r="C65" s="7" t="str">
        <f t="shared" si="2"/>
        <v>PremiumSS5R5only</v>
      </c>
      <c r="D65" s="7" t="str">
        <f t="shared" si="3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32">
        <v>20</v>
      </c>
      <c r="P65" s="33">
        <f t="shared" si="4"/>
        <v>2.0263424518743668E-2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7303010</v>
      </c>
      <c r="B66" s="2">
        <v>1100</v>
      </c>
      <c r="C66" s="7" t="str">
        <f t="shared" si="2"/>
        <v>PremiumSS5R5only</v>
      </c>
      <c r="D66" s="7" t="str">
        <f t="shared" si="3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32">
        <v>20</v>
      </c>
      <c r="P66" s="33">
        <f t="shared" si="4"/>
        <v>2.0263424518743668E-2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7303010</v>
      </c>
      <c r="B67" s="2">
        <v>1102</v>
      </c>
      <c r="C67" s="7" t="str">
        <f t="shared" si="2"/>
        <v>PremiumSS5R5only</v>
      </c>
      <c r="D67" s="7" t="str">
        <f t="shared" si="3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32">
        <v>20</v>
      </c>
      <c r="P67" s="33">
        <f t="shared" si="4"/>
        <v>2.0263424518743668E-2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7303010</v>
      </c>
      <c r="B68" s="2">
        <v>1106</v>
      </c>
      <c r="C68" s="7" t="str">
        <f t="shared" si="2"/>
        <v>PremiumSS5R5only</v>
      </c>
      <c r="D68" s="7" t="str">
        <f t="shared" si="3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32">
        <v>20</v>
      </c>
      <c r="P68" s="33">
        <f t="shared" si="4"/>
        <v>2.0263424518743668E-2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7303010</v>
      </c>
      <c r="B69" s="2">
        <v>1137</v>
      </c>
      <c r="C69" s="7" t="str">
        <f t="shared" si="2"/>
        <v>PremiumSS5R5only</v>
      </c>
      <c r="D69" s="7" t="str">
        <f t="shared" si="3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32">
        <v>20</v>
      </c>
      <c r="P69" s="33">
        <f t="shared" si="4"/>
        <v>2.0263424518743668E-2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7303010</v>
      </c>
      <c r="B70" s="2">
        <v>1141</v>
      </c>
      <c r="C70" s="50" t="str">
        <f t="shared" si="2"/>
        <v>PremiumSS5R5only</v>
      </c>
      <c r="D70" s="50" t="str">
        <f t="shared" si="3"/>
        <v>PremiumSS</v>
      </c>
      <c r="E70" s="50" t="str">
        <f>IF(COUNTIF('R6追加前'!A:A,B70)=0,IF(OR(I70="PremiumSS",I70="PremiumSSw"),"R5only","R3less"),"")</f>
        <v>R5only</v>
      </c>
      <c r="F70" s="50" t="str">
        <f>IF(COUNTIF('R6開放'!A:A,B70)&gt;0,"R6release","")</f>
        <v/>
      </c>
      <c r="G70" s="50"/>
      <c r="H70" s="50" t="str">
        <f>VLOOKUP(B70,[1]characters!$A:$C,3,FALSE)</f>
        <v>月英</v>
      </c>
      <c r="I70" s="50" t="str">
        <f>VLOOKUP(B70,[1]characters!$A:$J,10,FALSE)</f>
        <v>PremiumSS</v>
      </c>
      <c r="J70" s="50">
        <f>VLOOKUP(B70,[1]characters!$A:$I,9,FALSE)</f>
        <v>5</v>
      </c>
      <c r="K70" s="50" t="str">
        <f>VLOOKUP(B70,[1]characters!$A:$H,8,FALSE)</f>
        <v>blue</v>
      </c>
      <c r="L70" s="50" t="str">
        <f>VLOOKUP(B70,[1]characters!$A:$K,11,FALSE)</f>
        <v>balance</v>
      </c>
      <c r="M70" s="50" t="str">
        <f>VLOOKUP(B70,[1]characters!$A:$M,13,FALSE)</f>
        <v>human</v>
      </c>
      <c r="N70" s="50" t="str">
        <f>VLOOKUP(B70,[1]characters!$A:$G,7,FALSE)</f>
        <v>不明</v>
      </c>
      <c r="O70" s="32">
        <v>20</v>
      </c>
      <c r="P70" s="51">
        <f t="shared" si="4"/>
        <v>2.0263424518743668E-2</v>
      </c>
      <c r="Q70" s="52">
        <v>1</v>
      </c>
      <c r="R70" s="52">
        <v>0</v>
      </c>
      <c r="S70" s="52">
        <v>0</v>
      </c>
      <c r="T70" s="52">
        <v>0</v>
      </c>
      <c r="U70" s="52">
        <v>0</v>
      </c>
      <c r="V70" s="52">
        <v>1</v>
      </c>
    </row>
    <row r="71" spans="1:22" ht="21" customHeight="1" x14ac:dyDescent="0.15">
      <c r="A71" s="2">
        <v>7303010</v>
      </c>
      <c r="B71" s="2">
        <v>1139</v>
      </c>
      <c r="C71" s="7" t="str">
        <f t="shared" ref="C71" si="5">D71&amp;J71&amp;E71&amp;F71&amp;G71</f>
        <v>PremiumSS5R5only</v>
      </c>
      <c r="D71" s="7" t="str">
        <f t="shared" ref="D71" si="6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32">
        <v>20</v>
      </c>
      <c r="P71" s="33">
        <f t="shared" si="4"/>
        <v>2.0263424518743668E-2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53"/>
      <c r="P72" s="54"/>
      <c r="Q72" s="55"/>
      <c r="R72" s="55"/>
      <c r="S72" s="55"/>
      <c r="T72" s="55"/>
      <c r="U72" s="55"/>
      <c r="V72" s="55"/>
    </row>
    <row r="73" spans="1:22" ht="21" customHeight="1" x14ac:dyDescent="0.1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53"/>
      <c r="P73" s="54"/>
      <c r="Q73" s="55"/>
      <c r="R73" s="55"/>
      <c r="S73" s="55"/>
      <c r="T73" s="55"/>
      <c r="U73" s="55"/>
      <c r="V73" s="55"/>
    </row>
    <row r="74" spans="1:22" ht="21" customHeight="1" x14ac:dyDescent="0.1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53"/>
      <c r="P74" s="54"/>
      <c r="Q74" s="55"/>
      <c r="R74" s="55"/>
      <c r="S74" s="55"/>
      <c r="T74" s="55"/>
      <c r="U74" s="55"/>
      <c r="V74" s="55"/>
    </row>
    <row r="75" spans="1:22" ht="21" customHeight="1" x14ac:dyDescent="0.1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53"/>
      <c r="P75" s="54"/>
      <c r="Q75" s="55"/>
      <c r="R75" s="55"/>
      <c r="S75" s="55"/>
      <c r="T75" s="55"/>
      <c r="U75" s="55"/>
      <c r="V75" s="55"/>
    </row>
    <row r="76" spans="1:22" ht="21" customHeight="1" x14ac:dyDescent="0.1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53"/>
      <c r="P76" s="54"/>
      <c r="Q76" s="55"/>
      <c r="R76" s="55"/>
      <c r="S76" s="55"/>
      <c r="T76" s="55"/>
      <c r="U76" s="55"/>
      <c r="V76" s="55"/>
    </row>
    <row r="77" spans="1:22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53"/>
      <c r="P77" s="54"/>
      <c r="Q77" s="55"/>
      <c r="R77" s="55"/>
      <c r="S77" s="55"/>
      <c r="T77" s="55"/>
      <c r="U77" s="55"/>
      <c r="V77" s="55"/>
    </row>
    <row r="78" spans="1:22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53"/>
      <c r="P78" s="54"/>
      <c r="Q78" s="55"/>
      <c r="R78" s="55"/>
      <c r="S78" s="55"/>
      <c r="T78" s="55"/>
      <c r="U78" s="55"/>
      <c r="V78" s="55"/>
    </row>
    <row r="79" spans="1:22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53"/>
      <c r="P79" s="54"/>
      <c r="Q79" s="55"/>
      <c r="R79" s="55"/>
      <c r="S79" s="55"/>
      <c r="T79" s="55"/>
      <c r="U79" s="55"/>
      <c r="V79" s="55"/>
    </row>
    <row r="80" spans="1:22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53"/>
      <c r="P80" s="54"/>
      <c r="Q80" s="55"/>
      <c r="R80" s="55"/>
      <c r="S80" s="55"/>
      <c r="T80" s="55"/>
      <c r="U80" s="55"/>
      <c r="V80" s="55"/>
    </row>
    <row r="81" spans="1:22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53"/>
      <c r="P81" s="54"/>
      <c r="Q81" s="55"/>
      <c r="R81" s="55"/>
      <c r="S81" s="55"/>
      <c r="T81" s="55"/>
      <c r="U81" s="55"/>
      <c r="V81" s="55"/>
    </row>
    <row r="82" spans="1:22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53"/>
      <c r="P82" s="54"/>
      <c r="Q82" s="55"/>
      <c r="R82" s="55"/>
      <c r="S82" s="55"/>
      <c r="T82" s="55"/>
      <c r="U82" s="55"/>
      <c r="V82" s="55"/>
    </row>
    <row r="83" spans="1:22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53"/>
      <c r="P83" s="54"/>
      <c r="Q83" s="55"/>
      <c r="R83" s="55"/>
      <c r="S83" s="55"/>
      <c r="T83" s="55"/>
      <c r="U83" s="55"/>
      <c r="V83" s="55"/>
    </row>
    <row r="84" spans="1:22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53"/>
      <c r="P84" s="54"/>
      <c r="Q84" s="55"/>
      <c r="R84" s="55"/>
      <c r="S84" s="55"/>
      <c r="T84" s="55"/>
      <c r="U84" s="55"/>
      <c r="V84" s="55"/>
    </row>
    <row r="85" spans="1:22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53"/>
      <c r="P85" s="54"/>
      <c r="Q85" s="55"/>
      <c r="R85" s="55"/>
      <c r="S85" s="55"/>
      <c r="T85" s="55"/>
      <c r="U85" s="55"/>
      <c r="V85" s="55"/>
    </row>
    <row r="86" spans="1:22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53"/>
      <c r="P86" s="54"/>
      <c r="Q86" s="55"/>
      <c r="R86" s="55"/>
      <c r="S86" s="55"/>
      <c r="T86" s="55"/>
      <c r="U86" s="55"/>
      <c r="V86" s="55"/>
    </row>
    <row r="87" spans="1:22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53"/>
      <c r="P87" s="54"/>
      <c r="Q87" s="55"/>
      <c r="R87" s="55"/>
      <c r="S87" s="55"/>
      <c r="T87" s="55"/>
      <c r="U87" s="55"/>
      <c r="V87" s="55"/>
    </row>
    <row r="88" spans="1:22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53"/>
      <c r="P88" s="54"/>
      <c r="Q88" s="55"/>
      <c r="R88" s="55"/>
      <c r="S88" s="55"/>
      <c r="T88" s="55"/>
      <c r="U88" s="55"/>
      <c r="V88" s="55"/>
    </row>
    <row r="89" spans="1:22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53"/>
      <c r="P89" s="54"/>
      <c r="Q89" s="55"/>
      <c r="R89" s="55"/>
      <c r="S89" s="55"/>
      <c r="T89" s="55"/>
      <c r="U89" s="55"/>
      <c r="V89" s="55"/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tables_7303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2016-10-07T03:22:56Z</dcterms:modified>
</cp:coreProperties>
</file>